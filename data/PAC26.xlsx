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8"/>
  <workbookPr defaultThemeVersion="202300"/>
  <mc:AlternateContent xmlns:mc="http://schemas.openxmlformats.org/markup-compatibility/2006">
    <mc:Choice Requires="x15">
      <x15ac:absPath xmlns:x15ac="http://schemas.microsoft.com/office/spreadsheetml/2010/11/ac" url="C:\Users\usuario\Desktop\ST_abastecimiento\ST_abastecimiento\data\"/>
    </mc:Choice>
  </mc:AlternateContent>
  <xr:revisionPtr revIDLastSave="0" documentId="13_ncr:1_{3F27C8FB-1A7C-4E1F-9FCA-705E92A6B749}" xr6:coauthVersionLast="47" xr6:coauthVersionMax="47" xr10:uidLastSave="{00000000-0000-0000-0000-000000000000}"/>
  <bookViews>
    <workbookView xWindow="-120" yWindow="-120" windowWidth="29040" windowHeight="15720" firstSheet="4" activeTab="8" xr2:uid="{87600DDE-BBA8-4929-8162-D1AFAC4E918A}"/>
  </bookViews>
  <sheets>
    <sheet name="TD MEMO" sheetId="18" state="hidden" r:id="rId1"/>
    <sheet name="TD (2)" sheetId="19" r:id="rId2"/>
    <sheet name="TD3" sheetId="4" r:id="rId3"/>
    <sheet name="Hoja6" sheetId="7" r:id="rId4"/>
    <sheet name="Hoja16" sheetId="17" r:id="rId5"/>
    <sheet name="TD" sheetId="16" r:id="rId6"/>
    <sheet name="Oficial Panel" sheetId="8" r:id="rId7"/>
    <sheet name="Oficial" sheetId="5" r:id="rId8"/>
    <sheet name="OficialReal" sheetId="20" r:id="rId9"/>
    <sheet name="ListadoProyectos (10)" sheetId="1" r:id="rId10"/>
  </sheets>
  <definedNames>
    <definedName name="_xlnm._FilterDatabase" localSheetId="9" hidden="1">'ListadoProyectos (10)'!$A$1:$AB$1360</definedName>
    <definedName name="_xlnm._FilterDatabase" localSheetId="7" hidden="1">Oficial!$A$1:$N$704</definedName>
    <definedName name="_xlnm._FilterDatabase" localSheetId="8" hidden="1">OficialReal!$A$1:$Q$704</definedName>
    <definedName name="_xlnm._FilterDatabase" localSheetId="5" hidden="1">TD!$A$1:$G$394</definedName>
    <definedName name="_xlnm._FilterDatabase" localSheetId="1" hidden="1">'TD (2)'!$A$1:$G$394</definedName>
  </definedNames>
  <calcPr calcId="191029"/>
  <pivotCaches>
    <pivotCache cacheId="0" r:id="rId11"/>
    <pivotCache cacheId="1" r:id="rId12"/>
    <pivotCache cacheId="2" r:id="rId13"/>
  </pivotCaches>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D3" i="1" l="1"/>
  <c r="AD4" i="1"/>
  <c r="AD5" i="1"/>
  <c r="AD6" i="1"/>
  <c r="AD7" i="1"/>
  <c r="AD8" i="1"/>
  <c r="AD9" i="1"/>
  <c r="AD10" i="1"/>
  <c r="AD11" i="1"/>
  <c r="AD12" i="1"/>
  <c r="AD13" i="1"/>
  <c r="AD14" i="1"/>
  <c r="AD15" i="1"/>
  <c r="AD16" i="1"/>
  <c r="AD17" i="1"/>
  <c r="AD18" i="1"/>
  <c r="AD19" i="1"/>
  <c r="AD20" i="1"/>
  <c r="AD21" i="1"/>
  <c r="AD22" i="1"/>
  <c r="AD23" i="1"/>
  <c r="AD24" i="1"/>
  <c r="AD25" i="1"/>
  <c r="AD26" i="1"/>
  <c r="AD27" i="1"/>
  <c r="AD28" i="1"/>
  <c r="AD29" i="1"/>
  <c r="AD30" i="1"/>
  <c r="AD31" i="1"/>
  <c r="AD32" i="1"/>
  <c r="AD33" i="1"/>
  <c r="AD34" i="1"/>
  <c r="AD35" i="1"/>
  <c r="AD36" i="1"/>
  <c r="AD37" i="1"/>
  <c r="AD38" i="1"/>
  <c r="AD39" i="1"/>
  <c r="AD40" i="1"/>
  <c r="AD41" i="1"/>
  <c r="AD42" i="1"/>
  <c r="AD43" i="1"/>
  <c r="AD44" i="1"/>
  <c r="AD45" i="1"/>
  <c r="AD46" i="1"/>
  <c r="AD47" i="1"/>
  <c r="AD48" i="1"/>
  <c r="AD49" i="1"/>
  <c r="AD50" i="1"/>
  <c r="AD51" i="1"/>
  <c r="AD52" i="1"/>
  <c r="AD53" i="1"/>
  <c r="AD54" i="1"/>
  <c r="AD55" i="1"/>
  <c r="AD56" i="1"/>
  <c r="AD57" i="1"/>
  <c r="AD58" i="1"/>
  <c r="AD59" i="1"/>
  <c r="AD60" i="1"/>
  <c r="AD61" i="1"/>
  <c r="AD62" i="1"/>
  <c r="AD63" i="1"/>
  <c r="AD64" i="1"/>
  <c r="AD65" i="1"/>
  <c r="AD66" i="1"/>
  <c r="AD67" i="1"/>
  <c r="AD68" i="1"/>
  <c r="AD69" i="1"/>
  <c r="AD70" i="1"/>
  <c r="AD71" i="1"/>
  <c r="AD72" i="1"/>
  <c r="AD73" i="1"/>
  <c r="AD74" i="1"/>
  <c r="AD75" i="1"/>
  <c r="AD76" i="1"/>
  <c r="AD77" i="1"/>
  <c r="AD78" i="1"/>
  <c r="AD79" i="1"/>
  <c r="AD80" i="1"/>
  <c r="AD81" i="1"/>
  <c r="AD82" i="1"/>
  <c r="AD83" i="1"/>
  <c r="AD84" i="1"/>
  <c r="AD85" i="1"/>
  <c r="AD86" i="1"/>
  <c r="AD87" i="1"/>
  <c r="AD88" i="1"/>
  <c r="AD89" i="1"/>
  <c r="AD90" i="1"/>
  <c r="AD91" i="1"/>
  <c r="AD92" i="1"/>
  <c r="AD93" i="1"/>
  <c r="AD94" i="1"/>
  <c r="AD95" i="1"/>
  <c r="AD96" i="1"/>
  <c r="AD97" i="1"/>
  <c r="AD98" i="1"/>
  <c r="AD99" i="1"/>
  <c r="AD100" i="1"/>
  <c r="AD101" i="1"/>
  <c r="AD102" i="1"/>
  <c r="AD103" i="1"/>
  <c r="AD104" i="1"/>
  <c r="AD105" i="1"/>
  <c r="AD106" i="1"/>
  <c r="AD107" i="1"/>
  <c r="AD108" i="1"/>
  <c r="AD109" i="1"/>
  <c r="AD110" i="1"/>
  <c r="AD111" i="1"/>
  <c r="AD112" i="1"/>
  <c r="AD113" i="1"/>
  <c r="AD114" i="1"/>
  <c r="AD115" i="1"/>
  <c r="AD116" i="1"/>
  <c r="AD117" i="1"/>
  <c r="AD118" i="1"/>
  <c r="AD119" i="1"/>
  <c r="AD120" i="1"/>
  <c r="AD121" i="1"/>
  <c r="AD122" i="1"/>
  <c r="AD123" i="1"/>
  <c r="AD124" i="1"/>
  <c r="AD125" i="1"/>
  <c r="AD126" i="1"/>
  <c r="AD127" i="1"/>
  <c r="AD128" i="1"/>
  <c r="AD129" i="1"/>
  <c r="AD130" i="1"/>
  <c r="AD131" i="1"/>
  <c r="AD132" i="1"/>
  <c r="AD133" i="1"/>
  <c r="AD134" i="1"/>
  <c r="AD135" i="1"/>
  <c r="AD136" i="1"/>
  <c r="AD137" i="1"/>
  <c r="AD138" i="1"/>
  <c r="AD139" i="1"/>
  <c r="AD140" i="1"/>
  <c r="AD141" i="1"/>
  <c r="AD142" i="1"/>
  <c r="AD143" i="1"/>
  <c r="AD144" i="1"/>
  <c r="AD145" i="1"/>
  <c r="AD146" i="1"/>
  <c r="AD147" i="1"/>
  <c r="AD148" i="1"/>
  <c r="AD149" i="1"/>
  <c r="AD150" i="1"/>
  <c r="AD151" i="1"/>
  <c r="AD152" i="1"/>
  <c r="AD153" i="1"/>
  <c r="AD154" i="1"/>
  <c r="AD155" i="1"/>
  <c r="AD156" i="1"/>
  <c r="AD157" i="1"/>
  <c r="AD158" i="1"/>
  <c r="AD159" i="1"/>
  <c r="AD160" i="1"/>
  <c r="AD161" i="1"/>
  <c r="AD162" i="1"/>
  <c r="AD163" i="1"/>
  <c r="AD164" i="1"/>
  <c r="AD165" i="1"/>
  <c r="AD166" i="1"/>
  <c r="AD167" i="1"/>
  <c r="AD168" i="1"/>
  <c r="AD169" i="1"/>
  <c r="AD170" i="1"/>
  <c r="AD171" i="1"/>
  <c r="AD172" i="1"/>
  <c r="AD173" i="1"/>
  <c r="AD174" i="1"/>
  <c r="AD175" i="1"/>
  <c r="AD176" i="1"/>
  <c r="AD177" i="1"/>
  <c r="AD178" i="1"/>
  <c r="AD179" i="1"/>
  <c r="AD180" i="1"/>
  <c r="AD181" i="1"/>
  <c r="AD182" i="1"/>
  <c r="AD183" i="1"/>
  <c r="AD184" i="1"/>
  <c r="AD185" i="1"/>
  <c r="AD186" i="1"/>
  <c r="AD187" i="1"/>
  <c r="AD188" i="1"/>
  <c r="AD189" i="1"/>
  <c r="AD190" i="1"/>
  <c r="AD191" i="1"/>
  <c r="AD192" i="1"/>
  <c r="AD193" i="1"/>
  <c r="AD194" i="1"/>
  <c r="AD195" i="1"/>
  <c r="AD196" i="1"/>
  <c r="AD197" i="1"/>
  <c r="AD198" i="1"/>
  <c r="AD199" i="1"/>
  <c r="AD200" i="1"/>
  <c r="AD201" i="1"/>
  <c r="AD202" i="1"/>
  <c r="AD203" i="1"/>
  <c r="AD204" i="1"/>
  <c r="AD205" i="1"/>
  <c r="AD206" i="1"/>
  <c r="AD207" i="1"/>
  <c r="AD208" i="1"/>
  <c r="AD209" i="1"/>
  <c r="AD210" i="1"/>
  <c r="AD211" i="1"/>
  <c r="AD212" i="1"/>
  <c r="AD213" i="1"/>
  <c r="AD214" i="1"/>
  <c r="AD215" i="1"/>
  <c r="AD216" i="1"/>
  <c r="AD217" i="1"/>
  <c r="AD218" i="1"/>
  <c r="AD219" i="1"/>
  <c r="AD220" i="1"/>
  <c r="AD221" i="1"/>
  <c r="AD222" i="1"/>
  <c r="AD223" i="1"/>
  <c r="AD224" i="1"/>
  <c r="AD225" i="1"/>
  <c r="AD226" i="1"/>
  <c r="AD227" i="1"/>
  <c r="AD228" i="1"/>
  <c r="AD229" i="1"/>
  <c r="AD230" i="1"/>
  <c r="AD231" i="1"/>
  <c r="AD232" i="1"/>
  <c r="AD233" i="1"/>
  <c r="AD234" i="1"/>
  <c r="AD235" i="1"/>
  <c r="AD236" i="1"/>
  <c r="AD237" i="1"/>
  <c r="AD238" i="1"/>
  <c r="AD239" i="1"/>
  <c r="AD240" i="1"/>
  <c r="AD241" i="1"/>
  <c r="AD242" i="1"/>
  <c r="AD243" i="1"/>
  <c r="AD244" i="1"/>
  <c r="AD245" i="1"/>
  <c r="AD246" i="1"/>
  <c r="AD247" i="1"/>
  <c r="AD248" i="1"/>
  <c r="AD249" i="1"/>
  <c r="AD250" i="1"/>
  <c r="AD251" i="1"/>
  <c r="AD252" i="1"/>
  <c r="AD253" i="1"/>
  <c r="AD254" i="1"/>
  <c r="AD255" i="1"/>
  <c r="AD256" i="1"/>
  <c r="AD257" i="1"/>
  <c r="AD258" i="1"/>
  <c r="AD259" i="1"/>
  <c r="AD260" i="1"/>
  <c r="AD261" i="1"/>
  <c r="AD262" i="1"/>
  <c r="AD263" i="1"/>
  <c r="AD264" i="1"/>
  <c r="AD265" i="1"/>
  <c r="AD266" i="1"/>
  <c r="AD267" i="1"/>
  <c r="AD268" i="1"/>
  <c r="AD269" i="1"/>
  <c r="AD270" i="1"/>
  <c r="AD271" i="1"/>
  <c r="AD272" i="1"/>
  <c r="AD273" i="1"/>
  <c r="AD274" i="1"/>
  <c r="AD275" i="1"/>
  <c r="AD276" i="1"/>
  <c r="AD277" i="1"/>
  <c r="AD278" i="1"/>
  <c r="AD279" i="1"/>
  <c r="AD280" i="1"/>
  <c r="AD281" i="1"/>
  <c r="AD282" i="1"/>
  <c r="AD283" i="1"/>
  <c r="AD284" i="1"/>
  <c r="AD285" i="1"/>
  <c r="AD286" i="1"/>
  <c r="AD287" i="1"/>
  <c r="AD288" i="1"/>
  <c r="AD289" i="1"/>
  <c r="AD290" i="1"/>
  <c r="AD291" i="1"/>
  <c r="AD292" i="1"/>
  <c r="AD293" i="1"/>
  <c r="AD294" i="1"/>
  <c r="AD295" i="1"/>
  <c r="AD296" i="1"/>
  <c r="AD297" i="1"/>
  <c r="AD298" i="1"/>
  <c r="AD299" i="1"/>
  <c r="AD300" i="1"/>
  <c r="AD301" i="1"/>
  <c r="AD302" i="1"/>
  <c r="AD303" i="1"/>
  <c r="AD304" i="1"/>
  <c r="AD305" i="1"/>
  <c r="AD306" i="1"/>
  <c r="AD307" i="1"/>
  <c r="AD308" i="1"/>
  <c r="AD309" i="1"/>
  <c r="AD310" i="1"/>
  <c r="AD311" i="1"/>
  <c r="AD312" i="1"/>
  <c r="AD313" i="1"/>
  <c r="AD314" i="1"/>
  <c r="AD315" i="1"/>
  <c r="AD316" i="1"/>
  <c r="AD317" i="1"/>
  <c r="AD318" i="1"/>
  <c r="AD319" i="1"/>
  <c r="AD320" i="1"/>
  <c r="AD321" i="1"/>
  <c r="AD322" i="1"/>
  <c r="AD323" i="1"/>
  <c r="AD324" i="1"/>
  <c r="AD325" i="1"/>
  <c r="AD326" i="1"/>
  <c r="AD327" i="1"/>
  <c r="AD328" i="1"/>
  <c r="AD329" i="1"/>
  <c r="AD330" i="1"/>
  <c r="AD331" i="1"/>
  <c r="AD332" i="1"/>
  <c r="AD333" i="1"/>
  <c r="AD334" i="1"/>
  <c r="AD335" i="1"/>
  <c r="AD336" i="1"/>
  <c r="AD337" i="1"/>
  <c r="AD338" i="1"/>
  <c r="AD339" i="1"/>
  <c r="AD340" i="1"/>
  <c r="AD341" i="1"/>
  <c r="AD342" i="1"/>
  <c r="AD343" i="1"/>
  <c r="AD344" i="1"/>
  <c r="AD345" i="1"/>
  <c r="AD346" i="1"/>
  <c r="AD347" i="1"/>
  <c r="AD348" i="1"/>
  <c r="AD349" i="1"/>
  <c r="AD350" i="1"/>
  <c r="AD351" i="1"/>
  <c r="AD352" i="1"/>
  <c r="AD353" i="1"/>
  <c r="AD354" i="1"/>
  <c r="AD355" i="1"/>
  <c r="AD356" i="1"/>
  <c r="AD357" i="1"/>
  <c r="AD358" i="1"/>
  <c r="AD359" i="1"/>
  <c r="AD360" i="1"/>
  <c r="AD361" i="1"/>
  <c r="AD362" i="1"/>
  <c r="AD363" i="1"/>
  <c r="AD364" i="1"/>
  <c r="AD365" i="1"/>
  <c r="AD366" i="1"/>
  <c r="AD367" i="1"/>
  <c r="AD368" i="1"/>
  <c r="AD369" i="1"/>
  <c r="AD370" i="1"/>
  <c r="AD371" i="1"/>
  <c r="AD372" i="1"/>
  <c r="AD373" i="1"/>
  <c r="AD374" i="1"/>
  <c r="AD375" i="1"/>
  <c r="AD376" i="1"/>
  <c r="AD377" i="1"/>
  <c r="AD378" i="1"/>
  <c r="AD379" i="1"/>
  <c r="AD380" i="1"/>
  <c r="AD381" i="1"/>
  <c r="AD382" i="1"/>
  <c r="AD383" i="1"/>
  <c r="AD384" i="1"/>
  <c r="AD385" i="1"/>
  <c r="AD386" i="1"/>
  <c r="AD387" i="1"/>
  <c r="AD388" i="1"/>
  <c r="AD389" i="1"/>
  <c r="AD390" i="1"/>
  <c r="AD391" i="1"/>
  <c r="AD392" i="1"/>
  <c r="AD393" i="1"/>
  <c r="AD394" i="1"/>
  <c r="AD395" i="1"/>
  <c r="AD396" i="1"/>
  <c r="AD397" i="1"/>
  <c r="AD398" i="1"/>
  <c r="AD399" i="1"/>
  <c r="AD400" i="1"/>
  <c r="AD401" i="1"/>
  <c r="AD402" i="1"/>
  <c r="AD403" i="1"/>
  <c r="AD404" i="1"/>
  <c r="AD405" i="1"/>
  <c r="AD406" i="1"/>
  <c r="AD407" i="1"/>
  <c r="AD408" i="1"/>
  <c r="AD409" i="1"/>
  <c r="AD410" i="1"/>
  <c r="AD411" i="1"/>
  <c r="AD412" i="1"/>
  <c r="AD413" i="1"/>
  <c r="AD414" i="1"/>
  <c r="AD415" i="1"/>
  <c r="AD416" i="1"/>
  <c r="AD417" i="1"/>
  <c r="AD418" i="1"/>
  <c r="AD419" i="1"/>
  <c r="AD420" i="1"/>
  <c r="AD421" i="1"/>
  <c r="AD422" i="1"/>
  <c r="AD423" i="1"/>
  <c r="AD424" i="1"/>
  <c r="AD425" i="1"/>
  <c r="AD426" i="1"/>
  <c r="AD427" i="1"/>
  <c r="AD428" i="1"/>
  <c r="AD429" i="1"/>
  <c r="AD430" i="1"/>
  <c r="AD431" i="1"/>
  <c r="AD432" i="1"/>
  <c r="AD433" i="1"/>
  <c r="AD434" i="1"/>
  <c r="AD435" i="1"/>
  <c r="AD436" i="1"/>
  <c r="AD437" i="1"/>
  <c r="AD438" i="1"/>
  <c r="AD439" i="1"/>
  <c r="AD440" i="1"/>
  <c r="AD441" i="1"/>
  <c r="AD442" i="1"/>
  <c r="AD443" i="1"/>
  <c r="AD444" i="1"/>
  <c r="AD445" i="1"/>
  <c r="AD446" i="1"/>
  <c r="AD447" i="1"/>
  <c r="AD448" i="1"/>
  <c r="AD449" i="1"/>
  <c r="AD450" i="1"/>
  <c r="AD451" i="1"/>
  <c r="AD452" i="1"/>
  <c r="AD453" i="1"/>
  <c r="AD454" i="1"/>
  <c r="AD455" i="1"/>
  <c r="AD456" i="1"/>
  <c r="AD457" i="1"/>
  <c r="AD458" i="1"/>
  <c r="AD459" i="1"/>
  <c r="AD460" i="1"/>
  <c r="AD461" i="1"/>
  <c r="AD462" i="1"/>
  <c r="AD463" i="1"/>
  <c r="AD464" i="1"/>
  <c r="AD465" i="1"/>
  <c r="AD466" i="1"/>
  <c r="AD467" i="1"/>
  <c r="AD468" i="1"/>
  <c r="AD469" i="1"/>
  <c r="AD470" i="1"/>
  <c r="AD471" i="1"/>
  <c r="AD472" i="1"/>
  <c r="AD473" i="1"/>
  <c r="AD474" i="1"/>
  <c r="AD475" i="1"/>
  <c r="AD476" i="1"/>
  <c r="AD477" i="1"/>
  <c r="AD478" i="1"/>
  <c r="AD479" i="1"/>
  <c r="AD480" i="1"/>
  <c r="AD481" i="1"/>
  <c r="AD482" i="1"/>
  <c r="AD483" i="1"/>
  <c r="AD484" i="1"/>
  <c r="AD485" i="1"/>
  <c r="AD486" i="1"/>
  <c r="AD487" i="1"/>
  <c r="AD488" i="1"/>
  <c r="AD489" i="1"/>
  <c r="AD490" i="1"/>
  <c r="AD491" i="1"/>
  <c r="AD492" i="1"/>
  <c r="AD493" i="1"/>
  <c r="AD494" i="1"/>
  <c r="AD495" i="1"/>
  <c r="AD496" i="1"/>
  <c r="AD497" i="1"/>
  <c r="AD498" i="1"/>
  <c r="AD499" i="1"/>
  <c r="AD500" i="1"/>
  <c r="AD501" i="1"/>
  <c r="AD502" i="1"/>
  <c r="AD503" i="1"/>
  <c r="AD504" i="1"/>
  <c r="AD505" i="1"/>
  <c r="AD506" i="1"/>
  <c r="AD507" i="1"/>
  <c r="AD508" i="1"/>
  <c r="AD509" i="1"/>
  <c r="AD510" i="1"/>
  <c r="AD511" i="1"/>
  <c r="AD512" i="1"/>
  <c r="AD513" i="1"/>
  <c r="AD514" i="1"/>
  <c r="AD515" i="1"/>
  <c r="AD516" i="1"/>
  <c r="AD517" i="1"/>
  <c r="AD518" i="1"/>
  <c r="AD519" i="1"/>
  <c r="AD520" i="1"/>
  <c r="AD521" i="1"/>
  <c r="AD522" i="1"/>
  <c r="AD523" i="1"/>
  <c r="AD524" i="1"/>
  <c r="AD525" i="1"/>
  <c r="AD526" i="1"/>
  <c r="AD527" i="1"/>
  <c r="AD528" i="1"/>
  <c r="AD529" i="1"/>
  <c r="AD530" i="1"/>
  <c r="AD531" i="1"/>
  <c r="AD532" i="1"/>
  <c r="AD533" i="1"/>
  <c r="AD534" i="1"/>
  <c r="AD535" i="1"/>
  <c r="AD536" i="1"/>
  <c r="AD537" i="1"/>
  <c r="AD538" i="1"/>
  <c r="AD539" i="1"/>
  <c r="AD540" i="1"/>
  <c r="AD541" i="1"/>
  <c r="AD542" i="1"/>
  <c r="AD543" i="1"/>
  <c r="AD544" i="1"/>
  <c r="AD545" i="1"/>
  <c r="AD546" i="1"/>
  <c r="AD547" i="1"/>
  <c r="AD548" i="1"/>
  <c r="AD549" i="1"/>
  <c r="AD550" i="1"/>
  <c r="AD551" i="1"/>
  <c r="AD552" i="1"/>
  <c r="AD553" i="1"/>
  <c r="AD554" i="1"/>
  <c r="AD555" i="1"/>
  <c r="AD556" i="1"/>
  <c r="AD557" i="1"/>
  <c r="AD558" i="1"/>
  <c r="AD559" i="1"/>
  <c r="AD560" i="1"/>
  <c r="AD561" i="1"/>
  <c r="AD562" i="1"/>
  <c r="AD563" i="1"/>
  <c r="AD564" i="1"/>
  <c r="AD565" i="1"/>
  <c r="AD566" i="1"/>
  <c r="AD567" i="1"/>
  <c r="AD568" i="1"/>
  <c r="AD569" i="1"/>
  <c r="AD570" i="1"/>
  <c r="AD571" i="1"/>
  <c r="AD572" i="1"/>
  <c r="AD573" i="1"/>
  <c r="AD574" i="1"/>
  <c r="AD575" i="1"/>
  <c r="AD576" i="1"/>
  <c r="AD577" i="1"/>
  <c r="AD578" i="1"/>
  <c r="AD579" i="1"/>
  <c r="AD580" i="1"/>
  <c r="AD581" i="1"/>
  <c r="AD582" i="1"/>
  <c r="AD583" i="1"/>
  <c r="AD584" i="1"/>
  <c r="AD585" i="1"/>
  <c r="AD586" i="1"/>
  <c r="AD587" i="1"/>
  <c r="AD588" i="1"/>
  <c r="AD589" i="1"/>
  <c r="AD590" i="1"/>
  <c r="AD591" i="1"/>
  <c r="AD592" i="1"/>
  <c r="AD593" i="1"/>
  <c r="AD594" i="1"/>
  <c r="AD595" i="1"/>
  <c r="AD596" i="1"/>
  <c r="AD597" i="1"/>
  <c r="AD598" i="1"/>
  <c r="AD599" i="1"/>
  <c r="AD600" i="1"/>
  <c r="AD601" i="1"/>
  <c r="AD602" i="1"/>
  <c r="AD603" i="1"/>
  <c r="AD604" i="1"/>
  <c r="AD605" i="1"/>
  <c r="AD606" i="1"/>
  <c r="AD607" i="1"/>
  <c r="AD608" i="1"/>
  <c r="AD609" i="1"/>
  <c r="AD610" i="1"/>
  <c r="AD611" i="1"/>
  <c r="AD612" i="1"/>
  <c r="AD613" i="1"/>
  <c r="AD614" i="1"/>
  <c r="AD615" i="1"/>
  <c r="AD616" i="1"/>
  <c r="AD617" i="1"/>
  <c r="AD618" i="1"/>
  <c r="AD619" i="1"/>
  <c r="AD620" i="1"/>
  <c r="AD621" i="1"/>
  <c r="AD622" i="1"/>
  <c r="AD623" i="1"/>
  <c r="AD624" i="1"/>
  <c r="AD625" i="1"/>
  <c r="AD626" i="1"/>
  <c r="AD627" i="1"/>
  <c r="AD628" i="1"/>
  <c r="AD629" i="1"/>
  <c r="AD630" i="1"/>
  <c r="AD631" i="1"/>
  <c r="AD632" i="1"/>
  <c r="AD633" i="1"/>
  <c r="AD634" i="1"/>
  <c r="AD635" i="1"/>
  <c r="AD636" i="1"/>
  <c r="AD637" i="1"/>
  <c r="AD638" i="1"/>
  <c r="AD639" i="1"/>
  <c r="AD640" i="1"/>
  <c r="AD641" i="1"/>
  <c r="AD642" i="1"/>
  <c r="AD643" i="1"/>
  <c r="AD644" i="1"/>
  <c r="AD645" i="1"/>
  <c r="AD646" i="1"/>
  <c r="AD647" i="1"/>
  <c r="AD648" i="1"/>
  <c r="AD649" i="1"/>
  <c r="AD650" i="1"/>
  <c r="AD651" i="1"/>
  <c r="AD652" i="1"/>
  <c r="AD653" i="1"/>
  <c r="AD654" i="1"/>
  <c r="AD655" i="1"/>
  <c r="AD656" i="1"/>
  <c r="AD657" i="1"/>
  <c r="AD658" i="1"/>
  <c r="AD659" i="1"/>
  <c r="AD660" i="1"/>
  <c r="AD661" i="1"/>
  <c r="AD662" i="1"/>
  <c r="AD663" i="1"/>
  <c r="AD664" i="1"/>
  <c r="AD665" i="1"/>
  <c r="AD666" i="1"/>
  <c r="AD667" i="1"/>
  <c r="AD668" i="1"/>
  <c r="AD669" i="1"/>
  <c r="AD670" i="1"/>
  <c r="AD671" i="1"/>
  <c r="AD672" i="1"/>
  <c r="AD673" i="1"/>
  <c r="AD674" i="1"/>
  <c r="AD675" i="1"/>
  <c r="AD676" i="1"/>
  <c r="AD677" i="1"/>
  <c r="AD678" i="1"/>
  <c r="AD679" i="1"/>
  <c r="AD680" i="1"/>
  <c r="AD681" i="1"/>
  <c r="AD682" i="1"/>
  <c r="AD683" i="1"/>
  <c r="AD684" i="1"/>
  <c r="AD685" i="1"/>
  <c r="AD686" i="1"/>
  <c r="AD687" i="1"/>
  <c r="AD688" i="1"/>
  <c r="AD689" i="1"/>
  <c r="AD690" i="1"/>
  <c r="AD691" i="1"/>
  <c r="AD692" i="1"/>
  <c r="AD693" i="1"/>
  <c r="AD694" i="1"/>
  <c r="AD695" i="1"/>
  <c r="AD696" i="1"/>
  <c r="AD697" i="1"/>
  <c r="AD698" i="1"/>
  <c r="AD699" i="1"/>
  <c r="AD700" i="1"/>
  <c r="AD701" i="1"/>
  <c r="AD702" i="1"/>
  <c r="AD703" i="1"/>
  <c r="AD704" i="1"/>
  <c r="AD705" i="1"/>
  <c r="AD706" i="1"/>
  <c r="AD707" i="1"/>
  <c r="AD708" i="1"/>
  <c r="AD709" i="1"/>
  <c r="AD710" i="1"/>
  <c r="AD711" i="1"/>
  <c r="AD712" i="1"/>
  <c r="AD713" i="1"/>
  <c r="AD714" i="1"/>
  <c r="AD715" i="1"/>
  <c r="AD716" i="1"/>
  <c r="AD717" i="1"/>
  <c r="AD718" i="1"/>
  <c r="AD719" i="1"/>
  <c r="AD720" i="1"/>
  <c r="AD721" i="1"/>
  <c r="AD722" i="1"/>
  <c r="AD723" i="1"/>
  <c r="AD724" i="1"/>
  <c r="AD725" i="1"/>
  <c r="AD726" i="1"/>
  <c r="AD727" i="1"/>
  <c r="AD728" i="1"/>
  <c r="AD729" i="1"/>
  <c r="AD730" i="1"/>
  <c r="AD731" i="1"/>
  <c r="AD732" i="1"/>
  <c r="AD733" i="1"/>
  <c r="AD734" i="1"/>
  <c r="AD735" i="1"/>
  <c r="AD736" i="1"/>
  <c r="AD737" i="1"/>
  <c r="AD738" i="1"/>
  <c r="AD739" i="1"/>
  <c r="AD740" i="1"/>
  <c r="AD741" i="1"/>
  <c r="AD742" i="1"/>
  <c r="AD743" i="1"/>
  <c r="AD744" i="1"/>
  <c r="AD745" i="1"/>
  <c r="AD746" i="1"/>
  <c r="AD747" i="1"/>
  <c r="AD748" i="1"/>
  <c r="AD749" i="1"/>
  <c r="AD750" i="1"/>
  <c r="AD751" i="1"/>
  <c r="AD752" i="1"/>
  <c r="AD753" i="1"/>
  <c r="AD754" i="1"/>
  <c r="AD755" i="1"/>
  <c r="AD756" i="1"/>
  <c r="AD757" i="1"/>
  <c r="AD758" i="1"/>
  <c r="AD759" i="1"/>
  <c r="AD760" i="1"/>
  <c r="AD761" i="1"/>
  <c r="AD762" i="1"/>
  <c r="AD763" i="1"/>
  <c r="AD764" i="1"/>
  <c r="AD765" i="1"/>
  <c r="AD766" i="1"/>
  <c r="AD767" i="1"/>
  <c r="AD768" i="1"/>
  <c r="AD769" i="1"/>
  <c r="AD770" i="1"/>
  <c r="AD771" i="1"/>
  <c r="AD772" i="1"/>
  <c r="AD773" i="1"/>
  <c r="AD774" i="1"/>
  <c r="AD775" i="1"/>
  <c r="AD776" i="1"/>
  <c r="AD777" i="1"/>
  <c r="AD778" i="1"/>
  <c r="AD779" i="1"/>
  <c r="AD780" i="1"/>
  <c r="AD781" i="1"/>
  <c r="AD782" i="1"/>
  <c r="AD783" i="1"/>
  <c r="AD784" i="1"/>
  <c r="AD785" i="1"/>
  <c r="AD786" i="1"/>
  <c r="AD787" i="1"/>
  <c r="AD788" i="1"/>
  <c r="AD789" i="1"/>
  <c r="AD790" i="1"/>
  <c r="AD791" i="1"/>
  <c r="AD792" i="1"/>
  <c r="AD793" i="1"/>
  <c r="AD794" i="1"/>
  <c r="AD795" i="1"/>
  <c r="AD796" i="1"/>
  <c r="AD797" i="1"/>
  <c r="AD798" i="1"/>
  <c r="AD799" i="1"/>
  <c r="AD800" i="1"/>
  <c r="AD801" i="1"/>
  <c r="AD802" i="1"/>
  <c r="AD803" i="1"/>
  <c r="AD804" i="1"/>
  <c r="AD805" i="1"/>
  <c r="AD806" i="1"/>
  <c r="AD807" i="1"/>
  <c r="AD808" i="1"/>
  <c r="AD809" i="1"/>
  <c r="AD810" i="1"/>
  <c r="AD811" i="1"/>
  <c r="AD812" i="1"/>
  <c r="AD813" i="1"/>
  <c r="AD814" i="1"/>
  <c r="AD815" i="1"/>
  <c r="AD816" i="1"/>
  <c r="AD817" i="1"/>
  <c r="AD818" i="1"/>
  <c r="AD819" i="1"/>
  <c r="AD820" i="1"/>
  <c r="AD821" i="1"/>
  <c r="AD822" i="1"/>
  <c r="AD823" i="1"/>
  <c r="AD824" i="1"/>
  <c r="AD825" i="1"/>
  <c r="AD826" i="1"/>
  <c r="AD827" i="1"/>
  <c r="AD828" i="1"/>
  <c r="AD829" i="1"/>
  <c r="AD830" i="1"/>
  <c r="AD831" i="1"/>
  <c r="AD832" i="1"/>
  <c r="AD833" i="1"/>
  <c r="AD834" i="1"/>
  <c r="AD835" i="1"/>
  <c r="AD836" i="1"/>
  <c r="AD837" i="1"/>
  <c r="AD838" i="1"/>
  <c r="AD839" i="1"/>
  <c r="AD840" i="1"/>
  <c r="AD841" i="1"/>
  <c r="AD842" i="1"/>
  <c r="AD843" i="1"/>
  <c r="AD844" i="1"/>
  <c r="AD845" i="1"/>
  <c r="AD846" i="1"/>
  <c r="AD847" i="1"/>
  <c r="AD848" i="1"/>
  <c r="AD849" i="1"/>
  <c r="AD850" i="1"/>
  <c r="AD851" i="1"/>
  <c r="AD852" i="1"/>
  <c r="AD853" i="1"/>
  <c r="AD854" i="1"/>
  <c r="AD855" i="1"/>
  <c r="AD856" i="1"/>
  <c r="AD857" i="1"/>
  <c r="AD858" i="1"/>
  <c r="AD859" i="1"/>
  <c r="AD860" i="1"/>
  <c r="AD861" i="1"/>
  <c r="AD862" i="1"/>
  <c r="AD863" i="1"/>
  <c r="AD864" i="1"/>
  <c r="AD865" i="1"/>
  <c r="AD866" i="1"/>
  <c r="AD867" i="1"/>
  <c r="AD868" i="1"/>
  <c r="AD869" i="1"/>
  <c r="AD870" i="1"/>
  <c r="AD871" i="1"/>
  <c r="AD872" i="1"/>
  <c r="AD873" i="1"/>
  <c r="AD874" i="1"/>
  <c r="AD875" i="1"/>
  <c r="AD876" i="1"/>
  <c r="AD877" i="1"/>
  <c r="AD878" i="1"/>
  <c r="AD879" i="1"/>
  <c r="AD880" i="1"/>
  <c r="AD881" i="1"/>
  <c r="AD882" i="1"/>
  <c r="AD883" i="1"/>
  <c r="AD884" i="1"/>
  <c r="AD885" i="1"/>
  <c r="AD886" i="1"/>
  <c r="AD887" i="1"/>
  <c r="AD888" i="1"/>
  <c r="AD889" i="1"/>
  <c r="AD890" i="1"/>
  <c r="AD891" i="1"/>
  <c r="AD892" i="1"/>
  <c r="AD893" i="1"/>
  <c r="AD894" i="1"/>
  <c r="AD895" i="1"/>
  <c r="AD896" i="1"/>
  <c r="AD897" i="1"/>
  <c r="AD898" i="1"/>
  <c r="AD899" i="1"/>
  <c r="AD900" i="1"/>
  <c r="AD901" i="1"/>
  <c r="AD902" i="1"/>
  <c r="AD903" i="1"/>
  <c r="AD904" i="1"/>
  <c r="AD905" i="1"/>
  <c r="AD906" i="1"/>
  <c r="AD907" i="1"/>
  <c r="AD908" i="1"/>
  <c r="AD909" i="1"/>
  <c r="AD910" i="1"/>
  <c r="AD911" i="1"/>
  <c r="AD912" i="1"/>
  <c r="AD913" i="1"/>
  <c r="AD914" i="1"/>
  <c r="AD915" i="1"/>
  <c r="AD916" i="1"/>
  <c r="AD917" i="1"/>
  <c r="AD918" i="1"/>
  <c r="AD919" i="1"/>
  <c r="AD920" i="1"/>
  <c r="AD921" i="1"/>
  <c r="AD922" i="1"/>
  <c r="AD923" i="1"/>
  <c r="AD924" i="1"/>
  <c r="AD925" i="1"/>
  <c r="AD926" i="1"/>
  <c r="AD927" i="1"/>
  <c r="AD928" i="1"/>
  <c r="AD929" i="1"/>
  <c r="AD930" i="1"/>
  <c r="AD931" i="1"/>
  <c r="AD932" i="1"/>
  <c r="AD933" i="1"/>
  <c r="AD934" i="1"/>
  <c r="AD935" i="1"/>
  <c r="AD936" i="1"/>
  <c r="AD937" i="1"/>
  <c r="AD938" i="1"/>
  <c r="AD939" i="1"/>
  <c r="AD940" i="1"/>
  <c r="AD941" i="1"/>
  <c r="AD942" i="1"/>
  <c r="AD943" i="1"/>
  <c r="AD944" i="1"/>
  <c r="AD945" i="1"/>
  <c r="AD946" i="1"/>
  <c r="AD947" i="1"/>
  <c r="AD948" i="1"/>
  <c r="AD949" i="1"/>
  <c r="AD950" i="1"/>
  <c r="AD951" i="1"/>
  <c r="AD952" i="1"/>
  <c r="AD953" i="1"/>
  <c r="AD954" i="1"/>
  <c r="AD955" i="1"/>
  <c r="AD956" i="1"/>
  <c r="AD957" i="1"/>
  <c r="AD958" i="1"/>
  <c r="AD959" i="1"/>
  <c r="AD960" i="1"/>
  <c r="AD961" i="1"/>
  <c r="AD962" i="1"/>
  <c r="AD963" i="1"/>
  <c r="AD964" i="1"/>
  <c r="AD965" i="1"/>
  <c r="AD966" i="1"/>
  <c r="AD967" i="1"/>
  <c r="AD968" i="1"/>
  <c r="AD969" i="1"/>
  <c r="AD970" i="1"/>
  <c r="AD971" i="1"/>
  <c r="AD972" i="1"/>
  <c r="AD973" i="1"/>
  <c r="AD974" i="1"/>
  <c r="AD975" i="1"/>
  <c r="AD976" i="1"/>
  <c r="AD977" i="1"/>
  <c r="AD978" i="1"/>
  <c r="AD979" i="1"/>
  <c r="AD980" i="1"/>
  <c r="AD981" i="1"/>
  <c r="AD982" i="1"/>
  <c r="AD983" i="1"/>
  <c r="AD984" i="1"/>
  <c r="AD985" i="1"/>
  <c r="AD986" i="1"/>
  <c r="AD987" i="1"/>
  <c r="AD988" i="1"/>
  <c r="AD989" i="1"/>
  <c r="AD990" i="1"/>
  <c r="AD991" i="1"/>
  <c r="AD992" i="1"/>
  <c r="AD993" i="1"/>
  <c r="AD994" i="1"/>
  <c r="AD995" i="1"/>
  <c r="AD996" i="1"/>
  <c r="AD997" i="1"/>
  <c r="AD998" i="1"/>
  <c r="AD999" i="1"/>
  <c r="AD1000" i="1"/>
  <c r="AD1001" i="1"/>
  <c r="AD1002" i="1"/>
  <c r="AD1003" i="1"/>
  <c r="AD1004" i="1"/>
  <c r="AD1005" i="1"/>
  <c r="AD1006" i="1"/>
  <c r="AD1007" i="1"/>
  <c r="AD1008" i="1"/>
  <c r="AD1009" i="1"/>
  <c r="AD1010" i="1"/>
  <c r="AD1011" i="1"/>
  <c r="AD1012" i="1"/>
  <c r="AD1013" i="1"/>
  <c r="AD1014" i="1"/>
  <c r="AD1015" i="1"/>
  <c r="AD1016" i="1"/>
  <c r="AD1017" i="1"/>
  <c r="AD1018" i="1"/>
  <c r="AD1019" i="1"/>
  <c r="AD1020" i="1"/>
  <c r="AD1021" i="1"/>
  <c r="AD1022" i="1"/>
  <c r="AD1023" i="1"/>
  <c r="AD1024" i="1"/>
  <c r="AD1025" i="1"/>
  <c r="AD1026" i="1"/>
  <c r="AD1027" i="1"/>
  <c r="AD1028" i="1"/>
  <c r="AD1029" i="1"/>
  <c r="AD1030" i="1"/>
  <c r="AD1031" i="1"/>
  <c r="AD1032" i="1"/>
  <c r="AD1033" i="1"/>
  <c r="AD1034" i="1"/>
  <c r="AD1035" i="1"/>
  <c r="AD1036" i="1"/>
  <c r="AD1037" i="1"/>
  <c r="AD1038" i="1"/>
  <c r="AD1039" i="1"/>
  <c r="AD1040" i="1"/>
  <c r="AD1041" i="1"/>
  <c r="AD1042" i="1"/>
  <c r="AD1043" i="1"/>
  <c r="AD1044" i="1"/>
  <c r="AD1045" i="1"/>
  <c r="AD1046" i="1"/>
  <c r="AD1047" i="1"/>
  <c r="AD1048" i="1"/>
  <c r="AD1049" i="1"/>
  <c r="AD1050" i="1"/>
  <c r="AD1051" i="1"/>
  <c r="AD1052" i="1"/>
  <c r="AD1053" i="1"/>
  <c r="AD1054" i="1"/>
  <c r="AD1055" i="1"/>
  <c r="AD1056" i="1"/>
  <c r="AD1057" i="1"/>
  <c r="AD1058" i="1"/>
  <c r="AD1059" i="1"/>
  <c r="AD1060" i="1"/>
  <c r="AD1061" i="1"/>
  <c r="AD1062" i="1"/>
  <c r="AD1063" i="1"/>
  <c r="AD1064" i="1"/>
  <c r="AD1065" i="1"/>
  <c r="AD1066" i="1"/>
  <c r="AD1067" i="1"/>
  <c r="AD1068" i="1"/>
  <c r="AD1069" i="1"/>
  <c r="AD1070" i="1"/>
  <c r="AD1071" i="1"/>
  <c r="AD1072" i="1"/>
  <c r="AD1073" i="1"/>
  <c r="AD1074" i="1"/>
  <c r="AD1075" i="1"/>
  <c r="AD1076" i="1"/>
  <c r="AD1077" i="1"/>
  <c r="AD1078" i="1"/>
  <c r="AD1079" i="1"/>
  <c r="AD1080" i="1"/>
  <c r="AD1081" i="1"/>
  <c r="AD1082" i="1"/>
  <c r="AD1083" i="1"/>
  <c r="AD1084" i="1"/>
  <c r="AD1085" i="1"/>
  <c r="AD1086" i="1"/>
  <c r="AD1087" i="1"/>
  <c r="AD1088" i="1"/>
  <c r="AD1089" i="1"/>
  <c r="AD1090" i="1"/>
  <c r="AD1091" i="1"/>
  <c r="AD1092" i="1"/>
  <c r="AD1093" i="1"/>
  <c r="AD1094" i="1"/>
  <c r="AD1095" i="1"/>
  <c r="AD1096" i="1"/>
  <c r="AD1097" i="1"/>
  <c r="AD1098" i="1"/>
  <c r="AD1099" i="1"/>
  <c r="AD1100" i="1"/>
  <c r="AD1101" i="1"/>
  <c r="AD1102" i="1"/>
  <c r="AD1103" i="1"/>
  <c r="AD1104" i="1"/>
  <c r="AD1105" i="1"/>
  <c r="AD1106" i="1"/>
  <c r="AD1107" i="1"/>
  <c r="AD1108" i="1"/>
  <c r="AD1109" i="1"/>
  <c r="AD1110" i="1"/>
  <c r="AD1111" i="1"/>
  <c r="AD1112" i="1"/>
  <c r="AD1113" i="1"/>
  <c r="AD1114" i="1"/>
  <c r="AD1115" i="1"/>
  <c r="AD1116" i="1"/>
  <c r="AD1117" i="1"/>
  <c r="AD1118" i="1"/>
  <c r="AD1119" i="1"/>
  <c r="AD1120" i="1"/>
  <c r="AD1121" i="1"/>
  <c r="AD1122" i="1"/>
  <c r="AD1123" i="1"/>
  <c r="AD1124" i="1"/>
  <c r="AD1125" i="1"/>
  <c r="AD1126" i="1"/>
  <c r="AD1127" i="1"/>
  <c r="AD1128" i="1"/>
  <c r="AD1129" i="1"/>
  <c r="AD1130" i="1"/>
  <c r="AD1131" i="1"/>
  <c r="AD1132" i="1"/>
  <c r="AD1133" i="1"/>
  <c r="AD1134" i="1"/>
  <c r="AD1135" i="1"/>
  <c r="AD1136" i="1"/>
  <c r="AD1137" i="1"/>
  <c r="AD1138" i="1"/>
  <c r="AD1139" i="1"/>
  <c r="AD1140" i="1"/>
  <c r="AD1141" i="1"/>
  <c r="AD1142" i="1"/>
  <c r="AD1143" i="1"/>
  <c r="AD1144" i="1"/>
  <c r="AD1145" i="1"/>
  <c r="AD1146" i="1"/>
  <c r="AD1147" i="1"/>
  <c r="AD1148" i="1"/>
  <c r="AD1149" i="1"/>
  <c r="AD1150" i="1"/>
  <c r="AD1151" i="1"/>
  <c r="AD1152" i="1"/>
  <c r="AD1153" i="1"/>
  <c r="AD1154" i="1"/>
  <c r="AD1155" i="1"/>
  <c r="AD1156" i="1"/>
  <c r="AD1157" i="1"/>
  <c r="AD1158" i="1"/>
  <c r="AD1159" i="1"/>
  <c r="AD1160" i="1"/>
  <c r="AD1161" i="1"/>
  <c r="AD1162" i="1"/>
  <c r="AD1163" i="1"/>
  <c r="AD1164" i="1"/>
  <c r="AD1165" i="1"/>
  <c r="AD1166" i="1"/>
  <c r="AD1167" i="1"/>
  <c r="AD1168" i="1"/>
  <c r="AD1169" i="1"/>
  <c r="AD1170" i="1"/>
  <c r="AD1171" i="1"/>
  <c r="AD1172" i="1"/>
  <c r="AD1173" i="1"/>
  <c r="AD1174" i="1"/>
  <c r="AD1175" i="1"/>
  <c r="AD1176" i="1"/>
  <c r="AD1177" i="1"/>
  <c r="AD1178" i="1"/>
  <c r="AD1179" i="1"/>
  <c r="AD1180" i="1"/>
  <c r="AD1181" i="1"/>
  <c r="AD1182" i="1"/>
  <c r="AD1183" i="1"/>
  <c r="AD1184" i="1"/>
  <c r="AD1185" i="1"/>
  <c r="AD1186" i="1"/>
  <c r="AD1187" i="1"/>
  <c r="AD1188" i="1"/>
  <c r="AD1189" i="1"/>
  <c r="AD1190" i="1"/>
  <c r="AD1191" i="1"/>
  <c r="AD1192" i="1"/>
  <c r="AD1193" i="1"/>
  <c r="AD1194" i="1"/>
  <c r="AD1195" i="1"/>
  <c r="AD1196" i="1"/>
  <c r="AD1197" i="1"/>
  <c r="AD1198" i="1"/>
  <c r="AD1199" i="1"/>
  <c r="AD1200" i="1"/>
  <c r="AD1201" i="1"/>
  <c r="AD1202" i="1"/>
  <c r="AD1203" i="1"/>
  <c r="AD1204" i="1"/>
  <c r="AD1205" i="1"/>
  <c r="AD1206" i="1"/>
  <c r="AD1207" i="1"/>
  <c r="AD1208" i="1"/>
  <c r="AD1209" i="1"/>
  <c r="AD1210" i="1"/>
  <c r="AD1211" i="1"/>
  <c r="AD1212" i="1"/>
  <c r="AD1213" i="1"/>
  <c r="AD1214" i="1"/>
  <c r="AD1215" i="1"/>
  <c r="AD1216" i="1"/>
  <c r="AD1217" i="1"/>
  <c r="AD1218" i="1"/>
  <c r="AD1219" i="1"/>
  <c r="AD1220" i="1"/>
  <c r="AD1221" i="1"/>
  <c r="AD1222" i="1"/>
  <c r="AD1223" i="1"/>
  <c r="AD1224" i="1"/>
  <c r="AD1225" i="1"/>
  <c r="AD1226" i="1"/>
  <c r="AD1227" i="1"/>
  <c r="AD1228" i="1"/>
  <c r="AD1229" i="1"/>
  <c r="AD1230" i="1"/>
  <c r="AD1231" i="1"/>
  <c r="AD1232" i="1"/>
  <c r="AD1233" i="1"/>
  <c r="AD1234" i="1"/>
  <c r="AD1235" i="1"/>
  <c r="AD1236" i="1"/>
  <c r="AD1237" i="1"/>
  <c r="AD1238" i="1"/>
  <c r="AD1239" i="1"/>
  <c r="AD1240" i="1"/>
  <c r="AD1241" i="1"/>
  <c r="AD1242" i="1"/>
  <c r="AD1243" i="1"/>
  <c r="AD1244" i="1"/>
  <c r="AD1245" i="1"/>
  <c r="AD1246" i="1"/>
  <c r="AD1247" i="1"/>
  <c r="AD1248" i="1"/>
  <c r="AD1249" i="1"/>
  <c r="AD1250" i="1"/>
  <c r="AD1251" i="1"/>
  <c r="AD1252" i="1"/>
  <c r="AD1253" i="1"/>
  <c r="AD1254" i="1"/>
  <c r="AD1255" i="1"/>
  <c r="AD1256" i="1"/>
  <c r="AD1257" i="1"/>
  <c r="AD1258" i="1"/>
  <c r="AD1259" i="1"/>
  <c r="AD1260" i="1"/>
  <c r="AD1261" i="1"/>
  <c r="AD1262" i="1"/>
  <c r="AD1263" i="1"/>
  <c r="AD1264" i="1"/>
  <c r="AD1265" i="1"/>
  <c r="AD1266" i="1"/>
  <c r="AD1267" i="1"/>
  <c r="AD1268" i="1"/>
  <c r="AD1269" i="1"/>
  <c r="AD1270" i="1"/>
  <c r="AD1271" i="1"/>
  <c r="AD1272" i="1"/>
  <c r="AD1273" i="1"/>
  <c r="AD1274" i="1"/>
  <c r="AD1275" i="1"/>
  <c r="AD1276" i="1"/>
  <c r="AD1277" i="1"/>
  <c r="AD1278" i="1"/>
  <c r="AD1279" i="1"/>
  <c r="AD1280" i="1"/>
  <c r="AD1281" i="1"/>
  <c r="AD1282" i="1"/>
  <c r="AD1283" i="1"/>
  <c r="AD1284" i="1"/>
  <c r="AD1285" i="1"/>
  <c r="AD1286" i="1"/>
  <c r="AD1287" i="1"/>
  <c r="AD1288" i="1"/>
  <c r="AD1289" i="1"/>
  <c r="AD1290" i="1"/>
  <c r="AD1291" i="1"/>
  <c r="AD1292" i="1"/>
  <c r="AD1293" i="1"/>
  <c r="AD1294" i="1"/>
  <c r="AD1295" i="1"/>
  <c r="AD1296" i="1"/>
  <c r="AD1297" i="1"/>
  <c r="AD1298" i="1"/>
  <c r="AD1299" i="1"/>
  <c r="AD1300" i="1"/>
  <c r="AD1301" i="1"/>
  <c r="AD1302" i="1"/>
  <c r="AD1303" i="1"/>
  <c r="AD1304" i="1"/>
  <c r="AD1305" i="1"/>
  <c r="AD1306" i="1"/>
  <c r="AD1307" i="1"/>
  <c r="AD1308" i="1"/>
  <c r="AD1309" i="1"/>
  <c r="AD1310" i="1"/>
  <c r="AD1311" i="1"/>
  <c r="AD1312" i="1"/>
  <c r="AD1313" i="1"/>
  <c r="AD1314" i="1"/>
  <c r="AD1315" i="1"/>
  <c r="AD1316" i="1"/>
  <c r="AD1317" i="1"/>
  <c r="AD1318" i="1"/>
  <c r="AD1319" i="1"/>
  <c r="AD1320" i="1"/>
  <c r="AD1321" i="1"/>
  <c r="AD1322" i="1"/>
  <c r="AD1323" i="1"/>
  <c r="AD1324" i="1"/>
  <c r="AD1325" i="1"/>
  <c r="AD1326" i="1"/>
  <c r="AD1327" i="1"/>
  <c r="AD1328" i="1"/>
  <c r="AD1329" i="1"/>
  <c r="AD1330" i="1"/>
  <c r="AD1331" i="1"/>
  <c r="AD1332" i="1"/>
  <c r="AD1333" i="1"/>
  <c r="AD1334" i="1"/>
  <c r="AD1335" i="1"/>
  <c r="AD1336" i="1"/>
  <c r="AD1337" i="1"/>
  <c r="AD1338" i="1"/>
  <c r="AD1339" i="1"/>
  <c r="AD1340" i="1"/>
  <c r="AD1341" i="1"/>
  <c r="AD1342" i="1"/>
  <c r="AD1343" i="1"/>
  <c r="AD1344" i="1"/>
  <c r="AD1345" i="1"/>
  <c r="AD1346" i="1"/>
  <c r="AD1347" i="1"/>
  <c r="AD1348" i="1"/>
  <c r="AD1349" i="1"/>
  <c r="AD1350" i="1"/>
  <c r="AD1351" i="1"/>
  <c r="AD1352" i="1"/>
  <c r="AD1353" i="1"/>
  <c r="AD1354" i="1"/>
  <c r="AD1355" i="1"/>
  <c r="AD1356" i="1"/>
  <c r="AD1357" i="1"/>
  <c r="AD1358" i="1"/>
  <c r="AD1359" i="1"/>
  <c r="AD1360" i="1"/>
  <c r="AD2" i="1"/>
  <c r="AC727" i="1"/>
  <c r="AC728" i="1"/>
  <c r="AC729" i="1"/>
  <c r="AC730" i="1"/>
  <c r="AC731" i="1"/>
  <c r="AC732" i="1"/>
  <c r="AC733" i="1"/>
  <c r="AC734" i="1"/>
  <c r="AC735" i="1"/>
  <c r="AC736" i="1"/>
  <c r="AC737" i="1"/>
  <c r="AC738" i="1"/>
  <c r="AC739" i="1"/>
  <c r="AC740" i="1"/>
  <c r="AC741" i="1"/>
  <c r="AC742" i="1"/>
  <c r="AC743" i="1"/>
  <c r="AC744" i="1"/>
  <c r="AC745" i="1"/>
  <c r="AC746" i="1"/>
  <c r="AC747" i="1"/>
  <c r="AC748" i="1"/>
  <c r="AC749" i="1"/>
  <c r="AC750" i="1"/>
  <c r="AC751" i="1"/>
  <c r="AC752" i="1"/>
  <c r="AC753" i="1"/>
  <c r="AC754" i="1"/>
  <c r="AC755" i="1"/>
  <c r="AC756" i="1"/>
  <c r="AC757" i="1"/>
  <c r="AC758" i="1"/>
  <c r="AC759" i="1"/>
  <c r="AC760" i="1"/>
  <c r="AC761" i="1"/>
  <c r="AC762" i="1"/>
  <c r="AC763" i="1"/>
  <c r="AC764" i="1"/>
  <c r="AC765" i="1"/>
  <c r="AC766" i="1"/>
  <c r="AC767" i="1"/>
  <c r="AC768" i="1"/>
  <c r="AC769" i="1"/>
  <c r="AC770" i="1"/>
  <c r="AC771" i="1"/>
  <c r="AC772" i="1"/>
  <c r="AC773" i="1"/>
  <c r="AC774" i="1"/>
  <c r="AC775" i="1"/>
  <c r="AC776" i="1"/>
  <c r="AC777" i="1"/>
  <c r="AC778" i="1"/>
  <c r="AC779" i="1"/>
  <c r="AC780" i="1"/>
  <c r="AC781" i="1"/>
  <c r="AC782" i="1"/>
  <c r="AC783" i="1"/>
  <c r="AC784" i="1"/>
  <c r="AC785" i="1"/>
  <c r="AC786" i="1"/>
  <c r="AC787" i="1"/>
  <c r="AC788" i="1"/>
  <c r="AC789" i="1"/>
  <c r="AC790" i="1"/>
  <c r="AC791" i="1"/>
  <c r="AC792" i="1"/>
  <c r="AC793" i="1"/>
  <c r="AC794" i="1"/>
  <c r="AC795" i="1"/>
  <c r="AC796" i="1"/>
  <c r="AC797" i="1"/>
  <c r="AC798" i="1"/>
  <c r="AC799" i="1"/>
  <c r="AC800" i="1"/>
  <c r="AC801" i="1"/>
  <c r="AC802" i="1"/>
  <c r="AC803" i="1"/>
  <c r="AC804" i="1"/>
  <c r="AC805" i="1"/>
  <c r="AC806" i="1"/>
  <c r="AC807" i="1"/>
  <c r="AC808" i="1"/>
  <c r="AC809" i="1"/>
  <c r="AC810" i="1"/>
  <c r="AC811" i="1"/>
  <c r="AC812" i="1"/>
  <c r="AC813" i="1"/>
  <c r="AC814" i="1"/>
  <c r="AC815" i="1"/>
  <c r="AC816" i="1"/>
  <c r="AC817" i="1"/>
  <c r="AC818" i="1"/>
  <c r="AC819" i="1"/>
  <c r="AC820" i="1"/>
  <c r="AC821" i="1"/>
  <c r="AC822" i="1"/>
  <c r="AC823" i="1"/>
  <c r="AC824" i="1"/>
  <c r="AC825" i="1"/>
  <c r="AC826" i="1"/>
  <c r="AC827" i="1"/>
  <c r="AC828" i="1"/>
  <c r="AC829" i="1"/>
  <c r="AC830" i="1"/>
  <c r="AC831" i="1"/>
  <c r="AC832" i="1"/>
  <c r="AC833" i="1"/>
  <c r="AC834" i="1"/>
  <c r="AC835" i="1"/>
  <c r="AC836" i="1"/>
  <c r="AC837" i="1"/>
  <c r="AC838" i="1"/>
  <c r="AC839" i="1"/>
  <c r="AC840" i="1"/>
  <c r="AC841" i="1"/>
  <c r="AC842" i="1"/>
  <c r="AC843" i="1"/>
  <c r="AC844" i="1"/>
  <c r="AC845" i="1"/>
  <c r="AC846" i="1"/>
  <c r="AC847" i="1"/>
  <c r="AC848" i="1"/>
  <c r="AC849" i="1"/>
  <c r="AC850" i="1"/>
  <c r="AC851" i="1"/>
  <c r="AC852" i="1"/>
  <c r="AC853" i="1"/>
  <c r="AC854" i="1"/>
  <c r="AC855" i="1"/>
  <c r="AC856" i="1"/>
  <c r="AC857" i="1"/>
  <c r="AC858" i="1"/>
  <c r="AC859" i="1"/>
  <c r="AC860" i="1"/>
  <c r="AC861" i="1"/>
  <c r="AC862" i="1"/>
  <c r="AC863" i="1"/>
  <c r="AC864" i="1"/>
  <c r="AC865" i="1"/>
  <c r="AC866" i="1"/>
  <c r="AC867" i="1"/>
  <c r="AC868" i="1"/>
  <c r="AC869" i="1"/>
  <c r="AC870" i="1"/>
  <c r="AC871" i="1"/>
  <c r="AC872" i="1"/>
  <c r="AC873" i="1"/>
  <c r="AC874" i="1"/>
  <c r="AC875" i="1"/>
  <c r="AC876" i="1"/>
  <c r="AC877" i="1"/>
  <c r="AC878" i="1"/>
  <c r="AC879" i="1"/>
  <c r="AC880" i="1"/>
  <c r="AC881" i="1"/>
  <c r="AC882" i="1"/>
  <c r="AC883" i="1"/>
  <c r="AC884" i="1"/>
  <c r="AC885" i="1"/>
  <c r="AC886" i="1"/>
  <c r="AC887" i="1"/>
  <c r="AC888" i="1"/>
  <c r="AC889" i="1"/>
  <c r="AC890" i="1"/>
  <c r="AC891" i="1"/>
  <c r="AC892" i="1"/>
  <c r="AC893" i="1"/>
  <c r="AC894" i="1"/>
  <c r="AC895" i="1"/>
  <c r="AC896" i="1"/>
  <c r="AC897" i="1"/>
  <c r="AC898" i="1"/>
  <c r="AC899" i="1"/>
  <c r="AC900" i="1"/>
  <c r="AC901" i="1"/>
  <c r="AC902" i="1"/>
  <c r="AC903" i="1"/>
  <c r="AC904" i="1"/>
  <c r="AC905" i="1"/>
  <c r="AC906" i="1"/>
  <c r="AC907" i="1"/>
  <c r="AC908" i="1"/>
  <c r="AC909" i="1"/>
  <c r="AC910" i="1"/>
  <c r="AC911" i="1"/>
  <c r="AC912" i="1"/>
  <c r="AC913" i="1"/>
  <c r="AC914" i="1"/>
  <c r="AC915" i="1"/>
  <c r="AC916" i="1"/>
  <c r="AC917" i="1"/>
  <c r="AC918" i="1"/>
  <c r="AC919" i="1"/>
  <c r="AC920" i="1"/>
  <c r="AC921" i="1"/>
  <c r="AC922" i="1"/>
  <c r="AC923" i="1"/>
  <c r="AC924" i="1"/>
  <c r="AC925" i="1"/>
  <c r="AC926" i="1"/>
  <c r="AC927" i="1"/>
  <c r="AC928" i="1"/>
  <c r="AC929" i="1"/>
  <c r="AC930" i="1"/>
  <c r="AC931" i="1"/>
  <c r="AC932" i="1"/>
  <c r="AC933" i="1"/>
  <c r="AC934" i="1"/>
  <c r="AC935" i="1"/>
  <c r="AC936" i="1"/>
  <c r="AC937" i="1"/>
  <c r="AC938" i="1"/>
  <c r="AC939" i="1"/>
  <c r="AC940" i="1"/>
  <c r="AC941" i="1"/>
  <c r="AC942" i="1"/>
  <c r="AC943" i="1"/>
  <c r="AC944" i="1"/>
  <c r="AC945" i="1"/>
  <c r="AC946" i="1"/>
  <c r="AC947" i="1"/>
  <c r="AC948" i="1"/>
  <c r="AC949" i="1"/>
  <c r="AC950" i="1"/>
  <c r="AC951" i="1"/>
  <c r="AC952" i="1"/>
  <c r="AC953" i="1"/>
  <c r="AC954" i="1"/>
  <c r="AC955" i="1"/>
  <c r="AC956" i="1"/>
  <c r="AC957" i="1"/>
  <c r="AC958" i="1"/>
  <c r="AC959" i="1"/>
  <c r="AC960" i="1"/>
  <c r="AC961" i="1"/>
  <c r="AC962" i="1"/>
  <c r="AC963" i="1"/>
  <c r="AC964" i="1"/>
  <c r="AC965" i="1"/>
  <c r="AC966" i="1"/>
  <c r="AC967" i="1"/>
  <c r="AC968" i="1"/>
  <c r="AC969" i="1"/>
  <c r="AC970" i="1"/>
  <c r="AC971" i="1"/>
  <c r="AC972" i="1"/>
  <c r="AC973" i="1"/>
  <c r="AC974" i="1"/>
  <c r="AC975" i="1"/>
  <c r="AC976" i="1"/>
  <c r="AC977" i="1"/>
  <c r="AC978" i="1"/>
  <c r="AC979" i="1"/>
  <c r="AC980" i="1"/>
  <c r="AC981" i="1"/>
  <c r="AC982" i="1"/>
  <c r="AC983" i="1"/>
  <c r="AC984" i="1"/>
  <c r="AC985" i="1"/>
  <c r="AC986" i="1"/>
  <c r="AC987" i="1"/>
  <c r="AC988" i="1"/>
  <c r="AC989" i="1"/>
  <c r="AC990" i="1"/>
  <c r="AC991" i="1"/>
  <c r="AC992" i="1"/>
  <c r="AC993" i="1"/>
  <c r="AC994" i="1"/>
  <c r="AC995" i="1"/>
  <c r="AC996" i="1"/>
  <c r="AC997" i="1"/>
  <c r="AC998" i="1"/>
  <c r="AC999" i="1"/>
  <c r="AC1000" i="1"/>
  <c r="AC1001" i="1"/>
  <c r="AC1002" i="1"/>
  <c r="AC1003" i="1"/>
  <c r="AC1004" i="1"/>
  <c r="AC1005" i="1"/>
  <c r="AC1006" i="1"/>
  <c r="AC1007" i="1"/>
  <c r="AC1008" i="1"/>
  <c r="AC1009" i="1"/>
  <c r="AC1010" i="1"/>
  <c r="AC1011" i="1"/>
  <c r="AC1012" i="1"/>
  <c r="AC1013" i="1"/>
  <c r="AC1014" i="1"/>
  <c r="AC1015" i="1"/>
  <c r="AC1016" i="1"/>
  <c r="AC1017" i="1"/>
  <c r="AC1018" i="1"/>
  <c r="AC1019" i="1"/>
  <c r="AC1020" i="1"/>
  <c r="AC1021" i="1"/>
  <c r="AC1022" i="1"/>
  <c r="AC1023" i="1"/>
  <c r="AC1024" i="1"/>
  <c r="AC1025" i="1"/>
  <c r="AC1026" i="1"/>
  <c r="AC1027" i="1"/>
  <c r="AC1028" i="1"/>
  <c r="AC1029" i="1"/>
  <c r="AC1030" i="1"/>
  <c r="AC1031" i="1"/>
  <c r="AC1032" i="1"/>
  <c r="AC1033" i="1"/>
  <c r="AC1034" i="1"/>
  <c r="AC1035" i="1"/>
  <c r="AC1036" i="1"/>
  <c r="AC1037" i="1"/>
  <c r="AC1038" i="1"/>
  <c r="AC1039" i="1"/>
  <c r="AC1040" i="1"/>
  <c r="AC1041" i="1"/>
  <c r="AC1042" i="1"/>
  <c r="AC1043" i="1"/>
  <c r="AC1044" i="1"/>
  <c r="AC1045" i="1"/>
  <c r="AC1046" i="1"/>
  <c r="AC1047" i="1"/>
  <c r="AC1048" i="1"/>
  <c r="AC1049" i="1"/>
  <c r="AC1050" i="1"/>
  <c r="AC1051" i="1"/>
  <c r="AC1052" i="1"/>
  <c r="AC1053" i="1"/>
  <c r="AC1054" i="1"/>
  <c r="AC1055" i="1"/>
  <c r="AC1056" i="1"/>
  <c r="AC1057" i="1"/>
  <c r="AC1058" i="1"/>
  <c r="AC1059" i="1"/>
  <c r="AC1060" i="1"/>
  <c r="AC1061" i="1"/>
  <c r="AC1062" i="1"/>
  <c r="AC1063" i="1"/>
  <c r="AC1064" i="1"/>
  <c r="AC1065" i="1"/>
  <c r="AC1066" i="1"/>
  <c r="AC1067" i="1"/>
  <c r="AC1068" i="1"/>
  <c r="AC1069" i="1"/>
  <c r="AC1070" i="1"/>
  <c r="AC1071" i="1"/>
  <c r="AC1072" i="1"/>
  <c r="AC1073" i="1"/>
  <c r="AC1074" i="1"/>
  <c r="AC1075" i="1"/>
  <c r="AC1076" i="1"/>
  <c r="AC1077" i="1"/>
  <c r="AC1078" i="1"/>
  <c r="AC1079" i="1"/>
  <c r="AC1080" i="1"/>
  <c r="AC1081" i="1"/>
  <c r="AC1082" i="1"/>
  <c r="AC1083" i="1"/>
  <c r="AC1084" i="1"/>
  <c r="AC1085" i="1"/>
  <c r="AC1086" i="1"/>
  <c r="AC1087" i="1"/>
  <c r="AC1088" i="1"/>
  <c r="AC1089" i="1"/>
  <c r="AC1090" i="1"/>
  <c r="AC1091" i="1"/>
  <c r="AC1092" i="1"/>
  <c r="AC1093" i="1"/>
  <c r="AC1094" i="1"/>
  <c r="AC1095" i="1"/>
  <c r="AC1096" i="1"/>
  <c r="AC1097" i="1"/>
  <c r="AC1098" i="1"/>
  <c r="AC1099" i="1"/>
  <c r="AC1100" i="1"/>
  <c r="AC1101" i="1"/>
  <c r="AC1102" i="1"/>
  <c r="AC1103" i="1"/>
  <c r="AC1104" i="1"/>
  <c r="AC1105" i="1"/>
  <c r="AC1106" i="1"/>
  <c r="AC1107" i="1"/>
  <c r="AC1108" i="1"/>
  <c r="AC1109" i="1"/>
  <c r="AC1110" i="1"/>
  <c r="AC1111" i="1"/>
  <c r="AC1112" i="1"/>
  <c r="AC1113" i="1"/>
  <c r="AC1114" i="1"/>
  <c r="AC1115" i="1"/>
  <c r="AC1116" i="1"/>
  <c r="AC1117" i="1"/>
  <c r="AC1118" i="1"/>
  <c r="AC1119" i="1"/>
  <c r="AC1120" i="1"/>
  <c r="AC1121" i="1"/>
  <c r="AC1122" i="1"/>
  <c r="AC1123" i="1"/>
  <c r="AC1124" i="1"/>
  <c r="AC1125" i="1"/>
  <c r="AC1126" i="1"/>
  <c r="AC1127" i="1"/>
  <c r="AC1128" i="1"/>
  <c r="AC1129" i="1"/>
  <c r="AC1130" i="1"/>
  <c r="AC1131" i="1"/>
  <c r="AC1132" i="1"/>
  <c r="AC1133" i="1"/>
  <c r="AC1134" i="1"/>
  <c r="AC1135" i="1"/>
  <c r="AC1136" i="1"/>
  <c r="AC1137" i="1"/>
  <c r="AC1138" i="1"/>
  <c r="AC1139" i="1"/>
  <c r="AC1140" i="1"/>
  <c r="AC1141" i="1"/>
  <c r="AC1142" i="1"/>
  <c r="AC1143" i="1"/>
  <c r="AC1144" i="1"/>
  <c r="AC1145" i="1"/>
  <c r="AC1146" i="1"/>
  <c r="AC1147" i="1"/>
  <c r="AC1148" i="1"/>
  <c r="AC1149" i="1"/>
  <c r="AC1150" i="1"/>
  <c r="AC1151" i="1"/>
  <c r="AC1152" i="1"/>
  <c r="AC1153" i="1"/>
  <c r="AC1154" i="1"/>
  <c r="AC1155" i="1"/>
  <c r="AC1156" i="1"/>
  <c r="AC1157" i="1"/>
  <c r="AC1158" i="1"/>
  <c r="AC1159" i="1"/>
  <c r="AC1160" i="1"/>
  <c r="AC1161" i="1"/>
  <c r="AC1162" i="1"/>
  <c r="AC1163" i="1"/>
  <c r="AC1164" i="1"/>
  <c r="AC1165" i="1"/>
  <c r="AC1166" i="1"/>
  <c r="AC1167" i="1"/>
  <c r="AC1168" i="1"/>
  <c r="AC1169" i="1"/>
  <c r="AC1170" i="1"/>
  <c r="AC1171" i="1"/>
  <c r="AC1172" i="1"/>
  <c r="AC1173" i="1"/>
  <c r="AC1174" i="1"/>
  <c r="AC1175" i="1"/>
  <c r="AC1176" i="1"/>
  <c r="AC1177" i="1"/>
  <c r="AC1178" i="1"/>
  <c r="AC1179" i="1"/>
  <c r="AC1180" i="1"/>
  <c r="AC1181" i="1"/>
  <c r="AC1182" i="1"/>
  <c r="AC1183" i="1"/>
  <c r="AC1184" i="1"/>
  <c r="AC1185" i="1"/>
  <c r="AC1186" i="1"/>
  <c r="AC1187" i="1"/>
  <c r="AC1188" i="1"/>
  <c r="AC1189" i="1"/>
  <c r="AC1190" i="1"/>
  <c r="AC1191" i="1"/>
  <c r="AC1192" i="1"/>
  <c r="AC1193" i="1"/>
  <c r="AC1194" i="1"/>
  <c r="AC1195" i="1"/>
  <c r="AC1196" i="1"/>
  <c r="AC1197" i="1"/>
  <c r="AC1198" i="1"/>
  <c r="AC1199" i="1"/>
  <c r="AC1200" i="1"/>
  <c r="AC1201" i="1"/>
  <c r="AC1202" i="1"/>
  <c r="AC1203" i="1"/>
  <c r="AC1204" i="1"/>
  <c r="AC1205" i="1"/>
  <c r="AC1206" i="1"/>
  <c r="AC1207" i="1"/>
  <c r="AC1208" i="1"/>
  <c r="AC1209" i="1"/>
  <c r="AC1210" i="1"/>
  <c r="AC1211" i="1"/>
  <c r="AC1212" i="1"/>
  <c r="AC1213" i="1"/>
  <c r="AC1214" i="1"/>
  <c r="AC1215" i="1"/>
  <c r="AC1216" i="1"/>
  <c r="AC1217" i="1"/>
  <c r="AC1218" i="1"/>
  <c r="AC1219" i="1"/>
  <c r="AC1220" i="1"/>
  <c r="AC1221" i="1"/>
  <c r="AC1222" i="1"/>
  <c r="AC1223" i="1"/>
  <c r="AC1224" i="1"/>
  <c r="AC1225" i="1"/>
  <c r="AC1226" i="1"/>
  <c r="AC1227" i="1"/>
  <c r="AC1228" i="1"/>
  <c r="AC1229" i="1"/>
  <c r="AC1230" i="1"/>
  <c r="AC1231" i="1"/>
  <c r="AC1232" i="1"/>
  <c r="AC1233" i="1"/>
  <c r="AC1234" i="1"/>
  <c r="AC1235" i="1"/>
  <c r="AC1236" i="1"/>
  <c r="AC1237" i="1"/>
  <c r="AC1238" i="1"/>
  <c r="AC1239" i="1"/>
  <c r="AC1240" i="1"/>
  <c r="AC1241" i="1"/>
  <c r="AC1242" i="1"/>
  <c r="AC1243" i="1"/>
  <c r="AC1244" i="1"/>
  <c r="AC1245" i="1"/>
  <c r="AC1246" i="1"/>
  <c r="AC1247" i="1"/>
  <c r="AC1248" i="1"/>
  <c r="AC1249" i="1"/>
  <c r="AC1250" i="1"/>
  <c r="AC1251" i="1"/>
  <c r="AC1252" i="1"/>
  <c r="AC1253" i="1"/>
  <c r="AC1254" i="1"/>
  <c r="AC1255" i="1"/>
  <c r="AC1256" i="1"/>
  <c r="AC1257" i="1"/>
  <c r="AC1258" i="1"/>
  <c r="AC1259" i="1"/>
  <c r="AC1260" i="1"/>
  <c r="AC1261" i="1"/>
  <c r="AC1262" i="1"/>
  <c r="AC1263" i="1"/>
  <c r="AC1264" i="1"/>
  <c r="AC1265" i="1"/>
  <c r="AC1266" i="1"/>
  <c r="AC1267" i="1"/>
  <c r="AC1268" i="1"/>
  <c r="AC1269" i="1"/>
  <c r="AC1270" i="1"/>
  <c r="AC1271" i="1"/>
  <c r="AC1272" i="1"/>
  <c r="AC1273" i="1"/>
  <c r="AC1274" i="1"/>
  <c r="AC1275" i="1"/>
  <c r="AC1276" i="1"/>
  <c r="AC1277" i="1"/>
  <c r="AC1278" i="1"/>
  <c r="AC1279" i="1"/>
  <c r="AC1280" i="1"/>
  <c r="AC1281" i="1"/>
  <c r="AC1282" i="1"/>
  <c r="AC1283" i="1"/>
  <c r="AC1284" i="1"/>
  <c r="AC1285" i="1"/>
  <c r="AC1286" i="1"/>
  <c r="AC1287" i="1"/>
  <c r="AC1288" i="1"/>
  <c r="AC1289" i="1"/>
  <c r="AC1290" i="1"/>
  <c r="AC1291" i="1"/>
  <c r="AC1292" i="1"/>
  <c r="AC1293" i="1"/>
  <c r="AC1294" i="1"/>
  <c r="AC1295" i="1"/>
  <c r="AC1296" i="1"/>
  <c r="AC1297" i="1"/>
  <c r="AC1298" i="1"/>
  <c r="AC1299" i="1"/>
  <c r="AC1300" i="1"/>
  <c r="AC1301" i="1"/>
  <c r="AC1302" i="1"/>
  <c r="AC1303" i="1"/>
  <c r="AC1304" i="1"/>
  <c r="AC1305" i="1"/>
  <c r="AC1306" i="1"/>
  <c r="AC1307" i="1"/>
  <c r="AC1308" i="1"/>
  <c r="AC1309" i="1"/>
  <c r="AC1310" i="1"/>
  <c r="AC1311" i="1"/>
  <c r="AC1312" i="1"/>
  <c r="AC1313" i="1"/>
  <c r="AC1314" i="1"/>
  <c r="AC1315" i="1"/>
  <c r="AC1316" i="1"/>
  <c r="AC1317" i="1"/>
  <c r="AC1318" i="1"/>
  <c r="AC1319" i="1"/>
  <c r="AC1320" i="1"/>
  <c r="AC1321" i="1"/>
  <c r="AC1322" i="1"/>
  <c r="AC1323" i="1"/>
  <c r="AC1324" i="1"/>
  <c r="AC1325" i="1"/>
  <c r="AC1326" i="1"/>
  <c r="AC1327" i="1"/>
  <c r="AC1328" i="1"/>
  <c r="AC1329" i="1"/>
  <c r="AC1330" i="1"/>
  <c r="AC1331" i="1"/>
  <c r="AC1332" i="1"/>
  <c r="AC1333" i="1"/>
  <c r="AC1334" i="1"/>
  <c r="AC1335" i="1"/>
  <c r="AC1336" i="1"/>
  <c r="AC1337" i="1"/>
  <c r="AC1338" i="1"/>
  <c r="AC1339" i="1"/>
  <c r="AC1340" i="1"/>
  <c r="AC1341" i="1"/>
  <c r="AC1342" i="1"/>
  <c r="AC1343" i="1"/>
  <c r="AC1344" i="1"/>
  <c r="AC1345" i="1"/>
  <c r="AC1346" i="1"/>
  <c r="AC1347" i="1"/>
  <c r="AC1348" i="1"/>
  <c r="AC1349" i="1"/>
  <c r="AC1350" i="1"/>
  <c r="AC1351" i="1"/>
  <c r="AC1352" i="1"/>
  <c r="AC1353" i="1"/>
  <c r="AC1354" i="1"/>
  <c r="AC1355" i="1"/>
  <c r="AC1356" i="1"/>
  <c r="AC1357" i="1"/>
  <c r="AC1358" i="1"/>
  <c r="AC1359" i="1"/>
  <c r="AC1360" i="1"/>
</calcChain>
</file>

<file path=xl/sharedStrings.xml><?xml version="1.0" encoding="utf-8"?>
<sst xmlns="http://schemas.openxmlformats.org/spreadsheetml/2006/main" count="51108" uniqueCount="2286">
  <si>
    <t>Organismo</t>
  </si>
  <si>
    <t>Unidad de Compra</t>
  </si>
  <si>
    <t>ID Proyecto</t>
  </si>
  <si>
    <t>Tipo Proyecto</t>
  </si>
  <si>
    <t>Estado Proyecto</t>
  </si>
  <si>
    <t>Código presupuestario</t>
  </si>
  <si>
    <t>Nombre Proyecto</t>
  </si>
  <si>
    <t>Descripción Proyecto</t>
  </si>
  <si>
    <t>Cantidad de Ítems</t>
  </si>
  <si>
    <t>Nombre ítem</t>
  </si>
  <si>
    <t>Tipo compra</t>
  </si>
  <si>
    <t>Cantidad Productos</t>
  </si>
  <si>
    <t>Monto Unitario Ítem</t>
  </si>
  <si>
    <t>Monto Total Ítem Año 2026</t>
  </si>
  <si>
    <t>Cantidad OC</t>
  </si>
  <si>
    <t>Meses envío OC</t>
  </si>
  <si>
    <t>Nombre responsable</t>
  </si>
  <si>
    <t>Cargo responsable</t>
  </si>
  <si>
    <t>Teléfono responsable</t>
  </si>
  <si>
    <t>Correo responsable</t>
  </si>
  <si>
    <t>Fecha de Inicio Compra</t>
  </si>
  <si>
    <t>Fecha Publicación PAC 2026</t>
  </si>
  <si>
    <t>Cantidad OC Asociadas Ítem 2026</t>
  </si>
  <si>
    <t>OC Asociada Item 2026</t>
  </si>
  <si>
    <t>Item De Arraste</t>
  </si>
  <si>
    <t>Monto De Arrastre</t>
  </si>
  <si>
    <t>Meses envio OC de Arraste</t>
  </si>
  <si>
    <t>SERVICIO DE SALUD OSORNO</t>
  </si>
  <si>
    <t>Bienes y Servicios</t>
  </si>
  <si>
    <t>1057532-156-PC24</t>
  </si>
  <si>
    <t>Proyecto operacional</t>
  </si>
  <si>
    <t>Publicado</t>
  </si>
  <si>
    <t>22.11.003</t>
  </si>
  <si>
    <t>servicios de control de asistencia del servicio de salud osorno</t>
  </si>
  <si>
    <t>El presente proyecto tiene por objeto la contratación de un servicio de software y equipamiento de reloj control para todos los establecimientos dependientes de la Dirección del Servicio de Salud Osorno, por un período de 36 meses.</t>
  </si>
  <si>
    <t>Servicio Control Asistencia</t>
  </si>
  <si>
    <t>01-01-2024,01-02-2024,01-03-2024,01-04-2024,01-05-2024,01-06-2024,01-07-2024,01-08-2024,01-09-2024,01-10-2024,01-11-2024,01-12-2024,01-01-2025,01-02-2025,01-03-2025,01-04-2025,01-05-2025,01-06-2025,01-07-2025,01-08-2025,01-09-2025,01-10-2025,01-11-2025,01-12-2025,01-01-2026,01-02-2026,01-03-2026,01-04-2026,01-05-2026,01-06-2026,01-07-2026,01-08-2026,01-09-2026,01-10-2026,01-11-2026,01-12-2026</t>
  </si>
  <si>
    <t>Bruno Ojeda Alvarez</t>
  </si>
  <si>
    <t>Jefe Depto. Tecnologías de la Información</t>
  </si>
  <si>
    <t>64-2335840-</t>
  </si>
  <si>
    <t>bruno.ojeda@redsalud.gov.cl</t>
  </si>
  <si>
    <t>1057532-268-SE25</t>
  </si>
  <si>
    <t>1057532-266-SE25</t>
  </si>
  <si>
    <t>1057532-267-SE25</t>
  </si>
  <si>
    <t>1057532-163-PC24</t>
  </si>
  <si>
    <t>Proyecto estratégico</t>
  </si>
  <si>
    <t>Servicio gestión flota vehicular SSO</t>
  </si>
  <si>
    <t>"Se requiere contar con sistema de control satelital (GPS) para la flota de vehículos motorizados (ambulancias, minibuses, camionetas, entre otros) correspondiente a los establecimientos de la Red del Servicio de Salud Osorno (Hospitales y Base SAMU), con la finalidad de realizar un adecuado control y gestión de flota, aumentando la eficiencia en la operación."</t>
  </si>
  <si>
    <t>Control Flota</t>
  </si>
  <si>
    <t>Jefe Depto.</t>
  </si>
  <si>
    <t>1057532-1544-SE24</t>
  </si>
  <si>
    <t>1057532-1-PC24</t>
  </si>
  <si>
    <t>Sistema control de flota vehicular del Servicio de Salud Osorno</t>
  </si>
  <si>
    <t>Tiene como finalidad realizar un adecuado control y gestión de flota de vehículos, aumentando la eficiencia en lo operacional, como también disminuyendo el riesgo de accidentes de tránsito.</t>
  </si>
  <si>
    <t>Sistema de control de flota</t>
  </si>
  <si>
    <t>Felipe Salvo Barriga</t>
  </si>
  <si>
    <t>Enc. Sección Mant. de Vehículos</t>
  </si>
  <si>
    <t>64-2565654-</t>
  </si>
  <si>
    <t>felipe.salvob@redsalud.gob.cl</t>
  </si>
  <si>
    <t>1057532-30-PC24</t>
  </si>
  <si>
    <t>SISTEMAS DE COMUNICACIONES LTE WAVE PTX SERVICIO DE SALUD OSORNO</t>
  </si>
  <si>
    <t>SERVICIO DE SUSCRIPCION WAVE PTX, INCLUYE INTERPERABILIDAD CON SISTEMA VHF, GATEWAY, INSTALACION, LICENCIAS, GPS EN LOS EQUIPOS WAVE PTX.</t>
  </si>
  <si>
    <t>Servicio</t>
  </si>
  <si>
    <t>01-06-2024,01-07-2024,01-08-2024,01-09-2024,01-10-2024,01-11-2024,01-12-2024,01-01-2025,01-02-2025,01-03-2025,01-04-2025,01-05-2025,01-06-2025,01-07-2025,01-08-2025,01-09-2025,01-10-2025,01-11-2025,01-12-2025,01-01-2026,01-02-2026,01-03-2026,01-04-2026,01-05-2026,01-06-2026,01-07-2026,01-08-2026,01-09-2026,01-10-2026,01-11-2026,01-12-2026,01-01-2027,01-02-2027,01-03-2027,01-04-2027,01-05-2024</t>
  </si>
  <si>
    <t>CATALINA VERA</t>
  </si>
  <si>
    <t>COORDINADORA EMERGENCIA</t>
  </si>
  <si>
    <t>64-337728-</t>
  </si>
  <si>
    <t>CATALINA.VERAC@REDSALUD.GOB.CL</t>
  </si>
  <si>
    <t>1057532-308-PC24</t>
  </si>
  <si>
    <t>22.12.999.022</t>
  </si>
  <si>
    <t>Convenio - 3 cupos Residencia Protegida para el Servicio de Salud Osorno en la Región Metropolitana</t>
  </si>
  <si>
    <t>3 cupos Residencia Protegida por 24 meses, en la Región Metropolitana, por un total de 2190 días de residencia protegida.</t>
  </si>
  <si>
    <t>Residencia</t>
  </si>
  <si>
    <t>01-01-2025,01-02-2025,01-03-2025,01-04-2025,01-05-2025,01-06-2025,01-07-2025,01-08-2025,01-09-2025,01-10-2025,01-11-2025,01-12-2025,01-01-2026,01-02-2026,01-03-2026,01-04-2026,01-05-2026,01-06-2026,01-07-2026,01-08-2026,01-09-2026,01-10-2026,01-11-2026,01-12-2026</t>
  </si>
  <si>
    <t>Antonia Caifil</t>
  </si>
  <si>
    <t>Jefa Subdepto. Gestión Clinica y Adm.</t>
  </si>
  <si>
    <t>64-335813-</t>
  </si>
  <si>
    <t>antonia.caifil@redsalud.gob.cl</t>
  </si>
  <si>
    <t>1057532-1987-SE24</t>
  </si>
  <si>
    <t>1057532-1299-SE24</t>
  </si>
  <si>
    <t>1057532-1831-SE24</t>
  </si>
  <si>
    <t>1057532-4506-SE25</t>
  </si>
  <si>
    <t>1057532-311-PC24</t>
  </si>
  <si>
    <t>Convenio - ( cupos Hogar Protegido Varones para el Servicio de Salud Osorno en la ciudad de Osorno</t>
  </si>
  <si>
    <t>08 cupos Hogar Protegido Varones para el SSO en la ciudad de Osorno, por un periodo de 24 meses.</t>
  </si>
  <si>
    <t>Jefa Subdepto. Gestión Clínica y Adm.</t>
  </si>
  <si>
    <t>caifil.antonia@redsalud.gob.cl</t>
  </si>
  <si>
    <t>1057532-1988-SE24</t>
  </si>
  <si>
    <t>1057532-1758-SE24</t>
  </si>
  <si>
    <t>1057532-2054-SE24</t>
  </si>
  <si>
    <t>1057532-2053-SE24</t>
  </si>
  <si>
    <t>1057532-315-PC24</t>
  </si>
  <si>
    <t>Convenio - 08 Cupos Hogar Protegido Mujeres para el Servicio de Salud Osorno en la ciudad de Osorno</t>
  </si>
  <si>
    <t>Se requiere la contratación del servicio denominado Hogar Protegido (beneficiarios 08 usuarios/as), para un periodo de 24 meses, por un total de 5840 días hogar protegido.</t>
  </si>
  <si>
    <t>64-334581-</t>
  </si>
  <si>
    <t>1057532-16-SE25</t>
  </si>
  <si>
    <t>1057532-4507-SE25</t>
  </si>
  <si>
    <t>1057532-4668-SE25</t>
  </si>
  <si>
    <t>1057532-4851-SE25</t>
  </si>
  <si>
    <t>1057532-5669-SE25</t>
  </si>
  <si>
    <t>1057532-5016-SE25</t>
  </si>
  <si>
    <t>1057532-5224-SE25</t>
  </si>
  <si>
    <t>1057532-5514-SE25</t>
  </si>
  <si>
    <t>1057532-320-PC24</t>
  </si>
  <si>
    <t>22.04.012</t>
  </si>
  <si>
    <t>Convenio - SERVICIOS DE MANTENCIÓN, RECARGA E INSPECCION PREVENTIVA PARA RED HÚMEDA Y EXTINTORES EN ESTABLECIMIENTOS SSO</t>
  </si>
  <si>
    <t>SERVICIO DE MANTENCIÓN, RECARGA E INSPECCION PREVENTIVA PARA RED HÚMEDA Y EXTINTORES DE LOS ESTABLECIMIENTOS PERTENECIENTES AL SERVICIO DE SALUD OSORNO, POR UN PERIODO DE 3 AÑOS.</t>
  </si>
  <si>
    <t>Recarga</t>
  </si>
  <si>
    <t>01-01-2025,01-02-2025,01-03-2025,01-04-2025,01-05-2025,01-06-2025,01-07-2025,01-08-2025,01-09-2025,01-10-2025,01-11-2025,01-12-2025,01-01-2026,01-02-2026,01-03-2026,01-04-2026,01-05-2026,01-06-2026,01-07-2026,01-08-2026,01-09-2026,01-10-2026,01-11-2026,01-12-2026,01-01-2027,01-02-2027,01-03-2027,01-04-2027,01-05-2027,01-06-2027</t>
  </si>
  <si>
    <t>KARIN SCHOLZ</t>
  </si>
  <si>
    <t>Jefatura Dpto. de Calidad de Vida</t>
  </si>
  <si>
    <t>64-337046-</t>
  </si>
  <si>
    <t>karin.scholz@redsalud.gob.cl</t>
  </si>
  <si>
    <t>1057532-1505-SE24</t>
  </si>
  <si>
    <t>1057532-2252-SE24</t>
  </si>
  <si>
    <t>1057532-2255-SE24</t>
  </si>
  <si>
    <t>1057532-2251-SE24</t>
  </si>
  <si>
    <t>1057532-321-PC24</t>
  </si>
  <si>
    <t>22.06.002.001</t>
  </si>
  <si>
    <t>Convenio - DE SERVICIOS DE MANTENCIÓN PREVENTIVA, CORRECTIVA Y/O REPARATIVA PARA VEHÍCULOS MERCEDES-BENZ DEL SSO Y HOSPITA</t>
  </si>
  <si>
    <t>Mantenciones Preventivas, correctivas y/o reparativas de vehículos motorizados de la Red Asistencial del Servicio de Salud Osorno.</t>
  </si>
  <si>
    <t>Mantenimiento</t>
  </si>
  <si>
    <t>Felipe Salvo</t>
  </si>
  <si>
    <t>Encargado Mantenimineto</t>
  </si>
  <si>
    <t>64-2567046-</t>
  </si>
  <si>
    <t>1057532-119-SE25</t>
  </si>
  <si>
    <t>1057532-127-SE25</t>
  </si>
  <si>
    <t>1057532-125-SE25</t>
  </si>
  <si>
    <t>1057532-322-PC24</t>
  </si>
  <si>
    <t>22.08.001</t>
  </si>
  <si>
    <t>Convenio - SERVICIO DE MANEJO, RETIRO, TRANSPORTE Y DISPOSICIÓN FINAL DE RESIDUOS PELIGROSOS Y ESPECIALES</t>
  </si>
  <si>
    <t>Especificaciones Técnicas: - ENTREGA DE INSUMOS, SEGÚN REQUERIMIENTO, EN CADA ESTABLECIMIENTO DE SALUD Y BASE SAMU. - SERVICIO DE RETIRO PERIÓDICO DESDE ESTABLECIMIENTOS DE SALUD SSO Y BASE SAMU. - DISPOSICIÓN FINAL O ELIMINACIÓN DE RESIDUOS EN UN ESTABLECIMIENTO QUE CUMPLA LA NORMATIVA AMBIENTAL Y SANITARIA.</t>
  </si>
  <si>
    <t>Servicio residuos</t>
  </si>
  <si>
    <t>JEFA DE DEPTO DE CALIDAD DE VIDA</t>
  </si>
  <si>
    <t>1057532-3993-TD25</t>
  </si>
  <si>
    <t>1057532-3992-TD25</t>
  </si>
  <si>
    <t>1057532-328-PC24</t>
  </si>
  <si>
    <t>22.01.001.002</t>
  </si>
  <si>
    <t>Convenio - BENEFICIO ALIMENTACION 2024</t>
  </si>
  <si>
    <t>BENEFICIO DE ADMINISTRACION ENTREGA DE ALIMENTACION CONSIDERANDO UN PROMEDIO ESTIMADO DE 530 TARJETAS MENSUALES ENTRE MESES DE ENERO Y DICIEMBRE POR TRES AÑOS 2025, 2026 Y 2027 ADQUISICION TARJETAS DE ALIMENTACION PARA FUNCIONARIOS DE LA DIRECCION SERVICIO DE SALUD OSORNO, SE CONSIDERA REAJUSTE APROXIMADO POR TRES AÑOS AFECCTO A VARIACION DE NUMERO DE FUNCIONARIOS SECTOR PUBLICO SEGÚN RES EX N°165/2020 EN EL MONTO INFORMADO AÑO 2025 = $480.171.706 AÑO 2026 = 496.977.716 AÑO 2027 = 514.371.936</t>
  </si>
  <si>
    <t>Tarjeta</t>
  </si>
  <si>
    <t>JORGE OYARZUN SILVA</t>
  </si>
  <si>
    <t>REFERENTE TARJETA ALIMENTACION</t>
  </si>
  <si>
    <t>64-335780-</t>
  </si>
  <si>
    <t>JORGE.OYARZUNS@REDSALUD.GOB.CL</t>
  </si>
  <si>
    <t>1057532-131-SE25</t>
  </si>
  <si>
    <t>1057532-1236-SE24</t>
  </si>
  <si>
    <t>1057532-4087-SE25</t>
  </si>
  <si>
    <t>1057532-331-PC24</t>
  </si>
  <si>
    <t>22.04.003.001</t>
  </si>
  <si>
    <t>Convenio - Suministro de oxígeno medicinal para Red de Hospitales de mediana y baja complejidad y SAMU</t>
  </si>
  <si>
    <t>Contrato suministro de oxígeno medicinal para la Red de Hospitales de Baja y Mediana Complejidad así como para Base SAMU dependiente del Servicio Salud Osorno, en formato de cilindros de 0,4 m3 - 0,7 m3 - 6 m3 y 10 m3.</t>
  </si>
  <si>
    <t>Suministro Oxigeno</t>
  </si>
  <si>
    <t>Mario Aburto Foitzich</t>
  </si>
  <si>
    <t>Encargado Gestión Salud Respiratoria</t>
  </si>
  <si>
    <t>64-335809-</t>
  </si>
  <si>
    <t>mario.aburto@redsalud.gov.cl</t>
  </si>
  <si>
    <t>1057532-4736-SE25</t>
  </si>
  <si>
    <t>1057532-4671-SE25</t>
  </si>
  <si>
    <t>1057532-5144-SE25</t>
  </si>
  <si>
    <t>1057532-5012-SE25</t>
  </si>
  <si>
    <t>1057532-5655-SE25</t>
  </si>
  <si>
    <t>1057532-5098-SE25</t>
  </si>
  <si>
    <t>1057532-5207-SE25</t>
  </si>
  <si>
    <t>1057532-5543-SE25</t>
  </si>
  <si>
    <t>1057532-333-PC24</t>
  </si>
  <si>
    <t>22.05.008</t>
  </si>
  <si>
    <t>Convenio - SOPORTE Y MANTENIMIENTO SISTEMA DE REPETICIÓN VHF SERVICIO DE SALUD OSORNO 2025-2026</t>
  </si>
  <si>
    <t>Aquisición de Soporte y mantenimiento de Sistema de repetición VHF del Servicio de Salud osorno, para el periodo 2025 - 2026.</t>
  </si>
  <si>
    <t>CATALINA VERA CASTRO</t>
  </si>
  <si>
    <t>1057532-4472-AG25</t>
  </si>
  <si>
    <t>1057532-5273-TD25</t>
  </si>
  <si>
    <t>1057532-4618-TD25</t>
  </si>
  <si>
    <t>1057532-4242-TD25</t>
  </si>
  <si>
    <t>1057532-5093-TD25</t>
  </si>
  <si>
    <t>1057532-4665-TD25</t>
  </si>
  <si>
    <t>1057532-5045-TD25</t>
  </si>
  <si>
    <t>1057532-356-PC24</t>
  </si>
  <si>
    <t>22.08</t>
  </si>
  <si>
    <t>Convenio servicio de guardias para la DSSO y sus establecimientos y dispositivos dependientes</t>
  </si>
  <si>
    <t>Se requiere la contratación de un convenio de servicio de guardias para la DSSO y sus establecimientos y dispositivos dependientes, cumpliendo los estándares requeridos en concordancia con las bases administrativas, especificaciones técnicas, por un período de 24 meses.</t>
  </si>
  <si>
    <t>Servicio de guardias</t>
  </si>
  <si>
    <t>Lorena Torres Castillo</t>
  </si>
  <si>
    <t>Encargada (S) Sección Administración de Contratos</t>
  </si>
  <si>
    <t>64-2567381-</t>
  </si>
  <si>
    <t>lorena.torresc@redsalud.gob.cl</t>
  </si>
  <si>
    <t>1057532-205-SE25</t>
  </si>
  <si>
    <t>1057532-4654-TD25</t>
  </si>
  <si>
    <t>1057532-4651-TD25</t>
  </si>
  <si>
    <t>1057532-4264-TD25</t>
  </si>
  <si>
    <t>1057532-4652-TD25</t>
  </si>
  <si>
    <t>1057532-193-PC25</t>
  </si>
  <si>
    <t>22.09.006</t>
  </si>
  <si>
    <t>Convenio - ARRIENDO 159 EQUIPOS PC AIO PARA APOYAR LOS PROCESOS CLINICOS Y ADMINISTRATIVOS</t>
  </si>
  <si>
    <t>Licitar en modalidad el servicio de arriendo equipos computacionales PC AIO con licenciamiento de Sistema Operativo (Windows), Office 365 y antivirus.</t>
  </si>
  <si>
    <t>Insumos</t>
  </si>
  <si>
    <t>01-01-2026,01-02-2026,01-03-2026,01-04-2026,01-05-2026,01-06-2026,01-07-2026,01-08-2026,01-09-2026,01-10-2026,01-11-2026,01-12-2026,01-01-2027,01-02-2027,01-03-2027,01-04-2027,01-05-2027,01-06-2027,01-07-2027,01-08-2027,01-09-2027,01-10-2027,01-11-2027,01-12-2027,01-01-2028,01-02-2028,01-03-2028,01-04-2028,01-05-2028,01-06-2028,01-07-2028,01-08-2028</t>
  </si>
  <si>
    <t>Alvaro Montecinos</t>
  </si>
  <si>
    <t>Jefe (S) Subdepto. Soporte TIC</t>
  </si>
  <si>
    <t>64-2335838-</t>
  </si>
  <si>
    <t>alvaro.montecinos@redsalud.gob.cl</t>
  </si>
  <si>
    <t>Convenio - ARRIENDO 159 EQUIPOS PC AIO PARA APOYAR LOS PORCESOS CLINICOS Y ADMINISTRATIVOS</t>
  </si>
  <si>
    <t>1057532-195-PC25</t>
  </si>
  <si>
    <t>Convenio - SERVICIO DE ASEO PARA LA DSSO (BASE SAMU, EDIFICIO PLAZA SUR Y EDIFICIO M. RODRIGUEZ) POR 18 MESES (DESDE 01 JULIO 2025)</t>
  </si>
  <si>
    <t>Se requiere contar con servicios de aseo en los Edificios Plaza Sur, Manuel Rodriguez y Base SAMU, dependientes de la Dirección del Servicio de Salud Osorno. Todo lo anterior, por un periodo de 18 meses (desde el 01 de julio 2025 hasta el 31 de diciembre del 2026)</t>
  </si>
  <si>
    <t>Aseo</t>
  </si>
  <si>
    <t>01-07-2025,01-08-2025,01-09-2025,01-10-2025,01-11-2025,01-12-2025,01-01-2026,01-02-2026,01-03-2026,01-04-2026,01-05-2026,01-06-2026,01-07-2026,01-08-2026,01-09-2026,01-10-2026,01-11-2026,01-12-2026</t>
  </si>
  <si>
    <t>Encargada (s) Sección Administración de Contratos</t>
  </si>
  <si>
    <t>64-2337381-</t>
  </si>
  <si>
    <t>1057532-4942-SE25</t>
  </si>
  <si>
    <t>1057532-4948-SE25</t>
  </si>
  <si>
    <t>1057532-4604-SE25</t>
  </si>
  <si>
    <t>1057532-5193-SE25</t>
  </si>
  <si>
    <t>1057532-5191-SE25</t>
  </si>
  <si>
    <t>1057532-196-PC25</t>
  </si>
  <si>
    <t>22.06.001</t>
  </si>
  <si>
    <t>Convenio - SERVICIO DE SOPORTE Y MANTENCION RPT VHF SSO (PERIODO DOS AÑOS)</t>
  </si>
  <si>
    <t>ADQUISICION SERVICIO DE SOPORTE Y MANTENIMIENTO DE LOS DOS SITIOS DE REPETICION VHF DE EMERGENCIAS, SERVICIO DE SALUD OSORNO (COMPRA ENERO A MARZO 2025)</t>
  </si>
  <si>
    <t>ESTEBAN ALARCON BOHLE</t>
  </si>
  <si>
    <t>TECNICO RADIOCOMUNICACIONES</t>
  </si>
  <si>
    <t>64-2335606-</t>
  </si>
  <si>
    <t>ESTEBAN.ALARCONB@REDSALUD.GOB.CL</t>
  </si>
  <si>
    <t>1057532-209-PC25</t>
  </si>
  <si>
    <t>22.12.999</t>
  </si>
  <si>
    <t>Convenio - ADQUISICION DE 3 CUPOS DE RESIDENCIA PROTEGIDA PARA EL SERVICIO DE SALUD OSORNO EN LA PROVINCIA DE CONCEPCIÓN</t>
  </si>
  <si>
    <t>Se requiere la contratación del servicio denominado Residencia Protegida (beneficiarios 3 usuarios) para usuarios/as por un periodo de 24 meses. Modificando PAC ID: 1057532-188-PC23</t>
  </si>
  <si>
    <t>Servicio Residencial</t>
  </si>
  <si>
    <t>Angelo Palma</t>
  </si>
  <si>
    <t>Jefe (s) Subdepto. Gestión Clínica y Administrativa Red Temática de Salud Mental de Especialidad</t>
  </si>
  <si>
    <t>64-2335813-</t>
  </si>
  <si>
    <t>angelo.palma@redsalud.gob.cl</t>
  </si>
  <si>
    <t>1057532-274-SE25</t>
  </si>
  <si>
    <t>1057532-4551-SE25</t>
  </si>
  <si>
    <t>1057532-4191-SE25</t>
  </si>
  <si>
    <t>1057532-3967-SE25</t>
  </si>
  <si>
    <t>1057532-4423-SE25</t>
  </si>
  <si>
    <t>1057532-4746-SE25</t>
  </si>
  <si>
    <t>1057532-5466-SE25</t>
  </si>
  <si>
    <t>1057532-210-PC25</t>
  </si>
  <si>
    <t>Convenio - ADQUISICION DE 12 CUPOS DE RESIDENCIA PROTEGIDA PARA EL SERVICIO DE SALUD OSORNO EN LA CIUDAD DE OSORNO</t>
  </si>
  <si>
    <t>Se requiere la contratación del servicio denominado Residencia Protegida (beneficiarios 12 usuarios) para usuarios/as por un periodo de 24 meses.</t>
  </si>
  <si>
    <t>1057532-4430-SE25</t>
  </si>
  <si>
    <t>1057532-4137-TD25</t>
  </si>
  <si>
    <t>1057532-4210-SE25</t>
  </si>
  <si>
    <t>1057532-211-PC25</t>
  </si>
  <si>
    <t>Convenio - ADQUISICION DE 10 CUPOS RESIDENCIA PROTEGIDA DE ALTA COMPLEJIDAD PARA EL SERVICIO DE SALUD OSORNO DE LA CIUDAD DE OSORNO</t>
  </si>
  <si>
    <t>Se requiere la contratación del servicio denominado Residencia Protegida alta complejidad (beneficiarios 10 usuarios) para usuarios/as por un periodo de 24 meses.</t>
  </si>
  <si>
    <t>1057532-4192-SE25</t>
  </si>
  <si>
    <t>1057532-4505-SE25</t>
  </si>
  <si>
    <t>1057532-4347-SE25</t>
  </si>
  <si>
    <t>1057532-4859-SE25</t>
  </si>
  <si>
    <t>1057532-66-PC25</t>
  </si>
  <si>
    <t>22.06.005</t>
  </si>
  <si>
    <t>Mantención de Equipos Médicos e Industriales</t>
  </si>
  <si>
    <t>Dar cobertura a las necesidades de mantención de Equipos Médicos e Industriales de los establecimientos de la Red del Servicio de Salud Osorno.</t>
  </si>
  <si>
    <t>Equipos Lavanderia</t>
  </si>
  <si>
    <t>01-06-2026,01-12-2026,01-06-2027,01-12-2027</t>
  </si>
  <si>
    <t>Khris Silva Vargas</t>
  </si>
  <si>
    <t>Jefa Subdepto. Mantención de Equipos Médicos e Industriales</t>
  </si>
  <si>
    <t>64-2337431-</t>
  </si>
  <si>
    <t>khris.silva@redsalud.gob.cl</t>
  </si>
  <si>
    <t>Equipo Calderas</t>
  </si>
  <si>
    <t>01-03-2026,01-12-2026,01-03-2027,01-12-2027</t>
  </si>
  <si>
    <t>Equipo Aire Acondicionado</t>
  </si>
  <si>
    <t>01-10-2026,01-10-2027</t>
  </si>
  <si>
    <t>Grupo Electrogenos</t>
  </si>
  <si>
    <t>01-07-2026,01-07-2027</t>
  </si>
  <si>
    <t>Equipos Criticos</t>
  </si>
  <si>
    <t>01-03-2026,01-09-2026,01-03-2027,01-09-2027</t>
  </si>
  <si>
    <t>Imagenelogia</t>
  </si>
  <si>
    <t>01-06-2026,01-11-2026,01-12-2026,01-06-2027,01-11-2027,01-12-2027</t>
  </si>
  <si>
    <t>Mamografia</t>
  </si>
  <si>
    <t>Mantención Equipos Medicos</t>
  </si>
  <si>
    <t>01-04-2027,01-05-2027,01-08-2027,01-10-2027,01-04-2026,01-05-2026,01-08-2026,01-10-2026</t>
  </si>
  <si>
    <t>1057532-5462-SE25</t>
  </si>
  <si>
    <t>Mantención Auto Claves</t>
  </si>
  <si>
    <t>01-02-2026,01-05-2026,01-08-2026,01-11-2026,01-02-2027,01-05-2027,01-08-2027,01-11-2027</t>
  </si>
  <si>
    <t>Mantención Preventiva Equipos</t>
  </si>
  <si>
    <t>01-01-2026,01-02-2026,01-03-2026,01-04-2026,01-05-2026,01-06-2026,01-07-2026,01-08-2026,01-09-2026,01-10-2026,01-11-2026,01-12-2026,01-01-2027,01-02-2027,01-03-2027,01-04-2027,01-05-2027,01-06-2027,01-07-2027,01-08-2027,01-09-2027,01-10-2027,01-11-2027,01-12-2027</t>
  </si>
  <si>
    <t>1057532-4799-AG25</t>
  </si>
  <si>
    <t>1057532-5363-AG25</t>
  </si>
  <si>
    <t>Mantención Otros</t>
  </si>
  <si>
    <t>01-03-2026,01-03-2027</t>
  </si>
  <si>
    <t>1057532-4785-AG25</t>
  </si>
  <si>
    <t>1057532-162-PC25</t>
  </si>
  <si>
    <t>22.04.004</t>
  </si>
  <si>
    <t>Convenio - de Suministro para adquisición de medicamentos faltantes CENABAST para establecimientos dependientes del SSO.</t>
  </si>
  <si>
    <t>Abril 2025. Convenio de suministro a iniciar en abril 2025 con duración de 2 años calendario para licitar listado de 353 productos de los arsenales farmacológicos de la Red que se envian en archivo adjunto para efectos de licitación.</t>
  </si>
  <si>
    <t>Medicamentos</t>
  </si>
  <si>
    <t>01-05-2025,01-06-2025,01-07-2025,01-08-2025,01-09-2025,01-10-2025,01-11-2025,01-12-2025,01-01-2026,01-02-2026,01-03-2026,01-04-2026,01-05-2026,01-06-2026,01-07-2026,01-08-2026,01-09-2026,01-10-2026,01-11-2026,01-12-2026,01-01-2027,01-02-2027,01-03-2027,01-04-2027</t>
  </si>
  <si>
    <t>ELEUTERIO ROMAN</t>
  </si>
  <si>
    <t>JEFE SUBDEPTO FARMACIA</t>
  </si>
  <si>
    <t>64-335811-</t>
  </si>
  <si>
    <t>eleuterio.roman@redsalud.gob.cl</t>
  </si>
  <si>
    <t>1057532-5204-SE25</t>
  </si>
  <si>
    <t>1057532-5140-SE25</t>
  </si>
  <si>
    <t>1057532-5142-SE25</t>
  </si>
  <si>
    <t>1057532-5148-SE25</t>
  </si>
  <si>
    <t>1057532-172-PC25</t>
  </si>
  <si>
    <t>22.04.005.003</t>
  </si>
  <si>
    <t>Convenio - CONVENIO SERVICIO DE ASEO POR 18 MESES, PARA LA DIRECCION DEL SSO Y ESTABLECIMIENTOS DEPENDIENTES DE LA RED ASISTENCIAL</t>
  </si>
  <si>
    <t>Proveer desde el 01-07-2025 al 31-12-2026 al Edificio Institucional de la Dirección del Servicio de Salud Osorno, Edificio Institucional Manuel Rodriguez, Base SAMU Oriente y Base SAMU Rahue Alto del servicio de aseo y mantención de pisos, oficinas, baños, pasillos, ventanas, persianas, áreas generales y comunes, entre otras, de las dependencias en general, su infraestructura, equipos y demás bienes del establecimiento, según corresponda a las necesidades de cada establecimiento e instrucciones del referente del mismo.</t>
  </si>
  <si>
    <t>ENCARGADA (S) SECCIÓN DE ADMINISTRACIÓN DE CONTRATOS</t>
  </si>
  <si>
    <t>64-337381-</t>
  </si>
  <si>
    <t>1057532-173-PC25</t>
  </si>
  <si>
    <t>Convenio - CONVENIO DE ADQUISICION DE KIT POINT OF CARE (POC) CON ARRIENDO DE EQUIPO PARA ANALISIS DE MUESTRAS, SSO</t>
  </si>
  <si>
    <t>INSUMOS PARA EXAMENES DE LABORATORIO TIPO POC, CON ARRIENDO DE EQUIPOS (HOSPITAL RIO NEGRO, HOSPITAL PUERTO OCTAY, HOSPITAL PU MULEN QUILACAHUIN, HOSPITAL FUKA SRUKA LAWENCHE KUNKO MAPU MO, CESFAM PUYEHUE).</t>
  </si>
  <si>
    <t>Equipo</t>
  </si>
  <si>
    <t>01-08-2025,01-09-2025,01-10-2025,01-11-2025,01-12-2025,01-01-2026,01-02-2026,01-03-2026,01-04-2026,01-05-2026,01-06-2026,01-07-2026</t>
  </si>
  <si>
    <t>Sofia Reyes</t>
  </si>
  <si>
    <t>Encargada</t>
  </si>
  <si>
    <t>64-335827-</t>
  </si>
  <si>
    <t>sofiav.reyes@redsalud.gob.cl</t>
  </si>
  <si>
    <t>1057532-373-PC25</t>
  </si>
  <si>
    <t>22.08.007</t>
  </si>
  <si>
    <t>Convenio - Movilización para el traslado de usuarios y funcionarios CDR adulto mayor Kumelen año 2026</t>
  </si>
  <si>
    <t>Movilización para el traslado de usuarios y funcionarios CDR adulto mayor Kumelen de la Comuna de Osorno. Inicio de servicio 01/01/2026.</t>
  </si>
  <si>
    <t>Movilizacion Kumelen</t>
  </si>
  <si>
    <t>01-02-2026,01-03-2026,01-04-2026,01-05-2026,01-06-2026,01-07-2026,01-08-2026,01-09-2026,01-10-2026,01-11-2026,01-12-2026,01-01-2027</t>
  </si>
  <si>
    <t>Luis Flores Merino</t>
  </si>
  <si>
    <t>Coordinador</t>
  </si>
  <si>
    <t>64-647366-</t>
  </si>
  <si>
    <t>luis.floresme@redsalud.gob.cl</t>
  </si>
  <si>
    <t>1057532-374-PC25</t>
  </si>
  <si>
    <t>Convenio - Movilizacion para el traslado de funcionarios CDR Adulto Mayor KÜMELEN 2026</t>
  </si>
  <si>
    <t>Servicio de Movilizacion para Funcionarios CDR Adulto Mayor Kumelen,Vencimiento del contrato actual finaliza el 31/12/2025. Inicio del servicio 01/01/2026.</t>
  </si>
  <si>
    <t>Movilizacion</t>
  </si>
  <si>
    <t>64-2647366-</t>
  </si>
  <si>
    <t>1057532-375-PC25</t>
  </si>
  <si>
    <t>Convenio - ADQUISICION DE KIT POINT OF CARE (POC) CON ARRIENDO DE EQUIPO PARA ANALISIS DE MUESTRAS POR 12 MESES, SSO</t>
  </si>
  <si>
    <t>INSUMOS PARA EXAMENES DE LABORATORIO TIPO POC, CON ARRIENDO DE EQUIPOS (HOSPITAL RIO NEGRO, HOSPITAL PUERTO OCTAY, HOSPITAL PU MULEN QUILACAHUIN, HOSPITAL FUKA SRUKA LAWENCHE KUNKO MAPU MO, CESFAM PUYEHUE, SAR CHUYACA). ESTE PROYECTO BUSCA DAR CONTINUIDAD A LICITACION 1057532-48-LP24, POR 12 MESES MAS, CON INICIO EN JULIO 2025.</t>
  </si>
  <si>
    <t>Suministro KIT Point</t>
  </si>
  <si>
    <t>SOFIA REYES ALARCON</t>
  </si>
  <si>
    <t>COMPRADOR</t>
  </si>
  <si>
    <t>nicolas.asencio@redsalud.gob.cl</t>
  </si>
  <si>
    <t>1057532-4808-AG25</t>
  </si>
  <si>
    <t>1057532-5641-SE25</t>
  </si>
  <si>
    <t>1057532-376-PC25</t>
  </si>
  <si>
    <t>Convenio - Pac PASAJES 2025-2026 DSSO</t>
  </si>
  <si>
    <t>Se requiere contar con un Proyecto PAC específico para Pasajes, a fin de poder vincular las Órdenes de Compra en la plataforma de Mercado Público. Este proyecto debe estar incorporado en el PAC General del DSSO, con un período de vigencia desde junio de 2025 hasta diciembre de 2026, abarcando un total de 19 meses.</t>
  </si>
  <si>
    <t>Pasajes</t>
  </si>
  <si>
    <t>Sandra Espinoza</t>
  </si>
  <si>
    <t>PAC Pasajes DSSO 2025-2026</t>
  </si>
  <si>
    <t>64-2565594-</t>
  </si>
  <si>
    <t>sandra.espinoza@redsalud.gob.cl</t>
  </si>
  <si>
    <t>1057532-4718-CM25</t>
  </si>
  <si>
    <t>1057532-4720-CM25</t>
  </si>
  <si>
    <t>1057532-4762-SE25</t>
  </si>
  <si>
    <t>1057532-5071-CM25</t>
  </si>
  <si>
    <t>1057532-4899-CM25</t>
  </si>
  <si>
    <t>1057532-5070-CM25</t>
  </si>
  <si>
    <t>1057532-5352-CM25</t>
  </si>
  <si>
    <t>1057532-5096-CM25</t>
  </si>
  <si>
    <t>1057532-5599-CM25</t>
  </si>
  <si>
    <t>1057532-5335-CM25</t>
  </si>
  <si>
    <t>1057532-377-PC25</t>
  </si>
  <si>
    <t>22.01.001.001</t>
  </si>
  <si>
    <t>Convenio - ALIMENTOS CT PEULLA</t>
  </si>
  <si>
    <t>Mes de Ejecución, Enero 2026 Periodo de Vigencia, Enero 2026 a Diciembre 2026 Se comprarán artículos para consumo y reposición en el caso de los artículos de limpieza. Para un año de gestión . Se establece la compra de alimentos y útiles de aseo para 12 personas que realizan tratamiento intensivo en el programa Residencial de la Unidad, y los para el desarrollo de los grupos de Comunidad Ambulatoria entre otros Taller de Género, Grupo Semillero, Autoayuda y Adolescentes.</t>
  </si>
  <si>
    <t>Alimentación</t>
  </si>
  <si>
    <t>Maria Ines Asenjo Soto</t>
  </si>
  <si>
    <t>DIRECTORA</t>
  </si>
  <si>
    <t>64-2565492-</t>
  </si>
  <si>
    <t>mariaines.asenjo@redsalud.gob.cl</t>
  </si>
  <si>
    <t>1057532-5735-AG25</t>
  </si>
  <si>
    <t>1057532-5753-AG25</t>
  </si>
  <si>
    <t>1057532-378-PC25</t>
  </si>
  <si>
    <t>22.01.001.003</t>
  </si>
  <si>
    <t>Convenio - PAC Convenio Cafeteria DSSO</t>
  </si>
  <si>
    <t>Se requiere contar con un Proyecto PAC específico para los Servicios de Cafetería, con el propósito de normalizar y estandarizar las adquisiciones asociadas a este servicio. El período de vigencia del proyecto debe comprender desde enero hasta diciembre de 2026, cubriendo un total de 12 meses.</t>
  </si>
  <si>
    <t>Cafeteria</t>
  </si>
  <si>
    <t>01-02-2026,01-03-2026,01-04-2026,01-05-2026,01-06-2026,01-07-2026,01-08-2026,01-09-2026,01-10-2026,01-11-2026,01-12-2026,01-01-2026</t>
  </si>
  <si>
    <t>Jefa Subdepto Abastecimiento</t>
  </si>
  <si>
    <t>1057532-5233-SE25</t>
  </si>
  <si>
    <t>Administración de Fondos</t>
  </si>
  <si>
    <t>1077241-51-PC25</t>
  </si>
  <si>
    <t>Convenio - Servicio movilización COSAM Rahue periodo 2026. (Financiamiento a través de fondo extrapresupuestario SENDA PAI)</t>
  </si>
  <si>
    <t>Se requiere contar con servicio de movilización para el para traslado de funcionarios de COSAM Rahue dentro del territorio entre el 01/01/2026 al 31/12/2026, para la realización de actividades enmarcadas en la atención de salud a usuarios, teniendo presente el territorio a cargo, el cual contempla a la comuna de Osorno y San Juan de la Costa. Por lo anterior, el proceso de compra debe realizarse en el mes de julio 2025. Financiamiento a través de fondo extrapresupuestario SENDA PAI</t>
  </si>
  <si>
    <t>Yuvit García-Chacur</t>
  </si>
  <si>
    <t>Directora</t>
  </si>
  <si>
    <t>64-2565555-</t>
  </si>
  <si>
    <t>yuvit.garciachacur@redsalud.gob.cl</t>
  </si>
  <si>
    <t>1057532-379-PC25</t>
  </si>
  <si>
    <t>Convenio - SERVICIO DE MOVILIZACION PARA EL AÑO 2026</t>
  </si>
  <si>
    <t>El objetivo es mejorar la capacidad de respuesta y la calidad de la atención que se brinda a la población. Con un vehículo adecuado, permitirá realizar visitas domiciliarias, trasladar insumos y personal, traslado de muestras de exámenes al hospital base San José de Osorno, y facilitar la coordinación con otras instituciones.</t>
  </si>
  <si>
    <t>Pedro Fritz Cardeans</t>
  </si>
  <si>
    <t>DIRECTOR COSAM</t>
  </si>
  <si>
    <t>64-2565610-</t>
  </si>
  <si>
    <t>pedro.fritz@redsalud.gob.cl</t>
  </si>
  <si>
    <t>1057532-380-PC25</t>
  </si>
  <si>
    <t>Convenio - SERVICIO DE MOVILIZACION PARA EL AÑO 2026 Servicio movilización COSAM Rahue, Programa Atención Domiciliaria y PAZGA periodo 2026 (Financiamiento SSO)</t>
  </si>
  <si>
    <t>Se requiere contar con servicio de movilización para traslado de funcionarios de COSAM Rahue dentro del territorio de la población a cargo para la realización de actividades enmarcadas en la atención de salud a usuarios, el cual incorpora la comuna de Osorno y San Juan de la Costa, desde el 01-01-2026 al 31-12-2026. Por lo anterior, la gestión de compra debe realizarse durante el mes de julio 2025. Fuente de financiamiento SSO.</t>
  </si>
  <si>
    <t>1057532-381-PC25</t>
  </si>
  <si>
    <t>Convenio - Servicio movilización UID Newen</t>
  </si>
  <si>
    <t>ejecución de la compra mes julio año 2025, duración del convenio corresponde a los meses de enero a diciembre 2026</t>
  </si>
  <si>
    <t>Camila Roa</t>
  </si>
  <si>
    <t>Coordinadora UID NEWEN</t>
  </si>
  <si>
    <t>64-2567766-</t>
  </si>
  <si>
    <t>camila.roa@redsalud.gob.cl</t>
  </si>
  <si>
    <t>1057532-382-PC25</t>
  </si>
  <si>
    <t>Convenio - Movilización para el traslado de funcionarios y cuidadores Unidad de Memoria Ayekan año 2026</t>
  </si>
  <si>
    <t>Cumplir con los requerimientos GES 85 Enfemedad de</t>
  </si>
  <si>
    <t>Ximena Campos Gueicha</t>
  </si>
  <si>
    <t>64-2567363-</t>
  </si>
  <si>
    <t>ximena.campos@redsalud.gob.cl</t>
  </si>
  <si>
    <t>1057532-383-PC25</t>
  </si>
  <si>
    <t>Convenio Movil CT Peulla</t>
  </si>
  <si>
    <t>Mes de Ejecución, Enero 2026 Periodo de Vigencia 01-01-2026 al 31-12-2026 Servicio Transporte de móvil para visitas domiciliarias, seguimientos y rescates entre otros dentro y fuera de la Provincia de Osorno. Gestiones administrativas en la Provincia de Osorno tanto en el sector urbano, rural e interurbano (fuera de la Provincia de Osorno). El transporte debe contar con chofer, capacidad hasta 15 asientos.</t>
  </si>
  <si>
    <t>1057532-384-PC25</t>
  </si>
  <si>
    <t>22.12.999.002.01</t>
  </si>
  <si>
    <t>Convenio - Servicio de arriendo (comodato) e informes de teleelectrocardiografía para población bajo control en PSCV.</t>
  </si>
  <si>
    <t>Adquisición de servicio de arriendo e informes de teleelectrocardiografía a distancia (PSCV), para 35 ESTABLECIMIENTOS DE SALUD de la RED de APS provincial ( 55 EQUIPOS ELECTROCARDIÓGRAFOS PORTÁTILES), QUE PUEDAN SER UTILIZADOS EN LOS CENTROS DE SALUD Y TAMBIÉN SER TRASLADADOS A DOMICILIO. Fecha vigencia del convenio: 01/01/2026 al 31/12/2027. Presupuesto: $500.000.000.- Retención mensual de percápita municipal, de acuerdo al número de ECG e informes realizados.</t>
  </si>
  <si>
    <t>Servicio Medico</t>
  </si>
  <si>
    <t>01-01-2026,01-02-2026,01-03-2026,01-04-2026,01-05-2026,01-06-2026,01-07-2026,01-08-2026,01-09-2026,01-10-2026,01-11-2026,01-12-2026</t>
  </si>
  <si>
    <t>Consuelo Cordova</t>
  </si>
  <si>
    <t>jefa subdepto gestión de programas en curso de vida</t>
  </si>
  <si>
    <t>64-2565810-</t>
  </si>
  <si>
    <t>consuelo.cordova@redsalud.gob.cl</t>
  </si>
  <si>
    <t>1057532-385-PC25</t>
  </si>
  <si>
    <t>Convenio - CONVENIO PARA DESRATIZACION, SANITIZACION, DESINSECTACION PARA EL SERVICIO DE SALUD OSORNO</t>
  </si>
  <si>
    <t>El servicio requerido consta de la sanitización de baños, desratización y desinsectación de todos los hospitales de la red y establecimientos dependientes del SSO</t>
  </si>
  <si>
    <t>Convenio Desratización</t>
  </si>
  <si>
    <t>Carlos López</t>
  </si>
  <si>
    <t>INGENIERO AMBIENTAL</t>
  </si>
  <si>
    <t>64-2567030-</t>
  </si>
  <si>
    <t>carlos.lopez@redsalud.gob.cl</t>
  </si>
  <si>
    <t>1057532-386-PC25</t>
  </si>
  <si>
    <t>22.04.003.002</t>
  </si>
  <si>
    <t>Convenio - Adquisición de kit toma de muestra para Virus Papiloma Humano</t>
  </si>
  <si>
    <t>Adquirir kit de detección de VPH y arriendo de equipo.</t>
  </si>
  <si>
    <t>Javiera Gajardo</t>
  </si>
  <si>
    <t>Encargada Programas</t>
  </si>
  <si>
    <t>64-2565818-</t>
  </si>
  <si>
    <t>Javiera.gajardom@redsalud.gob.cl</t>
  </si>
  <si>
    <t>1057532-389-PC25</t>
  </si>
  <si>
    <t>Convenio - Servicio de Alimentación para usuarios CDR adulto Mayor Kumelen 2026</t>
  </si>
  <si>
    <t>Servicio de alimentación CDR Kumelen para usuarios que participan en talleres de lunes a viernes. Proceso licitatorio año 2025 finaliza 31/12/2025. Iniciar con Servicio 01/01/2026.</t>
  </si>
  <si>
    <t>64-2567366-</t>
  </si>
  <si>
    <t>1057532-390-PC25</t>
  </si>
  <si>
    <t>22.03.003</t>
  </si>
  <si>
    <t>Convenio - CALEFACCION GASTOS PARA AMBULATORIO Y REDIDENCIAL - CT PEULLA</t>
  </si>
  <si>
    <t>Mes de Ejecución, Enero 2026 Periodo de Vigencia, Enero a Diciembre 2026 Reposición de gas licuado de 45, 15, 11 y 5 kilos para la Comunidad Terapéutica Peulla, Unidades Ambulatorio y Residencial. Además, compra de 65 metros de leña, seca de 50 y 33 cm. de largo para calefaccionar Unidades Residencial y Ambulatorio.</t>
  </si>
  <si>
    <t>Convenio Leña</t>
  </si>
  <si>
    <t>Vale Gas</t>
  </si>
  <si>
    <t>1057532-391-PC25</t>
  </si>
  <si>
    <t>Convenio - Arriendo 159 PC Computacionales para establecimientos dependientes de la Dirección de Servicio de Salud Osorno</t>
  </si>
  <si>
    <t>Licitar, iniciando en Octubre del 2025 el proceso de arriendo de 159 PC AIO. El contrato respectivo tendrá una duración de 36 meses desde enero del 2026 hasta enero del año 2029. Los PC deben incluir el licenciamiento Sistemas Operativo Windows 11, licencias Office 365 y un antivirus por cada equipo.</t>
  </si>
  <si>
    <t>Arriendo Equipo</t>
  </si>
  <si>
    <t>01-11-2025,01-12-2025,01-01-2026,01-02-2026,01-03-2026,01-04-2026,01-05-2026,01-06-2026,01-07-2026,01-08-2026,01-09-2026,01-10-2026,01-11-2026,01-12-2026,01-01-2027,01-02-2027,01-03-2027,01-04-2027,01-05-2027,01-06-2027,01-07-2027,01-08-2027,01-09-2027,01-10-2027,01-11-2027,01-12-2027,01-01-2028,01-02-2028,01-03-2028,01-04-2028,01-05-2028,01-06-2028</t>
  </si>
  <si>
    <t>Jefe Depto. Tecnologías de la Información y Comunicaiciones</t>
  </si>
  <si>
    <t>64-2565840-</t>
  </si>
  <si>
    <t>bruno.ojeda@redsalud.gob.cl</t>
  </si>
  <si>
    <t>1057532-392-PC25</t>
  </si>
  <si>
    <t>22.08.008</t>
  </si>
  <si>
    <t>Convenio - Servicio de Sala Cuna, para el año 2026 de enero a diciembre, se requiere compra de 40 cupos para hijos/as de madres fun</t>
  </si>
  <si>
    <t>LAS SALA CUNAS CON LAS QUE SE REALICE CONVENIO, DEBEN CONTAR CON AUTORIZACIÓN DE FUNCIONAMIENTO, EMANADA POR LA SUBSECRETARÍA DE EDUCACIÓN PARVULARIA, CONTANDO CON REGLAMENTO INTERNOS, PROTOCOLOS ESTABLECIDOS POR NORMATIVA, PROYECTO EDUCATIVO INSTITUCIONAL, Y SOBRETOODO PERSONAL CALIFICADO PARA LA ATENCIÓN Y CUIDADOS DE LOS NIÑOS Y NIÑAS QUE ASISTIRAN.</t>
  </si>
  <si>
    <t>Sala Cuna</t>
  </si>
  <si>
    <t>Claudia Muñoz</t>
  </si>
  <si>
    <t>Encargada Cuidados Infantiles y Conciliación</t>
  </si>
  <si>
    <t>64-2567096-</t>
  </si>
  <si>
    <t>claudia.munozga@redsalud.gob.cl</t>
  </si>
  <si>
    <t>1057532-393-PC25</t>
  </si>
  <si>
    <t>Convenio - Servicio DIAS PROGRAMA DE REHABILITACIÓN TIPO II Desde el 01/01/2026 hasta el 31/12/2026.</t>
  </si>
  <si>
    <t>Se requiere la contratación del servicio denominado 11.040 Días de Programa de Rehabilitación Tipo II por un periodo de 12 meses, debiéndose otorgar 920 prestaciones mensuales para la atención regular y continua de un conjunto de actividades de rehabilitación por dieciocho a treinta horas semanales, en un mínimo de cuatro días y un período máximo de dos años. El servicio se requiere a contar del 01/01/2026 hasta el 31/12/2026. A un valor día programa rehabilitación tipo II de $19.547</t>
  </si>
  <si>
    <t>Programa</t>
  </si>
  <si>
    <t>Antonia Caifil Martínez</t>
  </si>
  <si>
    <t>Jefa Subdepto. Gestión Clínica y Adm. Red Temática de Salud Mental de Especialidad</t>
  </si>
  <si>
    <t>64-2565813-</t>
  </si>
  <si>
    <t>1077241-52-PC25</t>
  </si>
  <si>
    <t>22.04.004.006</t>
  </si>
  <si>
    <t>Convenio - ADQUISICION AYUDAS TECNICAS. CONVENIO SUMINISTRO AÑO 2026</t>
  </si>
  <si>
    <t>La ejecución de la compra será realizada desde enero a diciembre 2026, al igual que la duración del convenio. Esto debido al escaso espacio en almacenamiento de las ayudas técnicas en bodega, teniendo que realizar varias compras durante el año, según la demanda de los establecimientos de salud.</t>
  </si>
  <si>
    <t>Ayudas Técnicas</t>
  </si>
  <si>
    <t>Camila Alvarez Velasquez</t>
  </si>
  <si>
    <t>KINESIÓLOGA ENCARGADA PROGRAMA AYUDAS TÉCNICAS</t>
  </si>
  <si>
    <t>camila.alvarez@redsalud.gob.cl</t>
  </si>
  <si>
    <t>1057532-394-PC25</t>
  </si>
  <si>
    <t>Convenio - 8 CUPOS HOGAR PROTEGIDO HOMBRES PARA EL SERVICIO DE SALUD OSORNO, 12 MESES, ENERO A DICIEMBRE AÑO 2026.</t>
  </si>
  <si>
    <t>Se requiere la contratación del servicio denominado Hogar Protegido para Hombres, para 8 usuarios beneficiados, por un periodo de 12 meses. Incluyendo 1 usuario en categoría 3. Periodo Enero a diciembre 2026. Vigencia desde el 1 de enero del 2026.</t>
  </si>
  <si>
    <t>Hogar Protegido (7)</t>
  </si>
  <si>
    <t>Coordinador Unidad de Gestión de Procesos Clínicos de Atención de Especialidad Ambulatoria, Cerrada</t>
  </si>
  <si>
    <t>Hogar Protegido (1)</t>
  </si>
  <si>
    <t>1057532-395-PC25</t>
  </si>
  <si>
    <t>22.04.001</t>
  </si>
  <si>
    <t>Convenio - ARTICULOS LIBRERIA AÑO 2025-2026 (Pedidos Mensuales)</t>
  </si>
  <si>
    <t>Articulos de Libreria para entrega a Deptos, Unidades, etc, del Servicio de Salud Osorno, por un periodo de 12 meses.</t>
  </si>
  <si>
    <t>Material de Oficina</t>
  </si>
  <si>
    <t>Cecilia Garay L</t>
  </si>
  <si>
    <t>Encargado Bodega General</t>
  </si>
  <si>
    <t>64-2565716-</t>
  </si>
  <si>
    <t>cecilia.garay@redsalud.gob.cl</t>
  </si>
  <si>
    <t>1057532-5287-AG25</t>
  </si>
  <si>
    <t>1057532-5446-CM25</t>
  </si>
  <si>
    <t>1057532-396-PC25</t>
  </si>
  <si>
    <t>Convenio - SUMINISTRO DE CHIP PARA CALDERAS DE HOSPITALES PÜ MÜLEN Y FÜTA SRÜKA LAWENCHE KUNKO MAPU, AÑO 2026-2027</t>
  </si>
  <si>
    <t>Producto solicitado: Se requiere m3 de chip Duración del Convenio: 24 meses Fecha Inicio convenio: 01-01-2026 Fecha Término de Convenio: 31-12-2027 Vigencia: 24 meses</t>
  </si>
  <si>
    <t>Convenio</t>
  </si>
  <si>
    <t>Daniela Jara Cerda</t>
  </si>
  <si>
    <t>daniela.jarac@redsalud.gob.cl</t>
  </si>
  <si>
    <t>1057532-397-PC25</t>
  </si>
  <si>
    <t>22.09.003</t>
  </si>
  <si>
    <t>Convenio - CONVENIO DE ARRIENDO DE AMBULANCIAS SAMU POR EL PERIODO COMPRENDIDO ENTRE SEPTIEMBRE 2025 A DICIEMBRE 2026</t>
  </si>
  <si>
    <t>Convenio de arriendo de ambulancias SAMU, periodo comprendido entre septiembre 2025 a diciembre 2026, para dar continuidad a la atención prehospitalaria con 6 ambulancias operativas en la provincia de Osorno al realizar mantenciones preventivas y correctivas a ambulancias institucionales. Se arrendarán las ambulancias que sean necesarias que permita una dotación 6 ambulancias operativas para la atención prehospitalaria. Las ambulancias deben cumplir con especificaciones técnicas según determine el equipo clínico y de mantención de vehículos</t>
  </si>
  <si>
    <t>Arriendo Ambulancia</t>
  </si>
  <si>
    <t>01-09-2025,01-10-2025,01-11-2025,01-12-2025,01-01-2026,01-02-2026,01-03-2026,01-04-2026,01-05-2026,01-06-2026,01-07-2026,01-08-2026,01-09-2026,01-10-2026,01-11-2026,01-12-2026</t>
  </si>
  <si>
    <t>Raul Nuñez Vega</t>
  </si>
  <si>
    <t>JEFE SAMU OSORNO</t>
  </si>
  <si>
    <t>64-2567353-</t>
  </si>
  <si>
    <t>raul.nunezv@redsalud.gob.cl</t>
  </si>
  <si>
    <t>1057532-398-PC25</t>
  </si>
  <si>
    <t>Convenio - MANTENCION Y OBRAS MENORES INFRAESTRUCTURA DE LOS ESTABLECIMIENTOS DEL SERVICIO DE SALUD OSORNO 2026</t>
  </si>
  <si>
    <t>MANTENIMIENTO Y/O REPARACIONES DE LA INFRAESTRUCTURA COMO MUROS, TABIQUES, TECHUMBRES, CIELOS INTERIORES, PISOS, CARPINTERIA, PUERTAS, VENTANAS, PINTURA, CIERRES, CERCOS, CERRAJERIA, ARTEFACTOS ELECTRICOS (INTERRUPTORES, ENCHUFES, EQUIPOS DE ILUMINACIÓN, ACCIONAMIENTOS Y CENTROS DE DERIVACIÓN, ETC), ARTEFACTOS SANITARIOS, REDES, EQUIPOS A GAS Y MOBILIARIO EN GENERAL . MES DE EJECUCIÓN DEL CONVENIO: DESDE ENERO A DICIEMBRE 2026.</t>
  </si>
  <si>
    <t>Mantención</t>
  </si>
  <si>
    <t>Garibe Gallardo Trujillo</t>
  </si>
  <si>
    <t>PROFESIONAL</t>
  </si>
  <si>
    <t>64-2565596-</t>
  </si>
  <si>
    <t>GARIBE.GALLARDO@REDSALUD.GOB.CL</t>
  </si>
  <si>
    <t>1057532-399-PC25</t>
  </si>
  <si>
    <t>Convenio - Convenio de suministro de oxigenoterapia domiciliaria para pacientes del Programa Cuidados Paliativos Universales APS</t>
  </si>
  <si>
    <t>Servicio de oxigenoterapia domiciliaria para personas beneficiarias de ley 21.375 ingresadas al Programa CPU APS. Convenio a ejecutar por 15 meses, a partir del 23 de octubre 2025 al 31 diciembre 2026.</t>
  </si>
  <si>
    <t>Convenio Oxigeno</t>
  </si>
  <si>
    <t>01-10-2025,01-11-2025,01-12-2025,01-01-2026,01-02-2026,01-03-2026,01-04-2026,01-05-2026,01-06-2026,01-07-2026,01-08-2026,01-09-2026,01-10-2026,01-11-2026,01-12-2026</t>
  </si>
  <si>
    <t>María Teresa Jaramillo Vergara</t>
  </si>
  <si>
    <t>Encargada Alivio del Dolor y Cuidados Paliativos Universales</t>
  </si>
  <si>
    <t>64-2565809-</t>
  </si>
  <si>
    <t>maria.jaramillov@redsalud.gob.cl</t>
  </si>
  <si>
    <t>1057532-5742-SE25</t>
  </si>
  <si>
    <t>1057532-400-PC25</t>
  </si>
  <si>
    <t>Convenio - Convenio año 2026 Combustible calefacción para dispositivos del Servicio de Salud Osorno</t>
  </si>
  <si>
    <t>Adquisición Combustible calefacción para dispositivos del Servicio de Salud Osorno , desde mes Enero a Diciembre año 2026</t>
  </si>
  <si>
    <t>Combustible</t>
  </si>
  <si>
    <t>Pablo Oyarzo</t>
  </si>
  <si>
    <t>Encargado (S) Administracion Interna</t>
  </si>
  <si>
    <t>64-2565660-</t>
  </si>
  <si>
    <t>pablo.oyarzo@redsalud.gob.cl</t>
  </si>
  <si>
    <t>1057532-401-PC25</t>
  </si>
  <si>
    <t>22.04.007.002</t>
  </si>
  <si>
    <t>Convenio - CONVENIO INSUMOS DE ASEO PARA DISPOSITIVOS DE LA RED AÑO 2026</t>
  </si>
  <si>
    <t>CONVENIO DE ENERO A DICIEMBRE DEL AÑO 2026 ( Formulario enviado)</t>
  </si>
  <si>
    <t>1057532-402-PC25</t>
  </si>
  <si>
    <t>22..10.002</t>
  </si>
  <si>
    <t>Convenio - CONTRATACION DE SEGUROS GENERALES PARA VEHICULOS MOTORIZADOS PERTENECIENTES AL SERVICIO DE SALUD OSORNO 2026 - 2027</t>
  </si>
  <si>
    <t>Contratación de Seguros para Vehículos Motorizados pertenecientes al Servicio de Salud Osorno que prestan servicios en los Establecimientos Asistenciales, ya sea como Ambulancias, Camionetas, Minibuses, Station Wagon, Clínicas Dentales o como transporte de personas, etc. Esto, por considerar que, dadas las condiciones de trabajo de dichos vehículos y las características viales de esta Región en particular, así lo aconsejan.</t>
  </si>
  <si>
    <t>Convenios Seguros</t>
  </si>
  <si>
    <t>Encargado Seccion</t>
  </si>
  <si>
    <t>1077241-53-PC25</t>
  </si>
  <si>
    <t>Convenio - Servicio de arriendo e informes de teleelectrocardiografía (sospecha IAM), para 13 establecimientos de urgencia de APS</t>
  </si>
  <si>
    <t>Servicio de arriendo (comodato) de 13 equipos portátiles de teleelectrocardiografía a distancia para la sospecha de IAM en dispositivos de la Red de Urgencia primaria de la provincia e informes de electrocardiografía a distancia, emitidos por médico cardiólogo o internista. Fecha de implementación: desde el 01/01/2026 al 31/12/2026. presupuesto: Minsal para tele ECG IAM, 2026</t>
  </si>
  <si>
    <t>1057532-403-PC25</t>
  </si>
  <si>
    <t>22.06.002</t>
  </si>
  <si>
    <t>Convenio - CONVENIO SERVICIOS DE MANTENCION PREVENTIVA, CORRECTIVA Y/O REPARATIVAS PARA LAS CONVERSIONES EN AMBULANCIAS Y VEHÍCULOS</t>
  </si>
  <si>
    <t>Realizar mantenciones preventivas a todos los sistemas de las conversiones de las Ambulancias y vehículos con equipos especiales, como también realizar mantenciones correctivas y/o reparativas, según sea requerido.</t>
  </si>
  <si>
    <t>1057532-404-PC25</t>
  </si>
  <si>
    <t>Convenio - SERVICIOS DE MANTENCION PREVENTIVA, CORRECTIVA Y/O REPARATIVAS PARA VEHICULOS MULTIMARCAS AÑO 2026-2027</t>
  </si>
  <si>
    <t>Mantenciones 2026 Preventivas, correctivas y/o reparativas para vehículos motorizados mutimarcas de la Red Asistencial del Servicio de Salud Osorno. Enero2026 - Diciembre2026</t>
  </si>
  <si>
    <t>Encargado Sección Mantenimiento de Vehículos</t>
  </si>
  <si>
    <t>1057532-5558-SE25</t>
  </si>
  <si>
    <t>1057532-405-PC25</t>
  </si>
  <si>
    <t>Convenio - SERVICIOS DE MANTENCION PREVENTIVA, CORRECTIVA Y/O REPARATIVAS PARA BUS MITSUBISHI FUSO ROSA AÑO 2026</t>
  </si>
  <si>
    <t>Convenio 2026 -Mantenciones Preventivas, correctivas y/o reparativas de vehículos motorizados de la marca Mitsubishi - Fuso de la Red Asistencial del Servicio de Salud Osorno. Enero 26 - Diciembre 26</t>
  </si>
  <si>
    <t>1057532-419-PC25</t>
  </si>
  <si>
    <t>22.05</t>
  </si>
  <si>
    <t>Convenio - ADQUISICIÓN E IMPLEMENTACIÓN DE SISTEMA DIGITAL DE COMUNICACIONES CON TECNOLOGÍA PTT Y CONTROL DE FLOTA DE SALUD OSORNO</t>
  </si>
  <si>
    <t>Sistema Push To Talk y control de flota, integrado al sistema VHF de SSO y conexión a canal nacional SAMU, por un periodo de 36 meses, desde enero 2026 hasta diciembre 2028, para complementar zonas que no cuentan con cobertura radial e implementar gestión de flota moviles de la red.</t>
  </si>
  <si>
    <t>Radio comunicaciones</t>
  </si>
  <si>
    <t>Catalina Vera Castro</t>
  </si>
  <si>
    <t>64-2337728-</t>
  </si>
  <si>
    <t>Bienestar</t>
  </si>
  <si>
    <t>1057727-2-PC26</t>
  </si>
  <si>
    <t>Enviado</t>
  </si>
  <si>
    <t>PAC General Bienestar 2026, se agrupa el total de actividades realizadas por Bienestar SSO.</t>
  </si>
  <si>
    <t>describe una serie de iniciativas y actividades organizadas por el Servicio de Salud Osorno con el objetivo de fomentar el bienestar, la cultura, el deporte y la convivencia entre sus afiliados, tanto activos como pasivos. Las actividades incluyen proyectos deportivos, eventos artísticos y culturales, manualidades y folclore, así como celebraciones especiales como la Gala Folclórica y la Celebración de Navidad para los hijos de los afiliados.</t>
  </si>
  <si>
    <t>Proyecto Concunsable</t>
  </si>
  <si>
    <t>Claudia Centeno</t>
  </si>
  <si>
    <t>Cajera</t>
  </si>
  <si>
    <t>64-2336164-</t>
  </si>
  <si>
    <t>claudia.centeno@redsalud.gob.cl</t>
  </si>
  <si>
    <t>Concurso Fotografia</t>
  </si>
  <si>
    <t>Festival de la Voz</t>
  </si>
  <si>
    <t>Gala 18</t>
  </si>
  <si>
    <t>Full Day</t>
  </si>
  <si>
    <t>Olimpiadas DSSO</t>
  </si>
  <si>
    <t>Navidad</t>
  </si>
  <si>
    <t>Alimentación Navidad</t>
  </si>
  <si>
    <t>1077241-61-PC26</t>
  </si>
  <si>
    <t>22.12.999.02</t>
  </si>
  <si>
    <t>Adquisición de prestaciones de rehabilitación integral a niños, niñas y adolescentes con Trastorno del Espectro Autista</t>
  </si>
  <si>
    <t>Se requiere la ADQUISICIÓN DE PRESTACIONES DE REHABILITACIÓN INTEGRAL PARA EVALUACIÓN DIAGNÓSTICA Y TRATAMIENTO EN NIÑOS, NIÑAS Y ADOLESCENTES CON TRASTORNO DEL ESPECTRO AUTISTA (TEA). Se entregarán prestaciones a usuarios de la provincia de Osorno. Se realizará pago por prestaciones realizadas de acuerdo a arancel de modalidad de libre elección nivel 3, para cada una de ellas. Debido a que cada usuario tiene un Plan de tratamiento distinto, la cantidad de prestaciones no se puede definir, al igual que el numero de NNA.</t>
  </si>
  <si>
    <t>Convenio TEA</t>
  </si>
  <si>
    <t>01-03-2026,01-04-2026,01-05-2026,01-06-2026,01-07-2026,01-08-2026,01-09-2026,01-10-2026,01-11-2026,01-12-2026</t>
  </si>
  <si>
    <t>Karin Avila</t>
  </si>
  <si>
    <t>Referente Rehabilitación Integral</t>
  </si>
  <si>
    <t>64-2335807-</t>
  </si>
  <si>
    <t>karin.avila@redsalud.gob.cl</t>
  </si>
  <si>
    <t>Compras Convenio GORE Region de Los Lagos</t>
  </si>
  <si>
    <t>1180747-5-PC26</t>
  </si>
  <si>
    <t>29.05.002</t>
  </si>
  <si>
    <t>GORE: Apoyo de Rehabilitación Integral e Inclusión Social para niños, niñas y adolescentes con TEA</t>
  </si>
  <si>
    <t>Compra de Insumos y equipamiento para el desarrollo del Programa (GORE) ?Apoyo de Rehabilitación Integral e Inclusión Social para niños, niñas y adolescentes con Trastorno del Espectro Autista, para su ejecución enero-diciembre 2025. Programa que será ejecutido con la implementación de una sala de rehabilitación y un equipo de profesionales T. Ocupacional, Fonoaudiologo y Psicologo, para las 7 comunas de la provincia de Osorno. En algunas de ellas se considera el arriendo de un espacio y en otras la implementación en espacios publicos municipal</t>
  </si>
  <si>
    <t>Servicio Movilización</t>
  </si>
  <si>
    <t>Arriendo</t>
  </si>
  <si>
    <t>Arriendo Informatico</t>
  </si>
  <si>
    <t>Servicio Cafeteria</t>
  </si>
  <si>
    <t>Impresión</t>
  </si>
  <si>
    <t>Equipo Sensorial</t>
  </si>
  <si>
    <t>1077241-62-PC26</t>
  </si>
  <si>
    <t>22.04.005</t>
  </si>
  <si>
    <t>PRAPS Fondo de Farmacia para enfermedades crónicas no transmisibles en APS (FOFAR)</t>
  </si>
  <si>
    <t>Medicamentos e insumos para dar apoyo a la red cuando se requiera asociado al programa Fondo de Farmacia para enfermedades crónicas no transmisibles en establecimientos de APS (FOFAR) periodo 2026.</t>
  </si>
  <si>
    <t>Chessarina Tuchie Fischer</t>
  </si>
  <si>
    <t>Encargada Programa Fofar</t>
  </si>
  <si>
    <t>64-2335833-</t>
  </si>
  <si>
    <t>chessarina.tuchief@redsalud.gob.cl</t>
  </si>
  <si>
    <t>Insumos Medicos</t>
  </si>
  <si>
    <t>1077241-63-PC26</t>
  </si>
  <si>
    <t>22.04</t>
  </si>
  <si>
    <t>Adquisición de insumos para la atención en domicilio del Equipo Rehabilitación Rural SSO.</t>
  </si>
  <si>
    <t>Compra de elementos de higiene para el funiconamiento del Equipo Rural de Rehabilitación</t>
  </si>
  <si>
    <t>Materiales de Aseo</t>
  </si>
  <si>
    <t>1057532-281-PC26</t>
  </si>
  <si>
    <t>22.06.007</t>
  </si>
  <si>
    <t>Mantención Plotter Canon IPF 770, del depto. de Proyectos.</t>
  </si>
  <si>
    <t>Mantención anual preventiva, limpieza, cambio de cabezales y revisión de componentes.</t>
  </si>
  <si>
    <t>Mantencion</t>
  </si>
  <si>
    <t>Mario Barrientos</t>
  </si>
  <si>
    <t>Jefe Subdepto. Diseño De Infraestructura De Salud</t>
  </si>
  <si>
    <t>64-2335843-</t>
  </si>
  <si>
    <t>mario.barrientos@redsalud.gob.cl</t>
  </si>
  <si>
    <t>1057532-282-PC26</t>
  </si>
  <si>
    <t>Compra rollos papel para impresión del Departamento de Proyectos SSO.</t>
  </si>
  <si>
    <t>Adquisición de rollos de 50 mts de papel bond 80 grs, para la impresión de expedientes técnicos de la cartera de Inversión del SSO.</t>
  </si>
  <si>
    <t>Rollos</t>
  </si>
  <si>
    <t>1057532-283-PC26</t>
  </si>
  <si>
    <t>22.04.009</t>
  </si>
  <si>
    <t>Compra Tinta Plotter Canon IPF 770</t>
  </si>
  <si>
    <t>Compra de 2 set completos (6 tintas cada set) de tinta originales para Plotter Canon IPF 770.</t>
  </si>
  <si>
    <t>Tinta Plotter</t>
  </si>
  <si>
    <t>1057532-284-PC26</t>
  </si>
  <si>
    <t>Adquisicición Hojas Prehospitalarias</t>
  </si>
  <si>
    <t>Talonarios</t>
  </si>
  <si>
    <t>Silvia Delgado</t>
  </si>
  <si>
    <t>Encargada Proceso De Urgencia</t>
  </si>
  <si>
    <t>64-2335844-</t>
  </si>
  <si>
    <t>silvia.delgado@redsalud.gob.cl</t>
  </si>
  <si>
    <t>1057532-285-PC26</t>
  </si>
  <si>
    <t>22.04.999</t>
  </si>
  <si>
    <t>Adquisicición Kit de Triage y Sistema de comando incidente</t>
  </si>
  <si>
    <t>Permitirá estandarizar la evaluación, clasificación y priorización de pacientes según su gravedad clínica, asegurando una atención oportuna y eficiente. Su ejecución sera entre enero a marzo 2026.</t>
  </si>
  <si>
    <t>Kit Sistema</t>
  </si>
  <si>
    <t>1057532-286-PC26</t>
  </si>
  <si>
    <t>II Jornada de Capacitación Red de Urgencia</t>
  </si>
  <si>
    <t>Proyecto de Capacitación ?Curso de Atención Inicial en Urgencias y Entorno Prehospitalario para el Paciente Crítico?. Busca abordar brechas críticas identificadas en la evaluación y manejo inicial de pacientes en situación de urgencia vital, en el ámbito prehospitalario como en servicios de urgencia, mediante un enfoque estandarizado y protocolizado que fortalezca las competencias del equipo clínico. Se requiere servicio de cafeteria y para generar certificación a los asistentes, a ejecutar en marzo 2026, previo a campaña de invierno.</t>
  </si>
  <si>
    <t>Opalina</t>
  </si>
  <si>
    <t>1057532-287-PC26</t>
  </si>
  <si>
    <t>22.01.001</t>
  </si>
  <si>
    <t>?DIAGNÓSTICO Y DIALOGO PARTICIPATIVO COSAM RAHUE ?NOVIEMBRE 2026?</t>
  </si>
  <si>
    <t>Entregar un coffe break para jornada ?Diálogo participativo 2026" a realizarse en el mes de noviembre 2026. En este espacio significativo se busca capturar información relevante, conocer puntos de vista de las /os participantes, identificando y comprendiendo las problemáticas en salud mental de nuestro territorio a cargo, siendo de importancia para nuestra labor en salud publica generar espacios de integración y trabajo en red , que contribuyan a la salud mental de nuestros usuarios /as. Con cargo a fondo extrapresupuestario SENDA-PAI</t>
  </si>
  <si>
    <t>Camilo Martínez</t>
  </si>
  <si>
    <t>Director(S)</t>
  </si>
  <si>
    <t>64-2335608-</t>
  </si>
  <si>
    <t>camilo.martinez@redsalud.gob.cl</t>
  </si>
  <si>
    <t>1057532-288-PC26</t>
  </si>
  <si>
    <t>Jornadas de encuentro y autocuidado Para usuarios y cuidadores ?SALUDABLE-MENTE en dispositivo COSAM RAHUE 2026</t>
  </si>
  <si>
    <t>4 servicios de cafetería, mas colación saludable para 20 personas en los meses de abril ?julio ?septiembre y diciembre del 2026. Con cargo a fondo extrapresupuestario SENDA-PAI</t>
  </si>
  <si>
    <t>01-07-2026,01-09-2026,01-12-2026</t>
  </si>
  <si>
    <t>1057532-317-PC26</t>
  </si>
  <si>
    <t>22.04.015</t>
  </si>
  <si>
    <t>?Eco-huerto sustentable -Sistema de acuaponía sin suelo? COSAM RAHUE 2026</t>
  </si>
  <si>
    <t>5 Kits Torre PRO48, Sistema Aero/Hidropónico vertical con macetero de 40 lts con ruedas para mover con mayor facilidad en superficies planas. Capacidad de hasta 48 plantas. Incluye fertilizantes y plantas seleccionadas a elección. Se requiere para el mes de marzo 2026. Con cargo a presupuesto de SSO.</t>
  </si>
  <si>
    <t>Macetero</t>
  </si>
  <si>
    <t>1057532-320-PC26</t>
  </si>
  <si>
    <t>Insumos y medicamentos Farmacia COSAM RAHUE</t>
  </si>
  <si>
    <t>Garantizar disponibilidad de medicamentos para el tratamiento de los usuarios. Realizar correctamente la dispensación de medicamentos a los usuarios, con la correspondiente etiqueta y comprobante de entrega de fármacos. INSUMOS SE REQUIEREN PARA EL MES DE ENERO 2026</t>
  </si>
  <si>
    <t>Insumos y Repuestos</t>
  </si>
  <si>
    <t>1057532-321-PC26</t>
  </si>
  <si>
    <t>Capacitación en Salud Mental Intercultural COSAM Rahue.</t>
  </si>
  <si>
    <t>Se requiere servicio de cafetería con pertinencia cultural, para jornadas de Capacitación a dotación de COSAM Rahue y Comunidad Mapuche Huilliche, en el contexto de cambio a nuevas instalaciones, la incorporación de Facilitador Intercultural, el aumento de dotación de funcionarios de COSAM Rahue. Lo anterior trae desafíos para la implementación de Salud Mental Intercultural que se espera abordad a través de capacitación continua como una de las estrategias. Se programan 1 jornada en el mes de mayo y otra en noviembre. Con cargo a SENDA-PAI</t>
  </si>
  <si>
    <t>1057532-322-PC26</t>
  </si>
  <si>
    <t>Celebración de We Tripantu en COSAM Rahue 2026</t>
  </si>
  <si>
    <t>Se requiere contratación de servicio de cafetería con pertinencia cultural, a fin de llevar a cabo Celebración de We Tripantu, ceremonia que marca el nuevo ciclo para la comunidad Mapuche Huilliche. Está programada para el viernes 19 de junio de 2026, con la participación de 140 personas entre usuarios y participantes de la comunidad del territorio de COSAM Rahue. Con cargo a fondo extrapresupuestario SENDA-PAI</t>
  </si>
  <si>
    <t>1057532-323-PC26</t>
  </si>
  <si>
    <t>Jornadas de autocuidado equipo profesional PAI COSAM Rahue</t>
  </si>
  <si>
    <t>Servicio de cafetería para jornada Autocuidado programa PAI COSAM Rahue, para 30 personas, en el mes de septiembre 2026. Con cargo a fondo extrapresupuestario SENDA-PAI</t>
  </si>
  <si>
    <t>1077241-64-PC26</t>
  </si>
  <si>
    <t>Ceremonia de alta SENDA-PAI COSAM Rahue 2026</t>
  </si>
  <si>
    <t>1 servicio de cafetería para 50 personas para ceremonia alta de Programa SENDA-PAI COSAM Rahue, en el mes de agosto de 2026.</t>
  </si>
  <si>
    <t>1057532-324-PC26</t>
  </si>
  <si>
    <t>CONVENIO - ADQUISICION DE 8 CUPOS HOGAR PROTEGIDO MUJERES PARA EL SERVICIO DE SALUD OSORNO POR PERIODO DE 12 MESES</t>
  </si>
  <si>
    <t>Se requiere la contratación del servicio denominado Hogar Protegido Mujeres (beneficiarios 8 usuarios) para usuarios/as por un periodo de 12 meses. Vigencia desde el 22 de marzo de 2026 al 23 de marzo de 2027. Incluye: $ 35.500 valor prestación Día Hogar Protegido (6 usuarios). $ 54.145 valor prestación categoría 2 (1 usuario) $ 65.546 valor prestación categoría 3 (1 usuario)</t>
  </si>
  <si>
    <t>Hogar Protegido 6</t>
  </si>
  <si>
    <t>01-03-2026,01-04-2026,01-05-2026,01-06-2026,01-07-2026,01-08-2026,01-09-2026,01-10-2026,01-11-2026,01-12-2026,01-01-2027,01-02-2027</t>
  </si>
  <si>
    <t>Coordinador Unidad De Gestión De Procesos Clínicos De Atención De Especialidad Ambulatoria, Cerrada</t>
  </si>
  <si>
    <t>Hogar Protegido 1</t>
  </si>
  <si>
    <t>1077241-65-PC26</t>
  </si>
  <si>
    <t>Anilladora e insumos para preparación de material Cosam Rahue. Fondo extrapresupuestarios SENDA PAI</t>
  </si>
  <si>
    <t>Se requiere adquirir anilladora e insumos para la elaboración de material de trabajo y difusión para el mes de febrero. Lo anterior con cargo a fondo extrapresupuestario SENDA PAI.</t>
  </si>
  <si>
    <t>1057532-325-PC26</t>
  </si>
  <si>
    <t>SERVICIO CAFETERÍA CEREMONIA ANIVERSARIO COSAM RAHUE</t>
  </si>
  <si>
    <t>Se requiere servicio de cafetería para 150 personas para el mes de mayo 2026. Se espera: ? La participación de Directivos del Servicio de Salud Osorno, funcionarios de COSAM Rahue, usuarios y comunidad.</t>
  </si>
  <si>
    <t>1077241-66-PC26</t>
  </si>
  <si>
    <t>Jornada de Autocuidado funcionarios COSAM Rahue, con cargo a fondo extrapresupuestario SENDA-PAI</t>
  </si>
  <si>
    <t>Se requiere la contratación de 2 servicios de cafetería para jornadas de autocuidado de la comunidad funcionaria para 100 personas cada uno: mes de junio y mes de diciembre. La contratación de este servicio será cargada a fondos extrapresupuestarios SENDA-PAI</t>
  </si>
  <si>
    <t>1077241-67-PC26</t>
  </si>
  <si>
    <t>Celebración fiestas patrias usuarios y cuidadores COSAM RAHUE.</t>
  </si>
  <si>
    <t>Se requiere la compra de insumos de alimentación para actividad de celebración de fiestas patrias con usuarios y cuidadores de Programa de Atención Domiciliaria, Programa Calle, Programa SENDA PAI, Consejo Consultivo Adulto e Infanto-adolescente y usuarios de talleres, para el 04/09/2026. Con cargo a fondo extrapresupuestario SENDA-PAI</t>
  </si>
  <si>
    <t>Alimentos 18 Sept</t>
  </si>
  <si>
    <t>1057532-326-PC26</t>
  </si>
  <si>
    <t>Adquisición de insumos para la atención en domicilio del Equipo Rehabilitación Rural SSO. (Articulos de Libreria)</t>
  </si>
  <si>
    <t>Compra de articulos de libreria para el funiconamiento del Equipo Rural de Rehabilitación (marzo 2026)</t>
  </si>
  <si>
    <t>1077241-68-PC26</t>
  </si>
  <si>
    <t>Adquisición de insumos para la atención en domicilio del Equipo Rehabilitación Rural SSO (material Ergoterapia)</t>
  </si>
  <si>
    <t>Compra de material de ergoterapia para el funiconamiento del Equipo Rural de Rehabilitación</t>
  </si>
  <si>
    <t>Pistola Silicona</t>
  </si>
  <si>
    <t>1057532-327-PC26</t>
  </si>
  <si>
    <t>Convenio - 3 CUPOS DE RESIDENCIA PROTEGIDA PARA EL SERVICIO DE SALUD OSORNO EN LA PROVINCIA DE CONCEPCIÓN, POR PERIODO DE 24 MESES.</t>
  </si>
  <si>
    <t>Se requiere la contratación del servicio denominado Residencia Protegida (beneficiarios 3 usuarios) para usuarios/as por un periodo de 24 meses. Vigencia desde el 31 de marzo de 2026 al 1 de abril de 2028. $ 54.154 valor prestación Día residencia Protegida (3 usuarios). Estos usuarias cuentan actualmente con domicilio en la comuna de Hualqui, derivados bajo la responsabilidad de nuestro Servicio de Salud.</t>
  </si>
  <si>
    <t>Residencia Protegia</t>
  </si>
  <si>
    <t>01-03-2026,01-04-2026,01-05-2026,01-06-2026,01-07-2026,01-08-2026,01-09-2026,01-10-2026,01-11-2026,01-12-2026,01-01-2027,01-02-2027,01-03-2027,01-04-2027,01-05-2027,01-06-2027,01-07-2027,01-08-2027,01-09-2027,01-10-2027,01-11-2027,01-12-2027,01-01-2028,01-02-2028</t>
  </si>
  <si>
    <t>1057532-328-PC26</t>
  </si>
  <si>
    <t>Rollos Etiquetas para impresora ZEBRA ZD 220 y rollos de cinta para impresora SOME, COSAM RAHUE</t>
  </si>
  <si>
    <t>Se requiere la compra de 50 Rollos Etiquetas para impresora ZEBRA ZD 888T y 50 rollos de cinta para impresora SOME para el mes de enero 2026.</t>
  </si>
  <si>
    <t>1057532-329-PC26</t>
  </si>
  <si>
    <t>Convenio - 10 CUPOS RESIDENCIA PROTEGIDA DE ALTA COMPLEJIDAD PARA EL SERVICIO DE SALUD OSORNO POR PERIODO DE 12 MESES.</t>
  </si>
  <si>
    <t>Se requiere la contratación del servicio denominado Residencia Protegida alta complejidad (beneficiarios 10 usuarios) para usuarios/as por un periodo de 12 meses. Vigencia desde el 15 de marzo de 2026 al 16 de marzo de 2027. $ 81.432 valor prestación Día residencia Protegida alta complejidad (10 usuarios).</t>
  </si>
  <si>
    <t>1057532-330-PC26</t>
  </si>
  <si>
    <t>22.04.007</t>
  </si>
  <si>
    <t>INSUMOS DE ASEO COSAM RAHUE</t>
  </si>
  <si>
    <t>Contar con insumos de aseo para el buen funcionamiento del dispositivo, no disponibles en maestro de abastecimiento. Insumos se requieren para el mes de marzo 2026.</t>
  </si>
  <si>
    <t>Insumos de Aseo</t>
  </si>
  <si>
    <t>1057532-331-PC26</t>
  </si>
  <si>
    <t>22.12.999.015</t>
  </si>
  <si>
    <t>Compra de Insumos de Cafetería reuniones ordinarias anuales de Salud Pueblos Originarios</t>
  </si>
  <si>
    <t>Compra Insumos de cafetería para reuniones mensuales Salud Pueblos Originarios, se proyectan 18 reuniones ordinarias (marzo a diciembre) con un aproximado de 365 personas.</t>
  </si>
  <si>
    <t>Pedro Huito</t>
  </si>
  <si>
    <t>Apoyo Salud Intercultural</t>
  </si>
  <si>
    <t>64-2335814-</t>
  </si>
  <si>
    <t>pedro.huito@redsalud.gob.cl</t>
  </si>
  <si>
    <t>1077241-69-PC26</t>
  </si>
  <si>
    <t>Insumos cafetería actividades con usuarios Cosam Rahue y comunidad 2026, fondo extrapresupuestario SENDA PAI</t>
  </si>
  <si>
    <t>Insumos de cafetería para la ejecución de talleres, actividades grupales y psicoeducativas que se desarrollan con usuarios/as de Cosam Rahue y la comunidad para el año 2026, con cargo a fondo extrapresupuestario SENDA PAI. Se requiere compra para enero 2026.</t>
  </si>
  <si>
    <t>Alimentos</t>
  </si>
  <si>
    <t>1077241-70-PC26</t>
  </si>
  <si>
    <t>INSUMOS ESCRITORIO COSAM RAHUE, FONDO EXTRAPRESUPUESTARIO SENDA-PAI</t>
  </si>
  <si>
    <t>Insumos de escritorio que no se encuentran en el maestro de Depto de Abastecimiento o que son insuficientes para el correcto funcionamiento del dispositivo. Se requieren para el mes de marzo 2026. con cargo a fondo extrapresupuestario SENDA-PAI</t>
  </si>
  <si>
    <t>1057532-332-PC26</t>
  </si>
  <si>
    <t>Actualizado</t>
  </si>
  <si>
    <t>Protectores solares FPS 50 para funcionarios y usuarios taller huerto</t>
  </si>
  <si>
    <t>En el contexto de atención clínica comunitaria, el equipo técnico-profesional de Cosam Rahue realiza acciones en la comunidad, tales como talleres, visitas domiciliarias y actividades al aire libre, por lo que se requiere protector solar para enero 2026.</t>
  </si>
  <si>
    <t>Protectores Solares</t>
  </si>
  <si>
    <t>1077241-71-PC26</t>
  </si>
  <si>
    <t>Compra de tintas de repuesto impresoras Cosam Rahue</t>
  </si>
  <si>
    <t>Se requiere la compra de tinta de repuesto para la operatividad de impresoras que se utilizan para la elaboración de material a color para las diversas actividades de promoción y prevención, para el mes de abril 2026, con a SENDA-PAI.</t>
  </si>
  <si>
    <t>Tintas</t>
  </si>
  <si>
    <t>1077241-74-PC26</t>
  </si>
  <si>
    <t>Insumos alimenticios para el Programa SENDA Calle. Fondo extrapresupuestario SENDA PAI</t>
  </si>
  <si>
    <t>Se requiere adquirir insumos alimenticios para usuarios pertenecientes al Programa para personas en situación de calle con consumo de alcohol y otras drogas. Lo anterior con cargo a fondo extrapresupuestario SENDA PAI</t>
  </si>
  <si>
    <t>1057532-333-PC26</t>
  </si>
  <si>
    <t>22.04.003</t>
  </si>
  <si>
    <t>TEST DE DETECCION DE DROGAS</t>
  </si>
  <si>
    <t>Se requiere la adquisición de test de detección de drogas con capacidad para reconocer nueve o más tipos de sustancias, destinados a procesos de evaluación y control del programa. Los test deberán venir en envases individuales sellados, garantizando higiene y seguridad. Su diseño debe evitar el contacto directo con la orina, mediante sistema de activación tipo llave o mecanismo interno, asegurando fiabilidad, trazabilidad y resultados confiables. Ejecución: octubre 2026.</t>
  </si>
  <si>
    <t>Test</t>
  </si>
  <si>
    <t>Carolina Silva</t>
  </si>
  <si>
    <t>Encargada De Compras</t>
  </si>
  <si>
    <t>64-2335492-</t>
  </si>
  <si>
    <t>CAROLINA.SILVALL@REDSALUD.GOB.CL</t>
  </si>
  <si>
    <t>1077241-75-PC26</t>
  </si>
  <si>
    <t>Taller de Herramientas Psicológicas, Taller PEERS</t>
  </si>
  <si>
    <t>Estos espacios buscan generar un ambiente de confianza, cercanía y participación activa de los usuarios, por lo que ofrecen un momento de compartir alimentos contribuye directamente a los objetivos terapéuticos. Otros materiales contribuyen en el manejo de ansiedad (como bolsas de papel Kraft, pelotas antiestrés, pañuelos desechables), y permite enseñar técnicas de manejo de síntomas ansiosos.</t>
  </si>
  <si>
    <t>Pedro Fritz</t>
  </si>
  <si>
    <t>Director Cosam</t>
  </si>
  <si>
    <t>64-2335610-</t>
  </si>
  <si>
    <t>Caja, Pelotas</t>
  </si>
  <si>
    <t>Pañuelos faciales</t>
  </si>
  <si>
    <t>1057532-334-PC26</t>
  </si>
  <si>
    <t>PAC insumos clínicos unidad de enfermería 2026.</t>
  </si>
  <si>
    <t>Los insumos clínicos son elementos fundamentales para la prestación de cuidados de enfermería entregados en COSAM Oriente. Estos materiales permiten que el personal de enfermería pueda cumplir con las funciones de tomas de muestras y procedimientos, para garantizar una atención segura y de calidad a la población usuaria. Es importante que la adquisición sea entre los meses de febrero y marzo 2026, para evitar quiebre de stock de insumos clínicos.</t>
  </si>
  <si>
    <t>Tiras, test rápido, alcohol</t>
  </si>
  <si>
    <t>Insumos clínicos</t>
  </si>
  <si>
    <t>Biombo, pesa</t>
  </si>
  <si>
    <t>Equipo curación, algodón</t>
  </si>
  <si>
    <t>Cooler</t>
  </si>
  <si>
    <t>Caja</t>
  </si>
  <si>
    <t>1077241-76-PC26</t>
  </si>
  <si>
    <t>22.01.002</t>
  </si>
  <si>
    <t>INTERVENCIÓN PSICOSOCIAL GRUPAL TALLER PARA JOVENES Y ADOLESCENTES EN TRATAMIENTO EN COSAM ORIENTE</t>
  </si>
  <si>
    <t>Taller con duración de 8 sesiones se desarrolla durante todo el año. Solicitud de compra para el mes de enero 2026</t>
  </si>
  <si>
    <t>Material de Enseñanza</t>
  </si>
  <si>
    <t>1057532-335-PC26</t>
  </si>
  <si>
    <t>Compra de Insumos de Cafetería reuniones ordinarias anuales Participación, Trato Usuario, Salud Pueblos Originarios</t>
  </si>
  <si>
    <t>Insumos de cafetería para reuniones mensuales Trato Usuario, se proyecta 12 reuniones, con un aprox. de 225 personas</t>
  </si>
  <si>
    <t>Daniela Barria</t>
  </si>
  <si>
    <t>Encargada Trato Usuario</t>
  </si>
  <si>
    <t>64-2335775-</t>
  </si>
  <si>
    <t>daniela.barriaa@redsalud.gob.cl</t>
  </si>
  <si>
    <t>1077241-77-PC26</t>
  </si>
  <si>
    <t>Taller Huertos 2026</t>
  </si>
  <si>
    <t>Taller se realiza durante todo el año, sin suspensión, por lo que se solicita material a contar de enero en lo posible</t>
  </si>
  <si>
    <t>Productos Jardín</t>
  </si>
  <si>
    <t>Bolsas</t>
  </si>
  <si>
    <t>1077241-78-PC26</t>
  </si>
  <si>
    <t>22.04.002</t>
  </si>
  <si>
    <t>Comité de Participación y gestión Intercultural - Dia de la Mujer 2026</t>
  </si>
  <si>
    <t>La conmemoración del día de la mujer se realizará el día miércoles 11 de marzo del 2026, idealmente la compra debe estar un mes antes, ya que debemos preparar los recuerdos y las actividades para ese día. En esta actividad se invitará a mujeres que se encuentran atendiendo en Cosam Oriente, se realizará una sesión educativa y reflexiva y luego una actividad práctica y de autocuidado.</t>
  </si>
  <si>
    <t>1180747-6-PC26</t>
  </si>
  <si>
    <t>31.02.002</t>
  </si>
  <si>
    <t>Consultorías adecuación Diseño PSR Coligual, comuna de Purranque.</t>
  </si>
  <si>
    <t>Desarrollar las adecuaciones a los proyectos de arquitectura y especialidades del diseño del la PSR tipo para el sector de Coligual, comuna de Purranque.</t>
  </si>
  <si>
    <t>Consultorias</t>
  </si>
  <si>
    <t>1180747-7-PC26</t>
  </si>
  <si>
    <t>Consultorías adecuación Diseño PSR Caracol, comuna de San Pablo.</t>
  </si>
  <si>
    <t>Desarrollar las adecuaciones a los proyectos de arquitectura y especialidades del diseño del la PSR tipo para el sector de Caracol, comuna de San Pablo.</t>
  </si>
  <si>
    <t>1057532-336-PC26</t>
  </si>
  <si>
    <t>22.07.002</t>
  </si>
  <si>
    <t>Impresión Talonarios de Registro de Solicitudes Ciudadanas</t>
  </si>
  <si>
    <t>Los talonarios deben contener 50 formularios en duplicado autocopiativo, se envía modelo con información en la parte inferior se debe señalar Formulario Original Establecimiento; Formulario Duplicado Usuario, según corresponda.</t>
  </si>
  <si>
    <t>folleteria</t>
  </si>
  <si>
    <t>1057532-337-PC26</t>
  </si>
  <si>
    <t>INSUMOS DE FARMACIA 2026</t>
  </si>
  <si>
    <t>Compra de serie de productos para el buen funcionamiento de la Unidad de Farmacia durante el año 2026</t>
  </si>
  <si>
    <t>Recetarios</t>
  </si>
  <si>
    <t>Refrigerador</t>
  </si>
  <si>
    <t>Insumos Computacionales</t>
  </si>
  <si>
    <t>1077241-81-PC26</t>
  </si>
  <si>
    <t>Taller de baile entretenido y acondicionamiento físico 2026</t>
  </si>
  <si>
    <t>Actividades en sesiones del taller, presentación de fiestas patrias y presentación en el día de la salud mental. Inicio de actividades en enero.</t>
  </si>
  <si>
    <t>Ropa</t>
  </si>
  <si>
    <t>Material Taller</t>
  </si>
  <si>
    <t>1057532-338-PC26</t>
  </si>
  <si>
    <t>ACTIVIDADES DE DIFUSIÓN Y DE PREVENCIÓN EN LA PROVINCIA DE OSORNO</t>
  </si>
  <si>
    <t>Se requiere la adquisición de artículos promocionales para fortalecer la imagen corporativa de la Comunidad, incluyendo lienzos y pendones con información institucional y de contacto. También se contemplan trofeos, galardones, bolsas y suvenires personalizados con la identidad visual de la organización, con el fin de mantener coherencia en la comunicación institucional y reforzar el reconocimiento de la Comunidad en actividades, eventos y campañas de promoción.</t>
  </si>
  <si>
    <t>Galvanos y Placa</t>
  </si>
  <si>
    <t>Bolsas Ecologicas</t>
  </si>
  <si>
    <t>Pendon</t>
  </si>
  <si>
    <t>Merchandising Publicidad</t>
  </si>
  <si>
    <t>1057532-339-PC26</t>
  </si>
  <si>
    <t>Jornada de Humanización del Trato Usuario</t>
  </si>
  <si>
    <t>Compra de Servicio de Cafetería para asistentes a Jornada de Humanización del Trato Usuario, dirigido a 50 participantes, jornada AM - PM.</t>
  </si>
  <si>
    <t>1057532-340-PC26</t>
  </si>
  <si>
    <t>Despensa para Unidad de Secretaria</t>
  </si>
  <si>
    <t>Se requiere en Enero la compra de una despensa con cierre para resguardo y protección de equipos Notebook y Celulares del Cosam</t>
  </si>
  <si>
    <t>Mueble</t>
  </si>
  <si>
    <t>1077241-82-PC26</t>
  </si>
  <si>
    <t>22.04.014</t>
  </si>
  <si>
    <t>Yoga Sensible al Trauma: Regulación emocional desde el Cuerpo y la Conciencia.</t>
  </si>
  <si>
    <t>Se espera adquisición para el mes de enero del 2026 para dar inicio a intervenciones desde febrero a diciembre.</t>
  </si>
  <si>
    <t>Material Yoga</t>
  </si>
  <si>
    <t>Frazadas</t>
  </si>
  <si>
    <t>1077241-83-PC26</t>
  </si>
  <si>
    <t>Comité de Participación y Gestión Intercultural - Dia del Niño 2026</t>
  </si>
  <si>
    <t>La actividad se realizará en el mes de agosto del 2026, por lo que las compras deberían estar un mes antes para preparar los recuerdos y material para ese día.</t>
  </si>
  <si>
    <t>Material Didactico</t>
  </si>
  <si>
    <t>1077241-84-PC26</t>
  </si>
  <si>
    <t>Comité de Participación y Gestión Intercultural - Fiestas Patrias 2026</t>
  </si>
  <si>
    <t>La actividad de fiestas patrias 2026 se desarrollará en el mes de septiembre, por lo que se recomienda realizar la compra un mes antes, en este ítem y para la ejecución de dicho evento se requiere insumos para decorar y alimentación para los usuarios y sus familias, quienes son el público objetivo.</t>
  </si>
  <si>
    <t>Material Decoración</t>
  </si>
  <si>
    <t>Menaje</t>
  </si>
  <si>
    <t>1077241-85-PC26</t>
  </si>
  <si>
    <t>Intervención psicosocial grupal de Música</t>
  </si>
  <si>
    <t>La Intervención psicosocial grupal se desarrollará desde abril del 2026, a cargo de profesional de cosam oriente, y está enmarcada en 2 ciclos anuales para diferentes personas, cada ciclo constan de 4 meses en total, y finaliza con una presentación.</t>
  </si>
  <si>
    <t>Guitarra</t>
  </si>
  <si>
    <t>1057532-342-PC26</t>
  </si>
  <si>
    <t>COMPRA MATERIALES DE OFICINA DEPARTAMENTO DE PROYECTOS</t>
  </si>
  <si>
    <t>COMPRA DE MATERIALES DE OFICINA QUE NO SE ENCUENTRA DISPONIBLE EN BODEGA DE INSUMOS DE OFICINA, TALES COMO: PAQUETE DE MICAS TRANSPARENTES TAMAÑO CARTA PAQUETE DE MICAS TRANSPARENTES, TIJERAS GRANDES PARA CORTAR PLANOS TIJERAS DE OFICINA, CORCHETERAS, PORTA PLANOS, TERMOLAMINADORA, ENTRE OTROS.</t>
  </si>
  <si>
    <t>Papeleria</t>
  </si>
  <si>
    <t>Yanet Gutierrez</t>
  </si>
  <si>
    <t>Secretaria</t>
  </si>
  <si>
    <t>64-2335764-</t>
  </si>
  <si>
    <t>yanet.gutierrez@redsalud.gob.cl</t>
  </si>
  <si>
    <t>1057532-345-PC26</t>
  </si>
  <si>
    <t>Estudio e Informe Estructural COSAM Oriente.</t>
  </si>
  <si>
    <t>Desarrollar el estudio y modelación estructural del actual COSAM Oriente, de tal forma de evaluar una ampliación para la normalización del edificio al estándar MINSAL actual.</t>
  </si>
  <si>
    <t>1057532-347-PC26</t>
  </si>
  <si>
    <t>ARTICULOS PARA TERAPIA OCUPACIONAL</t>
  </si>
  <si>
    <t>Artículos para uso en los talleres de Terapia Ocupacional en unidades Residencial y Ambulatorio. Que tengan durabilidad, higiene, que cumplan funciones de estimulación, que sean seguros, que el tamaño vaya de acuerdo a la edad para la cual esté dirigido y que la forma facilite la manipulación, diseño adecuado para todos los beneficiarios, Sin olvidar la buena calidad. EJECUCIÓN: JULIO 2026</t>
  </si>
  <si>
    <t>Material Educativo</t>
  </si>
  <si>
    <t>1057532-348-PC26</t>
  </si>
  <si>
    <t>TOLDOS</t>
  </si>
  <si>
    <t>Se requiere la adquisición de una cubierta textil o lona de alta resistencia para su instalación en jardines y áreas abiertas del establecimiento. Su finalidad es brindar protección ante radiación solar y condiciones climáticas, favoreciendo el uso seguro y confortable de los espacios exteriores. El material deberá ser lona acrílica impermeable, transpirable y duradera, resistente al sol, viento y lluvia, con estructura estable y apta para espacios institucionales. EJECUCION MARZO 2026</t>
  </si>
  <si>
    <t>Toldo</t>
  </si>
  <si>
    <t>1057532-349-PC26</t>
  </si>
  <si>
    <t>MANTENCIONES, REPUESTOS Y REPARACIONES</t>
  </si>
  <si>
    <t>Se requiere la adquisición de materiales para mantenciones y reparaciones en la unidad de salud con el fin de asegurar el correcto funcionamiento de las instalaciones, equipos e infraestructura, garantizando condiciones seguras y adecuadas para la atención de usuarios y el trabajo del personal. Estos insumos permiten realizar reparaciones oportunas, prevenir deterioros mayores, mantener la continuidad operativa y cumplir con las normas de seguridad y salud laboral establecidas.</t>
  </si>
  <si>
    <t>Mantenciones</t>
  </si>
  <si>
    <t>Repuestos</t>
  </si>
  <si>
    <t>1057532-350-PC26</t>
  </si>
  <si>
    <t>INSUMOS COMPUTACIONALES</t>
  </si>
  <si>
    <t>Se requiere la adquisición de repuestos e insumos computacionales para garantizar el correcto funcionamiento de los equipos tecnológicos de la unidad de salud, asegurando la continuidad de los servicios administrativos, clínicos y de registro de información. Estos insumos permiten reparar, mantener y optimizar el desempeño de computadores, impresoras y otros dispositivos electrónicos, reduciendo tiempos de inactividad, previniendo fallas mayores y asegurando eficiencia, seguridad y confiabilidad en los procesos del establecimiento.</t>
  </si>
  <si>
    <t>WI FI</t>
  </si>
  <si>
    <t>1057532-351-PC26</t>
  </si>
  <si>
    <t>Convenio - CONVENIO DE ADQUISICION DE KIT POINT OF CARE (POC) CON ARRIENDO DE EQUIPOS PARA ANALISIS DE MUESTRAS, SSO</t>
  </si>
  <si>
    <t>INSUMOS PARA EXAMENES DE LABORATORIO TIPO POC, CON ARRIENDO DE EQUIPOS, PARA HOSPITAL PUERTO OCTAY, HOSPITAL RIO NEGRO, HOSPITAL PU MULEN QUILACAHUIN, HOSPITAL FUKA SRUKA LAWENCHE KUNKO MAPU MO Y SAR CHUYACA. MES DE EJECUCION DE LA COMPRA SE REQUIERE PARA JULIO DEL 2026, CON DURACION DE 12 MESES.</t>
  </si>
  <si>
    <t>Convenio Kit Point</t>
  </si>
  <si>
    <t>01-08-2026,01-09-2026,01-10-2026,01-11-2026,01-12-2026,01-01-2027,01-02-2027,01-03-2027,01-04-2027,01-05-2027,01-06-2027,01-07-2027</t>
  </si>
  <si>
    <t>Encargada Apoyo Diagnóstico Laboratorio</t>
  </si>
  <si>
    <t>64-2335827-</t>
  </si>
  <si>
    <t>1057532-352-PC26</t>
  </si>
  <si>
    <t>Muestra tu Pausa Activa</t>
  </si>
  <si>
    <t>Con motivo de conmemorar el Día Mundial de la Actividad Física (6 de abril) y el Día Mundial de la Salud (7 de abril), la Unidad SAFU invita a participar a los funcionarios de los diferentes Servicios/Establecimientos/Dispositivos de la Red SSO para que envíen un video que muestre una pausa activa en su trabajo, ya sea una rutina simple de ejercicios o un baile entretenido en grupo. La pausa activa más creativa será premiada con un ?set de pausas activas?, que incluye herramientas para desarrollar pausas activas en su lugar de trabajo.</t>
  </si>
  <si>
    <t>Instrumentos Deportivos</t>
  </si>
  <si>
    <t>Marcia Delarze</t>
  </si>
  <si>
    <t>Kinesióloga</t>
  </si>
  <si>
    <t>64-2337097-</t>
  </si>
  <si>
    <t>marcia.delarze@redsalud.gob.cl</t>
  </si>
  <si>
    <t>1057532-353-PC26</t>
  </si>
  <si>
    <t>PLAN DE COMPRAS AÑO 2026 LEY N°19.664 Y FORMACION DE ESPECIALISTAS S.S.O</t>
  </si>
  <si>
    <t>Plan de compras para el año 2026 lo que contempla inducción de médicos u odontólogos EDF contratados por el art. 8° de la ley N° 19.664 , profesionales que retornan a iniciar su periodo asistencial obligatorio y procesos de inducción para profesionales funcionarios que ingresan a nuestro Servicio. Para esto se requiere: Servicio de cafetería para jornadas de inducción Servicio de Mudanza para Profesionales EDF/Becados Publicación de Avisos de Llamado a Consultores</t>
  </si>
  <si>
    <t>Jocelyne Prieto</t>
  </si>
  <si>
    <t>Jefa Seccion Gestion Y Desarrollo Ley Medica</t>
  </si>
  <si>
    <t>64-2335767-</t>
  </si>
  <si>
    <t>jocelyne.prieto@redsalud.gob.cl</t>
  </si>
  <si>
    <t>Servicio Traslado</t>
  </si>
  <si>
    <t>Pendrive</t>
  </si>
  <si>
    <t>Materiales de Oficina</t>
  </si>
  <si>
    <t>Publicación Diario</t>
  </si>
  <si>
    <t>Menaje Cafeteria</t>
  </si>
  <si>
    <t>1077241-86-PC26</t>
  </si>
  <si>
    <t>Comité de Participación y Gestión Intercultural - Navidad 2026</t>
  </si>
  <si>
    <t>El Festival Navideño se realizará en el mes de diciembre, por lo que las compras deberían estar en noviembre, para poder organizar los recuerdos y actividades a realizar en este evento, además de la comida que se va a entregar a los invitados. Es una actividad de cierre de año y de reflexión en torno a lo realizado en las vidas de los usuarios y sus familiares</t>
  </si>
  <si>
    <t>Bolsas Regalo</t>
  </si>
  <si>
    <t>1077241-87-PC26</t>
  </si>
  <si>
    <t>Implementos de Terapia Ocupacional.</t>
  </si>
  <si>
    <t>Idealmente en enero ya contar con los materiales.</t>
  </si>
  <si>
    <t>1057532-354-PC26</t>
  </si>
  <si>
    <t>Convenio - COMPRA DE KITS PARA DETECCION DE VIRUS Y BACTERIAS RESPIRATORIAS POR METODO MOLECULAR RAPIDO (POC MOLECULAR)</t>
  </si>
  <si>
    <t>COMPRA DE KITS PARA DETECCION DE VIRUS Y BACTERIAS RESPIRATORIAS POR METODO MOLECULAR RAPIDO (POC MOLECULAR) QUE PERMITIRAN A HPO, HRN Y HPU OTORGAR PRESTACIONES DE LABORATORIO RELATIVAS A LA DETECCION DE INFECCIONES RESPIRATORIAS POR METODOS RAPIDOS Y ALTAMENTE ESPECIFICOS/SENSIBLES. SE REQUIERE QUE LA COMPRA SE REALICE EN MAYO DEL 2026, CON RECURSOS DE LA CAMPAÑA DE INVIERNO DEL AÑO 2026, CON DURACION DEL CONVENIO POR 12 MESES.</t>
  </si>
  <si>
    <t>01-05-2026,01-06-2026,01-07-2026,01-08-2026,01-09-2026,01-10-2026,01-11-2026,01-12-2026,01-01-2027,01-02-2027,01-03-2027,01-04-2027</t>
  </si>
  <si>
    <t>Daniela Soto</t>
  </si>
  <si>
    <t>1077241-88-PC26</t>
  </si>
  <si>
    <t>AUTOCUIDADO CONVENIO SENDA 2026</t>
  </si>
  <si>
    <t>Se requiere contar con los insumos en los siguientes meses: Febrero, Marzo, Abril, Mayo, Junio, Julio, Agosto y Noviembre</t>
  </si>
  <si>
    <t>1057532-355-PC26</t>
  </si>
  <si>
    <t>MEDICINA INTEGRATIVA SAFU</t>
  </si>
  <si>
    <t>Adquirir productos para realización de medicina integrativa en los/las funcionarios/as que se atiendas en SAFU, por lo cual, para dar continuidad a los tratamientos realizados, el mes de ejecución de la compra debe ser realizado en enero 2026 , el cual estará vigente hasta diciembre 2026.</t>
  </si>
  <si>
    <t>Aromaterapia</t>
  </si>
  <si>
    <t>Lhya Kortmann</t>
  </si>
  <si>
    <t>Enfermera</t>
  </si>
  <si>
    <t>64-2337034-</t>
  </si>
  <si>
    <t>lhya.kortmann@redsalud.gob.cl</t>
  </si>
  <si>
    <t>1057532-356-PC26</t>
  </si>
  <si>
    <t>Adquisición Insumos para realizar el aseo y confort de usuarios/as con Dependencia Severa.</t>
  </si>
  <si>
    <t>COMPRA DE INSUMOS PARA USUARIOS DEL PROGRAMA ATENCIÓN DOMICILIARIA PARA PERSONAS CON DEPENDENCIA SEVERA. LA COMPRA SE REALIZARÁ EN EL MES DE ABRIL, SEGÚN DISTRIBUCIÓN DE RECURSOS FINANCIEROS.</t>
  </si>
  <si>
    <t>Producto de Aseo</t>
  </si>
  <si>
    <t>Camila Alvarez</t>
  </si>
  <si>
    <t>Kinesióloga Encargada Programa Atencion Domiciliaria Para Personas Con Dependencia Severa</t>
  </si>
  <si>
    <t>64-2335818-</t>
  </si>
  <si>
    <t>Pañales</t>
  </si>
  <si>
    <t>Crema</t>
  </si>
  <si>
    <t>1057532-357-PC26</t>
  </si>
  <si>
    <t>INSUMOS LEY 20.000</t>
  </si>
  <si>
    <t>Compra se ejecutará en Marzo 2026.</t>
  </si>
  <si>
    <t>Fernando Roman</t>
  </si>
  <si>
    <t>Jefe Subdepartamento Farmacia</t>
  </si>
  <si>
    <t>64-2335811-</t>
  </si>
  <si>
    <t>Toner</t>
  </si>
  <si>
    <t>1057532-358-PC26</t>
  </si>
  <si>
    <t>Zumba a todo corazón</t>
  </si>
  <si>
    <t>Ejecutar actividad de Zumba dirigida a funcionarios/as y comunidad en conmemoración al mes del corazón (Agosto 2026), además de entregar colaciones saludables y premios posterior a la realización de la actividad. Actividad inserta en Programa Apoyo a la Gestión en establecimiento dependientes - componente Salud Cardiovascular (Presupuesto 2026).</t>
  </si>
  <si>
    <t>Instructora</t>
  </si>
  <si>
    <t>Daniela Cancino</t>
  </si>
  <si>
    <t>Nutricionista</t>
  </si>
  <si>
    <t>64-2337032-</t>
  </si>
  <si>
    <t>daniela.cancino01@redsalud.gob.cl</t>
  </si>
  <si>
    <t>Decoración</t>
  </si>
  <si>
    <t>1057532-359-PC26</t>
  </si>
  <si>
    <t>Mantenimiento baños y camarines</t>
  </si>
  <si>
    <t>Mes en el que se deberá gestionar FSC es febrero 2026. la mantención se considera 1 vez en el año.</t>
  </si>
  <si>
    <t>Director</t>
  </si>
  <si>
    <t>64-2335588-</t>
  </si>
  <si>
    <t>roberto.nunez@redsalud.gob.cl</t>
  </si>
  <si>
    <t>1057532-360-PC26</t>
  </si>
  <si>
    <t>Construcción de radieres en estacionamiento</t>
  </si>
  <si>
    <t>Febrero, marzo, abril año 2026. El trabajo se debe hacer en 3 meses son 12 estacionamientos, se debe realizar de a 4 por motivo de no congestionar espacios destinados a estacionamientos</t>
  </si>
  <si>
    <t>1057532-361-PC26</t>
  </si>
  <si>
    <t>Mantención comedor lado patio interior</t>
  </si>
  <si>
    <t>marzo 2026, corresponde a 1 trabajo que se debe ejecutar</t>
  </si>
  <si>
    <t>1057532-362-PC26</t>
  </si>
  <si>
    <t>Pintado de muros perimetrales de edificio.</t>
  </si>
  <si>
    <t>Se deberá ejecutar en marzo 2026, es un sólo trabajo</t>
  </si>
  <si>
    <t>1057532-363-PC26</t>
  </si>
  <si>
    <t>Mantenimiento caseta de guardias</t>
  </si>
  <si>
    <t>Se deberá ejecutar en marzo 2026, corresponde a 1 trabajo</t>
  </si>
  <si>
    <t>1057532-364-PC26</t>
  </si>
  <si>
    <t>Instalación de manillas en puertas metálicas de sala REAS, Caldera, Generador</t>
  </si>
  <si>
    <t>Se deberá ejecutar en abril 2026, El trabajo se hace 1 vez</t>
  </si>
  <si>
    <t>1057532-366-PC26</t>
  </si>
  <si>
    <t>Reparar fuga red de agua alimentación invernadero.</t>
  </si>
  <si>
    <t>Se deberá ejecutar en Enero 2026. Corresponde a un trabajo</t>
  </si>
  <si>
    <t>1057532-367-PC26</t>
  </si>
  <si>
    <t>Habilitación de sala pagoda como sala de recuperación pacientes.</t>
  </si>
  <si>
    <t>Se deberá ejecutar en julio 2026, corresponde a una obra de adecuación.</t>
  </si>
  <si>
    <t>1057532-368-PC26</t>
  </si>
  <si>
    <t>Mantenimiento de cámaras y red ed aguas lluvia y reemplazo de bomba de impulsión</t>
  </si>
  <si>
    <t>Ejecución en marzo 2026. Corresponde a 1 trabajo.</t>
  </si>
  <si>
    <t>1057532-369-PC26</t>
  </si>
  <si>
    <t>Mantenimiento de cámaras y red de alcantarillado, artefactos sanitarios.</t>
  </si>
  <si>
    <t>Ejecución en abril 2026, corresponde a 1 solo trabajo</t>
  </si>
  <si>
    <t>1057532-370-PC26</t>
  </si>
  <si>
    <t>TALONARIOS DE LICENCIA MÉDICA</t>
  </si>
  <si>
    <t>El talonario para licencias médicas es un suministro de formularios de papel que los médicos pueden solicitar a través de la COMPIN. Si bien la emisión de licencias médicas electrónicas es obligatoria desde enero de 2021, existen excepciones que requieren el uso de papel, como cuando hay error en la lectura de la huella del prestador , intermitencia de la plataforma, etc..., por lo cual, se requiere adquirir estos talonarios de licencia médica a través de COMPIN , donde el mes de ejecución de la compra es enero 2026.</t>
  </si>
  <si>
    <t>64-2335663-</t>
  </si>
  <si>
    <t>1057532-371-PC26</t>
  </si>
  <si>
    <t>Mantenimiento planta elevadora aguas servidas</t>
  </si>
  <si>
    <t>Junio 2026, corresponde a 1 trabajo</t>
  </si>
  <si>
    <t>1057532-372-PC26</t>
  </si>
  <si>
    <t>Suministro de Pellet para sistema de calefacción</t>
  </si>
  <si>
    <t>El insumo se deberá adquiquir de la siguiente forma: 600 bolsas de pellet 15kg en marzo, 500 bolsas de pellet 15kg en mayo, 600 bolsas de pellet 15kg en julio y 700 bolsas de pellet 15kg en septiembre</t>
  </si>
  <si>
    <t>Pellet</t>
  </si>
  <si>
    <t>01-03-2026,01-05-2026,01-07-2026,01-09-2026</t>
  </si>
  <si>
    <t>1057532-373-PC26</t>
  </si>
  <si>
    <t>22.03.999</t>
  </si>
  <si>
    <t>Suministro de diesel para generador eléctrico</t>
  </si>
  <si>
    <t>Se deberá adquirir en mayo 2026, se comprará una sola vez.</t>
  </si>
  <si>
    <t>Combustibles</t>
  </si>
  <si>
    <t>1057532-374-PC26</t>
  </si>
  <si>
    <t>Reemplazo de equipo iluminación interior.</t>
  </si>
  <si>
    <t>julio 2026. Corresponde a compra de insumos.</t>
  </si>
  <si>
    <t>1057532-375-PC26</t>
  </si>
  <si>
    <t>Mantenimiento sensores de humo</t>
  </si>
  <si>
    <t>Junio 2026. Corresponde a 1 trabajo.</t>
  </si>
  <si>
    <t>1057532-376-PC26</t>
  </si>
  <si>
    <t>Mantenimiento sistema de cierre/apertura puertas de PVC</t>
  </si>
  <si>
    <t>Dejar operativas puertas comunes, puertas de emergencia y puerta doble acceso a pasillo clínico).</t>
  </si>
  <si>
    <t>1057532-377-PC26</t>
  </si>
  <si>
    <t>Mantención de enchufes e interruptores lampistería instalación interior.</t>
  </si>
  <si>
    <t>Agosto 2026.</t>
  </si>
  <si>
    <t>1057532-378-PC26</t>
  </si>
  <si>
    <t>MOVIL AÑO 2027</t>
  </si>
  <si>
    <t>SE REQUIERE EL SERVICIO DE MOVILIZACIÓN PARA COSAM ORIENTE A PARTIR DE ENERO A DICIEMBRE DEL 2027</t>
  </si>
  <si>
    <t>Movilización</t>
  </si>
  <si>
    <t>01-01-2027,01-02-2027,01-03-2027,01-04-2027,01-05-2027,01-06-2027,01-07-2027,01-08-2027,01-09-2027,01-10-2027,01-11-2027,01-12-2027</t>
  </si>
  <si>
    <t>1077241-89-PC26</t>
  </si>
  <si>
    <t>29.05.001</t>
  </si>
  <si>
    <t>PROGRAMA MEL</t>
  </si>
  <si>
    <t>QUE LOS FUNCIONARIOS/AS TENGANUN ENTORNO LABORAL ADECUADO PARA EL DESARROLLO DE SUS FUNCIONES. Inicio de ejecucion Marzo del 2026 hasta noviembre 2026</t>
  </si>
  <si>
    <t>Equipos</t>
  </si>
  <si>
    <t>Kassandra Fernandez</t>
  </si>
  <si>
    <t>Trabajadora Social</t>
  </si>
  <si>
    <t>64-2336339-</t>
  </si>
  <si>
    <t>kassandra.fernandez@redsalud.gob.cl</t>
  </si>
  <si>
    <t>1057532-379-PC26</t>
  </si>
  <si>
    <t>Materiales de Secretaria para uso del Cosam 2026</t>
  </si>
  <si>
    <t>Se requiere comprar en Marzo</t>
  </si>
  <si>
    <t>1057532-380-PC26</t>
  </si>
  <si>
    <t>22.03.001</t>
  </si>
  <si>
    <t>Convenio - Convenio Adquisición de combustible móviles de la DSSO y Ambulancias SAMU año 2026</t>
  </si>
  <si>
    <t>Se requiere la compra de combustible para el funcionamiento de los móviles de la Dirección del Servicio de Salud Osorno y Ambulancias de la Base SAMU</t>
  </si>
  <si>
    <t>64-2335660-</t>
  </si>
  <si>
    <t>1057532-381-PC26</t>
  </si>
  <si>
    <t>23.03.003</t>
  </si>
  <si>
    <t>Convenio - Convenio Adquisición de combustible Diesel para equipos generadores dispositivos del SSO Cosam Rahue y Cosam Oriente</t>
  </si>
  <si>
    <t>Convenio Adquisición de 10.000 litros de combustible Diesel para equipos generadores dispositivos del SSO Cosam Rahue y Cosam Oriente año 2026</t>
  </si>
  <si>
    <t>Encargado (S) Administración Interna</t>
  </si>
  <si>
    <t>1077241-90-PC26</t>
  </si>
  <si>
    <t>Intervención Psicosocial Grupal para Familiares de Usuarios/as con Diagnóstico de Esquizofrenia</t>
  </si>
  <si>
    <t>Se requieren las compras para el mes de marzo</t>
  </si>
  <si>
    <t>1077241-91-PC26</t>
  </si>
  <si>
    <t>Intervención Psicosocial Grupal para Usuarios y Usuarias con Consumo de Alcohol y Drogas</t>
  </si>
  <si>
    <t>Se requieren los insumos para el mes de marzo</t>
  </si>
  <si>
    <t>Pañuelos</t>
  </si>
  <si>
    <t>1057532-383-PC26</t>
  </si>
  <si>
    <t>Jornada de Buenas Prácticas en Hospital Amigo y Ley Mila 2026</t>
  </si>
  <si>
    <t>Compra se servicio de cafetería mañana y tarde para 50 personas, centro de costo Trato Usuario. Instancia de encuentro orientada a compartir experiencias significativas, fortalecer la implementación de buenas prácticas en humanización del trato y cuidado, y promover la mejora continua en la atención centrada en las personas y sus familias.</t>
  </si>
  <si>
    <t>Capacitacion</t>
  </si>
  <si>
    <t>1057532-384-PC26</t>
  </si>
  <si>
    <t>Jornada de Evaluación Comité de Gestión Usuaria 2026</t>
  </si>
  <si>
    <t>Compra de servicio de cafetería y materiales de apoyo (papelería, lápices, papelógrafos) para 50 personas, jornada de un día completo. Centro de costo Trato Usuario</t>
  </si>
  <si>
    <t>1077241-92-PC26</t>
  </si>
  <si>
    <t>Jornada de Fortalecimiento OIRS 2026</t>
  </si>
  <si>
    <t>Compra de servicio de cafetería y papelería para 50 personas durante dos jornadas. Centro de costo Trato Usuario.</t>
  </si>
  <si>
    <t>1057532-385-PC26</t>
  </si>
  <si>
    <t>Recetarios Médicos SAFU</t>
  </si>
  <si>
    <t>Adquirir recetarios médicos para la Unidad SAFU enero 2026</t>
  </si>
  <si>
    <t>1057532-386-PC26</t>
  </si>
  <si>
    <t>MATERIALES DE OFICINA</t>
  </si>
  <si>
    <t>Materiales e insumos que no se encuentran en bodega general y son necesarios para las actividades y salidas a terreno que desarrolla Prevención de Riesgos , S.O. y G.A.</t>
  </si>
  <si>
    <t>Venecia Recabarren</t>
  </si>
  <si>
    <t>Jefatura Unidad Prev. Riesgos</t>
  </si>
  <si>
    <t>64-2336130-</t>
  </si>
  <si>
    <t>david.serrano@redsalud.gob.cl</t>
  </si>
  <si>
    <t>1057532-387-PC26</t>
  </si>
  <si>
    <t>22.02.002</t>
  </si>
  <si>
    <t>Vestuario y equipamiento Tecnico Referentes Prevención de Riesgos DSSO</t>
  </si>
  <si>
    <t>Vestuario institucional y de proteccion para actividades de terreno del SDPR.</t>
  </si>
  <si>
    <t>Geologo</t>
  </si>
  <si>
    <t>venecia.recabarren@redsalud.gob.cl</t>
  </si>
  <si>
    <t>1057532-388-PC26</t>
  </si>
  <si>
    <t>INSUMOS DE ENFERMERÍA SAFU</t>
  </si>
  <si>
    <t>Se requiere adquirir insumos del área de enfermería para dar continuidad a la atención y una mejora de ésta a la comunidad funcionaria durante el mes de febrero 2026.</t>
  </si>
  <si>
    <t>Insumos de Enfermeria</t>
  </si>
  <si>
    <t>1057532-389-PC26</t>
  </si>
  <si>
    <t>Almacenamiento,organización y resguardo de los insumos clínicos del área de enfermería</t>
  </si>
  <si>
    <t>Se requiere adquirir cajas de almacenamiento de 28 LT para la conservación y resguardo de los insumos de enfermería, con el fin de prevenir deterioro de los insumos , mes de ejecución febrero 2026</t>
  </si>
  <si>
    <t>1057532-390-PC26</t>
  </si>
  <si>
    <t>CONMEMORACIÓN DÍA INTERNACIONAL DE LA SALUD MENTAL 2026</t>
  </si>
  <si>
    <t>COMPRAR CROQUERAS PEQUEÑAS Y LAPICES GEL PARA QUE CADA FUNCIONARIO/A, PUEDA, A TRAVÉS, DE LA PSICOTERAPIA NARRATIVA EXPLORAR RECURSOS PERSONALES, HABILIDADES Y COMPETENCIAS QUE FAVORECEN EL CUIDADO Y LA PROTECCIÓN DE LA SALUD MENTAL EN LOS CONTEXTOS LABORALES. ESTAS JORNADAS SE REALIZARAN EN TODOS LOS DISPOSITIVOS DE LA RED DURANTE LA SEGUNDA SEMANA DE OCTUBRE (CONMEMORACIÓN DIA MUNDIAL DE LA SALUD MENTAL)</t>
  </si>
  <si>
    <t>Pilar Mora</t>
  </si>
  <si>
    <t>Encargada Saludablemente Funcionarios</t>
  </si>
  <si>
    <t>64-2337096-</t>
  </si>
  <si>
    <t>pilar.mora@redsalud.gob.cl</t>
  </si>
  <si>
    <t>1057532-391-PC26</t>
  </si>
  <si>
    <t>"JORNADA DE FORTALECIMIENTO DE COMPETENCIAS PARENTALES Y BIENESTAR FAMILIAR "</t>
  </si>
  <si>
    <t>SE NECESITAN INSUMOS PARA REALIZAR COFFEE PARA EXPOSITORES EXTERNOS, Y COMUNIDAD USUARIA Y FUNCIONARIA, LA CUAL ACTIVIDAD ESTA DIRIGIDO A AMBOS PUBLICO OBJETIVO, COMPRA EN MAYO 2026.</t>
  </si>
  <si>
    <t>Encargada Cuidados Infantiles Y Conciliación</t>
  </si>
  <si>
    <t>1057532-392-PC26</t>
  </si>
  <si>
    <t>Contratación de visitas obras civiles consultoría obra ?SALA DE ACOGIDA INTERCULTURAL (SRUKA) HBO.</t>
  </si>
  <si>
    <t>se requiere contratar las visitas de los siguientes proyectistas para el mes de octubre 2026; 1 visita proyectista Mecánica de suelos 20 uf; 1 visita proyectista Arquitectura 20 uf; 2 visitas proyectista Calculo Estructural 20 uf; 2 visitas proyectista Instalaciones electricas 20 uf; 1 visita proyectista Paisajismo 15 uf; 1 visita Revisor independiente de arquitectura 20 uf ( nota el valor de la uf será del dia de la visita del especialista).</t>
  </si>
  <si>
    <t>Raul Rojas</t>
  </si>
  <si>
    <t>Itos</t>
  </si>
  <si>
    <t>64-2335596-</t>
  </si>
  <si>
    <t>raul.rojasc@redsalud.gob.cl</t>
  </si>
  <si>
    <t>1057532-393-PC26</t>
  </si>
  <si>
    <t>FESTIVAL DEL DÍA DE LA NIÑEZ</t>
  </si>
  <si>
    <t>LA ACTIVIDAD REQUIERE COMPRA DE INSUMOS, SERVCIOS Y MATERIALES NECESARIOS PARA LA ORGANIZACIÓN, LA COMPRA DEBE HACERSE EL MES DE JULIO 2026.</t>
  </si>
  <si>
    <t>1057532-394-PC26</t>
  </si>
  <si>
    <t>22.09.005.002</t>
  </si>
  <si>
    <t>Convenio - CONVENIO SUMINISTRO DE REACTIVOS CON ARRIENDO DE EQUIPOS Y SISTEMA INFORMATICO INTEGRADO DE LABORATORIO CLINICO, SSO</t>
  </si>
  <si>
    <t>EL SERVICIO DE SALUD OSORNO REQUIERE SUSCRIBIR UN CONVENIO CON EL OBJETIVO DE CONTRATAR EL SERVICIO DE ARRIENDO DE EQUIPOS CON SISTEMA INFORMATICO INTEGRADO, PARA LA REALIZACION DE EXAMENES DE QUIMICA CLINICA, ORINAS, HORMONAS, HEMATOLOGIA, MICROBIOLOGIA Y COAGULACION, JUNTO A LOS REACTIVOS E INSUMOS NECESARIOS PARA EL PROCESAMIENTO DE EXAMENES. LOS ESTABLECIMIENTOS SON HPU, HRN, HPO, HPMQ Y HFSLKMM. LA COMPRA SE REQUIERE EN ABRIL 2026 (PUBLICADO EN MERCADO PUBLICO), Y EL CONVENIO TENDRA VIGENCIA 5 AÑOS (60 MESES).</t>
  </si>
  <si>
    <t>Convenio Equipos</t>
  </si>
  <si>
    <t>01-05-2026,01-06-2026,01-07-2026,01-08-2026,01-09-2026,01-10-2026,01-11-2026,01-12-2026,01-01-2027,01-02-2027,01-03-2027,01-04-2027,01-05-2027,01-06-2027,01-07-2027,01-08-2027,01-09-2027,01-10-2027,01-11-2027,01-12-2027,01-01-2028,01-02-2028,01-03-2028,01-04-2028,01-05-2028,01-06-2028,01-07-2028,01-08-2028,01-09-2028,01-10-2028,01-11-2028,01-12-2028</t>
  </si>
  <si>
    <t>1057532-395-PC26</t>
  </si>
  <si>
    <t>Adquisición Carro de Transporte Droguería-Bodega General</t>
  </si>
  <si>
    <t>Carro</t>
  </si>
  <si>
    <t>Leonor Araneda</t>
  </si>
  <si>
    <t>Directora Técnica Droguería</t>
  </si>
  <si>
    <t>64-2335651-</t>
  </si>
  <si>
    <t>LEONOR.ARANEDAA@REDSALUD.GOB.CL</t>
  </si>
  <si>
    <t>1057532-396-PC26</t>
  </si>
  <si>
    <t>Adquisición de Amarras Plásticas y Elásticos para Optimizar el Almacenamiento y Distribución</t>
  </si>
  <si>
    <t>Adquisición de Amarras Plásticas y Elásticos para Optimizar el Almacenamiento y Distribución primer Trimestre del año 2026. Adquirir 300 bolsas de 1/2 kilo dividido en 3 colores diferentes de tal manera poder ligar cajas con diferentes colores según su lote . Adquirir 20.000 unidades de amarras plásticas o amarras cables para el cierre de los contenedores de transporte de medicamentos.</t>
  </si>
  <si>
    <t>Amarras y Elasticos</t>
  </si>
  <si>
    <t>1057532-397-PC26</t>
  </si>
  <si>
    <t>EEPP para funcionarios de Droguería-Bodega General-Bodega Inversiones</t>
  </si>
  <si>
    <t>Ropa- Zapatos : DT: 02 Poleras, 01 Parka , 01Polar ; 2 TENS- 2 Bodegueros : 02 Poleras c/u, 02 Pantalones c/u , 01 Parka c/u , 01 Polar c/u y 01 Zapatos de Seguridad c/u. ; 2 Administrativas: 02 Poleras c/u , 01 polar c/u , 01 parka c/u. Cascos : 4unidades Guantes para carga: 14 pares de guantes.</t>
  </si>
  <si>
    <t>EPP</t>
  </si>
  <si>
    <t>1057532-398-PC26</t>
  </si>
  <si>
    <t>Implementación de Sistema de Cerradura Digital para Control de Acceso</t>
  </si>
  <si>
    <t>Adquisición de 3 cerraduras digitales para el acceso a Droguería y Bodega General. Primer Trimestre 2026.</t>
  </si>
  <si>
    <t>Cerraduras</t>
  </si>
  <si>
    <t>1057532-399-PC26</t>
  </si>
  <si>
    <t>29.05.999</t>
  </si>
  <si>
    <t>Adquisición de Sensores de Temperatura para Droguería ( Bodega de Dispositivos Médicos)</t>
  </si>
  <si>
    <t>Adquisición de 15 Sensores de Temperatura y humedad calibrados para Droguería ( Bodega de Dispositivos Médicos) Primer Trimestre 2026. Velar por monitoreo de temperatura y humedad en espacios de almacenamiento de Dispositivos Médicos, se debe considerar poder :poder contar con un sensor en 3 puntos de cada zona de almacenamiento. ( Mas variable, mayor temperatura y menor temperatura) y descargar la información para realizar un monitoreo continuo.</t>
  </si>
  <si>
    <t>Sensores</t>
  </si>
  <si>
    <t>1077241-93-PC26</t>
  </si>
  <si>
    <t>Altas Senda año 2026</t>
  </si>
  <si>
    <t>Ceremonia a realizar en septiembre del 2026</t>
  </si>
  <si>
    <t>Tazon</t>
  </si>
  <si>
    <t>Lapiz Pasta</t>
  </si>
  <si>
    <t>Arreglos</t>
  </si>
  <si>
    <t>1077241-95-PC26</t>
  </si>
  <si>
    <t>Formación facilitadores Talleres Prenatales para matronas y matrones de la red de atención primaria</t>
  </si>
  <si>
    <t>Servicio de cafetería e insumos de librería para la realización de capacitación en talleres prenatales.</t>
  </si>
  <si>
    <t>Estrella Azocar</t>
  </si>
  <si>
    <t>Enc. Chcc</t>
  </si>
  <si>
    <t>64-2335829-</t>
  </si>
  <si>
    <t>estrella.azocarv@redsalud.gob.cl</t>
  </si>
  <si>
    <t>1057532-400-PC26</t>
  </si>
  <si>
    <t>22.06</t>
  </si>
  <si>
    <t>Mantención de Equipos Médicos e Industriales 2026</t>
  </si>
  <si>
    <t>Dar cobertura a las necesidades de calibración y mantención de equipos médicos e industriales de los establecimientos de la Red del Servicio de Salud Osorno. Corresponde a diferentes servicios a ejecutarse en dichos equipos los años 2026 y 2027, para mantener su buen, continuo y seguro funcionamiento asociados a la atención en unidades clinicas y unidades de apoyo de los diferentes establecimientos y dispositivos de la Red del Servicio de Salud Osorno, dando así continuidad a las prestaciones de salud de la provincia.</t>
  </si>
  <si>
    <t>Servicio Calibración-Certificación</t>
  </si>
  <si>
    <t>01-03-2026,01-06-2026,01-09-2026</t>
  </si>
  <si>
    <t>Khris Silva</t>
  </si>
  <si>
    <t>Jefa Subdepto. Mantención De Equipos Médicos E Industriales</t>
  </si>
  <si>
    <t>Mantención equipos médicos</t>
  </si>
  <si>
    <t>Mantenciones correctivas</t>
  </si>
  <si>
    <t>Mantenciones Preventivas</t>
  </si>
  <si>
    <t>Mantención Correctiva Equipos</t>
  </si>
  <si>
    <t>1057532-402-PC26</t>
  </si>
  <si>
    <t>Convenio - Convenio de Accesorios para Equipos Médicos Criticos de Base SAMU Osorno año 2027</t>
  </si>
  <si>
    <t>Dar cobertura a las necesidades de accesorios y consumibles asociados al funcionamiento de equipos médicos criticos de ambulancias de emergencia de Base SAMU (enero a diciembre 2027)</t>
  </si>
  <si>
    <t>1077241-96-PC26</t>
  </si>
  <si>
    <t>Insumos para aumentar la lactancia materna exclusiva</t>
  </si>
  <si>
    <t>Insumos para aumentar la lactancia materna exclusiva, mes de julio. Fantoma mamario/Pechera de Lactancia Insumos de lactancia.</t>
  </si>
  <si>
    <t>Insumos Clinicos</t>
  </si>
  <si>
    <t>Equipamiento Medico</t>
  </si>
  <si>
    <t>1057532-403-PC26</t>
  </si>
  <si>
    <t>Insumos de Box de rehabilitación kinésica SAFU</t>
  </si>
  <si>
    <t>La adquisición de implementos kinésicos para el box es fundamental para garantizar la calidad y la eficacia de los servicios de rehabilitación y tratamiento hacia los funcionarios del servicio y el Hospital (marzo- abril)</t>
  </si>
  <si>
    <t>Insumos Kinesicos</t>
  </si>
  <si>
    <t>Felipe Barriga</t>
  </si>
  <si>
    <t>Kinesiólogo</t>
  </si>
  <si>
    <t>felipe.barriga@redsalud.gob.cl</t>
  </si>
  <si>
    <t>1057532-404-PC26</t>
  </si>
  <si>
    <t>22.12.003</t>
  </si>
  <si>
    <t>Cuenta Pública Gestión 2025</t>
  </si>
  <si>
    <t>Compra de Servicio de cafetería, artículos de librería y arriendo de pantalla led con atril para una asistencia promedio de 300 personas.</t>
  </si>
  <si>
    <t>Gesto Ceremonial</t>
  </si>
  <si>
    <t>1057532-405-PC26</t>
  </si>
  <si>
    <t>Diálogo Provincial en Salud</t>
  </si>
  <si>
    <t>Compra de servicio de cafetería para comunidad asistente y autoridades asistentes a la actividad, compra de artículos de librería que se ocuparan en dinámicas de trabajo, además de carpetas y lápices. También se necesita adquirir 300 vasos de polipapel y 300 yogurt.</t>
  </si>
  <si>
    <t>Evento</t>
  </si>
  <si>
    <t>Yogurth</t>
  </si>
  <si>
    <t>1077241-97-PC26</t>
  </si>
  <si>
    <t>Jornada de Inducción a médicos EDF, sobre Interculturalidad en Salud con pueblos originarios</t>
  </si>
  <si>
    <t>Compra de servicio de cafetería para 200 personas en total. La actividad contempla 02 jornadas de día completo y se realizaran una en julio y la segunda en octubre.</t>
  </si>
  <si>
    <t>1180747-8-PC26</t>
  </si>
  <si>
    <t>Contratación de visitas de Consultorías de Obra " Mejoramiento Hospital de Río Negro"</t>
  </si>
  <si>
    <t>SE REQUIERE CONTRATAR LAS VISITAS DE LOS SIGUIENTES PROYECTISTAS PARA EL MES DE DICIEMBRE DE 2026 DEL PROYECTO MEJORAMIENTO ELECTRICIDAD Y CORRIENTES DEBILES DEL HOSPITAL DE RIO NEGRO; 3 VISITAS DEL PROYECTISTA, VALOR POR VISITA 14 UF IVA INCLUIDO. Y MEJORAMIENTO CLIMATIZACION DEL HOSPITAL DE RIO NEGRO; 3 VISITAS DEL PROYECTISTA, VALOR POR VISITA 14 UF IVA INCLUIDO. NOTA: EL VALOR DE LA UF SERA DEL DÍA DE LA VISITA</t>
  </si>
  <si>
    <t>Remodelación</t>
  </si>
  <si>
    <t>Gustavo Marin</t>
  </si>
  <si>
    <t>Profesional</t>
  </si>
  <si>
    <t>64-2337385-</t>
  </si>
  <si>
    <t>gustavo.marin@redsalud.gob.cl</t>
  </si>
  <si>
    <t>1180747-9-PC26</t>
  </si>
  <si>
    <t>Consultorías adecuación Diseño PSR Hueyusca, comuna de Purranque.</t>
  </si>
  <si>
    <t>Desarrollar las adecuaciones a los proyectos de arquitectura y especialidades del diseño de la PSR tipo para el sector de Hueyusca, comuna de Purranque.</t>
  </si>
  <si>
    <t>1057532-410-PC26</t>
  </si>
  <si>
    <t>Artículos de limpieza y higiene</t>
  </si>
  <si>
    <t>Se requiere la adquisición de insumos de limpieza y artículos de higiene, destinados al mantenimiento y sanitización de las dependencias del Dispositivo Comunitario, asegurando condiciones adecuadas de funcionamiento e higiene para usuarios y personal, a partir de marzo de 2026.</t>
  </si>
  <si>
    <t>Artículos de limpieza</t>
  </si>
  <si>
    <t>Luis Flores</t>
  </si>
  <si>
    <t>64-2337366-</t>
  </si>
  <si>
    <t>1057532-412-PC26</t>
  </si>
  <si>
    <t>Insumos para actividades grupales con usuarios y familiares de UID Newen.</t>
  </si>
  <si>
    <t>Adquisición de insumos destinados al desarrollo de taller socio recreativo que se realizara con usuarios/as de UID Newen a contar del mes de enero de 2026.</t>
  </si>
  <si>
    <t>Productos Cafeteria</t>
  </si>
  <si>
    <t>Coordinadora</t>
  </si>
  <si>
    <t>64-2337766-</t>
  </si>
  <si>
    <t>1057532-415-PC26</t>
  </si>
  <si>
    <t>Insumos para actividades de promoción, prevención e intervención comunitaria con usuarios/as y familiares de UID Newen.</t>
  </si>
  <si>
    <t>Adquisición de insumos orientados al desarrollo de actividades de promoción, prevención e intervenciones que se realizaran con usuarios/as y familiares de UID Newen a contar del mes de enero del 2026.</t>
  </si>
  <si>
    <t>Sillas, Toldos, Mesas</t>
  </si>
  <si>
    <t>Parlante</t>
  </si>
  <si>
    <t>1057532-416-PC26</t>
  </si>
  <si>
    <t>Material de papelería centro Kümelen</t>
  </si>
  <si>
    <t>La presente adquisición corresponde a la compra de materiales de papelería y oficina destinados al funcionamiento operativo del Centro Comunitario de Apoyo a Personas con Demencia Kümelen. Los insumos serán utilizados para el desarrollo de talleres grupales, atenciones individuales, actividades comunitarias y labores administrativas internas, permitiendo asegurar la continuidad de las prestaciones clínicas y comunitarias que realiza el equipo multidisciplinario del centro. el mes de ejecución es para Abril del 2026</t>
  </si>
  <si>
    <t>Reloj</t>
  </si>
  <si>
    <t>1057532-418-PC26</t>
  </si>
  <si>
    <t>Mochilas e insumos EMT (Equipos Médicos de Emergencia)</t>
  </si>
  <si>
    <t>Contar con 2 mochilas acordes a funcionamiento en terreno de EMT y herramientas manuales básicas necesarias para despliegues en emergencias. mes ejecucion: enero</t>
  </si>
  <si>
    <t>Catalina Vera</t>
  </si>
  <si>
    <t>Coordinadora Emergencia</t>
  </si>
  <si>
    <t>Mochila</t>
  </si>
  <si>
    <t>1057532-421-PC26</t>
  </si>
  <si>
    <t>software de cartografía web</t>
  </si>
  <si>
    <t>Contar con licencia de software de cartografía web, para la creación de mapas territoriales y análisis de amenazas 12 meses. Desde mes de enero</t>
  </si>
  <si>
    <t>Software</t>
  </si>
  <si>
    <t>Activos Fijos</t>
  </si>
  <si>
    <t>1057922-5-PC26</t>
  </si>
  <si>
    <t>29.03</t>
  </si>
  <si>
    <t>COMPRA DE AMBULANCIA PARA CESFAM CON SAR DE RAHUE ALTO</t>
  </si>
  <si>
    <t>COMPRA DE AMBULANCIA PARA CESFAM CON SAR DE RAHUE ALTO // MES DE FEBRERO 2026.</t>
  </si>
  <si>
    <t>Ambulancia</t>
  </si>
  <si>
    <t>64-2335654-</t>
  </si>
  <si>
    <t>1057532-422-PC26</t>
  </si>
  <si>
    <t>22.02</t>
  </si>
  <si>
    <t>COMPRA ELEMENTOS DE PROTECCION PERSONAL SECCION MANT. DE VEHICULOS</t>
  </si>
  <si>
    <t>COMPRA DE EPP PARA PERSONAL DE LA SECCION DE MANTENIMIENTO DE VEHICULOS DEL SSO</t>
  </si>
  <si>
    <t>Calzado</t>
  </si>
  <si>
    <t>Vestuario</t>
  </si>
  <si>
    <t>Bloqueador solar</t>
  </si>
  <si>
    <t>1057532-423-PC26</t>
  </si>
  <si>
    <t>COMPRA DE TARJETAS BLANCAS PARA CREDENCIALES PARA CAMAPAÑA SELLO BUEN TRATO.</t>
  </si>
  <si>
    <t>MES DE EJECUCION DE LA COMPRA DE TARJETAS BLANCAS PARA CREDENCIALES SE REALIZARA EN EL MES DE FEBRERO DE 2026.</t>
  </si>
  <si>
    <t>Gustavo Aravena</t>
  </si>
  <si>
    <t>Jefe Depto. Desarrollo Organizacional</t>
  </si>
  <si>
    <t>64-2335819-</t>
  </si>
  <si>
    <t>gustavo.aravena@redsalud.gob.cl</t>
  </si>
  <si>
    <t>1057532-424-PC26</t>
  </si>
  <si>
    <t>Adquisición de insumos clínicos para usuarios/as UID Newen.</t>
  </si>
  <si>
    <t>Brindar una atención integral, segura y oportuna a los usuarios/as de UID Newen, a contar de enero y durante el año 2026.</t>
  </si>
  <si>
    <t>Insumos Clínicos</t>
  </si>
  <si>
    <t>Insumos de Pastillas</t>
  </si>
  <si>
    <t>1077241-99-PC26</t>
  </si>
  <si>
    <t>22.04-22-01</t>
  </si>
  <si>
    <t>Taller Mindfulness - Anclando la Calma: Regulación Emocional y Conexión</t>
  </si>
  <si>
    <t>Se espera adquisición para el mes de enero y/o febrero del 2026 para dar inicio a intervenciones desde abril.</t>
  </si>
  <si>
    <t>Abarrotes</t>
  </si>
  <si>
    <t>1057532-425-PC26</t>
  </si>
  <si>
    <t>CREDENCIAL DE IDENTIFICACION INSTITUCIONAL</t>
  </si>
  <si>
    <t>TRIMESTRAL, SEGUN NECESIDAD DEL STOCK</t>
  </si>
  <si>
    <t>Cinta Porta Credencial</t>
  </si>
  <si>
    <t>Karen Silva</t>
  </si>
  <si>
    <t>64-2335712-</t>
  </si>
  <si>
    <t>karen.silva@redsalud.gob.cl</t>
  </si>
  <si>
    <t>Porta Credencial</t>
  </si>
  <si>
    <t>Cinta Color Impresora</t>
  </si>
  <si>
    <t>Tarjeta PVC</t>
  </si>
  <si>
    <t>Kit Limpieza</t>
  </si>
  <si>
    <t>1180747-10-PC26</t>
  </si>
  <si>
    <t>Consultorías adecuación Diseño PSR Forrahue, etapa 1</t>
  </si>
  <si>
    <t>Ejecutar un Pozo profundo para la PSR Forrahue, comuna de Osorno.</t>
  </si>
  <si>
    <t>1180747-11-PC26</t>
  </si>
  <si>
    <t>Consultorías adecuación Diseño PSR Forrahue, Etapa 2.</t>
  </si>
  <si>
    <t>Desarrollar las adecuaciones a los proyectos de arquitectura y especialidades del diseño del la PSR tipo para el sector de Forrahue, comuna de Osorno.</t>
  </si>
  <si>
    <t>1180747-12-PC26</t>
  </si>
  <si>
    <t>Diseño SAR Puyehue.</t>
  </si>
  <si>
    <t>Consultoría para el desarrollo de los proyectos de arquitectura, estructuras y especialidades concurrentes para el diseño del Servicio de Alta Resolutividad (SAR), comuna de Puyehue</t>
  </si>
  <si>
    <t>1057922-6-PC26</t>
  </si>
  <si>
    <t>29.04</t>
  </si>
  <si>
    <t>Sillas Ergonómicas</t>
  </si>
  <si>
    <t>Se requieren para enero 2026</t>
  </si>
  <si>
    <t>Sillas</t>
  </si>
  <si>
    <t>64-2336510-</t>
  </si>
  <si>
    <t>1057922-7-PC26</t>
  </si>
  <si>
    <t>31.02.005</t>
  </si>
  <si>
    <t>CONSTRUCCION CESFAM CON SAR CHUYACA OSORNO; CODIGO BIP: 30430122 CONSTRUCCION CESFAM CON SAR CHUYACA, OSORNO</t>
  </si>
  <si>
    <t>Proyecto con fuente de financiamiento sectorial. Ejecución proyectada para abril 2026.</t>
  </si>
  <si>
    <t>Maria Elena Muñoz</t>
  </si>
  <si>
    <t>Jefa (S) Sub. Dpto. De Inversiones De Equipos Y Equipamiento</t>
  </si>
  <si>
    <t>64-2337386-</t>
  </si>
  <si>
    <t>maria.munozp@redsalud.gob.cl</t>
  </si>
  <si>
    <t>Equipo Medico</t>
  </si>
  <si>
    <t>Obras Civiles</t>
  </si>
  <si>
    <t>1057976-2-PC26</t>
  </si>
  <si>
    <t>Diseño nuevo Hospital de Purranque.</t>
  </si>
  <si>
    <t>Desarrollar los proyectos de arquitectura, estructuras, especialidades y estudios concurrentes del diseño del nuevo Hospital de Purranque.</t>
  </si>
  <si>
    <t>1057976-3-PC26</t>
  </si>
  <si>
    <t>Diseño Centro de Diálisis Municipal, comuna de Osorno.</t>
  </si>
  <si>
    <t>Desarrollar los proyectos de arquitectura, estructura y especialidades para la habilitación de un centro de diálisis municipal, el que se ubicara en el ex edificio de la PDI de Osorno.</t>
  </si>
  <si>
    <t>1057976-4-PC26</t>
  </si>
  <si>
    <t>31.02.003</t>
  </si>
  <si>
    <t>Consultoría Estudio Preinversional de Reposición Hospital de Alta Complejidad provincia de Osorno</t>
  </si>
  <si>
    <t>Contratación del estudio de preinversión hospitalario para el proyecto de reposición del Hospital de alta complejidad de la provincia, el cual contempla los módulos de producción, recursos humanos, TICs, equipos y equipamiento, infraestructura y sustentabilidad financiera. Subtitulo 31</t>
  </si>
  <si>
    <t>Sandra Cardenas</t>
  </si>
  <si>
    <t>Jefa Subdepartamento Estudios De Preinversión</t>
  </si>
  <si>
    <t>64-2335823-</t>
  </si>
  <si>
    <t>sandra.cardenass@redsalud.gob.cl</t>
  </si>
  <si>
    <t>1057976-5-PC26</t>
  </si>
  <si>
    <t>Diseño SAMU Provincial y Centro de Despacho.</t>
  </si>
  <si>
    <t>Desarrollar los proyectos de arquitectura, estructuras y especialidades concurrentes para la nueva Base SAMU Provincial y Centro de Despacho.</t>
  </si>
  <si>
    <t>1057976-6-PC26</t>
  </si>
  <si>
    <t>Consultoría Estudio Preinversional Reposición Hospital Hospital de Río Negro</t>
  </si>
  <si>
    <t>Contratación del estudio de preinversión hospitalario para el proyecto de reposición del Hospital de baja complejidad de Río Negro, el cual contempla los módulos de producción, recursos humanos, TICs, equipo y equipamiento, infraestructura y sustentabilidad financiera. Subtítulo 31</t>
  </si>
  <si>
    <t>Javier Donoso</t>
  </si>
  <si>
    <t>Jefe (S) Subdepartamento De Pre Inversion</t>
  </si>
  <si>
    <t>JAVIER.DONOSO@REDSALUD.GOB.CL</t>
  </si>
  <si>
    <t>1057976-7-PC26</t>
  </si>
  <si>
    <t>Consultoría Estudio Preinversional Reposición Hospital Hospital de Puerto Octay</t>
  </si>
  <si>
    <t>Contratación del estudio de preinversión hospitalario para el proyecto de reposición del Hospital de baja complejidad de Puerto Octay, el cual contempla los módulos de producción, recursos humanos, TICs, equipo y equipamiento, infraestructura y sustentabilidad financiera. Subtítulo 31</t>
  </si>
  <si>
    <t>1057976-8-PC26</t>
  </si>
  <si>
    <t>Diseño CESFAM Puerto Octay.</t>
  </si>
  <si>
    <t>Desarrollar los diseños de Arquitectura, Estructuras y Especialidades concurrentes para el nuevo CESFAM de la comuna de Puerto Octay.</t>
  </si>
  <si>
    <t>1057976-9-PC26</t>
  </si>
  <si>
    <t>Contratación de Visita a Obra 2026 de las Consultorías: Especialidades y Arquitectura Obra CESFAM Bahía Mansa</t>
  </si>
  <si>
    <t>Contratar visitas para diciembre de 2026 de: *02 visita Estructural por 20 UF *02 visita Electricidad por 14 UF *02 visita Clima por 14 UF *01 visita Gas por 14 UF *01 visita Seguridad por 14 UF *01 visita Gases Clínicos por 14 UF *02 visita Pav. y AA.LL por 20UF *02 visita A.P y Alcantarillado por 15 UF * 01 Visita Revisor Independiente de Arquitectura Nota: el valor de la UF será calculado el día de la visita del especialista.</t>
  </si>
  <si>
    <t>Rodrigo Neira</t>
  </si>
  <si>
    <t>rodrigo.neirar@redsalud.gob.cl</t>
  </si>
  <si>
    <t>1057976-10-PC26</t>
  </si>
  <si>
    <t>CONSTRUCCION CESFAM CON SAR CHUYACA OSORNO; CODIGO BIP: 30430122</t>
  </si>
  <si>
    <t>SE REQUIETE 1 VISITA DE ESPECIALIDAD DE ARQUITECTURA PARA LA OBRA CONSTRUCCION CESFAM CON SAR CHUYACA OSORNO PARA EL MES DE JUNIO DE 2026. EL COSTO DE LA VISITA ES DE 14 UF IVA INCLUIDO. NOTA: EL VALOR DE LA UF SERA DEL DIA DE LA VISITA.</t>
  </si>
  <si>
    <t>Fernando Wulf</t>
  </si>
  <si>
    <t>Ito</t>
  </si>
  <si>
    <t>fernando.wulf@redsalud.gob.cl</t>
  </si>
  <si>
    <t>1057532-426-PC26</t>
  </si>
  <si>
    <t>22..02.002</t>
  </si>
  <si>
    <t>EPP PARA DEPTO. DE INGENIERÍA CLÍNICA</t>
  </si>
  <si>
    <t>Fuente de financiamiento con recursos propios del Servicio de Salud Osorno. Ejecución proyectada para abril 2026</t>
  </si>
  <si>
    <t>1057922-8-PC26</t>
  </si>
  <si>
    <t>PLAN NACIONAL DEL CÁNCER 2026</t>
  </si>
  <si>
    <t>Proyecto con fuente de financiamiento sectorial. Ejecución proyectada para abril 2026</t>
  </si>
  <si>
    <t>1057922-9-PC26</t>
  </si>
  <si>
    <t>REPOSICION POSTA DE SALUD RURAL LA POZA, COMUNA DE SAN PABLO</t>
  </si>
  <si>
    <t>Proyecto con fuente de financiamiento F.N.D.R. Ejecución proyectada para julio 2026</t>
  </si>
  <si>
    <t>1180747-13-PC26</t>
  </si>
  <si>
    <t>CONSTRUCCION SALA DE ACOGIDA INTERCULTURAL (SRUKA) HOSPITAL BASE SAN JOSE, OSORNO</t>
  </si>
  <si>
    <t>1180747-14-PC26</t>
  </si>
  <si>
    <t>REPOSICION CONSULTORIO DE SALUD RURAL BAHIA MANSA, SAN JUAN DE LA COSTA</t>
  </si>
  <si>
    <t>Proyecto con fuente de financiamiento F.N.D.R. Ejecución proyectada para junio 2026</t>
  </si>
  <si>
    <t>1180747-15-PC26</t>
  </si>
  <si>
    <t>Consultorías adecuación Diseño PSR Cuinco, comuna de San Juan de La Costa.</t>
  </si>
  <si>
    <t>Desarrollar las adecuaciones a los proyectos de arquitectura y especialidades del diseño de la PSR tipo para el sector de Cuinco, comuna de San Juan de La Costa.</t>
  </si>
  <si>
    <t>1180747-16-PC26</t>
  </si>
  <si>
    <t>CONSTRUCCION CECOSF URBANO CHIFIN, COMUNA DE RIO NEGRO</t>
  </si>
  <si>
    <t>Proyecto con fuente de financiamiento F.N.D.R. Ejecución proyectada para mayo 2026</t>
  </si>
  <si>
    <t>1180747-17-PC26</t>
  </si>
  <si>
    <t>Diseño Ampliación CESFAM San Pablo</t>
  </si>
  <si>
    <t>Desarrollar el diseño de arquitectura, estructuras y especialidades para la ampliación y normalización del actual CESFAM de San Pablo.</t>
  </si>
  <si>
    <t>1057922-10-PC26</t>
  </si>
  <si>
    <t>REPOSICION CESFAM CON SAR RAHUE ALTO, OSORNO</t>
  </si>
  <si>
    <t>1057976-11-PC26</t>
  </si>
  <si>
    <t>31.02.004</t>
  </si>
  <si>
    <t>CONSTRUCCION POSTA SALUD RURAL EL PONCHO</t>
  </si>
  <si>
    <t>SE REQUIERE LICITAR PARA EL MES DE ABRIL DE 2026 EL SERVICIO DE CONSTRUCCION DE POSTA DE SALUD RURAL EL PONCHO.</t>
  </si>
  <si>
    <t>Construcción</t>
  </si>
  <si>
    <t>1057976-12-PC26</t>
  </si>
  <si>
    <t>REPOSICION POSTA DE SALUD RURAL HUILMA, COMUNA DE RIO NEGRO</t>
  </si>
  <si>
    <t>SE REQUIERE CONTRATAR EL SERCIVIO DE CONSTRUCCION DE POSTA DE SALUD RURAL DE HUILMA, UBICADO EN EL CRUCE HUILMA COMUNA DE RIO NEGRO ENTRE LA RUTA U-72 Y LA RUTA U-506. SE CONTEMPLA LA CONSTRUCCION DE UNA INFRAESTRUCTURA DE 225,6 M2 MAS UNA CASA DE PARAMEDICO DE 55 M2 EN UN TERRENO DE 11.000 M2. COMPUESTA DE MATERIALIDAD DE ACERO GALVANIZADO, CUBIERTA DE ZINC ALUM, REVESTIMIENTO EXTERIOR AISLADO, FUNDACIONES DE HORMIGON ARMADO, REVESTIMIENTO INTERIOR DE YESO CARTON . EL SERVICIO DEBERA ESTAR DISPONIBLE PARA ABRIL DEL 2026.</t>
  </si>
  <si>
    <t>1057976-13-PC26</t>
  </si>
  <si>
    <t>REPOSICION POSTA DE SALUD RURAL RUPANCO, COMUNA PUERTO OCTAY</t>
  </si>
  <si>
    <t>SE REQUIERE CONTRATAR PARA EL MES DE ABRIL DE 2026, EL SERVICIO DE CONSTRUCCION DE POSTA DE SALUD RURAL DE RUPANCO, COMUNA DE PUERTO OCTAY UBICADO EN EL KM 60,3 LADO DERECHO DE LA RUTA U911,COMUNA DE DE PUERTO OCTAY ( SECTOR ADMINISTRACION HACIENDA RUPANCO) CONTEMPLA UNA CONSTRUCCION DE 295 M2 PARA LA POSTA Y UNA VIVIENDA DE PARAMEDICO DE 55 M2 AMBAS EN ESTRUCTURA DE ACERO GALVANIZADO,RADIER DE HORMIGON ARMADO, REVESTIMIENTO EXTERIOR CON AISLACION, CUBIERTA DE ZIN ALUM Y REVESTIMIENTO INTERIOR DE YESO-CARTON</t>
  </si>
  <si>
    <t>1180747-18-PC26</t>
  </si>
  <si>
    <t>CONSTRUCCIÓN POSTA DE SALUD RURAL COSTA RIO BLANCO, COMUNA DE RIO NEGRO</t>
  </si>
  <si>
    <t>Proyecto con fuente de financiamiento F.N.D.R. Ejecución proyectada para abril 2026</t>
  </si>
  <si>
    <t>1057922-11-PC26</t>
  </si>
  <si>
    <t>HABILITACION ANGIOGRAFO HOSPITAL BASE DE OSORNO</t>
  </si>
  <si>
    <t>1057922-12-PC26</t>
  </si>
  <si>
    <t>CONSTRUCCION COSAM RAHUE, COMUNA OSORNO</t>
  </si>
  <si>
    <t>1057976-14-PC26</t>
  </si>
  <si>
    <t>CONTRATACION DE VISITA DE ESPECIALIDAD DE ARQUITECTURA PARA LA OBRA REPOSICION CESFAM CON SAR RAHUE ALTO.</t>
  </si>
  <si>
    <t>SE REQUIERE LA CONTRATACION DE 01 VISITA DE ESPECIALIDAD DE ARQUITECTURA PARA LA OBRA REPOSICIÓN CESFAM CON SAR RAHUE ALTO OSORNO PARA EL MES DE JUNIO DE 2026. EL COSTO DE LA VISITA ES DE 16 UF IVA INCLUIDO. NOTA EL VALOR DE LA UF SERA CALCULADO DEL DIA DE LA VISITA. INSPECCION DE PROYECTISTA DE ESPECIALIDAD DE ARQUITECTURA PARA INFORME FAVORABLE DE RECEPCION DE OBRA.</t>
  </si>
  <si>
    <t>Fos (S)</t>
  </si>
  <si>
    <t>1057922-13-PC26</t>
  </si>
  <si>
    <t>SUBTÍTULO 29 SECTORIAL 2026</t>
  </si>
  <si>
    <t>1057532-427-PC26</t>
  </si>
  <si>
    <t>Vestuario terreno y EPP funcionario nuevo</t>
  </si>
  <si>
    <t>elementos de protección personal y vestuario institucional para actividades en terreno de nuevo funcionario de Sub Depto. Fecha ejecucion: febrero</t>
  </si>
  <si>
    <t>1057922-14-PC26</t>
  </si>
  <si>
    <t>SUBTÍTULO 29 OPERACIONAL SSO 2026</t>
  </si>
  <si>
    <t>Fuente de financiamiento con recursos propios del Servicio de Salud Osorno. Ejecución proyectada para mayo 2026</t>
  </si>
  <si>
    <t>1180747-19-PC26</t>
  </si>
  <si>
    <t>ADQUISICION Y REPOSICION EQUIPOS Y EQUIPAMIENTO OTORRINOLARINGOLOGIA HOSPITAL BASE OSORNO</t>
  </si>
  <si>
    <t>1057532-428-PC26</t>
  </si>
  <si>
    <t>Conmemoración día internacional de la eliminación de la violencia contra la mujer 2026</t>
  </si>
  <si>
    <t>Se requiere productos para la elaboracion de un Coffe para jornada de conmemoración del día internacional de la eliminación de la violencia contra la mujer.</t>
  </si>
  <si>
    <t>Servilletas</t>
  </si>
  <si>
    <t>1057532-429-PC26</t>
  </si>
  <si>
    <t>Adquisición de insumos para atención en domicilio del Equipo Rehabilitación Rural SSO. (Sarten electrico para ortesis)</t>
  </si>
  <si>
    <t>Compra para realizar rehabilitación Terapia Ocupacional (confección de Ortesis) bajo la estrategia de rehabilitación del equipo Rural de la Dirección de Servicio. La población beneficiaria serán aquellos usuarios(as) de todo el ciclo vital y de localidades rurales de la Provincia. se espera lograr una mejora o mantención de sus participación de la comunidad a través del desarrollo de la rehabilitación, logrando la participación en la comunidad</t>
  </si>
  <si>
    <t>Equipo Terapia</t>
  </si>
  <si>
    <t>1057532-430-PC26</t>
  </si>
  <si>
    <t>22.06.006</t>
  </si>
  <si>
    <t>MANTENCIÓN PREVENTIVA DE AGUA POTABLE DE LA BASE SAMU</t>
  </si>
  <si>
    <t>CONTRATAR LOS TRABAJOS DE MANTENCIMIENTO DEL SISTEMA DE ALMACENAMIENTO E IMPULSIÓN DE AGUA POTABLE DE LA BASE SAMU OSORNO. EJECUCCIÓN PARA EL MES DE JUNIO</t>
  </si>
  <si>
    <t>Garibe Gallardo</t>
  </si>
  <si>
    <t>1057532-431-PC26</t>
  </si>
  <si>
    <t>Mantenciones emergentes para establecimientos dependientes del Servicio de Salud Osorno</t>
  </si>
  <si>
    <t>REALIZAR MANTENCIONES EMERGENTES EN CUALQUIERA DE LOS ESTABLECIMIENTOS DEPENDIENTES DEL SERVICIO DE SALUD OSORNO. EJECUCCIÓN DICIEMBRE.</t>
  </si>
  <si>
    <t>1057532-432-PC26</t>
  </si>
  <si>
    <t>Convenio - CONVENIO DE MANTENCION Y OBRAS MENORES INFRAESTRUCTURA DE LOS ESTABLECIMIENTOS DEL SERVICIO DE SALUD OSORNO 2027</t>
  </si>
  <si>
    <t>MANTENIMIENTO Y/O REPARACIONES DE LA INFRAESTRUCTURA COMO MUROS, TABIQUES, TECHUMBRES, CIELOS INTERIORES, PISOS, CARPINTERIA, PUERTAS, VENTANAS, PINTURA, CIERRES, CERCOS, CERRAJERIA, ARTEFACTOS ELECTRICOS (INTERRUPTORES, ENCHUFES, EQUIPOS DE ILUMINACIÓN, ACCIONAMIENTOS Y CENTROS DE DERIVACIÓN, ETC), ARTEFACTOS SANITARIOS, REDES, EQUIPOS A GAS Y MOBILIARIO EN GENERAL, DESDE ENERO A DICIEMBRE 2027. MES DE EJECUCIÓN DEL CONVENIO DICIEMBRE 2026</t>
  </si>
  <si>
    <t>1057532-433-PC26</t>
  </si>
  <si>
    <t>Mantención de Cubiertas de Edificios y Dispositivos dependientes del Servicio de Salud Osorno</t>
  </si>
  <si>
    <t>Realizar la mantención de cubierta de los Edificios y dispositivos dependientes del Servicio de Salud Osorno, para mantener su infraestructura en buenas condiciones y evitar filtraciones al interior de los dispositivos . EJECUCCIÓN NOVIEMBRE 2026.</t>
  </si>
  <si>
    <t>Mantenimiento Cubiertas</t>
  </si>
  <si>
    <t>1057532-434-PC26</t>
  </si>
  <si>
    <t>Mejoramiento Eléctrico y de Datos en Oficina 2do piso del Edificio Institucional de Manuel Rodríguez.</t>
  </si>
  <si>
    <t>Mejoramiento de Oficina 2do piso correspondiente a trabajos eléctricos y datos, en Edificio Institucional de Manuel Rodríguez. NOVIEMBRE 2026.</t>
  </si>
  <si>
    <t>1057532-435-PC26</t>
  </si>
  <si>
    <t>MANTENIMIENTO PREVENTIVO Y ADECUACIONES MENORES A TABLEROS ELECTRICOS DE LOS HOSPITALES Y DISPOSITIVOS DE LA RED 2027</t>
  </si>
  <si>
    <t>Mantenimiento preventivo a protecciones termomagnéticas, dispositivos de fuerza y control, en conjunto con diversos sistemas y componentes que conforman los tableros de distribución de energía eléctrica en el Hospital Intercultural Futa Sruka Lawenche Kunko Mapu Mo. Igualmente en los Hospitales de Purranque y Puerto Octay. Establecimiento COSAM Oriente y dispositivos de la red. Ejecución mes octubre 2026.</t>
  </si>
  <si>
    <t>Diego Saldivia</t>
  </si>
  <si>
    <t>Referente</t>
  </si>
  <si>
    <t>64-2335653-</t>
  </si>
  <si>
    <t>diego.saldivia@redsalud.gob.cl</t>
  </si>
  <si>
    <t>1057532-436-PC26</t>
  </si>
  <si>
    <t>22.04-22.02</t>
  </si>
  <si>
    <t>Materiales para simulacros</t>
  </si>
  <si>
    <t>Adquirir materiales para la caracterización de victimas de los simulacros con tecnica moulage, aumentando el realismo de las lesiones. mes de ejecucion de la compra: agosto.</t>
  </si>
  <si>
    <t>Chalecos</t>
  </si>
  <si>
    <t>Moulage</t>
  </si>
  <si>
    <t>1057532-437-PC26</t>
  </si>
  <si>
    <t>Conmemoración Día Mundial de Prevención Contra el Cáncer Cervicouterino</t>
  </si>
  <si>
    <t>La compra se realizará en el mes de Febrero 2026 por una única vez. La vigencia será solamente por Febrero 2026.</t>
  </si>
  <si>
    <t>Francisca Contreras</t>
  </si>
  <si>
    <t>Matrona</t>
  </si>
  <si>
    <t>64-2335806-</t>
  </si>
  <si>
    <t>francisca.contreras.c@redsalud.gob.cl</t>
  </si>
  <si>
    <t>1057532-438-PC26</t>
  </si>
  <si>
    <t>Elementos de Protección Personal para el Subdepto. Prevención de Riesgos DSSO</t>
  </si>
  <si>
    <t>Elementos de proteccion personal para funcionarios del del subdepto. prevencion de riesgos del SSO.</t>
  </si>
  <si>
    <t>Zapatos Seguridad</t>
  </si>
  <si>
    <t>1057532-439-PC26</t>
  </si>
  <si>
    <t>Abordaje integral de trastornos de salud mental y conducta alimentaria en adolescentes</t>
  </si>
  <si>
    <t>Ejecución en el mes de Abril 2026. Compra una única vez.</t>
  </si>
  <si>
    <t>1057532-443-PC26</t>
  </si>
  <si>
    <t>Adquisición de herramientas básicas para mantenimiento Centro Comunitario Kümelen</t>
  </si>
  <si>
    <t>Se requiere la adquisición de herramientas básicas y elementos de mantención (como taladro, destornilladores, martillos ,alicates ,set de llaves, entre otros) destinados a l mantenimiento de centro Kümelen , estas herramientas permitan realizar reparaciones menores, ajustes y mejoras en infraestructura y mobiliario, asegurando condiciones adecuadas para la atención y desarrollo de actividades comunitarias. la compra se ejecuta en febrero 2026.</t>
  </si>
  <si>
    <t>Materiales</t>
  </si>
  <si>
    <t>1057532-444-PC26</t>
  </si>
  <si>
    <t>Equipamiento Ergonómico</t>
  </si>
  <si>
    <t>Elementos y dispositivos ergonómicos para funcionarios de la DSSO.</t>
  </si>
  <si>
    <t>Apoya Pies - Alzador Pies - Alza Monitor</t>
  </si>
  <si>
    <t>1057922-15-PC26</t>
  </si>
  <si>
    <t>Equipamiento Ergonómico - Sillas</t>
  </si>
  <si>
    <t>1057532-445-PC26</t>
  </si>
  <si>
    <t>TEST PSICOLOGICOS PARA LA UNIDAD DE RECLUTAMIENTO Y SELECCIÓN DEL S.S.O.</t>
  </si>
  <si>
    <t>EL MES DE EJECUCION DE LA COMPRA DE TEST PSICOLOGICOS SE REALIZARA EN FEBRERO DE 2026.</t>
  </si>
  <si>
    <t>Guissela Franco</t>
  </si>
  <si>
    <t>Jefa Unidad Reclutamiento Y Seleccion</t>
  </si>
  <si>
    <t>64-2335640-</t>
  </si>
  <si>
    <t>guisella.franco@redsalud.gob.cl</t>
  </si>
  <si>
    <t>1057532-446-PC26</t>
  </si>
  <si>
    <t>ADQUISICION INSUMOS MANTENCION RED DE RADIOCOMUNICACIONES EN EMERGENCIAS SERVICIO DE SALUD OSORNO</t>
  </si>
  <si>
    <t>ADQUISICION INSUMOS MANTENCION RED DE RADIOCOMUNICACIONES EN EMERGERNCIAS SERVICIO DE SALUD OSORNO (COMPRA ENERO A MARZO DE 2026)</t>
  </si>
  <si>
    <t>Articulos Mantenimiento</t>
  </si>
  <si>
    <t>Esteban Alarcon</t>
  </si>
  <si>
    <t>Tecnico Radiocomunicaciones</t>
  </si>
  <si>
    <t>1057532-447-PC26</t>
  </si>
  <si>
    <t>Jornada SSYR Provincial</t>
  </si>
  <si>
    <t>Ejecución en Abril 2026. Compra única.</t>
  </si>
  <si>
    <t>1057532-448-PC26</t>
  </si>
  <si>
    <t>REPOSICION Y MANTENIMIENTO COMPONENTES RADIOS PORTATILES VHF DIRECCION</t>
  </si>
  <si>
    <t>ADQUISICION DE INSUMOS RADIALES PARA REPOSICION Y MANTENIMIENTO PORTATILES VHF DE DIRECCION DEL SERVICIO DE SALUD OSORNO (COMPRA ENERO A MARZO 2026)</t>
  </si>
  <si>
    <t>1057922-16-PC26</t>
  </si>
  <si>
    <t>Adquisición de micrófono y cámara para videoconferencias del Centro Comunitario Kümelen</t>
  </si>
  <si>
    <t>Se requiere adquisición de un micrófono de escritorio con reducción de ruido y una cámara web de alta definición, ambos con conexión USB, destinados a mejorar la calidad de sonido e imagen durante videoconferencias, reuniones técnicas y consejerías familiares virtuales realizadas por el equipo clínico-comunitario. La compra se ejecutará en el mes de Febrero del 2026, asegurando la continuidad y calidad de la atención remota y la participación en actividades interinstitucionales.</t>
  </si>
  <si>
    <t>Cámara - Micrófono</t>
  </si>
  <si>
    <t>1057532-449-PC26</t>
  </si>
  <si>
    <t>Insumos y servicio de Coffee Break para Curso de Monitores 2026 del Centro Kümelen</t>
  </si>
  <si>
    <t>Se requiere de insumos alimenticios para apoyo en jornada PM de Curso de Monitores realizado desde Abril a Diciembre 2026 (mes de ejecución Abril 2026).</t>
  </si>
  <si>
    <t>1057532-450-PC26</t>
  </si>
  <si>
    <t>22.04.990</t>
  </si>
  <si>
    <t>Adquisición de insumos para la atención en domicilio del Equipo Rehabilitación Rural SSO. (Equipo Médico Fonoaudiologa)</t>
  </si>
  <si>
    <t>Compra de Equipo de Terapia para rehabilitación fonoaudiologica a través de estrategia Equipo Rural de Rehabilitación. Equipo de Rehabilitación Fonoaudiologica Kit esta compuesto por: Batería Flex Cervical Estándar (Flex estándar, 50 etiquetas protectoras, 50 alcohol pads y bolso protector) Balón Terapéutico Tubo Terapéutico Bandas de goma marcadora; Estimulador Térmico Oral</t>
  </si>
  <si>
    <t>23-35807-</t>
  </si>
  <si>
    <t>1057532-451-PC26</t>
  </si>
  <si>
    <t>Cintas de Seguridad</t>
  </si>
  <si>
    <t>Cintas de seguridad para demarcación e instalación de señaletica en zonas de peligro en lugares de trabajo.</t>
  </si>
  <si>
    <t>Cinta</t>
  </si>
  <si>
    <t>1057532-452-PC26</t>
  </si>
  <si>
    <t>Reciclaje en Edificio Plaza Sur</t>
  </si>
  <si>
    <t>Retiro y traslado de residuos valorizables desde edificio plaza sur. Enero 2026</t>
  </si>
  <si>
    <t>Retiro</t>
  </si>
  <si>
    <t>Carlos Lopez Gutierrez</t>
  </si>
  <si>
    <t>Ingeniero Ambiental</t>
  </si>
  <si>
    <t>64-2337030-</t>
  </si>
  <si>
    <t>carloslopez.amb@gmail.com</t>
  </si>
  <si>
    <t>1057532-453-PC26</t>
  </si>
  <si>
    <t>Adquisición de insumos para la atención en domicilio del Equipo Rehabilitación Rural SSO. (Articulos de Fonoaudiología)</t>
  </si>
  <si>
    <t>Adquisición de Elementos de rehabilitación fonoaudiologica a través de la estrategia de equipo Rural de Rehabilitación</t>
  </si>
  <si>
    <t>Balon-Pinza-Especulo</t>
  </si>
  <si>
    <t>Insumos Rehabilitación</t>
  </si>
  <si>
    <t>1057532-454-PC26</t>
  </si>
  <si>
    <t>Protección Solar</t>
  </si>
  <si>
    <t>Bloqueador Solar para proteccion de radiacion UV de funcionarios (as) que se exponen habitualmente.</t>
  </si>
  <si>
    <t>Bloqueador Solar</t>
  </si>
  <si>
    <t>1057532-455-PC26</t>
  </si>
  <si>
    <t>22.02-22.04</t>
  </si>
  <si>
    <t>EQUIPAMIENTO AMBULATORIO FONDOS PPV</t>
  </si>
  <si>
    <t>Se requiere la reposición de insumos y equipamiento destinados a la unidad ambulatoria, con materiales de alta calidad, debido a que su uso es intenso y constante. Esta adquisición tiene como finalidad garantizar la seguridad, funcionalidad y durabilidad de los insumos y equipos utilizados en las distintas áreas de la unidad, contribuyendo al correcto desarrollo de las actividades diarias y la protección de los usuarios y el personal.</t>
  </si>
  <si>
    <t>Tela - Alfombra</t>
  </si>
  <si>
    <t>Cojines</t>
  </si>
  <si>
    <t>Equipamiento no Medico</t>
  </si>
  <si>
    <t>1057532-456-PC26</t>
  </si>
  <si>
    <t>Contenedores para segregación de residuos valorizables. La idea es reciclar residuos que permitan disminuir la huella de carbono del edificio plaza sur. ENERO 2026</t>
  </si>
  <si>
    <t>Contenedor</t>
  </si>
  <si>
    <t>1057532-457-PC26</t>
  </si>
  <si>
    <t>Equipamiento Tecnologico</t>
  </si>
  <si>
    <t>Equipamiento informático.</t>
  </si>
  <si>
    <t>Presentador láser</t>
  </si>
  <si>
    <t>1057532-458-PC26</t>
  </si>
  <si>
    <t>ARTICULOS DE FERRETERIA AMBULATORIO FONDOS PPV</t>
  </si>
  <si>
    <t>Cortinas</t>
  </si>
  <si>
    <t>Materiales de Mantenimiento Reparaciones</t>
  </si>
  <si>
    <t>Basurero</t>
  </si>
  <si>
    <t>Hacha</t>
  </si>
  <si>
    <t>Luces, manguera, tapa</t>
  </si>
  <si>
    <t>1057532-459-PC26</t>
  </si>
  <si>
    <t>Ceremonia de Egreso del Curso de Formación de Monitores del centro Kümelen.</t>
  </si>
  <si>
    <t>La presente adquisición tiene como finalidad contar con los insumos y servicios necesarios para la realización de la ceremonia de egreso del curso de formación de monitores al cuidado de personas con demencia. La actividad esta dirigida a reconocer el proceso formación y el compromiso comunitario de las participantes que completaron la capacitación, quienes se integran como agente de apoyo y sensibilización en sus comunidades. Noviembre 2026.</t>
  </si>
  <si>
    <t>1057532-460-PC26</t>
  </si>
  <si>
    <t>Protección Visual RUV</t>
  </si>
  <si>
    <t>Lentes de seguridad con proteccion UV para conducción de vehículos.</t>
  </si>
  <si>
    <t>Lentes de Seguridad</t>
  </si>
  <si>
    <t>1057532-461-PC26</t>
  </si>
  <si>
    <t>22.04.008</t>
  </si>
  <si>
    <t>ARTICULOS DE COCINA AMBULATORIO FONDOS PPV</t>
  </si>
  <si>
    <t>Artículos Cocina</t>
  </si>
  <si>
    <t>Caja Plastica</t>
  </si>
  <si>
    <t>1057532-462-PC26</t>
  </si>
  <si>
    <t>22.08.003</t>
  </si>
  <si>
    <t>ARTICULOS DE JARDINERIA AMBULATORIO FONDOS PPV</t>
  </si>
  <si>
    <t>Artículos Jardín</t>
  </si>
  <si>
    <t>1057532-463-PC26</t>
  </si>
  <si>
    <t>Adquisición de 120 Endoscopias Digestivas Altas para establecimientos de la Red Asistencial del Servicio de Salud Osorno.</t>
  </si>
  <si>
    <t>Adquisición de 120 Endoscopias Digestivas Altas para Establecimientos de la red Asistencial del Servicio de Salud Osorno, a partir del mes de marzo 2026.</t>
  </si>
  <si>
    <t>Endoscopia</t>
  </si>
  <si>
    <t>Omar Contreras</t>
  </si>
  <si>
    <t>Jefe Subdetpo. Apoyo Diagnóstico Y Terapéutico</t>
  </si>
  <si>
    <t>64-2335805-</t>
  </si>
  <si>
    <t>omar.contreras@redsalud.gob.cl</t>
  </si>
  <si>
    <t>1057532-464-PC26</t>
  </si>
  <si>
    <t>Se requiere impresion de folletería (diseño realizado por diseñedor del SSO), y monitora de yoga para jornada de conmemoración del día internacional de la eliminación de la violencia contra la mujer. Objetivo de la Adquisición: Crear un espacio de conmemoración y reflexión sobre el Día Internacional de la Eliminación de la Violencia contra la Mujer. Monitora de yoga para desarrollar 10 de sesiones, durante los meses de noviembre y diciembre, inscripcion sera dirigida para todas las mujeres de la comunidad funcionaria con una capacidad de 40 cup</t>
  </si>
  <si>
    <t>Folleteria</t>
  </si>
  <si>
    <t>1057532-465-PC26</t>
  </si>
  <si>
    <t>Carro de carga plegable (Yegua)</t>
  </si>
  <si>
    <t>La presente adquisición tiene como finalidad dotar al centro de apoyo comunitario para personas con demencia Kümelen un carro de carga plegable destinado al traslado seguro y eficiente de materiales, equipos e insumos clínicos y comunitarios utilizados en actividades tanto dentro del recinto como en terreno, el carro debe contar con una estructura resistente, sistema plegable para fácil almacenamiento y mayor durabilidad, permitiendo optimizar el transporte de elementos durante jornadas, ceremonias y acciones comunitarias. Febrero 2026.</t>
  </si>
  <si>
    <t>1057532-466-PC26</t>
  </si>
  <si>
    <t>Servicio de Movilización de 1 vehículo con conductor, por 2 meses, para ejecución vacunación en la provincia de Osorno</t>
  </si>
  <si>
    <t>Contratación de servicio de movilización con conductor consistente en 1 móvil por periodo de 2 meses, para traslado de equipos de salud de la atención primaria y sus insumos y ejecutar actividades de vacunación de campaña de invierno, escolar y programática en área urbana y rural de las comunas de la provincia. Inicio del servicio durante el mes de marzo 2026 hasta mes de mayo de 2026.</t>
  </si>
  <si>
    <t>Carolina Lagos</t>
  </si>
  <si>
    <t>Referente De Programa Nacional De Inmunizaciones</t>
  </si>
  <si>
    <t>carolina.lagos@redsalud.gob.cl</t>
  </si>
  <si>
    <t>1077241-100-PC26</t>
  </si>
  <si>
    <t>EQUIPAMIENTO RESIDENCIAL ? CONVENIO SENDA</t>
  </si>
  <si>
    <t>Se requiere la adquisición de equipos electrónicos de alto rendimiento, aparatos domésticos de última generación Y muebles firmes. La compra busca garantizar eficiencia, seguridad, durabilidad y funcionalidad, permitiendo el óptimo desarrollo de actividades tecnológicas, educativas y residenciales, incluso ante eventualidades que afecten la operación de la unidad.</t>
  </si>
  <si>
    <t>Mesa Pegable</t>
  </si>
  <si>
    <t>Alfombras</t>
  </si>
  <si>
    <t>Aire Acondicionado -Aspiradora - Congelador -Refrigerador - Televisor-Microondas</t>
  </si>
  <si>
    <t>Sillas - Escritorios</t>
  </si>
  <si>
    <t>Bodega Lata - Cocina a gas</t>
  </si>
  <si>
    <t>Calentador-Parlante-Aparato Electronico -</t>
  </si>
  <si>
    <t>Plancha</t>
  </si>
  <si>
    <t>1057532-467-PC26</t>
  </si>
  <si>
    <t>22.07.001</t>
  </si>
  <si>
    <t>SERVICIO DE ELABORACIÓN Y DIFUSIÓN DE 4 AVISOS RADIALES PROMOCIONALES DE CAMPAÑA DE INVIERNO 2026 POR 2 MESES</t>
  </si>
  <si>
    <t>Se requiere contratación de servicio de grabación y emisión en emisora radial local, de 4 avisos radiales promocionales de vacunación influenza, COVID, Pneumo 23 y Nirsevimab, durante los meses de marzo y abril de 2026, en radio de alcance provincial, banda FM, que incluya de manera obligatoria a las comunas de Osorno, Purranque, Río Negro y San Pablo e idealmente a todas las comunas de la provinica de Osorno. Difusión de be realizarse de lunes a domingo al menos 7 veces al día.</t>
  </si>
  <si>
    <t>Espacio Radial</t>
  </si>
  <si>
    <t>1057532-468-PC26</t>
  </si>
  <si>
    <t>ARTICULOS DE FERRETERIA Y OTROS RESIDENCIAL CONVENIO SENDA</t>
  </si>
  <si>
    <t>Escalera</t>
  </si>
  <si>
    <t>Orilladora</t>
  </si>
  <si>
    <t>FOCO - SECADOR</t>
  </si>
  <si>
    <t>1077241-101-PC26</t>
  </si>
  <si>
    <t>29.06.001</t>
  </si>
  <si>
    <t>INSUMOS COMPUTACIONALES RESIDENCIAL CONVENIO SENDA</t>
  </si>
  <si>
    <t>Se requiere la adquisición de una impresora en reemplazo de la actualmente existente, la cual presenta deterioro y no se encuentra en condiciones óptimas de funcionamiento. Esta reposición es necesaria para asegurar la continuidad operativa y el adecuado desempeño de las labores de la unidad.</t>
  </si>
  <si>
    <t>Impresora</t>
  </si>
  <si>
    <t>1057532-469-PC26</t>
  </si>
  <si>
    <t>1 Servicio de grabación y emisión de 4 mensajes radiales de vacunación escolar por 2 meses, en la provincia de Osorno.</t>
  </si>
  <si>
    <t>Se requiere servicio de grabación y emisión de 4 avisos radiales promocionales de vacunación escolar y otras vacunas del calendario programatico (4 mensajes totales), en radioemisora de alcance provincial y que tenga alcance obligatorio en las comunas de Osorno, Purranque, Río Negro y San Pablo. Emisión de lunes a domingo 7 veces al día por 2 meses, iniciando el mes de agosto hasta fines del mes de septiembre de 2026.</t>
  </si>
  <si>
    <t>Difusión Radial</t>
  </si>
  <si>
    <t>1057532-470-PC26</t>
  </si>
  <si>
    <t>Insumos para dispensación de fármacos y entrega citas a usuarios COSAM Rahue</t>
  </si>
  <si>
    <t>Etiquetas y rollos de papel para la dispensación de los medicamentos para el tratamiento farmacológico de los usuarios, y rollos de papel para la impresión de las citaciones agendada a usuarios.</t>
  </si>
  <si>
    <t>Etiquetas</t>
  </si>
  <si>
    <t>Yuvit Garcia-Chacur</t>
  </si>
  <si>
    <t>Insumos de Impresora</t>
  </si>
  <si>
    <t>1057532-471-PC26</t>
  </si>
  <si>
    <t>ADQUISICIÓN PARA PROGRAMA DE PROMOCIÓN, PREVENCIÓN Y DIAGNÓSTICO PRECOZ CÁNCERES PREVALENTES EN MUJERES DE LA PROVINCIA</t>
  </si>
  <si>
    <t>MATERIAL PARA DIFUSIÓN, PROMOCIÓN Y PARA LAS ACCIONES PREVENTIVAS DEL PROGRAMA DE CÁNCERES MÁS PREVALENTES EN LAS MUJERES DE LA PROVINCIA, CON EL FIN DE LOGRAR SU COMETIDO, SE COMENZARÁ A EJECUTAR DESDE ENERO DEL 2026 HASTA DICIEMBRE DEL 2026.</t>
  </si>
  <si>
    <t>Franco Fuentes</t>
  </si>
  <si>
    <t>Encargado De Gestión De Lista De Espera Y Programa Nacional De Cáncer</t>
  </si>
  <si>
    <t>64-2335873-</t>
  </si>
  <si>
    <t>franco.fuentes@redsalud.gob.cl</t>
  </si>
  <si>
    <t>Material Promocional</t>
  </si>
  <si>
    <t>Feria Salud</t>
  </si>
  <si>
    <t>Viales VPH</t>
  </si>
  <si>
    <t>1057532-472-PC26</t>
  </si>
  <si>
    <t>Adquisición de megáfonos y gabinetes para la comunicación en emergencias, gestión de riesgos y protección de equipos</t>
  </si>
  <si>
    <t>Se requiere la adquisición de 4 megáfonos y 6 gabinetes para la comunicación en emergencias, gestión de riesgos y protección de equipos, que serán instalados en las 6 vías de evacuación con que cuentan las nuevas instalaciones de COSAM Rahue, ubicadas en calle Guatemala 1402.</t>
  </si>
  <si>
    <t>Megafono</t>
  </si>
  <si>
    <t>1057922-17-PC26</t>
  </si>
  <si>
    <t>Mueble aéreo</t>
  </si>
  <si>
    <t>1057532-473-PC26</t>
  </si>
  <si>
    <t>Compra de insumos para la mantención de la cadena de frío de las vacunas de los establecimientos de la provincia.</t>
  </si>
  <si>
    <t>Adquisisón de insumos relacionados con la mantención adecuada de la cadena de frío de los productos biológicos que los centros de salud mantienen en custodia en los vacunatorios de la provincia, según normativa del Programa Nacional de Inmunizaciones. Se requiere compra de este material durante el mes de abril de 2026.</t>
  </si>
  <si>
    <t>Baterias</t>
  </si>
  <si>
    <t>Cables y Sensores</t>
  </si>
  <si>
    <t>Maleta - Cooler</t>
  </si>
  <si>
    <t>1057532-474-PC26</t>
  </si>
  <si>
    <t>"Día del autocuidado" en la comunidad funcionaria el día 24 de julio del 2026</t>
  </si>
  <si>
    <t>Se requiere adquirir recursos para conmemorar el Día del Autocuidado en la comunidad funcionaria el 24 de julio de 2026, donde se realizará una feria de salud durante la jornada de mañana y tarde. En esta feria, se invitará a funcionarios/as con emprendimientos relacionados al autocuidado a tener un stand para mostrar y vender sus productos. También, se contará con una profesora de yoga que realizará una actividad por jornada, y una instructora que ofrecerá masajes durante el día.</t>
  </si>
  <si>
    <t>Profesor Instructor</t>
  </si>
  <si>
    <t>Agua Mineral</t>
  </si>
  <si>
    <t>1057532-475-PC26</t>
  </si>
  <si>
    <t>1057532-476-PC26</t>
  </si>
  <si>
    <t>Adquisición materiales de oficina Unidad de Memoria 2026</t>
  </si>
  <si>
    <t>Se solicita adquirir articulos de oficina para box de atención, salas de taller y oficinas administrativas de edificio Matta.</t>
  </si>
  <si>
    <t>Articulos de Oficina</t>
  </si>
  <si>
    <t>Ximena Campos</t>
  </si>
  <si>
    <t>Coordinadora Unidad De Memoria</t>
  </si>
  <si>
    <t>64-2337363-</t>
  </si>
  <si>
    <t>1077241-102-PC26</t>
  </si>
  <si>
    <t>INSUMOS COMPUTACIONALES AMBULATORIO ? CONVENIO SENDA</t>
  </si>
  <si>
    <t>Se requiere la adquisición de insumos computacionales destinados a la Unidad Ambulatoria, con el objetivo de mantener el correcto funcionamiento de los equipos y asegurar el desarrollo eficiente de las labores administrativas y técnicas del servicio.</t>
  </si>
  <si>
    <t>Equipos Computacionales</t>
  </si>
  <si>
    <t>Carolina Silva Carolina Silva</t>
  </si>
  <si>
    <t>1077241-103-PC26</t>
  </si>
  <si>
    <t>ARTICULOS DE COCINA AMBULATORIO ? CONVENIO SENDA</t>
  </si>
  <si>
    <t>Se requiere la adquisición de equipos electrónicos y mobiliario de alto rendimiento, con el propósito de garantizar eficiencia, seguridad, durabilidad y funcionalidad en el desarrollo de las actividades de la unidad. Esta adquisición busca asegurar un funcionamiento óptimo en los ámbitos tecnológicos, educativos y residenciales, incluso frente a eventualidades u otras contingencias operativas.</t>
  </si>
  <si>
    <t>Articulos de Cocina</t>
  </si>
  <si>
    <t>1077241-104-PC26</t>
  </si>
  <si>
    <t>ARTICULOS DE FERRETERIA Y OTROS AMBULATORIO ? CONVENIO SENDA</t>
  </si>
  <si>
    <t>Focos</t>
  </si>
  <si>
    <t>1077241-105-PC26</t>
  </si>
  <si>
    <t>Adquisición de productos e insumos para el programa de control y eliminación de la Tuberculosis</t>
  </si>
  <si>
    <t>Adquisicion de productos e insumos para la prevencion, promocion, localizacion de casos, diagnostico y adherencia al tratamiento de usuarios/as con Tuberculosis.</t>
  </si>
  <si>
    <t>Maria Paz Gomez</t>
  </si>
  <si>
    <t>Referente Programa De Tuberculosis</t>
  </si>
  <si>
    <t>64-2335465-</t>
  </si>
  <si>
    <t>mariapaz.gomez.n@redsalud.gob.cl</t>
  </si>
  <si>
    <t>Kit de aseo</t>
  </si>
  <si>
    <t>Quantiferon</t>
  </si>
  <si>
    <t>Mantención equipos críticos</t>
  </si>
  <si>
    <t>1057532-477-PC26</t>
  </si>
  <si>
    <t>Materiales e insumos para talleres y capacitaciones red de coordinadores</t>
  </si>
  <si>
    <t>Apoyo logístico (materiales de trabajo, libreria, insumos de cafeteria,etc.) para 4 convocatorias a capacitaciones, talleres, jornadas y reuniones de trabajo con la red de coordinadores de emergencia de la red. meses de ejecucion febrero - marzo - junio-septiembre-diciembre</t>
  </si>
  <si>
    <t>Pendrives</t>
  </si>
  <si>
    <t>Porta Planos + Cinta Credencial</t>
  </si>
  <si>
    <t>01-03-2026,01-06-2026,01-09-2026,01-12-2026</t>
  </si>
  <si>
    <t>1057922-18-PC26</t>
  </si>
  <si>
    <t>REPOSICION CECOSF EL ENCANTO, COMUNA DE PUYEHUE</t>
  </si>
  <si>
    <t>1057532-478-PC26</t>
  </si>
  <si>
    <t>22.07.999</t>
  </si>
  <si>
    <t>Adquisición de productos e insumos para la prevención, promoción, localización de casos, diagnostico y adherencia al tratamiento de usuarios/as con Tuberculosis.</t>
  </si>
  <si>
    <t>Pendones</t>
  </si>
  <si>
    <t>1057532-479-PC26</t>
  </si>
  <si>
    <t>Materiales de oficina no disponibles en Bodega Central</t>
  </si>
  <si>
    <t>Adquisición de artículos de oficina y materiales para el desarrollo de funciones administrativas y actividades programadas por las distintas unidades del Departamento de Calidad de Vida.</t>
  </si>
  <si>
    <t>Encargada Unidad De Cuidados Infantiles Y Conciliación</t>
  </si>
  <si>
    <t>Papelero</t>
  </si>
  <si>
    <t>1057532-480-PC26</t>
  </si>
  <si>
    <t>Adquisicion de recetarios y talonarios de examenes de Psiconeurogeriatría Ayekan y kumelen.</t>
  </si>
  <si>
    <t>Adquirir talonarios de recetas médicas y ordenes de examenes propias de los dispositivos (psiconeurogeriatria) para dispensación de fármacos y toma de examenes en HBSJO. (realizadas de acuerdo a protocolos de referencia y contrareferencias de los dispositivos de Ayekan y Kumelen).</t>
  </si>
  <si>
    <t>1057532-481-PC26</t>
  </si>
  <si>
    <t>INSUMOS DE OFICINA</t>
  </si>
  <si>
    <t>SE REQUIERE LA COMPRA DE LOS INSUMOS DE OFICINA PARA EL DEPARTAMENTO DE OBRAS, EN EL MES DE MARZO 2026</t>
  </si>
  <si>
    <t>Marta Borquez</t>
  </si>
  <si>
    <t>64-2337382-</t>
  </si>
  <si>
    <t>marta.borquez@redsalud.gob.cl</t>
  </si>
  <si>
    <t>Tintas y Toner</t>
  </si>
  <si>
    <t>1057532-482-PC26</t>
  </si>
  <si>
    <t>Adquisición de Material Educativo Visual y Didáctico para la Educación Alimentaria en la Red de APS</t>
  </si>
  <si>
    <t>Impresión de material educativo visual y didáctico reutilizable para fortalecer las actividades de educación alimentaria en la red APS de la provincia de Osorno. La compra se ejecutará en mayo de 2025, financiada con recursos del Programa de Salud Cardiovascular.</t>
  </si>
  <si>
    <t>Jefe Sub Departamento Programa Curso De Vida</t>
  </si>
  <si>
    <t>64-2335808-</t>
  </si>
  <si>
    <t>1057532-483-PC26</t>
  </si>
  <si>
    <t>1057532-484-PC26</t>
  </si>
  <si>
    <t>Compra de insumos de higiene oral de programa odontológico integral</t>
  </si>
  <si>
    <t>Solicita la compra en el mes de mayo 2026 por única vez en el año de insumos de higiene oral que consiste en: cepillo dental adulto, cepillo interproximal, pasta dental adulto 1450ppm flúor, cepillo para prótesis dental, cepillo dental eléctrico recargable y repuestos para cepillo dental eléctrico recargable.</t>
  </si>
  <si>
    <t>Insumos Higiene Oral</t>
  </si>
  <si>
    <t>Gonzalo Schulz</t>
  </si>
  <si>
    <t>Odontologo</t>
  </si>
  <si>
    <t>64-2335810-</t>
  </si>
  <si>
    <t>gonzalo.schulz@redsalud.gob.cl</t>
  </si>
  <si>
    <t>1057532-485-PC26</t>
  </si>
  <si>
    <t>Pilas para equipos clínicos pesa, hemoglucotest y equipo de electroterapia</t>
  </si>
  <si>
    <t>Adquirir pilas para equipos clínicos de la unidad SAFU, tales como pesa portátil, hemoglucotest y equipo de electroterapia.</t>
  </si>
  <si>
    <t>Bateria</t>
  </si>
  <si>
    <t>1057532-486-PC26</t>
  </si>
  <si>
    <t>Capacitación de Salud Respiratoria en el Curso de Vida, en contexto de campaña de invierno para 110 personas</t>
  </si>
  <si>
    <t>Jornada de capacitación de Salud Repiratoria para 110 personas, enfocado en la Prevención, Diagnóstico y tratamiento de patologías respiratorias agudas y crónicas en el ciclo vital, destinada a profesionales médicos, enfermeras, kinesiólogos y otros que realicen atenciones de esta población, en la atención primaria.</t>
  </si>
  <si>
    <t>1057532-487-PC26</t>
  </si>
  <si>
    <t>Escalera tijera plegable</t>
  </si>
  <si>
    <t>Jornada de capacitación de Salud Repiratoria para 110 personas, enfocado en la Prevención, Diagnóstico y tratamiento de patologías respiratorias agudas y crónicas en el ciclo vital, destinada a profesionales médicos, enfermeras, kinesiólogos y otros que realicen atenciones de esta población, en la atención primaria. Se requiere adquirir escalera para acceder a repisas de bodega de insumos, en el mes de Enero 2026.</t>
  </si>
  <si>
    <t>1057532-488-PC26</t>
  </si>
  <si>
    <t>Convenio - Suministro de oxígeno medicinal para Red de Hospitales de mediana y baja complejidad, SAMU y Cosam</t>
  </si>
  <si>
    <t>Contrato suministro de oxígeno medicinal para la Red de Hospitales de Baja y Mediana Complejidad así como para Base SAMU y Cosam dependientes del Servicio Salud Osorno, en formato de cilindros de 0,4 m3 - 0,7 m3 - 6 m3 y 10 m3, el cual debe comenzar vigencia a partir de enero 2027, con duración de 2 años.</t>
  </si>
  <si>
    <t>Convenio Oxigenoterapia</t>
  </si>
  <si>
    <t>01-01-2027,01-02-2027,01-03-2027,01-04-2027,01-05-2027,01-06-2027,01-07-2027,01-08-2027,01-09-2027,01-10-2027,01-11-2027,01-12-2027,01-01-2028,01-02-2028,01-03-2028,01-04-2028,01-05-2028,01-06-2028,01-07-2028,01-08-2028,01-09-2028,01-10-2028,01-11-2028,01-12-2028</t>
  </si>
  <si>
    <t>Mario Aburto</t>
  </si>
  <si>
    <t>64-2335809-</t>
  </si>
  <si>
    <t>1057532-489-PC26</t>
  </si>
  <si>
    <t>Mantención integral edificio Centro Kümelen</t>
  </si>
  <si>
    <t>Se solicita la contratación de servicios de mantención integral del edificio, considerando limpieza y retiro de hojas en techumbres , limpieza de canaletas y bajadas de agua, reparación de vidrios o marcos de ventanas, . mes mayo 2026</t>
  </si>
  <si>
    <t>1057532-490-PC26</t>
  </si>
  <si>
    <t>Mantención integral edificio Matta</t>
  </si>
  <si>
    <t>Se solicita la contratación de servicios de mantención integral del edificio, reparación de filtraciones de techo y canaletas, revisión y reposición de enchufes e iluminarias, reparación de pisos flotantes levantados o dañados, tratamiento y pintura de paredes afectadas por humedad y hongos, mantención de cerraduras y manillas, revisión de sistema eléctrico y tableros. Mes de Diciembre 2026.</t>
  </si>
  <si>
    <t>1057532-491-PC26</t>
  </si>
  <si>
    <t>Material de librería para vacunatorios y para capacitaciones del Programa Nacional de Inmunizaciones 2025</t>
  </si>
  <si>
    <t>Adquisición de material de librería necesario para realizar las actividades diarias de registro en los vacunatorios y material necesario para ejecutar las capacitaciones y certificaciones programadas por el Servicio de Salud a los equipos de salud de la red asistencial, respesto del Programa Nacional de Inmunizaciones y Salud Respiratoria. Se requiere adquisisción a inicios de mes de marzo para ejecutar 1° capacitación a fines de marzo.</t>
  </si>
  <si>
    <t>1057532-492-PC26</t>
  </si>
  <si>
    <t>22.11.001</t>
  </si>
  <si>
    <t>Estudio e Informe Estructural Edificio EX- PDI.</t>
  </si>
  <si>
    <t>Desarrollar la consultoría de análisis estructural del Ex - edificio de la PDI, que incluye: testigos de losas y muros, modelamiento estructural y recomendaciones que permitan determinar el estado actual de la construcción y determinar las consideraciones técnicas para habilitar un Centro de Diálisis para la comuna de Osorno.</t>
  </si>
  <si>
    <t>1057532-493-PC26</t>
  </si>
  <si>
    <t>Adquisición servicio de cafetería para actividad de capacitación a profesionales de salud Campaña de Invierno</t>
  </si>
  <si>
    <t>Adquisición servicio de cafetería para 100 asistentes a actividad de capacitación dirigida a profesionales de salud en contexto de preparación para Campaña de Invierno 2026. Considera Jornada de mañana y tarde. Esta actividad se ejecutará en abril.</t>
  </si>
  <si>
    <t>1057532-494-PC26</t>
  </si>
  <si>
    <t>Adquisición artículos de librería para Jornadas con la Red Asistencial</t>
  </si>
  <si>
    <t>Contar en marzo 2026 con artículos de librería para realizar jornadas de planificación con la red</t>
  </si>
  <si>
    <t>Munirih Soto</t>
  </si>
  <si>
    <t>Jefatura Depto</t>
  </si>
  <si>
    <t>64-2335661-</t>
  </si>
  <si>
    <t>munirih.soto@redsalud.gob.cl</t>
  </si>
  <si>
    <t>1057532-495-PC26</t>
  </si>
  <si>
    <t>Plan de Compra Anual nuevos Boxes Dentales SAFU - Insumos Instrumentales</t>
  </si>
  <si>
    <t>Compra de insumos odontológicos para dos nuevos boxes dentales SAFU. Año 2026 88 horas de atención clínica.</t>
  </si>
  <si>
    <t>Insumos Odontologicos - Instrumentales</t>
  </si>
  <si>
    <t>Luis Alfonso Oyarzun</t>
  </si>
  <si>
    <t>Cirujano Dentista</t>
  </si>
  <si>
    <t>64-2332563-</t>
  </si>
  <si>
    <t>luis.oyarzun@redesalud.gob.cl</t>
  </si>
  <si>
    <t>1057532-496-PC26</t>
  </si>
  <si>
    <t>Adquisicion Licencias de Software GstarCAD por 24 meses</t>
  </si>
  <si>
    <t>Adquisición Licencias de Software GstarCAD por 24 meses, Junio 2026</t>
  </si>
  <si>
    <t>Alejandro Nuñez</t>
  </si>
  <si>
    <t>Encargado Gestión De Sistemas</t>
  </si>
  <si>
    <t>64-2335685-</t>
  </si>
  <si>
    <t>alejandro.nunez01@redsalud.gob.cl</t>
  </si>
  <si>
    <t>1057532-497-PC26</t>
  </si>
  <si>
    <t>Adquisicion Licencias de Software ArchiCAD por 24 meses</t>
  </si>
  <si>
    <t>Adquisición Licencias de Software ArchiCAD por 24 meses, para apoyar los proyectos de diseño y construcción del Servicio de Salud Osorno. Junio 2026</t>
  </si>
  <si>
    <t>Licencia</t>
  </si>
  <si>
    <t>1057532-498-PC26</t>
  </si>
  <si>
    <t>Implementación de impresoras termicas en Some De Edificio Matta</t>
  </si>
  <si>
    <t>La compra de impresoras térmicas para el SOME de la Unidad de Memoria Ayekan, se fundamenta en la necesidad de modernizar y optimizar los procesos de citación y registro de atenciones, mejorando la eficiencia del equipo administrativo y la calidad del servicio que se entrega a las personas mayores, sus familiares y cuidadores. La compra de impresoras térmicas representa una inversión costo-efectiva que permitirá fortalecer los procesos administrativos y ofrecer un servicio más eficiente, humanizado y centrado en las personas.</t>
  </si>
  <si>
    <t>1057532-499-PC26</t>
  </si>
  <si>
    <t>SOPORTE Y MANTENCION ANUAL SOFTWARE CONTROL DE INVENTARIO</t>
  </si>
  <si>
    <t>SERVICIO ANUAL DE SOPORTE TÉCNICO SOFTWARE DESDE EL MES DE ABRIL 2026</t>
  </si>
  <si>
    <t>Pablo Miranda</t>
  </si>
  <si>
    <t>Encargado De Inventario</t>
  </si>
  <si>
    <t>64-2335599-</t>
  </si>
  <si>
    <t>pablo.mirandaa@redsalud.gob.cl</t>
  </si>
  <si>
    <t>1057532-500-PC26</t>
  </si>
  <si>
    <t>Adquisición 2 coffee break para Jornada de Plan de Salud Comunal y Priorización</t>
  </si>
  <si>
    <t>Adquisición 2 coffee break para Jornada de Plan de Salud Comunal y Priorización como planes de monitoreo de las estrategias desarrolladas durante el 2024, la idea es que se ejecuten en abril - junio 2026</t>
  </si>
  <si>
    <t>1057532-501-PC26</t>
  </si>
  <si>
    <t>Adquisición artículos de cafetería para Jornadas de planificación con Red Asistencial</t>
  </si>
  <si>
    <t>Contar en marzo 2026 con artículos de cafetería para realizar jornadas de planificación y procesos con la red asistencial.</t>
  </si>
  <si>
    <t>1057532-502-PC26</t>
  </si>
  <si>
    <t>Construcción de repisas para archivos en bodega ex COSAM Oriente</t>
  </si>
  <si>
    <t>COMPRA DE MATERIALES PARA CONSTRUCCIÓN DE REPISAS PARA MEJORAR LA UTILIZACIÓN DEL ESPACIO EN LA BODEGA</t>
  </si>
  <si>
    <t>Repisas</t>
  </si>
  <si>
    <t>1057532-503-PC26</t>
  </si>
  <si>
    <t>3°Jornada para cuidadores/as "Cuidar con sentido y acompañar con el corazón"</t>
  </si>
  <si>
    <t>La tercera Jornada para cuidadores, es una actividad comunitaria abierta a todas las personas que que ejercen el rol de cuidador/a. Está centrada en la celebración del Dia internacional de las Personas Cuidadoras, que se celebra el 05 de noviembre de cada año. Esta es la 3°version proyectada a 100 participantes y se desarrolla en el mes de noviembre.</t>
  </si>
  <si>
    <t>1057532-504-PC26</t>
  </si>
  <si>
    <t>SERVICIO DE TRASLADO DE MOBILIARIO</t>
  </si>
  <si>
    <t>SERVICIO DE TRASLADO DE MOBILIARIO, TRASLADO DE OFICINAS</t>
  </si>
  <si>
    <t>1057532-505-PC26</t>
  </si>
  <si>
    <t>Accesorios de telecomunicación para actividades digitales de promoción y prevención de salud mental para la comunidad fu</t>
  </si>
  <si>
    <t>Adquirir equipamiento de telecomunicaciones para los profesionales clínicos del departamento de calidad de vida, con el fin de desarrollar actividades de promoción y prevención en salud mental vía digital y redes sociales (instagram sso.conectados). Iniciativa que pretende educar a funcionarios/as y que puedan tener acceso libre a la información a través de la plataforma social. Médicos y psicólogos realizan videos y transmisiones en vivo para informar sobre diversas patologías y aclarar consultas a la comunidad funcionaria.</t>
  </si>
  <si>
    <t>Artículos Computacionales</t>
  </si>
  <si>
    <t>Constanza García</t>
  </si>
  <si>
    <t>Psicóloga Safu</t>
  </si>
  <si>
    <t>64-2337033-</t>
  </si>
  <si>
    <t>constanza.garcia.j@redsalud.gob.cl</t>
  </si>
  <si>
    <t>Termolaminadora</t>
  </si>
  <si>
    <t>1057532-506-PC26</t>
  </si>
  <si>
    <t>Adquisición Carpetas con bolsillo troquel de imprenta y logo institucional CPU</t>
  </si>
  <si>
    <t>Se requiere adquisición 200 Carpetas impresion 4/0 color, couche 350 gr con polimate, bolsillo troquel de imprenta con logo CPU institucional a ejecutarse el mes de febrero 2026</t>
  </si>
  <si>
    <t>Maria Teresa Jaramillo</t>
  </si>
  <si>
    <t>Encargada Alivio Del Dolor Y Cuidados Paliativos Universales</t>
  </si>
  <si>
    <t>1057532-507-PC26</t>
  </si>
  <si>
    <t>Plan de Compra Anual nuevos Boxes Dentales SAFU - Insumos Dentales</t>
  </si>
  <si>
    <t>Insumos Odontológicos para dar atención clínica dental a funcionarios de la Red del SSO. Enero a diciembre 2026</t>
  </si>
  <si>
    <t>Insumos Odontologicos - Insumos Dentales</t>
  </si>
  <si>
    <t>1057532-508-PC26</t>
  </si>
  <si>
    <t>Material de trabajo terapéutico equipo salud mental unidad de salud funcionaria - Librería terapéutica</t>
  </si>
  <si>
    <t>El proceso psicoterapéutico requiere de múltiples herramientas que faciliten la comprensión, trabajo emocional, autorreflexión, autoobservación y el cambio conductual en los pacientes. En este contexto, el material terapéutico y bibliografía se convierte en un recurso esencial que complementa la intervención psicológica y potencia los resultados del tratamiento. Esta adquisición, busca argumentar la necesidad de contar con material terapéutico estructurado, actualizado y adaptado a las distintas modalidades de atención y sus grupos etarios.</t>
  </si>
  <si>
    <t>Libros</t>
  </si>
  <si>
    <t>1057532-509-PC26</t>
  </si>
  <si>
    <t>Implementacion de talleres y renovacion de insumos de kinesiologia de Unidad de Memoria Ayekan.</t>
  </si>
  <si>
    <t>El aumento de consultas de personas mayores con mayor funcionalidad y la necesidad de evaluar usuarios con patología de graduación leve para el diagnóstico de deterioro cognitivo hace necesario implementar talleres y atenciones individuales con implementos con los que actualmente no contamos y otros que requiren renovación por desgaste en su uso.</t>
  </si>
  <si>
    <t>1057532-510-PC26</t>
  </si>
  <si>
    <t>Adquisición de boquillas espiratorias desechables para flujometría.</t>
  </si>
  <si>
    <t>Adquisición de 1.000 boquillas espiratorias desechables para flujometría, con válvula unidireccional. Compra a ejecutar en Junio.</t>
  </si>
  <si>
    <t>1057532-511-PC26</t>
  </si>
  <si>
    <t>Adquisición Turbinas desechables espirometría</t>
  </si>
  <si>
    <t>Adquisición de 720 turbinas desechables para espirometrías con equipos actualmente en uso en la red asistencial, a ejecutar en Abril.</t>
  </si>
  <si>
    <t>1057532-512-PC26</t>
  </si>
  <si>
    <t>Servicio de cafetería para Jornada de Capacitación en Cuidados Paliativos para equipos CPU APS y Hospitales SSO</t>
  </si>
  <si>
    <t>Servicio de cafetería Jornada de capacitación CPU a ejecutarse el mes de abril 2026</t>
  </si>
  <si>
    <t>1180747-20-PC26</t>
  </si>
  <si>
    <t>Adquisición Equipamiento para evaluación saturación oxigeno en pacientes Piloto Cesación Tabáquica (Oxímetros)</t>
  </si>
  <si>
    <t>Adquisición de 12 Equipos para evaluación de saturación oxigeno (oxímetros) en pacientes de Piloto Cesación Tabáquica que ingresan a un Programa de Rehabilitación Respiratoria, en el marco de la estrategia. Compra a ejecutar en Enero.</t>
  </si>
  <si>
    <t>Oximetro</t>
  </si>
  <si>
    <t>Encargado Programa Prevención Cáncer Pulmonar</t>
  </si>
  <si>
    <t>1057532-513-PC26</t>
  </si>
  <si>
    <t>Adquisición de insumos de folleteria y cuadernillos de stimulación para Unidad de Memoria.</t>
  </si>
  <si>
    <t>La Unidad de Memoria Ayekan requiere material de folleteria para actividades de difusión, implementación de punto lector, ferias y exposiciones a la comunidad y también de material de estimulación cognitiva que permita a los usuarios trabajar en sala de espera o en domicilios.</t>
  </si>
  <si>
    <t>1057532-514-PC26</t>
  </si>
  <si>
    <t>Talleres educativos y de respiro para cuidadoras/es de usuarios con deteriro cognitivo.</t>
  </si>
  <si>
    <t>Los talleres para cuidadores/as de usuarios de Unidad de Memoria se realizaran todos los días martes desde el mes de marzo a diciembre 2026, se trata de mantener un espacio tanto de esparcimiento como educativo para las cuidadores con alto grado de sobrecarga por su rol de cuidador. Durante 2025 se han desarrollado con muy buena evaluación y adherencia por parte de familiares de usuarios. Favorece el autocuidado tanto físico como emocional.</t>
  </si>
  <si>
    <t>Material de Libreria</t>
  </si>
  <si>
    <t>1057532-515-PC26</t>
  </si>
  <si>
    <t>Compra de insumos clínicos para actividades de vacunación, en vacunatorios y colegios de la provincia.</t>
  </si>
  <si>
    <t>Compra de insumos clínicos para realizar vacunación de los usuarios en campaña de invierno, vacunación escolar y vacunas programáticas. Compra para el mes de abril de 2026.</t>
  </si>
  <si>
    <t>1057532-516-PC26</t>
  </si>
  <si>
    <t>Adquisición de Neumáticos para vehículos de la Dirección Servicio de Salud Osorno y Base SAMU Osorno año 2026</t>
  </si>
  <si>
    <t>Neumaticos</t>
  </si>
  <si>
    <t>1057532-517-PC26</t>
  </si>
  <si>
    <t>Servicio de Coffe para 115 personas, Jornada Anual de Capacitación del Programa Nacional de Inmunizaciones, provincial</t>
  </si>
  <si>
    <t>1 Servicio de coffe para 115 personas aproximadamente, por 2 días en jornada AM, para los asistentes a la Jornada Anual de Capacitación del Programa Nacional de Inmunizaciones a realizar durante el segundo semestre de 2026. A ejecutar el mes de septiembre de 2025.</t>
  </si>
  <si>
    <t>1057532-518-PC26</t>
  </si>
  <si>
    <t>Elaboración e impresión de Carnet de Control Integral para la Red de APS de la provincia de Osorno.</t>
  </si>
  <si>
    <t>Impresión de 6.000 unid. de carnet de control integral para la Red de APS. Tamaño 13.5 x 21.5 cms, impresión a color 4/4, tapas dúplex de 300 gramos emplacado, termolaminado por tiro, anillado continuo (plástico), interior Bond 90 gramos. Número de páginas totales 50 (incluye 5 separaciones en couché 170 gramos, 100 por lado y lado). Compra planificada para el mes de marzo.</t>
  </si>
  <si>
    <t>Cuaderno</t>
  </si>
  <si>
    <t>Jefa Subdepto. Gestión De Programas</t>
  </si>
  <si>
    <t>1057532-519-PC26</t>
  </si>
  <si>
    <t>Implementación autotoma de VPH</t>
  </si>
  <si>
    <t>Compra única en el mes de Febrero 2026</t>
  </si>
  <si>
    <t>1057532-520-PC26</t>
  </si>
  <si>
    <t>TEST DE EVALUACIONES PSICOLÓGICAS</t>
  </si>
  <si>
    <t>Adquirir test que nos permitan Evalúa para orientar la personalidad desde orientación vocacional y diagnóstico de la personalidad. Adquirir un test proyectivo que consta de 13 láminas que se dividen en tres series que reciben los nombres de A, B y C en las que se emplean figuras humanas para representar situaciones típicas de relación de objeto con el objetivo de que la persona a la que se le administra pueda proyectar sus relaciones objétales.</t>
  </si>
  <si>
    <t>TEST</t>
  </si>
  <si>
    <t>1057532-521-PC26</t>
  </si>
  <si>
    <t>Conmemoración día Mundial de la Salud Mental 10 de octubre 2026 y Desarrollo de actividades de promoción de salud mental</t>
  </si>
  <si>
    <t>Realizar actividades de sensibilización y promoción del cuidado de la salud mental (desde ENERO). Además, se realizará una jornada especial el día 10 de Octubre de 2026 para conmemorar el día mundial de la Salud Mental, iniciativa que pretende cuidar la dimensión psicológica y emocional de los funcionarios/as procurando su autocuidado y salud integral, para lo cual se invitara a diversos actores de la comunidad de salud mental a presentar sus programas.</t>
  </si>
  <si>
    <t>Cartucho color</t>
  </si>
  <si>
    <t>Artículos de librería</t>
  </si>
  <si>
    <t>1057532-522-PC26</t>
  </si>
  <si>
    <t>Insumos para CIRA SDGA</t>
  </si>
  <si>
    <t>Se requiere la compra de insumos de cafetería para las reuniones mensuales (12) de CIRA, de la Subdirección de Gestión Asistencial.</t>
  </si>
  <si>
    <t>Esteban Oyarzo</t>
  </si>
  <si>
    <t>Asistente Ejecutivo</t>
  </si>
  <si>
    <t>64-2335754-</t>
  </si>
  <si>
    <t>esteban.oyarzo.a@redsalud.gob.cl</t>
  </si>
  <si>
    <t>1057532-523-PC26</t>
  </si>
  <si>
    <t>Festival de la Voz de las Mujeres 2026</t>
  </si>
  <si>
    <t>El Festival de la Voz de las Mujeres es una actividad que se realiza la primera semana de marzo con la finalidad de conmemorar el Día internacional de la Mujer. El propósito del Festival es fomentar la participación y recreación de la comunidad funcionaria ofreciendo un espectáculo de calidad que promueva y estimule las habilidades artísticas musicales de las funcionarias de los distintos Hospitales y Dispositivos de la red del Servicio de Salud de Osorno, a la vez que se concientiza sobre la importancia de conmemorar el día internacional d</t>
  </si>
  <si>
    <t>Ignacio Sotomayor</t>
  </si>
  <si>
    <t>Psicologo</t>
  </si>
  <si>
    <t>ignacio.sotomayor@redsalud.gob.cl</t>
  </si>
  <si>
    <t>Decoración y Premios</t>
  </si>
  <si>
    <t>1057532-524-PC26</t>
  </si>
  <si>
    <t>Obras civiles para montaje de 2 futuros contenedores de largo 20 pies</t>
  </si>
  <si>
    <t>Obras civiles para montaje de 2 futuros contenedores de largo 20 pies. Construcción de vereda de hormigón de dimensiones 25mx2,5m para acceso de funcionarios, construcción de losa de hormigón de dimensiones 12x10m, construcción de techo para los contenedores.</t>
  </si>
  <si>
    <t>robertonunez123@gmail.com</t>
  </si>
  <si>
    <t>1057532-525-PC26</t>
  </si>
  <si>
    <t>ADQUISICIÓN DISPOSITIVOS DE ALMACENAMIENTO PARA HABILITACION DE EQUIPOS COMPUTACIONALES</t>
  </si>
  <si>
    <t>Dado el proceso de recambio de Equipamiento PC MINSAL, los equipos pertenecientes a Empresa UPGRADE (Aprox. 40) quedarán en calidad de donación al Servicio de Salud Osorno, pero sin discos de almacenamiento. Por esta razón se requiere adquirir 40 Discos SSD y así dejar operativos 40 PC para uso de los establecimientos de nuestra Red.</t>
  </si>
  <si>
    <t>Disco Duros</t>
  </si>
  <si>
    <t>1057976-15-PC26</t>
  </si>
  <si>
    <t>Mejoramiento Hospital de Rio Negro(4 LICITACIONES) - Traspaso de año , modificación en emisiones de OC</t>
  </si>
  <si>
    <t>Se requiere licitar para el mes de mayo año 2025, Mejoramiento Hospital de Rio Negro (4 LICITACIONES)</t>
  </si>
  <si>
    <t>1057532-529-PC26</t>
  </si>
  <si>
    <t>contendores de papel</t>
  </si>
  <si>
    <t>4 CONTENEDORES DE PAPEL CON LAS SIGUIENTES MEDIDAS Alto 70 Cm Ancho 40 Cm Profundidad 39 Cm Peso 2,3 Kg Capacidad 60 Litros</t>
  </si>
  <si>
    <t>Cristina Collinao</t>
  </si>
  <si>
    <t>Sub. Dpto. Transparencia, Gestion Documental Y Lobby</t>
  </si>
  <si>
    <t>64-2335752-</t>
  </si>
  <si>
    <t>CRISTINA.COLLINAO@REDSALUD.GOB.CL</t>
  </si>
  <si>
    <t>1057532-534-PC26</t>
  </si>
  <si>
    <t>INSUMOS DE ATENCION PSICOLOGICA</t>
  </si>
  <si>
    <t>Adquirir material necesario para el desarrollo de las atenciones de salud mental, favoreciendo una atención digna y de buena calidad, buscando brindar un estándar de comodidad medio para las y los pacientes, favoreciendo su apertura a la experiencia</t>
  </si>
  <si>
    <t>constanza.gj@gmail.com</t>
  </si>
  <si>
    <t>1057532-535-PC26</t>
  </si>
  <si>
    <t>22.01-22.04</t>
  </si>
  <si>
    <t>Eventos y resignificaciones anuales</t>
  </si>
  <si>
    <t>Fortalecer los procesos terapéuticos y comunitarios de las personas en tratamiento, mediante espacios mensuales de resignificación que promuevan la integración familiar, la reconstrucción de vínculos y la participación activa en actividades que refuercen el sentido de pertenencia, la autoestima y la continuidad del proceso de rehabilitación.</t>
  </si>
  <si>
    <t>Encargada de Compras</t>
  </si>
  <si>
    <t>carolina.silvall@redsalud.gob.cl</t>
  </si>
  <si>
    <t>Insumos de alimentación</t>
  </si>
  <si>
    <t>1057532-536-PC26</t>
  </si>
  <si>
    <t>INSUMOS ALIMENTACIÓN PARA ACTIVIDADES DE SALUD MENTAL 2026</t>
  </si>
  <si>
    <t>ADQUISICIÓN DE INSUMOS DE ALIMENTACIÓN NECESARIOS PARA MANTENER LA CALIDAD DE ACTIVIDADES IMPORTANTES COMO REUNIONES CON EL INTERSECTOR , TALLERES Y CAPACITACIONES</t>
  </si>
  <si>
    <t>1057532-537-PC26</t>
  </si>
  <si>
    <t>MUEBLE DOCUMENTAL</t>
  </si>
  <si>
    <t>MUEBLE REPISERO PARA DOCUMENTOS DE MELAMINA</t>
  </si>
  <si>
    <t>1057532-538-PC26</t>
  </si>
  <si>
    <t>22.02.001</t>
  </si>
  <si>
    <t>Olimpiadas del Adolescente</t>
  </si>
  <si>
    <t>Ejecución de las olimpiadas del adolescente a realizar en contexto de prevención de la obesidad.</t>
  </si>
  <si>
    <t>Polera de trabajo</t>
  </si>
  <si>
    <t>64-25806-</t>
  </si>
  <si>
    <t>Bandanas</t>
  </si>
  <si>
    <t>1057532-539-PC26</t>
  </si>
  <si>
    <t>Insumos para reuniones ministeriales</t>
  </si>
  <si>
    <t>Tener stock para reuniones del Director durante el año y recepción parcializada en 4 meses.</t>
  </si>
  <si>
    <t>Claudia Vera</t>
  </si>
  <si>
    <t>64-2335750-</t>
  </si>
  <si>
    <t>claudia.veraa@redsalud.gob.cl</t>
  </si>
  <si>
    <t>1057532-540-PC26</t>
  </si>
  <si>
    <t>Compra de Servicio de Docencia, Relatoría, Consultoría, Alimentación y Compra de insumos Año 2026</t>
  </si>
  <si>
    <t>Contratar mediante Licitaciones, Compra Ágil, Trato Directo, Convenio Marco (Consultorías, Pasajes) o según sea la necesidad, servicios de docencia/relatoría, consultoría, alimentación y compra de Artículos de librería, pasajes y hospedaje a relatores y otros servicios complementarios, para ejecutar los Programas Anuales de Capacitación de los diferentes establecimientos de la Red Asistencial, incluido APS, con excepción del Hospital Base San José Osorno dado que es establecimiento autogestionado. Compra durante Primer Semestre 2026 y 3er Trim</t>
  </si>
  <si>
    <t>Servicio Relatoría</t>
  </si>
  <si>
    <t>Angela Montesinos</t>
  </si>
  <si>
    <t>Encargada Control De Gestion De Compras Y De Presupuesto</t>
  </si>
  <si>
    <t>64-2335849-</t>
  </si>
  <si>
    <t>angela.montesinos@redsalud.gob.cl</t>
  </si>
  <si>
    <t>Tarjetas de Alimentación</t>
  </si>
  <si>
    <t>Servicio de Cafetería</t>
  </si>
  <si>
    <t>Insumos de Alimentación</t>
  </si>
  <si>
    <t>Artículos de Oficina</t>
  </si>
  <si>
    <t>Pila</t>
  </si>
  <si>
    <t>Caja plástica</t>
  </si>
  <si>
    <t>Alojamiento</t>
  </si>
  <si>
    <t>1057532-541-PC26</t>
  </si>
  <si>
    <t>Insumos médicos</t>
  </si>
  <si>
    <t>Se requiere la reposición y adquisición de insumos médicos para los botiquines de las Unidades Residencial y Ambulatoria de la Comunidad Terapéutica. Con personal compuestos por enfermeros, técnicos paramédicos y médicos, se busca atender emergencias, aliviar el dolor, realizar curaciones y manejar patologías menores. Contar con botiquines equipados permite brindar atención primaria oportuna ante eventos ocurridos durante la estadía o actividades de la unidad.</t>
  </si>
  <si>
    <t>Artículos médicos y clínicos</t>
  </si>
  <si>
    <t>Materiales de curación</t>
  </si>
  <si>
    <t>Equipamiento médico</t>
  </si>
  <si>
    <t>1057532-542-PC26</t>
  </si>
  <si>
    <t>Adquisición de Insumos para control cardiovascular/integral en atención primaria</t>
  </si>
  <si>
    <t>Adquisición de insumos médicos para el control cardiovascular/integral en APS. 1) EQUIPO DE CURACION DESECHABLE: 2.000 UNIDADES. 2) CURETAS FOX (3 mm o 4 mm): 500 UNIDADES (19 cajas c/25 unidades). 3) MONOFILAMENTO SEMMES WEINSTEIN: 250 UNIDADES. 4) CINTA MÉTRICA RETRÁCTIL: 150 UNIDADES. Compra para marzo 2025.</t>
  </si>
  <si>
    <t>1057532-543-PC26</t>
  </si>
  <si>
    <t>Materiales psicopedagógicos</t>
  </si>
  <si>
    <t>Mantener stock de recursos para el desarrollo de actividades psicopedagógicas y desde el abordaje cognitivo conductual de todos los terapeutas, todas dirigidas a que las personas en tratamientos y familiares logren a través de actividades grupales dirigidas, adquirir conocimientos de forma lúdica con estrategias que permitan el desarrollo de creatividad, estimulación y discriminación visual.</t>
  </si>
  <si>
    <t>Artículos de oficina</t>
  </si>
  <si>
    <t>1057532-544-PC26</t>
  </si>
  <si>
    <t>Adquisición de insumos para la atención y educación en salud, a personas bajo control en los Programas de Salud</t>
  </si>
  <si>
    <t>Adquisición de insumos para la atención y educación en salud, a personas bajo control en distintos programas de la atención primaria: - 100 cajas Apositos - 10 linternas frontales - 10 diapazón - 10 tijera corta yeso dentada Bruns - 10 fonendoscopios pediátricos - 14 Podoscopio</t>
  </si>
  <si>
    <t>Linterna</t>
  </si>
  <si>
    <t>Material de Curación</t>
  </si>
  <si>
    <t>1057532-545-PC26</t>
  </si>
  <si>
    <t>Conmemoración del aniversario del centro Kümelen</t>
  </si>
  <si>
    <t>Realizar actividad conmemorativa enmarcada en el cumplimiento de los 10 años de antigüedad del centro kümelen en septiembre 2026.</t>
  </si>
  <si>
    <t>Carlos Utreras</t>
  </si>
  <si>
    <t>Coordinador (S)</t>
  </si>
  <si>
    <t>carlos.utreras@redsalud.gob.cl</t>
  </si>
  <si>
    <t>Diptico</t>
  </si>
  <si>
    <t>1077241-106-PC26</t>
  </si>
  <si>
    <t>22.01-22.04-22.02</t>
  </si>
  <si>
    <t>Taller de habilidades para la vida 2026</t>
  </si>
  <si>
    <t>Consiste en enseñar a los usuarios de forma teórico-práctica habilidades para lograr la máxima independencia de los usuarios de salud mental. Fomentar máxima autonomía posible de los participantes según su nivel de funcionalidad, identificar las fortalezas y necesidades individuales de cada participante, desarrollar habilidades para la vida diaria en AVD básicas, instrumentales, en interacción y comunicación, explorar los recursos disponibles en la comunidad para brindar apoyo adicional.</t>
  </si>
  <si>
    <t>Artículos de cocina</t>
  </si>
  <si>
    <t>Director COSAM Oriente</t>
  </si>
  <si>
    <t>Útiles de aseo</t>
  </si>
  <si>
    <t>Artículos de cocina textiles</t>
  </si>
  <si>
    <t>Fósforos</t>
  </si>
  <si>
    <t>1057532-546-PC26</t>
  </si>
  <si>
    <t>Adquisicion ciclo de capacitaciones ECICEP para profesionales de la red asistencial</t>
  </si>
  <si>
    <t>Adquisición de ciclo de capacitaciones para la red asistencial en ECICEP, considerando capacitaciones transversales para el equipo de salud, capacitaciones para Médicos, Capacitaciones para Enfermeras y TENS.</t>
  </si>
  <si>
    <t>Curso</t>
  </si>
  <si>
    <t>Referente Estrategia De Cuidados Integrales Centrados En Las Personas - Ecicep</t>
  </si>
  <si>
    <t>1057532-547-PC26</t>
  </si>
  <si>
    <t>Adquisición insumos clínicos y de aseo general mamógrafo móvil/estrategias Programa Imágenes Diagnósticas 2026.</t>
  </si>
  <si>
    <t>Adquisición de insumos clínicos necesarios para la atención de usuarias en un entorno limpio e higiénico.</t>
  </si>
  <si>
    <t>Productos Alcohol</t>
  </si>
  <si>
    <t>Barbara Mendez</t>
  </si>
  <si>
    <t>Enc. Apoyo Diagnóstico En Imagenología</t>
  </si>
  <si>
    <t>64-2331026-</t>
  </si>
  <si>
    <t>barbara.mendez@redsalud.gob.cl</t>
  </si>
  <si>
    <t>Toallas</t>
  </si>
  <si>
    <t>1057532-548-PC26</t>
  </si>
  <si>
    <t>Adquisición de insumos validados para la medición de presión arterial en el curso de vida.</t>
  </si>
  <si>
    <t>1) 10 Set de brazaletes tensiómetros reusables para la medición de la presión arterial. Cada Set viene brazaletes de 4 tamaños: Pediátrico (15-21 cms), Adulto pequeño/Adolescente (20-26 cms), Adulto mediano (25-34 cms), Adulto grande/Obeso (32-43 cms). Garantía técnica mínima 18 meses. 2) 10 unidades esfigmomanómetro automatizado, diseñado para la medición de la presión arterial y la frecuencia cardíaca en personas con edades superiores a los 3 años. Validado para Chile y autorizado por Minsal para uso profesional. Compra Marzo 2026.</t>
  </si>
  <si>
    <t>1057532-550-PC26</t>
  </si>
  <si>
    <t>Adquisición Dispositivos médicos de Curación Avanzada. Presupuesto: PAGD, componente Salud Cardiovascular $15.000.000.-</t>
  </si>
  <si>
    <t>Adquisición de dispositivos médicos para el apoyo a la gestión de curaciones avanzadas en usuarios portadores de úlcera venosa y úlcera del pie diabético a ejecutarse en marzo 2026.</t>
  </si>
  <si>
    <t>Jefa Subdepto. Programas En Curso De Vida.</t>
  </si>
  <si>
    <t>1057532-551-PC26</t>
  </si>
  <si>
    <t>Adquisición de servicio de catering para curso de Imagenología para Médicos generales y de APS.</t>
  </si>
  <si>
    <t>Proveer de servicios de catering para jornada de capacitación Médicos Generales Imágenes Diagnósticas.</t>
  </si>
  <si>
    <t>1057532-562-PC26</t>
  </si>
  <si>
    <t>Convenio - Convenio de servicio de exámenes de ecotomografía abdominal y mamaria programa imágenes diagnósticas.</t>
  </si>
  <si>
    <t>Adquisición de exámenes con informe radiológico de ecotomografía abdominal y mamaria para los hospitales acreditados dependientes del Servicio de Salud Osorno.</t>
  </si>
  <si>
    <t>Ecotomografia Abdominal</t>
  </si>
  <si>
    <t>Ecotomografia Mamaria</t>
  </si>
  <si>
    <t>1057532-564-PC26</t>
  </si>
  <si>
    <t>Compra de insumos de oficina y cafetería</t>
  </si>
  <si>
    <t>Contar con insumos de cafetería para ser utilizados dentro de talleres y charlas mencionadas que están dirigidos a la comunidad usuaria del servicio. Los artículos de oficina son para hacer cuadernillos de manuales y orientaciones técnicas de la unidad, también para folletería que será entregada a la comunidad funcionaria y usuaria en talleres, charlas y ferias laborales de la provincia.</t>
  </si>
  <si>
    <t>Jefa Unidad Reclutamiento y Selección</t>
  </si>
  <si>
    <t>64-2565640-</t>
  </si>
  <si>
    <t>Vasos desechables</t>
  </si>
  <si>
    <t>1057532-565-PC26</t>
  </si>
  <si>
    <t>Convenio - Convenio de servicio informes de radiografías y mamografías para los Hospitales Dependientes del S.S.O.</t>
  </si>
  <si>
    <t>Convenio de informes radiológicos simples y mamografia, en calidad de ambulatorios y urgentes, para los Establecimientos dependientes del Servicio de Salud Osorno.</t>
  </si>
  <si>
    <t>Informes Radiografias Mamografias</t>
  </si>
  <si>
    <t>Informes Radiografias Simple</t>
  </si>
  <si>
    <t>1057532-566-PC26</t>
  </si>
  <si>
    <t>Conmemoración día de la mujer</t>
  </si>
  <si>
    <t>La presente adquisición tiene como finalidad contar con los insumos y servicios necesarios para la conmemoración del día mundial de la mujer, esta jornada esta dirigida y reconocer y visibilizar el rol de las mujeres en el ámbito laboral y las personas con demencias, cuidadoras y familiares, promoviendo la equidad de genero, bienestar y participación comunitaria. Se contempla material de difusión, ambientación y alimentación. Marzo 2026.</t>
  </si>
  <si>
    <t>Bolsa Regalos</t>
  </si>
  <si>
    <t>1057532-567-PC26</t>
  </si>
  <si>
    <t>servicio de dosimetría Trabajadores Ocupacionalmente expuestos del Programa Imágenes Diagnósticas.</t>
  </si>
  <si>
    <t>Mantener suministro de servicio de dosimetría, para Trabajadores Ocupacionalmente Expuestos a radiaciones Ionizantes, para los 4 trimestres del año 2026</t>
  </si>
  <si>
    <t>Dosimetria</t>
  </si>
  <si>
    <t>1057532-568-PC26</t>
  </si>
  <si>
    <t>Convenio - Convenio de servicio movilización funcionarios mamógrafo móvil. Descripción</t>
  </si>
  <si>
    <t>Servicio de movilización sin conductor, para el traslado de funcionarios mamógrafo móvil del servicio de salud Osorno.</t>
  </si>
  <si>
    <t>Convenio Movil</t>
  </si>
  <si>
    <t>1077241-107-PC26</t>
  </si>
  <si>
    <t>Adquisición insumos de promoción, prevención y tratamiento ADM para desarrollo Programa de Resolución de Ortodoncia NNA</t>
  </si>
  <si>
    <t>Material e insumos de Promoción, prevención y tratamiento en ADM para NNA en el marco del Programa de Resolución de Ortodoncia - Construyendo Nuevas Sonrisas Ejecución entre los meses de marzo y abril, para cierre de programa.</t>
  </si>
  <si>
    <t>Insumos Dentales</t>
  </si>
  <si>
    <t>Marco Gonzalez</t>
  </si>
  <si>
    <t>Encargado Salud Oral</t>
  </si>
  <si>
    <t>64-2335687-</t>
  </si>
  <si>
    <t>marco.gonzalezf@redsalud.gob.cl</t>
  </si>
  <si>
    <t>Servicios de Impresion</t>
  </si>
  <si>
    <t>1057922-19-PC26</t>
  </si>
  <si>
    <t>Bodega Lata</t>
  </si>
  <si>
    <t>NMaria Paz Gomez</t>
  </si>
  <si>
    <t>Balanza</t>
  </si>
  <si>
    <t>1057532-569-PC26</t>
  </si>
  <si>
    <t>Proyecto de Compra Insumos clínicos 2026</t>
  </si>
  <si>
    <t>En el contexto de atención clínica a los usuarios del dispositivo COSAM Rahue, se mantiene presente la necesidad de contar con insumos clínicos y no clínicos para la realización procedimientos de enfermería los cuales son parte importante del tratamiento establecido para el cumplimiento de los objetivos terapéuticos del usuario durante su proceso de salud-enfermedad. Esto debido a que las cantidades que se requieren para hacer pedido en CENABAST son mucho mayores a las que se utilizan en el dispositivo. Además, se requieren ciertos insumos para</t>
  </si>
  <si>
    <t>Riñones</t>
  </si>
  <si>
    <t>Accesorios</t>
  </si>
  <si>
    <t>Termohidrometro</t>
  </si>
  <si>
    <t>1057532-570-PC26</t>
  </si>
  <si>
    <t>Capacitación formación de facilitadores Nadie es Perfecto</t>
  </si>
  <si>
    <t>Realizar capacitación en formación de facilitadores taller de habilidades parentales Nadie es Perfecto a profesionales de la red asistencial.</t>
  </si>
  <si>
    <t>Servicio de cafetería</t>
  </si>
  <si>
    <t>Estrella Azócar</t>
  </si>
  <si>
    <t>Encargada Chile Crece Contigo</t>
  </si>
  <si>
    <t>64-2565829-</t>
  </si>
  <si>
    <t>Artículos de librería y oficina</t>
  </si>
  <si>
    <t>Material didáctico y educativo</t>
  </si>
  <si>
    <t>1057532-572-PC26</t>
  </si>
  <si>
    <t>Artículos de higiene, limpieza y mantención de áreas verdes para Edificio Matta.</t>
  </si>
  <si>
    <t>Proveer de insumos de higiene, limpieza para mantención de Edificio Matta.</t>
  </si>
  <si>
    <t>Alcohol gel</t>
  </si>
  <si>
    <t>Coordinadora Unidad de Memoria</t>
  </si>
  <si>
    <t>Bloqueador solar, cinta, guantes, spray, barretilla</t>
  </si>
  <si>
    <t>Artículos de jardinería</t>
  </si>
  <si>
    <t>1057922-20-PC26</t>
  </si>
  <si>
    <t>Adquisición de herramientas</t>
  </si>
  <si>
    <t>Adquisición de taladro percutor inalambrico con mandril 13mm y taladro atornillador inalambrico con mandril de 13mm</t>
  </si>
  <si>
    <t>Atornillador</t>
  </si>
  <si>
    <t>1057532-573-PC26</t>
  </si>
  <si>
    <t>Adquisición de insumos para la atención en domicilio del Equipo Rehabilitación Rural SSO. (Articulos de Escritorio)</t>
  </si>
  <si>
    <t>Compra de articulos de escritorio para el funiconamiento del Equipo Rural de Rehabilitación (marzo 2026)</t>
  </si>
  <si>
    <t>1057532-574-PC26</t>
  </si>
  <si>
    <t>Renovación de toma de presión digital para unidad de Memoria.</t>
  </si>
  <si>
    <t>Renovación de toma de presión de brazo digital para control de pacientes cuando acuden a controles presenciales como también para la implementación del bolso de Visitas domiciliarias en la provincia de Osorno. Lo anterior para adquirirlo durante el mes de abril 2026.</t>
  </si>
  <si>
    <t>Toma de presión digital</t>
  </si>
  <si>
    <t>1057532-575-PC26</t>
  </si>
  <si>
    <t>Compra de Insumos de cafetería para atención a los asistentes a las reuniones teniendo en cuenta que el desplazamiento desde las comunas a Osorno debe ser temprano por un tema de frecuencia de los buses. Esto contempla un aproximado de 34 reuniones que van desde marzo a diciembre, con un promedio de 970 personas.</t>
  </si>
  <si>
    <t>Daniel Pereira</t>
  </si>
  <si>
    <t>Apoyo Participación</t>
  </si>
  <si>
    <t>64-2335836-</t>
  </si>
  <si>
    <t>daniel.pereira.v@redsalud.gob.cl</t>
  </si>
  <si>
    <t>1077241-108-PC26</t>
  </si>
  <si>
    <t>Taller de niños y niñas - Taller de padres</t>
  </si>
  <si>
    <t>Ambos talleres serán realizados desde marzo a diciembre de 2026, por lo que se solicita realizar la compra en febrero de 2026.</t>
  </si>
  <si>
    <t>1057532-576-PC26</t>
  </si>
  <si>
    <t>Realizar olimpiadas del adolescente en contexto de prevención de obesidad</t>
  </si>
  <si>
    <t>Toldos</t>
  </si>
  <si>
    <t>1077241-109-PC26</t>
  </si>
  <si>
    <t>Taller Arte Terapia</t>
  </si>
  <si>
    <t>Taller se ejecuta durante todo el año, mes de enero en pausa, para comenzar en febrero, por lo que se necesitan los materiales en mes de febrero.</t>
  </si>
  <si>
    <t>1057532-577-PC26</t>
  </si>
  <si>
    <t>TALLER DE MANUALIDADES</t>
  </si>
  <si>
    <t>Adquirir diversos materiales de escritorio y papelería, materiales de buena calidad, en variedad de colores, con características de resistencia y que por su calidad y variedad permitan desarrollar actividades creativas y diversas. Se habilita el stock de insumos del taller de manualidades de acuerdo con las actividades manuales que se han programado para el presente año. Tanto para la Unidad Ambulatoria y Residencial de la Comunidad Terapéutica Peulla.</t>
  </si>
  <si>
    <t>Artículos de Ferretería</t>
  </si>
  <si>
    <t>Esencias Aromaterapia</t>
  </si>
  <si>
    <t>Artículos de Librería</t>
  </si>
  <si>
    <t>Material Ergoterapia</t>
  </si>
  <si>
    <t>Aparatos Electrónicos</t>
  </si>
  <si>
    <t>1057532-578-PC26</t>
  </si>
  <si>
    <t>Adquisición de insumos atención en domicilio del Equipo Rehabilitación Rural SSO</t>
  </si>
  <si>
    <t>Adquisición de elementos de rehabilitación rural para terapeuta y kinesióloga con equipamiento médico y artículos clínicos.</t>
  </si>
  <si>
    <t>64-2565807-</t>
  </si>
  <si>
    <t>Artículos de ferretería, médicos y clínicos, equipamiento médico</t>
  </si>
  <si>
    <t>1057922-21-PC26</t>
  </si>
  <si>
    <t>Adquisicion equipamiento Servidor NAS y almacenamiento extra para respaldo y seguridad de la información</t>
  </si>
  <si>
    <t>Renovar equipo informático servidor NAS actual, el cual está llegando al límite de vida útil, este debe incluir discos duros instalados y además sumar otros para llegar a un total de 40TB de almacenamiento. Marzo 2026</t>
  </si>
  <si>
    <t>Servidor</t>
  </si>
  <si>
    <t>Disco Duro</t>
  </si>
  <si>
    <t>1057532-579-PC26</t>
  </si>
  <si>
    <t>ARTICULOS DE OFICINA UNIDADES AMBULATORIO Y RESIDENCIAL</t>
  </si>
  <si>
    <t>Se requiere la adquisición de artículos de escritorio de buena calidad, en la cantidad necesaria para garantizar el desarrollo adecuado de las actividades administrativas y didácticas realizadas con las personas en tratamiento de la unidad. Los insumos deben permitir un funcionamiento eficiente de los procesos internos y apoyar la ejecución de las acciones planificadas, asegurando que el equipo cuente con los recursos necesarios para cumplir sus funciones de manera efectiva y ordenada.</t>
  </si>
  <si>
    <t>1077241-110-PC26</t>
  </si>
  <si>
    <t>Comité de Participación y Gestión Intercultural</t>
  </si>
  <si>
    <t>Las actividades comunitarias se desarrollan a lo largo de todo el año, las compras se utilizan para complementar las actividades dirigidas y/o festividades específicas, pero también para actividades de gestión, coordinación de estas mismas, y reuniones extraprogramáticas con la comunidad o instituciones con los que colaboramos para el desarrollo de lo programado anualmente.</t>
  </si>
  <si>
    <t>Toldo Mesa</t>
  </si>
  <si>
    <t>Tinta Botellas</t>
  </si>
  <si>
    <t>1057532-580-PC26</t>
  </si>
  <si>
    <t>EVENTOS EN MOVIMIENTO Y A UNA SOLA VOZ</t>
  </si>
  <si>
    <t>Se requiere adquirir servicios de amplificación y colaciones para todos los participantes de la actividad ?En Movimiento y a Una Sola Voz?, en su versión N°15, con el fin de asegurar condiciones adecuadas de participación y contribuir a una presentación de calidad que favorezca los procesos de educación y sensibilización comunitaria en torno a la salud mental, promoviendo acciones de promoción, prevención y autocuidado.</t>
  </si>
  <si>
    <t>Amplificación</t>
  </si>
  <si>
    <t>Placa Regalos</t>
  </si>
  <si>
    <t>Material de Aseo</t>
  </si>
  <si>
    <t>1057532-581-PC26</t>
  </si>
  <si>
    <t>CONTRIBUYENDO A LA POLITICA PÚBLICA EN REPARACIÓN CON USUARIOS/AS PRAIS</t>
  </si>
  <si>
    <t>Responder adecuadamente a las necesidades de salud de las personas beneficiarias del programa PRAIS, considerando su historial de vulneración de derechos.Enfoque aplicado:Biopsicosocial, es decir, integrando dimensiones biológicas, psicológicas y sociales de la atención en salud. Componentes de la adquisición: Prestaciones sanitarias.Insumos clínicos y no clínicos.Recursos para el funcionamiento operativo del programa. Materiales e insumos para actividades de promoción de Derechos Humanos .Apoyo para el dllo de hitos y actividads del programa</t>
  </si>
  <si>
    <t>Ana María Diaz</t>
  </si>
  <si>
    <t>64-2336694-</t>
  </si>
  <si>
    <t>anamaria.diaz@redsalud.gob.cl</t>
  </si>
  <si>
    <t>Higiene</t>
  </si>
  <si>
    <t>Insumos de Rehabilitación</t>
  </si>
  <si>
    <t>01-04-2026,01-05-2026</t>
  </si>
  <si>
    <t>Petróleo</t>
  </si>
  <si>
    <t>Material promocional</t>
  </si>
  <si>
    <t>Eventos y actividades</t>
  </si>
  <si>
    <t>01-06-2026,01-08-2026,01-09-2026,01-12-2026</t>
  </si>
  <si>
    <t>Capacitación</t>
  </si>
  <si>
    <t>Contratación Monitores</t>
  </si>
  <si>
    <t>Servicio Odontológico</t>
  </si>
  <si>
    <t>Servicios Médicos</t>
  </si>
  <si>
    <t>Cera</t>
  </si>
  <si>
    <t>Guantes</t>
  </si>
  <si>
    <t>1057922-22-PC26</t>
  </si>
  <si>
    <t>Adquisción de hidrolavadora 120BAR</t>
  </si>
  <si>
    <t>Se requiere Hidrolavadora para poder limpiar accesos de vehiculos que se llenan de pasto y musgos, limpiar muros y ventanas del establecimiento con personal propio.</t>
  </si>
  <si>
    <t>Hidrolavadora</t>
  </si>
  <si>
    <t>1057532-582-PC26</t>
  </si>
  <si>
    <t>Insumos para jornada provincial de Gestión del Riesgo de Desastres (2 días)</t>
  </si>
  <si>
    <t>Contar con servicio de cafetería (2 días) en horario am y snack frio para jornada pm, para asistentes y relatores externos, además de insumos de Liberia para el desarrollo de actividades practicas. mes ejecucion de la compra: Abril</t>
  </si>
  <si>
    <t>Materiales de Enseñanza</t>
  </si>
  <si>
    <t>Servicio de Cafeteria</t>
  </si>
  <si>
    <t>1057532-583-PC26</t>
  </si>
  <si>
    <t>COMPRA DE MATERIALES DE OFICINA E INSUMOS DE CAFETERIA PARA LA UNIDAD DE CICLO LABORAL DEL S.S.O.</t>
  </si>
  <si>
    <t>MES DE EJECUCION DE LA COMPRA DE MATERIALES DE ESCRITORIO, DIDACTICOS E INSUMOS DE CAFETERIA SE REALIZARA EN EL MES DE FEBRERO DE 2026.</t>
  </si>
  <si>
    <t>Sandra Rodriguez</t>
  </si>
  <si>
    <t>Jefa Unidad Ciclo Laboral</t>
  </si>
  <si>
    <t>sandra.rodriguez@redsalud.gob.cl</t>
  </si>
  <si>
    <t>Marcos-Arreglo-Globo</t>
  </si>
  <si>
    <t>1057532-584-PC26</t>
  </si>
  <si>
    <t>Insumos para actividades individuales y grupales con usuarios/as y familiares de UID Newen.</t>
  </si>
  <si>
    <t>Adquisición de insumos para actividades programadas con usuarios/as de UID Newen a contar del mes de enero del 2026.</t>
  </si>
  <si>
    <t>1077241-111-PC26</t>
  </si>
  <si>
    <t>EQUIPAMIENTO AMBULATORIO ? CONVENIO SENDA</t>
  </si>
  <si>
    <t>SIllas - Sillones</t>
  </si>
  <si>
    <t>Televisor-Aire-Aspiradora</t>
  </si>
  <si>
    <t>Escritorio-Mobiliario-BodegaLata</t>
  </si>
  <si>
    <t>Equipos Menores</t>
  </si>
  <si>
    <t>Delantal de Cocina</t>
  </si>
  <si>
    <t>1057532-585-PC26</t>
  </si>
  <si>
    <t>Materiales y herramientas de oficina funcionarios Sub Depto.</t>
  </si>
  <si>
    <t>Suministrar materiales y herramientas de oficina, tales como tijeras, corcheteras, lapices, pendon, timbres, hojas, etc. para funcionarios para facilitar su funcionamiento de trabajo.</t>
  </si>
  <si>
    <t>1057532-586-PC26</t>
  </si>
  <si>
    <t>COMPRA DE MATERIALES DE OFICINA E INSUMOS DE CAFETERIA PARA DEL SUBDEPTO. DE CULTURA Y CLIMA ORGANIZACIONAL DEL S.S.O.</t>
  </si>
  <si>
    <t>Waleska Monsalvez</t>
  </si>
  <si>
    <t>Jefa Subdepto. Cultura Y Clima Organizacional</t>
  </si>
  <si>
    <t>waleska.monsalvez@redsalud.gob.cl</t>
  </si>
  <si>
    <t>1057532-587-PC26</t>
  </si>
  <si>
    <t>INSUMOS PARA EL ORDEN ORPERACION Y DOCUMENTAL DE OFICINA DE PARTES.</t>
  </si>
  <si>
    <t>Pizarra de Corcho (50x30) Pizarra de Corcho (50x60) Pizarra mitad Corcho y mitad Blanca (50x60) Corchetera Isofit CM70 Regla acero 30 cm Tijeras chicas Disco Duro Externo 2TB BANDEJA DE ESCRITORIO TRIPLE DE MADERA, LAS MEDIDAS SON 38X35 (RESPETAR MEDIDAS)</t>
  </si>
  <si>
    <t>Jefatura</t>
  </si>
  <si>
    <t>1057532-588-PC26</t>
  </si>
  <si>
    <t>Compra Cintas de glicemia + equipos en comodato</t>
  </si>
  <si>
    <t>Se adquieren cintas de glicemia y glucómetros en comodato</t>
  </si>
  <si>
    <t>1077241-112-PC26</t>
  </si>
  <si>
    <t>ARTICULOS DE COCINA RESIDENCIAL ? CONVENIO SENDA</t>
  </si>
  <si>
    <t>1057532-589-PC26</t>
  </si>
  <si>
    <t>EQUIPAMIENTO RESIDENCIAL ? FONDOS PPV</t>
  </si>
  <si>
    <t>Se requiere la reposición de insumos y equipamiento destinados a la unidad residencial, con materiales de alta calidad, debido a que su uso es intenso y constante. Esta adquisición tiene como finalidad garantizar la seguridad, funcionalidad y durabilidad de los insumos y equipos utilizados en las distintas áreas de la unidad, contribuyendo al correcto desarrollo de las actividades diarias y la protección de los usuarios y el personal.</t>
  </si>
  <si>
    <t>Textiles y Acabados Textiles</t>
  </si>
  <si>
    <t>Materiales para Mantenimiento y Reparaciones de Inmuebles</t>
  </si>
  <si>
    <t>Adquisición de Mobiliario y Otros (Bases de camas)</t>
  </si>
  <si>
    <t>Productos Elaborados de Cuero, Caucho y Plásticos</t>
  </si>
  <si>
    <t>Otros (Artículos de Ferretería y Equipamiento diverso)</t>
  </si>
  <si>
    <t>Calzado (Botas de goma)</t>
  </si>
  <si>
    <t>Productos Agropecuarios y Forestales (Artículos de Jardinería)</t>
  </si>
  <si>
    <t>Otros Materiales y Útiles de Aseo (Basureros)</t>
  </si>
  <si>
    <t>Otros Materiales para Mantenimiento (Hacha, Rodillos)</t>
  </si>
  <si>
    <t>Vestuario y Accesorios para el Personal (Overoles)</t>
  </si>
  <si>
    <t>Arrastre</t>
  </si>
  <si>
    <t>PAC</t>
  </si>
  <si>
    <t>Total general</t>
  </si>
  <si>
    <t>PC26</t>
  </si>
  <si>
    <t>Monto</t>
  </si>
  <si>
    <t>Fecha de Compra</t>
  </si>
  <si>
    <t>Suma de Monto Total Ítem Año 2026</t>
  </si>
  <si>
    <t>Tipo PAC</t>
  </si>
  <si>
    <t xml:space="preserve"> Monto Total item</t>
  </si>
  <si>
    <t>Eleuterio Roman</t>
  </si>
  <si>
    <t>Esteban Alarcon Bohle</t>
  </si>
  <si>
    <t>Karin Scholz</t>
  </si>
  <si>
    <t>Jorge Oyarzun Silva</t>
  </si>
  <si>
    <t>Sofia Reyes Alarcon</t>
  </si>
  <si>
    <t>Nmaria Paz Gomez</t>
  </si>
  <si>
    <t>Memo</t>
  </si>
  <si>
    <t>Proyectos de Arrastre</t>
  </si>
  <si>
    <t>TIPO PAC</t>
  </si>
  <si>
    <t>Proyectos</t>
  </si>
  <si>
    <t>Departamento</t>
  </si>
  <si>
    <t>Subdirección</t>
  </si>
  <si>
    <t>DEPARTAMENTO DE TECNOLOGIAS DE LA INFORMACION Y COMUNICACION</t>
  </si>
  <si>
    <t>PRAIS</t>
  </si>
  <si>
    <t>DEPARTAMENTO DE FORMACION Y CAPACITACION</t>
  </si>
  <si>
    <t>DEPARTAMENTO DE SALUD MENTAL</t>
  </si>
  <si>
    <t>DEPARTAMENTO ARTICULACION DE LA RED ASISTENCIAL</t>
  </si>
  <si>
    <t>DEPARTAMENTO ATENCION PRIMARIA</t>
  </si>
  <si>
    <t>NEWEN</t>
  </si>
  <si>
    <t>SUB. DPTO. DE PREVENCION DE RIESGOS, SALUD OCUPACIONAL Y GESTION AMBIENTAL.</t>
  </si>
  <si>
    <t>CDR KUMELEN</t>
  </si>
  <si>
    <t>SUB. DPTO. GESTION DEL RIESGO EN EMERGENCIAS, DESASTRES Y TELECOMUNICACIONES</t>
  </si>
  <si>
    <t>SUBDIRECCION DE GESTION Y DESARROLLO DE LAS PERSONAS</t>
  </si>
  <si>
    <t>UNIDAD DE CUIDADOS INFANTILES</t>
  </si>
  <si>
    <t>DIRECTOR</t>
  </si>
  <si>
    <t>UNIDAD SAFU</t>
  </si>
  <si>
    <t>OFICINA DE PARTES</t>
  </si>
  <si>
    <t>DEPARTAMENTO DE PARTICIPACION CIUDADANA, SATISFACCION USUARIA Y SALUD PUEBLOS OR</t>
  </si>
  <si>
    <t>DEPARTAMENTO DE OBRAS Y GESTION FINANCIERA DE INVERSIONES</t>
  </si>
  <si>
    <t>SUBDIRECCION DE GESTION ASISTENCIAL</t>
  </si>
  <si>
    <t>SECCION DE MANTENIMIENTO DE VEHICULOS</t>
  </si>
  <si>
    <t>SUB. DPTO. DE FARMACIA</t>
  </si>
  <si>
    <t>SUBDEPARTAMENTO DE EJECUCION DE OBRAS Y UNIDAD TECNICA</t>
  </si>
  <si>
    <t>UNIDAD DE RECLUTAMIENTO Y SELECCION</t>
  </si>
  <si>
    <t>DEPARTAMENTO DE DESARROLLO ORGANIZACIONAL</t>
  </si>
  <si>
    <t>SUB. DPTO. ESTUDIOS DE PRE INVERSION</t>
  </si>
  <si>
    <t>SECCION GESTION Y DESARROLLO LEY MEDICA</t>
  </si>
  <si>
    <t>DEPARTAMENTO DE GESTION DE LAS PERSONAS</t>
  </si>
  <si>
    <t>SUB. DPTO. DE MANTENCION DE EQUIPOS MEDICOS E INDUSTRIALES</t>
  </si>
  <si>
    <t>SUB. DPTO. DE ABASTECIMIENTO</t>
  </si>
  <si>
    <t>SUB. DPTO. DE INVERSIONES DE EQUIPOS Y EQUIPAMIENTO</t>
  </si>
  <si>
    <t>DEPARTAMENTO DE PROYECTOS</t>
  </si>
  <si>
    <t>DEPARTAMENTO DE PLANIFICACION Y ANALISIS</t>
  </si>
  <si>
    <t>UNIDAD DE INVENTARIO Y GESTION DE ACTIVO FIJO</t>
  </si>
  <si>
    <t>SECCION DE ADMINISTRACION INTERNA</t>
  </si>
  <si>
    <t>DEPARTAMENTO DE CALIDAD DE VIDA</t>
  </si>
  <si>
    <t>UNIDAD DE CICLO LABORAL</t>
  </si>
  <si>
    <t>SUB. DPTO. DE CULTURA Y CLIMA ORGANIZACIONAL</t>
  </si>
  <si>
    <t>AYEKAN</t>
  </si>
  <si>
    <t>CENTRO DE SALUD MENTAL COMUNITARIO COSAM RAHUE</t>
  </si>
  <si>
    <t>Departamento_SHORT</t>
  </si>
  <si>
    <t>SUBDIRECCION ADMINISTRATIVA</t>
  </si>
  <si>
    <t xml:space="preserve"> FORMACION Y CAPACITACION</t>
  </si>
  <si>
    <t xml:space="preserve"> SALUD MENTAL</t>
  </si>
  <si>
    <t xml:space="preserve"> ARTICULACION DE LA RED ASISTENCIAL</t>
  </si>
  <si>
    <t xml:space="preserve"> ATENCION PRIMARIA</t>
  </si>
  <si>
    <t xml:space="preserve"> CALIDAD DE VIDA</t>
  </si>
  <si>
    <t>DIRECCIÓN</t>
  </si>
  <si>
    <t>SUBDIRECCION GESTION Y DESARROLLO DE LAS PERSONAS</t>
  </si>
  <si>
    <t>SUB. DPTO. DE TRANSPARENCIA, GESTION DOCUMENTAL Y LOBBY</t>
  </si>
  <si>
    <t>PARTICIPACION CIUDADANA, SATISFACCION USUARIA Y SALUD PUEBLOS OR</t>
  </si>
  <si>
    <t xml:space="preserve"> OBRAS Y GESTIÓN FINANCIERA DE INVERSIONES</t>
  </si>
  <si>
    <t>SUBDIRECCION GESTION ASISTENCIAL</t>
  </si>
  <si>
    <t xml:space="preserve"> ABASTECIMIENTO Y OPERACIONES</t>
  </si>
  <si>
    <t xml:space="preserve"> DESARROLLO ORGANIZACIONAL</t>
  </si>
  <si>
    <t xml:space="preserve"> PROYECTOS</t>
  </si>
  <si>
    <t xml:space="preserve"> GESTION DE LAS PERSONAS</t>
  </si>
  <si>
    <t>INGENIERIA CLINICA</t>
  </si>
  <si>
    <t>PLANIFICACION Y ANALISIS</t>
  </si>
  <si>
    <t xml:space="preserve"> FINANZAS</t>
  </si>
  <si>
    <t>CENTRO DE SALUD MENTAL COMUNITARIO COSAM ORIENTE</t>
  </si>
  <si>
    <t>SAMU - SERVICIO DE ATENCION MEDICO DE URGENCIAS</t>
  </si>
  <si>
    <t>SAMU</t>
  </si>
  <si>
    <t>DEPARTAMENTO DE ABASTECIMIENTO Y OPERACIONES</t>
  </si>
  <si>
    <t>COMUNIDAD TERAPEUTICA PEULLA</t>
  </si>
  <si>
    <t>TIC</t>
  </si>
  <si>
    <t>CANT OC</t>
  </si>
  <si>
    <t>FECHA OC</t>
  </si>
  <si>
    <t>Ejecución</t>
  </si>
  <si>
    <t>No Ejecutado</t>
  </si>
  <si>
    <t>Nombre responsable2</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</si>
</sst>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42" formatCode="_ &quot;$&quot;* #,##0_ ;_ &quot;$&quot;* \-#,##0_ ;_ &quot;$&quot;* &quot;-&quot;_ ;_ @_ "/>
  </numFmts>
  <fonts count="19" x14ac:knownFonts="1">
    <font>
      <sz val="11"/>
      <color theme="1"/>
      <name val="Aptos Narrow"/>
      <family val="2"/>
      <scheme val="minor"/>
    </font>
    <font>
      <sz val="11"/>
      <color theme="1"/>
      <name val="Aptos Narrow"/>
      <family val="2"/>
      <scheme val="minor"/>
    </font>
    <font>
      <sz val="18"/>
      <color theme="3"/>
      <name val="Aptos Display"/>
      <family val="2"/>
      <scheme val="major"/>
    </font>
    <font>
      <b/>
      <sz val="15"/>
      <color theme="3"/>
      <name val="Aptos Narrow"/>
      <family val="2"/>
      <scheme val="minor"/>
    </font>
    <font>
      <b/>
      <sz val="13"/>
      <color theme="3"/>
      <name val="Aptos Narrow"/>
      <family val="2"/>
      <scheme val="minor"/>
    </font>
    <font>
      <b/>
      <sz val="11"/>
      <color theme="3"/>
      <name val="Aptos Narrow"/>
      <family val="2"/>
      <scheme val="minor"/>
    </font>
    <font>
      <sz val="11"/>
      <color rgb="FF006100"/>
      <name val="Aptos Narrow"/>
      <family val="2"/>
      <scheme val="minor"/>
    </font>
    <font>
      <sz val="11"/>
      <color rgb="FF9C0006"/>
      <name val="Aptos Narrow"/>
      <family val="2"/>
      <scheme val="minor"/>
    </font>
    <font>
      <sz val="11"/>
      <color rgb="FF9C5700"/>
      <name val="Aptos Narrow"/>
      <family val="2"/>
      <scheme val="minor"/>
    </font>
    <font>
      <sz val="11"/>
      <color rgb="FF3F3F76"/>
      <name val="Aptos Narrow"/>
      <family val="2"/>
      <scheme val="minor"/>
    </font>
    <font>
      <b/>
      <sz val="11"/>
      <color rgb="FF3F3F3F"/>
      <name val="Aptos Narrow"/>
      <family val="2"/>
      <scheme val="minor"/>
    </font>
    <font>
      <b/>
      <sz val="11"/>
      <color rgb="FFFA7D00"/>
      <name val="Aptos Narrow"/>
      <family val="2"/>
      <scheme val="minor"/>
    </font>
    <font>
      <sz val="11"/>
      <color rgb="FFFA7D00"/>
      <name val="Aptos Narrow"/>
      <family val="2"/>
      <scheme val="minor"/>
    </font>
    <font>
      <b/>
      <sz val="11"/>
      <color theme="0"/>
      <name val="Aptos Narrow"/>
      <family val="2"/>
      <scheme val="minor"/>
    </font>
    <font>
      <sz val="11"/>
      <color rgb="FFFF0000"/>
      <name val="Aptos Narrow"/>
      <family val="2"/>
      <scheme val="minor"/>
    </font>
    <font>
      <i/>
      <sz val="11"/>
      <color rgb="FF7F7F7F"/>
      <name val="Aptos Narrow"/>
      <family val="2"/>
      <scheme val="minor"/>
    </font>
    <font>
      <b/>
      <sz val="11"/>
      <color theme="1"/>
      <name val="Aptos Narrow"/>
      <family val="2"/>
      <scheme val="minor"/>
    </font>
    <font>
      <sz val="11"/>
      <color theme="0"/>
      <name val="Aptos Narrow"/>
      <family val="2"/>
      <scheme val="minor"/>
    </font>
    <font>
      <sz val="11"/>
      <color rgb="FF000000"/>
      <name val="Aptos Narrow"/>
      <family val="2"/>
      <scheme val="minor"/>
    </font>
  </fonts>
  <fills count="44">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rgb="FFFFFF00"/>
        <bgColor indexed="64"/>
      </patternFill>
    </fill>
    <fill>
      <patternFill patternType="solid">
        <fgColor theme="4" tint="0.79998168889431442"/>
        <bgColor indexed="64"/>
      </patternFill>
    </fill>
    <fill>
      <patternFill patternType="solid">
        <fgColor theme="5" tint="0.79998168889431442"/>
        <bgColor indexed="64"/>
      </patternFill>
    </fill>
    <fill>
      <patternFill patternType="solid">
        <fgColor theme="3" tint="0.89999084444715716"/>
        <bgColor indexed="64"/>
      </patternFill>
    </fill>
    <fill>
      <patternFill patternType="solid">
        <fgColor theme="6" tint="0.79998168889431442"/>
        <bgColor indexed="64"/>
      </patternFill>
    </fill>
    <fill>
      <patternFill patternType="solid">
        <fgColor theme="3" tint="0.749992370372631"/>
        <bgColor indexed="64"/>
      </patternFill>
    </fill>
    <fill>
      <patternFill patternType="solid">
        <fgColor theme="8" tint="0.79998168889431442"/>
        <bgColor indexed="64"/>
      </patternFill>
    </fill>
    <fill>
      <patternFill patternType="solid">
        <fgColor theme="7" tint="0.79998168889431442"/>
        <bgColor indexed="64"/>
      </patternFill>
    </fill>
    <fill>
      <patternFill patternType="solid">
        <fgColor rgb="FF002060"/>
        <bgColor indexed="64"/>
      </patternFill>
    </fill>
    <fill>
      <patternFill patternType="solid">
        <fgColor theme="7"/>
        <bgColor theme="7"/>
      </patternFill>
    </fill>
    <fill>
      <patternFill patternType="solid">
        <fgColor theme="7" tint="0.79998168889431442"/>
        <bgColor theme="7" tint="0.79998168889431442"/>
      </patternFill>
    </fill>
  </fills>
  <borders count="20">
    <border>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
      <left/>
      <right/>
      <top style="medium">
        <color theme="7" tint="-0.249977111117893"/>
      </top>
      <bottom/>
      <diagonal/>
    </border>
    <border>
      <left/>
      <right/>
      <top style="thin">
        <color theme="7" tint="0.39997558519241921"/>
      </top>
      <bottom style="thin">
        <color theme="7" tint="0.39997558519241921"/>
      </bottom>
      <diagonal/>
    </border>
    <border>
      <left style="thin">
        <color theme="7" tint="0.39997558519241921"/>
      </left>
      <right style="thin">
        <color theme="7" tint="0.39997558519241921"/>
      </right>
      <top style="thin">
        <color theme="7" tint="0.39997558519241921"/>
      </top>
      <bottom style="thin">
        <color theme="7" tint="0.39997558519241921"/>
      </bottom>
      <diagonal/>
    </border>
    <border>
      <left style="thin">
        <color theme="7" tint="0.39997558519241921"/>
      </left>
      <right style="thin">
        <color theme="7" tint="0.39997558519241921"/>
      </right>
      <top/>
      <bottom/>
      <diagonal/>
    </border>
    <border>
      <left style="thin">
        <color rgb="FF00B0F0"/>
      </left>
      <right style="thin">
        <color rgb="FF00B0F0"/>
      </right>
      <top style="thin">
        <color rgb="FF00B0F0"/>
      </top>
      <bottom style="thin">
        <color rgb="FF00B0F0"/>
      </bottom>
      <diagonal/>
    </border>
    <border>
      <left style="thin">
        <color rgb="FF00B0F0"/>
      </left>
      <right style="thin">
        <color rgb="FF00B0F0"/>
      </right>
      <top/>
      <bottom style="thin">
        <color rgb="FF00B0F0"/>
      </bottom>
      <diagonal/>
    </border>
    <border>
      <left style="thin">
        <color theme="7" tint="0.39997558519241921"/>
      </left>
      <right style="thin">
        <color rgb="FF00B0F0"/>
      </right>
      <top style="thin">
        <color theme="7" tint="0.39997558519241921"/>
      </top>
      <bottom style="thin">
        <color theme="7" tint="0.39997558519241921"/>
      </bottom>
      <diagonal/>
    </border>
    <border>
      <left/>
      <right/>
      <top style="thin">
        <color theme="7" tint="0.39997558519241921"/>
      </top>
      <bottom style="thin">
        <color rgb="FF00B0F0"/>
      </bottom>
      <diagonal/>
    </border>
    <border>
      <left/>
      <right/>
      <top/>
      <bottom style="thin">
        <color theme="7" tint="0.39997558519241921"/>
      </bottom>
      <diagonal/>
    </border>
    <border>
      <left style="thin">
        <color indexed="64"/>
      </left>
      <right style="thin">
        <color indexed="64"/>
      </right>
      <top style="thin">
        <color indexed="64"/>
      </top>
      <bottom style="thin">
        <color indexed="64"/>
      </bottom>
      <diagonal/>
    </border>
  </borders>
  <cellStyleXfs count="43">
    <xf numFmtId="0" fontId="0" fillId="0" borderId="0"/>
    <xf numFmtId="42" fontId="1" fillId="0" borderId="0" applyFont="0" applyFill="0" applyBorder="0" applyAlignment="0" applyProtection="0"/>
    <xf numFmtId="0" fontId="2" fillId="0" borderId="0" applyNumberFormat="0" applyFill="0" applyBorder="0" applyAlignment="0" applyProtection="0"/>
    <xf numFmtId="0" fontId="3" fillId="0" borderId="1" applyNumberFormat="0" applyFill="0" applyAlignment="0" applyProtection="0"/>
    <xf numFmtId="0" fontId="4" fillId="0" borderId="2" applyNumberFormat="0" applyFill="0" applyAlignment="0" applyProtection="0"/>
    <xf numFmtId="0" fontId="5" fillId="0" borderId="3" applyNumberFormat="0" applyFill="0" applyAlignment="0" applyProtection="0"/>
    <xf numFmtId="0" fontId="5" fillId="0" borderId="0" applyNumberFormat="0" applyFill="0" applyBorder="0" applyAlignment="0" applyProtection="0"/>
    <xf numFmtId="0" fontId="6" fillId="2" borderId="0" applyNumberFormat="0" applyBorder="0" applyAlignment="0" applyProtection="0"/>
    <xf numFmtId="0" fontId="7" fillId="3" borderId="0" applyNumberFormat="0" applyBorder="0" applyAlignment="0" applyProtection="0"/>
    <xf numFmtId="0" fontId="8" fillId="4" borderId="0" applyNumberFormat="0" applyBorder="0" applyAlignment="0" applyProtection="0"/>
    <xf numFmtId="0" fontId="9" fillId="5" borderId="4" applyNumberFormat="0" applyAlignment="0" applyProtection="0"/>
    <xf numFmtId="0" fontId="10" fillId="6" borderId="5" applyNumberFormat="0" applyAlignment="0" applyProtection="0"/>
    <xf numFmtId="0" fontId="11" fillId="6" borderId="4" applyNumberFormat="0" applyAlignment="0" applyProtection="0"/>
    <xf numFmtId="0" fontId="12" fillId="0" borderId="6" applyNumberFormat="0" applyFill="0" applyAlignment="0" applyProtection="0"/>
    <xf numFmtId="0" fontId="13" fillId="7" borderId="7" applyNumberFormat="0" applyAlignment="0" applyProtection="0"/>
    <xf numFmtId="0" fontId="14" fillId="0" borderId="0" applyNumberFormat="0" applyFill="0" applyBorder="0" applyAlignment="0" applyProtection="0"/>
    <xf numFmtId="0" fontId="1" fillId="8" borderId="8" applyNumberFormat="0" applyFont="0" applyAlignment="0" applyProtection="0"/>
    <xf numFmtId="0" fontId="15" fillId="0" borderId="0" applyNumberFormat="0" applyFill="0" applyBorder="0" applyAlignment="0" applyProtection="0"/>
    <xf numFmtId="0" fontId="16" fillId="0" borderId="9" applyNumberFormat="0" applyFill="0" applyAlignment="0" applyProtection="0"/>
    <xf numFmtId="0" fontId="17" fillId="9" borderId="0" applyNumberFormat="0" applyBorder="0" applyAlignment="0" applyProtection="0"/>
    <xf numFmtId="0" fontId="1" fillId="10" borderId="0" applyNumberFormat="0" applyBorder="0" applyAlignment="0" applyProtection="0"/>
    <xf numFmtId="0" fontId="1" fillId="11" borderId="0" applyNumberFormat="0" applyBorder="0" applyAlignment="0" applyProtection="0"/>
    <xf numFmtId="0" fontId="1" fillId="12" borderId="0" applyNumberFormat="0" applyBorder="0" applyAlignment="0" applyProtection="0"/>
    <xf numFmtId="0" fontId="17" fillId="13" borderId="0" applyNumberFormat="0" applyBorder="0" applyAlignment="0" applyProtection="0"/>
    <xf numFmtId="0" fontId="1" fillId="14" borderId="0" applyNumberFormat="0" applyBorder="0" applyAlignment="0" applyProtection="0"/>
    <xf numFmtId="0" fontId="1" fillId="15" borderId="0" applyNumberFormat="0" applyBorder="0" applyAlignment="0" applyProtection="0"/>
    <xf numFmtId="0" fontId="1" fillId="16" borderId="0" applyNumberFormat="0" applyBorder="0" applyAlignment="0" applyProtection="0"/>
    <xf numFmtId="0" fontId="17" fillId="17" borderId="0" applyNumberFormat="0" applyBorder="0" applyAlignment="0" applyProtection="0"/>
    <xf numFmtId="0" fontId="1" fillId="18" borderId="0" applyNumberFormat="0" applyBorder="0" applyAlignment="0" applyProtection="0"/>
    <xf numFmtId="0" fontId="1" fillId="19" borderId="0" applyNumberFormat="0" applyBorder="0" applyAlignment="0" applyProtection="0"/>
    <xf numFmtId="0" fontId="1" fillId="20" borderId="0" applyNumberFormat="0" applyBorder="0" applyAlignment="0" applyProtection="0"/>
    <xf numFmtId="0" fontId="17" fillId="21" borderId="0" applyNumberFormat="0" applyBorder="0" applyAlignment="0" applyProtection="0"/>
    <xf numFmtId="0" fontId="1" fillId="22" borderId="0" applyNumberFormat="0" applyBorder="0" applyAlignment="0" applyProtection="0"/>
    <xf numFmtId="0" fontId="1" fillId="23" borderId="0" applyNumberFormat="0" applyBorder="0" applyAlignment="0" applyProtection="0"/>
    <xf numFmtId="0" fontId="1" fillId="24" borderId="0" applyNumberFormat="0" applyBorder="0" applyAlignment="0" applyProtection="0"/>
    <xf numFmtId="0" fontId="17" fillId="25" borderId="0" applyNumberFormat="0" applyBorder="0" applyAlignment="0" applyProtection="0"/>
    <xf numFmtId="0" fontId="1" fillId="26" borderId="0" applyNumberFormat="0" applyBorder="0" applyAlignment="0" applyProtection="0"/>
    <xf numFmtId="0" fontId="1" fillId="27" borderId="0" applyNumberFormat="0" applyBorder="0" applyAlignment="0" applyProtection="0"/>
    <xf numFmtId="0" fontId="1" fillId="28" borderId="0" applyNumberFormat="0" applyBorder="0" applyAlignment="0" applyProtection="0"/>
    <xf numFmtId="0" fontId="17" fillId="29" borderId="0" applyNumberFormat="0" applyBorder="0" applyAlignment="0" applyProtection="0"/>
    <xf numFmtId="0" fontId="1" fillId="30" borderId="0" applyNumberFormat="0" applyBorder="0" applyAlignment="0" applyProtection="0"/>
    <xf numFmtId="0" fontId="1" fillId="31" borderId="0" applyNumberFormat="0" applyBorder="0" applyAlignment="0" applyProtection="0"/>
    <xf numFmtId="0" fontId="1" fillId="32" borderId="0" applyNumberFormat="0" applyBorder="0" applyAlignment="0" applyProtection="0"/>
  </cellStyleXfs>
  <cellXfs count="61">
    <xf numFmtId="0" fontId="0" fillId="0" borderId="0" xfId="0"/>
    <xf numFmtId="14" fontId="0" fillId="0" borderId="0" xfId="0" applyNumberFormat="1"/>
    <xf numFmtId="42" fontId="0" fillId="0" borderId="0" xfId="1" applyFont="1"/>
    <xf numFmtId="0" fontId="0" fillId="0" borderId="0" xfId="0" applyAlignment="1">
      <alignment horizontal="center"/>
    </xf>
    <xf numFmtId="0" fontId="0" fillId="0" borderId="0" xfId="0" pivotButton="1"/>
    <xf numFmtId="0" fontId="0" fillId="0" borderId="0" xfId="0" applyAlignment="1">
      <alignment horizontal="left"/>
    </xf>
    <xf numFmtId="0" fontId="0" fillId="0" borderId="0" xfId="0" applyAlignment="1">
      <alignment horizontal="left" indent="1"/>
    </xf>
    <xf numFmtId="0" fontId="16" fillId="0" borderId="0" xfId="0" applyFont="1"/>
    <xf numFmtId="42" fontId="0" fillId="0" borderId="0" xfId="0" applyNumberFormat="1"/>
    <xf numFmtId="0" fontId="17" fillId="41" borderId="0" xfId="0" applyFont="1" applyFill="1"/>
    <xf numFmtId="0" fontId="16" fillId="0" borderId="11" xfId="0" applyFont="1" applyBorder="1"/>
    <xf numFmtId="0" fontId="0" fillId="0" borderId="11" xfId="0" applyBorder="1"/>
    <xf numFmtId="0" fontId="13" fillId="42" borderId="10" xfId="0" applyFont="1" applyFill="1" applyBorder="1"/>
    <xf numFmtId="0" fontId="13" fillId="42" borderId="10" xfId="0" applyFont="1" applyFill="1" applyBorder="1" applyAlignment="1">
      <alignment horizontal="center"/>
    </xf>
    <xf numFmtId="0" fontId="16" fillId="43" borderId="11" xfId="0" applyFont="1" applyFill="1" applyBorder="1" applyAlignment="1">
      <alignment horizontal="center"/>
    </xf>
    <xf numFmtId="0" fontId="16" fillId="43" borderId="0" xfId="0" applyFont="1" applyFill="1" applyAlignment="1">
      <alignment horizontal="center"/>
    </xf>
    <xf numFmtId="0" fontId="16" fillId="0" borderId="11" xfId="0" applyFont="1" applyBorder="1" applyAlignment="1">
      <alignment horizontal="center"/>
    </xf>
    <xf numFmtId="0" fontId="16" fillId="0" borderId="0" xfId="0" applyFont="1" applyAlignment="1">
      <alignment horizontal="center"/>
    </xf>
    <xf numFmtId="0" fontId="13" fillId="42" borderId="10" xfId="0" applyFont="1" applyFill="1" applyBorder="1" applyAlignment="1">
      <alignment horizontal="left" indent="1"/>
    </xf>
    <xf numFmtId="0" fontId="0" fillId="0" borderId="11" xfId="0" applyBorder="1" applyAlignment="1">
      <alignment horizontal="left" indent="1"/>
    </xf>
    <xf numFmtId="17" fontId="16" fillId="0" borderId="15" xfId="0" applyNumberFormat="1" applyFont="1" applyBorder="1" applyAlignment="1">
      <alignment horizontal="center"/>
    </xf>
    <xf numFmtId="0" fontId="0" fillId="0" borderId="16" xfId="0" applyBorder="1" applyAlignment="1">
      <alignment horizontal="left" indent="1"/>
    </xf>
    <xf numFmtId="0" fontId="16" fillId="0" borderId="18" xfId="0" applyFont="1" applyBorder="1"/>
    <xf numFmtId="0" fontId="16" fillId="0" borderId="17" xfId="0" applyFont="1" applyBorder="1"/>
    <xf numFmtId="42" fontId="13" fillId="42" borderId="10" xfId="1" applyFont="1" applyFill="1" applyBorder="1"/>
    <xf numFmtId="0" fontId="13" fillId="42" borderId="10" xfId="0" applyFont="1" applyFill="1" applyBorder="1" applyAlignment="1">
      <alignment horizontal="left" indent="2"/>
    </xf>
    <xf numFmtId="0" fontId="16" fillId="0" borderId="11" xfId="0" applyFont="1" applyBorder="1" applyAlignment="1">
      <alignment horizontal="left" indent="2"/>
    </xf>
    <xf numFmtId="0" fontId="16" fillId="0" borderId="0" xfId="0" applyFont="1" applyAlignment="1">
      <alignment horizontal="left" indent="2"/>
    </xf>
    <xf numFmtId="0" fontId="13" fillId="42" borderId="10" xfId="0" applyFont="1" applyFill="1" applyBorder="1" applyAlignment="1">
      <alignment horizontal="left" indent="3"/>
    </xf>
    <xf numFmtId="0" fontId="16" fillId="0" borderId="11" xfId="0" applyFont="1" applyBorder="1" applyAlignment="1">
      <alignment horizontal="left" indent="3"/>
    </xf>
    <xf numFmtId="0" fontId="16" fillId="0" borderId="0" xfId="0" applyFont="1" applyAlignment="1">
      <alignment horizontal="left" indent="3"/>
    </xf>
    <xf numFmtId="42" fontId="0" fillId="0" borderId="12" xfId="1" applyFont="1" applyBorder="1"/>
    <xf numFmtId="42" fontId="0" fillId="0" borderId="13" xfId="1" applyFont="1" applyBorder="1"/>
    <xf numFmtId="42" fontId="17" fillId="41" borderId="0" xfId="1" applyFont="1" applyFill="1"/>
    <xf numFmtId="0" fontId="16" fillId="0" borderId="14" xfId="0" applyFont="1" applyBorder="1" applyAlignment="1">
      <alignment horizontal="center" vertical="center"/>
    </xf>
    <xf numFmtId="42" fontId="16" fillId="0" borderId="14" xfId="1" applyFont="1" applyBorder="1" applyAlignment="1">
      <alignment horizontal="center" vertical="center"/>
    </xf>
    <xf numFmtId="0" fontId="0" fillId="0" borderId="14" xfId="0" applyBorder="1"/>
    <xf numFmtId="0" fontId="0" fillId="0" borderId="14" xfId="0" applyBorder="1" applyAlignment="1">
      <alignment horizontal="center"/>
    </xf>
    <xf numFmtId="42" fontId="0" fillId="0" borderId="14" xfId="1" applyFont="1" applyBorder="1" applyAlignment="1"/>
    <xf numFmtId="42" fontId="0" fillId="33" borderId="14" xfId="1" applyFont="1" applyFill="1" applyBorder="1" applyAlignment="1"/>
    <xf numFmtId="14" fontId="0" fillId="0" borderId="14" xfId="0" applyNumberFormat="1" applyBorder="1"/>
    <xf numFmtId="42" fontId="0" fillId="34" borderId="14" xfId="1" applyFont="1" applyFill="1" applyBorder="1" applyAlignment="1"/>
    <xf numFmtId="42" fontId="0" fillId="35" borderId="14" xfId="1" applyFont="1" applyFill="1" applyBorder="1" applyAlignment="1"/>
    <xf numFmtId="42" fontId="0" fillId="36" borderId="14" xfId="1" applyFont="1" applyFill="1" applyBorder="1" applyAlignment="1"/>
    <xf numFmtId="42" fontId="0" fillId="37" borderId="14" xfId="1" applyFont="1" applyFill="1" applyBorder="1" applyAlignment="1"/>
    <xf numFmtId="42" fontId="0" fillId="38" borderId="14" xfId="1" applyFont="1" applyFill="1" applyBorder="1" applyAlignment="1"/>
    <xf numFmtId="42" fontId="0" fillId="39" borderId="14" xfId="1" applyFont="1" applyFill="1" applyBorder="1" applyAlignment="1"/>
    <xf numFmtId="42" fontId="0" fillId="40" borderId="14" xfId="1" applyFont="1" applyFill="1" applyBorder="1" applyAlignment="1"/>
    <xf numFmtId="42" fontId="0" fillId="0" borderId="0" xfId="0" applyNumberFormat="1" applyAlignment="1">
      <alignment horizontal="center"/>
    </xf>
    <xf numFmtId="0" fontId="0" fillId="33" borderId="0" xfId="0" applyFill="1"/>
    <xf numFmtId="0" fontId="13" fillId="42" borderId="0" xfId="0" applyFont="1" applyFill="1" applyAlignment="1">
      <alignment horizontal="center"/>
    </xf>
    <xf numFmtId="0" fontId="0" fillId="0" borderId="19" xfId="0" applyBorder="1" applyAlignment="1">
      <alignment horizontal="center"/>
    </xf>
    <xf numFmtId="0" fontId="18" fillId="0" borderId="0" xfId="0" applyFont="1" applyAlignment="1">
      <alignment horizontal="center"/>
    </xf>
    <xf numFmtId="0" fontId="13" fillId="42" borderId="19" xfId="0" applyFont="1" applyFill="1" applyBorder="1"/>
    <xf numFmtId="0" fontId="13" fillId="42" borderId="19" xfId="0" applyFont="1" applyFill="1" applyBorder="1" applyAlignment="1">
      <alignment horizontal="center"/>
    </xf>
    <xf numFmtId="0" fontId="16" fillId="43" borderId="19" xfId="0" applyFont="1" applyFill="1" applyBorder="1"/>
    <xf numFmtId="0" fontId="16" fillId="0" borderId="19" xfId="0" applyFont="1" applyBorder="1"/>
    <xf numFmtId="0" fontId="0" fillId="0" borderId="19" xfId="0" applyBorder="1"/>
    <xf numFmtId="14" fontId="16" fillId="0" borderId="19" xfId="0" applyNumberFormat="1" applyFont="1" applyBorder="1"/>
    <xf numFmtId="42" fontId="0" fillId="0" borderId="19" xfId="0" applyNumberFormat="1" applyBorder="1"/>
    <xf numFmtId="14" fontId="0" fillId="0" borderId="19" xfId="0" applyNumberFormat="1" applyBorder="1"/>
  </cellXfs>
  <cellStyles count="43">
    <cellStyle name="20% - Énfasis1" xfId="20" builtinId="30" customBuiltin="1"/>
    <cellStyle name="20% - Énfasis2" xfId="24" builtinId="34" customBuiltin="1"/>
    <cellStyle name="20% - Énfasis3" xfId="28" builtinId="38" customBuiltin="1"/>
    <cellStyle name="20% - Énfasis4" xfId="32" builtinId="42" customBuiltin="1"/>
    <cellStyle name="20% - Énfasis5" xfId="36" builtinId="46" customBuiltin="1"/>
    <cellStyle name="20% - Énfasis6" xfId="40" builtinId="50" customBuiltin="1"/>
    <cellStyle name="40% - Énfasis1" xfId="21" builtinId="31" customBuiltin="1"/>
    <cellStyle name="40% - Énfasis2" xfId="25" builtinId="35" customBuiltin="1"/>
    <cellStyle name="40% - Énfasis3" xfId="29" builtinId="39" customBuiltin="1"/>
    <cellStyle name="40% - Énfasis4" xfId="33" builtinId="43" customBuiltin="1"/>
    <cellStyle name="40% - Énfasis5" xfId="37" builtinId="47" customBuiltin="1"/>
    <cellStyle name="40% - Énfasis6" xfId="41" builtinId="51" customBuiltin="1"/>
    <cellStyle name="60% - Énfasis1" xfId="22" builtinId="32" customBuiltin="1"/>
    <cellStyle name="60% - Énfasis2" xfId="26" builtinId="36" customBuiltin="1"/>
    <cellStyle name="60% - Énfasis3" xfId="30" builtinId="40" customBuiltin="1"/>
    <cellStyle name="60% - Énfasis4" xfId="34" builtinId="44" customBuiltin="1"/>
    <cellStyle name="60% - Énfasis5" xfId="38" builtinId="48" customBuiltin="1"/>
    <cellStyle name="60% - Énfasis6" xfId="42" builtinId="52" customBuiltin="1"/>
    <cellStyle name="Bueno" xfId="7" builtinId="26" customBuiltin="1"/>
    <cellStyle name="Cálculo" xfId="12" builtinId="22" customBuiltin="1"/>
    <cellStyle name="Celda de comprobación" xfId="14" builtinId="23" customBuiltin="1"/>
    <cellStyle name="Celda vinculada" xfId="13" builtinId="24" customBuiltin="1"/>
    <cellStyle name="Encabezado 1" xfId="3" builtinId="16" customBuiltin="1"/>
    <cellStyle name="Encabezado 4" xfId="6" builtinId="19" customBuiltin="1"/>
    <cellStyle name="Énfasis1" xfId="19" builtinId="29" customBuiltin="1"/>
    <cellStyle name="Énfasis2" xfId="23" builtinId="33" customBuiltin="1"/>
    <cellStyle name="Énfasis3" xfId="27" builtinId="37" customBuiltin="1"/>
    <cellStyle name="Énfasis4" xfId="31" builtinId="41" customBuiltin="1"/>
    <cellStyle name="Énfasis5" xfId="35" builtinId="45" customBuiltin="1"/>
    <cellStyle name="Énfasis6" xfId="39" builtinId="49" customBuiltin="1"/>
    <cellStyle name="Entrada" xfId="10" builtinId="20" customBuiltin="1"/>
    <cellStyle name="Incorrecto" xfId="8" builtinId="27" customBuiltin="1"/>
    <cellStyle name="Moneda [0]" xfId="1" builtinId="7"/>
    <cellStyle name="Neutral" xfId="9" builtinId="28" customBuiltin="1"/>
    <cellStyle name="Normal" xfId="0" builtinId="0"/>
    <cellStyle name="Notas" xfId="16" builtinId="10" customBuiltin="1"/>
    <cellStyle name="Salida" xfId="11" builtinId="21" customBuiltin="1"/>
    <cellStyle name="Texto de advertencia" xfId="15" builtinId="11" customBuiltin="1"/>
    <cellStyle name="Texto explicativo" xfId="17" builtinId="53" customBuiltin="1"/>
    <cellStyle name="Título" xfId="2" builtinId="15" customBuiltin="1"/>
    <cellStyle name="Título 2" xfId="4" builtinId="17" customBuiltin="1"/>
    <cellStyle name="Título 3" xfId="5" builtinId="18" customBuiltin="1"/>
    <cellStyle name="Total" xfId="18" builtinId="25" customBuiltin="1"/>
  </cellStyles>
  <dxfs count="7">
    <dxf>
      <font>
        <color rgb="FF9C0006"/>
      </font>
      <fill>
        <patternFill>
          <bgColor rgb="FFFFC7CE"/>
        </patternFill>
      </fill>
    </dxf>
    <dxf>
      <font>
        <color rgb="FF9C0006"/>
      </font>
      <fill>
        <patternFill>
          <bgColor rgb="FFFFC7CE"/>
        </patternFill>
      </fill>
    </dxf>
    <dxf>
      <font>
        <color rgb="FF9C0006"/>
      </font>
      <fill>
        <patternFill>
          <bgColor rgb="FFFFC7CE"/>
        </patternFill>
      </fill>
    </dxf>
    <dxf>
      <alignment horizontal="center"/>
    </dxf>
    <dxf>
      <alignment horizontal="center"/>
    </dxf>
    <dxf>
      <alignment horizontal="center"/>
    </dxf>
    <dxf>
      <alignment horizontal="center"/>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3.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pivotCacheDefinition" Target="pivotCache/pivotCacheDefinition2.xml"/><Relationship Id="rId17"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pivotCacheDefinition" Target="pivotCache/pivotCacheDefinition1.xml"/><Relationship Id="rId5" Type="http://schemas.openxmlformats.org/officeDocument/2006/relationships/worksheet" Target="worksheets/sheet5.xml"/><Relationship Id="rId15" Type="http://schemas.openxmlformats.org/officeDocument/2006/relationships/styles" Target="styles.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theme" Target="theme/theme1.xml"/></Relationship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usuario" refreshedDate="46024.51979027778" createdVersion="8" refreshedVersion="8" minRefreshableVersion="3" recordCount="1359" xr:uid="{849583A9-8D38-4B99-8E77-5EA562498EBE}">
  <cacheSource type="worksheet">
    <worksheetSource ref="A1:AC1360" sheet="ListadoProyectos (10)"/>
  </cacheSource>
  <cacheFields count="31">
    <cacheField name="Organismo" numFmtId="0">
      <sharedItems/>
    </cacheField>
    <cacheField name="Unidad de Compra" numFmtId="0">
      <sharedItems count="6">
        <s v="Bienes y Servicios"/>
        <s v="Administración de Fondos"/>
        <s v="Bienestar"/>
        <s v="Compras Convenio GORE Region de Los Lagos"/>
        <s v="Activos Fijos"/>
        <s v="Obras Civiles"/>
      </sharedItems>
    </cacheField>
    <cacheField name="ID Proyecto" numFmtId="0">
      <sharedItems count="393">
        <s v="1057532-156-PC24"/>
        <s v="1057532-163-PC24"/>
        <s v="1057532-1-PC24"/>
        <s v="1057532-30-PC24"/>
        <s v="1057532-308-PC24"/>
        <s v="1057532-311-PC24"/>
        <s v="1057532-315-PC24"/>
        <s v="1057532-320-PC24"/>
        <s v="1057532-321-PC24"/>
        <s v="1057532-322-PC24"/>
        <s v="1057532-328-PC24"/>
        <s v="1057532-331-PC24"/>
        <s v="1057532-333-PC24"/>
        <s v="1057532-356-PC24"/>
        <s v="1057532-193-PC25"/>
        <s v="1057532-195-PC25"/>
        <s v="1057532-196-PC25"/>
        <s v="1057532-209-PC25"/>
        <s v="1057532-210-PC25"/>
        <s v="1057532-211-PC25"/>
        <s v="1057532-66-PC25"/>
        <s v="1057532-162-PC25"/>
        <s v="1057532-172-PC25"/>
        <s v="1057532-173-PC25"/>
        <s v="1057532-373-PC25"/>
        <s v="1057532-374-PC25"/>
        <s v="1057532-375-PC25"/>
        <s v="1057532-376-PC25"/>
        <s v="1057532-377-PC25"/>
        <s v="1057532-378-PC25"/>
        <s v="1077241-51-PC25"/>
        <s v="1057532-379-PC25"/>
        <s v="1057532-380-PC25"/>
        <s v="1057532-381-PC25"/>
        <s v="1057532-382-PC25"/>
        <s v="1057532-383-PC25"/>
        <s v="1057532-384-PC25"/>
        <s v="1057532-385-PC25"/>
        <s v="1057532-386-PC25"/>
        <s v="1057532-389-PC25"/>
        <s v="1057532-390-PC25"/>
        <s v="1057532-391-PC25"/>
        <s v="1057532-392-PC25"/>
        <s v="1057532-393-PC25"/>
        <s v="1077241-52-PC25"/>
        <s v="1057532-394-PC25"/>
        <s v="1057532-395-PC25"/>
        <s v="1057532-396-PC25"/>
        <s v="1057532-397-PC25"/>
        <s v="1057532-398-PC25"/>
        <s v="1057532-399-PC25"/>
        <s v="1057532-400-PC25"/>
        <s v="1057532-401-PC25"/>
        <s v="1057532-402-PC25"/>
        <s v="1077241-53-PC25"/>
        <s v="1057532-403-PC25"/>
        <s v="1057532-404-PC25"/>
        <s v="1057532-405-PC25"/>
        <s v="1057532-419-PC25"/>
        <s v="1057727-2-PC26"/>
        <s v="1077241-61-PC26"/>
        <s v="1180747-5-PC26"/>
        <s v="1077241-62-PC26"/>
        <s v="1077241-63-PC26"/>
        <s v="1057532-281-PC26"/>
        <s v="1057532-282-PC26"/>
        <s v="1057532-283-PC26"/>
        <s v="1057532-284-PC26"/>
        <s v="1057532-285-PC26"/>
        <s v="1057532-286-PC26"/>
        <s v="1057532-287-PC26"/>
        <s v="1057532-288-PC26"/>
        <s v="1057532-317-PC26"/>
        <s v="1057532-320-PC26"/>
        <s v="1057532-321-PC26"/>
        <s v="1057532-322-PC26"/>
        <s v="1057532-323-PC26"/>
        <s v="1077241-64-PC26"/>
        <s v="1057532-324-PC26"/>
        <s v="1077241-65-PC26"/>
        <s v="1057532-325-PC26"/>
        <s v="1077241-66-PC26"/>
        <s v="1077241-67-PC26"/>
        <s v="1057532-326-PC26"/>
        <s v="1077241-68-PC26"/>
        <s v="1057532-327-PC26"/>
        <s v="1057532-328-PC26"/>
        <s v="1057532-329-PC26"/>
        <s v="1057532-330-PC26"/>
        <s v="1057532-331-PC26"/>
        <s v="1077241-69-PC26"/>
        <s v="1077241-70-PC26"/>
        <s v="1057532-332-PC26"/>
        <s v="1077241-71-PC26"/>
        <s v="1077241-74-PC26"/>
        <s v="1057532-333-PC26"/>
        <s v="1077241-75-PC26"/>
        <s v="1057532-334-PC26"/>
        <s v="1077241-76-PC26"/>
        <s v="1057532-335-PC26"/>
        <s v="1077241-77-PC26"/>
        <s v="1077241-78-PC26"/>
        <s v="1180747-6-PC26"/>
        <s v="1180747-7-PC26"/>
        <s v="1057532-336-PC26"/>
        <s v="1057532-337-PC26"/>
        <s v="1077241-81-PC26"/>
        <s v="1057532-338-PC26"/>
        <s v="1057532-339-PC26"/>
        <s v="1057532-340-PC26"/>
        <s v="1077241-82-PC26"/>
        <s v="1077241-83-PC26"/>
        <s v="1077241-84-PC26"/>
        <s v="1077241-85-PC26"/>
        <s v="1057532-342-PC26"/>
        <s v="1057532-345-PC26"/>
        <s v="1057532-347-PC26"/>
        <s v="1057532-348-PC26"/>
        <s v="1057532-349-PC26"/>
        <s v="1057532-350-PC26"/>
        <s v="1057532-351-PC26"/>
        <s v="1057532-352-PC26"/>
        <s v="1057532-353-PC26"/>
        <s v="1077241-86-PC26"/>
        <s v="1077241-87-PC26"/>
        <s v="1057532-354-PC26"/>
        <s v="1077241-88-PC26"/>
        <s v="1057532-355-PC26"/>
        <s v="1057532-356-PC26"/>
        <s v="1057532-357-PC26"/>
        <s v="1057532-358-PC26"/>
        <s v="1057532-359-PC26"/>
        <s v="1057532-360-PC26"/>
        <s v="1057532-361-PC26"/>
        <s v="1057532-362-PC26"/>
        <s v="1057532-363-PC26"/>
        <s v="1057532-364-PC26"/>
        <s v="1057532-366-PC26"/>
        <s v="1057532-367-PC26"/>
        <s v="1057532-368-PC26"/>
        <s v="1057532-369-PC26"/>
        <s v="1057532-370-PC26"/>
        <s v="1057532-371-PC26"/>
        <s v="1057532-372-PC26"/>
        <s v="1057532-373-PC26"/>
        <s v="1057532-374-PC26"/>
        <s v="1057532-375-PC26"/>
        <s v="1057532-376-PC26"/>
        <s v="1057532-377-PC26"/>
        <s v="1057532-378-PC26"/>
        <s v="1077241-89-PC26"/>
        <s v="1057532-379-PC26"/>
        <s v="1057532-380-PC26"/>
        <s v="1057532-381-PC26"/>
        <s v="1077241-90-PC26"/>
        <s v="1077241-91-PC26"/>
        <s v="1057532-383-PC26"/>
        <s v="1057532-384-PC26"/>
        <s v="1077241-92-PC26"/>
        <s v="1057532-385-PC26"/>
        <s v="1057532-386-PC26"/>
        <s v="1057532-387-PC26"/>
        <s v="1057532-388-PC26"/>
        <s v="1057532-389-PC26"/>
        <s v="1057532-390-PC26"/>
        <s v="1057532-391-PC26"/>
        <s v="1057532-392-PC26"/>
        <s v="1057532-393-PC26"/>
        <s v="1057532-394-PC26"/>
        <s v="1057532-395-PC26"/>
        <s v="1057532-396-PC26"/>
        <s v="1057532-397-PC26"/>
        <s v="1057532-398-PC26"/>
        <s v="1057532-399-PC26"/>
        <s v="1077241-93-PC26"/>
        <s v="1077241-95-PC26"/>
        <s v="1057532-400-PC26"/>
        <s v="1057532-402-PC26"/>
        <s v="1077241-96-PC26"/>
        <s v="1057532-403-PC26"/>
        <s v="1057532-404-PC26"/>
        <s v="1057532-405-PC26"/>
        <s v="1077241-97-PC26"/>
        <s v="1180747-8-PC26"/>
        <s v="1180747-9-PC26"/>
        <s v="1057532-410-PC26"/>
        <s v="1057532-412-PC26"/>
        <s v="1057532-415-PC26"/>
        <s v="1057532-416-PC26"/>
        <s v="1057532-418-PC26"/>
        <s v="1057532-421-PC26"/>
        <s v="1057922-5-PC26"/>
        <s v="1057532-422-PC26"/>
        <s v="1057532-423-PC26"/>
        <s v="1057532-424-PC26"/>
        <s v="1077241-99-PC26"/>
        <s v="1057532-425-PC26"/>
        <s v="1180747-10-PC26"/>
        <s v="1180747-11-PC26"/>
        <s v="1180747-12-PC26"/>
        <s v="1057922-6-PC26"/>
        <s v="1057922-7-PC26"/>
        <s v="1057976-2-PC26"/>
        <s v="1057976-3-PC26"/>
        <s v="1057976-4-PC26"/>
        <s v="1057976-5-PC26"/>
        <s v="1057976-6-PC26"/>
        <s v="1057976-7-PC26"/>
        <s v="1057976-8-PC26"/>
        <s v="1057976-9-PC26"/>
        <s v="1057976-10-PC26"/>
        <s v="1057532-426-PC26"/>
        <s v="1057922-8-PC26"/>
        <s v="1057922-9-PC26"/>
        <s v="1180747-13-PC26"/>
        <s v="1180747-14-PC26"/>
        <s v="1180747-15-PC26"/>
        <s v="1180747-16-PC26"/>
        <s v="1180747-17-PC26"/>
        <s v="1057922-10-PC26"/>
        <s v="1057976-11-PC26"/>
        <s v="1057976-12-PC26"/>
        <s v="1057976-13-PC26"/>
        <s v="1180747-18-PC26"/>
        <s v="1057922-11-PC26"/>
        <s v="1057922-12-PC26"/>
        <s v="1057976-14-PC26"/>
        <s v="1057922-13-PC26"/>
        <s v="1057532-427-PC26"/>
        <s v="1057922-14-PC26"/>
        <s v="1180747-19-PC26"/>
        <s v="1057532-428-PC26"/>
        <s v="1057532-429-PC26"/>
        <s v="1057532-430-PC26"/>
        <s v="1057532-431-PC26"/>
        <s v="1057532-432-PC26"/>
        <s v="1057532-433-PC26"/>
        <s v="1057532-434-PC26"/>
        <s v="1057532-435-PC26"/>
        <s v="1057532-436-PC26"/>
        <s v="1057532-437-PC26"/>
        <s v="1057532-438-PC26"/>
        <s v="1057532-439-PC26"/>
        <s v="1057532-443-PC26"/>
        <s v="1057532-444-PC26"/>
        <s v="1057922-15-PC26"/>
        <s v="1057532-445-PC26"/>
        <s v="1057532-446-PC26"/>
        <s v="1057532-447-PC26"/>
        <s v="1057532-448-PC26"/>
        <s v="1057922-16-PC26"/>
        <s v="1057532-449-PC26"/>
        <s v="1057532-450-PC26"/>
        <s v="1057532-451-PC26"/>
        <s v="1057532-452-PC26"/>
        <s v="1057532-453-PC26"/>
        <s v="1057532-454-PC26"/>
        <s v="1057532-455-PC26"/>
        <s v="1057532-456-PC26"/>
        <s v="1057532-457-PC26"/>
        <s v="1057532-458-PC26"/>
        <s v="1057532-459-PC26"/>
        <s v="1057532-460-PC26"/>
        <s v="1057532-461-PC26"/>
        <s v="1057532-462-PC26"/>
        <s v="1057532-463-PC26"/>
        <s v="1057532-464-PC26"/>
        <s v="1057532-465-PC26"/>
        <s v="1057532-466-PC26"/>
        <s v="1077241-100-PC26"/>
        <s v="1057532-467-PC26"/>
        <s v="1057532-468-PC26"/>
        <s v="1077241-101-PC26"/>
        <s v="1057532-469-PC26"/>
        <s v="1057532-470-PC26"/>
        <s v="1057532-471-PC26"/>
        <s v="1057532-472-PC26"/>
        <s v="1057922-17-PC26"/>
        <s v="1057532-473-PC26"/>
        <s v="1057532-474-PC26"/>
        <s v="1057532-475-PC26"/>
        <s v="1057532-476-PC26"/>
        <s v="1077241-102-PC26"/>
        <s v="1077241-103-PC26"/>
        <s v="1077241-104-PC26"/>
        <s v="1077241-105-PC26"/>
        <s v="1057532-477-PC26"/>
        <s v="1057922-18-PC26"/>
        <s v="1057532-478-PC26"/>
        <s v="1057532-479-PC26"/>
        <s v="1057532-480-PC26"/>
        <s v="1057532-481-PC26"/>
        <s v="1057532-482-PC26"/>
        <s v="1057532-483-PC26"/>
        <s v="1057532-484-PC26"/>
        <s v="1057532-485-PC26"/>
        <s v="1057532-486-PC26"/>
        <s v="1057532-487-PC26"/>
        <s v="1057532-488-PC26"/>
        <s v="1057532-489-PC26"/>
        <s v="1057532-490-PC26"/>
        <s v="1057532-491-PC26"/>
        <s v="1057532-492-PC26"/>
        <s v="1057532-493-PC26"/>
        <s v="1057532-494-PC26"/>
        <s v="1057532-495-PC26"/>
        <s v="1057532-496-PC26"/>
        <s v="1057532-497-PC26"/>
        <s v="1057532-498-PC26"/>
        <s v="1057532-499-PC26"/>
        <s v="1057532-500-PC26"/>
        <s v="1057532-501-PC26"/>
        <s v="1057532-502-PC26"/>
        <s v="1057532-503-PC26"/>
        <s v="1057532-504-PC26"/>
        <s v="1057532-505-PC26"/>
        <s v="1057532-506-PC26"/>
        <s v="1057532-507-PC26"/>
        <s v="1057532-508-PC26"/>
        <s v="1057532-509-PC26"/>
        <s v="1057532-510-PC26"/>
        <s v="1057532-511-PC26"/>
        <s v="1057532-512-PC26"/>
        <s v="1180747-20-PC26"/>
        <s v="1057532-513-PC26"/>
        <s v="1057532-514-PC26"/>
        <s v="1057532-515-PC26"/>
        <s v="1057532-516-PC26"/>
        <s v="1057532-517-PC26"/>
        <s v="1057532-518-PC26"/>
        <s v="1057532-519-PC26"/>
        <s v="1057532-520-PC26"/>
        <s v="1057532-521-PC26"/>
        <s v="1057532-522-PC26"/>
        <s v="1057532-523-PC26"/>
        <s v="1057532-524-PC26"/>
        <s v="1057532-525-PC26"/>
        <s v="1057976-15-PC26"/>
        <s v="1057532-529-PC26"/>
        <s v="1057532-534-PC26"/>
        <s v="1057532-535-PC26"/>
        <s v="1057532-536-PC26"/>
        <s v="1057532-537-PC26"/>
        <s v="1057532-538-PC26"/>
        <s v="1057532-539-PC26"/>
        <s v="1057532-540-PC26"/>
        <s v="1057532-541-PC26"/>
        <s v="1057532-542-PC26"/>
        <s v="1057532-543-PC26"/>
        <s v="1057532-544-PC26"/>
        <s v="1057532-545-PC26"/>
        <s v="1077241-106-PC26"/>
        <s v="1057532-546-PC26"/>
        <s v="1057532-547-PC26"/>
        <s v="1057532-548-PC26"/>
        <s v="1057532-550-PC26"/>
        <s v="1057532-551-PC26"/>
        <s v="1057532-562-PC26"/>
        <s v="1057532-564-PC26"/>
        <s v="1057532-565-PC26"/>
        <s v="1057532-566-PC26"/>
        <s v="1057532-567-PC26"/>
        <s v="1057532-568-PC26"/>
        <s v="1077241-107-PC26"/>
        <s v="1057922-19-PC26"/>
        <s v="1057532-569-PC26"/>
        <s v="1057532-570-PC26"/>
        <s v="1057532-572-PC26"/>
        <s v="1057922-20-PC26"/>
        <s v="1057532-573-PC26"/>
        <s v="1057532-574-PC26"/>
        <s v="1057532-575-PC26"/>
        <s v="1077241-108-PC26"/>
        <s v="1057532-576-PC26"/>
        <s v="1077241-109-PC26"/>
        <s v="1057532-577-PC26"/>
        <s v="1057532-578-PC26"/>
        <s v="1057922-21-PC26"/>
        <s v="1057532-579-PC26"/>
        <s v="1077241-110-PC26"/>
        <s v="1057532-580-PC26"/>
        <s v="1057532-581-PC26"/>
        <s v="1057922-22-PC26"/>
        <s v="1057532-582-PC26"/>
        <s v="1057532-583-PC26"/>
        <s v="1057532-584-PC26"/>
        <s v="1077241-111-PC26"/>
        <s v="1057532-585-PC26"/>
        <s v="1057532-586-PC26"/>
        <s v="1057532-587-PC26"/>
        <s v="1057532-588-PC26"/>
        <s v="1077241-112-PC26"/>
        <s v="1057532-589-PC26"/>
      </sharedItems>
    </cacheField>
    <cacheField name="Tipo Proyecto" numFmtId="0">
      <sharedItems/>
    </cacheField>
    <cacheField name="Estado Proyecto" numFmtId="0">
      <sharedItems/>
    </cacheField>
    <cacheField name="Código presupuestario" numFmtId="0">
      <sharedItems containsMixedTypes="1" containsNumber="1" containsInteger="1" minValue="31" maxValue="2771"/>
    </cacheField>
    <cacheField name="Nombre Proyecto" numFmtId="0">
      <sharedItems count="385">
        <s v="servicios de control de asistencia del servicio de salud osorno"/>
        <s v="Servicio gestión flota vehicular SSO"/>
        <s v="Sistema control de flota vehicular del Servicio de Salud Osorno"/>
        <s v="SISTEMAS DE COMUNICACIONES LTE WAVE PTX SERVICIO DE SALUD OSORNO"/>
        <s v="Convenio - 3 cupos Residencia Protegida para el Servicio de Salud Osorno en la Región Metropolitana"/>
        <s v="Convenio - ( cupos Hogar Protegido Varones para el Servicio de Salud Osorno en la ciudad de Osorno"/>
        <s v="Convenio - 08 Cupos Hogar Protegido Mujeres para el Servicio de Salud Osorno en la ciudad de Osorno"/>
        <s v="Convenio - SERVICIOS DE MANTENCIÓN, RECARGA E INSPECCION PREVENTIVA PARA RED HÚMEDA Y EXTINTORES EN ESTABLECIMIENTOS SSO"/>
        <s v="Convenio - DE SERVICIOS DE MANTENCIÓN PREVENTIVA, CORRECTIVA Y/O REPARATIVA PARA VEHÍCULOS MERCEDES-BENZ DEL SSO Y HOSPITA"/>
        <s v="Convenio - SERVICIO DE MANEJO, RETIRO, TRANSPORTE Y DISPOSICIÓN FINAL DE RESIDUOS PELIGROSOS Y ESPECIALES"/>
        <s v="Convenio - BENEFICIO ALIMENTACION 2024"/>
        <s v="Convenio - Suministro de oxígeno medicinal para Red de Hospitales de mediana y baja complejidad y SAMU"/>
        <s v="Convenio - SOPORTE Y MANTENIMIENTO SISTEMA DE REPETICIÓN VHF SERVICIO DE SALUD OSORNO 2025-2026"/>
        <s v="Convenio servicio de guardias para la DSSO y sus establecimientos y dispositivos dependientes"/>
        <s v="Convenio - ARRIENDO 159 EQUIPOS PC AIO PARA APOYAR LOS PROCESOS CLINICOS Y ADMINISTRATIVOS"/>
        <s v="Convenio - ARRIENDO 159 EQUIPOS PC AIO PARA APOYAR LOS PORCESOS CLINICOS Y ADMINISTRATIVOS"/>
        <s v="Convenio - SERVICIO DE ASEO PARA LA DSSO (BASE SAMU, EDIFICIO PLAZA SUR Y EDIFICIO M. RODRIGUEZ) POR 18 MESES (DESDE 01 JULIO 2025)"/>
        <s v="Convenio - SERVICIO DE SOPORTE Y MANTENCION RPT VHF SSO (PERIODO DOS AÑOS)"/>
        <s v="Convenio - ADQUISICION DE 3 CUPOS DE RESIDENCIA PROTEGIDA PARA EL SERVICIO DE SALUD OSORNO EN LA PROVINCIA DE CONCEPCIÓN"/>
        <s v="Convenio - ADQUISICION DE 12 CUPOS DE RESIDENCIA PROTEGIDA PARA EL SERVICIO DE SALUD OSORNO EN LA CIUDAD DE OSORNO"/>
        <s v="Convenio - ADQUISICION DE 10 CUPOS RESIDENCIA PROTEGIDA DE ALTA COMPLEJIDAD PARA EL SERVICIO DE SALUD OSORNO DE LA CIUDAD DE OSORNO"/>
        <s v="Mantención de Equipos Médicos e Industriales"/>
        <s v="Convenio - de Suministro para adquisición de medicamentos faltantes CENABAST para establecimientos dependientes del SSO."/>
        <s v="Convenio - CONVENIO SERVICIO DE ASEO POR 18 MESES, PARA LA DIRECCION DEL SSO Y ESTABLECIMIENTOS DEPENDIENTES DE LA RED ASISTENCIAL"/>
        <s v="Convenio - CONVENIO DE ADQUISICION DE KIT POINT OF CARE (POC) CON ARRIENDO DE EQUIPO PARA ANALISIS DE MUESTRAS, SSO"/>
        <s v="Convenio - Movilización para el traslado de usuarios y funcionarios CDR adulto mayor Kumelen año 2026"/>
        <s v="Convenio - Movilizacion para el traslado de funcionarios CDR Adulto Mayor KÜMELEN 2026"/>
        <s v="Convenio - ADQUISICION DE KIT POINT OF CARE (POC) CON ARRIENDO DE EQUIPO PARA ANALISIS DE MUESTRAS POR 12 MESES, SSO"/>
        <s v="Convenio - Pac PASAJES 2025-2026 DSSO"/>
        <s v="Convenio - ALIMENTOS CT PEULLA"/>
        <s v="Convenio - PAC Convenio Cafeteria DSSO"/>
        <s v="Convenio - Servicio movilización COSAM Rahue periodo 2026. (Financiamiento a través de fondo extrapresupuestario SENDA PAI)"/>
        <s v="Convenio - SERVICIO DE MOVILIZACION PARA EL AÑO 2026"/>
        <s v="Convenio - SERVICIO DE MOVILIZACION PARA EL AÑO 2026 Servicio movilización COSAM Rahue, Programa Atención Domiciliaria y PAZGA periodo 2026 (Financiamiento SSO)"/>
        <s v="Convenio - Servicio movilización UID Newen"/>
        <s v="Convenio - Movilización para el traslado de funcionarios y cuidadores Unidad de Memoria Ayekan año 2026"/>
        <s v="Convenio Movil CT Peulla"/>
        <s v="Convenio - Servicio de arriendo (comodato) e informes de teleelectrocardiografía para población bajo control en PSCV."/>
        <s v="Convenio - CONVENIO PARA DESRATIZACION, SANITIZACION, DESINSECTACION PARA EL SERVICIO DE SALUD OSORNO"/>
        <s v="Convenio - Adquisición de kit toma de muestra para Virus Papiloma Humano"/>
        <s v="Convenio - Servicio de Alimentación para usuarios CDR adulto Mayor Kumelen 2026"/>
        <s v="Convenio - CALEFACCION GASTOS PARA AMBULATORIO Y REDIDENCIAL - CT PEULLA"/>
        <s v="Convenio - Arriendo 159 PC Computacionales para establecimientos dependientes de la Dirección de Servicio de Salud Osorno"/>
        <s v="Convenio - Servicio de Sala Cuna, para el año 2026 de enero a diciembre, se requiere compra de 40 cupos para hijos/as de madres fun"/>
        <s v="Convenio - Servicio DIAS PROGRAMA DE REHABILITACIÓN TIPO II Desde el 01/01/2026 hasta el 31/12/2026."/>
        <s v="Convenio - ADQUISICION AYUDAS TECNICAS. CONVENIO SUMINISTRO AÑO 2026"/>
        <s v="Convenio - 8 CUPOS HOGAR PROTEGIDO HOMBRES PARA EL SERVICIO DE SALUD OSORNO, 12 MESES, ENERO A DICIEMBRE AÑO 2026."/>
        <s v="Convenio - ARTICULOS LIBRERIA AÑO 2025-2026 (Pedidos Mensuales)"/>
        <s v="Convenio - SUMINISTRO DE CHIP PARA CALDERAS DE HOSPITALES PÜ MÜLEN Y FÜTA SRÜKA LAWENCHE KUNKO MAPU, AÑO 2026-2027"/>
        <s v="Convenio - CONVENIO DE ARRIENDO DE AMBULANCIAS SAMU POR EL PERIODO COMPRENDIDO ENTRE SEPTIEMBRE 2025 A DICIEMBRE 2026"/>
        <s v="Convenio - MANTENCION Y OBRAS MENORES INFRAESTRUCTURA DE LOS ESTABLECIMIENTOS DEL SERVICIO DE SALUD OSORNO 2026"/>
        <s v="Convenio - Convenio de suministro de oxigenoterapia domiciliaria para pacientes del Programa Cuidados Paliativos Universales APS"/>
        <s v="Convenio - Convenio año 2026 Combustible calefacción para dispositivos del Servicio de Salud Osorno"/>
        <s v="Convenio - CONVENIO INSUMOS DE ASEO PARA DISPOSITIVOS DE LA RED AÑO 2026"/>
        <s v="Convenio - CONTRATACION DE SEGUROS GENERALES PARA VEHICULOS MOTORIZADOS PERTENECIENTES AL SERVICIO DE SALUD OSORNO 2026 - 2027"/>
        <s v="Convenio - Servicio de arriendo e informes de teleelectrocardiografía (sospecha IAM), para 13 establecimientos de urgencia de APS"/>
        <s v="Convenio - CONVENIO SERVICIOS DE MANTENCION PREVENTIVA, CORRECTIVA Y/O REPARATIVAS PARA LAS CONVERSIONES EN AMBULANCIAS Y VEHÍCULOS"/>
        <s v="Convenio - SERVICIOS DE MANTENCION PREVENTIVA, CORRECTIVA Y/O REPARATIVAS PARA VEHICULOS MULTIMARCAS AÑO 2026-2027"/>
        <s v="Convenio - SERVICIOS DE MANTENCION PREVENTIVA, CORRECTIVA Y/O REPARATIVAS PARA BUS MITSUBISHI FUSO ROSA AÑO 2026"/>
        <s v="Convenio - ADQUISICIÓN E IMPLEMENTACIÓN DE SISTEMA DIGITAL DE COMUNICACIONES CON TECNOLOGÍA PTT Y CONTROL DE FLOTA DE SALUD OSORNO"/>
        <s v="PAC General Bienestar 2026, se agrupa el total de actividades realizadas por Bienestar SSO."/>
        <s v="Adquisición de prestaciones de rehabilitación integral a niños, niñas y adolescentes con Trastorno del Espectro Autista"/>
        <s v="GORE: Apoyo de Rehabilitación Integral e Inclusión Social para niños, niñas y adolescentes con TEA"/>
        <s v="PRAPS Fondo de Farmacia para enfermedades crónicas no transmisibles en APS (FOFAR)"/>
        <s v="Adquisición de insumos para la atención en domicilio del Equipo Rehabilitación Rural SSO."/>
        <s v="Mantención Plotter Canon IPF 770, del depto. de Proyectos."/>
        <s v="Compra rollos papel para impresión del Departamento de Proyectos SSO."/>
        <s v="Compra Tinta Plotter Canon IPF 770"/>
        <s v="Adquisicición Hojas Prehospitalarias"/>
        <s v="Adquisicición Kit de Triage y Sistema de comando incidente"/>
        <s v="II Jornada de Capacitación Red de Urgencia"/>
        <s v="?DIAGNÓSTICO Y DIALOGO PARTICIPATIVO COSAM RAHUE ?NOVIEMBRE 2026?"/>
        <s v="Jornadas de encuentro y autocuidado Para usuarios y cuidadores ?SALUDABLE-MENTE en dispositivo COSAM RAHUE 2026"/>
        <s v="?Eco-huerto sustentable -Sistema de acuaponía sin suelo? COSAM RAHUE 2026"/>
        <s v="Insumos y medicamentos Farmacia COSAM RAHUE"/>
        <s v="Capacitación en Salud Mental Intercultural COSAM Rahue."/>
        <s v="Celebración de We Tripantu en COSAM Rahue 2026"/>
        <s v="Jornadas de autocuidado equipo profesional PAI COSAM Rahue"/>
        <s v="Ceremonia de alta SENDA-PAI COSAM Rahue 2026"/>
        <s v="CONVENIO - ADQUISICION DE 8 CUPOS HOGAR PROTEGIDO MUJERES PARA EL SERVICIO DE SALUD OSORNO POR PERIODO DE 12 MESES"/>
        <s v="Anilladora e insumos para preparación de material Cosam Rahue. Fondo extrapresupuestarios SENDA PAI"/>
        <s v="SERVICIO CAFETERÍA CEREMONIA ANIVERSARIO COSAM RAHUE"/>
        <s v="Jornada de Autocuidado funcionarios COSAM Rahue, con cargo a fondo extrapresupuestario SENDA-PAI"/>
        <s v="Celebración fiestas patrias usuarios y cuidadores COSAM RAHUE."/>
        <s v="Adquisición de insumos para la atención en domicilio del Equipo Rehabilitación Rural SSO. (Articulos de Libreria)"/>
        <s v="Adquisición de insumos para la atención en domicilio del Equipo Rehabilitación Rural SSO (material Ergoterapia)"/>
        <s v="Convenio - 3 CUPOS DE RESIDENCIA PROTEGIDA PARA EL SERVICIO DE SALUD OSORNO EN LA PROVINCIA DE CONCEPCIÓN, POR PERIODO DE 24 MESES."/>
        <s v="Rollos Etiquetas para impresora ZEBRA ZD 220 y rollos de cinta para impresora SOME, COSAM RAHUE"/>
        <s v="Convenio - 10 CUPOS RESIDENCIA PROTEGIDA DE ALTA COMPLEJIDAD PARA EL SERVICIO DE SALUD OSORNO POR PERIODO DE 12 MESES."/>
        <s v="INSUMOS DE ASEO COSAM RAHUE"/>
        <s v="Compra de Insumos de Cafetería reuniones ordinarias anuales de Salud Pueblos Originarios"/>
        <s v="Insumos cafetería actividades con usuarios Cosam Rahue y comunidad 2026, fondo extrapresupuestario SENDA PAI"/>
        <s v="INSUMOS ESCRITORIO COSAM RAHUE, FONDO EXTRAPRESUPUESTARIO SENDA-PAI"/>
        <s v="Protectores solares FPS 50 para funcionarios y usuarios taller huerto"/>
        <s v="Compra de tintas de repuesto impresoras Cosam Rahue"/>
        <s v="Insumos alimenticios para el Programa SENDA Calle. Fondo extrapresupuestario SENDA PAI"/>
        <s v="TEST DE DETECCION DE DROGAS"/>
        <s v="Taller de Herramientas Psicológicas, Taller PEERS"/>
        <s v="PAC insumos clínicos unidad de enfermería 2026."/>
        <s v="INTERVENCIÓN PSICOSOCIAL GRUPAL TALLER PARA JOVENES Y ADOLESCENTES EN TRATAMIENTO EN COSAM ORIENTE"/>
        <s v="Compra de Insumos de Cafetería reuniones ordinarias anuales Participación, Trato Usuario, Salud Pueblos Originarios"/>
        <s v="Taller Huertos 2026"/>
        <s v="Comité de Participación y gestión Intercultural - Dia de la Mujer 2026"/>
        <s v="Consultorías adecuación Diseño PSR Coligual, comuna de Purranque."/>
        <s v="Consultorías adecuación Diseño PSR Caracol, comuna de San Pablo."/>
        <s v="Impresión Talonarios de Registro de Solicitudes Ciudadanas"/>
        <s v="INSUMOS DE FARMACIA 2026"/>
        <s v="Taller de baile entretenido y acondicionamiento físico 2026"/>
        <s v="ACTIVIDADES DE DIFUSIÓN Y DE PREVENCIÓN EN LA PROVINCIA DE OSORNO"/>
        <s v="Jornada de Humanización del Trato Usuario"/>
        <s v="Despensa para Unidad de Secretaria"/>
        <s v="Yoga Sensible al Trauma: Regulación emocional desde el Cuerpo y la Conciencia."/>
        <s v="Comité de Participación y Gestión Intercultural - Dia del Niño 2026"/>
        <s v="Comité de Participación y Gestión Intercultural - Fiestas Patrias 2026"/>
        <s v="Intervención psicosocial grupal de Música"/>
        <s v="COMPRA MATERIALES DE OFICINA DEPARTAMENTO DE PROYECTOS"/>
        <s v="Estudio e Informe Estructural COSAM Oriente."/>
        <s v="ARTICULOS PARA TERAPIA OCUPACIONAL"/>
        <s v="TOLDOS"/>
        <s v="MANTENCIONES, REPUESTOS Y REPARACIONES"/>
        <s v="INSUMOS COMPUTACIONALES"/>
        <s v="Convenio - CONVENIO DE ADQUISICION DE KIT POINT OF CARE (POC) CON ARRIENDO DE EQUIPOS PARA ANALISIS DE MUESTRAS, SSO"/>
        <s v="Muestra tu Pausa Activa"/>
        <s v="PLAN DE COMPRAS AÑO 2026 LEY N°19.664 Y FORMACION DE ESPECIALISTAS S.S.O"/>
        <s v="Comité de Participación y Gestión Intercultural - Navidad 2026"/>
        <s v="Implementos de Terapia Ocupacional."/>
        <s v="Convenio - COMPRA DE KITS PARA DETECCION DE VIRUS Y BACTERIAS RESPIRATORIAS POR METODO MOLECULAR RAPIDO (POC MOLECULAR)"/>
        <s v="AUTOCUIDADO CONVENIO SENDA 2026"/>
        <s v="MEDICINA INTEGRATIVA SAFU"/>
        <s v="Adquisición Insumos para realizar el aseo y confort de usuarios/as con Dependencia Severa."/>
        <s v="INSUMOS LEY 20.000"/>
        <s v="Zumba a todo corazón"/>
        <s v="Mantenimiento baños y camarines"/>
        <s v="Construcción de radieres en estacionamiento"/>
        <s v="Mantención comedor lado patio interior"/>
        <s v="Pintado de muros perimetrales de edificio."/>
        <s v="Mantenimiento caseta de guardias"/>
        <s v="Instalación de manillas en puertas metálicas de sala REAS, Caldera, Generador"/>
        <s v="Reparar fuga red de agua alimentación invernadero."/>
        <s v="Habilitación de sala pagoda como sala de recuperación pacientes."/>
        <s v="Mantenimiento de cámaras y red ed aguas lluvia y reemplazo de bomba de impulsión"/>
        <s v="Mantenimiento de cámaras y red de alcantarillado, artefactos sanitarios."/>
        <s v="TALONARIOS DE LICENCIA MÉDICA"/>
        <s v="Mantenimiento planta elevadora aguas servidas"/>
        <s v="Suministro de Pellet para sistema de calefacción"/>
        <s v="Suministro de diesel para generador eléctrico"/>
        <s v="Reemplazo de equipo iluminación interior."/>
        <s v="Mantenimiento sensores de humo"/>
        <s v="Mantenimiento sistema de cierre/apertura puertas de PVC"/>
        <s v="Mantención de enchufes e interruptores lampistería instalación interior."/>
        <s v="MOVIL AÑO 2027"/>
        <s v="PROGRAMA MEL"/>
        <s v="Materiales de Secretaria para uso del Cosam 2026"/>
        <s v="Convenio - Convenio Adquisición de combustible móviles de la DSSO y Ambulancias SAMU año 2026"/>
        <s v="Convenio - Convenio Adquisición de combustible Diesel para equipos generadores dispositivos del SSO Cosam Rahue y Cosam Oriente"/>
        <s v="Intervención Psicosocial Grupal para Familiares de Usuarios/as con Diagnóstico de Esquizofrenia"/>
        <s v="Intervención Psicosocial Grupal para Usuarios y Usuarias con Consumo de Alcohol y Drogas"/>
        <s v="Jornada de Buenas Prácticas en Hospital Amigo y Ley Mila 2026"/>
        <s v="Jornada de Evaluación Comité de Gestión Usuaria 2026"/>
        <s v="Jornada de Fortalecimiento OIRS 2026"/>
        <s v="Recetarios Médicos SAFU"/>
        <s v="MATERIALES DE OFICINA"/>
        <s v="Vestuario y equipamiento Tecnico Referentes Prevención de Riesgos DSSO"/>
        <s v="INSUMOS DE ENFERMERÍA SAFU"/>
        <s v="Almacenamiento,organización y resguardo de los insumos clínicos del área de enfermería"/>
        <s v="CONMEMORACIÓN DÍA INTERNACIONAL DE LA SALUD MENTAL 2026"/>
        <s v="&quot;JORNADA DE FORTALECIMIENTO DE COMPETENCIAS PARENTALES Y BIENESTAR FAMILIAR &quot;"/>
        <s v="Contratación de visitas obras civiles consultoría obra ?SALA DE ACOGIDA INTERCULTURAL (SRUKA) HBO."/>
        <s v="FESTIVAL DEL DÍA DE LA NIÑEZ"/>
        <s v="Convenio - CONVENIO SUMINISTRO DE REACTIVOS CON ARRIENDO DE EQUIPOS Y SISTEMA INFORMATICO INTEGRADO DE LABORATORIO CLINICO, SSO"/>
        <s v="Adquisición Carro de Transporte Droguería-Bodega General"/>
        <s v="Adquisición de Amarras Plásticas y Elásticos para Optimizar el Almacenamiento y Distribución"/>
        <s v="EEPP para funcionarios de Droguería-Bodega General-Bodega Inversiones"/>
        <s v="Implementación de Sistema de Cerradura Digital para Control de Acceso"/>
        <s v="Adquisición de Sensores de Temperatura para Droguería ( Bodega de Dispositivos Médicos)"/>
        <s v="Altas Senda año 2026"/>
        <s v="Formación facilitadores Talleres Prenatales para matronas y matrones de la red de atención primaria"/>
        <s v="Mantención de Equipos Médicos e Industriales 2026"/>
        <s v="Convenio - Convenio de Accesorios para Equipos Médicos Criticos de Base SAMU Osorno año 2027"/>
        <s v="Insumos para aumentar la lactancia materna exclusiva"/>
        <s v="Insumos de Box de rehabilitación kinésica SAFU"/>
        <s v="Cuenta Pública Gestión 2025"/>
        <s v="Diálogo Provincial en Salud"/>
        <s v="Jornada de Inducción a médicos EDF, sobre Interculturalidad en Salud con pueblos originarios"/>
        <s v="Contratación de visitas de Consultorías de Obra &quot; Mejoramiento Hospital de Río Negro&quot;"/>
        <s v="Consultorías adecuación Diseño PSR Hueyusca, comuna de Purranque."/>
        <s v="Artículos de limpieza y higiene"/>
        <s v="Insumos para actividades grupales con usuarios y familiares de UID Newen."/>
        <s v="Insumos para actividades de promoción, prevención e intervención comunitaria con usuarios/as y familiares de UID Newen."/>
        <s v="Material de papelería centro Kümelen"/>
        <s v="Mochilas e insumos EMT (Equipos Médicos de Emergencia)"/>
        <s v="software de cartografía web"/>
        <s v="COMPRA DE AMBULANCIA PARA CESFAM CON SAR DE RAHUE ALTO"/>
        <s v="COMPRA ELEMENTOS DE PROTECCION PERSONAL SECCION MANT. DE VEHICULOS"/>
        <s v="COMPRA DE TARJETAS BLANCAS PARA CREDENCIALES PARA CAMAPAÑA SELLO BUEN TRATO."/>
        <s v="Adquisición de insumos clínicos para usuarios/as UID Newen."/>
        <s v="Taller Mindfulness - Anclando la Calma: Regulación Emocional y Conexión"/>
        <s v="CREDENCIAL DE IDENTIFICACION INSTITUCIONAL"/>
        <s v="Consultorías adecuación Diseño PSR Forrahue, etapa 1"/>
        <s v="Consultorías adecuación Diseño PSR Forrahue, Etapa 2."/>
        <s v="Diseño SAR Puyehue."/>
        <s v="Sillas Ergonómicas"/>
        <s v="CONSTRUCCION CESFAM CON SAR CHUYACA OSORNO; CODIGO BIP: 30430122 CONSTRUCCION CESFAM CON SAR CHUYACA, OSORNO"/>
        <s v="Diseño nuevo Hospital de Purranque."/>
        <s v="Diseño Centro de Diálisis Municipal, comuna de Osorno."/>
        <s v="Consultoría Estudio Preinversional de Reposición Hospital de Alta Complejidad provincia de Osorno"/>
        <s v="Diseño SAMU Provincial y Centro de Despacho."/>
        <s v="Consultoría Estudio Preinversional Reposición Hospital Hospital de Río Negro"/>
        <s v="Consultoría Estudio Preinversional Reposición Hospital Hospital de Puerto Octay"/>
        <s v="Diseño CESFAM Puerto Octay."/>
        <s v="Contratación de Visita a Obra 2026 de las Consultorías: Especialidades y Arquitectura Obra CESFAM Bahía Mansa"/>
        <s v="CONSTRUCCION CESFAM CON SAR CHUYACA OSORNO; CODIGO BIP: 30430122"/>
        <s v="EPP PARA DEPTO. DE INGENIERÍA CLÍNICA"/>
        <s v="PLAN NACIONAL DEL CÁNCER 2026"/>
        <s v="REPOSICION POSTA DE SALUD RURAL LA POZA, COMUNA DE SAN PABLO"/>
        <s v="CONSTRUCCION SALA DE ACOGIDA INTERCULTURAL (SRUKA) HOSPITAL BASE SAN JOSE, OSORNO"/>
        <s v="REPOSICION CONSULTORIO DE SALUD RURAL BAHIA MANSA, SAN JUAN DE LA COSTA"/>
        <s v="Consultorías adecuación Diseño PSR Cuinco, comuna de San Juan de La Costa."/>
        <s v="CONSTRUCCION CECOSF URBANO CHIFIN, COMUNA DE RIO NEGRO"/>
        <s v="Diseño Ampliación CESFAM San Pablo"/>
        <s v="REPOSICION CESFAM CON SAR RAHUE ALTO, OSORNO"/>
        <s v="CONSTRUCCION POSTA SALUD RURAL EL PONCHO"/>
        <s v="REPOSICION POSTA DE SALUD RURAL HUILMA, COMUNA DE RIO NEGRO"/>
        <s v="REPOSICION POSTA DE SALUD RURAL RUPANCO, COMUNA PUERTO OCTAY"/>
        <s v="CONSTRUCCIÓN POSTA DE SALUD RURAL COSTA RIO BLANCO, COMUNA DE RIO NEGRO"/>
        <s v="HABILITACION ANGIOGRAFO HOSPITAL BASE DE OSORNO"/>
        <s v="CONSTRUCCION COSAM RAHUE, COMUNA OSORNO"/>
        <s v="CONTRATACION DE VISITA DE ESPECIALIDAD DE ARQUITECTURA PARA LA OBRA REPOSICION CESFAM CON SAR RAHUE ALTO."/>
        <s v="SUBTÍTULO 29 SECTORIAL 2026"/>
        <s v="Vestuario terreno y EPP funcionario nuevo"/>
        <s v="SUBTÍTULO 29 OPERACIONAL SSO 2026"/>
        <s v="ADQUISICION Y REPOSICION EQUIPOS Y EQUIPAMIENTO OTORRINOLARINGOLOGIA HOSPITAL BASE OSORNO"/>
        <s v="Conmemoración día internacional de la eliminación de la violencia contra la mujer 2026"/>
        <s v="Adquisición de insumos para atención en domicilio del Equipo Rehabilitación Rural SSO. (Sarten electrico para ortesis)"/>
        <s v="MANTENCIÓN PREVENTIVA DE AGUA POTABLE DE LA BASE SAMU"/>
        <s v="Mantenciones emergentes para establecimientos dependientes del Servicio de Salud Osorno"/>
        <s v="Convenio - CONVENIO DE MANTENCION Y OBRAS MENORES INFRAESTRUCTURA DE LOS ESTABLECIMIENTOS DEL SERVICIO DE SALUD OSORNO 2027"/>
        <s v="Mantención de Cubiertas de Edificios y Dispositivos dependientes del Servicio de Salud Osorno"/>
        <s v="Mejoramiento Eléctrico y de Datos en Oficina 2do piso del Edificio Institucional de Manuel Rodríguez."/>
        <s v="MANTENIMIENTO PREVENTIVO Y ADECUACIONES MENORES A TABLEROS ELECTRICOS DE LOS HOSPITALES Y DISPOSITIVOS DE LA RED 2027"/>
        <s v="Materiales para simulacros"/>
        <s v="Conmemoración Día Mundial de Prevención Contra el Cáncer Cervicouterino"/>
        <s v="Elementos de Protección Personal para el Subdepto. Prevención de Riesgos DSSO"/>
        <s v="Abordaje integral de trastornos de salud mental y conducta alimentaria en adolescentes"/>
        <s v="Adquisición de herramientas básicas para mantenimiento Centro Comunitario Kümelen"/>
        <s v="Equipamiento Ergonómico"/>
        <s v="Equipamiento Ergonómico - Sillas"/>
        <s v="TEST PSICOLOGICOS PARA LA UNIDAD DE RECLUTAMIENTO Y SELECCIÓN DEL S.S.O."/>
        <s v="ADQUISICION INSUMOS MANTENCION RED DE RADIOCOMUNICACIONES EN EMERGENCIAS SERVICIO DE SALUD OSORNO"/>
        <s v="Jornada SSYR Provincial"/>
        <s v="REPOSICION Y MANTENIMIENTO COMPONENTES RADIOS PORTATILES VHF DIRECCION"/>
        <s v="Adquisición de micrófono y cámara para videoconferencias del Centro Comunitario Kümelen"/>
        <s v="Insumos y servicio de Coffee Break para Curso de Monitores 2026 del Centro Kümelen"/>
        <s v="Adquisición de insumos para la atención en domicilio del Equipo Rehabilitación Rural SSO. (Equipo Médico Fonoaudiologa)"/>
        <s v="Cintas de Seguridad"/>
        <s v="Reciclaje en Edificio Plaza Sur"/>
        <s v="Adquisición de insumos para la atención en domicilio del Equipo Rehabilitación Rural SSO. (Articulos de Fonoaudiología)"/>
        <s v="Protección Solar"/>
        <s v="EQUIPAMIENTO AMBULATORIO FONDOS PPV"/>
        <s v="Equipamiento Tecnologico"/>
        <s v="ARTICULOS DE FERRETERIA AMBULATORIO FONDOS PPV"/>
        <s v="Ceremonia de Egreso del Curso de Formación de Monitores del centro Kümelen."/>
        <s v="Protección Visual RUV"/>
        <s v="ARTICULOS DE COCINA AMBULATORIO FONDOS PPV"/>
        <s v="ARTICULOS DE JARDINERIA AMBULATORIO FONDOS PPV"/>
        <s v="Adquisición de 120 Endoscopias Digestivas Altas para establecimientos de la Red Asistencial del Servicio de Salud Osorno."/>
        <s v="Carro de carga plegable (Yegua)"/>
        <s v="Servicio de Movilización de 1 vehículo con conductor, por 2 meses, para ejecución vacunación en la provincia de Osorno"/>
        <s v="EQUIPAMIENTO RESIDENCIAL ? CONVENIO SENDA"/>
        <s v="SERVICIO DE ELABORACIÓN Y DIFUSIÓN DE 4 AVISOS RADIALES PROMOCIONALES DE CAMPAÑA DE INVIERNO 2026 POR 2 MESES"/>
        <s v="ARTICULOS DE FERRETERIA Y OTROS RESIDENCIAL CONVENIO SENDA"/>
        <s v="INSUMOS COMPUTACIONALES RESIDENCIAL CONVENIO SENDA"/>
        <s v="1 Servicio de grabación y emisión de 4 mensajes radiales de vacunación escolar por 2 meses, en la provincia de Osorno."/>
        <s v="Insumos para dispensación de fármacos y entrega citas a usuarios COSAM Rahue"/>
        <s v="ADQUISICIÓN PARA PROGRAMA DE PROMOCIÓN, PREVENCIÓN Y DIAGNÓSTICO PRECOZ CÁNCERES PREVALENTES EN MUJERES DE LA PROVINCIA"/>
        <s v="Adquisición de megáfonos y gabinetes para la comunicación en emergencias, gestión de riesgos y protección de equipos"/>
        <s v="Compra de insumos para la mantención de la cadena de frío de las vacunas de los establecimientos de la provincia."/>
        <s v="&quot;Día del autocuidado&quot; en la comunidad funcionaria el día 24 de julio del 2026"/>
        <s v="Adquisición materiales de oficina Unidad de Memoria 2026"/>
        <s v="INSUMOS COMPUTACIONALES AMBULATORIO ? CONVENIO SENDA"/>
        <s v="ARTICULOS DE COCINA AMBULATORIO ? CONVENIO SENDA"/>
        <s v="ARTICULOS DE FERRETERIA Y OTROS AMBULATORIO ? CONVENIO SENDA"/>
        <s v="Adquisición de productos e insumos para el programa de control y eliminación de la Tuberculosis"/>
        <s v="Materiales e insumos para talleres y capacitaciones red de coordinadores"/>
        <s v="REPOSICION CECOSF EL ENCANTO, COMUNA DE PUYEHUE"/>
        <s v="Materiales de oficina no disponibles en Bodega Central"/>
        <s v="Adquisicion de recetarios y talonarios de examenes de Psiconeurogeriatría Ayekan y kumelen."/>
        <s v="INSUMOS DE OFICINA"/>
        <s v="Adquisición de Material Educativo Visual y Didáctico para la Educación Alimentaria en la Red de APS"/>
        <s v="Compra de insumos de higiene oral de programa odontológico integral"/>
        <s v="Pilas para equipos clínicos pesa, hemoglucotest y equipo de electroterapia"/>
        <s v="Capacitación de Salud Respiratoria en el Curso de Vida, en contexto de campaña de invierno para 110 personas"/>
        <s v="Escalera tijera plegable"/>
        <s v="Convenio - Suministro de oxígeno medicinal para Red de Hospitales de mediana y baja complejidad, SAMU y Cosam"/>
        <s v="Mantención integral edificio Centro Kümelen"/>
        <s v="Mantención integral edificio Matta"/>
        <s v="Material de librería para vacunatorios y para capacitaciones del Programa Nacional de Inmunizaciones 2025"/>
        <s v="Estudio e Informe Estructural Edificio EX- PDI."/>
        <s v="Adquisición servicio de cafetería para actividad de capacitación a profesionales de salud Campaña de Invierno"/>
        <s v="Adquisición artículos de librería para Jornadas con la Red Asistencial"/>
        <s v="Plan de Compra Anual nuevos Boxes Dentales SAFU - Insumos Instrumentales"/>
        <s v="Adquisicion Licencias de Software GstarCAD por 24 meses"/>
        <s v="Adquisicion Licencias de Software ArchiCAD por 24 meses"/>
        <s v="Implementación de impresoras termicas en Some De Edificio Matta"/>
        <s v="SOPORTE Y MANTENCION ANUAL SOFTWARE CONTROL DE INVENTARIO"/>
        <s v="Adquisición 2 coffee break para Jornada de Plan de Salud Comunal y Priorización"/>
        <s v="Adquisición artículos de cafetería para Jornadas de planificación con Red Asistencial"/>
        <s v="Construcción de repisas para archivos en bodega ex COSAM Oriente"/>
        <s v="3°Jornada para cuidadores/as &quot;Cuidar con sentido y acompañar con el corazón&quot;"/>
        <s v="SERVICIO DE TRASLADO DE MOBILIARIO"/>
        <s v="Accesorios de telecomunicación para actividades digitales de promoción y prevención de salud mental para la comunidad fu"/>
        <s v="Adquisición Carpetas con bolsillo troquel de imprenta y logo institucional CPU"/>
        <s v="Plan de Compra Anual nuevos Boxes Dentales SAFU - Insumos Dentales"/>
        <s v="Material de trabajo terapéutico equipo salud mental unidad de salud funcionaria - Librería terapéutica"/>
        <s v="Implementacion de talleres y renovacion de insumos de kinesiologia de Unidad de Memoria Ayekan."/>
        <s v="Adquisición de boquillas espiratorias desechables para flujometría."/>
        <s v="Adquisición Turbinas desechables espirometría"/>
        <s v="Servicio de cafetería para Jornada de Capacitación en Cuidados Paliativos para equipos CPU APS y Hospitales SSO"/>
        <s v="Adquisición Equipamiento para evaluación saturación oxigeno en pacientes Piloto Cesación Tabáquica (Oxímetros)"/>
        <s v="Adquisición de insumos de folleteria y cuadernillos de stimulación para Unidad de Memoria."/>
        <s v="Talleres educativos y de respiro para cuidadoras/es de usuarios con deteriro cognitivo."/>
        <s v="Compra de insumos clínicos para actividades de vacunación, en vacunatorios y colegios de la provincia."/>
        <s v="Adquisición de Neumáticos para vehículos de la Dirección Servicio de Salud Osorno y Base SAMU Osorno año 2026"/>
        <s v="Servicio de Coffe para 115 personas, Jornada Anual de Capacitación del Programa Nacional de Inmunizaciones, provincial"/>
        <s v="Elaboración e impresión de Carnet de Control Integral para la Red de APS de la provincia de Osorno."/>
        <s v="Implementación autotoma de VPH"/>
        <s v="TEST DE EVALUACIONES PSICOLÓGICAS"/>
        <s v="Conmemoración día Mundial de la Salud Mental 10 de octubre 2026 y Desarrollo de actividades de promoción de salud mental"/>
        <s v="Insumos para CIRA SDGA"/>
        <s v="Festival de la Voz de las Mujeres 2026"/>
        <s v="Obras civiles para montaje de 2 futuros contenedores de largo 20 pies"/>
        <s v="ADQUISICIÓN DISPOSITIVOS DE ALMACENAMIENTO PARA HABILITACION DE EQUIPOS COMPUTACIONALES"/>
        <s v="Mejoramiento Hospital de Rio Negro(4 LICITACIONES) - Traspaso de año , modificación en emisiones de OC"/>
        <s v="contendores de papel"/>
        <s v="INSUMOS DE ATENCION PSICOLOGICA"/>
        <s v="Eventos y resignificaciones anuales"/>
        <s v="INSUMOS ALIMENTACIÓN PARA ACTIVIDADES DE SALUD MENTAL 2026"/>
        <s v="MUEBLE DOCUMENTAL"/>
        <s v="Olimpiadas del Adolescente"/>
        <s v="Insumos para reuniones ministeriales"/>
        <s v="Compra de Servicio de Docencia, Relatoría, Consultoría, Alimentación y Compra de insumos Año 2026"/>
        <s v="Insumos médicos"/>
        <s v="Adquisición de Insumos para control cardiovascular/integral en atención primaria"/>
        <s v="Materiales psicopedagógicos"/>
        <s v="Adquisición de insumos para la atención y educación en salud, a personas bajo control en los Programas de Salud"/>
        <s v="Conmemoración del aniversario del centro Kümelen"/>
        <s v="Taller de habilidades para la vida 2026"/>
        <s v="Adquisicion ciclo de capacitaciones ECICEP para profesionales de la red asistencial"/>
        <s v="Adquisición insumos clínicos y de aseo general mamógrafo móvil/estrategias Programa Imágenes Diagnósticas 2026."/>
        <s v="Adquisición de insumos validados para la medición de presión arterial en el curso de vida."/>
        <s v="Adquisición Dispositivos médicos de Curación Avanzada. Presupuesto: PAGD, componente Salud Cardiovascular $15.000.000.-"/>
        <s v="Adquisición de servicio de catering para curso de Imagenología para Médicos generales y de APS."/>
        <s v="Convenio - Convenio de servicio de exámenes de ecotomografía abdominal y mamaria programa imágenes diagnósticas."/>
        <s v="Compra de insumos de oficina y cafetería"/>
        <s v="Convenio - Convenio de servicio informes de radiografías y mamografías para los Hospitales Dependientes del S.S.O."/>
        <s v="Conmemoración día de la mujer"/>
        <s v="servicio de dosimetría Trabajadores Ocupacionalmente expuestos del Programa Imágenes Diagnósticas."/>
        <s v="Convenio - Convenio de servicio movilización funcionarios mamógrafo móvil. Descripción"/>
        <s v="Adquisición insumos de promoción, prevención y tratamiento ADM para desarrollo Programa de Resolución de Ortodoncia NNA"/>
        <s v="Proyecto de Compra Insumos clínicos 2026"/>
        <s v="Capacitación formación de facilitadores Nadie es Perfecto"/>
        <s v="Artículos de higiene, limpieza y mantención de áreas verdes para Edificio Matta."/>
        <s v="Adquisición de herramientas"/>
        <s v="Adquisición de insumos para la atención en domicilio del Equipo Rehabilitación Rural SSO. (Articulos de Escritorio)"/>
        <s v="Renovación de toma de presión digital para unidad de Memoria."/>
        <s v="Taller de niños y niñas - Taller de padres"/>
        <s v="Taller Arte Terapia"/>
        <s v="TALLER DE MANUALIDADES"/>
        <s v="Adquisición de insumos atención en domicilio del Equipo Rehabilitación Rural SSO"/>
        <s v="Adquisicion equipamiento Servidor NAS y almacenamiento extra para respaldo y seguridad de la información"/>
        <s v="ARTICULOS DE OFICINA UNIDADES AMBULATORIO Y RESIDENCIAL"/>
        <s v="Comité de Participación y Gestión Intercultural"/>
        <s v="EVENTOS EN MOVIMIENTO Y A UNA SOLA VOZ"/>
        <s v="CONTRIBUYENDO A LA POLITICA PÚBLICA EN REPARACIÓN CON USUARIOS/AS PRAIS"/>
        <s v="Adquisción de hidrolavadora 120BAR"/>
        <s v="Insumos para jornada provincial de Gestión del Riesgo de Desastres (2 días)"/>
        <s v="COMPRA DE MATERIALES DE OFICINA E INSUMOS DE CAFETERIA PARA LA UNIDAD DE CICLO LABORAL DEL S.S.O."/>
        <s v="Insumos para actividades individuales y grupales con usuarios/as y familiares de UID Newen."/>
        <s v="EQUIPAMIENTO AMBULATORIO ? CONVENIO SENDA"/>
        <s v="Materiales y herramientas de oficina funcionarios Sub Depto."/>
        <s v="COMPRA DE MATERIALES DE OFICINA E INSUMOS DE CAFETERIA PARA DEL SUBDEPTO. DE CULTURA Y CLIMA ORGANIZACIONAL DEL S.S.O."/>
        <s v="INSUMOS PARA EL ORDEN ORPERACION Y DOCUMENTAL DE OFICINA DE PARTES."/>
        <s v="Compra Cintas de glicemia + equipos en comodato"/>
        <s v="ARTICULOS DE COCINA RESIDENCIAL ? CONVENIO SENDA"/>
        <s v="EQUIPAMIENTO RESIDENCIAL ? FONDOS PPV"/>
      </sharedItems>
    </cacheField>
    <cacheField name="Descripción Proyecto" numFmtId="0">
      <sharedItems longText="1"/>
    </cacheField>
    <cacheField name="Cantidad de Ítems" numFmtId="0">
      <sharedItems containsSemiMixedTypes="0" containsString="0" containsNumber="1" containsInteger="1" minValue="1" maxValue="23" count="12">
        <n v="2"/>
        <n v="1"/>
        <n v="14"/>
        <n v="8"/>
        <n v="6"/>
        <n v="3"/>
        <n v="4"/>
        <n v="5"/>
        <n v="7"/>
        <n v="9"/>
        <n v="23"/>
        <n v="11"/>
      </sharedItems>
    </cacheField>
    <cacheField name="Nombre ítem" numFmtId="0">
      <sharedItems count="357">
        <s v="Servicio Control Asistencia"/>
        <s v="Control Flota"/>
        <s v="Sistema de control de flota"/>
        <s v="Servicio"/>
        <s v="Residencia"/>
        <s v="Recarga"/>
        <s v="Mantenimiento"/>
        <s v="Servicio residuos"/>
        <s v="Tarjeta"/>
        <s v="Suministro Oxigeno"/>
        <s v="Servicio de guardias"/>
        <s v="Insumos"/>
        <s v="Aseo"/>
        <s v="Servicio Residencial"/>
        <s v="Equipos Lavanderia"/>
        <s v="Equipo Calderas"/>
        <s v="Equipo Aire Acondicionado"/>
        <s v="Grupo Electrogenos"/>
        <s v="Equipos Criticos"/>
        <s v="Imagenelogia"/>
        <s v="Mamografia"/>
        <s v="Mantención Equipos Medicos"/>
        <s v="Mantención Auto Claves"/>
        <s v="Mantención Preventiva Equipos"/>
        <s v="Mantención Otros"/>
        <s v="Medicamentos"/>
        <s v="Equipo"/>
        <s v="Movilizacion Kumelen"/>
        <s v="Movilizacion"/>
        <s v="Suministro KIT Point"/>
        <s v="Pasajes"/>
        <s v="Alimentación"/>
        <s v="Cafeteria"/>
        <s v="Servicio Medico"/>
        <s v="Convenio Desratización"/>
        <s v="Convenio Leña"/>
        <s v="Vale Gas"/>
        <s v="Arriendo Equipo"/>
        <s v="Sala Cuna"/>
        <s v="Programa"/>
        <s v="Ayudas Técnicas"/>
        <s v="Hogar Protegido (7)"/>
        <s v="Hogar Protegido (1)"/>
        <s v="Material de Oficina"/>
        <s v="Convenio"/>
        <s v="Arriendo Ambulancia"/>
        <s v="Mantención"/>
        <s v="Convenio Oxigeno"/>
        <s v="Combustible"/>
        <s v="Convenios Seguros"/>
        <s v="Radio comunicaciones"/>
        <s v="Proyecto Concunsable"/>
        <s v="Concurso Fotografia"/>
        <s v="Festival de la Voz"/>
        <s v="Gala 18"/>
        <s v="Full Day"/>
        <s v="Olimpiadas DSSO"/>
        <s v="Navidad"/>
        <s v="Alimentación Navidad"/>
        <s v="Convenio TEA"/>
        <s v="Servicio Movilización"/>
        <s v="Arriendo"/>
        <s v="Arriendo Informatico"/>
        <s v="Servicio Cafeteria"/>
        <s v="Impresión"/>
        <s v="Equipo Sensorial"/>
        <s v="Insumos Medicos"/>
        <s v="Materiales de Aseo"/>
        <s v="Mantencion"/>
        <s v="Rollos"/>
        <s v="Tinta Plotter"/>
        <s v="Talonarios"/>
        <s v="Kit Sistema"/>
        <s v="Opalina"/>
        <s v="Macetero"/>
        <s v="Insumos y Repuestos"/>
        <s v="Hogar Protegido 6"/>
        <s v="Hogar Protegido 1"/>
        <s v="Alimentos 18 Sept"/>
        <s v="Pistola Silicona"/>
        <s v="Residencia Protegia"/>
        <s v="Insumos de Aseo"/>
        <s v="Alimentos"/>
        <s v="Protectores Solares"/>
        <s v="Tintas"/>
        <s v="Test"/>
        <s v="Caja, Pelotas"/>
        <s v="Pañuelos faciales"/>
        <s v="Tiras, test rápido, alcohol"/>
        <s v="Insumos clínicos"/>
        <s v="Biombo, pesa"/>
        <s v="Equipo curación, algodón"/>
        <s v="Cooler"/>
        <s v="Caja"/>
        <s v="Material de Enseñanza"/>
        <s v="Productos Jardín"/>
        <s v="Bolsas"/>
        <s v="Consultorias"/>
        <s v="folleteria"/>
        <s v="Recetarios"/>
        <s v="Refrigerador"/>
        <s v="Insumos Computacionales"/>
        <s v="Ropa"/>
        <s v="Material Taller"/>
        <s v="Galvanos y Placa"/>
        <s v="Bolsas Ecologicas"/>
        <s v="Pendon"/>
        <s v="Merchandising Publicidad"/>
        <s v="Mueble"/>
        <s v="Material Yoga"/>
        <s v="Frazadas"/>
        <s v="Material Didactico"/>
        <s v="Material Decoración"/>
        <s v="Menaje"/>
        <s v="Guitarra"/>
        <s v="Papeleria"/>
        <s v="Material Educativo"/>
        <s v="Toldo"/>
        <s v="Mantenciones"/>
        <s v="Repuestos"/>
        <s v="WI FI"/>
        <s v="Convenio Kit Point"/>
        <s v="Instrumentos Deportivos"/>
        <s v="Servicio Traslado"/>
        <s v="Pendrive"/>
        <s v="Materiales de Oficina"/>
        <s v="Publicación Diario"/>
        <s v="Menaje Cafeteria"/>
        <s v="Bolsas Regalo"/>
        <s v="Aromaterapia"/>
        <s v="Producto de Aseo"/>
        <s v="Pañales"/>
        <s v="Crema"/>
        <s v="Toner"/>
        <s v="Instructora"/>
        <s v="Decoración"/>
        <s v="Pellet"/>
        <s v="Combustibles"/>
        <s v="Movilización"/>
        <s v="Equipos"/>
        <s v="Pañuelos"/>
        <s v="Capacitacion"/>
        <s v="Geologo"/>
        <s v="Insumos de Enfermeria"/>
        <s v="Convenio Equipos"/>
        <s v="Carro"/>
        <s v="Amarras y Elasticos"/>
        <s v="EPP"/>
        <s v="Cerraduras"/>
        <s v="Sensores"/>
        <s v="Tazon"/>
        <s v="Lapiz Pasta"/>
        <s v="Arreglos"/>
        <s v="Servicio Calibración-Certificación"/>
        <s v="Mantención equipos médicos"/>
        <s v="Mantenciones correctivas"/>
        <s v="Mantenciones Preventivas"/>
        <s v="Mantención Correctiva Equipos"/>
        <s v="Insumos Clinicos"/>
        <s v="Equipamiento Medico"/>
        <s v="Insumos Kinesicos"/>
        <s v="Gesto Ceremonial"/>
        <s v="Evento"/>
        <s v="Yogurth"/>
        <s v="Remodelación"/>
        <s v="Artículos de limpieza"/>
        <s v="Productos Cafeteria"/>
        <s v="Sillas, Toldos, Mesas"/>
        <s v="Parlante"/>
        <s v="Reloj"/>
        <s v="Mochila"/>
        <s v="Software"/>
        <s v="Ambulancia"/>
        <s v="Calzado"/>
        <s v="Vestuario"/>
        <s v="Bloqueador solar"/>
        <s v="Insumos de Pastillas"/>
        <s v="Abarrotes"/>
        <s v="Cinta Porta Credencial"/>
        <s v="Porta Credencial"/>
        <s v="Cinta Color Impresora"/>
        <s v="Tarjeta PVC"/>
        <s v="Kit Limpieza"/>
        <s v="Sillas"/>
        <s v="Equipo Medico"/>
        <s v="Construcción"/>
        <s v="Servilletas"/>
        <s v="Equipo Terapia"/>
        <s v="Mantenimiento Cubiertas"/>
        <s v="Chalecos"/>
        <s v="Moulage"/>
        <s v="Zapatos Seguridad"/>
        <s v="Materiales"/>
        <s v="Apoya Pies - Alzador Pies - Alza Monitor"/>
        <s v="Articulos Mantenimiento"/>
        <s v="Cámara - Micrófono"/>
        <s v="Cinta"/>
        <s v="Retiro"/>
        <s v="Balon-Pinza-Especulo"/>
        <s v="Insumos Rehabilitación"/>
        <s v="Tela - Alfombra"/>
        <s v="Cojines"/>
        <s v="Equipamiento no Medico"/>
        <s v="Contenedor"/>
        <s v="Presentador láser"/>
        <s v="Cortinas"/>
        <s v="Materiales de Mantenimiento Reparaciones"/>
        <s v="Basurero"/>
        <s v="Hacha"/>
        <s v="Luces, manguera, tapa"/>
        <s v="Lentes de Seguridad"/>
        <s v="Artículos Cocina"/>
        <s v="Caja Plastica"/>
        <s v="Artículos Jardín"/>
        <s v="Endoscopia"/>
        <s v="Mesa Pegable"/>
        <s v="Alfombras"/>
        <s v="Aire Acondicionado -Aspiradora - Congelador -Refrigerador - Televisor-Microondas"/>
        <s v="Sillas - Escritorios"/>
        <s v="Bodega Lata - Cocina a gas"/>
        <s v="Calentador-Parlante-Aparato Electronico -"/>
        <s v="Plancha"/>
        <s v="Espacio Radial"/>
        <s v="Escalera"/>
        <s v="Orilladora"/>
        <s v="FOCO - SECADOR"/>
        <s v="Impresora"/>
        <s v="Difusión Radial"/>
        <s v="Etiquetas"/>
        <s v="Insumos de Impresora"/>
        <s v="Material Promocional"/>
        <s v="Feria Salud"/>
        <s v="Viales VPH"/>
        <s v="Megafono"/>
        <s v="Mueble aéreo"/>
        <s v="Baterias"/>
        <s v="Cables y Sensores"/>
        <s v="Maleta - Cooler"/>
        <s v="Profesor Instructor"/>
        <s v="Agua Mineral"/>
        <s v="Articulos de Oficina"/>
        <s v="Equipos Computacionales"/>
        <s v="Articulos de Cocina"/>
        <s v="Focos"/>
        <s v="Kit de aseo"/>
        <s v="Quantiferon"/>
        <s v="Mantención equipos críticos"/>
        <s v="Pendrives"/>
        <s v="Porta Planos + Cinta Credencial"/>
        <s v="Pendones"/>
        <s v="Papelero"/>
        <s v="Tintas y Toner"/>
        <s v="Insumos Higiene Oral"/>
        <s v="Bateria"/>
        <s v="Convenio Oxigenoterapia"/>
        <s v="Insumos Odontologicos - Instrumentales"/>
        <s v="Licencia"/>
        <s v="Repisas"/>
        <s v="Artículos Computacionales"/>
        <s v="Termolaminadora"/>
        <s v="Insumos Odontologicos - Insumos Dentales"/>
        <s v="Libros"/>
        <s v="Oximetro"/>
        <s v="Material de Libreria"/>
        <s v="Neumaticos"/>
        <s v="Cuaderno"/>
        <s v="Cartucho color"/>
        <s v="Artículos de librería"/>
        <s v="Decoración y Premios"/>
        <s v="Disco Duros"/>
        <s v="Insumos de alimentación"/>
        <s v="Polera de trabajo"/>
        <s v="Bandanas"/>
        <s v="Servicio Relatoría"/>
        <s v="Tarjetas de Alimentación"/>
        <s v="Servicio de Cafetería"/>
        <s v="Artículos de Oficina"/>
        <s v="Pila"/>
        <s v="Caja plástica"/>
        <s v="Alojamiento"/>
        <s v="Artículos médicos y clínicos"/>
        <s v="Materiales de curación"/>
        <s v="Equipamiento médico"/>
        <s v="Linterna"/>
        <s v="Material de Curación"/>
        <s v="Diptico"/>
        <s v="Artículos de cocina"/>
        <s v="Útiles de aseo"/>
        <s v="Artículos de cocina textiles"/>
        <s v="Fósforos"/>
        <s v="Curso"/>
        <s v="Productos Alcohol"/>
        <s v="Toallas"/>
        <s v="Ecotomografia Abdominal"/>
        <s v="Ecotomografia Mamaria"/>
        <s v="Vasos desechables"/>
        <s v="Informes Radiografias Mamografias"/>
        <s v="Informes Radiografias Simple"/>
        <s v="Bolsa Regalos"/>
        <s v="Dosimetria"/>
        <s v="Convenio Movil"/>
        <s v="Insumos Dentales"/>
        <s v="Servicios de Impresion"/>
        <s v="Bodega Lata"/>
        <s v="Balanza"/>
        <s v="Riñones"/>
        <s v="Accesorios"/>
        <s v="Termohidrometro"/>
        <s v="Artículos de librería y oficina"/>
        <s v="Material didáctico y educativo"/>
        <s v="Alcohol gel"/>
        <s v="Bloqueador solar, cinta, guantes, spray, barretilla"/>
        <s v="Artículos de jardinería"/>
        <s v="Atornillador"/>
        <s v="Toma de presión digital"/>
        <s v="Toldos"/>
        <s v="Artículos de Ferretería"/>
        <s v="Esencias Aromaterapia"/>
        <s v="Material Ergoterapia"/>
        <s v="Aparatos Electrónicos"/>
        <s v="Artículos de ferretería, médicos y clínicos, equipamiento médico"/>
        <s v="Servidor"/>
        <s v="Disco Duro"/>
        <s v="Toldo Mesa"/>
        <s v="Tinta Botellas"/>
        <s v="Amplificación"/>
        <s v="Placa Regalos"/>
        <s v="Material de Aseo"/>
        <s v="Higiene"/>
        <s v="Insumos de Rehabilitación"/>
        <s v="Petróleo"/>
        <s v="Eventos y actividades"/>
        <s v="Capacitación"/>
        <s v="Contratación Monitores"/>
        <s v="Servicio Odontológico"/>
        <s v="Servicios Médicos"/>
        <s v="Cera"/>
        <s v="Guantes"/>
        <s v="Hidrolavadora"/>
        <s v="Materiales de Enseñanza"/>
        <s v="Servicio de Cafeteria"/>
        <s v="Marcos-Arreglo-Globo"/>
        <s v="SIllas - Sillones"/>
        <s v="Televisor-Aire-Aspiradora"/>
        <s v="Escritorio-Mobiliario-BodegaLata"/>
        <s v="Equipos Menores"/>
        <s v="Delantal de Cocina"/>
        <s v="Textiles y Acabados Textiles"/>
        <s v="Materiales para Mantenimiento y Reparaciones de Inmuebles"/>
        <s v="Adquisición de Mobiliario y Otros (Bases de camas)"/>
        <s v="Productos Elaborados de Cuero, Caucho y Plásticos"/>
        <s v="Otros (Artículos de Ferretería y Equipamiento diverso)"/>
        <s v="Calzado (Botas de goma)"/>
        <s v="Productos Agropecuarios y Forestales (Artículos de Jardinería)"/>
        <s v="Otros Materiales y Útiles de Aseo (Basureros)"/>
        <s v="Otros Materiales para Mantenimiento (Hacha, Rodillos)"/>
        <s v="Vestuario y Accesorios para el Personal (Overoles)"/>
      </sharedItems>
    </cacheField>
    <cacheField name="Tipo compra" numFmtId="0">
      <sharedItems containsSemiMixedTypes="0" containsString="0" containsNumber="1" containsInteger="1" minValue="1" maxValue="5"/>
    </cacheField>
    <cacheField name="Cantidad Productos" numFmtId="0">
      <sharedItems containsSemiMixedTypes="0" containsString="0" containsNumber="1" containsInteger="1" minValue="1" maxValue="250000"/>
    </cacheField>
    <cacheField name="Monto Unitario Ítem" numFmtId="42">
      <sharedItems containsSemiMixedTypes="0" containsString="0" containsNumber="1" containsInteger="1" minValue="13" maxValue="2783713888" count="483">
        <n v="90000000"/>
        <n v="20136000"/>
        <n v="130000000"/>
        <n v="80865750"/>
        <n v="156722240"/>
        <n v="45150000"/>
        <n v="300000000"/>
        <n v="794718407"/>
        <n v="1491521358"/>
        <n v="236000000"/>
        <n v="20000000"/>
        <n v="1810393810"/>
        <n v="2096280"/>
        <n v="1953705"/>
        <n v="12500000"/>
        <n v="32076748"/>
        <n v="39525850"/>
        <n v="56940000"/>
        <n v="416000"/>
        <n v="1438000"/>
        <n v="140000"/>
        <n v="903000"/>
        <n v="496400"/>
        <n v="464000"/>
        <n v="1630000"/>
        <n v="279000"/>
        <n v="916000"/>
        <n v="425600"/>
        <n v="4500"/>
        <n v="150000000"/>
        <n v="216000000"/>
        <n v="70000000"/>
        <n v="39500000"/>
        <n v="31500000"/>
        <n v="16500000"/>
        <n v="2750000"/>
        <n v="80000000"/>
        <n v="19000000"/>
        <n v="17500000"/>
        <n v="18000000"/>
        <n v="26000000"/>
        <n v="500000000"/>
        <n v="95481792"/>
        <n v="15143"/>
        <n v="53900"/>
        <n v="58280"/>
        <n v="268434000"/>
        <n v="207200000"/>
        <n v="22315"/>
        <n v="84050"/>
        <n v="12957500"/>
        <n v="23924290"/>
        <n v="288300"/>
        <n v="146000000"/>
        <n v="4687500"/>
        <n v="83594337"/>
        <n v="12740000"/>
        <n v="40000000"/>
        <n v="2000000"/>
        <n v="33600000"/>
        <n v="96100000"/>
        <n v="200400000"/>
        <n v="30000000"/>
        <n v="5777778"/>
        <n v="1000000"/>
        <n v="25000000"/>
        <n v="35000000"/>
        <n v="15000000"/>
        <n v="281600"/>
        <n v="28000000"/>
        <n v="24000000"/>
        <n v="3445000"/>
        <n v="500000"/>
        <n v="714286"/>
        <n v="17428572"/>
        <n v="41000"/>
        <n v="1250000"/>
        <n v="20000"/>
        <n v="660000"/>
        <n v="7695"/>
        <n v="100667"/>
        <n v="450"/>
        <n v="850000"/>
        <n v="250000"/>
        <n v="85000"/>
        <n v="19762925"/>
        <n v="13000"/>
        <n v="6250"/>
        <n v="1900"/>
        <n v="30000"/>
        <n v="39586574"/>
        <n v="6143"/>
        <n v="29722680"/>
        <n v="2929"/>
        <n v="642"/>
        <n v="1894"/>
        <n v="5320"/>
        <n v="4721"/>
        <n v="15000"/>
        <n v="70000"/>
        <n v="4441"/>
        <n v="8000"/>
        <n v="2615"/>
        <n v="2711"/>
        <n v="9000"/>
        <n v="26000"/>
        <n v="13334"/>
        <n v="17924"/>
        <n v="62000"/>
        <n v="1400"/>
        <n v="25000"/>
        <n v="1379"/>
        <n v="73915"/>
        <n v="1122"/>
        <n v="211"/>
        <n v="4380"/>
        <n v="2520"/>
        <n v="68"/>
        <n v="1729"/>
        <n v="13"/>
        <n v="37000000"/>
        <n v="4000"/>
        <n v="3494"/>
        <n v="62500"/>
        <n v="750000"/>
        <n v="13014"/>
        <n v="17334"/>
        <n v="9600"/>
        <n v="11875"/>
        <n v="5044"/>
        <n v="7334"/>
        <n v="600"/>
        <n v="75000"/>
        <n v="691"/>
        <n v="130000"/>
        <n v="5250"/>
        <n v="1181"/>
        <n v="3889"/>
        <n v="949"/>
        <n v="1500"/>
        <n v="50000"/>
        <n v="2091"/>
        <n v="3000000"/>
        <n v="18154"/>
        <n v="150000"/>
        <n v="132143"/>
        <n v="36667"/>
        <n v="100000"/>
        <n v="33226"/>
        <n v="40000"/>
        <n v="75000000"/>
        <n v="107000"/>
        <n v="466667"/>
        <n v="1500000"/>
        <n v="1000"/>
        <n v="300"/>
        <n v="60000"/>
        <n v="50"/>
        <n v="775"/>
        <n v="1320"/>
        <n v="790"/>
        <n v="6116"/>
        <n v="350000"/>
        <n v="2267"/>
        <n v="99"/>
        <n v="513"/>
        <n v="2230"/>
        <n v="11618"/>
        <n v="10875"/>
        <n v="157"/>
        <n v="12000"/>
        <n v="110000"/>
        <n v="771"/>
        <n v="1228"/>
        <n v="77778"/>
        <n v="583334"/>
        <n v="800000"/>
        <n v="3500000"/>
        <n v="133334"/>
        <n v="600000"/>
        <n v="4000000"/>
        <n v="5500000"/>
        <n v="7000"/>
        <n v="2600"/>
        <n v="69445"/>
        <n v="15625"/>
        <n v="18300000"/>
        <n v="21200000"/>
        <n v="9200000"/>
        <n v="6095"/>
        <n v="60000000"/>
        <n v="11000000"/>
        <n v="2595"/>
        <n v="7080"/>
        <n v="5100"/>
        <n v="4231"/>
        <n v="7500"/>
        <n v="5000"/>
        <n v="3000"/>
        <n v="21125"/>
        <n v="82"/>
        <n v="8334"/>
        <n v="2067"/>
        <n v="509"/>
        <n v="286"/>
        <n v="813715"/>
        <n v="1087"/>
        <n v="1072"/>
        <n v="2783713888"/>
        <n v="200000"/>
        <n v="170"/>
        <n v="26094"/>
        <n v="300000"/>
        <n v="233334"/>
        <n v="5594"/>
        <n v="11000"/>
        <n v="18000"/>
        <n v="500"/>
        <n v="1295"/>
        <n v="1112500"/>
        <n v="616667"/>
        <n v="6000000"/>
        <n v="89596"/>
        <n v="1350000"/>
        <n v="10152"/>
        <n v="10000"/>
        <n v="580665"/>
        <n v="46400"/>
        <n v="1917"/>
        <n v="156"/>
        <n v="571667"/>
        <n v="4830"/>
        <n v="1391"/>
        <n v="31750"/>
        <n v="45000"/>
        <n v="23966"/>
        <n v="450000"/>
        <n v="1400000"/>
        <n v="108183000"/>
        <n v="80000"/>
        <n v="130"/>
        <n v="53"/>
        <n v="2240"/>
        <n v="1313"/>
        <n v="990"/>
        <n v="530"/>
        <n v="120"/>
        <n v="266667"/>
        <n v="75964000"/>
        <n v="66699000"/>
        <n v="1680000000"/>
        <n v="250000000"/>
        <n v="55000000"/>
        <n v="701054"/>
        <n v="525000"/>
        <n v="10000000"/>
        <n v="200000000"/>
        <n v="86892000"/>
        <n v="42183000"/>
        <n v="9566000"/>
        <n v="7621000"/>
        <n v="97703000"/>
        <n v="196076000"/>
        <n v="44778000"/>
        <n v="57632000"/>
        <n v="103000000"/>
        <n v="704255000"/>
        <n v="874576000"/>
        <n v="1058222000"/>
        <n v="916961000"/>
        <n v="888441000"/>
        <n v="6442000"/>
        <n v="64156000"/>
        <n v="1904912000"/>
        <n v="12678000"/>
        <n v="5954000"/>
        <n v="630000"/>
        <n v="83334"/>
        <n v="40289000"/>
        <n v="316236000"/>
        <n v="2076"/>
        <n v="315219"/>
        <n v="420000"/>
        <n v="49990"/>
        <n v="14375"/>
        <n v="360000"/>
        <n v="18889"/>
        <n v="43366"/>
        <n v="106383"/>
        <n v="4762"/>
        <n v="220000"/>
        <n v="57693"/>
        <n v="991"/>
        <n v="30455"/>
        <n v="2400000"/>
        <n v="4227"/>
        <n v="37334"/>
        <n v="4167"/>
        <n v="12500"/>
        <n v="107275"/>
        <n v="16000"/>
        <n v="22449"/>
        <n v="9566"/>
        <n v="15600"/>
        <n v="400000"/>
        <n v="3070"/>
        <n v="8572"/>
        <n v="3671"/>
        <n v="14500000"/>
        <n v="120000"/>
        <n v="7000000"/>
        <n v="112500"/>
        <n v="345000"/>
        <n v="330000"/>
        <n v="357000"/>
        <n v="6000"/>
        <n v="375000"/>
        <n v="1666667"/>
        <n v="12733"/>
        <n v="1050"/>
        <n v="52734"/>
        <n v="53495"/>
        <n v="180000"/>
        <n v="16429"/>
        <n v="693334"/>
        <n v="28572"/>
        <n v="4600000"/>
        <n v="83816"/>
        <n v="2500000"/>
        <n v="807"/>
        <n v="1192"/>
        <n v="5731000"/>
        <n v="1042000"/>
        <n v="10223"/>
        <n v="2000"/>
        <n v="17693"/>
        <n v="112250"/>
        <n v="108696"/>
        <n v="3031"/>
        <n v="7315"/>
        <n v="55000"/>
        <n v="7119"/>
        <n v="296000000"/>
        <n v="900000"/>
        <n v="501"/>
        <n v="5000000"/>
        <n v="641"/>
        <n v="517242"/>
        <n v="65000"/>
        <n v="150100"/>
        <n v="824"/>
        <n v="70"/>
        <n v="5125"/>
        <n v="16250"/>
        <n v="34616"/>
        <n v="700"/>
        <n v="2778"/>
        <n v="400"/>
        <n v="200"/>
        <n v="1158"/>
        <n v="2578"/>
        <n v="1428000"/>
        <n v="625000"/>
        <n v="1576"/>
        <n v="3223"/>
        <n v="4530"/>
        <n v="60"/>
        <n v="964"/>
        <n v="7625"/>
        <n v="17000"/>
        <n v="12000000"/>
        <n v="88750"/>
        <n v="876984814"/>
        <n v="280246728"/>
        <n v="493463899"/>
        <n v="424384098"/>
        <n v="17500"/>
        <n v="1136"/>
        <n v="205"/>
        <n v="628"/>
        <n v="4250"/>
        <n v="3500"/>
        <n v="3221"/>
        <n v="65"/>
        <n v="3250000"/>
        <n v="839"/>
        <n v="2113"/>
        <n v="969"/>
        <n v="1250"/>
        <n v="10392"/>
        <n v="2492"/>
        <n v="160"/>
        <n v="3449"/>
        <n v="1107"/>
        <n v="4858"/>
        <n v="90000"/>
        <n v="900"/>
        <n v="6611"/>
        <n v="1805"/>
        <n v="1389"/>
        <n v="1700"/>
        <n v="3996070"/>
        <n v="850"/>
        <n v="459"/>
        <n v="175000"/>
        <n v="17397"/>
        <n v="231"/>
        <n v="100"/>
        <n v="1613"/>
        <n v="3334"/>
        <n v="2955"/>
        <n v="2046"/>
        <n v="5455"/>
        <n v="46667"/>
        <n v="1200"/>
        <n v="197770"/>
        <n v="930"/>
        <n v="1200000"/>
        <n v="1164"/>
        <n v="1195"/>
        <n v="3700"/>
        <n v="8150"/>
        <n v="41650"/>
        <n v="91667"/>
        <n v="11667"/>
        <n v="24000"/>
        <n v="717"/>
        <n v="1300"/>
        <n v="4100"/>
        <n v="8929"/>
        <n v="1442"/>
        <n v="35000"/>
        <n v="135"/>
        <n v="173"/>
        <n v="2919"/>
        <n v="1406"/>
        <n v="554"/>
        <n v="1278"/>
        <n v="7881"/>
        <n v="1914"/>
        <n v="35693"/>
        <n v="14571"/>
        <n v="41667"/>
        <n v="1975"/>
        <n v="983"/>
        <n v="71"/>
        <n v="465"/>
        <n v="210"/>
        <n v="10215"/>
        <n v="3850"/>
        <n v="2072"/>
        <n v="8750"/>
        <n v="6313"/>
        <n v="4900"/>
        <n v="6500"/>
        <n v="2678"/>
        <n v="6750"/>
        <n v="112"/>
        <n v="364000"/>
        <n v="73"/>
        <n v="461"/>
        <n v="1053"/>
        <n v="7947"/>
        <n v="375"/>
        <n v="1998"/>
        <n v="2500"/>
        <n v="61364"/>
        <n v="315000"/>
        <n v="294286"/>
        <n v="52223"/>
        <n v="52"/>
        <n v="580"/>
        <n v="75"/>
        <n v="227"/>
        <n v="11950"/>
        <n v="230"/>
        <n v="31112"/>
        <n v="3884"/>
        <n v="7651"/>
        <n v="15610"/>
        <n v="7237"/>
        <n v="3187"/>
        <n v="4584"/>
      </sharedItems>
    </cacheField>
    <cacheField name="Monto Total Ítem Año 2026" numFmtId="42">
      <sharedItems containsSemiMixedTypes="0" containsString="0" containsNumber="1" containsInteger="1" minValue="0" maxValue="1904912000" count="502">
        <n v="2500000"/>
        <n v="559333"/>
        <n v="559345"/>
        <n v="3611111"/>
        <n v="3369406"/>
        <n v="3369408"/>
        <n v="6530093"/>
        <n v="6530099"/>
        <n v="6530095"/>
        <n v="6530097"/>
        <n v="1505000"/>
        <n v="12500000"/>
        <n v="33113266"/>
        <n v="33113289"/>
        <n v="41414809"/>
        <n v="9833333"/>
        <n v="9833334"/>
        <n v="9833340"/>
        <n v="833333"/>
        <n v="833334"/>
        <n v="833340"/>
        <n v="75433075"/>
        <n v="75433085"/>
        <n v="9258570"/>
        <n v="5861115"/>
        <n v="520341"/>
        <n v="520333"/>
        <n v="530333"/>
        <n v="521333"/>
        <n v="520833"/>
        <n v="4009593"/>
        <n v="4009605"/>
        <n v="19762925"/>
        <n v="23725000"/>
        <n v="10400000"/>
        <n v="35950000"/>
        <n v="7000000"/>
        <n v="45150000"/>
        <n v="12410000"/>
        <n v="7733333"/>
        <n v="7733335"/>
        <n v="40750000"/>
        <n v="3487500"/>
        <n v="11450000"/>
        <n v="1773333"/>
        <n v="225000"/>
        <n v="6250000"/>
        <n v="12000000"/>
        <n v="5833333"/>
        <n v="5833337"/>
        <n v="3291667"/>
        <n v="2625000"/>
        <n v="7500000"/>
        <n v="916666"/>
        <n v="916678"/>
        <n v="2750000"/>
        <n v="6666300"/>
        <n v="6666700"/>
        <n v="1583333"/>
        <n v="1458333"/>
        <n v="1500000"/>
        <n v="2166667"/>
        <n v="41666666"/>
        <n v="41666674"/>
        <n v="7956816"/>
        <n v="4416666"/>
        <n v="6666666"/>
        <n v="291958"/>
        <n v="291962"/>
        <n v="242833"/>
        <n v="242837"/>
        <n v="7456500"/>
        <n v="17266666"/>
        <n v="20529800"/>
        <n v="32863550"/>
        <n v="7558541"/>
        <n v="7558549"/>
        <n v="1993690"/>
        <n v="1993700"/>
        <n v="2402500"/>
        <n v="6083333"/>
        <n v="4687500"/>
        <n v="6966194"/>
        <n v="6966203"/>
        <n v="849333"/>
        <n v="849338"/>
        <n v="3333333"/>
        <n v="3333337"/>
        <n v="6666674"/>
        <n v="2800000"/>
        <n v="8008333"/>
        <n v="8008337"/>
        <n v="8350000"/>
        <n v="5777778"/>
        <n v="40000000"/>
        <n v="1000000"/>
        <n v="2000000"/>
        <n v="25000000"/>
        <n v="35000000"/>
        <n v="15000000"/>
        <n v="20000000"/>
        <n v="18000000"/>
        <n v="56320000"/>
        <n v="28000000"/>
        <n v="96000000"/>
        <n v="24115000"/>
        <n v="3500000"/>
        <n v="5000002"/>
        <n v="122000004"/>
        <n v="30000000"/>
        <n v="410000"/>
        <n v="1250000"/>
        <n v="300000"/>
        <n v="1320000"/>
        <n v="2000700"/>
        <n v="1510005"/>
        <n v="22500"/>
        <n v="850000"/>
        <n v="540000"/>
        <n v="135000"/>
        <n v="405000"/>
        <n v="450000"/>
        <n v="630000"/>
        <n v="64787500"/>
        <n v="16469109"/>
        <n v="19936910"/>
        <n v="260000"/>
        <n v="675000"/>
        <n v="625000"/>
        <n v="190000"/>
        <n v="150000"/>
        <n v="49483210"/>
        <n v="430010"/>
        <n v="247689000"/>
        <n v="990002"/>
        <n v="1352694"/>
        <n v="2272800"/>
        <n v="500080"/>
        <n v="1468231"/>
        <n v="350000"/>
        <n v="1287890"/>
        <n v="800000"/>
        <n v="180435"/>
        <n v="24399"/>
        <n v="27000"/>
        <n v="52000"/>
        <n v="240012"/>
        <n v="699036"/>
        <n v="124000"/>
        <n v="70000"/>
        <n v="25000"/>
        <n v="8000"/>
        <n v="118594"/>
        <n v="147830"/>
        <n v="921162"/>
        <n v="86299"/>
        <n v="464280"/>
        <n v="25200"/>
        <n v="13600"/>
        <n v="72618"/>
        <n v="13052"/>
        <n v="37000000"/>
        <n v="400000"/>
        <n v="1450010"/>
        <n v="250000"/>
        <n v="1900044"/>
        <n v="104004"/>
        <n v="144000"/>
        <n v="116012"/>
        <n v="176016"/>
        <n v="1071050"/>
        <n v="130000"/>
        <n v="105000"/>
        <n v="45000"/>
        <n v="37792"/>
        <n v="35001"/>
        <n v="74022"/>
        <n v="500000"/>
        <n v="15000"/>
        <n v="370107"/>
        <n v="3000000"/>
        <n v="472004"/>
        <n v="600000"/>
        <n v="3700004"/>
        <n v="2200020"/>
        <n v="200000"/>
        <n v="1030006"/>
        <n v="900000"/>
        <n v="31250000"/>
        <n v="107000"/>
        <n v="1400001"/>
        <n v="45000000"/>
        <n v="120000"/>
        <n v="10000"/>
        <n v="85250"/>
        <n v="40920"/>
        <n v="23700"/>
        <n v="159016"/>
        <n v="23333328"/>
        <n v="700000"/>
        <n v="392191"/>
        <n v="39600"/>
        <n v="681264"/>
        <n v="1672500"/>
        <n v="8155836"/>
        <n v="2175000"/>
        <n v="509936"/>
        <n v="48000"/>
        <n v="220000"/>
        <n v="185040"/>
        <n v="270160"/>
        <n v="700002"/>
        <n v="7000008"/>
        <n v="800004"/>
        <n v="4000000"/>
        <n v="5500000"/>
        <n v="60000"/>
        <n v="17500000"/>
        <n v="1820000"/>
        <n v="1200000"/>
        <n v="2500020"/>
        <n v="0"/>
        <n v="21200000"/>
        <n v="9200000"/>
        <n v="816730"/>
        <n v="60000000"/>
        <n v="11000000"/>
        <n v="176460"/>
        <n v="35400"/>
        <n v="20400"/>
        <n v="110006"/>
        <n v="50000"/>
        <n v="169000"/>
        <n v="100000"/>
        <n v="352600"/>
        <n v="50004"/>
        <n v="624234"/>
        <n v="123178"/>
        <n v="60060"/>
        <n v="5696005"/>
        <n v="150006"/>
        <n v="75040"/>
        <n v="371161848"/>
        <n v="1700000"/>
        <n v="1670016"/>
        <n v="3500010"/>
        <n v="89504"/>
        <n v="110000"/>
        <n v="270000"/>
        <n v="352240"/>
        <n v="4450000"/>
        <n v="3700002"/>
        <n v="6000000"/>
        <n v="1350000"/>
        <n v="994896"/>
        <n v="580665"/>
        <n v="696000"/>
        <n v="2885085"/>
        <n v="47268"/>
        <n v="750000"/>
        <n v="3430002"/>
        <n v="198030"/>
        <n v="126581"/>
        <n v="127000"/>
        <n v="695014"/>
        <n v="20000"/>
        <n v="30000"/>
        <n v="1400000"/>
        <n v="108183000"/>
        <n v="160000"/>
        <n v="390000"/>
        <n v="90100"/>
        <n v="280000"/>
        <n v="245531"/>
        <n v="15600"/>
        <n v="16000"/>
        <n v="198000"/>
        <n v="106000"/>
        <n v="164000"/>
        <n v="75000"/>
        <n v="4000005"/>
        <n v="75964000"/>
        <n v="66699000"/>
        <n v="1680000000"/>
        <n v="80000000"/>
        <n v="250000000"/>
        <n v="55000000"/>
        <n v="90000000"/>
        <n v="9814756"/>
        <n v="525000"/>
        <n v="10000000"/>
        <n v="200000000"/>
        <n v="86892000"/>
        <n v="42183000"/>
        <n v="9566000"/>
        <n v="7621000"/>
        <n v="97703000"/>
        <n v="196076000"/>
        <n v="44778000"/>
        <n v="57632000"/>
        <n v="103000000"/>
        <n v="704255000"/>
        <n v="874576000"/>
        <n v="1058222000"/>
        <n v="916961000"/>
        <n v="888441000"/>
        <n v="6442000"/>
        <n v="64156000"/>
        <n v="1904912000"/>
        <n v="12678000"/>
        <n v="5954000"/>
        <n v="500004"/>
        <n v="40289000"/>
        <n v="316236000"/>
        <n v="153624"/>
        <n v="17000"/>
        <n v="3000"/>
        <n v="80000"/>
        <n v="35304528"/>
        <n v="420000"/>
        <n v="299940"/>
        <n v="230000"/>
        <n v="720000"/>
        <n v="170001"/>
        <n v="8196174"/>
        <n v="5000001"/>
        <n v="300006"/>
        <n v="1500018"/>
        <n v="218020"/>
        <n v="335005"/>
        <n v="2400000"/>
        <n v="76086"/>
        <n v="224004"/>
        <n v="960000"/>
        <n v="650000"/>
        <n v="3861900"/>
        <n v="1100001"/>
        <n v="1100090"/>
        <n v="746010"/>
        <n v="96000"/>
        <n v="480032"/>
        <n v="334061"/>
        <n v="14500000"/>
        <n v="2760000"/>
        <n v="2310000"/>
        <n v="240000"/>
        <n v="1428000"/>
        <n v="360000"/>
        <n v="50932000"/>
        <n v="780000"/>
        <n v="63000"/>
        <n v="3164040"/>
        <n v="2353780"/>
        <n v="115003"/>
        <n v="4160004"/>
        <n v="200004"/>
        <n v="4600000"/>
        <n v="6370016"/>
        <n v="40002"/>
        <n v="25017"/>
        <n v="367136"/>
        <n v="5731000"/>
        <n v="1042000"/>
        <n v="1302600"/>
        <n v="184014"/>
        <n v="18000"/>
        <n v="230009"/>
        <n v="1796000"/>
        <n v="2500008"/>
        <n v="500115"/>
        <n v="4059825"/>
        <n v="550000"/>
        <n v="783090"/>
        <n v="726450"/>
        <n v="5000000"/>
        <n v="316013"/>
        <n v="15000018"/>
        <n v="150100"/>
        <n v="84048"/>
        <n v="14000"/>
        <n v="20500"/>
        <n v="65000"/>
        <n v="450008"/>
        <n v="2000160"/>
        <n v="7200000"/>
        <n v="440040"/>
        <n v="2578000"/>
        <n v="9000000"/>
        <n v="271072"/>
        <n v="58014"/>
        <n v="385050"/>
        <n v="121800"/>
        <n v="132068"/>
        <n v="305000"/>
        <n v="68000"/>
        <n v="3550000"/>
        <n v="876984814"/>
        <n v="280246728"/>
        <n v="493463899"/>
        <n v="424384098"/>
        <n v="35000"/>
        <n v="180000"/>
        <n v="5255136"/>
        <n v="493230"/>
        <n v="768672"/>
        <n v="170000"/>
        <n v="380078"/>
        <n v="131430"/>
        <n v="195000000"/>
        <n v="1800000"/>
        <n v="5400000"/>
        <n v="738320"/>
        <n v="169040"/>
        <n v="3100800"/>
        <n v="239016"/>
        <n v="1074052"/>
        <n v="480320"/>
        <n v="10002100"/>
        <n v="809217"/>
        <n v="340060"/>
        <n v="3960000"/>
        <n v="40000"/>
        <n v="112387"/>
        <n v="43320"/>
        <n v="25002"/>
        <n v="1700"/>
        <n v="15984280"/>
        <n v="350200"/>
        <n v="550800"/>
        <n v="15135390"/>
        <n v="158235"/>
        <n v="4000"/>
        <n v="729076"/>
        <n v="40008000"/>
        <n v="65010"/>
        <n v="45012"/>
        <n v="120010"/>
        <n v="700005"/>
        <n v="395540"/>
        <n v="930000"/>
        <n v="1164000"/>
        <n v="1195000"/>
        <n v="1850000"/>
        <n v="815000"/>
        <n v="833000"/>
        <n v="550002"/>
        <n v="280008"/>
        <n v="684735"/>
        <n v="204100"/>
        <n v="123000"/>
        <n v="500024"/>
        <n v="175014"/>
        <n v="490280"/>
        <n v="2280150"/>
        <n v="193760"/>
        <n v="350280"/>
        <n v="506160"/>
        <n v="343480"/>
        <n v="230040"/>
        <n v="2364300"/>
        <n v="220110"/>
        <n v="464009"/>
        <n v="1559097"/>
        <n v="1975000"/>
        <n v="442000"/>
        <n v="501330"/>
        <n v="49700"/>
        <n v="186000"/>
        <n v="679980"/>
        <n v="715050"/>
        <n v="308000"/>
        <n v="145040"/>
        <n v="385000"/>
        <n v="1010080"/>
        <n v="490000"/>
        <n v="156000"/>
        <n v="166036"/>
        <n v="73472"/>
        <n v="364000"/>
        <n v="157680"/>
        <n v="647705"/>
        <n v="845559"/>
        <n v="4498002"/>
        <n v="438750"/>
        <n v="791208"/>
        <n v="2700016"/>
        <n v="1260000"/>
        <n v="2060002"/>
        <n v="470007"/>
        <n v="275496"/>
        <n v="781840"/>
        <n v="165750"/>
        <n v="579758"/>
        <n v="239000"/>
        <n v="57500000"/>
        <n v="2563440"/>
        <n v="4093285"/>
        <n v="1201970"/>
        <n v="948047"/>
        <n v="549000"/>
        <n v="290017"/>
        <n v="55008"/>
      </sharedItems>
    </cacheField>
    <cacheField name="Cantidad OC" numFmtId="0">
      <sharedItems containsSemiMixedTypes="0" containsString="0" containsNumber="1" containsInteger="1" minValue="1" maxValue="36" count="16">
        <n v="36"/>
        <n v="24"/>
        <n v="30"/>
        <n v="32"/>
        <n v="1"/>
        <n v="18"/>
        <n v="7"/>
        <n v="4"/>
        <n v="2"/>
        <n v="6"/>
        <n v="8"/>
        <n v="12"/>
        <n v="16"/>
        <n v="15"/>
        <n v="10"/>
        <n v="3"/>
      </sharedItems>
    </cacheField>
    <cacheField name="Meses envío OC" numFmtId="0">
      <sharedItems containsDate="1" containsMixedTypes="1" minDate="2026-01-01T00:00:00" maxDate="2026-12-02T00:00:00" count="50" longText="1">
        <s v="01-01-2024,01-02-2024,01-03-2024,01-04-2024,01-05-2024,01-06-2024,01-07-2024,01-08-2024,01-09-2024,01-10-2024,01-11-2024,01-12-2024,01-01-2025,01-02-2025,01-03-2025,01-04-2025,01-05-2025,01-06-2025,01-07-2025,01-08-2025,01-09-2025,01-10-2025,01-11-2025,01-12-2025,01-01-2026,01-02-2026,01-03-2026,01-04-2026,01-05-2026,01-06-2026,01-07-2026,01-08-2026,01-09-2026,01-10-2026,01-11-2026,01-12-2026"/>
        <s v="01-06-2024,01-07-2024,01-08-2024,01-09-2024,01-10-2024,01-11-2024,01-12-2024,01-01-2025,01-02-2025,01-03-2025,01-04-2025,01-05-2025,01-06-2025,01-07-2025,01-08-2025,01-09-2025,01-10-2025,01-11-2025,01-12-2025,01-01-2026,01-02-2026,01-03-2026,01-04-2026,01-05-2026,01-06-2026,01-07-2026,01-08-2026,01-09-2026,01-10-2026,01-11-2026,01-12-2026,01-01-2027,01-02-2027,01-03-2027,01-04-2027,01-05-2024"/>
        <s v="01-01-2025,01-02-2025,01-03-2025,01-04-2025,01-05-2025,01-06-2025,01-07-2025,01-08-2025,01-09-2025,01-10-2025,01-11-2025,01-12-2025,01-01-2026,01-02-2026,01-03-2026,01-04-2026,01-05-2026,01-06-2026,01-07-2026,01-08-2026,01-09-2026,01-10-2026,01-11-2026,01-12-2026"/>
        <s v="01-01-2025,01-02-2025,01-03-2025,01-04-2025,01-05-2025,01-06-2025,01-07-2025,01-08-2025,01-09-2025,01-10-2025,01-11-2025,01-12-2025,01-01-2026,01-02-2026,01-03-2026,01-04-2026,01-05-2026,01-06-2026,01-07-2026,01-08-2026,01-09-2026,01-10-2026,01-11-2026,01-12-2026,01-01-2027,01-02-2027,01-03-2027,01-04-2027,01-05-2027,01-06-2027"/>
        <s v="01-01-2026,01-02-2026,01-03-2026,01-04-2026,01-05-2026,01-06-2026,01-07-2026,01-08-2026,01-09-2026,01-10-2026,01-11-2026,01-12-2026,01-01-2027,01-02-2027,01-03-2027,01-04-2027,01-05-2027,01-06-2027,01-07-2027,01-08-2027,01-09-2027,01-10-2027,01-11-2027,01-12-2027,01-01-2028,01-02-2028,01-03-2028,01-04-2028,01-05-2028,01-06-2028,01-07-2028,01-08-2028"/>
        <s v="01-07-2025,01-08-2025,01-09-2025,01-10-2025,01-11-2025,01-12-2025,01-01-2026,01-02-2026,01-03-2026,01-04-2026,01-05-2026,01-06-2026,01-07-2026,01-08-2026,01-09-2026,01-10-2026,01-11-2026,01-12-2026"/>
        <s v="01-06-2026,01-12-2026,01-06-2027,01-12-2027"/>
        <s v="01-03-2026,01-12-2026,01-03-2027,01-12-2027"/>
        <s v="01-10-2026,01-10-2027"/>
        <s v="01-07-2026,01-07-2027"/>
        <s v="01-03-2026,01-09-2026,01-03-2027,01-09-2027"/>
        <s v="01-06-2026,01-11-2026,01-12-2026,01-06-2027,01-11-2027,01-12-2027"/>
        <s v="01-04-2027,01-05-2027,01-08-2027,01-10-2027,01-04-2026,01-05-2026,01-08-2026,01-10-2026"/>
        <s v="01-02-2026,01-05-2026,01-08-2026,01-11-2026,01-02-2027,01-05-2027,01-08-2027,01-11-2027"/>
        <s v="01-01-2026,01-02-2026,01-03-2026,01-04-2026,01-05-2026,01-06-2026,01-07-2026,01-08-2026,01-09-2026,01-10-2026,01-11-2026,01-12-2026,01-01-2027,01-02-2027,01-03-2027,01-04-2027,01-05-2027,01-06-2027,01-07-2027,01-08-2027,01-09-2027,01-10-2027,01-11-2027,01-12-2027"/>
        <s v="01-03-2026,01-03-2027"/>
        <s v="01-05-2025,01-06-2025,01-07-2025,01-08-2025,01-09-2025,01-10-2025,01-11-2025,01-12-2025,01-01-2026,01-02-2026,01-03-2026,01-04-2026,01-05-2026,01-06-2026,01-07-2026,01-08-2026,01-09-2026,01-10-2026,01-11-2026,01-12-2026,01-01-2027,01-02-2027,01-03-2027,01-04-2027"/>
        <s v="01-08-2025,01-09-2025,01-10-2025,01-11-2025,01-12-2025,01-01-2026,01-02-2026,01-03-2026,01-04-2026,01-05-2026,01-06-2026,01-07-2026"/>
        <s v="01-02-2026,01-03-2026,01-04-2026,01-05-2026,01-06-2026,01-07-2026,01-08-2026,01-09-2026,01-10-2026,01-11-2026,01-12-2026,01-01-2027"/>
        <s v="01-02-2026,01-03-2026,01-04-2026,01-05-2026,01-06-2026,01-07-2026,01-08-2026,01-09-2026,01-10-2026,01-11-2026,01-12-2026,01-01-2026"/>
        <s v="01-01-2026,01-02-2026,01-03-2026,01-04-2026,01-05-2026,01-06-2026,01-07-2026,01-08-2026,01-09-2026,01-10-2026,01-11-2026,01-12-2026"/>
        <s v="01-11-2025,01-12-2025,01-01-2026,01-02-2026,01-03-2026,01-04-2026,01-05-2026,01-06-2026,01-07-2026,01-08-2026,01-09-2026,01-10-2026,01-11-2026,01-12-2026,01-01-2027,01-02-2027,01-03-2027,01-04-2027,01-05-2027,01-06-2027,01-07-2027,01-08-2027,01-09-2027,01-10-2027,01-11-2027,01-12-2027,01-01-2028,01-02-2028,01-03-2028,01-04-2028,01-05-2028,01-06-2028"/>
        <s v="01-09-2025,01-10-2025,01-11-2025,01-12-2025,01-01-2026,01-02-2026,01-03-2026,01-04-2026,01-05-2026,01-06-2026,01-07-2026,01-08-2026,01-09-2026,01-10-2026,01-11-2026,01-12-2026"/>
        <s v="01-10-2025,01-11-2025,01-12-2025,01-01-2026,01-02-2026,01-03-2026,01-04-2026,01-05-2026,01-06-2026,01-07-2026,01-08-2026,01-09-2026,01-10-2026,01-11-2026,01-12-2026"/>
        <d v="2026-04-01T00:00:00"/>
        <d v="2026-06-01T00:00:00"/>
        <d v="2026-09-01T00:00:00"/>
        <d v="2026-10-01T00:00:00"/>
        <d v="2026-11-01T00:00:00"/>
        <d v="2026-12-01T00:00:00"/>
        <s v="01-03-2026,01-04-2026,01-05-2026,01-06-2026,01-07-2026,01-08-2026,01-09-2026,01-10-2026,01-11-2026,01-12-2026"/>
        <d v="2026-05-01T00:00:00"/>
        <d v="2026-03-01T00:00:00"/>
        <d v="2026-07-01T00:00:00"/>
        <s v="01-07-2026,01-09-2026,01-12-2026"/>
        <d v="2026-01-01T00:00:00"/>
        <d v="2026-08-01T00:00:00"/>
        <s v="01-03-2026,01-04-2026,01-05-2026,01-06-2026,01-07-2026,01-08-2026,01-09-2026,01-10-2026,01-11-2026,01-12-2026,01-01-2027,01-02-2027"/>
        <d v="2026-02-01T00:00:00"/>
        <s v="01-03-2026,01-04-2026,01-05-2026,01-06-2026,01-07-2026,01-08-2026,01-09-2026,01-10-2026,01-11-2026,01-12-2026,01-01-2027,01-02-2027,01-03-2027,01-04-2027,01-05-2027,01-06-2027,01-07-2027,01-08-2027,01-09-2027,01-10-2027,01-11-2027,01-12-2027,01-01-2028,01-02-2028"/>
        <s v="01-08-2026,01-09-2026,01-10-2026,01-11-2026,01-12-2026,01-01-2027,01-02-2027,01-03-2027,01-04-2027,01-05-2027,01-06-2027,01-07-2027"/>
        <s v="01-05-2026,01-06-2026,01-07-2026,01-08-2026,01-09-2026,01-10-2026,01-11-2026,01-12-2026,01-01-2027,01-02-2027,01-03-2027,01-04-2027"/>
        <s v="01-03-2026,01-05-2026,01-07-2026,01-09-2026"/>
        <s v="01-01-2027,01-02-2027,01-03-2027,01-04-2027,01-05-2027,01-06-2027,01-07-2027,01-08-2027,01-09-2027,01-10-2027,01-11-2027,01-12-2027"/>
        <s v="01-05-2026,01-06-2026,01-07-2026,01-08-2026,01-09-2026,01-10-2026,01-11-2026,01-12-2026,01-01-2027,01-02-2027,01-03-2027,01-04-2027,01-05-2027,01-06-2027,01-07-2027,01-08-2027,01-09-2027,01-10-2027,01-11-2027,01-12-2027,01-01-2028,01-02-2028,01-03-2028,01-04-2028,01-05-2028,01-06-2028,01-07-2028,01-08-2028,01-09-2028,01-10-2028,01-11-2028,01-12-2028"/>
        <s v="01-03-2026,01-06-2026,01-09-2026"/>
        <s v="01-03-2026,01-06-2026,01-09-2026,01-12-2026"/>
        <s v="01-01-2027,01-02-2027,01-03-2027,01-04-2027,01-05-2027,01-06-2027,01-07-2027,01-08-2027,01-09-2027,01-10-2027,01-11-2027,01-12-2027,01-01-2028,01-02-2028,01-03-2028,01-04-2028,01-05-2028,01-06-2028,01-07-2028,01-08-2028,01-09-2028,01-10-2028,01-11-2028,01-12-2028"/>
        <s v="01-04-2026,01-05-2026"/>
        <s v="01-06-2026,01-08-2026,01-09-2026,01-12-2026"/>
      </sharedItems>
    </cacheField>
    <cacheField name="Nombre responsable" numFmtId="0">
      <sharedItems count="107">
        <s v="Bruno Ojeda Alvarez"/>
        <s v="Felipe Salvo Barriga"/>
        <s v="CATALINA VERA"/>
        <s v="Antonia Caifil"/>
        <s v="KARIN SCHOLZ"/>
        <s v="Felipe Salvo"/>
        <s v="JORGE OYARZUN SILVA"/>
        <s v="Mario Aburto Foitzich"/>
        <s v="CATALINA VERA CASTRO"/>
        <s v="Lorena Torres Castillo"/>
        <s v="Alvaro Montecinos"/>
        <s v="ESTEBAN ALARCON BOHLE"/>
        <s v="Angelo Palma"/>
        <s v="Khris Silva Vargas"/>
        <s v="ELEUTERIO ROMAN"/>
        <s v="Sofia Reyes"/>
        <s v="Luis Flores Merino"/>
        <s v="SOFIA REYES ALARCON"/>
        <s v="Sandra Espinoza"/>
        <s v="Maria Ines Asenjo Soto"/>
        <s v="Yuvit García-Chacur"/>
        <s v="Pedro Fritz Cardeans"/>
        <s v="Camila Roa"/>
        <s v="Ximena Campos Gueicha"/>
        <s v="Consuelo Cordova"/>
        <s v="Carlos López"/>
        <s v="Javiera Gajardo"/>
        <s v="Claudia Muñoz"/>
        <s v="Antonia Caifil Martínez"/>
        <s v="Camila Alvarez Velasquez"/>
        <s v="Cecilia Garay L"/>
        <s v="Daniela Jara Cerda"/>
        <s v="Raul Nuñez Vega"/>
        <s v="Garibe Gallardo Trujillo"/>
        <s v="María Teresa Jaramillo Vergara"/>
        <s v="Pablo Oyarzo"/>
        <s v="Claudia Centeno"/>
        <s v="Karin Avila"/>
        <s v="Chessarina Tuchie Fischer"/>
        <s v="Mario Barrientos"/>
        <s v="Silvia Delgado"/>
        <s v="Camilo Martínez"/>
        <s v="Pedro Huito"/>
        <s v="Carolina Silva"/>
        <s v="Pedro Fritz"/>
        <s v="Daniela Barria"/>
        <s v="Yanet Gutierrez"/>
        <s v="Marcia Delarze"/>
        <s v="Jocelyne Prieto"/>
        <s v="Daniela Soto"/>
        <s v="Lhya Kortmann"/>
        <s v="Camila Alvarez"/>
        <s v="Fernando Roman"/>
        <s v="Daniela Cancino"/>
        <s v="Kassandra Fernandez"/>
        <s v="Venecia Recabarren"/>
        <s v="Pilar Mora"/>
        <s v="Raul Rojas"/>
        <s v="Leonor Araneda"/>
        <s v="Estrella Azocar"/>
        <s v="Khris Silva"/>
        <s v="Felipe Barriga"/>
        <s v="Gustavo Marin"/>
        <s v="Luis Flores"/>
        <s v="Gustavo Aravena"/>
        <s v="Karen Silva"/>
        <s v="Maria Elena Muñoz"/>
        <s v="Sandra Cardenas"/>
        <s v="Javier Donoso"/>
        <s v="Rodrigo Neira"/>
        <s v="Fernando Wulf"/>
        <s v="Garibe Gallardo"/>
        <s v="Diego Saldivia"/>
        <s v="Francisca Contreras"/>
        <s v="Guissela Franco"/>
        <s v="Esteban Alarcon"/>
        <s v="Carlos Lopez Gutierrez"/>
        <s v="Omar Contreras"/>
        <s v="Carolina Lagos"/>
        <s v="Yuvit Garcia-Chacur"/>
        <s v="Franco Fuentes"/>
        <s v="Ximena Campos"/>
        <s v="Carolina Silva Carolina Silva"/>
        <s v="Maria Paz Gomez"/>
        <s v="Marta Borquez"/>
        <s v="Gonzalo Schulz"/>
        <s v="Mario Aburto"/>
        <s v="Munirih Soto"/>
        <s v="Luis Alfonso Oyarzun"/>
        <s v="Alejandro Nuñez"/>
        <s v="Pablo Miranda"/>
        <s v="Constanza García"/>
        <s v="Maria Teresa Jaramillo"/>
        <s v="Esteban Oyarzo"/>
        <s v="Ignacio Sotomayor"/>
        <s v="Cristina Collinao"/>
        <s v="Claudia Vera"/>
        <s v="Angela Montesinos"/>
        <s v="Carlos Utreras"/>
        <s v="Barbara Mendez"/>
        <s v="Marco Gonzalez"/>
        <s v="NMaria Paz Gomez"/>
        <s v="Estrella Azócar"/>
        <s v="Daniel Pereira"/>
        <s v="Ana María Diaz"/>
        <s v="Sandra Rodriguez"/>
        <s v="Waleska Monsalvez"/>
      </sharedItems>
    </cacheField>
    <cacheField name="Cargo responsable" numFmtId="0">
      <sharedItems count="108">
        <s v="Jefe Depto. Tecnologías de la Información"/>
        <s v="Jefe Depto."/>
        <s v="Enc. Sección Mant. de Vehículos"/>
        <s v="COORDINADORA EMERGENCIA"/>
        <s v="Jefa Subdepto. Gestión Clinica y Adm."/>
        <s v="Jefa Subdepto. Gestión Clínica y Adm."/>
        <s v="Jefatura Dpto. de Calidad de Vida"/>
        <s v="Encargado Mantenimineto"/>
        <s v="JEFA DE DEPTO DE CALIDAD DE VIDA"/>
        <s v="REFERENTE TARJETA ALIMENTACION"/>
        <s v="Encargado Gestión Salud Respiratoria"/>
        <s v="Encargada (S) Sección Administración de Contratos"/>
        <s v="Jefe (S) Subdepto. Soporte TIC"/>
        <s v="TECNICO RADIOCOMUNICACIONES"/>
        <s v="Jefe (s) Subdepto. Gestión Clínica y Administrativa Red Temática de Salud Mental de Especialidad"/>
        <s v="Jefa Subdepto. Mantención de Equipos Médicos e Industriales"/>
        <s v="JEFE SUBDEPTO FARMACIA"/>
        <s v="ENCARGADA (S) SECCIÓN DE ADMINISTRACIÓN DE CONTRATOS"/>
        <s v="Encargada"/>
        <s v="Coordinador"/>
        <s v="COMPRADOR"/>
        <s v="PAC Pasajes DSSO 2025-2026"/>
        <s v="DIRECTORA"/>
        <s v="Jefa Subdepto Abastecimiento"/>
        <s v="DIRECTOR COSAM"/>
        <s v="Coordinadora UID NEWEN"/>
        <s v="jefa subdepto gestión de programas en curso de vida"/>
        <s v="INGENIERO AMBIENTAL"/>
        <s v="Encargada Programas"/>
        <s v="Jefe Depto. Tecnologías de la Información y Comunicaiciones"/>
        <s v="Encargada Cuidados Infantiles y Conciliación"/>
        <s v="Jefa Subdepto. Gestión Clínica y Adm. Red Temática de Salud Mental de Especialidad"/>
        <s v="KINESIÓLOGA ENCARGADA PROGRAMA AYUDAS TÉCNICAS"/>
        <s v="Coordinador Unidad de Gestión de Procesos Clínicos de Atención de Especialidad Ambulatoria, Cerrada"/>
        <s v="Encargado Bodega General"/>
        <s v="JEFE SAMU OSORNO"/>
        <s v="PROFESIONAL"/>
        <s v="Encargada Alivio del Dolor y Cuidados Paliativos Universales"/>
        <s v="Encargado (S) Administracion Interna"/>
        <s v="Encargado Seccion"/>
        <s v="Encargado Sección Mantenimiento de Vehículos"/>
        <s v="Cajera"/>
        <s v="Referente Rehabilitación Integral"/>
        <s v="Encargada Programa Fofar"/>
        <s v="Jefe Subdepto. Diseño De Infraestructura De Salud"/>
        <s v="Encargada Proceso De Urgencia"/>
        <s v="Director(S)"/>
        <s v="Apoyo Salud Intercultural"/>
        <s v="Encargada De Compras"/>
        <s v="Encargada Trato Usuario"/>
        <s v="Secretaria"/>
        <s v="Encargada Apoyo Diagnóstico Laboratorio"/>
        <s v="Kinesióloga"/>
        <s v="Jefa Seccion Gestion Y Desarrollo Ley Medica"/>
        <s v="Enfermera"/>
        <s v="Kinesióloga Encargada Programa Atencion Domiciliaria Para Personas Con Dependencia Severa"/>
        <s v="Jefe Subdepartamento Farmacia"/>
        <s v="Nutricionista"/>
        <s v="Director"/>
        <s v="Trabajadora Social"/>
        <s v="Encargado (S) Administración Interna"/>
        <s v="Jefatura Unidad Prev. Riesgos"/>
        <s v="Encargada Saludablemente Funcionarios"/>
        <s v="Itos"/>
        <s v="Directora Técnica Droguería"/>
        <s v="Enc. Chcc"/>
        <s v="Kinesiólogo"/>
        <s v="Coordinadora"/>
        <s v="Jefe Depto. Desarrollo Organizacional"/>
        <s v="Jefa (S) Sub. Dpto. De Inversiones De Equipos Y Equipamiento"/>
        <s v="Jefa Subdepartamento Estudios De Preinversión"/>
        <s v="Jefe (S) Subdepartamento De Pre Inversion"/>
        <s v="Ito"/>
        <s v="Fos (S)"/>
        <s v="Referente"/>
        <s v="Matrona"/>
        <s v="Jefa Unidad Reclutamiento Y Seleccion"/>
        <s v="Jefe Subdetpo. Apoyo Diagnóstico Y Terapéutico"/>
        <s v="Referente De Programa Nacional De Inmunizaciones"/>
        <s v="Encargado De Gestión De Lista De Espera Y Programa Nacional De Cáncer"/>
        <s v="Coordinadora Unidad De Memoria"/>
        <s v="Referente Programa De Tuberculosis"/>
        <s v="Encargada Unidad De Cuidados Infantiles Y Conciliación"/>
        <s v="Jefe Sub Departamento Programa Curso De Vida"/>
        <s v="Odontologo"/>
        <s v="Jefatura Depto"/>
        <s v="Cirujano Dentista"/>
        <s v="Encargado Gestión De Sistemas"/>
        <s v="Encargado De Inventario"/>
        <s v="Psicóloga Safu"/>
        <s v="Encargado Programa Prevención Cáncer Pulmonar"/>
        <s v="Jefa Subdepto. Gestión De Programas"/>
        <s v="Asistente Ejecutivo"/>
        <s v="Psicologo"/>
        <s v="Sub. Dpto. Transparencia, Gestion Documental Y Lobby"/>
        <s v="Encargada Control De Gestion De Compras Y De Presupuesto"/>
        <s v="Coordinador (S)"/>
        <s v="Director COSAM Oriente"/>
        <s v="Referente Estrategia De Cuidados Integrales Centrados En Las Personas - Ecicep"/>
        <s v="Enc. Apoyo Diagnóstico En Imagenología"/>
        <s v="Jefa Subdepto. Programas En Curso De Vida."/>
        <s v="Jefa Unidad Reclutamiento y Selección"/>
        <s v="Encargado Salud Oral"/>
        <s v="Encargada Chile Crece Contigo"/>
        <s v="Apoyo Participación"/>
        <s v="Jefa Unidad Ciclo Laboral"/>
        <s v="Jefa Subdepto. Cultura Y Clima Organizacional"/>
        <s v="Jefatura"/>
      </sharedItems>
    </cacheField>
    <cacheField name="Teléfono responsable" numFmtId="0">
      <sharedItems/>
    </cacheField>
    <cacheField name="Correo responsable" numFmtId="0">
      <sharedItems/>
    </cacheField>
    <cacheField name="Fecha de Inicio Compra" numFmtId="14">
      <sharedItems containsSemiMixedTypes="0" containsNonDate="0" containsDate="1" containsString="0" minDate="2023-10-01T00:00:00" maxDate="2026-12-02T00:00:00" count="25">
        <d v="2024-01-01T00:00:00"/>
        <d v="2023-10-01T00:00:00"/>
        <d v="2024-05-01T00:00:00"/>
        <d v="2024-07-01T00:00:00"/>
        <d v="2024-06-01T00:00:00"/>
        <d v="2024-08-01T00:00:00"/>
        <d v="2025-12-01T00:00:00"/>
        <d v="2025-08-01T00:00:00"/>
        <d v="2025-01-01T00:00:00"/>
        <d v="2025-03-01T00:00:00"/>
        <d v="2025-06-01T00:00:00"/>
        <d v="2025-04-01T00:00:00"/>
        <d v="2025-07-01T00:00:00"/>
        <d v="2026-01-01T00:00:00"/>
        <d v="2026-04-01T00:00:00"/>
        <d v="2026-06-01T00:00:00"/>
        <d v="2026-09-01T00:00:00"/>
        <d v="2026-10-01T00:00:00"/>
        <d v="2026-11-01T00:00:00"/>
        <d v="2026-02-01T00:00:00"/>
        <d v="2026-05-01T00:00:00"/>
        <d v="2026-03-01T00:00:00"/>
        <d v="2026-07-01T00:00:00"/>
        <d v="2026-12-01T00:00:00"/>
        <d v="2026-08-01T00:00:00"/>
      </sharedItems>
      <fieldGroup par="30"/>
    </cacheField>
    <cacheField name="Fecha Publicación PAC 2026" numFmtId="0">
      <sharedItems containsNonDate="0" containsDate="1" containsString="0" containsBlank="1" minDate="2024-07-05T00:00:00" maxDate="2025-08-21T00:00:00"/>
    </cacheField>
    <cacheField name="Cantidad OC Asociadas Ítem 2026" numFmtId="0">
      <sharedItems containsSemiMixedTypes="0" containsString="0" containsNumber="1" containsInteger="1" minValue="0" maxValue="54"/>
    </cacheField>
    <cacheField name="OC Asociada Item 2026" numFmtId="0">
      <sharedItems containsBlank="1"/>
    </cacheField>
    <cacheField name="Item De Arraste" numFmtId="0">
      <sharedItems containsSemiMixedTypes="0" containsString="0" containsNumber="1" containsInteger="1" minValue="0" maxValue="1"/>
    </cacheField>
    <cacheField name="Monto De Arrastre" numFmtId="0">
      <sharedItems containsSemiMixedTypes="0" containsString="0" containsNumber="1" containsInteger="1" minValue="0" maxValue="75433075"/>
    </cacheField>
    <cacheField name="Meses envio OC de Arraste" numFmtId="0">
      <sharedItems containsNonDate="0" containsDate="1" containsString="0" containsBlank="1" minDate="2026-01-01T00:00:00" maxDate="2026-12-02T00:00:00"/>
    </cacheField>
    <cacheField name="PAC" numFmtId="0">
      <sharedItems count="2">
        <s v="Arrastre"/>
        <s v="PC26"/>
      </sharedItems>
    </cacheField>
    <cacheField name="Meses (Fecha de Inicio Compra)" numFmtId="0" databaseField="0">
      <fieldGroup base="20">
        <rangePr groupBy="months" startDate="2023-10-01T00:00:00" endDate="2026-12-02T00:00:00"/>
        <groupItems count="14">
          <s v="&lt;01-10-2023"/>
          <s v="ene"/>
          <s v="feb"/>
          <s v="mar"/>
          <s v="abr"/>
          <s v="may"/>
          <s v="jun"/>
          <s v="jul"/>
          <s v="ago"/>
          <s v="sept"/>
          <s v="oct"/>
          <s v="nov"/>
          <s v="dic"/>
          <s v="&gt;02-12-2026"/>
        </groupItems>
      </fieldGroup>
    </cacheField>
    <cacheField name="Trimestres (Fecha de Inicio Compra)" numFmtId="0" databaseField="0">
      <fieldGroup base="20">
        <rangePr groupBy="quarters" startDate="2023-10-01T00:00:00" endDate="2026-12-02T00:00:00"/>
        <groupItems count="6">
          <s v="&lt;01-10-2023"/>
          <s v="Trim.1"/>
          <s v="Trim.2"/>
          <s v="Trim.3"/>
          <s v="Trim.4"/>
          <s v="&gt;02-12-2026"/>
        </groupItems>
      </fieldGroup>
    </cacheField>
    <cacheField name="Años (Fecha de Inicio Compra)" numFmtId="0" databaseField="0">
      <fieldGroup base="20">
        <rangePr groupBy="years" startDate="2023-10-01T00:00:00" endDate="2026-12-02T00:00:00"/>
        <groupItems count="6">
          <s v="&lt;01-10-2023"/>
          <s v="2023"/>
          <s v="2024"/>
          <s v="2025"/>
          <s v="2026"/>
          <s v="&gt;02-12-2026"/>
        </groupItems>
      </fieldGroup>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usuario" refreshedDate="46024.614749074077" createdVersion="8" refreshedVersion="8" minRefreshableVersion="3" recordCount="1359" xr:uid="{EDA71BA5-4EFD-4B2F-98DB-A590811AB786}">
  <cacheSource type="worksheet">
    <worksheetSource ref="A1:AD1360" sheet="ListadoProyectos (10)"/>
  </cacheSource>
  <cacheFields count="32">
    <cacheField name="Organismo" numFmtId="0">
      <sharedItems/>
    </cacheField>
    <cacheField name="Unidad de Compra" numFmtId="0">
      <sharedItems/>
    </cacheField>
    <cacheField name="ID Proyecto" numFmtId="0">
      <sharedItems count="393">
        <s v="1057532-156-PC24"/>
        <s v="1057532-163-PC24"/>
        <s v="1057532-1-PC24"/>
        <s v="1057532-30-PC24"/>
        <s v="1057532-308-PC24"/>
        <s v="1057532-311-PC24"/>
        <s v="1057532-315-PC24"/>
        <s v="1057532-320-PC24"/>
        <s v="1057532-321-PC24"/>
        <s v="1057532-322-PC24"/>
        <s v="1057532-328-PC24"/>
        <s v="1057532-331-PC24"/>
        <s v="1057532-333-PC24"/>
        <s v="1057532-356-PC24"/>
        <s v="1057532-193-PC25"/>
        <s v="1057532-195-PC25"/>
        <s v="1057532-196-PC25"/>
        <s v="1057532-209-PC25"/>
        <s v="1057532-210-PC25"/>
        <s v="1057532-211-PC25"/>
        <s v="1057532-66-PC25"/>
        <s v="1057532-162-PC25"/>
        <s v="1057532-172-PC25"/>
        <s v="1057532-173-PC25"/>
        <s v="1057532-373-PC25"/>
        <s v="1057532-374-PC25"/>
        <s v="1057532-375-PC25"/>
        <s v="1057532-376-PC25"/>
        <s v="1057532-377-PC25"/>
        <s v="1057532-378-PC25"/>
        <s v="1077241-51-PC25"/>
        <s v="1057532-379-PC25"/>
        <s v="1057532-380-PC25"/>
        <s v="1057532-381-PC25"/>
        <s v="1057532-382-PC25"/>
        <s v="1057532-383-PC25"/>
        <s v="1057532-384-PC25"/>
        <s v="1057532-385-PC25"/>
        <s v="1057532-386-PC25"/>
        <s v="1057532-389-PC25"/>
        <s v="1057532-390-PC25"/>
        <s v="1057532-391-PC25"/>
        <s v="1057532-392-PC25"/>
        <s v="1057532-393-PC25"/>
        <s v="1077241-52-PC25"/>
        <s v="1057532-394-PC25"/>
        <s v="1057532-395-PC25"/>
        <s v="1057532-396-PC25"/>
        <s v="1057532-397-PC25"/>
        <s v="1057532-398-PC25"/>
        <s v="1057532-399-PC25"/>
        <s v="1057532-400-PC25"/>
        <s v="1057532-401-PC25"/>
        <s v="1057532-402-PC25"/>
        <s v="1077241-53-PC25"/>
        <s v="1057532-403-PC25"/>
        <s v="1057532-404-PC25"/>
        <s v="1057532-405-PC25"/>
        <s v="1057532-419-PC25"/>
        <s v="1057727-2-PC26"/>
        <s v="1077241-61-PC26"/>
        <s v="1180747-5-PC26"/>
        <s v="1077241-62-PC26"/>
        <s v="1077241-63-PC26"/>
        <s v="1057532-281-PC26"/>
        <s v="1057532-282-PC26"/>
        <s v="1057532-283-PC26"/>
        <s v="1057532-284-PC26"/>
        <s v="1057532-285-PC26"/>
        <s v="1057532-286-PC26"/>
        <s v="1057532-287-PC26"/>
        <s v="1057532-288-PC26"/>
        <s v="1057532-317-PC26"/>
        <s v="1057532-320-PC26"/>
        <s v="1057532-321-PC26"/>
        <s v="1057532-322-PC26"/>
        <s v="1057532-323-PC26"/>
        <s v="1077241-64-PC26"/>
        <s v="1057532-324-PC26"/>
        <s v="1077241-65-PC26"/>
        <s v="1057532-325-PC26"/>
        <s v="1077241-66-PC26"/>
        <s v="1077241-67-PC26"/>
        <s v="1057532-326-PC26"/>
        <s v="1077241-68-PC26"/>
        <s v="1057532-327-PC26"/>
        <s v="1057532-328-PC26"/>
        <s v="1057532-329-PC26"/>
        <s v="1057532-330-PC26"/>
        <s v="1057532-331-PC26"/>
        <s v="1077241-69-PC26"/>
        <s v="1077241-70-PC26"/>
        <s v="1057532-332-PC26"/>
        <s v="1077241-71-PC26"/>
        <s v="1077241-74-PC26"/>
        <s v="1057532-333-PC26"/>
        <s v="1077241-75-PC26"/>
        <s v="1057532-334-PC26"/>
        <s v="1077241-76-PC26"/>
        <s v="1057532-335-PC26"/>
        <s v="1077241-77-PC26"/>
        <s v="1077241-78-PC26"/>
        <s v="1180747-6-PC26"/>
        <s v="1180747-7-PC26"/>
        <s v="1057532-336-PC26"/>
        <s v="1057532-337-PC26"/>
        <s v="1077241-81-PC26"/>
        <s v="1057532-338-PC26"/>
        <s v="1057532-339-PC26"/>
        <s v="1057532-340-PC26"/>
        <s v="1077241-82-PC26"/>
        <s v="1077241-83-PC26"/>
        <s v="1077241-84-PC26"/>
        <s v="1077241-85-PC26"/>
        <s v="1057532-342-PC26"/>
        <s v="1057532-345-PC26"/>
        <s v="1057532-347-PC26"/>
        <s v="1057532-348-PC26"/>
        <s v="1057532-349-PC26"/>
        <s v="1057532-350-PC26"/>
        <s v="1057532-351-PC26"/>
        <s v="1057532-352-PC26"/>
        <s v="1057532-353-PC26"/>
        <s v="1077241-86-PC26"/>
        <s v="1077241-87-PC26"/>
        <s v="1057532-354-PC26"/>
        <s v="1077241-88-PC26"/>
        <s v="1057532-355-PC26"/>
        <s v="1057532-356-PC26"/>
        <s v="1057532-357-PC26"/>
        <s v="1057532-358-PC26"/>
        <s v="1057532-359-PC26"/>
        <s v="1057532-360-PC26"/>
        <s v="1057532-361-PC26"/>
        <s v="1057532-362-PC26"/>
        <s v="1057532-363-PC26"/>
        <s v="1057532-364-PC26"/>
        <s v="1057532-366-PC26"/>
        <s v="1057532-367-PC26"/>
        <s v="1057532-368-PC26"/>
        <s v="1057532-369-PC26"/>
        <s v="1057532-370-PC26"/>
        <s v="1057532-371-PC26"/>
        <s v="1057532-372-PC26"/>
        <s v="1057532-373-PC26"/>
        <s v="1057532-374-PC26"/>
        <s v="1057532-375-PC26"/>
        <s v="1057532-376-PC26"/>
        <s v="1057532-377-PC26"/>
        <s v="1057532-378-PC26"/>
        <s v="1077241-89-PC26"/>
        <s v="1057532-379-PC26"/>
        <s v="1057532-380-PC26"/>
        <s v="1057532-381-PC26"/>
        <s v="1077241-90-PC26"/>
        <s v="1077241-91-PC26"/>
        <s v="1057532-383-PC26"/>
        <s v="1057532-384-PC26"/>
        <s v="1077241-92-PC26"/>
        <s v="1057532-385-PC26"/>
        <s v="1057532-386-PC26"/>
        <s v="1057532-387-PC26"/>
        <s v="1057532-388-PC26"/>
        <s v="1057532-389-PC26"/>
        <s v="1057532-390-PC26"/>
        <s v="1057532-391-PC26"/>
        <s v="1057532-392-PC26"/>
        <s v="1057532-393-PC26"/>
        <s v="1057532-394-PC26"/>
        <s v="1057532-395-PC26"/>
        <s v="1057532-396-PC26"/>
        <s v="1057532-397-PC26"/>
        <s v="1057532-398-PC26"/>
        <s v="1057532-399-PC26"/>
        <s v="1077241-93-PC26"/>
        <s v="1077241-95-PC26"/>
        <s v="1057532-400-PC26"/>
        <s v="1057532-402-PC26"/>
        <s v="1077241-96-PC26"/>
        <s v="1057532-403-PC26"/>
        <s v="1057532-404-PC26"/>
        <s v="1057532-405-PC26"/>
        <s v="1077241-97-PC26"/>
        <s v="1180747-8-PC26"/>
        <s v="1180747-9-PC26"/>
        <s v="1057532-410-PC26"/>
        <s v="1057532-412-PC26"/>
        <s v="1057532-415-PC26"/>
        <s v="1057532-416-PC26"/>
        <s v="1057532-418-PC26"/>
        <s v="1057532-421-PC26"/>
        <s v="1057922-5-PC26"/>
        <s v="1057532-422-PC26"/>
        <s v="1057532-423-PC26"/>
        <s v="1057532-424-PC26"/>
        <s v="1077241-99-PC26"/>
        <s v="1057532-425-PC26"/>
        <s v="1180747-10-PC26"/>
        <s v="1180747-11-PC26"/>
        <s v="1180747-12-PC26"/>
        <s v="1057922-6-PC26"/>
        <s v="1057922-7-PC26"/>
        <s v="1057976-2-PC26"/>
        <s v="1057976-3-PC26"/>
        <s v="1057976-4-PC26"/>
        <s v="1057976-5-PC26"/>
        <s v="1057976-6-PC26"/>
        <s v="1057976-7-PC26"/>
        <s v="1057976-8-PC26"/>
        <s v="1057976-9-PC26"/>
        <s v="1057976-10-PC26"/>
        <s v="1057532-426-PC26"/>
        <s v="1057922-8-PC26"/>
        <s v="1057922-9-PC26"/>
        <s v="1180747-13-PC26"/>
        <s v="1180747-14-PC26"/>
        <s v="1180747-15-PC26"/>
        <s v="1180747-16-PC26"/>
        <s v="1180747-17-PC26"/>
        <s v="1057922-10-PC26"/>
        <s v="1057976-11-PC26"/>
        <s v="1057976-12-PC26"/>
        <s v="1057976-13-PC26"/>
        <s v="1180747-18-PC26"/>
        <s v="1057922-11-PC26"/>
        <s v="1057922-12-PC26"/>
        <s v="1057976-14-PC26"/>
        <s v="1057922-13-PC26"/>
        <s v="1057532-427-PC26"/>
        <s v="1057922-14-PC26"/>
        <s v="1180747-19-PC26"/>
        <s v="1057532-428-PC26"/>
        <s v="1057532-429-PC26"/>
        <s v="1057532-430-PC26"/>
        <s v="1057532-431-PC26"/>
        <s v="1057532-432-PC26"/>
        <s v="1057532-433-PC26"/>
        <s v="1057532-434-PC26"/>
        <s v="1057532-435-PC26"/>
        <s v="1057532-436-PC26"/>
        <s v="1057532-437-PC26"/>
        <s v="1057532-438-PC26"/>
        <s v="1057532-439-PC26"/>
        <s v="1057532-443-PC26"/>
        <s v="1057532-444-PC26"/>
        <s v="1057922-15-PC26"/>
        <s v="1057532-445-PC26"/>
        <s v="1057532-446-PC26"/>
        <s v="1057532-447-PC26"/>
        <s v="1057532-448-PC26"/>
        <s v="1057922-16-PC26"/>
        <s v="1057532-449-PC26"/>
        <s v="1057532-450-PC26"/>
        <s v="1057532-451-PC26"/>
        <s v="1057532-452-PC26"/>
        <s v="1057532-453-PC26"/>
        <s v="1057532-454-PC26"/>
        <s v="1057532-455-PC26"/>
        <s v="1057532-456-PC26"/>
        <s v="1057532-457-PC26"/>
        <s v="1057532-458-PC26"/>
        <s v="1057532-459-PC26"/>
        <s v="1057532-460-PC26"/>
        <s v="1057532-461-PC26"/>
        <s v="1057532-462-PC26"/>
        <s v="1057532-463-PC26"/>
        <s v="1057532-464-PC26"/>
        <s v="1057532-465-PC26"/>
        <s v="1057532-466-PC26"/>
        <s v="1077241-100-PC26"/>
        <s v="1057532-467-PC26"/>
        <s v="1057532-468-PC26"/>
        <s v="1077241-101-PC26"/>
        <s v="1057532-469-PC26"/>
        <s v="1057532-470-PC26"/>
        <s v="1057532-471-PC26"/>
        <s v="1057532-472-PC26"/>
        <s v="1057922-17-PC26"/>
        <s v="1057532-473-PC26"/>
        <s v="1057532-474-PC26"/>
        <s v="1057532-475-PC26"/>
        <s v="1057532-476-PC26"/>
        <s v="1077241-102-PC26"/>
        <s v="1077241-103-PC26"/>
        <s v="1077241-104-PC26"/>
        <s v="1077241-105-PC26"/>
        <s v="1057532-477-PC26"/>
        <s v="1057922-18-PC26"/>
        <s v="1057532-478-PC26"/>
        <s v="1057532-479-PC26"/>
        <s v="1057532-480-PC26"/>
        <s v="1057532-481-PC26"/>
        <s v="1057532-482-PC26"/>
        <s v="1057532-483-PC26"/>
        <s v="1057532-484-PC26"/>
        <s v="1057532-485-PC26"/>
        <s v="1057532-486-PC26"/>
        <s v="1057532-487-PC26"/>
        <s v="1057532-488-PC26"/>
        <s v="1057532-489-PC26"/>
        <s v="1057532-490-PC26"/>
        <s v="1057532-491-PC26"/>
        <s v="1057532-492-PC26"/>
        <s v="1057532-493-PC26"/>
        <s v="1057532-494-PC26"/>
        <s v="1057532-495-PC26"/>
        <s v="1057532-496-PC26"/>
        <s v="1057532-497-PC26"/>
        <s v="1057532-498-PC26"/>
        <s v="1057532-499-PC26"/>
        <s v="1057532-500-PC26"/>
        <s v="1057532-501-PC26"/>
        <s v="1057532-502-PC26"/>
        <s v="1057532-503-PC26"/>
        <s v="1057532-504-PC26"/>
        <s v="1057532-505-PC26"/>
        <s v="1057532-506-PC26"/>
        <s v="1057532-507-PC26"/>
        <s v="1057532-508-PC26"/>
        <s v="1057532-509-PC26"/>
        <s v="1057532-510-PC26"/>
        <s v="1057532-511-PC26"/>
        <s v="1057532-512-PC26"/>
        <s v="1180747-20-PC26"/>
        <s v="1057532-513-PC26"/>
        <s v="1057532-514-PC26"/>
        <s v="1057532-515-PC26"/>
        <s v="1057532-516-PC26"/>
        <s v="1057532-517-PC26"/>
        <s v="1057532-518-PC26"/>
        <s v="1057532-519-PC26"/>
        <s v="1057532-520-PC26"/>
        <s v="1057532-521-PC26"/>
        <s v="1057532-522-PC26"/>
        <s v="1057532-523-PC26"/>
        <s v="1057532-524-PC26"/>
        <s v="1057532-525-PC26"/>
        <s v="1057976-15-PC26"/>
        <s v="1057532-529-PC26"/>
        <s v="1057532-534-PC26"/>
        <s v="1057532-535-PC26"/>
        <s v="1057532-536-PC26"/>
        <s v="1057532-537-PC26"/>
        <s v="1057532-538-PC26"/>
        <s v="1057532-539-PC26"/>
        <s v="1057532-540-PC26"/>
        <s v="1057532-541-PC26"/>
        <s v="1057532-542-PC26"/>
        <s v="1057532-543-PC26"/>
        <s v="1057532-544-PC26"/>
        <s v="1057532-545-PC26"/>
        <s v="1077241-106-PC26"/>
        <s v="1057532-546-PC26"/>
        <s v="1057532-547-PC26"/>
        <s v="1057532-548-PC26"/>
        <s v="1057532-550-PC26"/>
        <s v="1057532-551-PC26"/>
        <s v="1057532-562-PC26"/>
        <s v="1057532-564-PC26"/>
        <s v="1057532-565-PC26"/>
        <s v="1057532-566-PC26"/>
        <s v="1057532-567-PC26"/>
        <s v="1057532-568-PC26"/>
        <s v="1077241-107-PC26"/>
        <s v="1057922-19-PC26"/>
        <s v="1057532-569-PC26"/>
        <s v="1057532-570-PC26"/>
        <s v="1057532-572-PC26"/>
        <s v="1057922-20-PC26"/>
        <s v="1057532-573-PC26"/>
        <s v="1057532-574-PC26"/>
        <s v="1057532-575-PC26"/>
        <s v="1077241-108-PC26"/>
        <s v="1057532-576-PC26"/>
        <s v="1077241-109-PC26"/>
        <s v="1057532-577-PC26"/>
        <s v="1057532-578-PC26"/>
        <s v="1057922-21-PC26"/>
        <s v="1057532-579-PC26"/>
        <s v="1077241-110-PC26"/>
        <s v="1057532-580-PC26"/>
        <s v="1057532-581-PC26"/>
        <s v="1057922-22-PC26"/>
        <s v="1057532-582-PC26"/>
        <s v="1057532-583-PC26"/>
        <s v="1057532-584-PC26"/>
        <s v="1077241-111-PC26"/>
        <s v="1057532-585-PC26"/>
        <s v="1057532-586-PC26"/>
        <s v="1057532-587-PC26"/>
        <s v="1057532-588-PC26"/>
        <s v="1077241-112-PC26"/>
        <s v="1057532-589-PC26"/>
      </sharedItems>
    </cacheField>
    <cacheField name="Tipo Proyecto" numFmtId="0">
      <sharedItems/>
    </cacheField>
    <cacheField name="Estado Proyecto" numFmtId="0">
      <sharedItems/>
    </cacheField>
    <cacheField name="Código presupuestario" numFmtId="0">
      <sharedItems containsMixedTypes="1" containsNumber="1" containsInteger="1" minValue="31" maxValue="2771"/>
    </cacheField>
    <cacheField name="Nombre Proyecto" numFmtId="0">
      <sharedItems count="385">
        <s v="servicios de control de asistencia del servicio de salud osorno"/>
        <s v="Servicio gestión flota vehicular SSO"/>
        <s v="Sistema control de flota vehicular del Servicio de Salud Osorno"/>
        <s v="SISTEMAS DE COMUNICACIONES LTE WAVE PTX SERVICIO DE SALUD OSORNO"/>
        <s v="Convenio - 3 cupos Residencia Protegida para el Servicio de Salud Osorno en la Región Metropolitana"/>
        <s v="Convenio - ( cupos Hogar Protegido Varones para el Servicio de Salud Osorno en la ciudad de Osorno"/>
        <s v="Convenio - 08 Cupos Hogar Protegido Mujeres para el Servicio de Salud Osorno en la ciudad de Osorno"/>
        <s v="Convenio - SERVICIOS DE MANTENCIÓN, RECARGA E INSPECCION PREVENTIVA PARA RED HÚMEDA Y EXTINTORES EN ESTABLECIMIENTOS SSO"/>
        <s v="Convenio - DE SERVICIOS DE MANTENCIÓN PREVENTIVA, CORRECTIVA Y/O REPARATIVA PARA VEHÍCULOS MERCEDES-BENZ DEL SSO Y HOSPITA"/>
        <s v="Convenio - SERVICIO DE MANEJO, RETIRO, TRANSPORTE Y DISPOSICIÓN FINAL DE RESIDUOS PELIGROSOS Y ESPECIALES"/>
        <s v="Convenio - BENEFICIO ALIMENTACION 2024"/>
        <s v="Convenio - Suministro de oxígeno medicinal para Red de Hospitales de mediana y baja complejidad y SAMU"/>
        <s v="Convenio - SOPORTE Y MANTENIMIENTO SISTEMA DE REPETICIÓN VHF SERVICIO DE SALUD OSORNO 2025-2026"/>
        <s v="Convenio servicio de guardias para la DSSO y sus establecimientos y dispositivos dependientes"/>
        <s v="Convenio - ARRIENDO 159 EQUIPOS PC AIO PARA APOYAR LOS PROCESOS CLINICOS Y ADMINISTRATIVOS"/>
        <s v="Convenio - ARRIENDO 159 EQUIPOS PC AIO PARA APOYAR LOS PORCESOS CLINICOS Y ADMINISTRATIVOS"/>
        <s v="Convenio - SERVICIO DE ASEO PARA LA DSSO (BASE SAMU, EDIFICIO PLAZA SUR Y EDIFICIO M. RODRIGUEZ) POR 18 MESES (DESDE 01 JULIO 2025)"/>
        <s v="Convenio - SERVICIO DE SOPORTE Y MANTENCION RPT VHF SSO (PERIODO DOS AÑOS)"/>
        <s v="Convenio - ADQUISICION DE 3 CUPOS DE RESIDENCIA PROTEGIDA PARA EL SERVICIO DE SALUD OSORNO EN LA PROVINCIA DE CONCEPCIÓN"/>
        <s v="Convenio - ADQUISICION DE 12 CUPOS DE RESIDENCIA PROTEGIDA PARA EL SERVICIO DE SALUD OSORNO EN LA CIUDAD DE OSORNO"/>
        <s v="Convenio - ADQUISICION DE 10 CUPOS RESIDENCIA PROTEGIDA DE ALTA COMPLEJIDAD PARA EL SERVICIO DE SALUD OSORNO DE LA CIUDAD DE OSORNO"/>
        <s v="Mantención de Equipos Médicos e Industriales"/>
        <s v="Convenio - de Suministro para adquisición de medicamentos faltantes CENABAST para establecimientos dependientes del SSO."/>
        <s v="Convenio - CONVENIO SERVICIO DE ASEO POR 18 MESES, PARA LA DIRECCION DEL SSO Y ESTABLECIMIENTOS DEPENDIENTES DE LA RED ASISTENCIAL"/>
        <s v="Convenio - CONVENIO DE ADQUISICION DE KIT POINT OF CARE (POC) CON ARRIENDO DE EQUIPO PARA ANALISIS DE MUESTRAS, SSO"/>
        <s v="Convenio - Movilización para el traslado de usuarios y funcionarios CDR adulto mayor Kumelen año 2026"/>
        <s v="Convenio - Movilizacion para el traslado de funcionarios CDR Adulto Mayor KÜMELEN 2026"/>
        <s v="Convenio - ADQUISICION DE KIT POINT OF CARE (POC) CON ARRIENDO DE EQUIPO PARA ANALISIS DE MUESTRAS POR 12 MESES, SSO"/>
        <s v="Convenio - Pac PASAJES 2025-2026 DSSO"/>
        <s v="Convenio - ALIMENTOS CT PEULLA"/>
        <s v="Convenio - PAC Convenio Cafeteria DSSO"/>
        <s v="Convenio - Servicio movilización COSAM Rahue periodo 2026. (Financiamiento a través de fondo extrapresupuestario SENDA PAI)"/>
        <s v="Convenio - SERVICIO DE MOVILIZACION PARA EL AÑO 2026"/>
        <s v="Convenio - SERVICIO DE MOVILIZACION PARA EL AÑO 2026 Servicio movilización COSAM Rahue, Programa Atención Domiciliaria y PAZGA periodo 2026 (Financiamiento SSO)"/>
        <s v="Convenio - Servicio movilización UID Newen"/>
        <s v="Convenio - Movilización para el traslado de funcionarios y cuidadores Unidad de Memoria Ayekan año 2026"/>
        <s v="Convenio Movil CT Peulla"/>
        <s v="Convenio - Servicio de arriendo (comodato) e informes de teleelectrocardiografía para población bajo control en PSCV."/>
        <s v="Convenio - CONVENIO PARA DESRATIZACION, SANITIZACION, DESINSECTACION PARA EL SERVICIO DE SALUD OSORNO"/>
        <s v="Convenio - Adquisición de kit toma de muestra para Virus Papiloma Humano"/>
        <s v="Convenio - Servicio de Alimentación para usuarios CDR adulto Mayor Kumelen 2026"/>
        <s v="Convenio - CALEFACCION GASTOS PARA AMBULATORIO Y REDIDENCIAL - CT PEULLA"/>
        <s v="Convenio - Arriendo 159 PC Computacionales para establecimientos dependientes de la Dirección de Servicio de Salud Osorno"/>
        <s v="Convenio - Servicio de Sala Cuna, para el año 2026 de enero a diciembre, se requiere compra de 40 cupos para hijos/as de madres fun"/>
        <s v="Convenio - Servicio DIAS PROGRAMA DE REHABILITACIÓN TIPO II Desde el 01/01/2026 hasta el 31/12/2026."/>
        <s v="Convenio - ADQUISICION AYUDAS TECNICAS. CONVENIO SUMINISTRO AÑO 2026"/>
        <s v="Convenio - 8 CUPOS HOGAR PROTEGIDO HOMBRES PARA EL SERVICIO DE SALUD OSORNO, 12 MESES, ENERO A DICIEMBRE AÑO 2026."/>
        <s v="Convenio - ARTICULOS LIBRERIA AÑO 2025-2026 (Pedidos Mensuales)"/>
        <s v="Convenio - SUMINISTRO DE CHIP PARA CALDERAS DE HOSPITALES PÜ MÜLEN Y FÜTA SRÜKA LAWENCHE KUNKO MAPU, AÑO 2026-2027"/>
        <s v="Convenio - CONVENIO DE ARRIENDO DE AMBULANCIAS SAMU POR EL PERIODO COMPRENDIDO ENTRE SEPTIEMBRE 2025 A DICIEMBRE 2026"/>
        <s v="Convenio - MANTENCION Y OBRAS MENORES INFRAESTRUCTURA DE LOS ESTABLECIMIENTOS DEL SERVICIO DE SALUD OSORNO 2026"/>
        <s v="Convenio - Convenio de suministro de oxigenoterapia domiciliaria para pacientes del Programa Cuidados Paliativos Universales APS"/>
        <s v="Convenio - Convenio año 2026 Combustible calefacción para dispositivos del Servicio de Salud Osorno"/>
        <s v="Convenio - CONVENIO INSUMOS DE ASEO PARA DISPOSITIVOS DE LA RED AÑO 2026"/>
        <s v="Convenio - CONTRATACION DE SEGUROS GENERALES PARA VEHICULOS MOTORIZADOS PERTENECIENTES AL SERVICIO DE SALUD OSORNO 2026 - 2027"/>
        <s v="Convenio - Servicio de arriendo e informes de teleelectrocardiografía (sospecha IAM), para 13 establecimientos de urgencia de APS"/>
        <s v="Convenio - CONVENIO SERVICIOS DE MANTENCION PREVENTIVA, CORRECTIVA Y/O REPARATIVAS PARA LAS CONVERSIONES EN AMBULANCIAS Y VEHÍCULOS"/>
        <s v="Convenio - SERVICIOS DE MANTENCION PREVENTIVA, CORRECTIVA Y/O REPARATIVAS PARA VEHICULOS MULTIMARCAS AÑO 2026-2027"/>
        <s v="Convenio - SERVICIOS DE MANTENCION PREVENTIVA, CORRECTIVA Y/O REPARATIVAS PARA BUS MITSUBISHI FUSO ROSA AÑO 2026"/>
        <s v="Convenio - ADQUISICIÓN E IMPLEMENTACIÓN DE SISTEMA DIGITAL DE COMUNICACIONES CON TECNOLOGÍA PTT Y CONTROL DE FLOTA DE SALUD OSORNO"/>
        <s v="PAC General Bienestar 2026, se agrupa el total de actividades realizadas por Bienestar SSO."/>
        <s v="Adquisición de prestaciones de rehabilitación integral a niños, niñas y adolescentes con Trastorno del Espectro Autista"/>
        <s v="GORE: Apoyo de Rehabilitación Integral e Inclusión Social para niños, niñas y adolescentes con TEA"/>
        <s v="PRAPS Fondo de Farmacia para enfermedades crónicas no transmisibles en APS (FOFAR)"/>
        <s v="Adquisición de insumos para la atención en domicilio del Equipo Rehabilitación Rural SSO."/>
        <s v="Mantención Plotter Canon IPF 770, del depto. de Proyectos."/>
        <s v="Compra rollos papel para impresión del Departamento de Proyectos SSO."/>
        <s v="Compra Tinta Plotter Canon IPF 770"/>
        <s v="Adquisicición Hojas Prehospitalarias"/>
        <s v="Adquisicición Kit de Triage y Sistema de comando incidente"/>
        <s v="II Jornada de Capacitación Red de Urgencia"/>
        <s v="?DIAGNÓSTICO Y DIALOGO PARTICIPATIVO COSAM RAHUE ?NOVIEMBRE 2026?"/>
        <s v="Jornadas de encuentro y autocuidado Para usuarios y cuidadores ?SALUDABLE-MENTE en dispositivo COSAM RAHUE 2026"/>
        <s v="?Eco-huerto sustentable -Sistema de acuaponía sin suelo? COSAM RAHUE 2026"/>
        <s v="Insumos y medicamentos Farmacia COSAM RAHUE"/>
        <s v="Capacitación en Salud Mental Intercultural COSAM Rahue."/>
        <s v="Celebración de We Tripantu en COSAM Rahue 2026"/>
        <s v="Jornadas de autocuidado equipo profesional PAI COSAM Rahue"/>
        <s v="Ceremonia de alta SENDA-PAI COSAM Rahue 2026"/>
        <s v="CONVENIO - ADQUISICION DE 8 CUPOS HOGAR PROTEGIDO MUJERES PARA EL SERVICIO DE SALUD OSORNO POR PERIODO DE 12 MESES"/>
        <s v="Anilladora e insumos para preparación de material Cosam Rahue. Fondo extrapresupuestarios SENDA PAI"/>
        <s v="SERVICIO CAFETERÍA CEREMONIA ANIVERSARIO COSAM RAHUE"/>
        <s v="Jornada de Autocuidado funcionarios COSAM Rahue, con cargo a fondo extrapresupuestario SENDA-PAI"/>
        <s v="Celebración fiestas patrias usuarios y cuidadores COSAM RAHUE."/>
        <s v="Adquisición de insumos para la atención en domicilio del Equipo Rehabilitación Rural SSO. (Articulos de Libreria)"/>
        <s v="Adquisición de insumos para la atención en domicilio del Equipo Rehabilitación Rural SSO (material Ergoterapia)"/>
        <s v="Convenio - 3 CUPOS DE RESIDENCIA PROTEGIDA PARA EL SERVICIO DE SALUD OSORNO EN LA PROVINCIA DE CONCEPCIÓN, POR PERIODO DE 24 MESES."/>
        <s v="Rollos Etiquetas para impresora ZEBRA ZD 220 y rollos de cinta para impresora SOME, COSAM RAHUE"/>
        <s v="Convenio - 10 CUPOS RESIDENCIA PROTEGIDA DE ALTA COMPLEJIDAD PARA EL SERVICIO DE SALUD OSORNO POR PERIODO DE 12 MESES."/>
        <s v="INSUMOS DE ASEO COSAM RAHUE"/>
        <s v="Compra de Insumos de Cafetería reuniones ordinarias anuales de Salud Pueblos Originarios"/>
        <s v="Insumos cafetería actividades con usuarios Cosam Rahue y comunidad 2026, fondo extrapresupuestario SENDA PAI"/>
        <s v="INSUMOS ESCRITORIO COSAM RAHUE, FONDO EXTRAPRESUPUESTARIO SENDA-PAI"/>
        <s v="Protectores solares FPS 50 para funcionarios y usuarios taller huerto"/>
        <s v="Compra de tintas de repuesto impresoras Cosam Rahue"/>
        <s v="Insumos alimenticios para el Programa SENDA Calle. Fondo extrapresupuestario SENDA PAI"/>
        <s v="TEST DE DETECCION DE DROGAS"/>
        <s v="Taller de Herramientas Psicológicas, Taller PEERS"/>
        <s v="PAC insumos clínicos unidad de enfermería 2026."/>
        <s v="INTERVENCIÓN PSICOSOCIAL GRUPAL TALLER PARA JOVENES Y ADOLESCENTES EN TRATAMIENTO EN COSAM ORIENTE"/>
        <s v="Compra de Insumos de Cafetería reuniones ordinarias anuales Participación, Trato Usuario, Salud Pueblos Originarios"/>
        <s v="Taller Huertos 2026"/>
        <s v="Comité de Participación y gestión Intercultural - Dia de la Mujer 2026"/>
        <s v="Consultorías adecuación Diseño PSR Coligual, comuna de Purranque."/>
        <s v="Consultorías adecuación Diseño PSR Caracol, comuna de San Pablo."/>
        <s v="Impresión Talonarios de Registro de Solicitudes Ciudadanas"/>
        <s v="INSUMOS DE FARMACIA 2026"/>
        <s v="Taller de baile entretenido y acondicionamiento físico 2026"/>
        <s v="ACTIVIDADES DE DIFUSIÓN Y DE PREVENCIÓN EN LA PROVINCIA DE OSORNO"/>
        <s v="Jornada de Humanización del Trato Usuario"/>
        <s v="Despensa para Unidad de Secretaria"/>
        <s v="Yoga Sensible al Trauma: Regulación emocional desde el Cuerpo y la Conciencia."/>
        <s v="Comité de Participación y Gestión Intercultural - Dia del Niño 2026"/>
        <s v="Comité de Participación y Gestión Intercultural - Fiestas Patrias 2026"/>
        <s v="Intervención psicosocial grupal de Música"/>
        <s v="COMPRA MATERIALES DE OFICINA DEPARTAMENTO DE PROYECTOS"/>
        <s v="Estudio e Informe Estructural COSAM Oriente."/>
        <s v="ARTICULOS PARA TERAPIA OCUPACIONAL"/>
        <s v="TOLDOS"/>
        <s v="MANTENCIONES, REPUESTOS Y REPARACIONES"/>
        <s v="INSUMOS COMPUTACIONALES"/>
        <s v="Convenio - CONVENIO DE ADQUISICION DE KIT POINT OF CARE (POC) CON ARRIENDO DE EQUIPOS PARA ANALISIS DE MUESTRAS, SSO"/>
        <s v="Muestra tu Pausa Activa"/>
        <s v="PLAN DE COMPRAS AÑO 2026 LEY N°19.664 Y FORMACION DE ESPECIALISTAS S.S.O"/>
        <s v="Comité de Participación y Gestión Intercultural - Navidad 2026"/>
        <s v="Implementos de Terapia Ocupacional."/>
        <s v="Convenio - COMPRA DE KITS PARA DETECCION DE VIRUS Y BACTERIAS RESPIRATORIAS POR METODO MOLECULAR RAPIDO (POC MOLECULAR)"/>
        <s v="AUTOCUIDADO CONVENIO SENDA 2026"/>
        <s v="MEDICINA INTEGRATIVA SAFU"/>
        <s v="Adquisición Insumos para realizar el aseo y confort de usuarios/as con Dependencia Severa."/>
        <s v="INSUMOS LEY 20.000"/>
        <s v="Zumba a todo corazón"/>
        <s v="Mantenimiento baños y camarines"/>
        <s v="Construcción de radieres en estacionamiento"/>
        <s v="Mantención comedor lado patio interior"/>
        <s v="Pintado de muros perimetrales de edificio."/>
        <s v="Mantenimiento caseta de guardias"/>
        <s v="Instalación de manillas en puertas metálicas de sala REAS, Caldera, Generador"/>
        <s v="Reparar fuga red de agua alimentación invernadero."/>
        <s v="Habilitación de sala pagoda como sala de recuperación pacientes."/>
        <s v="Mantenimiento de cámaras y red ed aguas lluvia y reemplazo de bomba de impulsión"/>
        <s v="Mantenimiento de cámaras y red de alcantarillado, artefactos sanitarios."/>
        <s v="TALONARIOS DE LICENCIA MÉDICA"/>
        <s v="Mantenimiento planta elevadora aguas servidas"/>
        <s v="Suministro de Pellet para sistema de calefacción"/>
        <s v="Suministro de diesel para generador eléctrico"/>
        <s v="Reemplazo de equipo iluminación interior."/>
        <s v="Mantenimiento sensores de humo"/>
        <s v="Mantenimiento sistema de cierre/apertura puertas de PVC"/>
        <s v="Mantención de enchufes e interruptores lampistería instalación interior."/>
        <s v="MOVIL AÑO 2027"/>
        <s v="PROGRAMA MEL"/>
        <s v="Materiales de Secretaria para uso del Cosam 2026"/>
        <s v="Convenio - Convenio Adquisición de combustible móviles de la DSSO y Ambulancias SAMU año 2026"/>
        <s v="Convenio - Convenio Adquisición de combustible Diesel para equipos generadores dispositivos del SSO Cosam Rahue y Cosam Oriente"/>
        <s v="Intervención Psicosocial Grupal para Familiares de Usuarios/as con Diagnóstico de Esquizofrenia"/>
        <s v="Intervención Psicosocial Grupal para Usuarios y Usuarias con Consumo de Alcohol y Drogas"/>
        <s v="Jornada de Buenas Prácticas en Hospital Amigo y Ley Mila 2026"/>
        <s v="Jornada de Evaluación Comité de Gestión Usuaria 2026"/>
        <s v="Jornada de Fortalecimiento OIRS 2026"/>
        <s v="Recetarios Médicos SAFU"/>
        <s v="MATERIALES DE OFICINA"/>
        <s v="Vestuario y equipamiento Tecnico Referentes Prevención de Riesgos DSSO"/>
        <s v="INSUMOS DE ENFERMERÍA SAFU"/>
        <s v="Almacenamiento,organización y resguardo de los insumos clínicos del área de enfermería"/>
        <s v="CONMEMORACIÓN DÍA INTERNACIONAL DE LA SALUD MENTAL 2026"/>
        <s v="&quot;JORNADA DE FORTALECIMIENTO DE COMPETENCIAS PARENTALES Y BIENESTAR FAMILIAR &quot;"/>
        <s v="Contratación de visitas obras civiles consultoría obra ?SALA DE ACOGIDA INTERCULTURAL (SRUKA) HBO."/>
        <s v="FESTIVAL DEL DÍA DE LA NIÑEZ"/>
        <s v="Convenio - CONVENIO SUMINISTRO DE REACTIVOS CON ARRIENDO DE EQUIPOS Y SISTEMA INFORMATICO INTEGRADO DE LABORATORIO CLINICO, SSO"/>
        <s v="Adquisición Carro de Transporte Droguería-Bodega General"/>
        <s v="Adquisición de Amarras Plásticas y Elásticos para Optimizar el Almacenamiento y Distribución"/>
        <s v="EEPP para funcionarios de Droguería-Bodega General-Bodega Inversiones"/>
        <s v="Implementación de Sistema de Cerradura Digital para Control de Acceso"/>
        <s v="Adquisición de Sensores de Temperatura para Droguería ( Bodega de Dispositivos Médicos)"/>
        <s v="Altas Senda año 2026"/>
        <s v="Formación facilitadores Talleres Prenatales para matronas y matrones de la red de atención primaria"/>
        <s v="Mantención de Equipos Médicos e Industriales 2026"/>
        <s v="Convenio - Convenio de Accesorios para Equipos Médicos Criticos de Base SAMU Osorno año 2027"/>
        <s v="Insumos para aumentar la lactancia materna exclusiva"/>
        <s v="Insumos de Box de rehabilitación kinésica SAFU"/>
        <s v="Cuenta Pública Gestión 2025"/>
        <s v="Diálogo Provincial en Salud"/>
        <s v="Jornada de Inducción a médicos EDF, sobre Interculturalidad en Salud con pueblos originarios"/>
        <s v="Contratación de visitas de Consultorías de Obra &quot; Mejoramiento Hospital de Río Negro&quot;"/>
        <s v="Consultorías adecuación Diseño PSR Hueyusca, comuna de Purranque."/>
        <s v="Artículos de limpieza y higiene"/>
        <s v="Insumos para actividades grupales con usuarios y familiares de UID Newen."/>
        <s v="Insumos para actividades de promoción, prevención e intervención comunitaria con usuarios/as y familiares de UID Newen."/>
        <s v="Material de papelería centro Kümelen"/>
        <s v="Mochilas e insumos EMT (Equipos Médicos de Emergencia)"/>
        <s v="software de cartografía web"/>
        <s v="COMPRA DE AMBULANCIA PARA CESFAM CON SAR DE RAHUE ALTO"/>
        <s v="COMPRA ELEMENTOS DE PROTECCION PERSONAL SECCION MANT. DE VEHICULOS"/>
        <s v="COMPRA DE TARJETAS BLANCAS PARA CREDENCIALES PARA CAMAPAÑA SELLO BUEN TRATO."/>
        <s v="Adquisición de insumos clínicos para usuarios/as UID Newen."/>
        <s v="Taller Mindfulness - Anclando la Calma: Regulación Emocional y Conexión"/>
        <s v="CREDENCIAL DE IDENTIFICACION INSTITUCIONAL"/>
        <s v="Consultorías adecuación Diseño PSR Forrahue, etapa 1"/>
        <s v="Consultorías adecuación Diseño PSR Forrahue, Etapa 2."/>
        <s v="Diseño SAR Puyehue."/>
        <s v="Sillas Ergonómicas"/>
        <s v="CONSTRUCCION CESFAM CON SAR CHUYACA OSORNO; CODIGO BIP: 30430122 CONSTRUCCION CESFAM CON SAR CHUYACA, OSORNO"/>
        <s v="Diseño nuevo Hospital de Purranque."/>
        <s v="Diseño Centro de Diálisis Municipal, comuna de Osorno."/>
        <s v="Consultoría Estudio Preinversional de Reposición Hospital de Alta Complejidad provincia de Osorno"/>
        <s v="Diseño SAMU Provincial y Centro de Despacho."/>
        <s v="Consultoría Estudio Preinversional Reposición Hospital Hospital de Río Negro"/>
        <s v="Consultoría Estudio Preinversional Reposición Hospital Hospital de Puerto Octay"/>
        <s v="Diseño CESFAM Puerto Octay."/>
        <s v="Contratación de Visita a Obra 2026 de las Consultorías: Especialidades y Arquitectura Obra CESFAM Bahía Mansa"/>
        <s v="CONSTRUCCION CESFAM CON SAR CHUYACA OSORNO; CODIGO BIP: 30430122"/>
        <s v="EPP PARA DEPTO. DE INGENIERÍA CLÍNICA"/>
        <s v="PLAN NACIONAL DEL CÁNCER 2026"/>
        <s v="REPOSICION POSTA DE SALUD RURAL LA POZA, COMUNA DE SAN PABLO"/>
        <s v="CONSTRUCCION SALA DE ACOGIDA INTERCULTURAL (SRUKA) HOSPITAL BASE SAN JOSE, OSORNO"/>
        <s v="REPOSICION CONSULTORIO DE SALUD RURAL BAHIA MANSA, SAN JUAN DE LA COSTA"/>
        <s v="Consultorías adecuación Diseño PSR Cuinco, comuna de San Juan de La Costa."/>
        <s v="CONSTRUCCION CECOSF URBANO CHIFIN, COMUNA DE RIO NEGRO"/>
        <s v="Diseño Ampliación CESFAM San Pablo"/>
        <s v="REPOSICION CESFAM CON SAR RAHUE ALTO, OSORNO"/>
        <s v="CONSTRUCCION POSTA SALUD RURAL EL PONCHO"/>
        <s v="REPOSICION POSTA DE SALUD RURAL HUILMA, COMUNA DE RIO NEGRO"/>
        <s v="REPOSICION POSTA DE SALUD RURAL RUPANCO, COMUNA PUERTO OCTAY"/>
        <s v="CONSTRUCCIÓN POSTA DE SALUD RURAL COSTA RIO BLANCO, COMUNA DE RIO NEGRO"/>
        <s v="HABILITACION ANGIOGRAFO HOSPITAL BASE DE OSORNO"/>
        <s v="CONSTRUCCION COSAM RAHUE, COMUNA OSORNO"/>
        <s v="CONTRATACION DE VISITA DE ESPECIALIDAD DE ARQUITECTURA PARA LA OBRA REPOSICION CESFAM CON SAR RAHUE ALTO."/>
        <s v="SUBTÍTULO 29 SECTORIAL 2026"/>
        <s v="Vestuario terreno y EPP funcionario nuevo"/>
        <s v="SUBTÍTULO 29 OPERACIONAL SSO 2026"/>
        <s v="ADQUISICION Y REPOSICION EQUIPOS Y EQUIPAMIENTO OTORRINOLARINGOLOGIA HOSPITAL BASE OSORNO"/>
        <s v="Conmemoración día internacional de la eliminación de la violencia contra la mujer 2026"/>
        <s v="Adquisición de insumos para atención en domicilio del Equipo Rehabilitación Rural SSO. (Sarten electrico para ortesis)"/>
        <s v="MANTENCIÓN PREVENTIVA DE AGUA POTABLE DE LA BASE SAMU"/>
        <s v="Mantenciones emergentes para establecimientos dependientes del Servicio de Salud Osorno"/>
        <s v="Convenio - CONVENIO DE MANTENCION Y OBRAS MENORES INFRAESTRUCTURA DE LOS ESTABLECIMIENTOS DEL SERVICIO DE SALUD OSORNO 2027"/>
        <s v="Mantención de Cubiertas de Edificios y Dispositivos dependientes del Servicio de Salud Osorno"/>
        <s v="Mejoramiento Eléctrico y de Datos en Oficina 2do piso del Edificio Institucional de Manuel Rodríguez."/>
        <s v="MANTENIMIENTO PREVENTIVO Y ADECUACIONES MENORES A TABLEROS ELECTRICOS DE LOS HOSPITALES Y DISPOSITIVOS DE LA RED 2027"/>
        <s v="Materiales para simulacros"/>
        <s v="Conmemoración Día Mundial de Prevención Contra el Cáncer Cervicouterino"/>
        <s v="Elementos de Protección Personal para el Subdepto. Prevención de Riesgos DSSO"/>
        <s v="Abordaje integral de trastornos de salud mental y conducta alimentaria en adolescentes"/>
        <s v="Adquisición de herramientas básicas para mantenimiento Centro Comunitario Kümelen"/>
        <s v="Equipamiento Ergonómico"/>
        <s v="Equipamiento Ergonómico - Sillas"/>
        <s v="TEST PSICOLOGICOS PARA LA UNIDAD DE RECLUTAMIENTO Y SELECCIÓN DEL S.S.O."/>
        <s v="ADQUISICION INSUMOS MANTENCION RED DE RADIOCOMUNICACIONES EN EMERGENCIAS SERVICIO DE SALUD OSORNO"/>
        <s v="Jornada SSYR Provincial"/>
        <s v="REPOSICION Y MANTENIMIENTO COMPONENTES RADIOS PORTATILES VHF DIRECCION"/>
        <s v="Adquisición de micrófono y cámara para videoconferencias del Centro Comunitario Kümelen"/>
        <s v="Insumos y servicio de Coffee Break para Curso de Monitores 2026 del Centro Kümelen"/>
        <s v="Adquisición de insumos para la atención en domicilio del Equipo Rehabilitación Rural SSO. (Equipo Médico Fonoaudiologa)"/>
        <s v="Cintas de Seguridad"/>
        <s v="Reciclaje en Edificio Plaza Sur"/>
        <s v="Adquisición de insumos para la atención en domicilio del Equipo Rehabilitación Rural SSO. (Articulos de Fonoaudiología)"/>
        <s v="Protección Solar"/>
        <s v="EQUIPAMIENTO AMBULATORIO FONDOS PPV"/>
        <s v="Equipamiento Tecnologico"/>
        <s v="ARTICULOS DE FERRETERIA AMBULATORIO FONDOS PPV"/>
        <s v="Ceremonia de Egreso del Curso de Formación de Monitores del centro Kümelen."/>
        <s v="Protección Visual RUV"/>
        <s v="ARTICULOS DE COCINA AMBULATORIO FONDOS PPV"/>
        <s v="ARTICULOS DE JARDINERIA AMBULATORIO FONDOS PPV"/>
        <s v="Adquisición de 120 Endoscopias Digestivas Altas para establecimientos de la Red Asistencial del Servicio de Salud Osorno."/>
        <s v="Carro de carga plegable (Yegua)"/>
        <s v="Servicio de Movilización de 1 vehículo con conductor, por 2 meses, para ejecución vacunación en la provincia de Osorno"/>
        <s v="EQUIPAMIENTO RESIDENCIAL ? CONVENIO SENDA"/>
        <s v="SERVICIO DE ELABORACIÓN Y DIFUSIÓN DE 4 AVISOS RADIALES PROMOCIONALES DE CAMPAÑA DE INVIERNO 2026 POR 2 MESES"/>
        <s v="ARTICULOS DE FERRETERIA Y OTROS RESIDENCIAL CONVENIO SENDA"/>
        <s v="INSUMOS COMPUTACIONALES RESIDENCIAL CONVENIO SENDA"/>
        <s v="1 Servicio de grabación y emisión de 4 mensajes radiales de vacunación escolar por 2 meses, en la provincia de Osorno."/>
        <s v="Insumos para dispensación de fármacos y entrega citas a usuarios COSAM Rahue"/>
        <s v="ADQUISICIÓN PARA PROGRAMA DE PROMOCIÓN, PREVENCIÓN Y DIAGNÓSTICO PRECOZ CÁNCERES PREVALENTES EN MUJERES DE LA PROVINCIA"/>
        <s v="Adquisición de megáfonos y gabinetes para la comunicación en emergencias, gestión de riesgos y protección de equipos"/>
        <s v="Compra de insumos para la mantención de la cadena de frío de las vacunas de los establecimientos de la provincia."/>
        <s v="&quot;Día del autocuidado&quot; en la comunidad funcionaria el día 24 de julio del 2026"/>
        <s v="Adquisición materiales de oficina Unidad de Memoria 2026"/>
        <s v="INSUMOS COMPUTACIONALES AMBULATORIO ? CONVENIO SENDA"/>
        <s v="ARTICULOS DE COCINA AMBULATORIO ? CONVENIO SENDA"/>
        <s v="ARTICULOS DE FERRETERIA Y OTROS AMBULATORIO ? CONVENIO SENDA"/>
        <s v="Adquisición de productos e insumos para el programa de control y eliminación de la Tuberculosis"/>
        <s v="Materiales e insumos para talleres y capacitaciones red de coordinadores"/>
        <s v="REPOSICION CECOSF EL ENCANTO, COMUNA DE PUYEHUE"/>
        <s v="Materiales de oficina no disponibles en Bodega Central"/>
        <s v="Adquisicion de recetarios y talonarios de examenes de Psiconeurogeriatría Ayekan y kumelen."/>
        <s v="INSUMOS DE OFICINA"/>
        <s v="Adquisición de Material Educativo Visual y Didáctico para la Educación Alimentaria en la Red de APS"/>
        <s v="Compra de insumos de higiene oral de programa odontológico integral"/>
        <s v="Pilas para equipos clínicos pesa, hemoglucotest y equipo de electroterapia"/>
        <s v="Capacitación de Salud Respiratoria en el Curso de Vida, en contexto de campaña de invierno para 110 personas"/>
        <s v="Escalera tijera plegable"/>
        <s v="Convenio - Suministro de oxígeno medicinal para Red de Hospitales de mediana y baja complejidad, SAMU y Cosam"/>
        <s v="Mantención integral edificio Centro Kümelen"/>
        <s v="Mantención integral edificio Matta"/>
        <s v="Material de librería para vacunatorios y para capacitaciones del Programa Nacional de Inmunizaciones 2025"/>
        <s v="Estudio e Informe Estructural Edificio EX- PDI."/>
        <s v="Adquisición servicio de cafetería para actividad de capacitación a profesionales de salud Campaña de Invierno"/>
        <s v="Adquisición artículos de librería para Jornadas con la Red Asistencial"/>
        <s v="Plan de Compra Anual nuevos Boxes Dentales SAFU - Insumos Instrumentales"/>
        <s v="Adquisicion Licencias de Software GstarCAD por 24 meses"/>
        <s v="Adquisicion Licencias de Software ArchiCAD por 24 meses"/>
        <s v="Implementación de impresoras termicas en Some De Edificio Matta"/>
        <s v="SOPORTE Y MANTENCION ANUAL SOFTWARE CONTROL DE INVENTARIO"/>
        <s v="Adquisición 2 coffee break para Jornada de Plan de Salud Comunal y Priorización"/>
        <s v="Adquisición artículos de cafetería para Jornadas de planificación con Red Asistencial"/>
        <s v="Construcción de repisas para archivos en bodega ex COSAM Oriente"/>
        <s v="3°Jornada para cuidadores/as &quot;Cuidar con sentido y acompañar con el corazón&quot;"/>
        <s v="SERVICIO DE TRASLADO DE MOBILIARIO"/>
        <s v="Accesorios de telecomunicación para actividades digitales de promoción y prevención de salud mental para la comunidad fu"/>
        <s v="Adquisición Carpetas con bolsillo troquel de imprenta y logo institucional CPU"/>
        <s v="Plan de Compra Anual nuevos Boxes Dentales SAFU - Insumos Dentales"/>
        <s v="Material de trabajo terapéutico equipo salud mental unidad de salud funcionaria - Librería terapéutica"/>
        <s v="Implementacion de talleres y renovacion de insumos de kinesiologia de Unidad de Memoria Ayekan."/>
        <s v="Adquisición de boquillas espiratorias desechables para flujometría."/>
        <s v="Adquisición Turbinas desechables espirometría"/>
        <s v="Servicio de cafetería para Jornada de Capacitación en Cuidados Paliativos para equipos CPU APS y Hospitales SSO"/>
        <s v="Adquisición Equipamiento para evaluación saturación oxigeno en pacientes Piloto Cesación Tabáquica (Oxímetros)"/>
        <s v="Adquisición de insumos de folleteria y cuadernillos de stimulación para Unidad de Memoria."/>
        <s v="Talleres educativos y de respiro para cuidadoras/es de usuarios con deteriro cognitivo."/>
        <s v="Compra de insumos clínicos para actividades de vacunación, en vacunatorios y colegios de la provincia."/>
        <s v="Adquisición de Neumáticos para vehículos de la Dirección Servicio de Salud Osorno y Base SAMU Osorno año 2026"/>
        <s v="Servicio de Coffe para 115 personas, Jornada Anual de Capacitación del Programa Nacional de Inmunizaciones, provincial"/>
        <s v="Elaboración e impresión de Carnet de Control Integral para la Red de APS de la provincia de Osorno."/>
        <s v="Implementación autotoma de VPH"/>
        <s v="TEST DE EVALUACIONES PSICOLÓGICAS"/>
        <s v="Conmemoración día Mundial de la Salud Mental 10 de octubre 2026 y Desarrollo de actividades de promoción de salud mental"/>
        <s v="Insumos para CIRA SDGA"/>
        <s v="Festival de la Voz de las Mujeres 2026"/>
        <s v="Obras civiles para montaje de 2 futuros contenedores de largo 20 pies"/>
        <s v="ADQUISICIÓN DISPOSITIVOS DE ALMACENAMIENTO PARA HABILITACION DE EQUIPOS COMPUTACIONALES"/>
        <s v="Mejoramiento Hospital de Rio Negro(4 LICITACIONES) - Traspaso de año , modificación en emisiones de OC"/>
        <s v="contendores de papel"/>
        <s v="INSUMOS DE ATENCION PSICOLOGICA"/>
        <s v="Eventos y resignificaciones anuales"/>
        <s v="INSUMOS ALIMENTACIÓN PARA ACTIVIDADES DE SALUD MENTAL 2026"/>
        <s v="MUEBLE DOCUMENTAL"/>
        <s v="Olimpiadas del Adolescente"/>
        <s v="Insumos para reuniones ministeriales"/>
        <s v="Compra de Servicio de Docencia, Relatoría, Consultoría, Alimentación y Compra de insumos Año 2026"/>
        <s v="Insumos médicos"/>
        <s v="Adquisición de Insumos para control cardiovascular/integral en atención primaria"/>
        <s v="Materiales psicopedagógicos"/>
        <s v="Adquisición de insumos para la atención y educación en salud, a personas bajo control en los Programas de Salud"/>
        <s v="Conmemoración del aniversario del centro Kümelen"/>
        <s v="Taller de habilidades para la vida 2026"/>
        <s v="Adquisicion ciclo de capacitaciones ECICEP para profesionales de la red asistencial"/>
        <s v="Adquisición insumos clínicos y de aseo general mamógrafo móvil/estrategias Programa Imágenes Diagnósticas 2026."/>
        <s v="Adquisición de insumos validados para la medición de presión arterial en el curso de vida."/>
        <s v="Adquisición Dispositivos médicos de Curación Avanzada. Presupuesto: PAGD, componente Salud Cardiovascular $15.000.000.-"/>
        <s v="Adquisición de servicio de catering para curso de Imagenología para Médicos generales y de APS."/>
        <s v="Convenio - Convenio de servicio de exámenes de ecotomografía abdominal y mamaria programa imágenes diagnósticas."/>
        <s v="Compra de insumos de oficina y cafetería"/>
        <s v="Convenio - Convenio de servicio informes de radiografías y mamografías para los Hospitales Dependientes del S.S.O."/>
        <s v="Conmemoración día de la mujer"/>
        <s v="servicio de dosimetría Trabajadores Ocupacionalmente expuestos del Programa Imágenes Diagnósticas."/>
        <s v="Convenio - Convenio de servicio movilización funcionarios mamógrafo móvil. Descripción"/>
        <s v="Adquisición insumos de promoción, prevención y tratamiento ADM para desarrollo Programa de Resolución de Ortodoncia NNA"/>
        <s v="Proyecto de Compra Insumos clínicos 2026"/>
        <s v="Capacitación formación de facilitadores Nadie es Perfecto"/>
        <s v="Artículos de higiene, limpieza y mantención de áreas verdes para Edificio Matta."/>
        <s v="Adquisición de herramientas"/>
        <s v="Adquisición de insumos para la atención en domicilio del Equipo Rehabilitación Rural SSO. (Articulos de Escritorio)"/>
        <s v="Renovación de toma de presión digital para unidad de Memoria."/>
        <s v="Taller de niños y niñas - Taller de padres"/>
        <s v="Taller Arte Terapia"/>
        <s v="TALLER DE MANUALIDADES"/>
        <s v="Adquisición de insumos atención en domicilio del Equipo Rehabilitación Rural SSO"/>
        <s v="Adquisicion equipamiento Servidor NAS y almacenamiento extra para respaldo y seguridad de la información"/>
        <s v="ARTICULOS DE OFICINA UNIDADES AMBULATORIO Y RESIDENCIAL"/>
        <s v="Comité de Participación y Gestión Intercultural"/>
        <s v="EVENTOS EN MOVIMIENTO Y A UNA SOLA VOZ"/>
        <s v="CONTRIBUYENDO A LA POLITICA PÚBLICA EN REPARACIÓN CON USUARIOS/AS PRAIS"/>
        <s v="Adquisción de hidrolavadora 120BAR"/>
        <s v="Insumos para jornada provincial de Gestión del Riesgo de Desastres (2 días)"/>
        <s v="COMPRA DE MATERIALES DE OFICINA E INSUMOS DE CAFETERIA PARA LA UNIDAD DE CICLO LABORAL DEL S.S.O."/>
        <s v="Insumos para actividades individuales y grupales con usuarios/as y familiares de UID Newen."/>
        <s v="EQUIPAMIENTO AMBULATORIO ? CONVENIO SENDA"/>
        <s v="Materiales y herramientas de oficina funcionarios Sub Depto."/>
        <s v="COMPRA DE MATERIALES DE OFICINA E INSUMOS DE CAFETERIA PARA DEL SUBDEPTO. DE CULTURA Y CLIMA ORGANIZACIONAL DEL S.S.O."/>
        <s v="INSUMOS PARA EL ORDEN ORPERACION Y DOCUMENTAL DE OFICINA DE PARTES."/>
        <s v="Compra Cintas de glicemia + equipos en comodato"/>
        <s v="ARTICULOS DE COCINA RESIDENCIAL ? CONVENIO SENDA"/>
        <s v="EQUIPAMIENTO RESIDENCIAL ? FONDOS PPV"/>
      </sharedItems>
    </cacheField>
    <cacheField name="Descripción Proyecto" numFmtId="0">
      <sharedItems longText="1"/>
    </cacheField>
    <cacheField name="Cantidad de Ítems" numFmtId="0">
      <sharedItems containsSemiMixedTypes="0" containsString="0" containsNumber="1" containsInteger="1" minValue="1" maxValue="23"/>
    </cacheField>
    <cacheField name="Nombre ítem" numFmtId="0">
      <sharedItems/>
    </cacheField>
    <cacheField name="Tipo compra" numFmtId="0">
      <sharedItems containsSemiMixedTypes="0" containsString="0" containsNumber="1" containsInteger="1" minValue="1" maxValue="5"/>
    </cacheField>
    <cacheField name="Cantidad Productos" numFmtId="0">
      <sharedItems containsSemiMixedTypes="0" containsString="0" containsNumber="1" containsInteger="1" minValue="1" maxValue="250000"/>
    </cacheField>
    <cacheField name="Monto Unitario Ítem" numFmtId="42">
      <sharedItems containsSemiMixedTypes="0" containsString="0" containsNumber="1" containsInteger="1" minValue="13" maxValue="2783713888"/>
    </cacheField>
    <cacheField name="Monto Total Ítem Año 2026" numFmtId="42">
      <sharedItems containsSemiMixedTypes="0" containsString="0" containsNumber="1" containsInteger="1" minValue="0" maxValue="1904912000"/>
    </cacheField>
    <cacheField name="Cantidad OC" numFmtId="0">
      <sharedItems containsSemiMixedTypes="0" containsString="0" containsNumber="1" containsInteger="1" minValue="1" maxValue="36" count="16">
        <n v="36"/>
        <n v="24"/>
        <n v="30"/>
        <n v="32"/>
        <n v="1"/>
        <n v="18"/>
        <n v="7"/>
        <n v="4"/>
        <n v="2"/>
        <n v="6"/>
        <n v="8"/>
        <n v="12"/>
        <n v="16"/>
        <n v="15"/>
        <n v="10"/>
        <n v="3"/>
      </sharedItems>
    </cacheField>
    <cacheField name="Meses envío OC" numFmtId="0">
      <sharedItems containsDate="1" containsMixedTypes="1" minDate="2026-01-01T00:00:00" maxDate="2026-12-02T00:00:00" count="50" longText="1">
        <s v="01-01-2024,01-02-2024,01-03-2024,01-04-2024,01-05-2024,01-06-2024,01-07-2024,01-08-2024,01-09-2024,01-10-2024,01-11-2024,01-12-2024,01-01-2025,01-02-2025,01-03-2025,01-04-2025,01-05-2025,01-06-2025,01-07-2025,01-08-2025,01-09-2025,01-10-2025,01-11-2025,01-12-2025,01-01-2026,01-02-2026,01-03-2026,01-04-2026,01-05-2026,01-06-2026,01-07-2026,01-08-2026,01-09-2026,01-10-2026,01-11-2026,01-12-2026"/>
        <s v="01-06-2024,01-07-2024,01-08-2024,01-09-2024,01-10-2024,01-11-2024,01-12-2024,01-01-2025,01-02-2025,01-03-2025,01-04-2025,01-05-2025,01-06-2025,01-07-2025,01-08-2025,01-09-2025,01-10-2025,01-11-2025,01-12-2025,01-01-2026,01-02-2026,01-03-2026,01-04-2026,01-05-2026,01-06-2026,01-07-2026,01-08-2026,01-09-2026,01-10-2026,01-11-2026,01-12-2026,01-01-2027,01-02-2027,01-03-2027,01-04-2027,01-05-2024"/>
        <s v="01-01-2025,01-02-2025,01-03-2025,01-04-2025,01-05-2025,01-06-2025,01-07-2025,01-08-2025,01-09-2025,01-10-2025,01-11-2025,01-12-2025,01-01-2026,01-02-2026,01-03-2026,01-04-2026,01-05-2026,01-06-2026,01-07-2026,01-08-2026,01-09-2026,01-10-2026,01-11-2026,01-12-2026"/>
        <s v="01-01-2025,01-02-2025,01-03-2025,01-04-2025,01-05-2025,01-06-2025,01-07-2025,01-08-2025,01-09-2025,01-10-2025,01-11-2025,01-12-2025,01-01-2026,01-02-2026,01-03-2026,01-04-2026,01-05-2026,01-06-2026,01-07-2026,01-08-2026,01-09-2026,01-10-2026,01-11-2026,01-12-2026,01-01-2027,01-02-2027,01-03-2027,01-04-2027,01-05-2027,01-06-2027"/>
        <s v="01-01-2026,01-02-2026,01-03-2026,01-04-2026,01-05-2026,01-06-2026,01-07-2026,01-08-2026,01-09-2026,01-10-2026,01-11-2026,01-12-2026,01-01-2027,01-02-2027,01-03-2027,01-04-2027,01-05-2027,01-06-2027,01-07-2027,01-08-2027,01-09-2027,01-10-2027,01-11-2027,01-12-2027,01-01-2028,01-02-2028,01-03-2028,01-04-2028,01-05-2028,01-06-2028,01-07-2028,01-08-2028"/>
        <s v="01-07-2025,01-08-2025,01-09-2025,01-10-2025,01-11-2025,01-12-2025,01-01-2026,01-02-2026,01-03-2026,01-04-2026,01-05-2026,01-06-2026,01-07-2026,01-08-2026,01-09-2026,01-10-2026,01-11-2026,01-12-2026"/>
        <s v="01-06-2026,01-12-2026,01-06-2027,01-12-2027"/>
        <s v="01-03-2026,01-12-2026,01-03-2027,01-12-2027"/>
        <s v="01-10-2026,01-10-2027"/>
        <s v="01-07-2026,01-07-2027"/>
        <s v="01-03-2026,01-09-2026,01-03-2027,01-09-2027"/>
        <s v="01-06-2026,01-11-2026,01-12-2026,01-06-2027,01-11-2027,01-12-2027"/>
        <s v="01-04-2027,01-05-2027,01-08-2027,01-10-2027,01-04-2026,01-05-2026,01-08-2026,01-10-2026"/>
        <s v="01-02-2026,01-05-2026,01-08-2026,01-11-2026,01-02-2027,01-05-2027,01-08-2027,01-11-2027"/>
        <s v="01-01-2026,01-02-2026,01-03-2026,01-04-2026,01-05-2026,01-06-2026,01-07-2026,01-08-2026,01-09-2026,01-10-2026,01-11-2026,01-12-2026,01-01-2027,01-02-2027,01-03-2027,01-04-2027,01-05-2027,01-06-2027,01-07-2027,01-08-2027,01-09-2027,01-10-2027,01-11-2027,01-12-2027"/>
        <s v="01-03-2026,01-03-2027"/>
        <s v="01-05-2025,01-06-2025,01-07-2025,01-08-2025,01-09-2025,01-10-2025,01-11-2025,01-12-2025,01-01-2026,01-02-2026,01-03-2026,01-04-2026,01-05-2026,01-06-2026,01-07-2026,01-08-2026,01-09-2026,01-10-2026,01-11-2026,01-12-2026,01-01-2027,01-02-2027,01-03-2027,01-04-2027"/>
        <s v="01-08-2025,01-09-2025,01-10-2025,01-11-2025,01-12-2025,01-01-2026,01-02-2026,01-03-2026,01-04-2026,01-05-2026,01-06-2026,01-07-2026"/>
        <s v="01-02-2026,01-03-2026,01-04-2026,01-05-2026,01-06-2026,01-07-2026,01-08-2026,01-09-2026,01-10-2026,01-11-2026,01-12-2026,01-01-2027"/>
        <s v="01-02-2026,01-03-2026,01-04-2026,01-05-2026,01-06-2026,01-07-2026,01-08-2026,01-09-2026,01-10-2026,01-11-2026,01-12-2026,01-01-2026"/>
        <s v="01-01-2026,01-02-2026,01-03-2026,01-04-2026,01-05-2026,01-06-2026,01-07-2026,01-08-2026,01-09-2026,01-10-2026,01-11-2026,01-12-2026"/>
        <s v="01-11-2025,01-12-2025,01-01-2026,01-02-2026,01-03-2026,01-04-2026,01-05-2026,01-06-2026,01-07-2026,01-08-2026,01-09-2026,01-10-2026,01-11-2026,01-12-2026,01-01-2027,01-02-2027,01-03-2027,01-04-2027,01-05-2027,01-06-2027,01-07-2027,01-08-2027,01-09-2027,01-10-2027,01-11-2027,01-12-2027,01-01-2028,01-02-2028,01-03-2028,01-04-2028,01-05-2028,01-06-2028"/>
        <s v="01-09-2025,01-10-2025,01-11-2025,01-12-2025,01-01-2026,01-02-2026,01-03-2026,01-04-2026,01-05-2026,01-06-2026,01-07-2026,01-08-2026,01-09-2026,01-10-2026,01-11-2026,01-12-2026"/>
        <s v="01-10-2025,01-11-2025,01-12-2025,01-01-2026,01-02-2026,01-03-2026,01-04-2026,01-05-2026,01-06-2026,01-07-2026,01-08-2026,01-09-2026,01-10-2026,01-11-2026,01-12-2026"/>
        <d v="2026-04-01T00:00:00"/>
        <d v="2026-06-01T00:00:00"/>
        <d v="2026-09-01T00:00:00"/>
        <d v="2026-10-01T00:00:00"/>
        <d v="2026-11-01T00:00:00"/>
        <d v="2026-12-01T00:00:00"/>
        <s v="01-03-2026,01-04-2026,01-05-2026,01-06-2026,01-07-2026,01-08-2026,01-09-2026,01-10-2026,01-11-2026,01-12-2026"/>
        <d v="2026-05-01T00:00:00"/>
        <d v="2026-03-01T00:00:00"/>
        <d v="2026-07-01T00:00:00"/>
        <s v="01-07-2026,01-09-2026,01-12-2026"/>
        <d v="2026-01-01T00:00:00"/>
        <d v="2026-08-01T00:00:00"/>
        <s v="01-03-2026,01-04-2026,01-05-2026,01-06-2026,01-07-2026,01-08-2026,01-09-2026,01-10-2026,01-11-2026,01-12-2026,01-01-2027,01-02-2027"/>
        <d v="2026-02-01T00:00:00"/>
        <s v="01-03-2026,01-04-2026,01-05-2026,01-06-2026,01-07-2026,01-08-2026,01-09-2026,01-10-2026,01-11-2026,01-12-2026,01-01-2027,01-02-2027,01-03-2027,01-04-2027,01-05-2027,01-06-2027,01-07-2027,01-08-2027,01-09-2027,01-10-2027,01-11-2027,01-12-2027,01-01-2028,01-02-2028"/>
        <s v="01-08-2026,01-09-2026,01-10-2026,01-11-2026,01-12-2026,01-01-2027,01-02-2027,01-03-2027,01-04-2027,01-05-2027,01-06-2027,01-07-2027"/>
        <s v="01-05-2026,01-06-2026,01-07-2026,01-08-2026,01-09-2026,01-10-2026,01-11-2026,01-12-2026,01-01-2027,01-02-2027,01-03-2027,01-04-2027"/>
        <s v="01-03-2026,01-05-2026,01-07-2026,01-09-2026"/>
        <s v="01-01-2027,01-02-2027,01-03-2027,01-04-2027,01-05-2027,01-06-2027,01-07-2027,01-08-2027,01-09-2027,01-10-2027,01-11-2027,01-12-2027"/>
        <s v="01-05-2026,01-06-2026,01-07-2026,01-08-2026,01-09-2026,01-10-2026,01-11-2026,01-12-2026,01-01-2027,01-02-2027,01-03-2027,01-04-2027,01-05-2027,01-06-2027,01-07-2027,01-08-2027,01-09-2027,01-10-2027,01-11-2027,01-12-2027,01-01-2028,01-02-2028,01-03-2028,01-04-2028,01-05-2028,01-06-2028,01-07-2028,01-08-2028,01-09-2028,01-10-2028,01-11-2028,01-12-2028"/>
        <s v="01-03-2026,01-06-2026,01-09-2026"/>
        <s v="01-03-2026,01-06-2026,01-09-2026,01-12-2026"/>
        <s v="01-01-2027,01-02-2027,01-03-2027,01-04-2027,01-05-2027,01-06-2027,01-07-2027,01-08-2027,01-09-2027,01-10-2027,01-11-2027,01-12-2027,01-01-2028,01-02-2028,01-03-2028,01-04-2028,01-05-2028,01-06-2028,01-07-2028,01-08-2028,01-09-2028,01-10-2028,01-11-2028,01-12-2028"/>
        <s v="01-04-2026,01-05-2026"/>
        <s v="01-06-2026,01-08-2026,01-09-2026,01-12-2026"/>
      </sharedItems>
    </cacheField>
    <cacheField name="Nombre responsable" numFmtId="0">
      <sharedItems count="107">
        <s v="Bruno Ojeda Alvarez"/>
        <s v="Felipe Salvo Barriga"/>
        <s v="CATALINA VERA"/>
        <s v="Antonia Caifil"/>
        <s v="KARIN SCHOLZ"/>
        <s v="Felipe Salvo"/>
        <s v="JORGE OYARZUN SILVA"/>
        <s v="Mario Aburto Foitzich"/>
        <s v="CATALINA VERA CASTRO"/>
        <s v="Lorena Torres Castillo"/>
        <s v="Alvaro Montecinos"/>
        <s v="ESTEBAN ALARCON BOHLE"/>
        <s v="Angelo Palma"/>
        <s v="Khris Silva Vargas"/>
        <s v="ELEUTERIO ROMAN"/>
        <s v="Sofia Reyes"/>
        <s v="Luis Flores Merino"/>
        <s v="SOFIA REYES ALARCON"/>
        <s v="Sandra Espinoza"/>
        <s v="Maria Ines Asenjo Soto"/>
        <s v="Yuvit García-Chacur"/>
        <s v="Pedro Fritz Cardeans"/>
        <s v="Camila Roa"/>
        <s v="Ximena Campos Gueicha"/>
        <s v="Consuelo Cordova"/>
        <s v="Carlos López"/>
        <s v="Javiera Gajardo"/>
        <s v="Claudia Muñoz"/>
        <s v="Antonia Caifil Martínez"/>
        <s v="Camila Alvarez Velasquez"/>
        <s v="Cecilia Garay L"/>
        <s v="Daniela Jara Cerda"/>
        <s v="Raul Nuñez Vega"/>
        <s v="Garibe Gallardo Trujillo"/>
        <s v="María Teresa Jaramillo Vergara"/>
        <s v="Pablo Oyarzo"/>
        <s v="Claudia Centeno"/>
        <s v="Karin Avila"/>
        <s v="Chessarina Tuchie Fischer"/>
        <s v="Mario Barrientos"/>
        <s v="Silvia Delgado"/>
        <s v="Camilo Martínez"/>
        <s v="Pedro Huito"/>
        <s v="Carolina Silva"/>
        <s v="Pedro Fritz"/>
        <s v="Daniela Barria"/>
        <s v="Yanet Gutierrez"/>
        <s v="Marcia Delarze"/>
        <s v="Jocelyne Prieto"/>
        <s v="Daniela Soto"/>
        <s v="Lhya Kortmann"/>
        <s v="Camila Alvarez"/>
        <s v="Fernando Roman"/>
        <s v="Daniela Cancino"/>
        <s v="Kassandra Fernandez"/>
        <s v="Venecia Recabarren"/>
        <s v="Pilar Mora"/>
        <s v="Raul Rojas"/>
        <s v="Leonor Araneda"/>
        <s v="Estrella Azocar"/>
        <s v="Khris Silva"/>
        <s v="Felipe Barriga"/>
        <s v="Gustavo Marin"/>
        <s v="Luis Flores"/>
        <s v="Gustavo Aravena"/>
        <s v="Karen Silva"/>
        <s v="Maria Elena Muñoz"/>
        <s v="Sandra Cardenas"/>
        <s v="Javier Donoso"/>
        <s v="Rodrigo Neira"/>
        <s v="Fernando Wulf"/>
        <s v="Garibe Gallardo"/>
        <s v="Diego Saldivia"/>
        <s v="Francisca Contreras"/>
        <s v="Guissela Franco"/>
        <s v="Esteban Alarcon"/>
        <s v="Carlos Lopez Gutierrez"/>
        <s v="Omar Contreras"/>
        <s v="Carolina Lagos"/>
        <s v="Yuvit Garcia-Chacur"/>
        <s v="Franco Fuentes"/>
        <s v="Ximena Campos"/>
        <s v="Carolina Silva Carolina Silva"/>
        <s v="Maria Paz Gomez"/>
        <s v="Marta Borquez"/>
        <s v="Gonzalo Schulz"/>
        <s v="Mario Aburto"/>
        <s v="Munirih Soto"/>
        <s v="Luis Alfonso Oyarzun"/>
        <s v="Alejandro Nuñez"/>
        <s v="Pablo Miranda"/>
        <s v="Constanza García"/>
        <s v="Maria Teresa Jaramillo"/>
        <s v="Esteban Oyarzo"/>
        <s v="Ignacio Sotomayor"/>
        <s v="Cristina Collinao"/>
        <s v="Claudia Vera"/>
        <s v="Angela Montesinos"/>
        <s v="Carlos Utreras"/>
        <s v="Barbara Mendez"/>
        <s v="Marco Gonzalez"/>
        <s v="NMaria Paz Gomez"/>
        <s v="Estrella Azócar"/>
        <s v="Daniel Pereira"/>
        <s v="Ana María Diaz"/>
        <s v="Sandra Rodriguez"/>
        <s v="Waleska Monsalvez"/>
      </sharedItems>
    </cacheField>
    <cacheField name="Cargo responsable" numFmtId="0">
      <sharedItems count="108">
        <s v="Jefe Depto. Tecnologías de la Información"/>
        <s v="Jefe Depto."/>
        <s v="Enc. Sección Mant. de Vehículos"/>
        <s v="COORDINADORA EMERGENCIA"/>
        <s v="Jefa Subdepto. Gestión Clinica y Adm."/>
        <s v="Jefa Subdepto. Gestión Clínica y Adm."/>
        <s v="Jefatura Dpto. de Calidad de Vida"/>
        <s v="Encargado Mantenimineto"/>
        <s v="JEFA DE DEPTO DE CALIDAD DE VIDA"/>
        <s v="REFERENTE TARJETA ALIMENTACION"/>
        <s v="Encargado Gestión Salud Respiratoria"/>
        <s v="Encargada (S) Sección Administración de Contratos"/>
        <s v="Jefe (S) Subdepto. Soporte TIC"/>
        <s v="TECNICO RADIOCOMUNICACIONES"/>
        <s v="Jefe (s) Subdepto. Gestión Clínica y Administrativa Red Temática de Salud Mental de Especialidad"/>
        <s v="Jefa Subdepto. Mantención de Equipos Médicos e Industriales"/>
        <s v="JEFE SUBDEPTO FARMACIA"/>
        <s v="ENCARGADA (S) SECCIÓN DE ADMINISTRACIÓN DE CONTRATOS"/>
        <s v="Encargada"/>
        <s v="Coordinador"/>
        <s v="COMPRADOR"/>
        <s v="PAC Pasajes DSSO 2025-2026"/>
        <s v="DIRECTORA"/>
        <s v="Jefa Subdepto Abastecimiento"/>
        <s v="DIRECTOR COSAM"/>
        <s v="Coordinadora UID NEWEN"/>
        <s v="jefa subdepto gestión de programas en curso de vida"/>
        <s v="INGENIERO AMBIENTAL"/>
        <s v="Encargada Programas"/>
        <s v="Jefe Depto. Tecnologías de la Información y Comunicaiciones"/>
        <s v="Encargada Cuidados Infantiles y Conciliación"/>
        <s v="Jefa Subdepto. Gestión Clínica y Adm. Red Temática de Salud Mental de Especialidad"/>
        <s v="KINESIÓLOGA ENCARGADA PROGRAMA AYUDAS TÉCNICAS"/>
        <s v="Coordinador Unidad de Gestión de Procesos Clínicos de Atención de Especialidad Ambulatoria, Cerrada"/>
        <s v="Encargado Bodega General"/>
        <s v="JEFE SAMU OSORNO"/>
        <s v="PROFESIONAL"/>
        <s v="Encargada Alivio del Dolor y Cuidados Paliativos Universales"/>
        <s v="Encargado (S) Administracion Interna"/>
        <s v="Encargado Seccion"/>
        <s v="Encargado Sección Mantenimiento de Vehículos"/>
        <s v="Cajera"/>
        <s v="Referente Rehabilitación Integral"/>
        <s v="Encargada Programa Fofar"/>
        <s v="Jefe Subdepto. Diseño De Infraestructura De Salud"/>
        <s v="Encargada Proceso De Urgencia"/>
        <s v="Director(S)"/>
        <s v="Apoyo Salud Intercultural"/>
        <s v="Encargada De Compras"/>
        <s v="Encargada Trato Usuario"/>
        <s v="Secretaria"/>
        <s v="Encargada Apoyo Diagnóstico Laboratorio"/>
        <s v="Kinesióloga"/>
        <s v="Jefa Seccion Gestion Y Desarrollo Ley Medica"/>
        <s v="Enfermera"/>
        <s v="Kinesióloga Encargada Programa Atencion Domiciliaria Para Personas Con Dependencia Severa"/>
        <s v="Jefe Subdepartamento Farmacia"/>
        <s v="Nutricionista"/>
        <s v="Director"/>
        <s v="Trabajadora Social"/>
        <s v="Encargado (S) Administración Interna"/>
        <s v="Jefatura Unidad Prev. Riesgos"/>
        <s v="Encargada Saludablemente Funcionarios"/>
        <s v="Itos"/>
        <s v="Directora Técnica Droguería"/>
        <s v="Enc. Chcc"/>
        <s v="Kinesiólogo"/>
        <s v="Coordinadora"/>
        <s v="Jefe Depto. Desarrollo Organizacional"/>
        <s v="Jefa (S) Sub. Dpto. De Inversiones De Equipos Y Equipamiento"/>
        <s v="Jefa Subdepartamento Estudios De Preinversión"/>
        <s v="Jefe (S) Subdepartamento De Pre Inversion"/>
        <s v="Ito"/>
        <s v="Fos (S)"/>
        <s v="Referente"/>
        <s v="Matrona"/>
        <s v="Jefa Unidad Reclutamiento Y Seleccion"/>
        <s v="Jefe Subdetpo. Apoyo Diagnóstico Y Terapéutico"/>
        <s v="Referente De Programa Nacional De Inmunizaciones"/>
        <s v="Encargado De Gestión De Lista De Espera Y Programa Nacional De Cáncer"/>
        <s v="Coordinadora Unidad De Memoria"/>
        <s v="Referente Programa De Tuberculosis"/>
        <s v="Encargada Unidad De Cuidados Infantiles Y Conciliación"/>
        <s v="Jefe Sub Departamento Programa Curso De Vida"/>
        <s v="Odontologo"/>
        <s v="Jefatura Depto"/>
        <s v="Cirujano Dentista"/>
        <s v="Encargado Gestión De Sistemas"/>
        <s v="Encargado De Inventario"/>
        <s v="Psicóloga Safu"/>
        <s v="Encargado Programa Prevención Cáncer Pulmonar"/>
        <s v="Jefa Subdepto. Gestión De Programas"/>
        <s v="Asistente Ejecutivo"/>
        <s v="Psicologo"/>
        <s v="Sub. Dpto. Transparencia, Gestion Documental Y Lobby"/>
        <s v="Encargada Control De Gestion De Compras Y De Presupuesto"/>
        <s v="Coordinador (S)"/>
        <s v="Director COSAM Oriente"/>
        <s v="Referente Estrategia De Cuidados Integrales Centrados En Las Personas - Ecicep"/>
        <s v="Enc. Apoyo Diagnóstico En Imagenología"/>
        <s v="Jefa Subdepto. Programas En Curso De Vida."/>
        <s v="Jefa Unidad Reclutamiento y Selección"/>
        <s v="Encargado Salud Oral"/>
        <s v="Encargada Chile Crece Contigo"/>
        <s v="Apoyo Participación"/>
        <s v="Jefa Unidad Ciclo Laboral"/>
        <s v="Jefa Subdepto. Cultura Y Clima Organizacional"/>
        <s v="Jefatura"/>
      </sharedItems>
    </cacheField>
    <cacheField name="Teléfono responsable" numFmtId="0">
      <sharedItems/>
    </cacheField>
    <cacheField name="Correo responsable" numFmtId="0">
      <sharedItems/>
    </cacheField>
    <cacheField name="Fecha de Inicio Compra" numFmtId="14">
      <sharedItems containsSemiMixedTypes="0" containsNonDate="0" containsDate="1" containsString="0" minDate="2023-10-01T00:00:00" maxDate="2026-12-02T00:00:00" count="25">
        <d v="2024-01-01T00:00:00"/>
        <d v="2023-10-01T00:00:00"/>
        <d v="2024-05-01T00:00:00"/>
        <d v="2024-07-01T00:00:00"/>
        <d v="2024-06-01T00:00:00"/>
        <d v="2024-08-01T00:00:00"/>
        <d v="2025-12-01T00:00:00"/>
        <d v="2025-08-01T00:00:00"/>
        <d v="2025-01-01T00:00:00"/>
        <d v="2025-03-01T00:00:00"/>
        <d v="2025-06-01T00:00:00"/>
        <d v="2025-04-01T00:00:00"/>
        <d v="2025-07-01T00:00:00"/>
        <d v="2026-01-01T00:00:00"/>
        <d v="2026-04-01T00:00:00"/>
        <d v="2026-06-01T00:00:00"/>
        <d v="2026-09-01T00:00:00"/>
        <d v="2026-10-01T00:00:00"/>
        <d v="2026-11-01T00:00:00"/>
        <d v="2026-02-01T00:00:00"/>
        <d v="2026-05-01T00:00:00"/>
        <d v="2026-03-01T00:00:00"/>
        <d v="2026-07-01T00:00:00"/>
        <d v="2026-12-01T00:00:00"/>
        <d v="2026-08-01T00:00:00"/>
      </sharedItems>
      <fieldGroup par="31"/>
    </cacheField>
    <cacheField name="Fecha Publicación PAC 2026" numFmtId="0">
      <sharedItems containsNonDate="0" containsDate="1" containsString="0" containsBlank="1" minDate="2024-07-05T00:00:00" maxDate="2025-08-21T00:00:00"/>
    </cacheField>
    <cacheField name="Cantidad OC Asociadas Ítem 2026" numFmtId="0">
      <sharedItems containsSemiMixedTypes="0" containsString="0" containsNumber="1" containsInteger="1" minValue="0" maxValue="54"/>
    </cacheField>
    <cacheField name="OC Asociada Item 2026" numFmtId="0">
      <sharedItems containsBlank="1"/>
    </cacheField>
    <cacheField name="Item De Arraste" numFmtId="0">
      <sharedItems containsSemiMixedTypes="0" containsString="0" containsNumber="1" containsInteger="1" minValue="0" maxValue="1"/>
    </cacheField>
    <cacheField name="Monto De Arrastre" numFmtId="0">
      <sharedItems containsSemiMixedTypes="0" containsString="0" containsNumber="1" containsInteger="1" minValue="0" maxValue="75433075"/>
    </cacheField>
    <cacheField name="Meses envio OC de Arraste" numFmtId="0">
      <sharedItems containsNonDate="0" containsDate="1" containsString="0" containsBlank="1" minDate="2026-01-01T00:00:00" maxDate="2026-12-02T00:00:00"/>
    </cacheField>
    <cacheField name="PAC" numFmtId="0">
      <sharedItems count="2">
        <s v="Arrastre"/>
        <s v="PC26"/>
      </sharedItems>
    </cacheField>
    <cacheField name="TIPO PAC" numFmtId="0">
      <sharedItems count="7">
        <s v="Arrastre"/>
        <s v="Bienestar"/>
        <s v="Administración de Fondos"/>
        <s v="Compras Convenio GORE Region de Los Lagos"/>
        <s v="Bienes y Servicios"/>
        <s v="Activos Fijos"/>
        <s v="Obras Civiles"/>
      </sharedItems>
    </cacheField>
    <cacheField name="Meses (Fecha de Inicio Compra)" numFmtId="0" databaseField="0">
      <fieldGroup base="20">
        <rangePr groupBy="months" startDate="2023-10-01T00:00:00" endDate="2026-12-02T00:00:00"/>
        <groupItems count="14">
          <s v="&lt;01-10-2023"/>
          <s v="ene"/>
          <s v="feb"/>
          <s v="mar"/>
          <s v="abr"/>
          <s v="may"/>
          <s v="jun"/>
          <s v="jul"/>
          <s v="ago"/>
          <s v="sept"/>
          <s v="oct"/>
          <s v="nov"/>
          <s v="dic"/>
          <s v="&gt;02-12-2026"/>
        </groupItems>
      </fieldGroup>
    </cacheField>
    <cacheField name="Trimestres (Fecha de Inicio Compra)" numFmtId="0" databaseField="0">
      <fieldGroup base="20">
        <rangePr groupBy="quarters" startDate="2023-10-01T00:00:00" endDate="2026-12-02T00:00:00"/>
        <groupItems count="6">
          <s v="&lt;01-10-2023"/>
          <s v="Trim.1"/>
          <s v="Trim.2"/>
          <s v="Trim.3"/>
          <s v="Trim.4"/>
          <s v="&gt;02-12-2026"/>
        </groupItems>
      </fieldGroup>
    </cacheField>
    <cacheField name="Años (Fecha de Inicio Compra)" numFmtId="0" databaseField="0">
      <fieldGroup base="20">
        <rangePr groupBy="years" startDate="2023-10-01T00:00:00" endDate="2026-12-02T00:00:00"/>
        <groupItems count="6">
          <s v="&lt;01-10-2023"/>
          <s v="2023"/>
          <s v="2024"/>
          <s v="2025"/>
          <s v="2026"/>
          <s v="&gt;02-12-2026"/>
        </groupItems>
      </fieldGroup>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usuario" refreshedDate="46024.615785879629" createdVersion="8" refreshedVersion="8" minRefreshableVersion="3" recordCount="393" xr:uid="{ED5D5D6C-F4E1-49CC-B555-9BC24F437FAA}">
  <cacheSource type="worksheet">
    <worksheetSource ref="A1:G394" sheet="TD"/>
  </cacheSource>
  <cacheFields count="7">
    <cacheField name="PAC" numFmtId="0">
      <sharedItems/>
    </cacheField>
    <cacheField name="TIPO PAC" numFmtId="0">
      <sharedItems count="7">
        <s v="Arrastre"/>
        <s v="Activos Fijos"/>
        <s v="Administración de Fondos"/>
        <s v="Bienes y Servicios"/>
        <s v="Bienestar"/>
        <s v="Compras Convenio GORE Region de Los Lagos"/>
        <s v="Obras Civiles"/>
      </sharedItems>
    </cacheField>
    <cacheField name="ID Proyecto" numFmtId="0">
      <sharedItems/>
    </cacheField>
    <cacheField name="Nombre Proyecto" numFmtId="0">
      <sharedItems/>
    </cacheField>
    <cacheField name="Nombre responsable" numFmtId="0">
      <sharedItems/>
    </cacheField>
    <cacheField name="Cargo responsable" numFmtId="0">
      <sharedItems/>
    </cacheField>
    <cacheField name="Suma de Monto Total Ítem Año 2026" numFmtId="42">
      <sharedItems containsSemiMixedTypes="0" containsString="0" containsNumber="1" containsInteger="1" minValue="0" maxValue="2075079539"/>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359">
  <r>
    <s v="SERVICIO DE SALUD OSORNO"/>
    <x v="0"/>
    <x v="0"/>
    <s v="Proyecto operacional"/>
    <s v="Publicado"/>
    <s v="22.11.003"/>
    <x v="0"/>
    <s v="El presente proyecto tiene por objeto la contratación de un servicio de software y equipamiento de reloj control para todos los establecimientos dependientes de la Dirección del Servicio de Salud Osorno, por un período de 36 meses."/>
    <x v="0"/>
    <x v="0"/>
    <n v="1"/>
    <n v="1"/>
    <x v="0"/>
    <x v="0"/>
    <x v="0"/>
    <x v="0"/>
    <x v="0"/>
    <x v="0"/>
    <s v="64-2335840-"/>
    <s v="bruno.ojeda@redsalud.gov.cl"/>
    <x v="0"/>
    <d v="2024-07-05T00:00:00"/>
    <n v="54"/>
    <s v="1057532-268-SE25"/>
    <n v="1"/>
    <n v="2500000"/>
    <d v="2026-02-01T00:00:00"/>
    <x v="0"/>
  </r>
  <r>
    <s v="SERVICIO DE SALUD OSORNO"/>
    <x v="0"/>
    <x v="0"/>
    <s v="Proyecto operacional"/>
    <s v="Publicado"/>
    <s v="22.11.003"/>
    <x v="0"/>
    <s v="El presente proyecto tiene por objeto la contratación de un servicio de software y equipamiento de reloj control para todos los establecimientos dependientes de la Dirección del Servicio de Salud Osorno, por un período de 36 meses."/>
    <x v="0"/>
    <x v="0"/>
    <n v="1"/>
    <n v="1"/>
    <x v="0"/>
    <x v="0"/>
    <x v="0"/>
    <x v="0"/>
    <x v="0"/>
    <x v="0"/>
    <s v="64-2335840-"/>
    <s v="bruno.ojeda@redsalud.gov.cl"/>
    <x v="0"/>
    <d v="2024-07-05T00:00:00"/>
    <n v="54"/>
    <s v="1057532-268-SE25"/>
    <n v="1"/>
    <n v="2500000"/>
    <d v="2026-04-01T00:00:00"/>
    <x v="0"/>
  </r>
  <r>
    <s v="SERVICIO DE SALUD OSORNO"/>
    <x v="0"/>
    <x v="0"/>
    <s v="Proyecto operacional"/>
    <s v="Publicado"/>
    <s v="22.11.003"/>
    <x v="0"/>
    <s v="El presente proyecto tiene por objeto la contratación de un servicio de software y equipamiento de reloj control para todos los establecimientos dependientes de la Dirección del Servicio de Salud Osorno, por un período de 36 meses."/>
    <x v="0"/>
    <x v="0"/>
    <n v="1"/>
    <n v="1"/>
    <x v="0"/>
    <x v="0"/>
    <x v="0"/>
    <x v="0"/>
    <x v="0"/>
    <x v="0"/>
    <s v="64-2335840-"/>
    <s v="bruno.ojeda@redsalud.gov.cl"/>
    <x v="0"/>
    <d v="2024-07-05T00:00:00"/>
    <n v="54"/>
    <s v="1057532-266-SE25"/>
    <n v="1"/>
    <n v="2500000"/>
    <d v="2026-02-01T00:00:00"/>
    <x v="0"/>
  </r>
  <r>
    <s v="SERVICIO DE SALUD OSORNO"/>
    <x v="0"/>
    <x v="0"/>
    <s v="Proyecto operacional"/>
    <s v="Publicado"/>
    <s v="22.11.003"/>
    <x v="0"/>
    <s v="El presente proyecto tiene por objeto la contratación de un servicio de software y equipamiento de reloj control para todos los establecimientos dependientes de la Dirección del Servicio de Salud Osorno, por un período de 36 meses."/>
    <x v="0"/>
    <x v="0"/>
    <n v="1"/>
    <n v="1"/>
    <x v="0"/>
    <x v="0"/>
    <x v="0"/>
    <x v="0"/>
    <x v="0"/>
    <x v="0"/>
    <s v="64-2335840-"/>
    <s v="bruno.ojeda@redsalud.gov.cl"/>
    <x v="0"/>
    <d v="2024-07-05T00:00:00"/>
    <n v="54"/>
    <s v="1057532-266-SE25"/>
    <n v="1"/>
    <n v="2500000"/>
    <d v="2026-12-01T00:00:00"/>
    <x v="0"/>
  </r>
  <r>
    <s v="SERVICIO DE SALUD OSORNO"/>
    <x v="0"/>
    <x v="0"/>
    <s v="Proyecto operacional"/>
    <s v="Publicado"/>
    <s v="22.11.003"/>
    <x v="0"/>
    <s v="El presente proyecto tiene por objeto la contratación de un servicio de software y equipamiento de reloj control para todos los establecimientos dependientes de la Dirección del Servicio de Salud Osorno, por un período de 36 meses."/>
    <x v="0"/>
    <x v="0"/>
    <n v="1"/>
    <n v="1"/>
    <x v="0"/>
    <x v="0"/>
    <x v="0"/>
    <x v="0"/>
    <x v="0"/>
    <x v="0"/>
    <s v="64-2335840-"/>
    <s v="bruno.ojeda@redsalud.gov.cl"/>
    <x v="0"/>
    <d v="2024-07-05T00:00:00"/>
    <n v="54"/>
    <s v="1057532-267-SE25"/>
    <n v="1"/>
    <n v="2500000"/>
    <d v="2026-11-01T00:00:00"/>
    <x v="0"/>
  </r>
  <r>
    <s v="SERVICIO DE SALUD OSORNO"/>
    <x v="0"/>
    <x v="0"/>
    <s v="Proyecto operacional"/>
    <s v="Publicado"/>
    <s v="22.11.003"/>
    <x v="0"/>
    <s v="El presente proyecto tiene por objeto la contratación de un servicio de software y equipamiento de reloj control para todos los establecimientos dependientes de la Dirección del Servicio de Salud Osorno, por un período de 36 meses."/>
    <x v="0"/>
    <x v="0"/>
    <n v="1"/>
    <n v="1"/>
    <x v="0"/>
    <x v="0"/>
    <x v="0"/>
    <x v="0"/>
    <x v="0"/>
    <x v="0"/>
    <s v="64-2335840-"/>
    <s v="bruno.ojeda@redsalud.gov.cl"/>
    <x v="0"/>
    <d v="2024-07-05T00:00:00"/>
    <n v="54"/>
    <s v="1057532-268-SE25"/>
    <n v="1"/>
    <n v="2500000"/>
    <d v="2026-06-01T00:00:00"/>
    <x v="0"/>
  </r>
  <r>
    <s v="SERVICIO DE SALUD OSORNO"/>
    <x v="0"/>
    <x v="0"/>
    <s v="Proyecto operacional"/>
    <s v="Publicado"/>
    <s v="22.11.003"/>
    <x v="0"/>
    <s v="El presente proyecto tiene por objeto la contratación de un servicio de software y equipamiento de reloj control para todos los establecimientos dependientes de la Dirección del Servicio de Salud Osorno, por un período de 36 meses."/>
    <x v="0"/>
    <x v="0"/>
    <n v="1"/>
    <n v="1"/>
    <x v="0"/>
    <x v="0"/>
    <x v="0"/>
    <x v="0"/>
    <x v="0"/>
    <x v="0"/>
    <s v="64-2335840-"/>
    <s v="bruno.ojeda@redsalud.gov.cl"/>
    <x v="0"/>
    <d v="2024-07-05T00:00:00"/>
    <n v="54"/>
    <s v="1057532-268-SE25"/>
    <n v="1"/>
    <n v="2500000"/>
    <d v="2026-11-01T00:00:00"/>
    <x v="0"/>
  </r>
  <r>
    <s v="SERVICIO DE SALUD OSORNO"/>
    <x v="0"/>
    <x v="0"/>
    <s v="Proyecto operacional"/>
    <s v="Publicado"/>
    <s v="22.11.003"/>
    <x v="0"/>
    <s v="El presente proyecto tiene por objeto la contratación de un servicio de software y equipamiento de reloj control para todos los establecimientos dependientes de la Dirección del Servicio de Salud Osorno, por un período de 36 meses."/>
    <x v="0"/>
    <x v="0"/>
    <n v="1"/>
    <n v="1"/>
    <x v="0"/>
    <x v="0"/>
    <x v="0"/>
    <x v="0"/>
    <x v="0"/>
    <x v="0"/>
    <s v="64-2335840-"/>
    <s v="bruno.ojeda@redsalud.gov.cl"/>
    <x v="0"/>
    <d v="2024-07-05T00:00:00"/>
    <n v="54"/>
    <s v="1057532-266-SE25"/>
    <n v="1"/>
    <n v="2500000"/>
    <d v="2026-07-01T00:00:00"/>
    <x v="0"/>
  </r>
  <r>
    <s v="SERVICIO DE SALUD OSORNO"/>
    <x v="0"/>
    <x v="0"/>
    <s v="Proyecto operacional"/>
    <s v="Publicado"/>
    <s v="22.11.003"/>
    <x v="0"/>
    <s v="El presente proyecto tiene por objeto la contratación de un servicio de software y equipamiento de reloj control para todos los establecimientos dependientes de la Dirección del Servicio de Salud Osorno, por un período de 36 meses."/>
    <x v="0"/>
    <x v="0"/>
    <n v="1"/>
    <n v="1"/>
    <x v="0"/>
    <x v="0"/>
    <x v="0"/>
    <x v="0"/>
    <x v="0"/>
    <x v="0"/>
    <s v="64-2335840-"/>
    <s v="bruno.ojeda@redsalud.gov.cl"/>
    <x v="0"/>
    <d v="2024-07-05T00:00:00"/>
    <n v="54"/>
    <s v="1057532-266-SE25"/>
    <n v="1"/>
    <n v="2500000"/>
    <d v="2026-01-01T00:00:00"/>
    <x v="0"/>
  </r>
  <r>
    <s v="SERVICIO DE SALUD OSORNO"/>
    <x v="0"/>
    <x v="0"/>
    <s v="Proyecto operacional"/>
    <s v="Publicado"/>
    <s v="22.11.003"/>
    <x v="0"/>
    <s v="El presente proyecto tiene por objeto la contratación de un servicio de software y equipamiento de reloj control para todos los establecimientos dependientes de la Dirección del Servicio de Salud Osorno, por un período de 36 meses."/>
    <x v="0"/>
    <x v="0"/>
    <n v="1"/>
    <n v="1"/>
    <x v="0"/>
    <x v="0"/>
    <x v="0"/>
    <x v="0"/>
    <x v="0"/>
    <x v="0"/>
    <s v="64-2335840-"/>
    <s v="bruno.ojeda@redsalud.gov.cl"/>
    <x v="0"/>
    <d v="2024-07-05T00:00:00"/>
    <n v="54"/>
    <s v="1057532-266-SE25"/>
    <n v="1"/>
    <n v="2500000"/>
    <d v="2026-06-01T00:00:00"/>
    <x v="0"/>
  </r>
  <r>
    <s v="SERVICIO DE SALUD OSORNO"/>
    <x v="0"/>
    <x v="0"/>
    <s v="Proyecto operacional"/>
    <s v="Publicado"/>
    <s v="22.11.003"/>
    <x v="0"/>
    <s v="El presente proyecto tiene por objeto la contratación de un servicio de software y equipamiento de reloj control para todos los establecimientos dependientes de la Dirección del Servicio de Salud Osorno, por un período de 36 meses."/>
    <x v="0"/>
    <x v="0"/>
    <n v="1"/>
    <n v="1"/>
    <x v="0"/>
    <x v="0"/>
    <x v="0"/>
    <x v="0"/>
    <x v="0"/>
    <x v="0"/>
    <s v="64-2335840-"/>
    <s v="bruno.ojeda@redsalud.gov.cl"/>
    <x v="0"/>
    <d v="2024-07-05T00:00:00"/>
    <n v="54"/>
    <s v="1057532-267-SE25"/>
    <n v="1"/>
    <n v="2500000"/>
    <d v="2026-04-01T00:00:00"/>
    <x v="0"/>
  </r>
  <r>
    <s v="SERVICIO DE SALUD OSORNO"/>
    <x v="0"/>
    <x v="0"/>
    <s v="Proyecto operacional"/>
    <s v="Publicado"/>
    <s v="22.11.003"/>
    <x v="0"/>
    <s v="El presente proyecto tiene por objeto la contratación de un servicio de software y equipamiento de reloj control para todos los establecimientos dependientes de la Dirección del Servicio de Salud Osorno, por un período de 36 meses."/>
    <x v="0"/>
    <x v="0"/>
    <n v="1"/>
    <n v="1"/>
    <x v="0"/>
    <x v="0"/>
    <x v="0"/>
    <x v="0"/>
    <x v="0"/>
    <x v="0"/>
    <s v="64-2335840-"/>
    <s v="bruno.ojeda@redsalud.gov.cl"/>
    <x v="0"/>
    <d v="2024-07-05T00:00:00"/>
    <n v="54"/>
    <s v="1057532-266-SE25"/>
    <n v="1"/>
    <n v="2500000"/>
    <d v="2026-03-01T00:00:00"/>
    <x v="0"/>
  </r>
  <r>
    <s v="SERVICIO DE SALUD OSORNO"/>
    <x v="0"/>
    <x v="1"/>
    <s v="Proyecto estratégico"/>
    <s v="Publicado"/>
    <s v="22.11.003"/>
    <x v="1"/>
    <s v="&quot;Se requiere contar con sistema de control satelital (GPS) para la flota de vehículos motorizados (ambulancias, minibuses, camionetas, entre otros) correspondiente a los establecimientos de la Red del Servicio de Salud Osorno (Hospitales y Base SAMU), con la finalidad de realizar un adecuado control y gestión de flota, aumentando la eficiencia en la operación.&quot;"/>
    <x v="0"/>
    <x v="1"/>
    <n v="1"/>
    <n v="1"/>
    <x v="1"/>
    <x v="1"/>
    <x v="0"/>
    <x v="0"/>
    <x v="0"/>
    <x v="1"/>
    <s v="64-2335840-"/>
    <s v="bruno.ojeda@redsalud.gov.cl"/>
    <x v="1"/>
    <d v="2024-07-05T00:00:00"/>
    <n v="1"/>
    <s v="1057532-1544-SE24"/>
    <n v="1"/>
    <n v="559333"/>
    <d v="2026-01-01T00:00:00"/>
    <x v="0"/>
  </r>
  <r>
    <s v="SERVICIO DE SALUD OSORNO"/>
    <x v="0"/>
    <x v="1"/>
    <s v="Proyecto estratégico"/>
    <s v="Publicado"/>
    <s v="22.11.003"/>
    <x v="1"/>
    <s v="&quot;Se requiere contar con sistema de control satelital (GPS) para la flota de vehículos motorizados (ambulancias, minibuses, camionetas, entre otros) correspondiente a los establecimientos de la Red del Servicio de Salud Osorno (Hospitales y Base SAMU), con la finalidad de realizar un adecuado control y gestión de flota, aumentando la eficiencia en la operación.&quot;"/>
    <x v="0"/>
    <x v="1"/>
    <n v="1"/>
    <n v="1"/>
    <x v="1"/>
    <x v="1"/>
    <x v="0"/>
    <x v="0"/>
    <x v="0"/>
    <x v="1"/>
    <s v="64-2335840-"/>
    <s v="bruno.ojeda@redsalud.gov.cl"/>
    <x v="1"/>
    <d v="2024-07-05T00:00:00"/>
    <n v="1"/>
    <s v="1057532-1544-SE24"/>
    <n v="1"/>
    <n v="559333"/>
    <d v="2026-07-01T00:00:00"/>
    <x v="0"/>
  </r>
  <r>
    <s v="SERVICIO DE SALUD OSORNO"/>
    <x v="0"/>
    <x v="1"/>
    <s v="Proyecto estratégico"/>
    <s v="Publicado"/>
    <s v="22.11.003"/>
    <x v="1"/>
    <s v="&quot;Se requiere contar con sistema de control satelital (GPS) para la flota de vehículos motorizados (ambulancias, minibuses, camionetas, entre otros) correspondiente a los establecimientos de la Red del Servicio de Salud Osorno (Hospitales y Base SAMU), con la finalidad de realizar un adecuado control y gestión de flota, aumentando la eficiencia en la operación.&quot;"/>
    <x v="0"/>
    <x v="1"/>
    <n v="1"/>
    <n v="1"/>
    <x v="1"/>
    <x v="1"/>
    <x v="0"/>
    <x v="0"/>
    <x v="0"/>
    <x v="1"/>
    <s v="64-2335840-"/>
    <s v="bruno.ojeda@redsalud.gov.cl"/>
    <x v="1"/>
    <d v="2024-07-05T00:00:00"/>
    <n v="1"/>
    <s v="1057532-1544-SE24"/>
    <n v="1"/>
    <n v="559333"/>
    <d v="2026-05-01T00:00:00"/>
    <x v="0"/>
  </r>
  <r>
    <s v="SERVICIO DE SALUD OSORNO"/>
    <x v="0"/>
    <x v="1"/>
    <s v="Proyecto estratégico"/>
    <s v="Publicado"/>
    <s v="22.11.003"/>
    <x v="1"/>
    <s v="&quot;Se requiere contar con sistema de control satelital (GPS) para la flota de vehículos motorizados (ambulancias, minibuses, camionetas, entre otros) correspondiente a los establecimientos de la Red del Servicio de Salud Osorno (Hospitales y Base SAMU), con la finalidad de realizar un adecuado control y gestión de flota, aumentando la eficiencia en la operación.&quot;"/>
    <x v="0"/>
    <x v="1"/>
    <n v="1"/>
    <n v="1"/>
    <x v="1"/>
    <x v="1"/>
    <x v="0"/>
    <x v="0"/>
    <x v="0"/>
    <x v="1"/>
    <s v="64-2335840-"/>
    <s v="bruno.ojeda@redsalud.gov.cl"/>
    <x v="1"/>
    <d v="2024-07-05T00:00:00"/>
    <n v="1"/>
    <s v="1057532-1544-SE24"/>
    <n v="1"/>
    <n v="559333"/>
    <d v="2026-02-01T00:00:00"/>
    <x v="0"/>
  </r>
  <r>
    <s v="SERVICIO DE SALUD OSORNO"/>
    <x v="0"/>
    <x v="1"/>
    <s v="Proyecto estratégico"/>
    <s v="Publicado"/>
    <s v="22.11.003"/>
    <x v="1"/>
    <s v="&quot;Se requiere contar con sistema de control satelital (GPS) para la flota de vehículos motorizados (ambulancias, minibuses, camionetas, entre otros) correspondiente a los establecimientos de la Red del Servicio de Salud Osorno (Hospitales y Base SAMU), con la finalidad de realizar un adecuado control y gestión de flota, aumentando la eficiencia en la operación.&quot;"/>
    <x v="0"/>
    <x v="1"/>
    <n v="1"/>
    <n v="1"/>
    <x v="1"/>
    <x v="1"/>
    <x v="0"/>
    <x v="0"/>
    <x v="0"/>
    <x v="1"/>
    <s v="64-2335840-"/>
    <s v="bruno.ojeda@redsalud.gov.cl"/>
    <x v="1"/>
    <d v="2024-07-05T00:00:00"/>
    <n v="1"/>
    <s v="1057532-1544-SE24"/>
    <n v="1"/>
    <n v="559333"/>
    <d v="2026-08-01T00:00:00"/>
    <x v="0"/>
  </r>
  <r>
    <s v="SERVICIO DE SALUD OSORNO"/>
    <x v="0"/>
    <x v="1"/>
    <s v="Proyecto estratégico"/>
    <s v="Publicado"/>
    <s v="22.11.003"/>
    <x v="1"/>
    <s v="&quot;Se requiere contar con sistema de control satelital (GPS) para la flota de vehículos motorizados (ambulancias, minibuses, camionetas, entre otros) correspondiente a los establecimientos de la Red del Servicio de Salud Osorno (Hospitales y Base SAMU), con la finalidad de realizar un adecuado control y gestión de flota, aumentando la eficiencia en la operación.&quot;"/>
    <x v="0"/>
    <x v="1"/>
    <n v="1"/>
    <n v="1"/>
    <x v="1"/>
    <x v="1"/>
    <x v="0"/>
    <x v="0"/>
    <x v="0"/>
    <x v="1"/>
    <s v="64-2335840-"/>
    <s v="bruno.ojeda@redsalud.gov.cl"/>
    <x v="1"/>
    <d v="2024-07-05T00:00:00"/>
    <n v="1"/>
    <s v="1057532-1544-SE24"/>
    <n v="1"/>
    <n v="559333"/>
    <d v="2026-03-01T00:00:00"/>
    <x v="0"/>
  </r>
  <r>
    <s v="SERVICIO DE SALUD OSORNO"/>
    <x v="0"/>
    <x v="1"/>
    <s v="Proyecto estratégico"/>
    <s v="Publicado"/>
    <s v="22.11.003"/>
    <x v="1"/>
    <s v="&quot;Se requiere contar con sistema de control satelital (GPS) para la flota de vehículos motorizados (ambulancias, minibuses, camionetas, entre otros) correspondiente a los establecimientos de la Red del Servicio de Salud Osorno (Hospitales y Base SAMU), con la finalidad de realizar un adecuado control y gestión de flota, aumentando la eficiencia en la operación.&quot;"/>
    <x v="0"/>
    <x v="1"/>
    <n v="1"/>
    <n v="1"/>
    <x v="1"/>
    <x v="1"/>
    <x v="0"/>
    <x v="0"/>
    <x v="0"/>
    <x v="1"/>
    <s v="64-2335840-"/>
    <s v="bruno.ojeda@redsalud.gov.cl"/>
    <x v="1"/>
    <d v="2024-07-05T00:00:00"/>
    <n v="1"/>
    <s v="1057532-1544-SE24"/>
    <n v="1"/>
    <n v="559333"/>
    <d v="2026-06-01T00:00:00"/>
    <x v="0"/>
  </r>
  <r>
    <s v="SERVICIO DE SALUD OSORNO"/>
    <x v="0"/>
    <x v="1"/>
    <s v="Proyecto estratégico"/>
    <s v="Publicado"/>
    <s v="22.11.003"/>
    <x v="1"/>
    <s v="&quot;Se requiere contar con sistema de control satelital (GPS) para la flota de vehículos motorizados (ambulancias, minibuses, camionetas, entre otros) correspondiente a los establecimientos de la Red del Servicio de Salud Osorno (Hospitales y Base SAMU), con la finalidad de realizar un adecuado control y gestión de flota, aumentando la eficiencia en la operación.&quot;"/>
    <x v="0"/>
    <x v="1"/>
    <n v="1"/>
    <n v="1"/>
    <x v="1"/>
    <x v="1"/>
    <x v="0"/>
    <x v="0"/>
    <x v="0"/>
    <x v="1"/>
    <s v="64-2335840-"/>
    <s v="bruno.ojeda@redsalud.gov.cl"/>
    <x v="1"/>
    <d v="2024-07-05T00:00:00"/>
    <n v="1"/>
    <s v="1057532-1544-SE24"/>
    <n v="1"/>
    <n v="559333"/>
    <d v="2026-04-01T00:00:00"/>
    <x v="0"/>
  </r>
  <r>
    <s v="SERVICIO DE SALUD OSORNO"/>
    <x v="0"/>
    <x v="1"/>
    <s v="Proyecto estratégico"/>
    <s v="Publicado"/>
    <s v="22.11.003"/>
    <x v="1"/>
    <s v="&quot;Se requiere contar con sistema de control satelital (GPS) para la flota de vehículos motorizados (ambulancias, minibuses, camionetas, entre otros) correspondiente a los establecimientos de la Red del Servicio de Salud Osorno (Hospitales y Base SAMU), con la finalidad de realizar un adecuado control y gestión de flota, aumentando la eficiencia en la operación.&quot;"/>
    <x v="0"/>
    <x v="1"/>
    <n v="1"/>
    <n v="1"/>
    <x v="1"/>
    <x v="1"/>
    <x v="0"/>
    <x v="0"/>
    <x v="0"/>
    <x v="1"/>
    <s v="64-2335840-"/>
    <s v="bruno.ojeda@redsalud.gov.cl"/>
    <x v="1"/>
    <d v="2024-07-05T00:00:00"/>
    <n v="1"/>
    <s v="1057532-1544-SE24"/>
    <n v="1"/>
    <n v="559333"/>
    <d v="2026-09-01T00:00:00"/>
    <x v="0"/>
  </r>
  <r>
    <s v="SERVICIO DE SALUD OSORNO"/>
    <x v="0"/>
    <x v="1"/>
    <s v="Proyecto estratégico"/>
    <s v="Publicado"/>
    <s v="22.11.003"/>
    <x v="1"/>
    <s v="&quot;Se requiere contar con sistema de control satelital (GPS) para la flota de vehículos motorizados (ambulancias, minibuses, camionetas, entre otros) correspondiente a los establecimientos de la Red del Servicio de Salud Osorno (Hospitales y Base SAMU), con la finalidad de realizar un adecuado control y gestión de flota, aumentando la eficiencia en la operación.&quot;"/>
    <x v="0"/>
    <x v="1"/>
    <n v="1"/>
    <n v="1"/>
    <x v="1"/>
    <x v="1"/>
    <x v="0"/>
    <x v="0"/>
    <x v="0"/>
    <x v="1"/>
    <s v="64-2335840-"/>
    <s v="bruno.ojeda@redsalud.gov.cl"/>
    <x v="1"/>
    <d v="2024-07-05T00:00:00"/>
    <n v="1"/>
    <s v="1057532-1544-SE24"/>
    <n v="1"/>
    <n v="559333"/>
    <d v="2026-10-01T00:00:00"/>
    <x v="0"/>
  </r>
  <r>
    <s v="SERVICIO DE SALUD OSORNO"/>
    <x v="0"/>
    <x v="1"/>
    <s v="Proyecto estratégico"/>
    <s v="Publicado"/>
    <s v="22.11.003"/>
    <x v="1"/>
    <s v="&quot;Se requiere contar con sistema de control satelital (GPS) para la flota de vehículos motorizados (ambulancias, minibuses, camionetas, entre otros) correspondiente a los establecimientos de la Red del Servicio de Salud Osorno (Hospitales y Base SAMU), con la finalidad de realizar un adecuado control y gestión de flota, aumentando la eficiencia en la operación.&quot;"/>
    <x v="0"/>
    <x v="1"/>
    <n v="1"/>
    <n v="1"/>
    <x v="1"/>
    <x v="1"/>
    <x v="0"/>
    <x v="0"/>
    <x v="0"/>
    <x v="1"/>
    <s v="64-2335840-"/>
    <s v="bruno.ojeda@redsalud.gov.cl"/>
    <x v="1"/>
    <d v="2024-07-05T00:00:00"/>
    <n v="1"/>
    <s v="1057532-1544-SE24"/>
    <n v="1"/>
    <n v="559333"/>
    <d v="2026-11-01T00:00:00"/>
    <x v="0"/>
  </r>
  <r>
    <s v="SERVICIO DE SALUD OSORNO"/>
    <x v="0"/>
    <x v="1"/>
    <s v="Proyecto estratégico"/>
    <s v="Publicado"/>
    <s v="22.11.003"/>
    <x v="1"/>
    <s v="&quot;Se requiere contar con sistema de control satelital (GPS) para la flota de vehículos motorizados (ambulancias, minibuses, camionetas, entre otros) correspondiente a los establecimientos de la Red del Servicio de Salud Osorno (Hospitales y Base SAMU), con la finalidad de realizar un adecuado control y gestión de flota, aumentando la eficiencia en la operación.&quot;"/>
    <x v="0"/>
    <x v="1"/>
    <n v="1"/>
    <n v="1"/>
    <x v="1"/>
    <x v="1"/>
    <x v="0"/>
    <x v="0"/>
    <x v="0"/>
    <x v="1"/>
    <s v="64-2335840-"/>
    <s v="bruno.ojeda@redsalud.gov.cl"/>
    <x v="1"/>
    <d v="2024-07-05T00:00:00"/>
    <n v="1"/>
    <s v="1057532-1544-SE24"/>
    <n v="1"/>
    <n v="559333"/>
    <d v="2026-12-01T00:00:00"/>
    <x v="0"/>
  </r>
  <r>
    <s v="SERVICIO DE SALUD OSORNO"/>
    <x v="0"/>
    <x v="2"/>
    <s v="Proyecto operacional"/>
    <s v="Publicado"/>
    <s v="22.11.003"/>
    <x v="2"/>
    <s v="Tiene como finalidad realizar un adecuado control y gestión de flota de vehículos, aumentando la eficiencia en lo operacional, como también disminuyendo el riesgo de accidentes de tránsito."/>
    <x v="1"/>
    <x v="2"/>
    <n v="1"/>
    <n v="1"/>
    <x v="1"/>
    <x v="2"/>
    <x v="0"/>
    <x v="0"/>
    <x v="1"/>
    <x v="2"/>
    <s v="64-2565654-"/>
    <s v="felipe.salvob@redsalud.gob.cl"/>
    <x v="0"/>
    <d v="2024-07-05T00:00:00"/>
    <n v="0"/>
    <m/>
    <n v="1"/>
    <n v="559345"/>
    <d v="2026-12-01T00:00:00"/>
    <x v="0"/>
  </r>
  <r>
    <s v="SERVICIO DE SALUD OSORNO"/>
    <x v="0"/>
    <x v="2"/>
    <s v="Proyecto operacional"/>
    <s v="Publicado"/>
    <s v="22.11.003"/>
    <x v="2"/>
    <s v="Tiene como finalidad realizar un adecuado control y gestión de flota de vehículos, aumentando la eficiencia en lo operacional, como también disminuyendo el riesgo de accidentes de tránsito."/>
    <x v="1"/>
    <x v="2"/>
    <n v="1"/>
    <n v="1"/>
    <x v="1"/>
    <x v="1"/>
    <x v="0"/>
    <x v="0"/>
    <x v="1"/>
    <x v="2"/>
    <s v="64-2565654-"/>
    <s v="felipe.salvob@redsalud.gob.cl"/>
    <x v="0"/>
    <d v="2024-07-05T00:00:00"/>
    <n v="0"/>
    <m/>
    <n v="1"/>
    <n v="559333"/>
    <d v="2026-05-01T00:00:00"/>
    <x v="0"/>
  </r>
  <r>
    <s v="SERVICIO DE SALUD OSORNO"/>
    <x v="0"/>
    <x v="2"/>
    <s v="Proyecto operacional"/>
    <s v="Publicado"/>
    <s v="22.11.003"/>
    <x v="2"/>
    <s v="Tiene como finalidad realizar un adecuado control y gestión de flota de vehículos, aumentando la eficiencia en lo operacional, como también disminuyendo el riesgo de accidentes de tránsito."/>
    <x v="1"/>
    <x v="2"/>
    <n v="1"/>
    <n v="1"/>
    <x v="1"/>
    <x v="1"/>
    <x v="0"/>
    <x v="0"/>
    <x v="1"/>
    <x v="2"/>
    <s v="64-2565654-"/>
    <s v="felipe.salvob@redsalud.gob.cl"/>
    <x v="0"/>
    <d v="2024-07-05T00:00:00"/>
    <n v="0"/>
    <m/>
    <n v="1"/>
    <n v="559333"/>
    <d v="2026-03-01T00:00:00"/>
    <x v="0"/>
  </r>
  <r>
    <s v="SERVICIO DE SALUD OSORNO"/>
    <x v="0"/>
    <x v="2"/>
    <s v="Proyecto operacional"/>
    <s v="Publicado"/>
    <s v="22.11.003"/>
    <x v="2"/>
    <s v="Tiene como finalidad realizar un adecuado control y gestión de flota de vehículos, aumentando la eficiencia en lo operacional, como también disminuyendo el riesgo de accidentes de tránsito."/>
    <x v="1"/>
    <x v="2"/>
    <n v="1"/>
    <n v="1"/>
    <x v="1"/>
    <x v="1"/>
    <x v="0"/>
    <x v="0"/>
    <x v="1"/>
    <x v="2"/>
    <s v="64-2565654-"/>
    <s v="felipe.salvob@redsalud.gob.cl"/>
    <x v="0"/>
    <d v="2024-07-05T00:00:00"/>
    <n v="0"/>
    <m/>
    <n v="1"/>
    <n v="559333"/>
    <d v="2026-02-01T00:00:00"/>
    <x v="0"/>
  </r>
  <r>
    <s v="SERVICIO DE SALUD OSORNO"/>
    <x v="0"/>
    <x v="2"/>
    <s v="Proyecto operacional"/>
    <s v="Publicado"/>
    <s v="22.11.003"/>
    <x v="2"/>
    <s v="Tiene como finalidad realizar un adecuado control y gestión de flota de vehículos, aumentando la eficiencia en lo operacional, como también disminuyendo el riesgo de accidentes de tránsito."/>
    <x v="1"/>
    <x v="2"/>
    <n v="1"/>
    <n v="1"/>
    <x v="1"/>
    <x v="1"/>
    <x v="0"/>
    <x v="0"/>
    <x v="1"/>
    <x v="2"/>
    <s v="64-2565654-"/>
    <s v="felipe.salvob@redsalud.gob.cl"/>
    <x v="0"/>
    <d v="2024-07-05T00:00:00"/>
    <n v="0"/>
    <m/>
    <n v="1"/>
    <n v="559333"/>
    <d v="2026-06-01T00:00:00"/>
    <x v="0"/>
  </r>
  <r>
    <s v="SERVICIO DE SALUD OSORNO"/>
    <x v="0"/>
    <x v="2"/>
    <s v="Proyecto operacional"/>
    <s v="Publicado"/>
    <s v="22.11.003"/>
    <x v="2"/>
    <s v="Tiene como finalidad realizar un adecuado control y gestión de flota de vehículos, aumentando la eficiencia en lo operacional, como también disminuyendo el riesgo de accidentes de tránsito."/>
    <x v="1"/>
    <x v="2"/>
    <n v="1"/>
    <n v="1"/>
    <x v="1"/>
    <x v="1"/>
    <x v="0"/>
    <x v="0"/>
    <x v="1"/>
    <x v="2"/>
    <s v="64-2565654-"/>
    <s v="felipe.salvob@redsalud.gob.cl"/>
    <x v="0"/>
    <d v="2024-07-05T00:00:00"/>
    <n v="0"/>
    <m/>
    <n v="1"/>
    <n v="559333"/>
    <d v="2026-01-01T00:00:00"/>
    <x v="0"/>
  </r>
  <r>
    <s v="SERVICIO DE SALUD OSORNO"/>
    <x v="0"/>
    <x v="2"/>
    <s v="Proyecto operacional"/>
    <s v="Publicado"/>
    <s v="22.11.003"/>
    <x v="2"/>
    <s v="Tiene como finalidad realizar un adecuado control y gestión de flota de vehículos, aumentando la eficiencia en lo operacional, como también disminuyendo el riesgo de accidentes de tránsito."/>
    <x v="1"/>
    <x v="2"/>
    <n v="1"/>
    <n v="1"/>
    <x v="1"/>
    <x v="1"/>
    <x v="0"/>
    <x v="0"/>
    <x v="1"/>
    <x v="2"/>
    <s v="64-2565654-"/>
    <s v="felipe.salvob@redsalud.gob.cl"/>
    <x v="0"/>
    <d v="2024-07-05T00:00:00"/>
    <n v="0"/>
    <m/>
    <n v="1"/>
    <n v="559333"/>
    <d v="2026-07-01T00:00:00"/>
    <x v="0"/>
  </r>
  <r>
    <s v="SERVICIO DE SALUD OSORNO"/>
    <x v="0"/>
    <x v="2"/>
    <s v="Proyecto operacional"/>
    <s v="Publicado"/>
    <s v="22.11.003"/>
    <x v="2"/>
    <s v="Tiene como finalidad realizar un adecuado control y gestión de flota de vehículos, aumentando la eficiencia en lo operacional, como también disminuyendo el riesgo de accidentes de tránsito."/>
    <x v="1"/>
    <x v="2"/>
    <n v="1"/>
    <n v="1"/>
    <x v="1"/>
    <x v="1"/>
    <x v="0"/>
    <x v="0"/>
    <x v="1"/>
    <x v="2"/>
    <s v="64-2565654-"/>
    <s v="felipe.salvob@redsalud.gob.cl"/>
    <x v="0"/>
    <d v="2024-07-05T00:00:00"/>
    <n v="0"/>
    <m/>
    <n v="1"/>
    <n v="559333"/>
    <d v="2026-04-01T00:00:00"/>
    <x v="0"/>
  </r>
  <r>
    <s v="SERVICIO DE SALUD OSORNO"/>
    <x v="0"/>
    <x v="2"/>
    <s v="Proyecto operacional"/>
    <s v="Publicado"/>
    <s v="22.11.003"/>
    <x v="2"/>
    <s v="Tiene como finalidad realizar un adecuado control y gestión de flota de vehículos, aumentando la eficiencia en lo operacional, como también disminuyendo el riesgo de accidentes de tránsito."/>
    <x v="1"/>
    <x v="2"/>
    <n v="1"/>
    <n v="1"/>
    <x v="1"/>
    <x v="1"/>
    <x v="0"/>
    <x v="0"/>
    <x v="1"/>
    <x v="2"/>
    <s v="64-2565654-"/>
    <s v="felipe.salvob@redsalud.gob.cl"/>
    <x v="0"/>
    <d v="2024-07-05T00:00:00"/>
    <n v="0"/>
    <m/>
    <n v="1"/>
    <n v="559333"/>
    <d v="2026-08-01T00:00:00"/>
    <x v="0"/>
  </r>
  <r>
    <s v="SERVICIO DE SALUD OSORNO"/>
    <x v="0"/>
    <x v="2"/>
    <s v="Proyecto operacional"/>
    <s v="Publicado"/>
    <s v="22.11.003"/>
    <x v="2"/>
    <s v="Tiene como finalidad realizar un adecuado control y gestión de flota de vehículos, aumentando la eficiencia en lo operacional, como también disminuyendo el riesgo de accidentes de tránsito."/>
    <x v="1"/>
    <x v="2"/>
    <n v="1"/>
    <n v="1"/>
    <x v="1"/>
    <x v="1"/>
    <x v="0"/>
    <x v="0"/>
    <x v="1"/>
    <x v="2"/>
    <s v="64-2565654-"/>
    <s v="felipe.salvob@redsalud.gob.cl"/>
    <x v="0"/>
    <d v="2024-07-05T00:00:00"/>
    <n v="0"/>
    <m/>
    <n v="1"/>
    <n v="559333"/>
    <d v="2026-10-01T00:00:00"/>
    <x v="0"/>
  </r>
  <r>
    <s v="SERVICIO DE SALUD OSORNO"/>
    <x v="0"/>
    <x v="2"/>
    <s v="Proyecto operacional"/>
    <s v="Publicado"/>
    <s v="22.11.003"/>
    <x v="2"/>
    <s v="Tiene como finalidad realizar un adecuado control y gestión de flota de vehículos, aumentando la eficiencia en lo operacional, como también disminuyendo el riesgo de accidentes de tránsito."/>
    <x v="1"/>
    <x v="2"/>
    <n v="1"/>
    <n v="1"/>
    <x v="1"/>
    <x v="1"/>
    <x v="0"/>
    <x v="0"/>
    <x v="1"/>
    <x v="2"/>
    <s v="64-2565654-"/>
    <s v="felipe.salvob@redsalud.gob.cl"/>
    <x v="0"/>
    <d v="2024-07-05T00:00:00"/>
    <n v="0"/>
    <m/>
    <n v="1"/>
    <n v="559333"/>
    <d v="2026-09-01T00:00:00"/>
    <x v="0"/>
  </r>
  <r>
    <s v="SERVICIO DE SALUD OSORNO"/>
    <x v="0"/>
    <x v="2"/>
    <s v="Proyecto operacional"/>
    <s v="Publicado"/>
    <s v="22.11.003"/>
    <x v="2"/>
    <s v="Tiene como finalidad realizar un adecuado control y gestión de flota de vehículos, aumentando la eficiencia en lo operacional, como también disminuyendo el riesgo de accidentes de tránsito."/>
    <x v="1"/>
    <x v="2"/>
    <n v="1"/>
    <n v="1"/>
    <x v="1"/>
    <x v="1"/>
    <x v="0"/>
    <x v="0"/>
    <x v="1"/>
    <x v="2"/>
    <s v="64-2565654-"/>
    <s v="felipe.salvob@redsalud.gob.cl"/>
    <x v="0"/>
    <d v="2024-07-05T00:00:00"/>
    <n v="0"/>
    <m/>
    <n v="1"/>
    <n v="559333"/>
    <d v="2026-11-01T00:00:00"/>
    <x v="0"/>
  </r>
  <r>
    <s v="SERVICIO DE SALUD OSORNO"/>
    <x v="0"/>
    <x v="3"/>
    <s v="Proyecto estratégico"/>
    <s v="Publicado"/>
    <s v="22.11.003"/>
    <x v="3"/>
    <s v="SERVICIO DE SUSCRIPCION WAVE PTX, INCLUYE INTERPERABILIDAD CON SISTEMA VHF, GATEWAY, INSTALACION, LICENCIAS, GPS EN LOS EQUIPOS WAVE PTX."/>
    <x v="1"/>
    <x v="3"/>
    <n v="1"/>
    <n v="1"/>
    <x v="2"/>
    <x v="3"/>
    <x v="0"/>
    <x v="1"/>
    <x v="2"/>
    <x v="3"/>
    <s v="64-337728-"/>
    <s v="CATALINA.VERAC@REDSALUD.GOB.CL"/>
    <x v="2"/>
    <d v="2024-07-05T00:00:00"/>
    <n v="0"/>
    <m/>
    <n v="1"/>
    <n v="3611111"/>
    <d v="2026-07-01T00:00:00"/>
    <x v="0"/>
  </r>
  <r>
    <s v="SERVICIO DE SALUD OSORNO"/>
    <x v="0"/>
    <x v="3"/>
    <s v="Proyecto estratégico"/>
    <s v="Publicado"/>
    <s v="22.11.003"/>
    <x v="3"/>
    <s v="SERVICIO DE SUSCRIPCION WAVE PTX, INCLUYE INTERPERABILIDAD CON SISTEMA VHF, GATEWAY, INSTALACION, LICENCIAS, GPS EN LOS EQUIPOS WAVE PTX."/>
    <x v="1"/>
    <x v="3"/>
    <n v="1"/>
    <n v="1"/>
    <x v="2"/>
    <x v="3"/>
    <x v="0"/>
    <x v="1"/>
    <x v="2"/>
    <x v="3"/>
    <s v="64-337728-"/>
    <s v="CATALINA.VERAC@REDSALUD.GOB.CL"/>
    <x v="2"/>
    <d v="2024-07-05T00:00:00"/>
    <n v="0"/>
    <m/>
    <n v="1"/>
    <n v="3611111"/>
    <d v="2026-01-01T00:00:00"/>
    <x v="0"/>
  </r>
  <r>
    <s v="SERVICIO DE SALUD OSORNO"/>
    <x v="0"/>
    <x v="3"/>
    <s v="Proyecto estratégico"/>
    <s v="Publicado"/>
    <s v="22.11.003"/>
    <x v="3"/>
    <s v="SERVICIO DE SUSCRIPCION WAVE PTX, INCLUYE INTERPERABILIDAD CON SISTEMA VHF, GATEWAY, INSTALACION, LICENCIAS, GPS EN LOS EQUIPOS WAVE PTX."/>
    <x v="1"/>
    <x v="3"/>
    <n v="1"/>
    <n v="1"/>
    <x v="2"/>
    <x v="3"/>
    <x v="0"/>
    <x v="1"/>
    <x v="2"/>
    <x v="3"/>
    <s v="64-337728-"/>
    <s v="CATALINA.VERAC@REDSALUD.GOB.CL"/>
    <x v="2"/>
    <d v="2024-07-05T00:00:00"/>
    <n v="0"/>
    <m/>
    <n v="1"/>
    <n v="3611111"/>
    <d v="2026-12-01T00:00:00"/>
    <x v="0"/>
  </r>
  <r>
    <s v="SERVICIO DE SALUD OSORNO"/>
    <x v="0"/>
    <x v="3"/>
    <s v="Proyecto estratégico"/>
    <s v="Publicado"/>
    <s v="22.11.003"/>
    <x v="3"/>
    <s v="SERVICIO DE SUSCRIPCION WAVE PTX, INCLUYE INTERPERABILIDAD CON SISTEMA VHF, GATEWAY, INSTALACION, LICENCIAS, GPS EN LOS EQUIPOS WAVE PTX."/>
    <x v="1"/>
    <x v="3"/>
    <n v="1"/>
    <n v="1"/>
    <x v="2"/>
    <x v="3"/>
    <x v="0"/>
    <x v="1"/>
    <x v="2"/>
    <x v="3"/>
    <s v="64-337728-"/>
    <s v="CATALINA.VERAC@REDSALUD.GOB.CL"/>
    <x v="2"/>
    <d v="2024-07-05T00:00:00"/>
    <n v="0"/>
    <m/>
    <n v="1"/>
    <n v="3611111"/>
    <d v="2026-06-01T00:00:00"/>
    <x v="0"/>
  </r>
  <r>
    <s v="SERVICIO DE SALUD OSORNO"/>
    <x v="0"/>
    <x v="3"/>
    <s v="Proyecto estratégico"/>
    <s v="Publicado"/>
    <s v="22.11.003"/>
    <x v="3"/>
    <s v="SERVICIO DE SUSCRIPCION WAVE PTX, INCLUYE INTERPERABILIDAD CON SISTEMA VHF, GATEWAY, INSTALACION, LICENCIAS, GPS EN LOS EQUIPOS WAVE PTX."/>
    <x v="1"/>
    <x v="3"/>
    <n v="1"/>
    <n v="1"/>
    <x v="2"/>
    <x v="3"/>
    <x v="0"/>
    <x v="1"/>
    <x v="2"/>
    <x v="3"/>
    <s v="64-337728-"/>
    <s v="CATALINA.VERAC@REDSALUD.GOB.CL"/>
    <x v="2"/>
    <d v="2024-07-05T00:00:00"/>
    <n v="0"/>
    <m/>
    <n v="1"/>
    <n v="3611111"/>
    <d v="2026-09-01T00:00:00"/>
    <x v="0"/>
  </r>
  <r>
    <s v="SERVICIO DE SALUD OSORNO"/>
    <x v="0"/>
    <x v="3"/>
    <s v="Proyecto estratégico"/>
    <s v="Publicado"/>
    <s v="22.11.003"/>
    <x v="3"/>
    <s v="SERVICIO DE SUSCRIPCION WAVE PTX, INCLUYE INTERPERABILIDAD CON SISTEMA VHF, GATEWAY, INSTALACION, LICENCIAS, GPS EN LOS EQUIPOS WAVE PTX."/>
    <x v="1"/>
    <x v="3"/>
    <n v="1"/>
    <n v="1"/>
    <x v="2"/>
    <x v="3"/>
    <x v="0"/>
    <x v="1"/>
    <x v="2"/>
    <x v="3"/>
    <s v="64-337728-"/>
    <s v="CATALINA.VERAC@REDSALUD.GOB.CL"/>
    <x v="2"/>
    <d v="2024-07-05T00:00:00"/>
    <n v="0"/>
    <m/>
    <n v="1"/>
    <n v="3611111"/>
    <d v="2026-08-01T00:00:00"/>
    <x v="0"/>
  </r>
  <r>
    <s v="SERVICIO DE SALUD OSORNO"/>
    <x v="0"/>
    <x v="3"/>
    <s v="Proyecto estratégico"/>
    <s v="Publicado"/>
    <s v="22.11.003"/>
    <x v="3"/>
    <s v="SERVICIO DE SUSCRIPCION WAVE PTX, INCLUYE INTERPERABILIDAD CON SISTEMA VHF, GATEWAY, INSTALACION, LICENCIAS, GPS EN LOS EQUIPOS WAVE PTX."/>
    <x v="1"/>
    <x v="3"/>
    <n v="1"/>
    <n v="1"/>
    <x v="2"/>
    <x v="3"/>
    <x v="0"/>
    <x v="1"/>
    <x v="2"/>
    <x v="3"/>
    <s v="64-337728-"/>
    <s v="CATALINA.VERAC@REDSALUD.GOB.CL"/>
    <x v="2"/>
    <d v="2024-07-05T00:00:00"/>
    <n v="0"/>
    <m/>
    <n v="1"/>
    <n v="3611111"/>
    <d v="2026-02-01T00:00:00"/>
    <x v="0"/>
  </r>
  <r>
    <s v="SERVICIO DE SALUD OSORNO"/>
    <x v="0"/>
    <x v="3"/>
    <s v="Proyecto estratégico"/>
    <s v="Publicado"/>
    <s v="22.11.003"/>
    <x v="3"/>
    <s v="SERVICIO DE SUSCRIPCION WAVE PTX, INCLUYE INTERPERABILIDAD CON SISTEMA VHF, GATEWAY, INSTALACION, LICENCIAS, GPS EN LOS EQUIPOS WAVE PTX."/>
    <x v="1"/>
    <x v="3"/>
    <n v="1"/>
    <n v="1"/>
    <x v="2"/>
    <x v="3"/>
    <x v="0"/>
    <x v="1"/>
    <x v="2"/>
    <x v="3"/>
    <s v="64-337728-"/>
    <s v="CATALINA.VERAC@REDSALUD.GOB.CL"/>
    <x v="2"/>
    <d v="2024-07-05T00:00:00"/>
    <n v="0"/>
    <m/>
    <n v="1"/>
    <n v="3611111"/>
    <d v="2026-11-01T00:00:00"/>
    <x v="0"/>
  </r>
  <r>
    <s v="SERVICIO DE SALUD OSORNO"/>
    <x v="0"/>
    <x v="3"/>
    <s v="Proyecto estratégico"/>
    <s v="Publicado"/>
    <s v="22.11.003"/>
    <x v="3"/>
    <s v="SERVICIO DE SUSCRIPCION WAVE PTX, INCLUYE INTERPERABILIDAD CON SISTEMA VHF, GATEWAY, INSTALACION, LICENCIAS, GPS EN LOS EQUIPOS WAVE PTX."/>
    <x v="1"/>
    <x v="3"/>
    <n v="1"/>
    <n v="1"/>
    <x v="2"/>
    <x v="3"/>
    <x v="0"/>
    <x v="1"/>
    <x v="2"/>
    <x v="3"/>
    <s v="64-337728-"/>
    <s v="CATALINA.VERAC@REDSALUD.GOB.CL"/>
    <x v="2"/>
    <d v="2024-07-05T00:00:00"/>
    <n v="0"/>
    <m/>
    <n v="1"/>
    <n v="3611111"/>
    <d v="2026-04-01T00:00:00"/>
    <x v="0"/>
  </r>
  <r>
    <s v="SERVICIO DE SALUD OSORNO"/>
    <x v="0"/>
    <x v="3"/>
    <s v="Proyecto estratégico"/>
    <s v="Publicado"/>
    <s v="22.11.003"/>
    <x v="3"/>
    <s v="SERVICIO DE SUSCRIPCION WAVE PTX, INCLUYE INTERPERABILIDAD CON SISTEMA VHF, GATEWAY, INSTALACION, LICENCIAS, GPS EN LOS EQUIPOS WAVE PTX."/>
    <x v="1"/>
    <x v="3"/>
    <n v="1"/>
    <n v="1"/>
    <x v="2"/>
    <x v="3"/>
    <x v="0"/>
    <x v="1"/>
    <x v="2"/>
    <x v="3"/>
    <s v="64-337728-"/>
    <s v="CATALINA.VERAC@REDSALUD.GOB.CL"/>
    <x v="2"/>
    <d v="2024-07-05T00:00:00"/>
    <n v="0"/>
    <m/>
    <n v="1"/>
    <n v="3611111"/>
    <d v="2026-05-01T00:00:00"/>
    <x v="0"/>
  </r>
  <r>
    <s v="SERVICIO DE SALUD OSORNO"/>
    <x v="0"/>
    <x v="3"/>
    <s v="Proyecto estratégico"/>
    <s v="Publicado"/>
    <s v="22.11.003"/>
    <x v="3"/>
    <s v="SERVICIO DE SUSCRIPCION WAVE PTX, INCLUYE INTERPERABILIDAD CON SISTEMA VHF, GATEWAY, INSTALACION, LICENCIAS, GPS EN LOS EQUIPOS WAVE PTX."/>
    <x v="1"/>
    <x v="3"/>
    <n v="1"/>
    <n v="1"/>
    <x v="2"/>
    <x v="3"/>
    <x v="0"/>
    <x v="1"/>
    <x v="2"/>
    <x v="3"/>
    <s v="64-337728-"/>
    <s v="CATALINA.VERAC@REDSALUD.GOB.CL"/>
    <x v="2"/>
    <d v="2024-07-05T00:00:00"/>
    <n v="0"/>
    <m/>
    <n v="1"/>
    <n v="3611111"/>
    <d v="2026-03-01T00:00:00"/>
    <x v="0"/>
  </r>
  <r>
    <s v="SERVICIO DE SALUD OSORNO"/>
    <x v="0"/>
    <x v="3"/>
    <s v="Proyecto estratégico"/>
    <s v="Publicado"/>
    <s v="22.11.003"/>
    <x v="3"/>
    <s v="SERVICIO DE SUSCRIPCION WAVE PTX, INCLUYE INTERPERABILIDAD CON SISTEMA VHF, GATEWAY, INSTALACION, LICENCIAS, GPS EN LOS EQUIPOS WAVE PTX."/>
    <x v="1"/>
    <x v="3"/>
    <n v="1"/>
    <n v="1"/>
    <x v="2"/>
    <x v="3"/>
    <x v="0"/>
    <x v="1"/>
    <x v="2"/>
    <x v="3"/>
    <s v="64-337728-"/>
    <s v="CATALINA.VERAC@REDSALUD.GOB.CL"/>
    <x v="2"/>
    <d v="2024-07-05T00:00:00"/>
    <n v="0"/>
    <m/>
    <n v="1"/>
    <n v="3611111"/>
    <d v="2026-10-01T00:00:00"/>
    <x v="0"/>
  </r>
  <r>
    <s v="SERVICIO DE SALUD OSORNO"/>
    <x v="0"/>
    <x v="4"/>
    <s v="Proyecto operacional"/>
    <s v="Publicado"/>
    <s v="22.12.999.022"/>
    <x v="4"/>
    <s v="3 cupos Residencia Protegida por 24 meses, en la Región Metropolitana, por un total de 2190 días de residencia protegida."/>
    <x v="1"/>
    <x v="4"/>
    <n v="1"/>
    <n v="1"/>
    <x v="3"/>
    <x v="4"/>
    <x v="1"/>
    <x v="2"/>
    <x v="3"/>
    <x v="4"/>
    <s v="64-335813-"/>
    <s v="antonia.caifil@redsalud.gob.cl"/>
    <x v="3"/>
    <d v="2024-07-05T00:00:00"/>
    <n v="12"/>
    <s v="1057532-1987-SE24"/>
    <n v="1"/>
    <n v="3369406"/>
    <d v="2026-02-01T00:00:00"/>
    <x v="0"/>
  </r>
  <r>
    <s v="SERVICIO DE SALUD OSORNO"/>
    <x v="0"/>
    <x v="4"/>
    <s v="Proyecto operacional"/>
    <s v="Publicado"/>
    <s v="22.12.999.022"/>
    <x v="4"/>
    <s v="3 cupos Residencia Protegida por 24 meses, en la Región Metropolitana, por un total de 2190 días de residencia protegida."/>
    <x v="1"/>
    <x v="4"/>
    <n v="1"/>
    <n v="1"/>
    <x v="3"/>
    <x v="4"/>
    <x v="1"/>
    <x v="2"/>
    <x v="3"/>
    <x v="4"/>
    <s v="64-335813-"/>
    <s v="antonia.caifil@redsalud.gob.cl"/>
    <x v="3"/>
    <d v="2024-07-05T00:00:00"/>
    <n v="12"/>
    <s v="1057532-1299-SE24"/>
    <n v="1"/>
    <n v="3369406"/>
    <d v="2026-03-01T00:00:00"/>
    <x v="0"/>
  </r>
  <r>
    <s v="SERVICIO DE SALUD OSORNO"/>
    <x v="0"/>
    <x v="4"/>
    <s v="Proyecto operacional"/>
    <s v="Publicado"/>
    <s v="22.12.999.022"/>
    <x v="4"/>
    <s v="3 cupos Residencia Protegida por 24 meses, en la Región Metropolitana, por un total de 2190 días de residencia protegida."/>
    <x v="1"/>
    <x v="4"/>
    <n v="1"/>
    <n v="1"/>
    <x v="3"/>
    <x v="4"/>
    <x v="1"/>
    <x v="2"/>
    <x v="3"/>
    <x v="4"/>
    <s v="64-335813-"/>
    <s v="antonia.caifil@redsalud.gob.cl"/>
    <x v="3"/>
    <d v="2024-07-05T00:00:00"/>
    <n v="12"/>
    <s v="1057532-1987-SE24"/>
    <n v="1"/>
    <n v="3369406"/>
    <d v="2026-07-01T00:00:00"/>
    <x v="0"/>
  </r>
  <r>
    <s v="SERVICIO DE SALUD OSORNO"/>
    <x v="0"/>
    <x v="4"/>
    <s v="Proyecto operacional"/>
    <s v="Publicado"/>
    <s v="22.12.999.022"/>
    <x v="4"/>
    <s v="3 cupos Residencia Protegida por 24 meses, en la Región Metropolitana, por un total de 2190 días de residencia protegida."/>
    <x v="1"/>
    <x v="4"/>
    <n v="1"/>
    <n v="1"/>
    <x v="3"/>
    <x v="4"/>
    <x v="1"/>
    <x v="2"/>
    <x v="3"/>
    <x v="4"/>
    <s v="64-335813-"/>
    <s v="antonia.caifil@redsalud.gob.cl"/>
    <x v="3"/>
    <d v="2024-07-05T00:00:00"/>
    <n v="12"/>
    <s v="1057532-1299-SE24"/>
    <n v="1"/>
    <n v="3369406"/>
    <d v="2026-06-01T00:00:00"/>
    <x v="0"/>
  </r>
  <r>
    <s v="SERVICIO DE SALUD OSORNO"/>
    <x v="0"/>
    <x v="4"/>
    <s v="Proyecto operacional"/>
    <s v="Publicado"/>
    <s v="22.12.999.022"/>
    <x v="4"/>
    <s v="3 cupos Residencia Protegida por 24 meses, en la Región Metropolitana, por un total de 2190 días de residencia protegida."/>
    <x v="1"/>
    <x v="4"/>
    <n v="1"/>
    <n v="1"/>
    <x v="3"/>
    <x v="4"/>
    <x v="1"/>
    <x v="2"/>
    <x v="3"/>
    <x v="4"/>
    <s v="64-335813-"/>
    <s v="antonia.caifil@redsalud.gob.cl"/>
    <x v="3"/>
    <d v="2024-07-05T00:00:00"/>
    <n v="12"/>
    <s v="1057532-1831-SE24"/>
    <n v="1"/>
    <n v="3369406"/>
    <d v="2026-06-01T00:00:00"/>
    <x v="0"/>
  </r>
  <r>
    <s v="SERVICIO DE SALUD OSORNO"/>
    <x v="0"/>
    <x v="4"/>
    <s v="Proyecto operacional"/>
    <s v="Publicado"/>
    <s v="22.12.999.022"/>
    <x v="4"/>
    <s v="3 cupos Residencia Protegida por 24 meses, en la Región Metropolitana, por un total de 2190 días de residencia protegida."/>
    <x v="1"/>
    <x v="4"/>
    <n v="1"/>
    <n v="1"/>
    <x v="3"/>
    <x v="4"/>
    <x v="1"/>
    <x v="2"/>
    <x v="3"/>
    <x v="4"/>
    <s v="64-335813-"/>
    <s v="antonia.caifil@redsalud.gob.cl"/>
    <x v="3"/>
    <d v="2024-07-05T00:00:00"/>
    <n v="12"/>
    <s v="1057532-1987-SE24"/>
    <n v="1"/>
    <n v="3369406"/>
    <d v="2026-11-01T00:00:00"/>
    <x v="0"/>
  </r>
  <r>
    <s v="SERVICIO DE SALUD OSORNO"/>
    <x v="0"/>
    <x v="4"/>
    <s v="Proyecto operacional"/>
    <s v="Publicado"/>
    <s v="22.12.999.022"/>
    <x v="4"/>
    <s v="3 cupos Residencia Protegida por 24 meses, en la Región Metropolitana, por un total de 2190 días de residencia protegida."/>
    <x v="1"/>
    <x v="4"/>
    <n v="1"/>
    <n v="1"/>
    <x v="3"/>
    <x v="4"/>
    <x v="1"/>
    <x v="2"/>
    <x v="3"/>
    <x v="4"/>
    <s v="64-335813-"/>
    <s v="antonia.caifil@redsalud.gob.cl"/>
    <x v="3"/>
    <d v="2024-07-05T00:00:00"/>
    <n v="12"/>
    <s v="1057532-1831-SE24"/>
    <n v="1"/>
    <n v="3369406"/>
    <d v="2026-07-01T00:00:00"/>
    <x v="0"/>
  </r>
  <r>
    <s v="SERVICIO DE SALUD OSORNO"/>
    <x v="0"/>
    <x v="4"/>
    <s v="Proyecto operacional"/>
    <s v="Publicado"/>
    <s v="22.12.999.022"/>
    <x v="4"/>
    <s v="3 cupos Residencia Protegida por 24 meses, en la Región Metropolitana, por un total de 2190 días de residencia protegida."/>
    <x v="1"/>
    <x v="4"/>
    <n v="1"/>
    <n v="1"/>
    <x v="3"/>
    <x v="4"/>
    <x v="1"/>
    <x v="2"/>
    <x v="3"/>
    <x v="4"/>
    <s v="64-335813-"/>
    <s v="antonia.caifil@redsalud.gob.cl"/>
    <x v="3"/>
    <d v="2024-07-05T00:00:00"/>
    <n v="12"/>
    <s v="1057532-4506-SE25"/>
    <n v="1"/>
    <n v="3369406"/>
    <d v="2026-02-01T00:00:00"/>
    <x v="0"/>
  </r>
  <r>
    <s v="SERVICIO DE SALUD OSORNO"/>
    <x v="0"/>
    <x v="4"/>
    <s v="Proyecto operacional"/>
    <s v="Publicado"/>
    <s v="22.12.999.022"/>
    <x v="4"/>
    <s v="3 cupos Residencia Protegida por 24 meses, en la Región Metropolitana, por un total de 2190 días de residencia protegida."/>
    <x v="1"/>
    <x v="4"/>
    <n v="1"/>
    <n v="1"/>
    <x v="3"/>
    <x v="4"/>
    <x v="1"/>
    <x v="2"/>
    <x v="3"/>
    <x v="4"/>
    <s v="64-335813-"/>
    <s v="antonia.caifil@redsalud.gob.cl"/>
    <x v="3"/>
    <d v="2024-07-05T00:00:00"/>
    <n v="12"/>
    <s v="1057532-1299-SE24"/>
    <n v="1"/>
    <n v="3369406"/>
    <d v="2026-02-01T00:00:00"/>
    <x v="0"/>
  </r>
  <r>
    <s v="SERVICIO DE SALUD OSORNO"/>
    <x v="0"/>
    <x v="4"/>
    <s v="Proyecto operacional"/>
    <s v="Publicado"/>
    <s v="22.12.999.022"/>
    <x v="4"/>
    <s v="3 cupos Residencia Protegida por 24 meses, en la Región Metropolitana, por un total de 2190 días de residencia protegida."/>
    <x v="1"/>
    <x v="4"/>
    <n v="1"/>
    <n v="1"/>
    <x v="3"/>
    <x v="5"/>
    <x v="1"/>
    <x v="2"/>
    <x v="3"/>
    <x v="4"/>
    <s v="64-335813-"/>
    <s v="antonia.caifil@redsalud.gob.cl"/>
    <x v="3"/>
    <d v="2024-07-05T00:00:00"/>
    <n v="12"/>
    <s v="1057532-1831-SE24"/>
    <n v="1"/>
    <n v="3369406"/>
    <d v="2026-08-01T00:00:00"/>
    <x v="0"/>
  </r>
  <r>
    <s v="SERVICIO DE SALUD OSORNO"/>
    <x v="0"/>
    <x v="4"/>
    <s v="Proyecto operacional"/>
    <s v="Publicado"/>
    <s v="22.12.999.022"/>
    <x v="4"/>
    <s v="3 cupos Residencia Protegida por 24 meses, en la Región Metropolitana, por un total de 2190 días de residencia protegida."/>
    <x v="1"/>
    <x v="4"/>
    <n v="1"/>
    <n v="1"/>
    <x v="3"/>
    <x v="5"/>
    <x v="1"/>
    <x v="2"/>
    <x v="3"/>
    <x v="4"/>
    <s v="64-335813-"/>
    <s v="antonia.caifil@redsalud.gob.cl"/>
    <x v="3"/>
    <d v="2024-07-05T00:00:00"/>
    <n v="12"/>
    <s v="1057532-1299-SE24"/>
    <n v="1"/>
    <n v="3369406"/>
    <d v="2026-11-01T00:00:00"/>
    <x v="0"/>
  </r>
  <r>
    <s v="SERVICIO DE SALUD OSORNO"/>
    <x v="0"/>
    <x v="4"/>
    <s v="Proyecto operacional"/>
    <s v="Publicado"/>
    <s v="22.12.999.022"/>
    <x v="4"/>
    <s v="3 cupos Residencia Protegida por 24 meses, en la Región Metropolitana, por un total de 2190 días de residencia protegida."/>
    <x v="1"/>
    <x v="4"/>
    <n v="1"/>
    <n v="1"/>
    <x v="3"/>
    <x v="5"/>
    <x v="1"/>
    <x v="2"/>
    <x v="3"/>
    <x v="4"/>
    <s v="64-335813-"/>
    <s v="antonia.caifil@redsalud.gob.cl"/>
    <x v="3"/>
    <d v="2024-07-05T00:00:00"/>
    <n v="12"/>
    <s v="1057532-1299-SE24"/>
    <n v="1"/>
    <n v="3369406"/>
    <d v="2026-05-01T00:00:00"/>
    <x v="0"/>
  </r>
  <r>
    <s v="SERVICIO DE SALUD OSORNO"/>
    <x v="0"/>
    <x v="5"/>
    <s v="Proyecto estratégico"/>
    <s v="Publicado"/>
    <s v="22.12.999.022"/>
    <x v="5"/>
    <s v="08 cupos Hogar Protegido Varones para el SSO en la ciudad de Osorno, por un periodo de 24 meses."/>
    <x v="1"/>
    <x v="4"/>
    <n v="1"/>
    <n v="1"/>
    <x v="4"/>
    <x v="6"/>
    <x v="1"/>
    <x v="2"/>
    <x v="3"/>
    <x v="5"/>
    <s v="64-335813-"/>
    <s v="caifil.antonia@redsalud.gob.cl"/>
    <x v="4"/>
    <d v="2024-07-05T00:00:00"/>
    <n v="5"/>
    <s v="1057532-1988-SE24"/>
    <n v="1"/>
    <n v="6530093"/>
    <d v="2026-02-01T00:00:00"/>
    <x v="0"/>
  </r>
  <r>
    <s v="SERVICIO DE SALUD OSORNO"/>
    <x v="0"/>
    <x v="5"/>
    <s v="Proyecto estratégico"/>
    <s v="Publicado"/>
    <s v="22.12.999.022"/>
    <x v="5"/>
    <s v="08 cupos Hogar Protegido Varones para el SSO en la ciudad de Osorno, por un periodo de 24 meses."/>
    <x v="1"/>
    <x v="4"/>
    <n v="1"/>
    <n v="1"/>
    <x v="4"/>
    <x v="6"/>
    <x v="1"/>
    <x v="2"/>
    <x v="3"/>
    <x v="5"/>
    <s v="64-335813-"/>
    <s v="caifil.antonia@redsalud.gob.cl"/>
    <x v="4"/>
    <d v="2024-07-05T00:00:00"/>
    <n v="5"/>
    <s v="1057532-1988-SE24"/>
    <n v="1"/>
    <n v="6530093"/>
    <d v="2026-01-01T00:00:00"/>
    <x v="0"/>
  </r>
  <r>
    <s v="SERVICIO DE SALUD OSORNO"/>
    <x v="0"/>
    <x v="5"/>
    <s v="Proyecto estratégico"/>
    <s v="Publicado"/>
    <s v="22.12.999.022"/>
    <x v="5"/>
    <s v="08 cupos Hogar Protegido Varones para el SSO en la ciudad de Osorno, por un periodo de 24 meses."/>
    <x v="1"/>
    <x v="4"/>
    <n v="1"/>
    <n v="1"/>
    <x v="4"/>
    <x v="6"/>
    <x v="1"/>
    <x v="2"/>
    <x v="3"/>
    <x v="5"/>
    <s v="64-335813-"/>
    <s v="caifil.antonia@redsalud.gob.cl"/>
    <x v="4"/>
    <d v="2024-07-05T00:00:00"/>
    <n v="5"/>
    <s v="1057532-1758-SE24"/>
    <n v="1"/>
    <n v="6530093"/>
    <d v="2026-01-01T00:00:00"/>
    <x v="0"/>
  </r>
  <r>
    <s v="SERVICIO DE SALUD OSORNO"/>
    <x v="0"/>
    <x v="5"/>
    <s v="Proyecto estratégico"/>
    <s v="Publicado"/>
    <s v="22.12.999.022"/>
    <x v="5"/>
    <s v="08 cupos Hogar Protegido Varones para el SSO en la ciudad de Osorno, por un periodo de 24 meses."/>
    <x v="1"/>
    <x v="4"/>
    <n v="1"/>
    <n v="1"/>
    <x v="4"/>
    <x v="6"/>
    <x v="1"/>
    <x v="2"/>
    <x v="3"/>
    <x v="5"/>
    <s v="64-335813-"/>
    <s v="caifil.antonia@redsalud.gob.cl"/>
    <x v="4"/>
    <d v="2024-07-05T00:00:00"/>
    <n v="5"/>
    <s v="1057532-2054-SE24"/>
    <n v="1"/>
    <n v="6530093"/>
    <d v="2026-05-01T00:00:00"/>
    <x v="0"/>
  </r>
  <r>
    <s v="SERVICIO DE SALUD OSORNO"/>
    <x v="0"/>
    <x v="5"/>
    <s v="Proyecto estratégico"/>
    <s v="Publicado"/>
    <s v="22.12.999.022"/>
    <x v="5"/>
    <s v="08 cupos Hogar Protegido Varones para el SSO en la ciudad de Osorno, por un periodo de 24 meses."/>
    <x v="1"/>
    <x v="4"/>
    <n v="1"/>
    <n v="1"/>
    <x v="4"/>
    <x v="6"/>
    <x v="1"/>
    <x v="2"/>
    <x v="3"/>
    <x v="5"/>
    <s v="64-335813-"/>
    <s v="caifil.antonia@redsalud.gob.cl"/>
    <x v="4"/>
    <d v="2024-07-05T00:00:00"/>
    <n v="5"/>
    <s v="1057532-2053-SE24"/>
    <n v="1"/>
    <n v="6530093"/>
    <d v="2026-08-01T00:00:00"/>
    <x v="0"/>
  </r>
  <r>
    <s v="SERVICIO DE SALUD OSORNO"/>
    <x v="0"/>
    <x v="5"/>
    <s v="Proyecto estratégico"/>
    <s v="Publicado"/>
    <s v="22.12.999.022"/>
    <x v="5"/>
    <s v="08 cupos Hogar Protegido Varones para el SSO en la ciudad de Osorno, por un periodo de 24 meses."/>
    <x v="1"/>
    <x v="4"/>
    <n v="1"/>
    <n v="1"/>
    <x v="4"/>
    <x v="6"/>
    <x v="1"/>
    <x v="2"/>
    <x v="3"/>
    <x v="5"/>
    <s v="64-335813-"/>
    <s v="caifil.antonia@redsalud.gob.cl"/>
    <x v="4"/>
    <d v="2024-07-05T00:00:00"/>
    <n v="5"/>
    <s v="1057532-1758-SE24"/>
    <n v="1"/>
    <n v="6530093"/>
    <d v="2026-05-01T00:00:00"/>
    <x v="0"/>
  </r>
  <r>
    <s v="SERVICIO DE SALUD OSORNO"/>
    <x v="0"/>
    <x v="5"/>
    <s v="Proyecto estratégico"/>
    <s v="Publicado"/>
    <s v="22.12.999.022"/>
    <x v="5"/>
    <s v="08 cupos Hogar Protegido Varones para el SSO en la ciudad de Osorno, por un periodo de 24 meses."/>
    <x v="1"/>
    <x v="4"/>
    <n v="1"/>
    <n v="1"/>
    <x v="4"/>
    <x v="6"/>
    <x v="1"/>
    <x v="2"/>
    <x v="3"/>
    <x v="5"/>
    <s v="64-335813-"/>
    <s v="caifil.antonia@redsalud.gob.cl"/>
    <x v="4"/>
    <d v="2024-07-05T00:00:00"/>
    <n v="5"/>
    <s v="1057532-1988-SE24"/>
    <n v="1"/>
    <n v="6530093"/>
    <d v="2026-05-01T00:00:00"/>
    <x v="0"/>
  </r>
  <r>
    <s v="SERVICIO DE SALUD OSORNO"/>
    <x v="0"/>
    <x v="5"/>
    <s v="Proyecto estratégico"/>
    <s v="Publicado"/>
    <s v="22.12.999.022"/>
    <x v="5"/>
    <s v="08 cupos Hogar Protegido Varones para el SSO en la ciudad de Osorno, por un periodo de 24 meses."/>
    <x v="1"/>
    <x v="4"/>
    <n v="1"/>
    <n v="1"/>
    <x v="4"/>
    <x v="6"/>
    <x v="1"/>
    <x v="2"/>
    <x v="3"/>
    <x v="5"/>
    <s v="64-335813-"/>
    <s v="caifil.antonia@redsalud.gob.cl"/>
    <x v="4"/>
    <d v="2024-07-05T00:00:00"/>
    <n v="5"/>
    <s v="1057532-2053-SE24"/>
    <n v="1"/>
    <n v="6530093"/>
    <d v="2026-01-01T00:00:00"/>
    <x v="0"/>
  </r>
  <r>
    <s v="SERVICIO DE SALUD OSORNO"/>
    <x v="0"/>
    <x v="5"/>
    <s v="Proyecto estratégico"/>
    <s v="Publicado"/>
    <s v="22.12.999.022"/>
    <x v="5"/>
    <s v="08 cupos Hogar Protegido Varones para el SSO en la ciudad de Osorno, por un periodo de 24 meses."/>
    <x v="1"/>
    <x v="4"/>
    <n v="1"/>
    <n v="1"/>
    <x v="4"/>
    <x v="6"/>
    <x v="1"/>
    <x v="2"/>
    <x v="3"/>
    <x v="5"/>
    <s v="64-335813-"/>
    <s v="caifil.antonia@redsalud.gob.cl"/>
    <x v="4"/>
    <d v="2024-07-05T00:00:00"/>
    <n v="5"/>
    <s v="1057532-1758-SE24"/>
    <n v="1"/>
    <n v="6530093"/>
    <d v="2026-03-01T00:00:00"/>
    <x v="0"/>
  </r>
  <r>
    <s v="SERVICIO DE SALUD OSORNO"/>
    <x v="0"/>
    <x v="5"/>
    <s v="Proyecto estratégico"/>
    <s v="Publicado"/>
    <s v="22.12.999.022"/>
    <x v="5"/>
    <s v="08 cupos Hogar Protegido Varones para el SSO en la ciudad de Osorno, por un periodo de 24 meses."/>
    <x v="1"/>
    <x v="4"/>
    <n v="1"/>
    <n v="1"/>
    <x v="4"/>
    <x v="7"/>
    <x v="1"/>
    <x v="2"/>
    <x v="3"/>
    <x v="5"/>
    <s v="64-335813-"/>
    <s v="caifil.antonia@redsalud.gob.cl"/>
    <x v="4"/>
    <d v="2024-07-05T00:00:00"/>
    <n v="5"/>
    <s v="1057532-2054-SE24"/>
    <n v="1"/>
    <n v="6530099"/>
    <d v="2026-12-01T00:00:00"/>
    <x v="0"/>
  </r>
  <r>
    <s v="SERVICIO DE SALUD OSORNO"/>
    <x v="0"/>
    <x v="5"/>
    <s v="Proyecto estratégico"/>
    <s v="Publicado"/>
    <s v="22.12.999.022"/>
    <x v="5"/>
    <s v="08 cupos Hogar Protegido Varones para el SSO en la ciudad de Osorno, por un periodo de 24 meses."/>
    <x v="1"/>
    <x v="4"/>
    <n v="1"/>
    <n v="1"/>
    <x v="4"/>
    <x v="6"/>
    <x v="1"/>
    <x v="2"/>
    <x v="3"/>
    <x v="5"/>
    <s v="64-335813-"/>
    <s v="caifil.antonia@redsalud.gob.cl"/>
    <x v="4"/>
    <d v="2024-07-05T00:00:00"/>
    <n v="5"/>
    <s v="1057532-1758-SE24"/>
    <n v="1"/>
    <n v="6530093"/>
    <d v="2026-07-01T00:00:00"/>
    <x v="0"/>
  </r>
  <r>
    <s v="SERVICIO DE SALUD OSORNO"/>
    <x v="0"/>
    <x v="5"/>
    <s v="Proyecto estratégico"/>
    <s v="Publicado"/>
    <s v="22.12.999.022"/>
    <x v="5"/>
    <s v="08 cupos Hogar Protegido Varones para el SSO en la ciudad de Osorno, por un periodo de 24 meses."/>
    <x v="1"/>
    <x v="4"/>
    <n v="1"/>
    <n v="1"/>
    <x v="4"/>
    <x v="8"/>
    <x v="1"/>
    <x v="2"/>
    <x v="3"/>
    <x v="5"/>
    <s v="64-335813-"/>
    <s v="caifil.antonia@redsalud.gob.cl"/>
    <x v="4"/>
    <d v="2024-07-05T00:00:00"/>
    <n v="5"/>
    <s v="1057532-1758-SE24"/>
    <n v="1"/>
    <n v="6530093"/>
    <d v="2026-08-01T00:00:00"/>
    <x v="0"/>
  </r>
  <r>
    <s v="SERVICIO DE SALUD OSORNO"/>
    <x v="0"/>
    <x v="6"/>
    <s v="Proyecto operacional"/>
    <s v="Publicado"/>
    <s v="22.12.999.022"/>
    <x v="6"/>
    <s v="Se requiere la contratación del servicio denominado Hogar Protegido (beneficiarios 08 usuarios/as), para un periodo de 24 meses, por un total de 5840 días hogar protegido."/>
    <x v="1"/>
    <x v="4"/>
    <n v="1"/>
    <n v="1"/>
    <x v="4"/>
    <x v="6"/>
    <x v="1"/>
    <x v="2"/>
    <x v="3"/>
    <x v="5"/>
    <s v="64-334581-"/>
    <s v="antonia.caifil@redsalud.gob.cl"/>
    <x v="4"/>
    <d v="2024-07-05T00:00:00"/>
    <n v="11"/>
    <s v="1057532-4507-SE25"/>
    <n v="1"/>
    <n v="6530093"/>
    <d v="2026-04-01T00:00:00"/>
    <x v="0"/>
  </r>
  <r>
    <s v="SERVICIO DE SALUD OSORNO"/>
    <x v="0"/>
    <x v="6"/>
    <s v="Proyecto operacional"/>
    <s v="Publicado"/>
    <s v="22.12.999.022"/>
    <x v="6"/>
    <s v="Se requiere la contratación del servicio denominado Hogar Protegido (beneficiarios 08 usuarios/as), para un periodo de 24 meses, por un total de 5840 días hogar protegido."/>
    <x v="1"/>
    <x v="4"/>
    <n v="1"/>
    <n v="1"/>
    <x v="4"/>
    <x v="6"/>
    <x v="1"/>
    <x v="2"/>
    <x v="3"/>
    <x v="5"/>
    <s v="64-334581-"/>
    <s v="antonia.caifil@redsalud.gob.cl"/>
    <x v="4"/>
    <d v="2024-07-05T00:00:00"/>
    <n v="11"/>
    <s v="1057532-4668-SE25"/>
    <n v="1"/>
    <n v="6530093"/>
    <d v="2026-06-01T00:00:00"/>
    <x v="0"/>
  </r>
  <r>
    <s v="SERVICIO DE SALUD OSORNO"/>
    <x v="0"/>
    <x v="6"/>
    <s v="Proyecto operacional"/>
    <s v="Publicado"/>
    <s v="22.12.999.022"/>
    <x v="6"/>
    <s v="Se requiere la contratación del servicio denominado Hogar Protegido (beneficiarios 08 usuarios/as), para un periodo de 24 meses, por un total de 5840 días hogar protegido."/>
    <x v="1"/>
    <x v="4"/>
    <n v="1"/>
    <n v="1"/>
    <x v="4"/>
    <x v="6"/>
    <x v="1"/>
    <x v="2"/>
    <x v="3"/>
    <x v="5"/>
    <s v="64-334581-"/>
    <s v="antonia.caifil@redsalud.gob.cl"/>
    <x v="4"/>
    <d v="2024-07-05T00:00:00"/>
    <n v="11"/>
    <s v="1057532-5016-SE25"/>
    <n v="1"/>
    <n v="6530093"/>
    <d v="2026-10-01T00:00:00"/>
    <x v="0"/>
  </r>
  <r>
    <s v="SERVICIO DE SALUD OSORNO"/>
    <x v="0"/>
    <x v="6"/>
    <s v="Proyecto operacional"/>
    <s v="Publicado"/>
    <s v="22.12.999.022"/>
    <x v="6"/>
    <s v="Se requiere la contratación del servicio denominado Hogar Protegido (beneficiarios 08 usuarios/as), para un periodo de 24 meses, por un total de 5840 días hogar protegido."/>
    <x v="1"/>
    <x v="4"/>
    <n v="1"/>
    <n v="1"/>
    <x v="4"/>
    <x v="6"/>
    <x v="1"/>
    <x v="2"/>
    <x v="3"/>
    <x v="5"/>
    <s v="64-334581-"/>
    <s v="antonia.caifil@redsalud.gob.cl"/>
    <x v="4"/>
    <d v="2024-07-05T00:00:00"/>
    <n v="11"/>
    <s v="1057532-4851-SE25"/>
    <n v="1"/>
    <n v="6530093"/>
    <d v="2026-01-01T00:00:00"/>
    <x v="0"/>
  </r>
  <r>
    <s v="SERVICIO DE SALUD OSORNO"/>
    <x v="0"/>
    <x v="6"/>
    <s v="Proyecto operacional"/>
    <s v="Publicado"/>
    <s v="22.12.999.022"/>
    <x v="6"/>
    <s v="Se requiere la contratación del servicio denominado Hogar Protegido (beneficiarios 08 usuarios/as), para un periodo de 24 meses, por un total de 5840 días hogar protegido."/>
    <x v="1"/>
    <x v="4"/>
    <n v="1"/>
    <n v="1"/>
    <x v="4"/>
    <x v="6"/>
    <x v="1"/>
    <x v="2"/>
    <x v="3"/>
    <x v="5"/>
    <s v="64-334581-"/>
    <s v="antonia.caifil@redsalud.gob.cl"/>
    <x v="4"/>
    <d v="2024-07-05T00:00:00"/>
    <n v="11"/>
    <s v="1057532-4851-SE25"/>
    <n v="1"/>
    <n v="6530093"/>
    <d v="2026-07-01T00:00:00"/>
    <x v="0"/>
  </r>
  <r>
    <s v="SERVICIO DE SALUD OSORNO"/>
    <x v="0"/>
    <x v="6"/>
    <s v="Proyecto operacional"/>
    <s v="Publicado"/>
    <s v="22.12.999.022"/>
    <x v="6"/>
    <s v="Se requiere la contratación del servicio denominado Hogar Protegido (beneficiarios 08 usuarios/as), para un periodo de 24 meses, por un total de 5840 días hogar protegido."/>
    <x v="1"/>
    <x v="4"/>
    <n v="1"/>
    <n v="1"/>
    <x v="4"/>
    <x v="8"/>
    <x v="1"/>
    <x v="2"/>
    <x v="3"/>
    <x v="5"/>
    <s v="64-334581-"/>
    <s v="antonia.caifil@redsalud.gob.cl"/>
    <x v="4"/>
    <d v="2024-07-05T00:00:00"/>
    <n v="11"/>
    <s v="1057532-5669-SE25"/>
    <n v="1"/>
    <n v="6530095"/>
    <d v="2026-11-01T00:00:00"/>
    <x v="0"/>
  </r>
  <r>
    <s v="SERVICIO DE SALUD OSORNO"/>
    <x v="0"/>
    <x v="6"/>
    <s v="Proyecto operacional"/>
    <s v="Publicado"/>
    <s v="22.12.999.022"/>
    <x v="6"/>
    <s v="Se requiere la contratación del servicio denominado Hogar Protegido (beneficiarios 08 usuarios/as), para un periodo de 24 meses, por un total de 5840 días hogar protegido."/>
    <x v="1"/>
    <x v="4"/>
    <n v="1"/>
    <n v="1"/>
    <x v="4"/>
    <x v="6"/>
    <x v="1"/>
    <x v="2"/>
    <x v="3"/>
    <x v="5"/>
    <s v="64-334581-"/>
    <s v="antonia.caifil@redsalud.gob.cl"/>
    <x v="4"/>
    <d v="2024-07-05T00:00:00"/>
    <n v="11"/>
    <s v="1057532-5224-SE25"/>
    <n v="1"/>
    <n v="6530093"/>
    <d v="2026-08-01T00:00:00"/>
    <x v="0"/>
  </r>
  <r>
    <s v="SERVICIO DE SALUD OSORNO"/>
    <x v="0"/>
    <x v="6"/>
    <s v="Proyecto operacional"/>
    <s v="Publicado"/>
    <s v="22.12.999.022"/>
    <x v="6"/>
    <s v="Se requiere la contratación del servicio denominado Hogar Protegido (beneficiarios 08 usuarios/as), para un periodo de 24 meses, por un total de 5840 días hogar protegido."/>
    <x v="1"/>
    <x v="4"/>
    <n v="1"/>
    <n v="1"/>
    <x v="4"/>
    <x v="6"/>
    <x v="1"/>
    <x v="2"/>
    <x v="3"/>
    <x v="5"/>
    <s v="64-334581-"/>
    <s v="antonia.caifil@redsalud.gob.cl"/>
    <x v="4"/>
    <d v="2024-07-05T00:00:00"/>
    <n v="11"/>
    <s v="1057532-5224-SE25"/>
    <n v="1"/>
    <n v="6530093"/>
    <d v="2026-04-01T00:00:00"/>
    <x v="0"/>
  </r>
  <r>
    <s v="SERVICIO DE SALUD OSORNO"/>
    <x v="0"/>
    <x v="6"/>
    <s v="Proyecto operacional"/>
    <s v="Publicado"/>
    <s v="22.12.999.022"/>
    <x v="6"/>
    <s v="Se requiere la contratación del servicio denominado Hogar Protegido (beneficiarios 08 usuarios/as), para un periodo de 24 meses, por un total de 5840 días hogar protegido."/>
    <x v="1"/>
    <x v="4"/>
    <n v="1"/>
    <n v="1"/>
    <x v="4"/>
    <x v="8"/>
    <x v="1"/>
    <x v="2"/>
    <x v="3"/>
    <x v="5"/>
    <s v="64-334581-"/>
    <s v="antonia.caifil@redsalud.gob.cl"/>
    <x v="4"/>
    <d v="2024-07-05T00:00:00"/>
    <n v="11"/>
    <s v="1057532-16-SE25"/>
    <n v="1"/>
    <n v="6530095"/>
    <d v="2026-11-01T00:00:00"/>
    <x v="0"/>
  </r>
  <r>
    <s v="SERVICIO DE SALUD OSORNO"/>
    <x v="0"/>
    <x v="6"/>
    <s v="Proyecto operacional"/>
    <s v="Publicado"/>
    <s v="22.12.999.022"/>
    <x v="6"/>
    <s v="Se requiere la contratación del servicio denominado Hogar Protegido (beneficiarios 08 usuarios/as), para un periodo de 24 meses, por un total de 5840 días hogar protegido."/>
    <x v="1"/>
    <x v="4"/>
    <n v="1"/>
    <n v="1"/>
    <x v="4"/>
    <x v="6"/>
    <x v="1"/>
    <x v="2"/>
    <x v="3"/>
    <x v="5"/>
    <s v="64-334581-"/>
    <s v="antonia.caifil@redsalud.gob.cl"/>
    <x v="4"/>
    <d v="2024-07-05T00:00:00"/>
    <n v="11"/>
    <s v="1057532-5514-SE25"/>
    <n v="1"/>
    <n v="6530093"/>
    <d v="2026-09-01T00:00:00"/>
    <x v="0"/>
  </r>
  <r>
    <s v="SERVICIO DE SALUD OSORNO"/>
    <x v="0"/>
    <x v="6"/>
    <s v="Proyecto operacional"/>
    <s v="Publicado"/>
    <s v="22.12.999.022"/>
    <x v="6"/>
    <s v="Se requiere la contratación del servicio denominado Hogar Protegido (beneficiarios 08 usuarios/as), para un periodo de 24 meses, por un total de 5840 días hogar protegido."/>
    <x v="1"/>
    <x v="4"/>
    <n v="1"/>
    <n v="1"/>
    <x v="4"/>
    <x v="6"/>
    <x v="1"/>
    <x v="2"/>
    <x v="3"/>
    <x v="5"/>
    <s v="64-334581-"/>
    <s v="antonia.caifil@redsalud.gob.cl"/>
    <x v="4"/>
    <d v="2024-07-05T00:00:00"/>
    <n v="11"/>
    <s v="1057532-5016-SE25"/>
    <n v="1"/>
    <n v="6530093"/>
    <d v="2026-04-01T00:00:00"/>
    <x v="0"/>
  </r>
  <r>
    <s v="SERVICIO DE SALUD OSORNO"/>
    <x v="0"/>
    <x v="6"/>
    <s v="Proyecto operacional"/>
    <s v="Publicado"/>
    <s v="22.12.999.022"/>
    <x v="6"/>
    <s v="Se requiere la contratación del servicio denominado Hogar Protegido (beneficiarios 08 usuarios/as), para un periodo de 24 meses, por un total de 5840 días hogar protegido."/>
    <x v="1"/>
    <x v="4"/>
    <n v="1"/>
    <n v="1"/>
    <x v="4"/>
    <x v="9"/>
    <x v="1"/>
    <x v="2"/>
    <x v="3"/>
    <x v="5"/>
    <s v="64-334581-"/>
    <s v="antonia.caifil@redsalud.gob.cl"/>
    <x v="4"/>
    <d v="2024-07-05T00:00:00"/>
    <n v="11"/>
    <s v="1057532-5669-SE25"/>
    <n v="1"/>
    <n v="6530093"/>
    <d v="2026-03-01T00:00:00"/>
    <x v="0"/>
  </r>
  <r>
    <s v="SERVICIO DE SALUD OSORNO"/>
    <x v="0"/>
    <x v="7"/>
    <s v="Proyecto operacional"/>
    <s v="Publicado"/>
    <s v="22.04.012"/>
    <x v="7"/>
    <s v="SERVICIO DE MANTENCIÓN, RECARGA E INSPECCION PREVENTIVA PARA RED HÚMEDA Y EXTINTORES DE LOS ESTABLECIMIENTOS PERTENECIENTES AL SERVICIO DE SALUD OSORNO, POR UN PERIODO DE 3 AÑOS."/>
    <x v="1"/>
    <x v="5"/>
    <n v="1"/>
    <n v="1"/>
    <x v="5"/>
    <x v="10"/>
    <x v="2"/>
    <x v="3"/>
    <x v="4"/>
    <x v="6"/>
    <s v="64-337046-"/>
    <s v="karin.scholz@redsalud.gob.cl"/>
    <x v="4"/>
    <d v="2024-07-05T00:00:00"/>
    <n v="35"/>
    <s v="1057532-1505-SE24"/>
    <n v="1"/>
    <n v="1505000"/>
    <d v="2026-06-01T00:00:00"/>
    <x v="0"/>
  </r>
  <r>
    <s v="SERVICIO DE SALUD OSORNO"/>
    <x v="0"/>
    <x v="7"/>
    <s v="Proyecto operacional"/>
    <s v="Publicado"/>
    <s v="22.04.012"/>
    <x v="7"/>
    <s v="SERVICIO DE MANTENCIÓN, RECARGA E INSPECCION PREVENTIVA PARA RED HÚMEDA Y EXTINTORES DE LOS ESTABLECIMIENTOS PERTENECIENTES AL SERVICIO DE SALUD OSORNO, POR UN PERIODO DE 3 AÑOS."/>
    <x v="1"/>
    <x v="5"/>
    <n v="1"/>
    <n v="1"/>
    <x v="5"/>
    <x v="10"/>
    <x v="2"/>
    <x v="3"/>
    <x v="4"/>
    <x v="6"/>
    <s v="64-337046-"/>
    <s v="karin.scholz@redsalud.gob.cl"/>
    <x v="4"/>
    <d v="2024-07-05T00:00:00"/>
    <n v="35"/>
    <s v="1057532-1505-SE24"/>
    <n v="1"/>
    <n v="1505000"/>
    <d v="2026-12-01T00:00:00"/>
    <x v="0"/>
  </r>
  <r>
    <s v="SERVICIO DE SALUD OSORNO"/>
    <x v="0"/>
    <x v="7"/>
    <s v="Proyecto operacional"/>
    <s v="Publicado"/>
    <s v="22.04.012"/>
    <x v="7"/>
    <s v="SERVICIO DE MANTENCIÓN, RECARGA E INSPECCION PREVENTIVA PARA RED HÚMEDA Y EXTINTORES DE LOS ESTABLECIMIENTOS PERTENECIENTES AL SERVICIO DE SALUD OSORNO, POR UN PERIODO DE 3 AÑOS."/>
    <x v="1"/>
    <x v="5"/>
    <n v="1"/>
    <n v="1"/>
    <x v="5"/>
    <x v="10"/>
    <x v="2"/>
    <x v="3"/>
    <x v="4"/>
    <x v="6"/>
    <s v="64-337046-"/>
    <s v="karin.scholz@redsalud.gob.cl"/>
    <x v="4"/>
    <d v="2024-07-05T00:00:00"/>
    <n v="35"/>
    <s v="1057532-1505-SE24"/>
    <n v="1"/>
    <n v="1505000"/>
    <d v="2026-07-01T00:00:00"/>
    <x v="0"/>
  </r>
  <r>
    <s v="SERVICIO DE SALUD OSORNO"/>
    <x v="0"/>
    <x v="7"/>
    <s v="Proyecto operacional"/>
    <s v="Publicado"/>
    <s v="22.04.012"/>
    <x v="7"/>
    <s v="SERVICIO DE MANTENCIÓN, RECARGA E INSPECCION PREVENTIVA PARA RED HÚMEDA Y EXTINTORES DE LOS ESTABLECIMIENTOS PERTENECIENTES AL SERVICIO DE SALUD OSORNO, POR UN PERIODO DE 3 AÑOS."/>
    <x v="1"/>
    <x v="5"/>
    <n v="1"/>
    <n v="1"/>
    <x v="5"/>
    <x v="10"/>
    <x v="2"/>
    <x v="3"/>
    <x v="4"/>
    <x v="6"/>
    <s v="64-337046-"/>
    <s v="karin.scholz@redsalud.gob.cl"/>
    <x v="4"/>
    <d v="2024-07-05T00:00:00"/>
    <n v="35"/>
    <s v="1057532-1505-SE24"/>
    <n v="1"/>
    <n v="1505000"/>
    <d v="2026-02-01T00:00:00"/>
    <x v="0"/>
  </r>
  <r>
    <s v="SERVICIO DE SALUD OSORNO"/>
    <x v="0"/>
    <x v="7"/>
    <s v="Proyecto operacional"/>
    <s v="Publicado"/>
    <s v="22.04.012"/>
    <x v="7"/>
    <s v="SERVICIO DE MANTENCIÓN, RECARGA E INSPECCION PREVENTIVA PARA RED HÚMEDA Y EXTINTORES DE LOS ESTABLECIMIENTOS PERTENECIENTES AL SERVICIO DE SALUD OSORNO, POR UN PERIODO DE 3 AÑOS."/>
    <x v="1"/>
    <x v="5"/>
    <n v="1"/>
    <n v="1"/>
    <x v="5"/>
    <x v="10"/>
    <x v="2"/>
    <x v="3"/>
    <x v="4"/>
    <x v="6"/>
    <s v="64-337046-"/>
    <s v="karin.scholz@redsalud.gob.cl"/>
    <x v="4"/>
    <d v="2024-07-05T00:00:00"/>
    <n v="35"/>
    <s v="1057532-1505-SE24"/>
    <n v="1"/>
    <n v="1505000"/>
    <d v="2026-03-01T00:00:00"/>
    <x v="0"/>
  </r>
  <r>
    <s v="SERVICIO DE SALUD OSORNO"/>
    <x v="0"/>
    <x v="7"/>
    <s v="Proyecto operacional"/>
    <s v="Publicado"/>
    <s v="22.04.012"/>
    <x v="7"/>
    <s v="SERVICIO DE MANTENCIÓN, RECARGA E INSPECCION PREVENTIVA PARA RED HÚMEDA Y EXTINTORES DE LOS ESTABLECIMIENTOS PERTENECIENTES AL SERVICIO DE SALUD OSORNO, POR UN PERIODO DE 3 AÑOS."/>
    <x v="1"/>
    <x v="5"/>
    <n v="1"/>
    <n v="1"/>
    <x v="5"/>
    <x v="10"/>
    <x v="2"/>
    <x v="3"/>
    <x v="4"/>
    <x v="6"/>
    <s v="64-337046-"/>
    <s v="karin.scholz@redsalud.gob.cl"/>
    <x v="4"/>
    <d v="2024-07-05T00:00:00"/>
    <n v="35"/>
    <s v="1057532-1505-SE24"/>
    <n v="1"/>
    <n v="1505000"/>
    <d v="2026-05-01T00:00:00"/>
    <x v="0"/>
  </r>
  <r>
    <s v="SERVICIO DE SALUD OSORNO"/>
    <x v="0"/>
    <x v="7"/>
    <s v="Proyecto operacional"/>
    <s v="Publicado"/>
    <s v="22.04.012"/>
    <x v="7"/>
    <s v="SERVICIO DE MANTENCIÓN, RECARGA E INSPECCION PREVENTIVA PARA RED HÚMEDA Y EXTINTORES DE LOS ESTABLECIMIENTOS PERTENECIENTES AL SERVICIO DE SALUD OSORNO, POR UN PERIODO DE 3 AÑOS."/>
    <x v="1"/>
    <x v="5"/>
    <n v="1"/>
    <n v="1"/>
    <x v="5"/>
    <x v="10"/>
    <x v="2"/>
    <x v="3"/>
    <x v="4"/>
    <x v="6"/>
    <s v="64-337046-"/>
    <s v="karin.scholz@redsalud.gob.cl"/>
    <x v="4"/>
    <d v="2024-07-05T00:00:00"/>
    <n v="35"/>
    <s v="1057532-2252-SE24"/>
    <n v="1"/>
    <n v="1505000"/>
    <d v="2026-02-01T00:00:00"/>
    <x v="0"/>
  </r>
  <r>
    <s v="SERVICIO DE SALUD OSORNO"/>
    <x v="0"/>
    <x v="7"/>
    <s v="Proyecto operacional"/>
    <s v="Publicado"/>
    <s v="22.04.012"/>
    <x v="7"/>
    <s v="SERVICIO DE MANTENCIÓN, RECARGA E INSPECCION PREVENTIVA PARA RED HÚMEDA Y EXTINTORES DE LOS ESTABLECIMIENTOS PERTENECIENTES AL SERVICIO DE SALUD OSORNO, POR UN PERIODO DE 3 AÑOS."/>
    <x v="1"/>
    <x v="5"/>
    <n v="1"/>
    <n v="1"/>
    <x v="5"/>
    <x v="10"/>
    <x v="2"/>
    <x v="3"/>
    <x v="4"/>
    <x v="6"/>
    <s v="64-337046-"/>
    <s v="karin.scholz@redsalud.gob.cl"/>
    <x v="4"/>
    <d v="2024-07-05T00:00:00"/>
    <n v="35"/>
    <s v="1057532-1505-SE24"/>
    <n v="1"/>
    <n v="1505000"/>
    <d v="2026-04-01T00:00:00"/>
    <x v="0"/>
  </r>
  <r>
    <s v="SERVICIO DE SALUD OSORNO"/>
    <x v="0"/>
    <x v="7"/>
    <s v="Proyecto operacional"/>
    <s v="Publicado"/>
    <s v="22.04.012"/>
    <x v="7"/>
    <s v="SERVICIO DE MANTENCIÓN, RECARGA E INSPECCION PREVENTIVA PARA RED HÚMEDA Y EXTINTORES DE LOS ESTABLECIMIENTOS PERTENECIENTES AL SERVICIO DE SALUD OSORNO, POR UN PERIODO DE 3 AÑOS."/>
    <x v="1"/>
    <x v="5"/>
    <n v="1"/>
    <n v="1"/>
    <x v="5"/>
    <x v="10"/>
    <x v="2"/>
    <x v="3"/>
    <x v="4"/>
    <x v="6"/>
    <s v="64-337046-"/>
    <s v="karin.scholz@redsalud.gob.cl"/>
    <x v="4"/>
    <d v="2024-07-05T00:00:00"/>
    <n v="35"/>
    <s v="1057532-2255-SE24"/>
    <n v="1"/>
    <n v="1505000"/>
    <d v="2026-06-01T00:00:00"/>
    <x v="0"/>
  </r>
  <r>
    <s v="SERVICIO DE SALUD OSORNO"/>
    <x v="0"/>
    <x v="7"/>
    <s v="Proyecto operacional"/>
    <s v="Publicado"/>
    <s v="22.04.012"/>
    <x v="7"/>
    <s v="SERVICIO DE MANTENCIÓN, RECARGA E INSPECCION PREVENTIVA PARA RED HÚMEDA Y EXTINTORES DE LOS ESTABLECIMIENTOS PERTENECIENTES AL SERVICIO DE SALUD OSORNO, POR UN PERIODO DE 3 AÑOS."/>
    <x v="1"/>
    <x v="5"/>
    <n v="1"/>
    <n v="1"/>
    <x v="5"/>
    <x v="10"/>
    <x v="2"/>
    <x v="3"/>
    <x v="4"/>
    <x v="6"/>
    <s v="64-337046-"/>
    <s v="karin.scholz@redsalud.gob.cl"/>
    <x v="4"/>
    <d v="2024-07-05T00:00:00"/>
    <n v="35"/>
    <s v="1057532-2252-SE24"/>
    <n v="1"/>
    <n v="1505000"/>
    <d v="2026-05-01T00:00:00"/>
    <x v="0"/>
  </r>
  <r>
    <s v="SERVICIO DE SALUD OSORNO"/>
    <x v="0"/>
    <x v="7"/>
    <s v="Proyecto operacional"/>
    <s v="Publicado"/>
    <s v="22.04.012"/>
    <x v="7"/>
    <s v="SERVICIO DE MANTENCIÓN, RECARGA E INSPECCION PREVENTIVA PARA RED HÚMEDA Y EXTINTORES DE LOS ESTABLECIMIENTOS PERTENECIENTES AL SERVICIO DE SALUD OSORNO, POR UN PERIODO DE 3 AÑOS."/>
    <x v="1"/>
    <x v="5"/>
    <n v="1"/>
    <n v="1"/>
    <x v="5"/>
    <x v="10"/>
    <x v="2"/>
    <x v="3"/>
    <x v="4"/>
    <x v="6"/>
    <s v="64-337046-"/>
    <s v="karin.scholz@redsalud.gob.cl"/>
    <x v="4"/>
    <d v="2024-07-05T00:00:00"/>
    <n v="35"/>
    <s v="1057532-2251-SE24"/>
    <n v="1"/>
    <n v="1505000"/>
    <d v="2026-01-01T00:00:00"/>
    <x v="0"/>
  </r>
  <r>
    <s v="SERVICIO DE SALUD OSORNO"/>
    <x v="0"/>
    <x v="7"/>
    <s v="Proyecto operacional"/>
    <s v="Publicado"/>
    <s v="22.04.012"/>
    <x v="7"/>
    <s v="SERVICIO DE MANTENCIÓN, RECARGA E INSPECCION PREVENTIVA PARA RED HÚMEDA Y EXTINTORES DE LOS ESTABLECIMIENTOS PERTENECIENTES AL SERVICIO DE SALUD OSORNO, POR UN PERIODO DE 3 AÑOS."/>
    <x v="1"/>
    <x v="5"/>
    <n v="1"/>
    <n v="1"/>
    <x v="5"/>
    <x v="10"/>
    <x v="2"/>
    <x v="3"/>
    <x v="4"/>
    <x v="6"/>
    <s v="64-337046-"/>
    <s v="karin.scholz@redsalud.gob.cl"/>
    <x v="4"/>
    <d v="2024-07-05T00:00:00"/>
    <n v="35"/>
    <s v="1057532-2251-SE24"/>
    <n v="1"/>
    <n v="1505000"/>
    <d v="2026-02-01T00:00:00"/>
    <x v="0"/>
  </r>
  <r>
    <s v="SERVICIO DE SALUD OSORNO"/>
    <x v="0"/>
    <x v="8"/>
    <s v="Proyecto operacional"/>
    <s v="Publicado"/>
    <s v="22.06.002.001"/>
    <x v="8"/>
    <s v="Mantenciones Preventivas, correctivas y/o reparativas de vehículos motorizados de la Red Asistencial del Servicio de Salud Osorno."/>
    <x v="1"/>
    <x v="6"/>
    <n v="1"/>
    <n v="1"/>
    <x v="6"/>
    <x v="11"/>
    <x v="1"/>
    <x v="2"/>
    <x v="5"/>
    <x v="7"/>
    <s v="64-2567046-"/>
    <s v="felipe.salvob@redsalud.gob.cl"/>
    <x v="3"/>
    <d v="2024-07-05T00:00:00"/>
    <n v="46"/>
    <s v="1057532-119-SE25"/>
    <n v="1"/>
    <n v="12500000"/>
    <d v="2026-08-01T00:00:00"/>
    <x v="0"/>
  </r>
  <r>
    <s v="SERVICIO DE SALUD OSORNO"/>
    <x v="0"/>
    <x v="8"/>
    <s v="Proyecto operacional"/>
    <s v="Publicado"/>
    <s v="22.06.002.001"/>
    <x v="8"/>
    <s v="Mantenciones Preventivas, correctivas y/o reparativas de vehículos motorizados de la Red Asistencial del Servicio de Salud Osorno."/>
    <x v="1"/>
    <x v="6"/>
    <n v="1"/>
    <n v="1"/>
    <x v="6"/>
    <x v="11"/>
    <x v="1"/>
    <x v="2"/>
    <x v="5"/>
    <x v="7"/>
    <s v="64-2567046-"/>
    <s v="felipe.salvob@redsalud.gob.cl"/>
    <x v="3"/>
    <d v="2024-07-05T00:00:00"/>
    <n v="46"/>
    <s v="1057532-127-SE25"/>
    <n v="1"/>
    <n v="12500000"/>
    <d v="2026-11-01T00:00:00"/>
    <x v="0"/>
  </r>
  <r>
    <s v="SERVICIO DE SALUD OSORNO"/>
    <x v="0"/>
    <x v="8"/>
    <s v="Proyecto operacional"/>
    <s v="Publicado"/>
    <s v="22.06.002.001"/>
    <x v="8"/>
    <s v="Mantenciones Preventivas, correctivas y/o reparativas de vehículos motorizados de la Red Asistencial del Servicio de Salud Osorno."/>
    <x v="1"/>
    <x v="6"/>
    <n v="1"/>
    <n v="1"/>
    <x v="6"/>
    <x v="11"/>
    <x v="1"/>
    <x v="2"/>
    <x v="5"/>
    <x v="7"/>
    <s v="64-2567046-"/>
    <s v="felipe.salvob@redsalud.gob.cl"/>
    <x v="3"/>
    <d v="2024-07-05T00:00:00"/>
    <n v="46"/>
    <s v="1057532-119-SE25"/>
    <n v="1"/>
    <n v="12500000"/>
    <d v="2026-04-01T00:00:00"/>
    <x v="0"/>
  </r>
  <r>
    <s v="SERVICIO DE SALUD OSORNO"/>
    <x v="0"/>
    <x v="8"/>
    <s v="Proyecto operacional"/>
    <s v="Publicado"/>
    <s v="22.06.002.001"/>
    <x v="8"/>
    <s v="Mantenciones Preventivas, correctivas y/o reparativas de vehículos motorizados de la Red Asistencial del Servicio de Salud Osorno."/>
    <x v="1"/>
    <x v="6"/>
    <n v="1"/>
    <n v="1"/>
    <x v="6"/>
    <x v="11"/>
    <x v="1"/>
    <x v="2"/>
    <x v="5"/>
    <x v="7"/>
    <s v="64-2567046-"/>
    <s v="felipe.salvob@redsalud.gob.cl"/>
    <x v="3"/>
    <d v="2024-07-05T00:00:00"/>
    <n v="46"/>
    <s v="1057532-119-SE25"/>
    <n v="1"/>
    <n v="12500000"/>
    <d v="2026-01-01T00:00:00"/>
    <x v="0"/>
  </r>
  <r>
    <s v="SERVICIO DE SALUD OSORNO"/>
    <x v="0"/>
    <x v="8"/>
    <s v="Proyecto operacional"/>
    <s v="Publicado"/>
    <s v="22.06.002.001"/>
    <x v="8"/>
    <s v="Mantenciones Preventivas, correctivas y/o reparativas de vehículos motorizados de la Red Asistencial del Servicio de Salud Osorno."/>
    <x v="1"/>
    <x v="6"/>
    <n v="1"/>
    <n v="1"/>
    <x v="6"/>
    <x v="11"/>
    <x v="1"/>
    <x v="2"/>
    <x v="5"/>
    <x v="7"/>
    <s v="64-2567046-"/>
    <s v="felipe.salvob@redsalud.gob.cl"/>
    <x v="3"/>
    <d v="2024-07-05T00:00:00"/>
    <n v="46"/>
    <s v="1057532-119-SE25"/>
    <n v="1"/>
    <n v="12500000"/>
    <d v="2026-02-01T00:00:00"/>
    <x v="0"/>
  </r>
  <r>
    <s v="SERVICIO DE SALUD OSORNO"/>
    <x v="0"/>
    <x v="8"/>
    <s v="Proyecto operacional"/>
    <s v="Publicado"/>
    <s v="22.06.002.001"/>
    <x v="8"/>
    <s v="Mantenciones Preventivas, correctivas y/o reparativas de vehículos motorizados de la Red Asistencial del Servicio de Salud Osorno."/>
    <x v="1"/>
    <x v="6"/>
    <n v="1"/>
    <n v="1"/>
    <x v="6"/>
    <x v="11"/>
    <x v="1"/>
    <x v="2"/>
    <x v="5"/>
    <x v="7"/>
    <s v="64-2567046-"/>
    <s v="felipe.salvob@redsalud.gob.cl"/>
    <x v="3"/>
    <d v="2024-07-05T00:00:00"/>
    <n v="46"/>
    <s v="1057532-119-SE25"/>
    <n v="1"/>
    <n v="12500000"/>
    <d v="2026-07-01T00:00:00"/>
    <x v="0"/>
  </r>
  <r>
    <s v="SERVICIO DE SALUD OSORNO"/>
    <x v="0"/>
    <x v="8"/>
    <s v="Proyecto operacional"/>
    <s v="Publicado"/>
    <s v="22.06.002.001"/>
    <x v="8"/>
    <s v="Mantenciones Preventivas, correctivas y/o reparativas de vehículos motorizados de la Red Asistencial del Servicio de Salud Osorno."/>
    <x v="1"/>
    <x v="6"/>
    <n v="1"/>
    <n v="1"/>
    <x v="6"/>
    <x v="11"/>
    <x v="1"/>
    <x v="2"/>
    <x v="5"/>
    <x v="7"/>
    <s v="64-2567046-"/>
    <s v="felipe.salvob@redsalud.gob.cl"/>
    <x v="3"/>
    <d v="2024-07-05T00:00:00"/>
    <n v="46"/>
    <s v="1057532-125-SE25"/>
    <n v="1"/>
    <n v="12500000"/>
    <d v="2026-07-01T00:00:00"/>
    <x v="0"/>
  </r>
  <r>
    <s v="SERVICIO DE SALUD OSORNO"/>
    <x v="0"/>
    <x v="8"/>
    <s v="Proyecto operacional"/>
    <s v="Publicado"/>
    <s v="22.06.002.001"/>
    <x v="8"/>
    <s v="Mantenciones Preventivas, correctivas y/o reparativas de vehículos motorizados de la Red Asistencial del Servicio de Salud Osorno."/>
    <x v="1"/>
    <x v="6"/>
    <n v="1"/>
    <n v="1"/>
    <x v="6"/>
    <x v="11"/>
    <x v="1"/>
    <x v="2"/>
    <x v="5"/>
    <x v="7"/>
    <s v="64-2567046-"/>
    <s v="felipe.salvob@redsalud.gob.cl"/>
    <x v="3"/>
    <d v="2024-07-05T00:00:00"/>
    <n v="46"/>
    <s v="1057532-125-SE25"/>
    <n v="1"/>
    <n v="12500000"/>
    <d v="2026-04-01T00:00:00"/>
    <x v="0"/>
  </r>
  <r>
    <s v="SERVICIO DE SALUD OSORNO"/>
    <x v="0"/>
    <x v="8"/>
    <s v="Proyecto operacional"/>
    <s v="Publicado"/>
    <s v="22.06.002.001"/>
    <x v="8"/>
    <s v="Mantenciones Preventivas, correctivas y/o reparativas de vehículos motorizados de la Red Asistencial del Servicio de Salud Osorno."/>
    <x v="1"/>
    <x v="6"/>
    <n v="1"/>
    <n v="1"/>
    <x v="6"/>
    <x v="11"/>
    <x v="1"/>
    <x v="2"/>
    <x v="5"/>
    <x v="7"/>
    <s v="64-2567046-"/>
    <s v="felipe.salvob@redsalud.gob.cl"/>
    <x v="3"/>
    <d v="2024-07-05T00:00:00"/>
    <n v="46"/>
    <s v="1057532-119-SE25"/>
    <n v="1"/>
    <n v="12500000"/>
    <d v="2026-12-01T00:00:00"/>
    <x v="0"/>
  </r>
  <r>
    <s v="SERVICIO DE SALUD OSORNO"/>
    <x v="0"/>
    <x v="8"/>
    <s v="Proyecto operacional"/>
    <s v="Publicado"/>
    <s v="22.06.002.001"/>
    <x v="8"/>
    <s v="Mantenciones Preventivas, correctivas y/o reparativas de vehículos motorizados de la Red Asistencial del Servicio de Salud Osorno."/>
    <x v="1"/>
    <x v="6"/>
    <n v="1"/>
    <n v="1"/>
    <x v="6"/>
    <x v="11"/>
    <x v="1"/>
    <x v="2"/>
    <x v="5"/>
    <x v="7"/>
    <s v="64-2567046-"/>
    <s v="felipe.salvob@redsalud.gob.cl"/>
    <x v="3"/>
    <d v="2024-07-05T00:00:00"/>
    <n v="46"/>
    <s v="1057532-119-SE25"/>
    <n v="1"/>
    <n v="12500000"/>
    <d v="2026-09-01T00:00:00"/>
    <x v="0"/>
  </r>
  <r>
    <s v="SERVICIO DE SALUD OSORNO"/>
    <x v="0"/>
    <x v="8"/>
    <s v="Proyecto operacional"/>
    <s v="Publicado"/>
    <s v="22.06.002.001"/>
    <x v="8"/>
    <s v="Mantenciones Preventivas, correctivas y/o reparativas de vehículos motorizados de la Red Asistencial del Servicio de Salud Osorno."/>
    <x v="1"/>
    <x v="6"/>
    <n v="1"/>
    <n v="1"/>
    <x v="6"/>
    <x v="11"/>
    <x v="1"/>
    <x v="2"/>
    <x v="5"/>
    <x v="7"/>
    <s v="64-2567046-"/>
    <s v="felipe.salvob@redsalud.gob.cl"/>
    <x v="3"/>
    <d v="2024-07-05T00:00:00"/>
    <n v="46"/>
    <s v="1057532-119-SE25"/>
    <n v="1"/>
    <n v="12500000"/>
    <d v="2026-03-01T00:00:00"/>
    <x v="0"/>
  </r>
  <r>
    <s v="SERVICIO DE SALUD OSORNO"/>
    <x v="0"/>
    <x v="8"/>
    <s v="Proyecto operacional"/>
    <s v="Publicado"/>
    <s v="22.06.002.001"/>
    <x v="8"/>
    <s v="Mantenciones Preventivas, correctivas y/o reparativas de vehículos motorizados de la Red Asistencial del Servicio de Salud Osorno."/>
    <x v="1"/>
    <x v="6"/>
    <n v="1"/>
    <n v="1"/>
    <x v="6"/>
    <x v="11"/>
    <x v="1"/>
    <x v="2"/>
    <x v="5"/>
    <x v="7"/>
    <s v="64-2567046-"/>
    <s v="felipe.salvob@redsalud.gob.cl"/>
    <x v="3"/>
    <d v="2024-07-05T00:00:00"/>
    <n v="46"/>
    <s v="1057532-119-SE25"/>
    <n v="1"/>
    <n v="12500000"/>
    <d v="2026-05-01T00:00:00"/>
    <x v="0"/>
  </r>
  <r>
    <s v="SERVICIO DE SALUD OSORNO"/>
    <x v="0"/>
    <x v="9"/>
    <s v="Proyecto operacional"/>
    <s v="Publicado"/>
    <s v="22.08.001"/>
    <x v="9"/>
    <s v="Especificaciones Técnicas: - ENTREGA DE INSUMOS, SEGÚN REQUERIMIENTO, EN CADA ESTABLECIMIENTO DE SALUD Y BASE SAMU. - SERVICIO DE RETIRO PERIÓDICO DESDE ESTABLECIMIENTOS DE SALUD SSO Y BASE SAMU. - DISPOSICIÓN FINAL O ELIMINACIÓN DE RESIDUOS EN UN ESTABLECIMIENTO QUE CUMPLA LA NORMATIVA AMBIENTAL Y SANITARIA."/>
    <x v="1"/>
    <x v="7"/>
    <n v="1"/>
    <n v="1"/>
    <x v="7"/>
    <x v="12"/>
    <x v="1"/>
    <x v="2"/>
    <x v="4"/>
    <x v="8"/>
    <s v="64-337046-"/>
    <s v="karin.scholz@redsalud.gob.cl"/>
    <x v="5"/>
    <d v="2024-07-05T00:00:00"/>
    <n v="2"/>
    <s v="1057532-3993-TD25"/>
    <n v="1"/>
    <n v="33113266"/>
    <d v="2026-01-01T00:00:00"/>
    <x v="0"/>
  </r>
  <r>
    <s v="SERVICIO DE SALUD OSORNO"/>
    <x v="0"/>
    <x v="9"/>
    <s v="Proyecto operacional"/>
    <s v="Publicado"/>
    <s v="22.08.001"/>
    <x v="9"/>
    <s v="Especificaciones Técnicas: - ENTREGA DE INSUMOS, SEGÚN REQUERIMIENTO, EN CADA ESTABLECIMIENTO DE SALUD Y BASE SAMU. - SERVICIO DE RETIRO PERIÓDICO DESDE ESTABLECIMIENTOS DE SALUD SSO Y BASE SAMU. - DISPOSICIÓN FINAL O ELIMINACIÓN DE RESIDUOS EN UN ESTABLECIMIENTO QUE CUMPLA LA NORMATIVA AMBIENTAL Y SANITARIA."/>
    <x v="1"/>
    <x v="7"/>
    <n v="1"/>
    <n v="1"/>
    <x v="7"/>
    <x v="12"/>
    <x v="1"/>
    <x v="2"/>
    <x v="4"/>
    <x v="8"/>
    <s v="64-337046-"/>
    <s v="karin.scholz@redsalud.gob.cl"/>
    <x v="5"/>
    <d v="2024-07-05T00:00:00"/>
    <n v="2"/>
    <s v="1057532-3992-TD25"/>
    <n v="1"/>
    <n v="33113266"/>
    <d v="2026-03-01T00:00:00"/>
    <x v="0"/>
  </r>
  <r>
    <s v="SERVICIO DE SALUD OSORNO"/>
    <x v="0"/>
    <x v="9"/>
    <s v="Proyecto operacional"/>
    <s v="Publicado"/>
    <s v="22.08.001"/>
    <x v="9"/>
    <s v="Especificaciones Técnicas: - ENTREGA DE INSUMOS, SEGÚN REQUERIMIENTO, EN CADA ESTABLECIMIENTO DE SALUD Y BASE SAMU. - SERVICIO DE RETIRO PERIÓDICO DESDE ESTABLECIMIENTOS DE SALUD SSO Y BASE SAMU. - DISPOSICIÓN FINAL O ELIMINACIÓN DE RESIDUOS EN UN ESTABLECIMIENTO QUE CUMPLA LA NORMATIVA AMBIENTAL Y SANITARIA."/>
    <x v="1"/>
    <x v="7"/>
    <n v="1"/>
    <n v="1"/>
    <x v="7"/>
    <x v="12"/>
    <x v="1"/>
    <x v="2"/>
    <x v="4"/>
    <x v="8"/>
    <s v="64-337046-"/>
    <s v="karin.scholz@redsalud.gob.cl"/>
    <x v="5"/>
    <d v="2024-07-05T00:00:00"/>
    <n v="2"/>
    <s v="1057532-3992-TD25"/>
    <n v="1"/>
    <n v="33113266"/>
    <d v="2026-01-01T00:00:00"/>
    <x v="0"/>
  </r>
  <r>
    <s v="SERVICIO DE SALUD OSORNO"/>
    <x v="0"/>
    <x v="9"/>
    <s v="Proyecto operacional"/>
    <s v="Publicado"/>
    <s v="22.08.001"/>
    <x v="9"/>
    <s v="Especificaciones Técnicas: - ENTREGA DE INSUMOS, SEGÚN REQUERIMIENTO, EN CADA ESTABLECIMIENTO DE SALUD Y BASE SAMU. - SERVICIO DE RETIRO PERIÓDICO DESDE ESTABLECIMIENTOS DE SALUD SSO Y BASE SAMU. - DISPOSICIÓN FINAL O ELIMINACIÓN DE RESIDUOS EN UN ESTABLECIMIENTO QUE CUMPLA LA NORMATIVA AMBIENTAL Y SANITARIA."/>
    <x v="1"/>
    <x v="7"/>
    <n v="1"/>
    <n v="1"/>
    <x v="7"/>
    <x v="12"/>
    <x v="1"/>
    <x v="2"/>
    <x v="4"/>
    <x v="8"/>
    <s v="64-337046-"/>
    <s v="karin.scholz@redsalud.gob.cl"/>
    <x v="5"/>
    <d v="2024-07-05T00:00:00"/>
    <n v="2"/>
    <s v="1057532-3992-TD25"/>
    <n v="1"/>
    <n v="33113266"/>
    <d v="2026-02-01T00:00:00"/>
    <x v="0"/>
  </r>
  <r>
    <s v="SERVICIO DE SALUD OSORNO"/>
    <x v="0"/>
    <x v="9"/>
    <s v="Proyecto operacional"/>
    <s v="Publicado"/>
    <s v="22.08.001"/>
    <x v="9"/>
    <s v="Especificaciones Técnicas: - ENTREGA DE INSUMOS, SEGÚN REQUERIMIENTO, EN CADA ESTABLECIMIENTO DE SALUD Y BASE SAMU. - SERVICIO DE RETIRO PERIÓDICO DESDE ESTABLECIMIENTOS DE SALUD SSO Y BASE SAMU. - DISPOSICIÓN FINAL O ELIMINACIÓN DE RESIDUOS EN UN ESTABLECIMIENTO QUE CUMPLA LA NORMATIVA AMBIENTAL Y SANITARIA."/>
    <x v="1"/>
    <x v="7"/>
    <n v="1"/>
    <n v="1"/>
    <x v="7"/>
    <x v="12"/>
    <x v="1"/>
    <x v="2"/>
    <x v="4"/>
    <x v="8"/>
    <s v="64-337046-"/>
    <s v="karin.scholz@redsalud.gob.cl"/>
    <x v="5"/>
    <d v="2024-07-05T00:00:00"/>
    <n v="2"/>
    <s v="1057532-3992-TD25"/>
    <n v="1"/>
    <n v="33113266"/>
    <d v="2026-04-01T00:00:00"/>
    <x v="0"/>
  </r>
  <r>
    <s v="SERVICIO DE SALUD OSORNO"/>
    <x v="0"/>
    <x v="9"/>
    <s v="Proyecto operacional"/>
    <s v="Publicado"/>
    <s v="22.08.001"/>
    <x v="9"/>
    <s v="Especificaciones Técnicas: - ENTREGA DE INSUMOS, SEGÚN REQUERIMIENTO, EN CADA ESTABLECIMIENTO DE SALUD Y BASE SAMU. - SERVICIO DE RETIRO PERIÓDICO DESDE ESTABLECIMIENTOS DE SALUD SSO Y BASE SAMU. - DISPOSICIÓN FINAL O ELIMINACIÓN DE RESIDUOS EN UN ESTABLECIMIENTO QUE CUMPLA LA NORMATIVA AMBIENTAL Y SANITARIA."/>
    <x v="1"/>
    <x v="7"/>
    <n v="1"/>
    <n v="1"/>
    <x v="7"/>
    <x v="12"/>
    <x v="1"/>
    <x v="2"/>
    <x v="4"/>
    <x v="8"/>
    <s v="64-337046-"/>
    <s v="karin.scholz@redsalud.gob.cl"/>
    <x v="5"/>
    <d v="2024-07-05T00:00:00"/>
    <n v="2"/>
    <s v="1057532-3992-TD25"/>
    <n v="1"/>
    <n v="33113266"/>
    <d v="2026-07-01T00:00:00"/>
    <x v="0"/>
  </r>
  <r>
    <s v="SERVICIO DE SALUD OSORNO"/>
    <x v="0"/>
    <x v="9"/>
    <s v="Proyecto operacional"/>
    <s v="Publicado"/>
    <s v="22.08.001"/>
    <x v="9"/>
    <s v="Especificaciones Técnicas: - ENTREGA DE INSUMOS, SEGÚN REQUERIMIENTO, EN CADA ESTABLECIMIENTO DE SALUD Y BASE SAMU. - SERVICIO DE RETIRO PERIÓDICO DESDE ESTABLECIMIENTOS DE SALUD SSO Y BASE SAMU. - DISPOSICIÓN FINAL O ELIMINACIÓN DE RESIDUOS EN UN ESTABLECIMIENTO QUE CUMPLA LA NORMATIVA AMBIENTAL Y SANITARIA."/>
    <x v="1"/>
    <x v="7"/>
    <n v="1"/>
    <n v="1"/>
    <x v="7"/>
    <x v="12"/>
    <x v="1"/>
    <x v="2"/>
    <x v="4"/>
    <x v="8"/>
    <s v="64-337046-"/>
    <s v="karin.scholz@redsalud.gob.cl"/>
    <x v="5"/>
    <d v="2024-07-05T00:00:00"/>
    <n v="2"/>
    <s v="1057532-3992-TD25"/>
    <n v="1"/>
    <n v="33113266"/>
    <d v="2026-06-01T00:00:00"/>
    <x v="0"/>
  </r>
  <r>
    <s v="SERVICIO DE SALUD OSORNO"/>
    <x v="0"/>
    <x v="9"/>
    <s v="Proyecto operacional"/>
    <s v="Publicado"/>
    <s v="22.08.001"/>
    <x v="9"/>
    <s v="Especificaciones Técnicas: - ENTREGA DE INSUMOS, SEGÚN REQUERIMIENTO, EN CADA ESTABLECIMIENTO DE SALUD Y BASE SAMU. - SERVICIO DE RETIRO PERIÓDICO DESDE ESTABLECIMIENTOS DE SALUD SSO Y BASE SAMU. - DISPOSICIÓN FINAL O ELIMINACIÓN DE RESIDUOS EN UN ESTABLECIMIENTO QUE CUMPLA LA NORMATIVA AMBIENTAL Y SANITARIA."/>
    <x v="1"/>
    <x v="7"/>
    <n v="1"/>
    <n v="1"/>
    <x v="7"/>
    <x v="12"/>
    <x v="1"/>
    <x v="2"/>
    <x v="4"/>
    <x v="8"/>
    <s v="64-337046-"/>
    <s v="karin.scholz@redsalud.gob.cl"/>
    <x v="5"/>
    <d v="2024-07-05T00:00:00"/>
    <n v="2"/>
    <s v="1057532-3992-TD25"/>
    <n v="1"/>
    <n v="33113266"/>
    <d v="2026-11-01T00:00:00"/>
    <x v="0"/>
  </r>
  <r>
    <s v="SERVICIO DE SALUD OSORNO"/>
    <x v="0"/>
    <x v="9"/>
    <s v="Proyecto operacional"/>
    <s v="Publicado"/>
    <s v="22.08.001"/>
    <x v="9"/>
    <s v="Especificaciones Técnicas: - ENTREGA DE INSUMOS, SEGÚN REQUERIMIENTO, EN CADA ESTABLECIMIENTO DE SALUD Y BASE SAMU. - SERVICIO DE RETIRO PERIÓDICO DESDE ESTABLECIMIENTOS DE SALUD SSO Y BASE SAMU. - DISPOSICIÓN FINAL O ELIMINACIÓN DE RESIDUOS EN UN ESTABLECIMIENTO QUE CUMPLA LA NORMATIVA AMBIENTAL Y SANITARIA."/>
    <x v="1"/>
    <x v="7"/>
    <n v="1"/>
    <n v="1"/>
    <x v="7"/>
    <x v="12"/>
    <x v="1"/>
    <x v="2"/>
    <x v="4"/>
    <x v="8"/>
    <s v="64-337046-"/>
    <s v="karin.scholz@redsalud.gob.cl"/>
    <x v="5"/>
    <d v="2024-07-05T00:00:00"/>
    <n v="2"/>
    <s v="1057532-3993-TD25"/>
    <n v="1"/>
    <n v="33113266"/>
    <d v="2026-08-01T00:00:00"/>
    <x v="0"/>
  </r>
  <r>
    <s v="SERVICIO DE SALUD OSORNO"/>
    <x v="0"/>
    <x v="9"/>
    <s v="Proyecto operacional"/>
    <s v="Publicado"/>
    <s v="22.08.001"/>
    <x v="9"/>
    <s v="Especificaciones Técnicas: - ENTREGA DE INSUMOS, SEGÚN REQUERIMIENTO, EN CADA ESTABLECIMIENTO DE SALUD Y BASE SAMU. - SERVICIO DE RETIRO PERIÓDICO DESDE ESTABLECIMIENTOS DE SALUD SSO Y BASE SAMU. - DISPOSICIÓN FINAL O ELIMINACIÓN DE RESIDUOS EN UN ESTABLECIMIENTO QUE CUMPLA LA NORMATIVA AMBIENTAL Y SANITARIA."/>
    <x v="1"/>
    <x v="7"/>
    <n v="1"/>
    <n v="1"/>
    <x v="7"/>
    <x v="12"/>
    <x v="1"/>
    <x v="2"/>
    <x v="4"/>
    <x v="8"/>
    <s v="64-337046-"/>
    <s v="karin.scholz@redsalud.gob.cl"/>
    <x v="5"/>
    <d v="2024-07-05T00:00:00"/>
    <n v="2"/>
    <s v="1057532-3992-TD25"/>
    <n v="1"/>
    <n v="33113266"/>
    <d v="2026-12-01T00:00:00"/>
    <x v="0"/>
  </r>
  <r>
    <s v="SERVICIO DE SALUD OSORNO"/>
    <x v="0"/>
    <x v="9"/>
    <s v="Proyecto operacional"/>
    <s v="Publicado"/>
    <s v="22.08.001"/>
    <x v="9"/>
    <s v="Especificaciones Técnicas: - ENTREGA DE INSUMOS, SEGÚN REQUERIMIENTO, EN CADA ESTABLECIMIENTO DE SALUD Y BASE SAMU. - SERVICIO DE RETIRO PERIÓDICO DESDE ESTABLECIMIENTOS DE SALUD SSO Y BASE SAMU. - DISPOSICIÓN FINAL O ELIMINACIÓN DE RESIDUOS EN UN ESTABLECIMIENTO QUE CUMPLA LA NORMATIVA AMBIENTAL Y SANITARIA."/>
    <x v="1"/>
    <x v="7"/>
    <n v="1"/>
    <n v="1"/>
    <x v="7"/>
    <x v="12"/>
    <x v="1"/>
    <x v="2"/>
    <x v="4"/>
    <x v="8"/>
    <s v="64-337046-"/>
    <s v="karin.scholz@redsalud.gob.cl"/>
    <x v="5"/>
    <d v="2024-07-05T00:00:00"/>
    <n v="2"/>
    <s v="1057532-3993-TD25"/>
    <n v="1"/>
    <n v="33113266"/>
    <d v="2026-04-01T00:00:00"/>
    <x v="0"/>
  </r>
  <r>
    <s v="SERVICIO DE SALUD OSORNO"/>
    <x v="0"/>
    <x v="9"/>
    <s v="Proyecto operacional"/>
    <s v="Publicado"/>
    <s v="22.08.001"/>
    <x v="9"/>
    <s v="Especificaciones Técnicas: - ENTREGA DE INSUMOS, SEGÚN REQUERIMIENTO, EN CADA ESTABLECIMIENTO DE SALUD Y BASE SAMU. - SERVICIO DE RETIRO PERIÓDICO DESDE ESTABLECIMIENTOS DE SALUD SSO Y BASE SAMU. - DISPOSICIÓN FINAL O ELIMINACIÓN DE RESIDUOS EN UN ESTABLECIMIENTO QUE CUMPLA LA NORMATIVA AMBIENTAL Y SANITARIA."/>
    <x v="1"/>
    <x v="7"/>
    <n v="1"/>
    <n v="1"/>
    <x v="7"/>
    <x v="13"/>
    <x v="1"/>
    <x v="2"/>
    <x v="4"/>
    <x v="8"/>
    <s v="64-337046-"/>
    <s v="karin.scholz@redsalud.gob.cl"/>
    <x v="5"/>
    <d v="2024-07-05T00:00:00"/>
    <n v="2"/>
    <s v="1057532-3992-TD25"/>
    <n v="1"/>
    <n v="33113289"/>
    <d v="2026-05-01T00:00:00"/>
    <x v="0"/>
  </r>
  <r>
    <s v="SERVICIO DE SALUD OSORNO"/>
    <x v="0"/>
    <x v="10"/>
    <s v="Proyecto operacional"/>
    <s v="Publicado"/>
    <s v="22.01.001.002"/>
    <x v="10"/>
    <s v="BENEFICIO DE ADMINISTRACION ENTREGA DE ALIMENTACION CONSIDERANDO UN PROMEDIO ESTIMADO DE 530 TARJETAS MENSUALES ENTRE MESES DE ENERO Y DICIEMBRE POR TRES AÑOS 2025, 2026 Y 2027 ADQUISICION TARJETAS DE ALIMENTACION PARA FUNCIONARIOS DE LA DIRECCION SERVICIO DE SALUD OSORNO, SE CONSIDERA REAJUSTE APROXIMADO POR TRES AÑOS AFECCTO A VARIACION DE NUMERO DE FUNCIONARIOS SECTOR PUBLICO SEGÚN RES EX N°165/2020 EN EL MONTO INFORMADO AÑO 2025 = $480.171.706 AÑO 2026 = 496.977.716 AÑO 2027 = 514.371.936"/>
    <x v="1"/>
    <x v="8"/>
    <n v="1"/>
    <n v="1"/>
    <x v="8"/>
    <x v="14"/>
    <x v="2"/>
    <x v="3"/>
    <x v="6"/>
    <x v="9"/>
    <s v="64-335780-"/>
    <s v="JORGE.OYARZUNS@REDSALUD.GOB.CL"/>
    <x v="4"/>
    <d v="2024-07-05T00:00:00"/>
    <n v="14"/>
    <s v="1057532-131-SE25"/>
    <n v="1"/>
    <n v="41414809"/>
    <d v="2026-03-01T00:00:00"/>
    <x v="0"/>
  </r>
  <r>
    <s v="SERVICIO DE SALUD OSORNO"/>
    <x v="0"/>
    <x v="10"/>
    <s v="Proyecto operacional"/>
    <s v="Publicado"/>
    <s v="22.01.001.002"/>
    <x v="10"/>
    <s v="BENEFICIO DE ADMINISTRACION ENTREGA DE ALIMENTACION CONSIDERANDO UN PROMEDIO ESTIMADO DE 530 TARJETAS MENSUALES ENTRE MESES DE ENERO Y DICIEMBRE POR TRES AÑOS 2025, 2026 Y 2027 ADQUISICION TARJETAS DE ALIMENTACION PARA FUNCIONARIOS DE LA DIRECCION SERVICIO DE SALUD OSORNO, SE CONSIDERA REAJUSTE APROXIMADO POR TRES AÑOS AFECCTO A VARIACION DE NUMERO DE FUNCIONARIOS SECTOR PUBLICO SEGÚN RES EX N°165/2020 EN EL MONTO INFORMADO AÑO 2025 = $480.171.706 AÑO 2026 = 496.977.716 AÑO 2027 = 514.371.936"/>
    <x v="1"/>
    <x v="8"/>
    <n v="1"/>
    <n v="1"/>
    <x v="8"/>
    <x v="14"/>
    <x v="2"/>
    <x v="3"/>
    <x v="6"/>
    <x v="9"/>
    <s v="64-335780-"/>
    <s v="JORGE.OYARZUNS@REDSALUD.GOB.CL"/>
    <x v="4"/>
    <d v="2024-07-05T00:00:00"/>
    <n v="14"/>
    <s v="1057532-1236-SE24"/>
    <n v="1"/>
    <n v="41414809"/>
    <d v="2026-03-01T00:00:00"/>
    <x v="0"/>
  </r>
  <r>
    <s v="SERVICIO DE SALUD OSORNO"/>
    <x v="0"/>
    <x v="10"/>
    <s v="Proyecto operacional"/>
    <s v="Publicado"/>
    <s v="22.01.001.002"/>
    <x v="10"/>
    <s v="BENEFICIO DE ADMINISTRACION ENTREGA DE ALIMENTACION CONSIDERANDO UN PROMEDIO ESTIMADO DE 530 TARJETAS MENSUALES ENTRE MESES DE ENERO Y DICIEMBRE POR TRES AÑOS 2025, 2026 Y 2027 ADQUISICION TARJETAS DE ALIMENTACION PARA FUNCIONARIOS DE LA DIRECCION SERVICIO DE SALUD OSORNO, SE CONSIDERA REAJUSTE APROXIMADO POR TRES AÑOS AFECCTO A VARIACION DE NUMERO DE FUNCIONARIOS SECTOR PUBLICO SEGÚN RES EX N°165/2020 EN EL MONTO INFORMADO AÑO 2025 = $480.171.706 AÑO 2026 = 496.977.716 AÑO 2027 = 514.371.936"/>
    <x v="1"/>
    <x v="8"/>
    <n v="1"/>
    <n v="1"/>
    <x v="8"/>
    <x v="14"/>
    <x v="2"/>
    <x v="3"/>
    <x v="6"/>
    <x v="9"/>
    <s v="64-335780-"/>
    <s v="JORGE.OYARZUNS@REDSALUD.GOB.CL"/>
    <x v="4"/>
    <d v="2024-07-05T00:00:00"/>
    <n v="14"/>
    <s v="1057532-1236-SE24"/>
    <n v="1"/>
    <n v="41414809"/>
    <d v="2026-11-01T00:00:00"/>
    <x v="0"/>
  </r>
  <r>
    <s v="SERVICIO DE SALUD OSORNO"/>
    <x v="0"/>
    <x v="10"/>
    <s v="Proyecto operacional"/>
    <s v="Publicado"/>
    <s v="22.01.001.002"/>
    <x v="10"/>
    <s v="BENEFICIO DE ADMINISTRACION ENTREGA DE ALIMENTACION CONSIDERANDO UN PROMEDIO ESTIMADO DE 530 TARJETAS MENSUALES ENTRE MESES DE ENERO Y DICIEMBRE POR TRES AÑOS 2025, 2026 Y 2027 ADQUISICION TARJETAS DE ALIMENTACION PARA FUNCIONARIOS DE LA DIRECCION SERVICIO DE SALUD OSORNO, SE CONSIDERA REAJUSTE APROXIMADO POR TRES AÑOS AFECCTO A VARIACION DE NUMERO DE FUNCIONARIOS SECTOR PUBLICO SEGÚN RES EX N°165/2020 EN EL MONTO INFORMADO AÑO 2025 = $480.171.706 AÑO 2026 = 496.977.716 AÑO 2027 = 514.371.936"/>
    <x v="1"/>
    <x v="8"/>
    <n v="1"/>
    <n v="1"/>
    <x v="8"/>
    <x v="14"/>
    <x v="2"/>
    <x v="3"/>
    <x v="6"/>
    <x v="9"/>
    <s v="64-335780-"/>
    <s v="JORGE.OYARZUNS@REDSALUD.GOB.CL"/>
    <x v="4"/>
    <d v="2024-07-05T00:00:00"/>
    <n v="14"/>
    <s v="1057532-4087-SE25"/>
    <n v="1"/>
    <n v="41414809"/>
    <d v="2026-01-01T00:00:00"/>
    <x v="0"/>
  </r>
  <r>
    <s v="SERVICIO DE SALUD OSORNO"/>
    <x v="0"/>
    <x v="10"/>
    <s v="Proyecto operacional"/>
    <s v="Publicado"/>
    <s v="22.01.001.002"/>
    <x v="10"/>
    <s v="BENEFICIO DE ADMINISTRACION ENTREGA DE ALIMENTACION CONSIDERANDO UN PROMEDIO ESTIMADO DE 530 TARJETAS MENSUALES ENTRE MESES DE ENERO Y DICIEMBRE POR TRES AÑOS 2025, 2026 Y 2027 ADQUISICION TARJETAS DE ALIMENTACION PARA FUNCIONARIOS DE LA DIRECCION SERVICIO DE SALUD OSORNO, SE CONSIDERA REAJUSTE APROXIMADO POR TRES AÑOS AFECCTO A VARIACION DE NUMERO DE FUNCIONARIOS SECTOR PUBLICO SEGÚN RES EX N°165/2020 EN EL MONTO INFORMADO AÑO 2025 = $480.171.706 AÑO 2026 = 496.977.716 AÑO 2027 = 514.371.936"/>
    <x v="1"/>
    <x v="8"/>
    <n v="1"/>
    <n v="1"/>
    <x v="8"/>
    <x v="14"/>
    <x v="2"/>
    <x v="3"/>
    <x v="6"/>
    <x v="9"/>
    <s v="64-335780-"/>
    <s v="JORGE.OYARZUNS@REDSALUD.GOB.CL"/>
    <x v="4"/>
    <d v="2024-07-05T00:00:00"/>
    <n v="14"/>
    <s v="1057532-131-SE25"/>
    <n v="1"/>
    <n v="41414809"/>
    <d v="2026-07-01T00:00:00"/>
    <x v="0"/>
  </r>
  <r>
    <s v="SERVICIO DE SALUD OSORNO"/>
    <x v="0"/>
    <x v="10"/>
    <s v="Proyecto operacional"/>
    <s v="Publicado"/>
    <s v="22.01.001.002"/>
    <x v="10"/>
    <s v="BENEFICIO DE ADMINISTRACION ENTREGA DE ALIMENTACION CONSIDERANDO UN PROMEDIO ESTIMADO DE 530 TARJETAS MENSUALES ENTRE MESES DE ENERO Y DICIEMBRE POR TRES AÑOS 2025, 2026 Y 2027 ADQUISICION TARJETAS DE ALIMENTACION PARA FUNCIONARIOS DE LA DIRECCION SERVICIO DE SALUD OSORNO, SE CONSIDERA REAJUSTE APROXIMADO POR TRES AÑOS AFECCTO A VARIACION DE NUMERO DE FUNCIONARIOS SECTOR PUBLICO SEGÚN RES EX N°165/2020 EN EL MONTO INFORMADO AÑO 2025 = $480.171.706 AÑO 2026 = 496.977.716 AÑO 2027 = 514.371.936"/>
    <x v="1"/>
    <x v="8"/>
    <n v="1"/>
    <n v="1"/>
    <x v="8"/>
    <x v="14"/>
    <x v="2"/>
    <x v="3"/>
    <x v="6"/>
    <x v="9"/>
    <s v="64-335780-"/>
    <s v="JORGE.OYARZUNS@REDSALUD.GOB.CL"/>
    <x v="4"/>
    <d v="2024-07-05T00:00:00"/>
    <n v="14"/>
    <s v="1057532-1236-SE24"/>
    <n v="1"/>
    <n v="41414809"/>
    <d v="2026-07-01T00:00:00"/>
    <x v="0"/>
  </r>
  <r>
    <s v="SERVICIO DE SALUD OSORNO"/>
    <x v="0"/>
    <x v="10"/>
    <s v="Proyecto operacional"/>
    <s v="Publicado"/>
    <s v="22.01.001.002"/>
    <x v="10"/>
    <s v="BENEFICIO DE ADMINISTRACION ENTREGA DE ALIMENTACION CONSIDERANDO UN PROMEDIO ESTIMADO DE 530 TARJETAS MENSUALES ENTRE MESES DE ENERO Y DICIEMBRE POR TRES AÑOS 2025, 2026 Y 2027 ADQUISICION TARJETAS DE ALIMENTACION PARA FUNCIONARIOS DE LA DIRECCION SERVICIO DE SALUD OSORNO, SE CONSIDERA REAJUSTE APROXIMADO POR TRES AÑOS AFECCTO A VARIACION DE NUMERO DE FUNCIONARIOS SECTOR PUBLICO SEGÚN RES EX N°165/2020 EN EL MONTO INFORMADO AÑO 2025 = $480.171.706 AÑO 2026 = 496.977.716 AÑO 2027 = 514.371.936"/>
    <x v="1"/>
    <x v="8"/>
    <n v="1"/>
    <n v="1"/>
    <x v="8"/>
    <x v="14"/>
    <x v="2"/>
    <x v="3"/>
    <x v="6"/>
    <x v="9"/>
    <s v="64-335780-"/>
    <s v="JORGE.OYARZUNS@REDSALUD.GOB.CL"/>
    <x v="4"/>
    <d v="2024-07-05T00:00:00"/>
    <n v="14"/>
    <s v="1057532-4087-SE25"/>
    <n v="1"/>
    <n v="41414809"/>
    <d v="2026-05-01T00:00:00"/>
    <x v="0"/>
  </r>
  <r>
    <s v="SERVICIO DE SALUD OSORNO"/>
    <x v="0"/>
    <x v="10"/>
    <s v="Proyecto operacional"/>
    <s v="Publicado"/>
    <s v="22.01.001.002"/>
    <x v="10"/>
    <s v="BENEFICIO DE ADMINISTRACION ENTREGA DE ALIMENTACION CONSIDERANDO UN PROMEDIO ESTIMADO DE 530 TARJETAS MENSUALES ENTRE MESES DE ENERO Y DICIEMBRE POR TRES AÑOS 2025, 2026 Y 2027 ADQUISICION TARJETAS DE ALIMENTACION PARA FUNCIONARIOS DE LA DIRECCION SERVICIO DE SALUD OSORNO, SE CONSIDERA REAJUSTE APROXIMADO POR TRES AÑOS AFECCTO A VARIACION DE NUMERO DE FUNCIONARIOS SECTOR PUBLICO SEGÚN RES EX N°165/2020 EN EL MONTO INFORMADO AÑO 2025 = $480.171.706 AÑO 2026 = 496.977.716 AÑO 2027 = 514.371.936"/>
    <x v="1"/>
    <x v="8"/>
    <n v="1"/>
    <n v="1"/>
    <x v="8"/>
    <x v="14"/>
    <x v="2"/>
    <x v="3"/>
    <x v="6"/>
    <x v="9"/>
    <s v="64-335780-"/>
    <s v="JORGE.OYARZUNS@REDSALUD.GOB.CL"/>
    <x v="4"/>
    <d v="2024-07-05T00:00:00"/>
    <n v="14"/>
    <s v="1057532-131-SE25"/>
    <n v="1"/>
    <n v="41414809"/>
    <d v="2026-04-01T00:00:00"/>
    <x v="0"/>
  </r>
  <r>
    <s v="SERVICIO DE SALUD OSORNO"/>
    <x v="0"/>
    <x v="10"/>
    <s v="Proyecto operacional"/>
    <s v="Publicado"/>
    <s v="22.01.001.002"/>
    <x v="10"/>
    <s v="BENEFICIO DE ADMINISTRACION ENTREGA DE ALIMENTACION CONSIDERANDO UN PROMEDIO ESTIMADO DE 530 TARJETAS MENSUALES ENTRE MESES DE ENERO Y DICIEMBRE POR TRES AÑOS 2025, 2026 Y 2027 ADQUISICION TARJETAS DE ALIMENTACION PARA FUNCIONARIOS DE LA DIRECCION SERVICIO DE SALUD OSORNO, SE CONSIDERA REAJUSTE APROXIMADO POR TRES AÑOS AFECCTO A VARIACION DE NUMERO DE FUNCIONARIOS SECTOR PUBLICO SEGÚN RES EX N°165/2020 EN EL MONTO INFORMADO AÑO 2025 = $480.171.706 AÑO 2026 = 496.977.716 AÑO 2027 = 514.371.936"/>
    <x v="1"/>
    <x v="8"/>
    <n v="1"/>
    <n v="1"/>
    <x v="8"/>
    <x v="14"/>
    <x v="2"/>
    <x v="3"/>
    <x v="6"/>
    <x v="9"/>
    <s v="64-335780-"/>
    <s v="JORGE.OYARZUNS@REDSALUD.GOB.CL"/>
    <x v="4"/>
    <d v="2024-07-05T00:00:00"/>
    <n v="14"/>
    <s v="1057532-1236-SE24"/>
    <n v="1"/>
    <n v="41414809"/>
    <d v="2026-05-01T00:00:00"/>
    <x v="0"/>
  </r>
  <r>
    <s v="SERVICIO DE SALUD OSORNO"/>
    <x v="0"/>
    <x v="10"/>
    <s v="Proyecto operacional"/>
    <s v="Publicado"/>
    <s v="22.01.001.002"/>
    <x v="10"/>
    <s v="BENEFICIO DE ADMINISTRACION ENTREGA DE ALIMENTACION CONSIDERANDO UN PROMEDIO ESTIMADO DE 530 TARJETAS MENSUALES ENTRE MESES DE ENERO Y DICIEMBRE POR TRES AÑOS 2025, 2026 Y 2027 ADQUISICION TARJETAS DE ALIMENTACION PARA FUNCIONARIOS DE LA DIRECCION SERVICIO DE SALUD OSORNO, SE CONSIDERA REAJUSTE APROXIMADO POR TRES AÑOS AFECCTO A VARIACION DE NUMERO DE FUNCIONARIOS SECTOR PUBLICO SEGÚN RES EX N°165/2020 EN EL MONTO INFORMADO AÑO 2025 = $480.171.706 AÑO 2026 = 496.977.716 AÑO 2027 = 514.371.936"/>
    <x v="1"/>
    <x v="8"/>
    <n v="1"/>
    <n v="1"/>
    <x v="8"/>
    <x v="14"/>
    <x v="2"/>
    <x v="3"/>
    <x v="6"/>
    <x v="9"/>
    <s v="64-335780-"/>
    <s v="JORGE.OYARZUNS@REDSALUD.GOB.CL"/>
    <x v="4"/>
    <d v="2024-07-05T00:00:00"/>
    <n v="14"/>
    <s v="1057532-1236-SE24"/>
    <n v="1"/>
    <n v="41414809"/>
    <d v="2026-04-01T00:00:00"/>
    <x v="0"/>
  </r>
  <r>
    <s v="SERVICIO DE SALUD OSORNO"/>
    <x v="0"/>
    <x v="10"/>
    <s v="Proyecto operacional"/>
    <s v="Publicado"/>
    <s v="22.01.001.002"/>
    <x v="10"/>
    <s v="BENEFICIO DE ADMINISTRACION ENTREGA DE ALIMENTACION CONSIDERANDO UN PROMEDIO ESTIMADO DE 530 TARJETAS MENSUALES ENTRE MESES DE ENERO Y DICIEMBRE POR TRES AÑOS 2025, 2026 Y 2027 ADQUISICION TARJETAS DE ALIMENTACION PARA FUNCIONARIOS DE LA DIRECCION SERVICIO DE SALUD OSORNO, SE CONSIDERA REAJUSTE APROXIMADO POR TRES AÑOS AFECCTO A VARIACION DE NUMERO DE FUNCIONARIOS SECTOR PUBLICO SEGÚN RES EX N°165/2020 EN EL MONTO INFORMADO AÑO 2025 = $480.171.706 AÑO 2026 = 496.977.716 AÑO 2027 = 514.371.936"/>
    <x v="1"/>
    <x v="8"/>
    <n v="1"/>
    <n v="1"/>
    <x v="8"/>
    <x v="14"/>
    <x v="2"/>
    <x v="3"/>
    <x v="6"/>
    <x v="9"/>
    <s v="64-335780-"/>
    <s v="JORGE.OYARZUNS@REDSALUD.GOB.CL"/>
    <x v="4"/>
    <d v="2024-07-05T00:00:00"/>
    <n v="14"/>
    <s v="1057532-131-SE25"/>
    <n v="1"/>
    <n v="41414809"/>
    <d v="2026-01-01T00:00:00"/>
    <x v="0"/>
  </r>
  <r>
    <s v="SERVICIO DE SALUD OSORNO"/>
    <x v="0"/>
    <x v="10"/>
    <s v="Proyecto operacional"/>
    <s v="Publicado"/>
    <s v="22.01.001.002"/>
    <x v="10"/>
    <s v="BENEFICIO DE ADMINISTRACION ENTREGA DE ALIMENTACION CONSIDERANDO UN PROMEDIO ESTIMADO DE 530 TARJETAS MENSUALES ENTRE MESES DE ENERO Y DICIEMBRE POR TRES AÑOS 2025, 2026 Y 2027 ADQUISICION TARJETAS DE ALIMENTACION PARA FUNCIONARIOS DE LA DIRECCION SERVICIO DE SALUD OSORNO, SE CONSIDERA REAJUSTE APROXIMADO POR TRES AÑOS AFECCTO A VARIACION DE NUMERO DE FUNCIONARIOS SECTOR PUBLICO SEGÚN RES EX N°165/2020 EN EL MONTO INFORMADO AÑO 2025 = $480.171.706 AÑO 2026 = 496.977.716 AÑO 2027 = 514.371.936"/>
    <x v="1"/>
    <x v="8"/>
    <n v="1"/>
    <n v="1"/>
    <x v="8"/>
    <x v="14"/>
    <x v="2"/>
    <x v="3"/>
    <x v="6"/>
    <x v="9"/>
    <s v="64-335780-"/>
    <s v="JORGE.OYARZUNS@REDSALUD.GOB.CL"/>
    <x v="4"/>
    <d v="2024-07-05T00:00:00"/>
    <n v="14"/>
    <s v="1057532-1236-SE24"/>
    <n v="1"/>
    <n v="41414809"/>
    <d v="2026-02-01T00:00:00"/>
    <x v="0"/>
  </r>
  <r>
    <s v="SERVICIO DE SALUD OSORNO"/>
    <x v="0"/>
    <x v="11"/>
    <s v="Proyecto operacional"/>
    <s v="Publicado"/>
    <s v="22.04.003.001"/>
    <x v="11"/>
    <s v="Contrato suministro de oxígeno medicinal para la Red de Hospitales de Baja y Mediana Complejidad así como para Base SAMU dependiente del Servicio Salud Osorno, en formato de cilindros de 0,4 m3 - 0,7 m3 - 6 m3 y 10 m3."/>
    <x v="1"/>
    <x v="9"/>
    <n v="1"/>
    <n v="1"/>
    <x v="9"/>
    <x v="15"/>
    <x v="1"/>
    <x v="2"/>
    <x v="7"/>
    <x v="10"/>
    <s v="64-335809-"/>
    <s v="mario.aburto@redsalud.gov.cl"/>
    <x v="3"/>
    <d v="2024-07-05T00:00:00"/>
    <n v="23"/>
    <s v="1057532-5543-SE25"/>
    <n v="1"/>
    <n v="9833333"/>
    <d v="2026-06-01T00:00:00"/>
    <x v="0"/>
  </r>
  <r>
    <s v="SERVICIO DE SALUD OSORNO"/>
    <x v="0"/>
    <x v="11"/>
    <s v="Proyecto operacional"/>
    <s v="Publicado"/>
    <s v="22.04.003.001"/>
    <x v="11"/>
    <s v="Contrato suministro de oxígeno medicinal para la Red de Hospitales de Baja y Mediana Complejidad así como para Base SAMU dependiente del Servicio Salud Osorno, en formato de cilindros de 0,4 m3 - 0,7 m3 - 6 m3 y 10 m3."/>
    <x v="1"/>
    <x v="9"/>
    <n v="1"/>
    <n v="1"/>
    <x v="9"/>
    <x v="15"/>
    <x v="1"/>
    <x v="2"/>
    <x v="7"/>
    <x v="10"/>
    <s v="64-335809-"/>
    <s v="mario.aburto@redsalud.gov.cl"/>
    <x v="3"/>
    <d v="2024-07-05T00:00:00"/>
    <n v="23"/>
    <s v="1057532-4736-SE25"/>
    <n v="1"/>
    <n v="9833333"/>
    <d v="2026-05-01T00:00:00"/>
    <x v="0"/>
  </r>
  <r>
    <s v="SERVICIO DE SALUD OSORNO"/>
    <x v="0"/>
    <x v="11"/>
    <s v="Proyecto operacional"/>
    <s v="Publicado"/>
    <s v="22.04.003.001"/>
    <x v="11"/>
    <s v="Contrato suministro de oxígeno medicinal para la Red de Hospitales de Baja y Mediana Complejidad así como para Base SAMU dependiente del Servicio Salud Osorno, en formato de cilindros de 0,4 m3 - 0,7 m3 - 6 m3 y 10 m3."/>
    <x v="1"/>
    <x v="9"/>
    <n v="1"/>
    <n v="1"/>
    <x v="9"/>
    <x v="15"/>
    <x v="1"/>
    <x v="2"/>
    <x v="7"/>
    <x v="10"/>
    <s v="64-335809-"/>
    <s v="mario.aburto@redsalud.gov.cl"/>
    <x v="3"/>
    <d v="2024-07-05T00:00:00"/>
    <n v="23"/>
    <s v="1057532-5012-SE25"/>
    <n v="1"/>
    <n v="9833333"/>
    <d v="2026-11-01T00:00:00"/>
    <x v="0"/>
  </r>
  <r>
    <s v="SERVICIO DE SALUD OSORNO"/>
    <x v="0"/>
    <x v="11"/>
    <s v="Proyecto operacional"/>
    <s v="Publicado"/>
    <s v="22.04.003.001"/>
    <x v="11"/>
    <s v="Contrato suministro de oxígeno medicinal para la Red de Hospitales de Baja y Mediana Complejidad así como para Base SAMU dependiente del Servicio Salud Osorno, en formato de cilindros de 0,4 m3 - 0,7 m3 - 6 m3 y 10 m3."/>
    <x v="1"/>
    <x v="9"/>
    <n v="1"/>
    <n v="1"/>
    <x v="9"/>
    <x v="16"/>
    <x v="1"/>
    <x v="2"/>
    <x v="7"/>
    <x v="10"/>
    <s v="64-335809-"/>
    <s v="mario.aburto@redsalud.gov.cl"/>
    <x v="3"/>
    <d v="2024-07-05T00:00:00"/>
    <n v="23"/>
    <s v="1057532-4671-SE25"/>
    <n v="1"/>
    <n v="9833341"/>
    <d v="2026-12-01T00:00:00"/>
    <x v="0"/>
  </r>
  <r>
    <s v="SERVICIO DE SALUD OSORNO"/>
    <x v="0"/>
    <x v="11"/>
    <s v="Proyecto operacional"/>
    <s v="Publicado"/>
    <s v="22.04.003.001"/>
    <x v="11"/>
    <s v="Contrato suministro de oxígeno medicinal para la Red de Hospitales de Baja y Mediana Complejidad así como para Base SAMU dependiente del Servicio Salud Osorno, en formato de cilindros de 0,4 m3 - 0,7 m3 - 6 m3 y 10 m3."/>
    <x v="1"/>
    <x v="9"/>
    <n v="1"/>
    <n v="1"/>
    <x v="9"/>
    <x v="15"/>
    <x v="1"/>
    <x v="2"/>
    <x v="7"/>
    <x v="10"/>
    <s v="64-335809-"/>
    <s v="mario.aburto@redsalud.gov.cl"/>
    <x v="3"/>
    <d v="2024-07-05T00:00:00"/>
    <n v="23"/>
    <s v="1057532-4671-SE25"/>
    <n v="1"/>
    <n v="9833333"/>
    <d v="2026-08-01T00:00:00"/>
    <x v="0"/>
  </r>
  <r>
    <s v="SERVICIO DE SALUD OSORNO"/>
    <x v="0"/>
    <x v="11"/>
    <s v="Proyecto operacional"/>
    <s v="Publicado"/>
    <s v="22.04.003.001"/>
    <x v="11"/>
    <s v="Contrato suministro de oxígeno medicinal para la Red de Hospitales de Baja y Mediana Complejidad así como para Base SAMU dependiente del Servicio Salud Osorno, en formato de cilindros de 0,4 m3 - 0,7 m3 - 6 m3 y 10 m3."/>
    <x v="1"/>
    <x v="9"/>
    <n v="1"/>
    <n v="1"/>
    <x v="9"/>
    <x v="15"/>
    <x v="1"/>
    <x v="2"/>
    <x v="7"/>
    <x v="10"/>
    <s v="64-335809-"/>
    <s v="mario.aburto@redsalud.gov.cl"/>
    <x v="3"/>
    <d v="2024-07-05T00:00:00"/>
    <n v="23"/>
    <s v="1057532-5098-SE25"/>
    <n v="1"/>
    <n v="9833333"/>
    <d v="2026-09-01T00:00:00"/>
    <x v="0"/>
  </r>
  <r>
    <s v="SERVICIO DE SALUD OSORNO"/>
    <x v="0"/>
    <x v="11"/>
    <s v="Proyecto operacional"/>
    <s v="Publicado"/>
    <s v="22.04.003.001"/>
    <x v="11"/>
    <s v="Contrato suministro de oxígeno medicinal para la Red de Hospitales de Baja y Mediana Complejidad así como para Base SAMU dependiente del Servicio Salud Osorno, en formato de cilindros de 0,4 m3 - 0,7 m3 - 6 m3 y 10 m3."/>
    <x v="1"/>
    <x v="9"/>
    <n v="1"/>
    <n v="1"/>
    <x v="9"/>
    <x v="15"/>
    <x v="1"/>
    <x v="2"/>
    <x v="7"/>
    <x v="10"/>
    <s v="64-335809-"/>
    <s v="mario.aburto@redsalud.gov.cl"/>
    <x v="3"/>
    <d v="2024-07-05T00:00:00"/>
    <n v="23"/>
    <s v="1057532-5144-SE25"/>
    <n v="1"/>
    <n v="9833333"/>
    <d v="2026-01-01T00:00:00"/>
    <x v="0"/>
  </r>
  <r>
    <s v="SERVICIO DE SALUD OSORNO"/>
    <x v="0"/>
    <x v="11"/>
    <s v="Proyecto operacional"/>
    <s v="Publicado"/>
    <s v="22.04.003.001"/>
    <x v="11"/>
    <s v="Contrato suministro de oxígeno medicinal para la Red de Hospitales de Baja y Mediana Complejidad así como para Base SAMU dependiente del Servicio Salud Osorno, en formato de cilindros de 0,4 m3 - 0,7 m3 - 6 m3 y 10 m3."/>
    <x v="1"/>
    <x v="9"/>
    <n v="1"/>
    <n v="1"/>
    <x v="9"/>
    <x v="15"/>
    <x v="1"/>
    <x v="2"/>
    <x v="7"/>
    <x v="10"/>
    <s v="64-335809-"/>
    <s v="mario.aburto@redsalud.gov.cl"/>
    <x v="3"/>
    <d v="2024-07-05T00:00:00"/>
    <n v="23"/>
    <s v="1057532-5655-SE25"/>
    <n v="1"/>
    <n v="9833333"/>
    <d v="2026-05-01T00:00:00"/>
    <x v="0"/>
  </r>
  <r>
    <s v="SERVICIO DE SALUD OSORNO"/>
    <x v="0"/>
    <x v="11"/>
    <s v="Proyecto operacional"/>
    <s v="Publicado"/>
    <s v="22.04.003.001"/>
    <x v="11"/>
    <s v="Contrato suministro de oxígeno medicinal para la Red de Hospitales de Baja y Mediana Complejidad así como para Base SAMU dependiente del Servicio Salud Osorno, en formato de cilindros de 0,4 m3 - 0,7 m3 - 6 m3 y 10 m3."/>
    <x v="1"/>
    <x v="9"/>
    <n v="1"/>
    <n v="1"/>
    <x v="9"/>
    <x v="15"/>
    <x v="1"/>
    <x v="2"/>
    <x v="7"/>
    <x v="10"/>
    <s v="64-335809-"/>
    <s v="mario.aburto@redsalud.gov.cl"/>
    <x v="3"/>
    <d v="2024-07-05T00:00:00"/>
    <n v="23"/>
    <s v="1057532-5543-SE25"/>
    <n v="1"/>
    <n v="9833333"/>
    <d v="2026-07-01T00:00:00"/>
    <x v="0"/>
  </r>
  <r>
    <s v="SERVICIO DE SALUD OSORNO"/>
    <x v="0"/>
    <x v="11"/>
    <s v="Proyecto operacional"/>
    <s v="Publicado"/>
    <s v="22.04.003.001"/>
    <x v="11"/>
    <s v="Contrato suministro de oxígeno medicinal para la Red de Hospitales de Baja y Mediana Complejidad así como para Base SAMU dependiente del Servicio Salud Osorno, en formato de cilindros de 0,4 m3 - 0,7 m3 - 6 m3 y 10 m3."/>
    <x v="1"/>
    <x v="9"/>
    <n v="1"/>
    <n v="1"/>
    <x v="9"/>
    <x v="15"/>
    <x v="1"/>
    <x v="2"/>
    <x v="7"/>
    <x v="10"/>
    <s v="64-335809-"/>
    <s v="mario.aburto@redsalud.gov.cl"/>
    <x v="3"/>
    <d v="2024-07-05T00:00:00"/>
    <n v="23"/>
    <s v="1057532-5098-SE25"/>
    <n v="1"/>
    <n v="9833333"/>
    <d v="2026-10-01T00:00:00"/>
    <x v="0"/>
  </r>
  <r>
    <s v="SERVICIO DE SALUD OSORNO"/>
    <x v="0"/>
    <x v="11"/>
    <s v="Proyecto operacional"/>
    <s v="Publicado"/>
    <s v="22.04.003.001"/>
    <x v="11"/>
    <s v="Contrato suministro de oxígeno medicinal para la Red de Hospitales de Baja y Mediana Complejidad así como para Base SAMU dependiente del Servicio Salud Osorno, en formato de cilindros de 0,4 m3 - 0,7 m3 - 6 m3 y 10 m3."/>
    <x v="1"/>
    <x v="9"/>
    <n v="1"/>
    <n v="1"/>
    <x v="9"/>
    <x v="15"/>
    <x v="1"/>
    <x v="2"/>
    <x v="7"/>
    <x v="10"/>
    <s v="64-335809-"/>
    <s v="mario.aburto@redsalud.gov.cl"/>
    <x v="3"/>
    <d v="2024-07-05T00:00:00"/>
    <n v="23"/>
    <s v="1057532-5098-SE25"/>
    <n v="1"/>
    <n v="9833333"/>
    <d v="2026-02-01T00:00:00"/>
    <x v="0"/>
  </r>
  <r>
    <s v="SERVICIO DE SALUD OSORNO"/>
    <x v="0"/>
    <x v="11"/>
    <s v="Proyecto operacional"/>
    <s v="Publicado"/>
    <s v="22.04.003.001"/>
    <x v="11"/>
    <s v="Contrato suministro de oxígeno medicinal para la Red de Hospitales de Baja y Mediana Complejidad así como para Base SAMU dependiente del Servicio Salud Osorno, en formato de cilindros de 0,4 m3 - 0,7 m3 - 6 m3 y 10 m3."/>
    <x v="1"/>
    <x v="9"/>
    <n v="1"/>
    <n v="1"/>
    <x v="9"/>
    <x v="17"/>
    <x v="1"/>
    <x v="2"/>
    <x v="7"/>
    <x v="10"/>
    <s v="64-335809-"/>
    <s v="mario.aburto@redsalud.gov.cl"/>
    <x v="3"/>
    <d v="2024-07-05T00:00:00"/>
    <n v="23"/>
    <s v="1057532-5207-SE25"/>
    <n v="1"/>
    <n v="9833341"/>
    <d v="2026-12-01T00:00:00"/>
    <x v="0"/>
  </r>
  <r>
    <s v="SERVICIO DE SALUD OSORNO"/>
    <x v="0"/>
    <x v="12"/>
    <s v="Proyecto operacional"/>
    <s v="Publicado"/>
    <s v="22.05.008"/>
    <x v="12"/>
    <s v="Aquisición de Soporte y mantenimiento de Sistema de repetición VHF del Servicio de Salud osorno, para el periodo 2025 - 2026."/>
    <x v="1"/>
    <x v="3"/>
    <n v="1"/>
    <n v="1"/>
    <x v="10"/>
    <x v="18"/>
    <x v="1"/>
    <x v="2"/>
    <x v="8"/>
    <x v="3"/>
    <s v="64-337728-"/>
    <s v="CATALINA.VERAC@REDSALUD.GOB.CL"/>
    <x v="4"/>
    <d v="2024-07-05T00:00:00"/>
    <n v="16"/>
    <s v="1057532-4665-TD25"/>
    <n v="1"/>
    <n v="833333"/>
    <d v="2026-07-01T00:00:00"/>
    <x v="0"/>
  </r>
  <r>
    <s v="SERVICIO DE SALUD OSORNO"/>
    <x v="0"/>
    <x v="12"/>
    <s v="Proyecto operacional"/>
    <s v="Publicado"/>
    <s v="22.05.008"/>
    <x v="12"/>
    <s v="Aquisición de Soporte y mantenimiento de Sistema de repetición VHF del Servicio de Salud osorno, para el periodo 2025 - 2026."/>
    <x v="1"/>
    <x v="3"/>
    <n v="1"/>
    <n v="1"/>
    <x v="10"/>
    <x v="18"/>
    <x v="1"/>
    <x v="2"/>
    <x v="8"/>
    <x v="3"/>
    <s v="64-337728-"/>
    <s v="CATALINA.VERAC@REDSALUD.GOB.CL"/>
    <x v="4"/>
    <d v="2024-07-05T00:00:00"/>
    <n v="16"/>
    <s v="1057532-5093-TD25"/>
    <n v="1"/>
    <n v="833333"/>
    <d v="2026-06-01T00:00:00"/>
    <x v="0"/>
  </r>
  <r>
    <s v="SERVICIO DE SALUD OSORNO"/>
    <x v="0"/>
    <x v="12"/>
    <s v="Proyecto operacional"/>
    <s v="Publicado"/>
    <s v="22.05.008"/>
    <x v="12"/>
    <s v="Aquisición de Soporte y mantenimiento de Sistema de repetición VHF del Servicio de Salud osorno, para el periodo 2025 - 2026."/>
    <x v="1"/>
    <x v="3"/>
    <n v="1"/>
    <n v="1"/>
    <x v="10"/>
    <x v="18"/>
    <x v="1"/>
    <x v="2"/>
    <x v="8"/>
    <x v="3"/>
    <s v="64-337728-"/>
    <s v="CATALINA.VERAC@REDSALUD.GOB.CL"/>
    <x v="4"/>
    <d v="2024-07-05T00:00:00"/>
    <n v="16"/>
    <s v="1057532-5273-TD25"/>
    <n v="1"/>
    <n v="833333"/>
    <d v="2026-03-01T00:00:00"/>
    <x v="0"/>
  </r>
  <r>
    <s v="SERVICIO DE SALUD OSORNO"/>
    <x v="0"/>
    <x v="12"/>
    <s v="Proyecto operacional"/>
    <s v="Publicado"/>
    <s v="22.05.008"/>
    <x v="12"/>
    <s v="Aquisición de Soporte y mantenimiento de Sistema de repetición VHF del Servicio de Salud osorno, para el periodo 2025 - 2026."/>
    <x v="1"/>
    <x v="3"/>
    <n v="1"/>
    <n v="1"/>
    <x v="10"/>
    <x v="18"/>
    <x v="1"/>
    <x v="2"/>
    <x v="8"/>
    <x v="3"/>
    <s v="64-337728-"/>
    <s v="CATALINA.VERAC@REDSALUD.GOB.CL"/>
    <x v="4"/>
    <d v="2024-07-05T00:00:00"/>
    <n v="16"/>
    <s v="1057532-4472-AG25"/>
    <n v="1"/>
    <n v="833333"/>
    <d v="2026-06-01T00:00:00"/>
    <x v="0"/>
  </r>
  <r>
    <s v="SERVICIO DE SALUD OSORNO"/>
    <x v="0"/>
    <x v="12"/>
    <s v="Proyecto operacional"/>
    <s v="Publicado"/>
    <s v="22.05.008"/>
    <x v="12"/>
    <s v="Aquisición de Soporte y mantenimiento de Sistema de repetición VHF del Servicio de Salud osorno, para el periodo 2025 - 2026."/>
    <x v="1"/>
    <x v="3"/>
    <n v="1"/>
    <n v="1"/>
    <x v="10"/>
    <x v="18"/>
    <x v="1"/>
    <x v="2"/>
    <x v="8"/>
    <x v="3"/>
    <s v="64-337728-"/>
    <s v="CATALINA.VERAC@REDSALUD.GOB.CL"/>
    <x v="4"/>
    <d v="2024-07-05T00:00:00"/>
    <n v="16"/>
    <s v="1057532-5045-TD25"/>
    <n v="1"/>
    <n v="833333"/>
    <d v="2026-09-01T00:00:00"/>
    <x v="0"/>
  </r>
  <r>
    <s v="SERVICIO DE SALUD OSORNO"/>
    <x v="0"/>
    <x v="12"/>
    <s v="Proyecto operacional"/>
    <s v="Publicado"/>
    <s v="22.05.008"/>
    <x v="12"/>
    <s v="Aquisición de Soporte y mantenimiento de Sistema de repetición VHF del Servicio de Salud osorno, para el periodo 2025 - 2026."/>
    <x v="1"/>
    <x v="3"/>
    <n v="1"/>
    <n v="1"/>
    <x v="10"/>
    <x v="19"/>
    <x v="1"/>
    <x v="2"/>
    <x v="8"/>
    <x v="3"/>
    <s v="64-337728-"/>
    <s v="CATALINA.VERAC@REDSALUD.GOB.CL"/>
    <x v="4"/>
    <d v="2024-07-05T00:00:00"/>
    <n v="16"/>
    <s v="1057532-5093-TD25"/>
    <n v="1"/>
    <n v="833341"/>
    <d v="2026-12-01T00:00:00"/>
    <x v="0"/>
  </r>
  <r>
    <s v="SERVICIO DE SALUD OSORNO"/>
    <x v="0"/>
    <x v="12"/>
    <s v="Proyecto operacional"/>
    <s v="Publicado"/>
    <s v="22.05.008"/>
    <x v="12"/>
    <s v="Aquisición de Soporte y mantenimiento de Sistema de repetición VHF del Servicio de Salud osorno, para el periodo 2025 - 2026."/>
    <x v="1"/>
    <x v="3"/>
    <n v="1"/>
    <n v="1"/>
    <x v="10"/>
    <x v="18"/>
    <x v="1"/>
    <x v="2"/>
    <x v="8"/>
    <x v="3"/>
    <s v="64-337728-"/>
    <s v="CATALINA.VERAC@REDSALUD.GOB.CL"/>
    <x v="4"/>
    <d v="2024-07-05T00:00:00"/>
    <n v="16"/>
    <s v="1057532-4618-TD25"/>
    <n v="1"/>
    <n v="833333"/>
    <d v="2026-01-01T00:00:00"/>
    <x v="0"/>
  </r>
  <r>
    <s v="SERVICIO DE SALUD OSORNO"/>
    <x v="0"/>
    <x v="12"/>
    <s v="Proyecto operacional"/>
    <s v="Publicado"/>
    <s v="22.05.008"/>
    <x v="12"/>
    <s v="Aquisición de Soporte y mantenimiento de Sistema de repetición VHF del Servicio de Salud osorno, para el periodo 2025 - 2026."/>
    <x v="1"/>
    <x v="3"/>
    <n v="1"/>
    <n v="1"/>
    <x v="10"/>
    <x v="18"/>
    <x v="1"/>
    <x v="2"/>
    <x v="8"/>
    <x v="3"/>
    <s v="64-337728-"/>
    <s v="CATALINA.VERAC@REDSALUD.GOB.CL"/>
    <x v="4"/>
    <d v="2024-07-05T00:00:00"/>
    <n v="16"/>
    <s v="1057532-4618-TD25"/>
    <n v="1"/>
    <n v="833333"/>
    <d v="2026-11-01T00:00:00"/>
    <x v="0"/>
  </r>
  <r>
    <s v="SERVICIO DE SALUD OSORNO"/>
    <x v="0"/>
    <x v="12"/>
    <s v="Proyecto operacional"/>
    <s v="Publicado"/>
    <s v="22.05.008"/>
    <x v="12"/>
    <s v="Aquisición de Soporte y mantenimiento de Sistema de repetición VHF del Servicio de Salud osorno, para el periodo 2025 - 2026."/>
    <x v="1"/>
    <x v="3"/>
    <n v="1"/>
    <n v="1"/>
    <x v="10"/>
    <x v="20"/>
    <x v="1"/>
    <x v="2"/>
    <x v="8"/>
    <x v="3"/>
    <s v="64-337728-"/>
    <s v="CATALINA.VERAC@REDSALUD.GOB.CL"/>
    <x v="4"/>
    <d v="2024-07-05T00:00:00"/>
    <n v="16"/>
    <s v="1057532-4472-AG25"/>
    <n v="1"/>
    <n v="833341"/>
    <d v="2026-12-01T00:00:00"/>
    <x v="0"/>
  </r>
  <r>
    <s v="SERVICIO DE SALUD OSORNO"/>
    <x v="0"/>
    <x v="12"/>
    <s v="Proyecto operacional"/>
    <s v="Publicado"/>
    <s v="22.05.008"/>
    <x v="12"/>
    <s v="Aquisición de Soporte y mantenimiento de Sistema de repetición VHF del Servicio de Salud osorno, para el periodo 2025 - 2026."/>
    <x v="1"/>
    <x v="3"/>
    <n v="1"/>
    <n v="1"/>
    <x v="10"/>
    <x v="18"/>
    <x v="1"/>
    <x v="2"/>
    <x v="8"/>
    <x v="3"/>
    <s v="64-337728-"/>
    <s v="CATALINA.VERAC@REDSALUD.GOB.CL"/>
    <x v="4"/>
    <d v="2024-07-05T00:00:00"/>
    <n v="16"/>
    <s v="1057532-4242-TD25"/>
    <n v="1"/>
    <n v="833333"/>
    <d v="2026-10-01T00:00:00"/>
    <x v="0"/>
  </r>
  <r>
    <s v="SERVICIO DE SALUD OSORNO"/>
    <x v="0"/>
    <x v="12"/>
    <s v="Proyecto operacional"/>
    <s v="Publicado"/>
    <s v="22.05.008"/>
    <x v="12"/>
    <s v="Aquisición de Soporte y mantenimiento de Sistema de repetición VHF del Servicio de Salud osorno, para el periodo 2025 - 2026."/>
    <x v="1"/>
    <x v="3"/>
    <n v="1"/>
    <n v="1"/>
    <x v="10"/>
    <x v="18"/>
    <x v="1"/>
    <x v="2"/>
    <x v="8"/>
    <x v="3"/>
    <s v="64-337728-"/>
    <s v="CATALINA.VERAC@REDSALUD.GOB.CL"/>
    <x v="4"/>
    <d v="2024-07-05T00:00:00"/>
    <n v="16"/>
    <s v="1057532-4242-TD25"/>
    <n v="1"/>
    <n v="833333"/>
    <d v="2026-05-01T00:00:00"/>
    <x v="0"/>
  </r>
  <r>
    <s v="SERVICIO DE SALUD OSORNO"/>
    <x v="0"/>
    <x v="12"/>
    <s v="Proyecto operacional"/>
    <s v="Publicado"/>
    <s v="22.05.008"/>
    <x v="12"/>
    <s v="Aquisición de Soporte y mantenimiento de Sistema de repetición VHF del Servicio de Salud osorno, para el periodo 2025 - 2026."/>
    <x v="1"/>
    <x v="3"/>
    <n v="1"/>
    <n v="1"/>
    <x v="10"/>
    <x v="18"/>
    <x v="1"/>
    <x v="2"/>
    <x v="8"/>
    <x v="3"/>
    <s v="64-337728-"/>
    <s v="CATALINA.VERAC@REDSALUD.GOB.CL"/>
    <x v="4"/>
    <d v="2024-07-05T00:00:00"/>
    <n v="16"/>
    <s v="1057532-4665-TD25"/>
    <n v="1"/>
    <n v="833333"/>
    <d v="2026-03-01T00:00:00"/>
    <x v="0"/>
  </r>
  <r>
    <s v="SERVICIO DE SALUD OSORNO"/>
    <x v="0"/>
    <x v="13"/>
    <s v="Proyecto operacional"/>
    <s v="Publicado"/>
    <s v="22.08"/>
    <x v="13"/>
    <s v="Se requiere la contratación de un convenio de servicio de guardias para la DSSO y sus establecimientos y dispositivos dependientes, cumpliendo los estándares requeridos en concordancia con las bases administrativas, especificaciones técnicas, por un período de 24 meses."/>
    <x v="1"/>
    <x v="10"/>
    <n v="1"/>
    <n v="1"/>
    <x v="11"/>
    <x v="21"/>
    <x v="1"/>
    <x v="2"/>
    <x v="9"/>
    <x v="11"/>
    <s v="64-2567381-"/>
    <s v="lorena.torresc@redsalud.gob.cl"/>
    <x v="4"/>
    <d v="2024-07-05T00:00:00"/>
    <n v="46"/>
    <s v="1057532-205-SE25"/>
    <n v="1"/>
    <n v="75433075"/>
    <d v="2026-08-01T00:00:00"/>
    <x v="0"/>
  </r>
  <r>
    <s v="SERVICIO DE SALUD OSORNO"/>
    <x v="0"/>
    <x v="13"/>
    <s v="Proyecto operacional"/>
    <s v="Publicado"/>
    <s v="22.08"/>
    <x v="13"/>
    <s v="Se requiere la contratación de un convenio de servicio de guardias para la DSSO y sus establecimientos y dispositivos dependientes, cumpliendo los estándares requeridos en concordancia con las bases administrativas, especificaciones técnicas, por un período de 24 meses."/>
    <x v="1"/>
    <x v="10"/>
    <n v="1"/>
    <n v="1"/>
    <x v="11"/>
    <x v="21"/>
    <x v="1"/>
    <x v="2"/>
    <x v="9"/>
    <x v="11"/>
    <s v="64-2567381-"/>
    <s v="lorena.torresc@redsalud.gob.cl"/>
    <x v="4"/>
    <d v="2024-07-05T00:00:00"/>
    <n v="46"/>
    <s v="1057532-205-SE25"/>
    <n v="1"/>
    <n v="75433075"/>
    <d v="2026-11-01T00:00:00"/>
    <x v="0"/>
  </r>
  <r>
    <s v="SERVICIO DE SALUD OSORNO"/>
    <x v="0"/>
    <x v="13"/>
    <s v="Proyecto operacional"/>
    <s v="Publicado"/>
    <s v="22.08"/>
    <x v="13"/>
    <s v="Se requiere la contratación de un convenio de servicio de guardias para la DSSO y sus establecimientos y dispositivos dependientes, cumpliendo los estándares requeridos en concordancia con las bases administrativas, especificaciones técnicas, por un período de 24 meses."/>
    <x v="1"/>
    <x v="10"/>
    <n v="1"/>
    <n v="1"/>
    <x v="11"/>
    <x v="21"/>
    <x v="1"/>
    <x v="2"/>
    <x v="9"/>
    <x v="11"/>
    <s v="64-2567381-"/>
    <s v="lorena.torresc@redsalud.gob.cl"/>
    <x v="4"/>
    <d v="2024-07-05T00:00:00"/>
    <n v="46"/>
    <s v="1057532-205-SE25"/>
    <n v="1"/>
    <n v="75433075"/>
    <d v="2026-03-01T00:00:00"/>
    <x v="0"/>
  </r>
  <r>
    <s v="SERVICIO DE SALUD OSORNO"/>
    <x v="0"/>
    <x v="13"/>
    <s v="Proyecto operacional"/>
    <s v="Publicado"/>
    <s v="22.08"/>
    <x v="13"/>
    <s v="Se requiere la contratación de un convenio de servicio de guardias para la DSSO y sus establecimientos y dispositivos dependientes, cumpliendo los estándares requeridos en concordancia con las bases administrativas, especificaciones técnicas, por un período de 24 meses."/>
    <x v="1"/>
    <x v="10"/>
    <n v="1"/>
    <n v="1"/>
    <x v="11"/>
    <x v="21"/>
    <x v="1"/>
    <x v="2"/>
    <x v="9"/>
    <x v="11"/>
    <s v="64-2567381-"/>
    <s v="lorena.torresc@redsalud.gob.cl"/>
    <x v="4"/>
    <d v="2024-07-05T00:00:00"/>
    <n v="46"/>
    <s v="1057532-205-SE25"/>
    <n v="1"/>
    <n v="75433075"/>
    <d v="2026-01-01T00:00:00"/>
    <x v="0"/>
  </r>
  <r>
    <s v="SERVICIO DE SALUD OSORNO"/>
    <x v="0"/>
    <x v="13"/>
    <s v="Proyecto operacional"/>
    <s v="Publicado"/>
    <s v="22.08"/>
    <x v="13"/>
    <s v="Se requiere la contratación de un convenio de servicio de guardias para la DSSO y sus establecimientos y dispositivos dependientes, cumpliendo los estándares requeridos en concordancia con las bases administrativas, especificaciones técnicas, por un período de 24 meses."/>
    <x v="1"/>
    <x v="10"/>
    <n v="1"/>
    <n v="1"/>
    <x v="11"/>
    <x v="21"/>
    <x v="1"/>
    <x v="2"/>
    <x v="9"/>
    <x v="11"/>
    <s v="64-2567381-"/>
    <s v="lorena.torresc@redsalud.gob.cl"/>
    <x v="4"/>
    <d v="2024-07-05T00:00:00"/>
    <n v="46"/>
    <s v="1057532-4654-TD25"/>
    <n v="1"/>
    <n v="75433075"/>
    <d v="2026-01-01T00:00:00"/>
    <x v="0"/>
  </r>
  <r>
    <s v="SERVICIO DE SALUD OSORNO"/>
    <x v="0"/>
    <x v="13"/>
    <s v="Proyecto operacional"/>
    <s v="Publicado"/>
    <s v="22.08"/>
    <x v="13"/>
    <s v="Se requiere la contratación de un convenio de servicio de guardias para la DSSO y sus establecimientos y dispositivos dependientes, cumpliendo los estándares requeridos en concordancia con las bases administrativas, especificaciones técnicas, por un período de 24 meses."/>
    <x v="1"/>
    <x v="10"/>
    <n v="1"/>
    <n v="1"/>
    <x v="11"/>
    <x v="21"/>
    <x v="1"/>
    <x v="2"/>
    <x v="9"/>
    <x v="11"/>
    <s v="64-2567381-"/>
    <s v="lorena.torresc@redsalud.gob.cl"/>
    <x v="4"/>
    <d v="2024-07-05T00:00:00"/>
    <n v="46"/>
    <s v="1057532-4651-TD25"/>
    <n v="1"/>
    <n v="75433075"/>
    <d v="2026-05-01T00:00:00"/>
    <x v="0"/>
  </r>
  <r>
    <s v="SERVICIO DE SALUD OSORNO"/>
    <x v="0"/>
    <x v="13"/>
    <s v="Proyecto operacional"/>
    <s v="Publicado"/>
    <s v="22.08"/>
    <x v="13"/>
    <s v="Se requiere la contratación de un convenio de servicio de guardias para la DSSO y sus establecimientos y dispositivos dependientes, cumpliendo los estándares requeridos en concordancia con las bases administrativas, especificaciones técnicas, por un período de 24 meses."/>
    <x v="1"/>
    <x v="10"/>
    <n v="1"/>
    <n v="1"/>
    <x v="11"/>
    <x v="21"/>
    <x v="1"/>
    <x v="2"/>
    <x v="9"/>
    <x v="11"/>
    <s v="64-2567381-"/>
    <s v="lorena.torresc@redsalud.gob.cl"/>
    <x v="4"/>
    <d v="2024-07-05T00:00:00"/>
    <n v="46"/>
    <s v="1057532-205-SE25"/>
    <n v="1"/>
    <n v="75433075"/>
    <d v="2026-07-01T00:00:00"/>
    <x v="0"/>
  </r>
  <r>
    <s v="SERVICIO DE SALUD OSORNO"/>
    <x v="0"/>
    <x v="13"/>
    <s v="Proyecto operacional"/>
    <s v="Publicado"/>
    <s v="22.08"/>
    <x v="13"/>
    <s v="Se requiere la contratación de un convenio de servicio de guardias para la DSSO y sus establecimientos y dispositivos dependientes, cumpliendo los estándares requeridos en concordancia con las bases administrativas, especificaciones técnicas, por un período de 24 meses."/>
    <x v="1"/>
    <x v="10"/>
    <n v="1"/>
    <n v="1"/>
    <x v="11"/>
    <x v="21"/>
    <x v="1"/>
    <x v="2"/>
    <x v="9"/>
    <x v="11"/>
    <s v="64-2567381-"/>
    <s v="lorena.torresc@redsalud.gob.cl"/>
    <x v="4"/>
    <d v="2024-07-05T00:00:00"/>
    <n v="46"/>
    <s v="1057532-4651-TD25"/>
    <n v="1"/>
    <n v="75433075"/>
    <d v="2026-11-01T00:00:00"/>
    <x v="0"/>
  </r>
  <r>
    <s v="SERVICIO DE SALUD OSORNO"/>
    <x v="0"/>
    <x v="13"/>
    <s v="Proyecto operacional"/>
    <s v="Publicado"/>
    <s v="22.08"/>
    <x v="13"/>
    <s v="Se requiere la contratación de un convenio de servicio de guardias para la DSSO y sus establecimientos y dispositivos dependientes, cumpliendo los estándares requeridos en concordancia con las bases administrativas, especificaciones técnicas, por un período de 24 meses."/>
    <x v="1"/>
    <x v="10"/>
    <n v="1"/>
    <n v="1"/>
    <x v="11"/>
    <x v="21"/>
    <x v="1"/>
    <x v="2"/>
    <x v="9"/>
    <x v="11"/>
    <s v="64-2567381-"/>
    <s v="lorena.torresc@redsalud.gob.cl"/>
    <x v="4"/>
    <d v="2024-07-05T00:00:00"/>
    <n v="46"/>
    <s v="1057532-4651-TD25"/>
    <n v="1"/>
    <n v="75433075"/>
    <d v="2026-06-01T00:00:00"/>
    <x v="0"/>
  </r>
  <r>
    <s v="SERVICIO DE SALUD OSORNO"/>
    <x v="0"/>
    <x v="13"/>
    <s v="Proyecto operacional"/>
    <s v="Publicado"/>
    <s v="22.08"/>
    <x v="13"/>
    <s v="Se requiere la contratación de un convenio de servicio de guardias para la DSSO y sus establecimientos y dispositivos dependientes, cumpliendo los estándares requeridos en concordancia con las bases administrativas, especificaciones técnicas, por un período de 24 meses."/>
    <x v="1"/>
    <x v="10"/>
    <n v="1"/>
    <n v="1"/>
    <x v="11"/>
    <x v="21"/>
    <x v="1"/>
    <x v="2"/>
    <x v="9"/>
    <x v="11"/>
    <s v="64-2567381-"/>
    <s v="lorena.torresc@redsalud.gob.cl"/>
    <x v="4"/>
    <d v="2024-07-05T00:00:00"/>
    <n v="46"/>
    <s v="1057532-4264-TD25"/>
    <n v="1"/>
    <n v="75433075"/>
    <d v="2026-06-01T00:00:00"/>
    <x v="0"/>
  </r>
  <r>
    <s v="SERVICIO DE SALUD OSORNO"/>
    <x v="0"/>
    <x v="13"/>
    <s v="Proyecto operacional"/>
    <s v="Publicado"/>
    <s v="22.08"/>
    <x v="13"/>
    <s v="Se requiere la contratación de un convenio de servicio de guardias para la DSSO y sus establecimientos y dispositivos dependientes, cumpliendo los estándares requeridos en concordancia con las bases administrativas, especificaciones técnicas, por un período de 24 meses."/>
    <x v="1"/>
    <x v="10"/>
    <n v="1"/>
    <n v="1"/>
    <x v="11"/>
    <x v="21"/>
    <x v="1"/>
    <x v="2"/>
    <x v="9"/>
    <x v="11"/>
    <s v="64-2567381-"/>
    <s v="lorena.torresc@redsalud.gob.cl"/>
    <x v="4"/>
    <d v="2024-07-05T00:00:00"/>
    <n v="46"/>
    <s v="1057532-205-SE25"/>
    <n v="1"/>
    <n v="75433075"/>
    <d v="2026-04-01T00:00:00"/>
    <x v="0"/>
  </r>
  <r>
    <s v="SERVICIO DE SALUD OSORNO"/>
    <x v="0"/>
    <x v="13"/>
    <s v="Proyecto operacional"/>
    <s v="Publicado"/>
    <s v="22.08"/>
    <x v="13"/>
    <s v="Se requiere la contratación de un convenio de servicio de guardias para la DSSO y sus establecimientos y dispositivos dependientes, cumpliendo los estándares requeridos en concordancia con las bases administrativas, especificaciones técnicas, por un período de 24 meses."/>
    <x v="1"/>
    <x v="10"/>
    <n v="1"/>
    <n v="1"/>
    <x v="11"/>
    <x v="22"/>
    <x v="1"/>
    <x v="2"/>
    <x v="9"/>
    <x v="11"/>
    <s v="64-2567381-"/>
    <s v="lorena.torresc@redsalud.gob.cl"/>
    <x v="4"/>
    <d v="2024-07-05T00:00:00"/>
    <n v="46"/>
    <s v="1057532-4652-TD25"/>
    <n v="1"/>
    <n v="75433075"/>
    <d v="2026-07-01T00:00:00"/>
    <x v="0"/>
  </r>
  <r>
    <s v="SERVICIO DE SALUD OSORNO"/>
    <x v="0"/>
    <x v="14"/>
    <s v="Proyecto operacional"/>
    <s v="Publicado"/>
    <s v="22.09.006"/>
    <x v="14"/>
    <s v="Licitar en modalidad el servicio de arriendo equipos computacionales PC AIO con licenciamiento de Sistema Operativo (Windows), Office 365 y antivirus."/>
    <x v="0"/>
    <x v="11"/>
    <n v="4"/>
    <n v="159"/>
    <x v="12"/>
    <x v="23"/>
    <x v="3"/>
    <x v="4"/>
    <x v="10"/>
    <x v="12"/>
    <s v="64-2335838-"/>
    <s v="alvaro.montecinos@redsalud.gob.cl"/>
    <x v="6"/>
    <d v="2025-08-20T00:00:00"/>
    <n v="0"/>
    <m/>
    <n v="1"/>
    <n v="9258570"/>
    <d v="2026-08-01T00:00:00"/>
    <x v="0"/>
  </r>
  <r>
    <s v="SERVICIO DE SALUD OSORNO"/>
    <x v="0"/>
    <x v="14"/>
    <s v="Proyecto operacional"/>
    <s v="Publicado"/>
    <s v="22.09.006"/>
    <x v="15"/>
    <s v="Licitar en modalidad el servicio de arriendo equipos computacionales PC AIO con licenciamiento de Sistema Operativo (Windows), Office 365 y antivirus."/>
    <x v="0"/>
    <x v="11"/>
    <n v="4"/>
    <n v="159"/>
    <x v="12"/>
    <x v="23"/>
    <x v="4"/>
    <x v="4"/>
    <x v="10"/>
    <x v="12"/>
    <s v="64-2335838-"/>
    <s v="alvaro.montecinos@redsalud.gob.cl"/>
    <x v="7"/>
    <d v="2025-08-20T00:00:00"/>
    <n v="0"/>
    <m/>
    <n v="1"/>
    <n v="9258570"/>
    <d v="2026-06-01T00:00:00"/>
    <x v="0"/>
  </r>
  <r>
    <s v="SERVICIO DE SALUD OSORNO"/>
    <x v="0"/>
    <x v="14"/>
    <s v="Proyecto operacional"/>
    <s v="Publicado"/>
    <s v="22.09.006"/>
    <x v="14"/>
    <s v="Licitar en modalidad el servicio de arriendo equipos computacionales PC AIO con licenciamiento de Sistema Operativo (Windows), Office 365 y antivirus."/>
    <x v="0"/>
    <x v="11"/>
    <n v="4"/>
    <n v="159"/>
    <x v="12"/>
    <x v="23"/>
    <x v="3"/>
    <x v="4"/>
    <x v="10"/>
    <x v="12"/>
    <s v="64-2335838-"/>
    <s v="alvaro.montecinos@redsalud.gob.cl"/>
    <x v="6"/>
    <d v="2025-08-20T00:00:00"/>
    <n v="0"/>
    <m/>
    <n v="1"/>
    <n v="9258570"/>
    <d v="2026-07-01T00:00:00"/>
    <x v="0"/>
  </r>
  <r>
    <s v="SERVICIO DE SALUD OSORNO"/>
    <x v="0"/>
    <x v="14"/>
    <s v="Proyecto operacional"/>
    <s v="Publicado"/>
    <s v="22.09.006"/>
    <x v="14"/>
    <s v="Licitar en modalidad el servicio de arriendo equipos computacionales PC AIO con licenciamiento de Sistema Operativo (Windows), Office 365 y antivirus."/>
    <x v="0"/>
    <x v="11"/>
    <n v="4"/>
    <n v="159"/>
    <x v="12"/>
    <x v="23"/>
    <x v="3"/>
    <x v="4"/>
    <x v="10"/>
    <x v="12"/>
    <s v="64-2335838-"/>
    <s v="alvaro.montecinos@redsalud.gob.cl"/>
    <x v="6"/>
    <d v="2025-08-20T00:00:00"/>
    <n v="0"/>
    <m/>
    <n v="1"/>
    <n v="9258570"/>
    <d v="2026-01-01T00:00:00"/>
    <x v="0"/>
  </r>
  <r>
    <s v="SERVICIO DE SALUD OSORNO"/>
    <x v="0"/>
    <x v="14"/>
    <s v="Proyecto operacional"/>
    <s v="Publicado"/>
    <s v="22.09.006"/>
    <x v="15"/>
    <s v="Licitar en modalidad el servicio de arriendo equipos computacionales PC AIO con licenciamiento de Sistema Operativo (Windows), Office 365 y antivirus."/>
    <x v="0"/>
    <x v="11"/>
    <n v="4"/>
    <n v="159"/>
    <x v="12"/>
    <x v="23"/>
    <x v="4"/>
    <x v="4"/>
    <x v="10"/>
    <x v="12"/>
    <s v="64-2335838-"/>
    <s v="alvaro.montecinos@redsalud.gob.cl"/>
    <x v="7"/>
    <d v="2025-08-20T00:00:00"/>
    <n v="0"/>
    <m/>
    <n v="1"/>
    <n v="9258570"/>
    <d v="2026-01-01T00:00:00"/>
    <x v="0"/>
  </r>
  <r>
    <s v="SERVICIO DE SALUD OSORNO"/>
    <x v="0"/>
    <x v="14"/>
    <s v="Proyecto operacional"/>
    <s v="Publicado"/>
    <s v="22.09.006"/>
    <x v="15"/>
    <s v="Licitar en modalidad el servicio de arriendo equipos computacionales PC AIO con licenciamiento de Sistema Operativo (Windows), Office 365 y antivirus."/>
    <x v="0"/>
    <x v="11"/>
    <n v="4"/>
    <n v="159"/>
    <x v="12"/>
    <x v="23"/>
    <x v="4"/>
    <x v="4"/>
    <x v="10"/>
    <x v="12"/>
    <s v="64-2335838-"/>
    <s v="alvaro.montecinos@redsalud.gob.cl"/>
    <x v="7"/>
    <d v="2025-08-20T00:00:00"/>
    <n v="0"/>
    <m/>
    <n v="1"/>
    <n v="9258570"/>
    <d v="2026-05-01T00:00:00"/>
    <x v="0"/>
  </r>
  <r>
    <s v="SERVICIO DE SALUD OSORNO"/>
    <x v="0"/>
    <x v="14"/>
    <s v="Proyecto operacional"/>
    <s v="Publicado"/>
    <s v="22.09.006"/>
    <x v="15"/>
    <s v="Licitar en modalidad el servicio de arriendo equipos computacionales PC AIO con licenciamiento de Sistema Operativo (Windows), Office 365 y antivirus."/>
    <x v="0"/>
    <x v="11"/>
    <n v="4"/>
    <n v="159"/>
    <x v="12"/>
    <x v="23"/>
    <x v="4"/>
    <x v="4"/>
    <x v="10"/>
    <x v="12"/>
    <s v="64-2335838-"/>
    <s v="alvaro.montecinos@redsalud.gob.cl"/>
    <x v="7"/>
    <d v="2025-08-20T00:00:00"/>
    <n v="0"/>
    <m/>
    <n v="1"/>
    <n v="9258570"/>
    <d v="2026-04-01T00:00:00"/>
    <x v="0"/>
  </r>
  <r>
    <s v="SERVICIO DE SALUD OSORNO"/>
    <x v="0"/>
    <x v="14"/>
    <s v="Proyecto operacional"/>
    <s v="Publicado"/>
    <s v="22.09.006"/>
    <x v="15"/>
    <s v="Licitar en modalidad el servicio de arriendo equipos computacionales PC AIO con licenciamiento de Sistema Operativo (Windows), Office 365 y antivirus."/>
    <x v="0"/>
    <x v="11"/>
    <n v="4"/>
    <n v="159"/>
    <x v="12"/>
    <x v="23"/>
    <x v="4"/>
    <x v="4"/>
    <x v="10"/>
    <x v="12"/>
    <s v="64-2335838-"/>
    <s v="alvaro.montecinos@redsalud.gob.cl"/>
    <x v="7"/>
    <d v="2025-08-20T00:00:00"/>
    <n v="0"/>
    <m/>
    <n v="1"/>
    <n v="9258570"/>
    <d v="2026-12-01T00:00:00"/>
    <x v="0"/>
  </r>
  <r>
    <s v="SERVICIO DE SALUD OSORNO"/>
    <x v="0"/>
    <x v="14"/>
    <s v="Proyecto operacional"/>
    <s v="Publicado"/>
    <s v="22.09.006"/>
    <x v="15"/>
    <s v="Licitar en modalidad el servicio de arriendo equipos computacionales PC AIO con licenciamiento de Sistema Operativo (Windows), Office 365 y antivirus."/>
    <x v="0"/>
    <x v="11"/>
    <n v="4"/>
    <n v="159"/>
    <x v="12"/>
    <x v="23"/>
    <x v="4"/>
    <x v="4"/>
    <x v="10"/>
    <x v="12"/>
    <s v="64-2335838-"/>
    <s v="alvaro.montecinos@redsalud.gob.cl"/>
    <x v="7"/>
    <d v="2025-08-20T00:00:00"/>
    <n v="0"/>
    <m/>
    <n v="1"/>
    <n v="9258570"/>
    <d v="2026-03-01T00:00:00"/>
    <x v="0"/>
  </r>
  <r>
    <s v="SERVICIO DE SALUD OSORNO"/>
    <x v="0"/>
    <x v="14"/>
    <s v="Proyecto operacional"/>
    <s v="Publicado"/>
    <s v="22.09.006"/>
    <x v="15"/>
    <s v="Licitar en modalidad el servicio de arriendo equipos computacionales PC AIO con licenciamiento de Sistema Operativo (Windows), Office 365 y antivirus."/>
    <x v="0"/>
    <x v="11"/>
    <n v="4"/>
    <n v="159"/>
    <x v="12"/>
    <x v="23"/>
    <x v="4"/>
    <x v="4"/>
    <x v="10"/>
    <x v="12"/>
    <s v="64-2335838-"/>
    <s v="alvaro.montecinos@redsalud.gob.cl"/>
    <x v="7"/>
    <d v="2025-08-20T00:00:00"/>
    <n v="0"/>
    <m/>
    <n v="1"/>
    <n v="9258570"/>
    <d v="2026-02-01T00:00:00"/>
    <x v="0"/>
  </r>
  <r>
    <s v="SERVICIO DE SALUD OSORNO"/>
    <x v="0"/>
    <x v="14"/>
    <s v="Proyecto operacional"/>
    <s v="Publicado"/>
    <s v="22.09.006"/>
    <x v="14"/>
    <s v="Licitar en modalidad el servicio de arriendo equipos computacionales PC AIO con licenciamiento de Sistema Operativo (Windows), Office 365 y antivirus."/>
    <x v="0"/>
    <x v="11"/>
    <n v="4"/>
    <n v="159"/>
    <x v="12"/>
    <x v="23"/>
    <x v="3"/>
    <x v="4"/>
    <x v="10"/>
    <x v="12"/>
    <s v="64-2335838-"/>
    <s v="alvaro.montecinos@redsalud.gob.cl"/>
    <x v="6"/>
    <d v="2025-08-20T00:00:00"/>
    <n v="0"/>
    <m/>
    <n v="1"/>
    <n v="9258570"/>
    <d v="2026-09-01T00:00:00"/>
    <x v="0"/>
  </r>
  <r>
    <s v="SERVICIO DE SALUD OSORNO"/>
    <x v="0"/>
    <x v="14"/>
    <s v="Proyecto operacional"/>
    <s v="Publicado"/>
    <s v="22.09.006"/>
    <x v="15"/>
    <s v="Licitar en modalidad el servicio de arriendo equipos computacionales PC AIO con licenciamiento de Sistema Operativo (Windows), Office 365 y antivirus."/>
    <x v="0"/>
    <x v="11"/>
    <n v="4"/>
    <n v="159"/>
    <x v="12"/>
    <x v="23"/>
    <x v="4"/>
    <x v="4"/>
    <x v="10"/>
    <x v="12"/>
    <s v="64-2335838-"/>
    <s v="alvaro.montecinos@redsalud.gob.cl"/>
    <x v="7"/>
    <d v="2025-08-20T00:00:00"/>
    <n v="0"/>
    <m/>
    <n v="1"/>
    <n v="9258570"/>
    <d v="2026-11-01T00:00:00"/>
    <x v="0"/>
  </r>
  <r>
    <s v="SERVICIO DE SALUD OSORNO"/>
    <x v="0"/>
    <x v="15"/>
    <s v="Proyecto operacional"/>
    <s v="Publicado"/>
    <s v="22.08.001"/>
    <x v="16"/>
    <s v="Se requiere contar con servicios de aseo en los Edificios Plaza Sur, Manuel Rodriguez y Base SAMU, dependientes de la Dirección del Servicio de Salud Osorno. Todo lo anterior, por un periodo de 18 meses (desde el 01 de julio 2025 hasta el 31 de diciembre del 2026)"/>
    <x v="0"/>
    <x v="12"/>
    <n v="4"/>
    <n v="54"/>
    <x v="13"/>
    <x v="24"/>
    <x v="5"/>
    <x v="5"/>
    <x v="9"/>
    <x v="11"/>
    <s v="64-2337381-"/>
    <s v="lorena.torresc@redsalud.gob.cl"/>
    <x v="8"/>
    <d v="2025-08-20T00:00:00"/>
    <n v="16"/>
    <s v="1057532-4942-SE25"/>
    <n v="1"/>
    <n v="5861115"/>
    <d v="2026-01-01T00:00:00"/>
    <x v="0"/>
  </r>
  <r>
    <s v="SERVICIO DE SALUD OSORNO"/>
    <x v="0"/>
    <x v="15"/>
    <s v="Proyecto operacional"/>
    <s v="Publicado"/>
    <s v="22.08.001"/>
    <x v="16"/>
    <s v="Se requiere contar con servicios de aseo en los Edificios Plaza Sur, Manuel Rodriguez y Base SAMU, dependientes de la Dirección del Servicio de Salud Osorno. Todo lo anterior, por un periodo de 18 meses (desde el 01 de julio 2025 hasta el 31 de diciembre del 2026)"/>
    <x v="0"/>
    <x v="12"/>
    <n v="4"/>
    <n v="54"/>
    <x v="13"/>
    <x v="24"/>
    <x v="5"/>
    <x v="5"/>
    <x v="9"/>
    <x v="11"/>
    <s v="64-2337381-"/>
    <s v="lorena.torresc@redsalud.gob.cl"/>
    <x v="8"/>
    <d v="2025-08-20T00:00:00"/>
    <n v="16"/>
    <s v="1057532-4948-SE25"/>
    <n v="1"/>
    <n v="5861115"/>
    <d v="2026-01-01T00:00:00"/>
    <x v="0"/>
  </r>
  <r>
    <s v="SERVICIO DE SALUD OSORNO"/>
    <x v="0"/>
    <x v="15"/>
    <s v="Proyecto operacional"/>
    <s v="Publicado"/>
    <s v="22.08.001"/>
    <x v="16"/>
    <s v="Se requiere contar con servicios de aseo en los Edificios Plaza Sur, Manuel Rodriguez y Base SAMU, dependientes de la Dirección del Servicio de Salud Osorno. Todo lo anterior, por un periodo de 18 meses (desde el 01 de julio 2025 hasta el 31 de diciembre del 2026)"/>
    <x v="0"/>
    <x v="12"/>
    <n v="4"/>
    <n v="54"/>
    <x v="13"/>
    <x v="24"/>
    <x v="5"/>
    <x v="5"/>
    <x v="9"/>
    <x v="11"/>
    <s v="64-2337381-"/>
    <s v="lorena.torresc@redsalud.gob.cl"/>
    <x v="8"/>
    <d v="2025-08-20T00:00:00"/>
    <n v="16"/>
    <s v="1057532-4604-SE25"/>
    <n v="1"/>
    <n v="5861115"/>
    <d v="2026-01-01T00:00:00"/>
    <x v="0"/>
  </r>
  <r>
    <s v="SERVICIO DE SALUD OSORNO"/>
    <x v="0"/>
    <x v="15"/>
    <s v="Proyecto operacional"/>
    <s v="Publicado"/>
    <s v="22.08.001"/>
    <x v="16"/>
    <s v="Se requiere contar con servicios de aseo en los Edificios Plaza Sur, Manuel Rodriguez y Base SAMU, dependientes de la Dirección del Servicio de Salud Osorno. Todo lo anterior, por un periodo de 18 meses (desde el 01 de julio 2025 hasta el 31 de diciembre del 2026)"/>
    <x v="0"/>
    <x v="12"/>
    <n v="4"/>
    <n v="54"/>
    <x v="13"/>
    <x v="24"/>
    <x v="5"/>
    <x v="5"/>
    <x v="9"/>
    <x v="11"/>
    <s v="64-2337381-"/>
    <s v="lorena.torresc@redsalud.gob.cl"/>
    <x v="8"/>
    <d v="2025-08-20T00:00:00"/>
    <n v="16"/>
    <s v="1057532-4942-SE25"/>
    <n v="1"/>
    <n v="5861115"/>
    <d v="2026-05-01T00:00:00"/>
    <x v="0"/>
  </r>
  <r>
    <s v="SERVICIO DE SALUD OSORNO"/>
    <x v="0"/>
    <x v="15"/>
    <s v="Proyecto operacional"/>
    <s v="Publicado"/>
    <s v="22.08.001"/>
    <x v="16"/>
    <s v="Se requiere contar con servicios de aseo en los Edificios Plaza Sur, Manuel Rodriguez y Base SAMU, dependientes de la Dirección del Servicio de Salud Osorno. Todo lo anterior, por un periodo de 18 meses (desde el 01 de julio 2025 hasta el 31 de diciembre del 2026)"/>
    <x v="0"/>
    <x v="12"/>
    <n v="4"/>
    <n v="54"/>
    <x v="13"/>
    <x v="24"/>
    <x v="5"/>
    <x v="5"/>
    <x v="9"/>
    <x v="11"/>
    <s v="64-2337381-"/>
    <s v="lorena.torresc@redsalud.gob.cl"/>
    <x v="8"/>
    <d v="2025-08-20T00:00:00"/>
    <n v="16"/>
    <s v="1057532-4604-SE25"/>
    <n v="1"/>
    <n v="5861115"/>
    <d v="2026-02-01T00:00:00"/>
    <x v="0"/>
  </r>
  <r>
    <s v="SERVICIO DE SALUD OSORNO"/>
    <x v="0"/>
    <x v="15"/>
    <s v="Proyecto operacional"/>
    <s v="Publicado"/>
    <s v="22.08.001"/>
    <x v="16"/>
    <s v="Se requiere contar con servicios de aseo en los Edificios Plaza Sur, Manuel Rodriguez y Base SAMU, dependientes de la Dirección del Servicio de Salud Osorno. Todo lo anterior, por un periodo de 18 meses (desde el 01 de julio 2025 hasta el 31 de diciembre del 2026)"/>
    <x v="0"/>
    <x v="12"/>
    <n v="4"/>
    <n v="54"/>
    <x v="13"/>
    <x v="24"/>
    <x v="5"/>
    <x v="5"/>
    <x v="9"/>
    <x v="11"/>
    <s v="64-2337381-"/>
    <s v="lorena.torresc@redsalud.gob.cl"/>
    <x v="8"/>
    <d v="2025-08-20T00:00:00"/>
    <n v="16"/>
    <s v="1057532-5193-SE25"/>
    <n v="1"/>
    <n v="5861115"/>
    <d v="2026-12-01T00:00:00"/>
    <x v="0"/>
  </r>
  <r>
    <s v="SERVICIO DE SALUD OSORNO"/>
    <x v="0"/>
    <x v="15"/>
    <s v="Proyecto operacional"/>
    <s v="Publicado"/>
    <s v="22.08.001"/>
    <x v="16"/>
    <s v="Se requiere contar con servicios de aseo en los Edificios Plaza Sur, Manuel Rodriguez y Base SAMU, dependientes de la Dirección del Servicio de Salud Osorno. Todo lo anterior, por un periodo de 18 meses (desde el 01 de julio 2025 hasta el 31 de diciembre del 2026)"/>
    <x v="0"/>
    <x v="12"/>
    <n v="4"/>
    <n v="54"/>
    <x v="13"/>
    <x v="24"/>
    <x v="5"/>
    <x v="5"/>
    <x v="9"/>
    <x v="11"/>
    <s v="64-2337381-"/>
    <s v="lorena.torresc@redsalud.gob.cl"/>
    <x v="8"/>
    <d v="2025-08-20T00:00:00"/>
    <n v="16"/>
    <s v="1057532-4942-SE25"/>
    <n v="1"/>
    <n v="5861115"/>
    <d v="2026-04-01T00:00:00"/>
    <x v="0"/>
  </r>
  <r>
    <s v="SERVICIO DE SALUD OSORNO"/>
    <x v="0"/>
    <x v="15"/>
    <s v="Proyecto operacional"/>
    <s v="Publicado"/>
    <s v="22.08.001"/>
    <x v="16"/>
    <s v="Se requiere contar con servicios de aseo en los Edificios Plaza Sur, Manuel Rodriguez y Base SAMU, dependientes de la Dirección del Servicio de Salud Osorno. Todo lo anterior, por un periodo de 18 meses (desde el 01 de julio 2025 hasta el 31 de diciembre del 2026)"/>
    <x v="0"/>
    <x v="12"/>
    <n v="4"/>
    <n v="54"/>
    <x v="13"/>
    <x v="24"/>
    <x v="5"/>
    <x v="5"/>
    <x v="9"/>
    <x v="11"/>
    <s v="64-2337381-"/>
    <s v="lorena.torresc@redsalud.gob.cl"/>
    <x v="8"/>
    <d v="2025-08-20T00:00:00"/>
    <n v="16"/>
    <s v="1057532-4942-SE25"/>
    <n v="1"/>
    <n v="5861115"/>
    <d v="2026-02-01T00:00:00"/>
    <x v="0"/>
  </r>
  <r>
    <s v="SERVICIO DE SALUD OSORNO"/>
    <x v="0"/>
    <x v="15"/>
    <s v="Proyecto operacional"/>
    <s v="Publicado"/>
    <s v="22.08.001"/>
    <x v="16"/>
    <s v="Se requiere contar con servicios de aseo en los Edificios Plaza Sur, Manuel Rodriguez y Base SAMU, dependientes de la Dirección del Servicio de Salud Osorno. Todo lo anterior, por un periodo de 18 meses (desde el 01 de julio 2025 hasta el 31 de diciembre del 2026)"/>
    <x v="0"/>
    <x v="12"/>
    <n v="4"/>
    <n v="54"/>
    <x v="13"/>
    <x v="24"/>
    <x v="5"/>
    <x v="5"/>
    <x v="9"/>
    <x v="11"/>
    <s v="64-2337381-"/>
    <s v="lorena.torresc@redsalud.gob.cl"/>
    <x v="8"/>
    <d v="2025-08-20T00:00:00"/>
    <n v="16"/>
    <s v="1057532-5191-SE25"/>
    <n v="1"/>
    <n v="5861115"/>
    <d v="2026-02-01T00:00:00"/>
    <x v="0"/>
  </r>
  <r>
    <s v="SERVICIO DE SALUD OSORNO"/>
    <x v="0"/>
    <x v="15"/>
    <s v="Proyecto operacional"/>
    <s v="Publicado"/>
    <s v="22.08.001"/>
    <x v="16"/>
    <s v="Se requiere contar con servicios de aseo en los Edificios Plaza Sur, Manuel Rodriguez y Base SAMU, dependientes de la Dirección del Servicio de Salud Osorno. Todo lo anterior, por un periodo de 18 meses (desde el 01 de julio 2025 hasta el 31 de diciembre del 2026)"/>
    <x v="0"/>
    <x v="12"/>
    <n v="4"/>
    <n v="54"/>
    <x v="13"/>
    <x v="24"/>
    <x v="5"/>
    <x v="5"/>
    <x v="9"/>
    <x v="11"/>
    <s v="64-2337381-"/>
    <s v="lorena.torresc@redsalud.gob.cl"/>
    <x v="8"/>
    <d v="2025-08-20T00:00:00"/>
    <n v="16"/>
    <s v="1057532-4604-SE25"/>
    <n v="1"/>
    <n v="5861115"/>
    <d v="2026-05-01T00:00:00"/>
    <x v="0"/>
  </r>
  <r>
    <s v="SERVICIO DE SALUD OSORNO"/>
    <x v="0"/>
    <x v="15"/>
    <s v="Proyecto operacional"/>
    <s v="Publicado"/>
    <s v="22.08.001"/>
    <x v="16"/>
    <s v="Se requiere contar con servicios de aseo en los Edificios Plaza Sur, Manuel Rodriguez y Base SAMU, dependientes de la Dirección del Servicio de Salud Osorno. Todo lo anterior, por un periodo de 18 meses (desde el 01 de julio 2025 hasta el 31 de diciembre del 2026)"/>
    <x v="0"/>
    <x v="12"/>
    <n v="4"/>
    <n v="54"/>
    <x v="13"/>
    <x v="24"/>
    <x v="5"/>
    <x v="5"/>
    <x v="9"/>
    <x v="11"/>
    <s v="64-2337381-"/>
    <s v="lorena.torresc@redsalud.gob.cl"/>
    <x v="8"/>
    <d v="2025-08-20T00:00:00"/>
    <n v="16"/>
    <s v="1057532-4942-SE25"/>
    <n v="1"/>
    <n v="5861115"/>
    <d v="2026-06-01T00:00:00"/>
    <x v="0"/>
  </r>
  <r>
    <s v="SERVICIO DE SALUD OSORNO"/>
    <x v="0"/>
    <x v="15"/>
    <s v="Proyecto operacional"/>
    <s v="Publicado"/>
    <s v="22.08.001"/>
    <x v="16"/>
    <s v="Se requiere contar con servicios de aseo en los Edificios Plaza Sur, Manuel Rodriguez y Base SAMU, dependientes de la Dirección del Servicio de Salud Osorno. Todo lo anterior, por un periodo de 18 meses (desde el 01 de julio 2025 hasta el 31 de diciembre del 2026)"/>
    <x v="0"/>
    <x v="12"/>
    <n v="4"/>
    <n v="54"/>
    <x v="13"/>
    <x v="24"/>
    <x v="5"/>
    <x v="5"/>
    <x v="9"/>
    <x v="11"/>
    <s v="64-2337381-"/>
    <s v="lorena.torresc@redsalud.gob.cl"/>
    <x v="8"/>
    <d v="2025-08-20T00:00:00"/>
    <n v="16"/>
    <s v="1057532-4604-SE25"/>
    <n v="1"/>
    <n v="5861115"/>
    <d v="2026-12-01T00:00:00"/>
    <x v="0"/>
  </r>
  <r>
    <s v="SERVICIO DE SALUD OSORNO"/>
    <x v="0"/>
    <x v="16"/>
    <s v="Proyecto operacional"/>
    <s v="Publicado"/>
    <s v="22.06.001"/>
    <x v="17"/>
    <s v="ADQUISICION SERVICIO DE SOPORTE Y MANTENIMIENTO DE LOS DOS SITIOS DE REPETICION VHF DE EMERGENCIAS, SERVICIO DE SALUD OSORNO (COMPRA ENERO A MARZO 2025)"/>
    <x v="0"/>
    <x v="6"/>
    <n v="4"/>
    <n v="1"/>
    <x v="14"/>
    <x v="25"/>
    <x v="1"/>
    <x v="2"/>
    <x v="11"/>
    <x v="13"/>
    <s v="64-2335606-"/>
    <s v="ESTEBAN.ALARCONB@REDSALUD.GOB.CL"/>
    <x v="8"/>
    <d v="2025-08-20T00:00:00"/>
    <n v="0"/>
    <m/>
    <n v="1"/>
    <n v="520341"/>
    <d v="2026-08-01T00:00:00"/>
    <x v="0"/>
  </r>
  <r>
    <s v="SERVICIO DE SALUD OSORNO"/>
    <x v="0"/>
    <x v="16"/>
    <s v="Proyecto operacional"/>
    <s v="Publicado"/>
    <s v="22.06.001"/>
    <x v="17"/>
    <s v="ADQUISICION SERVICIO DE SOPORTE Y MANTENIMIENTO DE LOS DOS SITIOS DE REPETICION VHF DE EMERGENCIAS, SERVICIO DE SALUD OSORNO (COMPRA ENERO A MARZO 2025)"/>
    <x v="0"/>
    <x v="6"/>
    <n v="4"/>
    <n v="1"/>
    <x v="14"/>
    <x v="26"/>
    <x v="1"/>
    <x v="2"/>
    <x v="11"/>
    <x v="13"/>
    <s v="64-2335606-"/>
    <s v="ESTEBAN.ALARCONB@REDSALUD.GOB.CL"/>
    <x v="8"/>
    <d v="2025-08-20T00:00:00"/>
    <n v="0"/>
    <m/>
    <n v="1"/>
    <n v="520333"/>
    <d v="2026-05-01T00:00:00"/>
    <x v="0"/>
  </r>
  <r>
    <s v="SERVICIO DE SALUD OSORNO"/>
    <x v="0"/>
    <x v="16"/>
    <s v="Proyecto operacional"/>
    <s v="Publicado"/>
    <s v="22.06.001"/>
    <x v="17"/>
    <s v="ADQUISICION SERVICIO DE SOPORTE Y MANTENIMIENTO DE LOS DOS SITIOS DE REPETICION VHF DE EMERGENCIAS, SERVICIO DE SALUD OSORNO (COMPRA ENERO A MARZO 2025)"/>
    <x v="0"/>
    <x v="6"/>
    <n v="4"/>
    <n v="1"/>
    <x v="14"/>
    <x v="27"/>
    <x v="1"/>
    <x v="2"/>
    <x v="11"/>
    <x v="13"/>
    <s v="64-2335606-"/>
    <s v="ESTEBAN.ALARCONB@REDSALUD.GOB.CL"/>
    <x v="8"/>
    <d v="2025-08-20T00:00:00"/>
    <n v="0"/>
    <m/>
    <n v="1"/>
    <n v="530333"/>
    <d v="2026-12-01T00:00:00"/>
    <x v="0"/>
  </r>
  <r>
    <s v="SERVICIO DE SALUD OSORNO"/>
    <x v="0"/>
    <x v="16"/>
    <s v="Proyecto operacional"/>
    <s v="Publicado"/>
    <s v="22.06.001"/>
    <x v="17"/>
    <s v="ADQUISICION SERVICIO DE SOPORTE Y MANTENIMIENTO DE LOS DOS SITIOS DE REPETICION VHF DE EMERGENCIAS, SERVICIO DE SALUD OSORNO (COMPRA ENERO A MARZO 2025)"/>
    <x v="0"/>
    <x v="6"/>
    <n v="4"/>
    <n v="1"/>
    <x v="14"/>
    <x v="26"/>
    <x v="1"/>
    <x v="2"/>
    <x v="11"/>
    <x v="13"/>
    <s v="64-2335606-"/>
    <s v="ESTEBAN.ALARCONB@REDSALUD.GOB.CL"/>
    <x v="8"/>
    <d v="2025-08-20T00:00:00"/>
    <n v="0"/>
    <m/>
    <n v="1"/>
    <n v="520333"/>
    <d v="2026-03-01T00:00:00"/>
    <x v="0"/>
  </r>
  <r>
    <s v="SERVICIO DE SALUD OSORNO"/>
    <x v="0"/>
    <x v="16"/>
    <s v="Proyecto operacional"/>
    <s v="Publicado"/>
    <s v="22.06.001"/>
    <x v="17"/>
    <s v="ADQUISICION SERVICIO DE SOPORTE Y MANTENIMIENTO DE LOS DOS SITIOS DE REPETICION VHF DE EMERGENCIAS, SERVICIO DE SALUD OSORNO (COMPRA ENERO A MARZO 2025)"/>
    <x v="0"/>
    <x v="6"/>
    <n v="4"/>
    <n v="1"/>
    <x v="14"/>
    <x v="26"/>
    <x v="1"/>
    <x v="2"/>
    <x v="11"/>
    <x v="13"/>
    <s v="64-2335606-"/>
    <s v="ESTEBAN.ALARCONB@REDSALUD.GOB.CL"/>
    <x v="8"/>
    <d v="2025-08-20T00:00:00"/>
    <n v="0"/>
    <m/>
    <n v="1"/>
    <n v="520333"/>
    <d v="2026-02-01T00:00:00"/>
    <x v="0"/>
  </r>
  <r>
    <s v="SERVICIO DE SALUD OSORNO"/>
    <x v="0"/>
    <x v="16"/>
    <s v="Proyecto operacional"/>
    <s v="Publicado"/>
    <s v="22.06.001"/>
    <x v="17"/>
    <s v="ADQUISICION SERVICIO DE SOPORTE Y MANTENIMIENTO DE LOS DOS SITIOS DE REPETICION VHF DE EMERGENCIAS, SERVICIO DE SALUD OSORNO (COMPRA ENERO A MARZO 2025)"/>
    <x v="0"/>
    <x v="6"/>
    <n v="4"/>
    <n v="1"/>
    <x v="14"/>
    <x v="28"/>
    <x v="1"/>
    <x v="2"/>
    <x v="11"/>
    <x v="13"/>
    <s v="64-2335606-"/>
    <s v="ESTEBAN.ALARCONB@REDSALUD.GOB.CL"/>
    <x v="8"/>
    <d v="2025-08-20T00:00:00"/>
    <n v="0"/>
    <m/>
    <n v="1"/>
    <n v="521333"/>
    <d v="2026-11-01T00:00:00"/>
    <x v="0"/>
  </r>
  <r>
    <s v="SERVICIO DE SALUD OSORNO"/>
    <x v="0"/>
    <x v="16"/>
    <s v="Proyecto operacional"/>
    <s v="Publicado"/>
    <s v="22.06.001"/>
    <x v="17"/>
    <s v="ADQUISICION SERVICIO DE SOPORTE Y MANTENIMIENTO DE LOS DOS SITIOS DE REPETICION VHF DE EMERGENCIAS, SERVICIO DE SALUD OSORNO (COMPRA ENERO A MARZO 2025)"/>
    <x v="0"/>
    <x v="6"/>
    <n v="4"/>
    <n v="1"/>
    <x v="14"/>
    <x v="26"/>
    <x v="1"/>
    <x v="2"/>
    <x v="11"/>
    <x v="13"/>
    <s v="64-2335606-"/>
    <s v="ESTEBAN.ALARCONB@REDSALUD.GOB.CL"/>
    <x v="8"/>
    <d v="2025-08-20T00:00:00"/>
    <n v="0"/>
    <m/>
    <n v="1"/>
    <n v="520333"/>
    <d v="2026-01-01T00:00:00"/>
    <x v="0"/>
  </r>
  <r>
    <s v="SERVICIO DE SALUD OSORNO"/>
    <x v="0"/>
    <x v="16"/>
    <s v="Proyecto operacional"/>
    <s v="Publicado"/>
    <s v="22.06.001"/>
    <x v="17"/>
    <s v="ADQUISICION SERVICIO DE SOPORTE Y MANTENIMIENTO DE LOS DOS SITIOS DE REPETICION VHF DE EMERGENCIAS, SERVICIO DE SALUD OSORNO (COMPRA ENERO A MARZO 2025)"/>
    <x v="0"/>
    <x v="6"/>
    <n v="4"/>
    <n v="1"/>
    <x v="14"/>
    <x v="26"/>
    <x v="1"/>
    <x v="2"/>
    <x v="11"/>
    <x v="13"/>
    <s v="64-2335606-"/>
    <s v="ESTEBAN.ALARCONB@REDSALUD.GOB.CL"/>
    <x v="8"/>
    <d v="2025-08-20T00:00:00"/>
    <n v="0"/>
    <m/>
    <n v="1"/>
    <n v="520333"/>
    <d v="2026-06-01T00:00:00"/>
    <x v="0"/>
  </r>
  <r>
    <s v="SERVICIO DE SALUD OSORNO"/>
    <x v="0"/>
    <x v="16"/>
    <s v="Proyecto operacional"/>
    <s v="Publicado"/>
    <s v="22.06.001"/>
    <x v="17"/>
    <s v="ADQUISICION SERVICIO DE SOPORTE Y MANTENIMIENTO DE LOS DOS SITIOS DE REPETICION VHF DE EMERGENCIAS, SERVICIO DE SALUD OSORNO (COMPRA ENERO A MARZO 2025)"/>
    <x v="0"/>
    <x v="6"/>
    <n v="4"/>
    <n v="1"/>
    <x v="14"/>
    <x v="26"/>
    <x v="1"/>
    <x v="2"/>
    <x v="11"/>
    <x v="13"/>
    <s v="64-2335606-"/>
    <s v="ESTEBAN.ALARCONB@REDSALUD.GOB.CL"/>
    <x v="8"/>
    <d v="2025-08-20T00:00:00"/>
    <n v="0"/>
    <m/>
    <n v="1"/>
    <n v="520333"/>
    <d v="2026-04-01T00:00:00"/>
    <x v="0"/>
  </r>
  <r>
    <s v="SERVICIO DE SALUD OSORNO"/>
    <x v="0"/>
    <x v="16"/>
    <s v="Proyecto operacional"/>
    <s v="Publicado"/>
    <s v="22.06.001"/>
    <x v="17"/>
    <s v="ADQUISICION SERVICIO DE SOPORTE Y MANTENIMIENTO DE LOS DOS SITIOS DE REPETICION VHF DE EMERGENCIAS, SERVICIO DE SALUD OSORNO (COMPRA ENERO A MARZO 2025)"/>
    <x v="0"/>
    <x v="6"/>
    <n v="4"/>
    <n v="1"/>
    <x v="14"/>
    <x v="26"/>
    <x v="1"/>
    <x v="2"/>
    <x v="11"/>
    <x v="13"/>
    <s v="64-2335606-"/>
    <s v="ESTEBAN.ALARCONB@REDSALUD.GOB.CL"/>
    <x v="8"/>
    <d v="2025-08-20T00:00:00"/>
    <n v="0"/>
    <m/>
    <n v="1"/>
    <n v="520333"/>
    <d v="2026-07-01T00:00:00"/>
    <x v="0"/>
  </r>
  <r>
    <s v="SERVICIO DE SALUD OSORNO"/>
    <x v="0"/>
    <x v="16"/>
    <s v="Proyecto operacional"/>
    <s v="Publicado"/>
    <s v="22.06.001"/>
    <x v="17"/>
    <s v="ADQUISICION SERVICIO DE SOPORTE Y MANTENIMIENTO DE LOS DOS SITIOS DE REPETICION VHF DE EMERGENCIAS, SERVICIO DE SALUD OSORNO (COMPRA ENERO A MARZO 2025)"/>
    <x v="0"/>
    <x v="6"/>
    <n v="4"/>
    <n v="1"/>
    <x v="14"/>
    <x v="29"/>
    <x v="1"/>
    <x v="2"/>
    <x v="11"/>
    <x v="13"/>
    <s v="64-2335606-"/>
    <s v="ESTEBAN.ALARCONB@REDSALUD.GOB.CL"/>
    <x v="8"/>
    <d v="2025-08-20T00:00:00"/>
    <n v="0"/>
    <m/>
    <n v="1"/>
    <n v="520833"/>
    <d v="2026-09-01T00:00:00"/>
    <x v="0"/>
  </r>
  <r>
    <s v="SERVICIO DE SALUD OSORNO"/>
    <x v="0"/>
    <x v="16"/>
    <s v="Proyecto operacional"/>
    <s v="Publicado"/>
    <s v="22.06.001"/>
    <x v="17"/>
    <s v="ADQUISICION SERVICIO DE SOPORTE Y MANTENIMIENTO DE LOS DOS SITIOS DE REPETICION VHF DE EMERGENCIAS, SERVICIO DE SALUD OSORNO (COMPRA ENERO A MARZO 2025)"/>
    <x v="0"/>
    <x v="6"/>
    <n v="4"/>
    <n v="1"/>
    <x v="14"/>
    <x v="26"/>
    <x v="1"/>
    <x v="2"/>
    <x v="11"/>
    <x v="13"/>
    <s v="64-2335606-"/>
    <s v="ESTEBAN.ALARCONB@REDSALUD.GOB.CL"/>
    <x v="8"/>
    <d v="2025-08-20T00:00:00"/>
    <n v="0"/>
    <m/>
    <n v="1"/>
    <n v="520333"/>
    <d v="2026-10-01T00:00:00"/>
    <x v="0"/>
  </r>
  <r>
    <s v="SERVICIO DE SALUD OSORNO"/>
    <x v="0"/>
    <x v="17"/>
    <s v="Proyecto operacional"/>
    <s v="Publicado"/>
    <s v="22.12.999"/>
    <x v="18"/>
    <s v="Se requiere la contratación del servicio denominado Residencia Protegida (beneficiarios 3 usuarios) para usuarios/as por un periodo de 24 meses. Modificando PAC ID: 1057532-188-PC23"/>
    <x v="0"/>
    <x v="13"/>
    <n v="4"/>
    <n v="3"/>
    <x v="15"/>
    <x v="30"/>
    <x v="1"/>
    <x v="2"/>
    <x v="12"/>
    <x v="14"/>
    <s v="64-2335813-"/>
    <s v="angelo.palma@redsalud.gob.cl"/>
    <x v="8"/>
    <d v="2025-08-20T00:00:00"/>
    <n v="11"/>
    <s v="1057532-4191-SE25"/>
    <n v="1"/>
    <n v="4009593"/>
    <d v="2026-02-01T00:00:00"/>
    <x v="0"/>
  </r>
  <r>
    <s v="SERVICIO DE SALUD OSORNO"/>
    <x v="0"/>
    <x v="17"/>
    <s v="Proyecto operacional"/>
    <s v="Publicado"/>
    <s v="22.12.999"/>
    <x v="18"/>
    <s v="Se requiere la contratación del servicio denominado Residencia Protegida (beneficiarios 3 usuarios) para usuarios/as por un periodo de 24 meses. Modificando PAC ID: 1057532-188-PC23"/>
    <x v="0"/>
    <x v="13"/>
    <n v="4"/>
    <n v="3"/>
    <x v="15"/>
    <x v="30"/>
    <x v="1"/>
    <x v="2"/>
    <x v="12"/>
    <x v="14"/>
    <s v="64-2335813-"/>
    <s v="angelo.palma@redsalud.gob.cl"/>
    <x v="8"/>
    <d v="2025-08-20T00:00:00"/>
    <n v="11"/>
    <s v="1057532-4191-SE25"/>
    <n v="1"/>
    <n v="4009593"/>
    <d v="2026-07-01T00:00:00"/>
    <x v="0"/>
  </r>
  <r>
    <s v="SERVICIO DE SALUD OSORNO"/>
    <x v="0"/>
    <x v="17"/>
    <s v="Proyecto operacional"/>
    <s v="Publicado"/>
    <s v="22.12.999"/>
    <x v="18"/>
    <s v="Se requiere la contratación del servicio denominado Residencia Protegida (beneficiarios 3 usuarios) para usuarios/as por un periodo de 24 meses. Modificando PAC ID: 1057532-188-PC23"/>
    <x v="0"/>
    <x v="13"/>
    <n v="4"/>
    <n v="3"/>
    <x v="15"/>
    <x v="30"/>
    <x v="1"/>
    <x v="2"/>
    <x v="12"/>
    <x v="14"/>
    <s v="64-2335813-"/>
    <s v="angelo.palma@redsalud.gob.cl"/>
    <x v="8"/>
    <d v="2025-08-20T00:00:00"/>
    <n v="11"/>
    <s v="1057532-274-SE25"/>
    <n v="1"/>
    <n v="4009593"/>
    <d v="2026-07-01T00:00:00"/>
    <x v="0"/>
  </r>
  <r>
    <s v="SERVICIO DE SALUD OSORNO"/>
    <x v="0"/>
    <x v="17"/>
    <s v="Proyecto operacional"/>
    <s v="Publicado"/>
    <s v="22.12.999"/>
    <x v="18"/>
    <s v="Se requiere la contratación del servicio denominado Residencia Protegida (beneficiarios 3 usuarios) para usuarios/as por un periodo de 24 meses. Modificando PAC ID: 1057532-188-PC23"/>
    <x v="0"/>
    <x v="13"/>
    <n v="4"/>
    <n v="3"/>
    <x v="15"/>
    <x v="30"/>
    <x v="1"/>
    <x v="2"/>
    <x v="12"/>
    <x v="14"/>
    <s v="64-2335813-"/>
    <s v="angelo.palma@redsalud.gob.cl"/>
    <x v="8"/>
    <d v="2025-08-20T00:00:00"/>
    <n v="11"/>
    <s v="1057532-4423-SE25"/>
    <n v="1"/>
    <n v="4009593"/>
    <d v="2026-05-01T00:00:00"/>
    <x v="0"/>
  </r>
  <r>
    <s v="SERVICIO DE SALUD OSORNO"/>
    <x v="0"/>
    <x v="17"/>
    <s v="Proyecto operacional"/>
    <s v="Publicado"/>
    <s v="22.12.999"/>
    <x v="18"/>
    <s v="Se requiere la contratación del servicio denominado Residencia Protegida (beneficiarios 3 usuarios) para usuarios/as por un periodo de 24 meses. Modificando PAC ID: 1057532-188-PC23"/>
    <x v="0"/>
    <x v="13"/>
    <n v="4"/>
    <n v="3"/>
    <x v="15"/>
    <x v="30"/>
    <x v="1"/>
    <x v="2"/>
    <x v="12"/>
    <x v="14"/>
    <s v="64-2335813-"/>
    <s v="angelo.palma@redsalud.gob.cl"/>
    <x v="8"/>
    <d v="2025-08-20T00:00:00"/>
    <n v="11"/>
    <s v="1057532-4746-SE25"/>
    <n v="1"/>
    <n v="4009593"/>
    <d v="2026-10-01T00:00:00"/>
    <x v="0"/>
  </r>
  <r>
    <s v="SERVICIO DE SALUD OSORNO"/>
    <x v="0"/>
    <x v="17"/>
    <s v="Proyecto operacional"/>
    <s v="Publicado"/>
    <s v="22.12.999"/>
    <x v="18"/>
    <s v="Se requiere la contratación del servicio denominado Residencia Protegida (beneficiarios 3 usuarios) para usuarios/as por un periodo de 24 meses. Modificando PAC ID: 1057532-188-PC23"/>
    <x v="0"/>
    <x v="13"/>
    <n v="4"/>
    <n v="3"/>
    <x v="15"/>
    <x v="30"/>
    <x v="1"/>
    <x v="2"/>
    <x v="12"/>
    <x v="14"/>
    <s v="64-2335813-"/>
    <s v="angelo.palma@redsalud.gob.cl"/>
    <x v="8"/>
    <d v="2025-08-20T00:00:00"/>
    <n v="11"/>
    <s v="1057532-3967-SE25"/>
    <n v="1"/>
    <n v="4009593"/>
    <d v="2026-09-01T00:00:00"/>
    <x v="0"/>
  </r>
  <r>
    <s v="SERVICIO DE SALUD OSORNO"/>
    <x v="0"/>
    <x v="17"/>
    <s v="Proyecto operacional"/>
    <s v="Publicado"/>
    <s v="22.12.999"/>
    <x v="18"/>
    <s v="Se requiere la contratación del servicio denominado Residencia Protegida (beneficiarios 3 usuarios) para usuarios/as por un periodo de 24 meses. Modificando PAC ID: 1057532-188-PC23"/>
    <x v="0"/>
    <x v="13"/>
    <n v="4"/>
    <n v="3"/>
    <x v="15"/>
    <x v="30"/>
    <x v="1"/>
    <x v="2"/>
    <x v="12"/>
    <x v="14"/>
    <s v="64-2335813-"/>
    <s v="angelo.palma@redsalud.gob.cl"/>
    <x v="8"/>
    <d v="2025-08-20T00:00:00"/>
    <n v="11"/>
    <s v="1057532-4746-SE25"/>
    <n v="1"/>
    <n v="4009593"/>
    <d v="2026-05-01T00:00:00"/>
    <x v="0"/>
  </r>
  <r>
    <s v="SERVICIO DE SALUD OSORNO"/>
    <x v="0"/>
    <x v="17"/>
    <s v="Proyecto operacional"/>
    <s v="Publicado"/>
    <s v="22.12.999"/>
    <x v="18"/>
    <s v="Se requiere la contratación del servicio denominado Residencia Protegida (beneficiarios 3 usuarios) para usuarios/as por un periodo de 24 meses. Modificando PAC ID: 1057532-188-PC23"/>
    <x v="0"/>
    <x v="13"/>
    <n v="4"/>
    <n v="3"/>
    <x v="15"/>
    <x v="30"/>
    <x v="1"/>
    <x v="2"/>
    <x v="12"/>
    <x v="14"/>
    <s v="64-2335813-"/>
    <s v="angelo.palma@redsalud.gob.cl"/>
    <x v="8"/>
    <d v="2025-08-20T00:00:00"/>
    <n v="11"/>
    <s v="1057532-4423-SE25"/>
    <n v="1"/>
    <n v="4009593"/>
    <d v="2026-07-01T00:00:00"/>
    <x v="0"/>
  </r>
  <r>
    <s v="SERVICIO DE SALUD OSORNO"/>
    <x v="0"/>
    <x v="17"/>
    <s v="Proyecto operacional"/>
    <s v="Publicado"/>
    <s v="22.12.999"/>
    <x v="18"/>
    <s v="Se requiere la contratación del servicio denominado Residencia Protegida (beneficiarios 3 usuarios) para usuarios/as por un periodo de 24 meses. Modificando PAC ID: 1057532-188-PC23"/>
    <x v="0"/>
    <x v="13"/>
    <n v="4"/>
    <n v="3"/>
    <x v="15"/>
    <x v="30"/>
    <x v="1"/>
    <x v="2"/>
    <x v="12"/>
    <x v="14"/>
    <s v="64-2335813-"/>
    <s v="angelo.palma@redsalud.gob.cl"/>
    <x v="8"/>
    <d v="2025-08-20T00:00:00"/>
    <n v="11"/>
    <s v="1057532-4551-SE25"/>
    <n v="1"/>
    <n v="4009593"/>
    <d v="2026-11-01T00:00:00"/>
    <x v="0"/>
  </r>
  <r>
    <s v="SERVICIO DE SALUD OSORNO"/>
    <x v="0"/>
    <x v="17"/>
    <s v="Proyecto operacional"/>
    <s v="Publicado"/>
    <s v="22.12.999"/>
    <x v="18"/>
    <s v="Se requiere la contratación del servicio denominado Residencia Protegida (beneficiarios 3 usuarios) para usuarios/as por un periodo de 24 meses. Modificando PAC ID: 1057532-188-PC23"/>
    <x v="0"/>
    <x v="13"/>
    <n v="4"/>
    <n v="3"/>
    <x v="15"/>
    <x v="30"/>
    <x v="1"/>
    <x v="2"/>
    <x v="12"/>
    <x v="14"/>
    <s v="64-2335813-"/>
    <s v="angelo.palma@redsalud.gob.cl"/>
    <x v="8"/>
    <d v="2025-08-20T00:00:00"/>
    <n v="11"/>
    <s v="1057532-5466-SE25"/>
    <n v="1"/>
    <n v="4009593"/>
    <d v="2026-06-01T00:00:00"/>
    <x v="0"/>
  </r>
  <r>
    <s v="SERVICIO DE SALUD OSORNO"/>
    <x v="0"/>
    <x v="17"/>
    <s v="Proyecto operacional"/>
    <s v="Publicado"/>
    <s v="22.12.999"/>
    <x v="18"/>
    <s v="Se requiere la contratación del servicio denominado Residencia Protegida (beneficiarios 3 usuarios) para usuarios/as por un periodo de 24 meses. Modificando PAC ID: 1057532-188-PC23"/>
    <x v="0"/>
    <x v="13"/>
    <n v="4"/>
    <n v="3"/>
    <x v="15"/>
    <x v="30"/>
    <x v="1"/>
    <x v="2"/>
    <x v="12"/>
    <x v="14"/>
    <s v="64-2335813-"/>
    <s v="angelo.palma@redsalud.gob.cl"/>
    <x v="8"/>
    <d v="2025-08-20T00:00:00"/>
    <n v="11"/>
    <s v="1057532-3967-SE25"/>
    <n v="1"/>
    <n v="4009593"/>
    <d v="2026-01-01T00:00:00"/>
    <x v="0"/>
  </r>
  <r>
    <s v="SERVICIO DE SALUD OSORNO"/>
    <x v="0"/>
    <x v="17"/>
    <s v="Proyecto operacional"/>
    <s v="Publicado"/>
    <s v="22.12.999"/>
    <x v="18"/>
    <s v="Se requiere la contratación del servicio denominado Residencia Protegida (beneficiarios 3 usuarios) para usuarios/as por un periodo de 24 meses. Modificando PAC ID: 1057532-188-PC23"/>
    <x v="0"/>
    <x v="13"/>
    <n v="4"/>
    <n v="3"/>
    <x v="15"/>
    <x v="31"/>
    <x v="1"/>
    <x v="2"/>
    <x v="12"/>
    <x v="14"/>
    <s v="64-2335813-"/>
    <s v="angelo.palma@redsalud.gob.cl"/>
    <x v="8"/>
    <d v="2025-08-20T00:00:00"/>
    <n v="11"/>
    <s v="1057532-4746-SE25"/>
    <n v="1"/>
    <n v="4009605"/>
    <d v="2026-12-01T00:00:00"/>
    <x v="0"/>
  </r>
  <r>
    <s v="SERVICIO DE SALUD OSORNO"/>
    <x v="0"/>
    <x v="18"/>
    <s v="Proyecto operacional"/>
    <s v="Publicado"/>
    <s v="22.12.999"/>
    <x v="19"/>
    <s v="Se requiere la contratación del servicio denominado Residencia Protegida (beneficiarios 12 usuarios) para usuarios/as por un periodo de 24 meses."/>
    <x v="0"/>
    <x v="13"/>
    <n v="4"/>
    <n v="12"/>
    <x v="16"/>
    <x v="32"/>
    <x v="1"/>
    <x v="2"/>
    <x v="12"/>
    <x v="14"/>
    <s v="64-2335813-"/>
    <s v="angelo.palma@redsalud.gob.cl"/>
    <x v="8"/>
    <d v="2025-08-20T00:00:00"/>
    <n v="12"/>
    <s v="1057532-4430-SE25"/>
    <n v="1"/>
    <n v="19762925"/>
    <d v="2026-05-01T00:00:00"/>
    <x v="0"/>
  </r>
  <r>
    <s v="SERVICIO DE SALUD OSORNO"/>
    <x v="0"/>
    <x v="18"/>
    <s v="Proyecto operacional"/>
    <s v="Publicado"/>
    <s v="22.12.999"/>
    <x v="19"/>
    <s v="Se requiere la contratación del servicio denominado Residencia Protegida (beneficiarios 12 usuarios) para usuarios/as por un periodo de 24 meses."/>
    <x v="0"/>
    <x v="13"/>
    <n v="4"/>
    <n v="12"/>
    <x v="16"/>
    <x v="32"/>
    <x v="1"/>
    <x v="2"/>
    <x v="12"/>
    <x v="14"/>
    <s v="64-2335813-"/>
    <s v="angelo.palma@redsalud.gob.cl"/>
    <x v="8"/>
    <d v="2025-08-20T00:00:00"/>
    <n v="12"/>
    <s v="1057532-4430-SE25"/>
    <n v="1"/>
    <n v="19762925"/>
    <d v="2026-04-01T00:00:00"/>
    <x v="0"/>
  </r>
  <r>
    <s v="SERVICIO DE SALUD OSORNO"/>
    <x v="0"/>
    <x v="18"/>
    <s v="Proyecto operacional"/>
    <s v="Publicado"/>
    <s v="22.12.999"/>
    <x v="19"/>
    <s v="Se requiere la contratación del servicio denominado Residencia Protegida (beneficiarios 12 usuarios) para usuarios/as por un periodo de 24 meses."/>
    <x v="0"/>
    <x v="13"/>
    <n v="4"/>
    <n v="12"/>
    <x v="16"/>
    <x v="32"/>
    <x v="1"/>
    <x v="2"/>
    <x v="12"/>
    <x v="14"/>
    <s v="64-2335813-"/>
    <s v="angelo.palma@redsalud.gob.cl"/>
    <x v="8"/>
    <d v="2025-08-20T00:00:00"/>
    <n v="12"/>
    <s v="1057532-4137-TD25"/>
    <n v="1"/>
    <n v="19762925"/>
    <d v="2026-09-01T00:00:00"/>
    <x v="0"/>
  </r>
  <r>
    <s v="SERVICIO DE SALUD OSORNO"/>
    <x v="0"/>
    <x v="18"/>
    <s v="Proyecto operacional"/>
    <s v="Publicado"/>
    <s v="22.12.999"/>
    <x v="19"/>
    <s v="Se requiere la contratación del servicio denominado Residencia Protegida (beneficiarios 12 usuarios) para usuarios/as por un periodo de 24 meses."/>
    <x v="0"/>
    <x v="13"/>
    <n v="4"/>
    <n v="12"/>
    <x v="16"/>
    <x v="32"/>
    <x v="1"/>
    <x v="2"/>
    <x v="12"/>
    <x v="14"/>
    <s v="64-2335813-"/>
    <s v="angelo.palma@redsalud.gob.cl"/>
    <x v="8"/>
    <d v="2025-08-20T00:00:00"/>
    <n v="12"/>
    <s v="1057532-4210-SE25"/>
    <n v="1"/>
    <n v="19762925"/>
    <d v="2026-04-01T00:00:00"/>
    <x v="0"/>
  </r>
  <r>
    <s v="SERVICIO DE SALUD OSORNO"/>
    <x v="0"/>
    <x v="18"/>
    <s v="Proyecto operacional"/>
    <s v="Publicado"/>
    <s v="22.12.999"/>
    <x v="19"/>
    <s v="Se requiere la contratación del servicio denominado Residencia Protegida (beneficiarios 12 usuarios) para usuarios/as por un periodo de 24 meses."/>
    <x v="0"/>
    <x v="13"/>
    <n v="4"/>
    <n v="12"/>
    <x v="16"/>
    <x v="32"/>
    <x v="1"/>
    <x v="2"/>
    <x v="12"/>
    <x v="14"/>
    <s v="64-2335813-"/>
    <s v="angelo.palma@redsalud.gob.cl"/>
    <x v="8"/>
    <d v="2025-08-20T00:00:00"/>
    <n v="12"/>
    <s v="1057532-4137-TD25"/>
    <n v="1"/>
    <n v="19762925"/>
    <d v="2026-06-01T00:00:00"/>
    <x v="0"/>
  </r>
  <r>
    <s v="SERVICIO DE SALUD OSORNO"/>
    <x v="0"/>
    <x v="18"/>
    <s v="Proyecto operacional"/>
    <s v="Publicado"/>
    <s v="22.12.999"/>
    <x v="19"/>
    <s v="Se requiere la contratación del servicio denominado Residencia Protegida (beneficiarios 12 usuarios) para usuarios/as por un periodo de 24 meses."/>
    <x v="0"/>
    <x v="13"/>
    <n v="4"/>
    <n v="12"/>
    <x v="16"/>
    <x v="32"/>
    <x v="1"/>
    <x v="2"/>
    <x v="12"/>
    <x v="14"/>
    <s v="64-2335813-"/>
    <s v="angelo.palma@redsalud.gob.cl"/>
    <x v="8"/>
    <d v="2025-08-20T00:00:00"/>
    <n v="12"/>
    <s v="1057532-4210-SE25"/>
    <n v="1"/>
    <n v="19762925"/>
    <d v="2026-12-01T00:00:00"/>
    <x v="0"/>
  </r>
  <r>
    <s v="SERVICIO DE SALUD OSORNO"/>
    <x v="0"/>
    <x v="18"/>
    <s v="Proyecto operacional"/>
    <s v="Publicado"/>
    <s v="22.12.999"/>
    <x v="19"/>
    <s v="Se requiere la contratación del servicio denominado Residencia Protegida (beneficiarios 12 usuarios) para usuarios/as por un periodo de 24 meses."/>
    <x v="0"/>
    <x v="13"/>
    <n v="4"/>
    <n v="12"/>
    <x v="16"/>
    <x v="32"/>
    <x v="1"/>
    <x v="2"/>
    <x v="12"/>
    <x v="14"/>
    <s v="64-2335813-"/>
    <s v="angelo.palma@redsalud.gob.cl"/>
    <x v="8"/>
    <d v="2025-08-20T00:00:00"/>
    <n v="12"/>
    <s v="1057532-4137-TD25"/>
    <n v="1"/>
    <n v="19762925"/>
    <d v="2026-03-01T00:00:00"/>
    <x v="0"/>
  </r>
  <r>
    <s v="SERVICIO DE SALUD OSORNO"/>
    <x v="0"/>
    <x v="18"/>
    <s v="Proyecto operacional"/>
    <s v="Publicado"/>
    <s v="22.12.999"/>
    <x v="19"/>
    <s v="Se requiere la contratación del servicio denominado Residencia Protegida (beneficiarios 12 usuarios) para usuarios/as por un periodo de 24 meses."/>
    <x v="0"/>
    <x v="13"/>
    <n v="4"/>
    <n v="12"/>
    <x v="16"/>
    <x v="32"/>
    <x v="1"/>
    <x v="2"/>
    <x v="12"/>
    <x v="14"/>
    <s v="64-2335813-"/>
    <s v="angelo.palma@redsalud.gob.cl"/>
    <x v="8"/>
    <d v="2025-08-20T00:00:00"/>
    <n v="12"/>
    <s v="1057532-4137-TD25"/>
    <n v="1"/>
    <n v="19762925"/>
    <d v="2026-12-01T00:00:00"/>
    <x v="0"/>
  </r>
  <r>
    <s v="SERVICIO DE SALUD OSORNO"/>
    <x v="0"/>
    <x v="18"/>
    <s v="Proyecto operacional"/>
    <s v="Publicado"/>
    <s v="22.12.999"/>
    <x v="19"/>
    <s v="Se requiere la contratación del servicio denominado Residencia Protegida (beneficiarios 12 usuarios) para usuarios/as por un periodo de 24 meses."/>
    <x v="0"/>
    <x v="13"/>
    <n v="4"/>
    <n v="12"/>
    <x v="16"/>
    <x v="32"/>
    <x v="1"/>
    <x v="2"/>
    <x v="12"/>
    <x v="14"/>
    <s v="64-2335813-"/>
    <s v="angelo.palma@redsalud.gob.cl"/>
    <x v="8"/>
    <d v="2025-08-20T00:00:00"/>
    <n v="12"/>
    <s v="1057532-4137-TD25"/>
    <n v="1"/>
    <n v="19762925"/>
    <d v="2026-05-01T00:00:00"/>
    <x v="0"/>
  </r>
  <r>
    <s v="SERVICIO DE SALUD OSORNO"/>
    <x v="0"/>
    <x v="18"/>
    <s v="Proyecto operacional"/>
    <s v="Publicado"/>
    <s v="22.12.999"/>
    <x v="19"/>
    <s v="Se requiere la contratación del servicio denominado Residencia Protegida (beneficiarios 12 usuarios) para usuarios/as por un periodo de 24 meses."/>
    <x v="0"/>
    <x v="13"/>
    <n v="4"/>
    <n v="12"/>
    <x v="16"/>
    <x v="32"/>
    <x v="1"/>
    <x v="2"/>
    <x v="12"/>
    <x v="14"/>
    <s v="64-2335813-"/>
    <s v="angelo.palma@redsalud.gob.cl"/>
    <x v="8"/>
    <d v="2025-08-20T00:00:00"/>
    <n v="12"/>
    <s v="1057532-4430-SE25"/>
    <n v="1"/>
    <n v="19762925"/>
    <d v="2026-03-01T00:00:00"/>
    <x v="0"/>
  </r>
  <r>
    <s v="SERVICIO DE SALUD OSORNO"/>
    <x v="0"/>
    <x v="18"/>
    <s v="Proyecto operacional"/>
    <s v="Publicado"/>
    <s v="22.12.999"/>
    <x v="19"/>
    <s v="Se requiere la contratación del servicio denominado Residencia Protegida (beneficiarios 12 usuarios) para usuarios/as por un periodo de 24 meses."/>
    <x v="0"/>
    <x v="13"/>
    <n v="4"/>
    <n v="12"/>
    <x v="16"/>
    <x v="32"/>
    <x v="1"/>
    <x v="2"/>
    <x v="12"/>
    <x v="14"/>
    <s v="64-2335813-"/>
    <s v="angelo.palma@redsalud.gob.cl"/>
    <x v="8"/>
    <d v="2025-08-20T00:00:00"/>
    <n v="12"/>
    <s v="1057532-4137-TD25"/>
    <n v="1"/>
    <n v="19762925"/>
    <d v="2026-04-01T00:00:00"/>
    <x v="0"/>
  </r>
  <r>
    <s v="SERVICIO DE SALUD OSORNO"/>
    <x v="0"/>
    <x v="18"/>
    <s v="Proyecto operacional"/>
    <s v="Publicado"/>
    <s v="22.12.999"/>
    <x v="19"/>
    <s v="Se requiere la contratación del servicio denominado Residencia Protegida (beneficiarios 12 usuarios) para usuarios/as por un periodo de 24 meses."/>
    <x v="0"/>
    <x v="13"/>
    <n v="4"/>
    <n v="12"/>
    <x v="16"/>
    <x v="32"/>
    <x v="1"/>
    <x v="2"/>
    <x v="12"/>
    <x v="14"/>
    <s v="64-2335813-"/>
    <s v="angelo.palma@redsalud.gob.cl"/>
    <x v="8"/>
    <d v="2025-08-20T00:00:00"/>
    <n v="12"/>
    <s v="1057532-4210-SE25"/>
    <n v="1"/>
    <n v="19762925"/>
    <d v="2026-07-01T00:00:00"/>
    <x v="0"/>
  </r>
  <r>
    <s v="SERVICIO DE SALUD OSORNO"/>
    <x v="0"/>
    <x v="19"/>
    <s v="Proyecto operacional"/>
    <s v="Publicado"/>
    <s v="22.12.999"/>
    <x v="20"/>
    <s v="Se requiere la contratación del servicio denominado Residencia Protegida alta complejidad (beneficiarios 10 usuarios) para usuarios/as por un periodo de 24 meses."/>
    <x v="0"/>
    <x v="13"/>
    <n v="4"/>
    <n v="10"/>
    <x v="17"/>
    <x v="33"/>
    <x v="1"/>
    <x v="2"/>
    <x v="12"/>
    <x v="14"/>
    <s v="64-2335813-"/>
    <s v="angelo.palma@redsalud.gob.cl"/>
    <x v="8"/>
    <d v="2025-08-20T00:00:00"/>
    <n v="10"/>
    <s v="1057532-4192-SE25"/>
    <n v="1"/>
    <n v="23725000"/>
    <d v="2026-03-01T00:00:00"/>
    <x v="0"/>
  </r>
  <r>
    <s v="SERVICIO DE SALUD OSORNO"/>
    <x v="0"/>
    <x v="19"/>
    <s v="Proyecto operacional"/>
    <s v="Publicado"/>
    <s v="22.12.999"/>
    <x v="20"/>
    <s v="Se requiere la contratación del servicio denominado Residencia Protegida alta complejidad (beneficiarios 10 usuarios) para usuarios/as por un periodo de 24 meses."/>
    <x v="0"/>
    <x v="13"/>
    <n v="4"/>
    <n v="10"/>
    <x v="17"/>
    <x v="33"/>
    <x v="1"/>
    <x v="2"/>
    <x v="12"/>
    <x v="14"/>
    <s v="64-2335813-"/>
    <s v="angelo.palma@redsalud.gob.cl"/>
    <x v="8"/>
    <d v="2025-08-20T00:00:00"/>
    <n v="10"/>
    <s v="1057532-4192-SE25"/>
    <n v="1"/>
    <n v="23725000"/>
    <d v="2026-11-01T00:00:00"/>
    <x v="0"/>
  </r>
  <r>
    <s v="SERVICIO DE SALUD OSORNO"/>
    <x v="0"/>
    <x v="19"/>
    <s v="Proyecto operacional"/>
    <s v="Publicado"/>
    <s v="22.12.999"/>
    <x v="20"/>
    <s v="Se requiere la contratación del servicio denominado Residencia Protegida alta complejidad (beneficiarios 10 usuarios) para usuarios/as por un periodo de 24 meses."/>
    <x v="0"/>
    <x v="13"/>
    <n v="4"/>
    <n v="10"/>
    <x v="17"/>
    <x v="33"/>
    <x v="1"/>
    <x v="2"/>
    <x v="12"/>
    <x v="14"/>
    <s v="64-2335813-"/>
    <s v="angelo.palma@redsalud.gob.cl"/>
    <x v="8"/>
    <d v="2025-08-20T00:00:00"/>
    <n v="10"/>
    <s v="1057532-4505-SE25"/>
    <n v="1"/>
    <n v="23725000"/>
    <d v="2026-03-01T00:00:00"/>
    <x v="0"/>
  </r>
  <r>
    <s v="SERVICIO DE SALUD OSORNO"/>
    <x v="0"/>
    <x v="19"/>
    <s v="Proyecto operacional"/>
    <s v="Publicado"/>
    <s v="22.12.999"/>
    <x v="20"/>
    <s v="Se requiere la contratación del servicio denominado Residencia Protegida alta complejidad (beneficiarios 10 usuarios) para usuarios/as por un periodo de 24 meses."/>
    <x v="0"/>
    <x v="13"/>
    <n v="4"/>
    <n v="10"/>
    <x v="17"/>
    <x v="33"/>
    <x v="1"/>
    <x v="2"/>
    <x v="12"/>
    <x v="14"/>
    <s v="64-2335813-"/>
    <s v="angelo.palma@redsalud.gob.cl"/>
    <x v="8"/>
    <d v="2025-08-20T00:00:00"/>
    <n v="10"/>
    <s v="1057532-4347-SE25"/>
    <n v="1"/>
    <n v="23725000"/>
    <d v="2026-04-01T00:00:00"/>
    <x v="0"/>
  </r>
  <r>
    <s v="SERVICIO DE SALUD OSORNO"/>
    <x v="0"/>
    <x v="19"/>
    <s v="Proyecto operacional"/>
    <s v="Publicado"/>
    <s v="22.12.999"/>
    <x v="20"/>
    <s v="Se requiere la contratación del servicio denominado Residencia Protegida alta complejidad (beneficiarios 10 usuarios) para usuarios/as por un periodo de 24 meses."/>
    <x v="0"/>
    <x v="13"/>
    <n v="4"/>
    <n v="10"/>
    <x v="17"/>
    <x v="33"/>
    <x v="1"/>
    <x v="2"/>
    <x v="12"/>
    <x v="14"/>
    <s v="64-2335813-"/>
    <s v="angelo.palma@redsalud.gob.cl"/>
    <x v="8"/>
    <d v="2025-08-20T00:00:00"/>
    <n v="10"/>
    <s v="1057532-4505-SE25"/>
    <n v="1"/>
    <n v="23725000"/>
    <d v="2026-04-01T00:00:00"/>
    <x v="0"/>
  </r>
  <r>
    <s v="SERVICIO DE SALUD OSORNO"/>
    <x v="0"/>
    <x v="19"/>
    <s v="Proyecto operacional"/>
    <s v="Publicado"/>
    <s v="22.12.999"/>
    <x v="20"/>
    <s v="Se requiere la contratación del servicio denominado Residencia Protegida alta complejidad (beneficiarios 10 usuarios) para usuarios/as por un periodo de 24 meses."/>
    <x v="0"/>
    <x v="13"/>
    <n v="4"/>
    <n v="10"/>
    <x v="17"/>
    <x v="33"/>
    <x v="1"/>
    <x v="2"/>
    <x v="12"/>
    <x v="14"/>
    <s v="64-2335813-"/>
    <s v="angelo.palma@redsalud.gob.cl"/>
    <x v="8"/>
    <d v="2025-08-20T00:00:00"/>
    <n v="10"/>
    <s v="1057532-4347-SE25"/>
    <n v="1"/>
    <n v="23725000"/>
    <d v="2026-01-01T00:00:00"/>
    <x v="0"/>
  </r>
  <r>
    <s v="SERVICIO DE SALUD OSORNO"/>
    <x v="0"/>
    <x v="19"/>
    <s v="Proyecto operacional"/>
    <s v="Publicado"/>
    <s v="22.12.999"/>
    <x v="20"/>
    <s v="Se requiere la contratación del servicio denominado Residencia Protegida alta complejidad (beneficiarios 10 usuarios) para usuarios/as por un periodo de 24 meses."/>
    <x v="0"/>
    <x v="13"/>
    <n v="4"/>
    <n v="10"/>
    <x v="17"/>
    <x v="33"/>
    <x v="1"/>
    <x v="2"/>
    <x v="12"/>
    <x v="14"/>
    <s v="64-2335813-"/>
    <s v="angelo.palma@redsalud.gob.cl"/>
    <x v="8"/>
    <d v="2025-08-20T00:00:00"/>
    <n v="10"/>
    <s v="1057532-4347-SE25"/>
    <n v="1"/>
    <n v="23725000"/>
    <d v="2026-07-01T00:00:00"/>
    <x v="0"/>
  </r>
  <r>
    <s v="SERVICIO DE SALUD OSORNO"/>
    <x v="0"/>
    <x v="19"/>
    <s v="Proyecto operacional"/>
    <s v="Publicado"/>
    <s v="22.12.999"/>
    <x v="20"/>
    <s v="Se requiere la contratación del servicio denominado Residencia Protegida alta complejidad (beneficiarios 10 usuarios) para usuarios/as por un periodo de 24 meses."/>
    <x v="0"/>
    <x v="13"/>
    <n v="4"/>
    <n v="10"/>
    <x v="17"/>
    <x v="33"/>
    <x v="1"/>
    <x v="2"/>
    <x v="12"/>
    <x v="14"/>
    <s v="64-2335813-"/>
    <s v="angelo.palma@redsalud.gob.cl"/>
    <x v="8"/>
    <d v="2025-08-20T00:00:00"/>
    <n v="10"/>
    <s v="1057532-4347-SE25"/>
    <n v="1"/>
    <n v="23725000"/>
    <d v="2026-02-01T00:00:00"/>
    <x v="0"/>
  </r>
  <r>
    <s v="SERVICIO DE SALUD OSORNO"/>
    <x v="0"/>
    <x v="19"/>
    <s v="Proyecto operacional"/>
    <s v="Publicado"/>
    <s v="22.12.999"/>
    <x v="20"/>
    <s v="Se requiere la contratación del servicio denominado Residencia Protegida alta complejidad (beneficiarios 10 usuarios) para usuarios/as por un periodo de 24 meses."/>
    <x v="0"/>
    <x v="13"/>
    <n v="4"/>
    <n v="10"/>
    <x v="17"/>
    <x v="33"/>
    <x v="1"/>
    <x v="2"/>
    <x v="12"/>
    <x v="14"/>
    <s v="64-2335813-"/>
    <s v="angelo.palma@redsalud.gob.cl"/>
    <x v="8"/>
    <d v="2025-08-20T00:00:00"/>
    <n v="10"/>
    <s v="1057532-4192-SE25"/>
    <n v="1"/>
    <n v="23725000"/>
    <d v="2026-07-01T00:00:00"/>
    <x v="0"/>
  </r>
  <r>
    <s v="SERVICIO DE SALUD OSORNO"/>
    <x v="0"/>
    <x v="19"/>
    <s v="Proyecto operacional"/>
    <s v="Publicado"/>
    <s v="22.12.999"/>
    <x v="20"/>
    <s v="Se requiere la contratación del servicio denominado Residencia Protegida alta complejidad (beneficiarios 10 usuarios) para usuarios/as por un periodo de 24 meses."/>
    <x v="0"/>
    <x v="13"/>
    <n v="4"/>
    <n v="10"/>
    <x v="17"/>
    <x v="33"/>
    <x v="1"/>
    <x v="2"/>
    <x v="12"/>
    <x v="14"/>
    <s v="64-2335813-"/>
    <s v="angelo.palma@redsalud.gob.cl"/>
    <x v="8"/>
    <d v="2025-08-20T00:00:00"/>
    <n v="10"/>
    <s v="1057532-4347-SE25"/>
    <n v="1"/>
    <n v="23725000"/>
    <d v="2026-05-01T00:00:00"/>
    <x v="0"/>
  </r>
  <r>
    <s v="SERVICIO DE SALUD OSORNO"/>
    <x v="0"/>
    <x v="19"/>
    <s v="Proyecto operacional"/>
    <s v="Publicado"/>
    <s v="22.12.999"/>
    <x v="20"/>
    <s v="Se requiere la contratación del servicio denominado Residencia Protegida alta complejidad (beneficiarios 10 usuarios) para usuarios/as por un periodo de 24 meses."/>
    <x v="0"/>
    <x v="13"/>
    <n v="4"/>
    <n v="10"/>
    <x v="17"/>
    <x v="33"/>
    <x v="1"/>
    <x v="2"/>
    <x v="12"/>
    <x v="14"/>
    <s v="64-2335813-"/>
    <s v="angelo.palma@redsalud.gob.cl"/>
    <x v="8"/>
    <d v="2025-08-20T00:00:00"/>
    <n v="10"/>
    <s v="1057532-4192-SE25"/>
    <n v="1"/>
    <n v="23725000"/>
    <d v="2026-04-01T00:00:00"/>
    <x v="0"/>
  </r>
  <r>
    <s v="SERVICIO DE SALUD OSORNO"/>
    <x v="0"/>
    <x v="19"/>
    <s v="Proyecto operacional"/>
    <s v="Publicado"/>
    <s v="22.12.999"/>
    <x v="20"/>
    <s v="Se requiere la contratación del servicio denominado Residencia Protegida alta complejidad (beneficiarios 10 usuarios) para usuarios/as por un periodo de 24 meses."/>
    <x v="0"/>
    <x v="13"/>
    <n v="4"/>
    <n v="10"/>
    <x v="17"/>
    <x v="33"/>
    <x v="1"/>
    <x v="2"/>
    <x v="12"/>
    <x v="14"/>
    <s v="64-2335813-"/>
    <s v="angelo.palma@redsalud.gob.cl"/>
    <x v="8"/>
    <d v="2025-08-20T00:00:00"/>
    <n v="10"/>
    <s v="1057532-4859-SE25"/>
    <n v="1"/>
    <n v="23725000"/>
    <d v="2026-02-01T00:00:00"/>
    <x v="0"/>
  </r>
  <r>
    <s v="SERVICIO DE SALUD OSORNO"/>
    <x v="0"/>
    <x v="20"/>
    <s v="Proyecto operacional"/>
    <s v="Publicado"/>
    <s v="22.06.005"/>
    <x v="21"/>
    <s v="Dar cobertura a las necesidades de mantención de Equipos Médicos e Industriales de los establecimientos de la Red del Servicio de Salud Osorno."/>
    <x v="2"/>
    <x v="14"/>
    <n v="4"/>
    <n v="100"/>
    <x v="18"/>
    <x v="34"/>
    <x v="6"/>
    <x v="6"/>
    <x v="13"/>
    <x v="15"/>
    <s v="64-2337431-"/>
    <s v="khris.silva@redsalud.gob.cl"/>
    <x v="9"/>
    <d v="2025-08-20T00:00:00"/>
    <n v="0"/>
    <m/>
    <n v="1"/>
    <n v="10400000"/>
    <d v="2026-12-01T00:00:00"/>
    <x v="0"/>
  </r>
  <r>
    <s v="SERVICIO DE SALUD OSORNO"/>
    <x v="0"/>
    <x v="20"/>
    <s v="Proyecto operacional"/>
    <s v="Publicado"/>
    <s v="22.06.005"/>
    <x v="21"/>
    <s v="Dar cobertura a las necesidades de mantención de Equipos Médicos e Industriales de los establecimientos de la Red del Servicio de Salud Osorno."/>
    <x v="2"/>
    <x v="14"/>
    <n v="4"/>
    <n v="100"/>
    <x v="18"/>
    <x v="34"/>
    <x v="6"/>
    <x v="6"/>
    <x v="13"/>
    <x v="15"/>
    <s v="64-2337431-"/>
    <s v="khris.silva@redsalud.gob.cl"/>
    <x v="9"/>
    <d v="2025-08-20T00:00:00"/>
    <n v="0"/>
    <m/>
    <n v="1"/>
    <n v="10400000"/>
    <d v="2026-06-01T00:00:00"/>
    <x v="0"/>
  </r>
  <r>
    <s v="SERVICIO DE SALUD OSORNO"/>
    <x v="0"/>
    <x v="20"/>
    <s v="Proyecto operacional"/>
    <s v="Publicado"/>
    <s v="22.06.005"/>
    <x v="21"/>
    <s v="Dar cobertura a las necesidades de mantención de Equipos Médicos e Industriales de los establecimientos de la Red del Servicio de Salud Osorno."/>
    <x v="2"/>
    <x v="15"/>
    <n v="4"/>
    <n v="100"/>
    <x v="19"/>
    <x v="35"/>
    <x v="7"/>
    <x v="7"/>
    <x v="13"/>
    <x v="15"/>
    <s v="64-2337431-"/>
    <s v="khris.silva@redsalud.gob.cl"/>
    <x v="9"/>
    <d v="2025-08-20T00:00:00"/>
    <n v="0"/>
    <m/>
    <n v="1"/>
    <n v="35950000"/>
    <d v="2026-03-01T00:00:00"/>
    <x v="0"/>
  </r>
  <r>
    <s v="SERVICIO DE SALUD OSORNO"/>
    <x v="0"/>
    <x v="20"/>
    <s v="Proyecto operacional"/>
    <s v="Publicado"/>
    <s v="22.06.005"/>
    <x v="21"/>
    <s v="Dar cobertura a las necesidades de mantención de Equipos Médicos e Industriales de los establecimientos de la Red del Servicio de Salud Osorno."/>
    <x v="2"/>
    <x v="15"/>
    <n v="4"/>
    <n v="100"/>
    <x v="19"/>
    <x v="35"/>
    <x v="7"/>
    <x v="7"/>
    <x v="13"/>
    <x v="15"/>
    <s v="64-2337431-"/>
    <s v="khris.silva@redsalud.gob.cl"/>
    <x v="9"/>
    <d v="2025-08-20T00:00:00"/>
    <n v="0"/>
    <m/>
    <n v="1"/>
    <n v="35950000"/>
    <d v="2026-12-01T00:00:00"/>
    <x v="0"/>
  </r>
  <r>
    <s v="SERVICIO DE SALUD OSORNO"/>
    <x v="0"/>
    <x v="20"/>
    <s v="Proyecto operacional"/>
    <s v="Publicado"/>
    <s v="22.06.005"/>
    <x v="21"/>
    <s v="Dar cobertura a las necesidades de mantención de Equipos Médicos e Industriales de los establecimientos de la Red del Servicio de Salud Osorno."/>
    <x v="2"/>
    <x v="16"/>
    <n v="4"/>
    <n v="100"/>
    <x v="20"/>
    <x v="36"/>
    <x v="8"/>
    <x v="8"/>
    <x v="13"/>
    <x v="15"/>
    <s v="64-2337431-"/>
    <s v="khris.silva@redsalud.gob.cl"/>
    <x v="9"/>
    <d v="2025-08-20T00:00:00"/>
    <n v="0"/>
    <m/>
    <n v="1"/>
    <n v="7000000"/>
    <d v="2026-10-01T00:00:00"/>
    <x v="0"/>
  </r>
  <r>
    <s v="SERVICIO DE SALUD OSORNO"/>
    <x v="0"/>
    <x v="20"/>
    <s v="Proyecto operacional"/>
    <s v="Publicado"/>
    <s v="22.06.005"/>
    <x v="21"/>
    <s v="Dar cobertura a las necesidades de mantención de Equipos Médicos e Industriales de los establecimientos de la Red del Servicio de Salud Osorno."/>
    <x v="2"/>
    <x v="17"/>
    <n v="4"/>
    <n v="100"/>
    <x v="21"/>
    <x v="37"/>
    <x v="8"/>
    <x v="9"/>
    <x v="13"/>
    <x v="15"/>
    <s v="64-2337431-"/>
    <s v="khris.silva@redsalud.gob.cl"/>
    <x v="9"/>
    <d v="2025-08-20T00:00:00"/>
    <n v="0"/>
    <m/>
    <n v="1"/>
    <n v="45150000"/>
    <d v="2026-07-01T00:00:00"/>
    <x v="0"/>
  </r>
  <r>
    <s v="SERVICIO DE SALUD OSORNO"/>
    <x v="0"/>
    <x v="20"/>
    <s v="Proyecto operacional"/>
    <s v="Publicado"/>
    <s v="22.06.005"/>
    <x v="21"/>
    <s v="Dar cobertura a las necesidades de mantención de Equipos Médicos e Industriales de los establecimientos de la Red del Servicio de Salud Osorno."/>
    <x v="2"/>
    <x v="18"/>
    <n v="4"/>
    <n v="100"/>
    <x v="22"/>
    <x v="38"/>
    <x v="7"/>
    <x v="10"/>
    <x v="13"/>
    <x v="15"/>
    <s v="64-2337431-"/>
    <s v="khris.silva@redsalud.gob.cl"/>
    <x v="9"/>
    <d v="2025-08-20T00:00:00"/>
    <n v="0"/>
    <m/>
    <n v="1"/>
    <n v="12410000"/>
    <d v="2026-03-01T00:00:00"/>
    <x v="0"/>
  </r>
  <r>
    <s v="SERVICIO DE SALUD OSORNO"/>
    <x v="0"/>
    <x v="20"/>
    <s v="Proyecto operacional"/>
    <s v="Publicado"/>
    <s v="22.06.005"/>
    <x v="21"/>
    <s v="Dar cobertura a las necesidades de mantención de Equipos Médicos e Industriales de los establecimientos de la Red del Servicio de Salud Osorno."/>
    <x v="2"/>
    <x v="18"/>
    <n v="4"/>
    <n v="100"/>
    <x v="22"/>
    <x v="38"/>
    <x v="7"/>
    <x v="10"/>
    <x v="13"/>
    <x v="15"/>
    <s v="64-2337431-"/>
    <s v="khris.silva@redsalud.gob.cl"/>
    <x v="9"/>
    <d v="2025-08-20T00:00:00"/>
    <n v="0"/>
    <m/>
    <n v="1"/>
    <n v="12410000"/>
    <d v="2026-09-01T00:00:00"/>
    <x v="0"/>
  </r>
  <r>
    <s v="SERVICIO DE SALUD OSORNO"/>
    <x v="0"/>
    <x v="20"/>
    <s v="Proyecto operacional"/>
    <s v="Publicado"/>
    <s v="22.06.005"/>
    <x v="21"/>
    <s v="Dar cobertura a las necesidades de mantención de Equipos Médicos e Industriales de los establecimientos de la Red del Servicio de Salud Osorno."/>
    <x v="2"/>
    <x v="19"/>
    <n v="4"/>
    <n v="100"/>
    <x v="23"/>
    <x v="39"/>
    <x v="9"/>
    <x v="11"/>
    <x v="13"/>
    <x v="15"/>
    <s v="64-2337431-"/>
    <s v="khris.silva@redsalud.gob.cl"/>
    <x v="9"/>
    <d v="2025-08-20T00:00:00"/>
    <n v="0"/>
    <m/>
    <n v="1"/>
    <n v="7733333"/>
    <d v="2026-06-01T00:00:00"/>
    <x v="0"/>
  </r>
  <r>
    <s v="SERVICIO DE SALUD OSORNO"/>
    <x v="0"/>
    <x v="20"/>
    <s v="Proyecto operacional"/>
    <s v="Publicado"/>
    <s v="22.06.005"/>
    <x v="21"/>
    <s v="Dar cobertura a las necesidades de mantención de Equipos Médicos e Industriales de los establecimientos de la Red del Servicio de Salud Osorno."/>
    <x v="2"/>
    <x v="19"/>
    <n v="4"/>
    <n v="100"/>
    <x v="23"/>
    <x v="40"/>
    <x v="9"/>
    <x v="11"/>
    <x v="13"/>
    <x v="15"/>
    <s v="64-2337431-"/>
    <s v="khris.silva@redsalud.gob.cl"/>
    <x v="9"/>
    <d v="2025-08-20T00:00:00"/>
    <n v="0"/>
    <m/>
    <n v="1"/>
    <n v="7733335"/>
    <d v="2026-12-01T00:00:00"/>
    <x v="0"/>
  </r>
  <r>
    <s v="SERVICIO DE SALUD OSORNO"/>
    <x v="0"/>
    <x v="20"/>
    <s v="Proyecto operacional"/>
    <s v="Publicado"/>
    <s v="22.06.005"/>
    <x v="21"/>
    <s v="Dar cobertura a las necesidades de mantención de Equipos Médicos e Industriales de los establecimientos de la Red del Servicio de Salud Osorno."/>
    <x v="2"/>
    <x v="19"/>
    <n v="4"/>
    <n v="100"/>
    <x v="23"/>
    <x v="39"/>
    <x v="9"/>
    <x v="11"/>
    <x v="13"/>
    <x v="15"/>
    <s v="64-2337431-"/>
    <s v="khris.silva@redsalud.gob.cl"/>
    <x v="9"/>
    <d v="2025-08-20T00:00:00"/>
    <n v="0"/>
    <m/>
    <n v="1"/>
    <n v="7733333"/>
    <d v="2026-11-01T00:00:00"/>
    <x v="0"/>
  </r>
  <r>
    <s v="SERVICIO DE SALUD OSORNO"/>
    <x v="0"/>
    <x v="20"/>
    <s v="Proyecto operacional"/>
    <s v="Publicado"/>
    <s v="22.06.005"/>
    <x v="21"/>
    <s v="Dar cobertura a las necesidades de mantención de Equipos Médicos e Industriales de los establecimientos de la Red del Servicio de Salud Osorno."/>
    <x v="2"/>
    <x v="20"/>
    <n v="4"/>
    <n v="100"/>
    <x v="24"/>
    <x v="41"/>
    <x v="7"/>
    <x v="6"/>
    <x v="13"/>
    <x v="15"/>
    <s v="64-2337431-"/>
    <s v="khris.silva@redsalud.gob.cl"/>
    <x v="9"/>
    <d v="2025-08-20T00:00:00"/>
    <n v="0"/>
    <m/>
    <n v="1"/>
    <n v="40750000"/>
    <d v="2026-12-01T00:00:00"/>
    <x v="0"/>
  </r>
  <r>
    <s v="SERVICIO DE SALUD OSORNO"/>
    <x v="0"/>
    <x v="20"/>
    <s v="Proyecto operacional"/>
    <s v="Publicado"/>
    <s v="22.06.005"/>
    <x v="21"/>
    <s v="Dar cobertura a las necesidades de mantención de Equipos Médicos e Industriales de los establecimientos de la Red del Servicio de Salud Osorno."/>
    <x v="2"/>
    <x v="20"/>
    <n v="4"/>
    <n v="100"/>
    <x v="24"/>
    <x v="41"/>
    <x v="7"/>
    <x v="6"/>
    <x v="13"/>
    <x v="15"/>
    <s v="64-2337431-"/>
    <s v="khris.silva@redsalud.gob.cl"/>
    <x v="9"/>
    <d v="2025-08-20T00:00:00"/>
    <n v="0"/>
    <m/>
    <n v="1"/>
    <n v="40750000"/>
    <d v="2026-06-01T00:00:00"/>
    <x v="0"/>
  </r>
  <r>
    <s v="SERVICIO DE SALUD OSORNO"/>
    <x v="0"/>
    <x v="20"/>
    <s v="Proyecto operacional"/>
    <s v="Publicado"/>
    <s v="22.06.005"/>
    <x v="21"/>
    <s v="Dar cobertura a las necesidades de mantención de Equipos Médicos e Industriales de los establecimientos de la Red del Servicio de Salud Osorno."/>
    <x v="2"/>
    <x v="21"/>
    <n v="4"/>
    <n v="100"/>
    <x v="25"/>
    <x v="42"/>
    <x v="10"/>
    <x v="12"/>
    <x v="13"/>
    <x v="15"/>
    <s v="64-2337431-"/>
    <s v="khris.silva@redsalud.gob.cl"/>
    <x v="9"/>
    <d v="2025-08-20T00:00:00"/>
    <n v="1"/>
    <s v="1057532-5462-SE25"/>
    <n v="1"/>
    <n v="3487500"/>
    <d v="2026-08-01T00:00:00"/>
    <x v="0"/>
  </r>
  <r>
    <s v="SERVICIO DE SALUD OSORNO"/>
    <x v="0"/>
    <x v="20"/>
    <s v="Proyecto operacional"/>
    <s v="Publicado"/>
    <s v="22.06.005"/>
    <x v="21"/>
    <s v="Dar cobertura a las necesidades de mantención de Equipos Médicos e Industriales de los establecimientos de la Red del Servicio de Salud Osorno."/>
    <x v="2"/>
    <x v="21"/>
    <n v="4"/>
    <n v="100"/>
    <x v="25"/>
    <x v="42"/>
    <x v="10"/>
    <x v="12"/>
    <x v="13"/>
    <x v="15"/>
    <s v="64-2337431-"/>
    <s v="khris.silva@redsalud.gob.cl"/>
    <x v="9"/>
    <d v="2025-08-20T00:00:00"/>
    <n v="1"/>
    <s v="1057532-5462-SE25"/>
    <n v="1"/>
    <n v="3487500"/>
    <d v="2026-05-01T00:00:00"/>
    <x v="0"/>
  </r>
  <r>
    <s v="SERVICIO DE SALUD OSORNO"/>
    <x v="0"/>
    <x v="20"/>
    <s v="Proyecto operacional"/>
    <s v="Publicado"/>
    <s v="22.06.005"/>
    <x v="21"/>
    <s v="Dar cobertura a las necesidades de mantención de Equipos Médicos e Industriales de los establecimientos de la Red del Servicio de Salud Osorno."/>
    <x v="2"/>
    <x v="21"/>
    <n v="4"/>
    <n v="100"/>
    <x v="25"/>
    <x v="42"/>
    <x v="10"/>
    <x v="12"/>
    <x v="13"/>
    <x v="15"/>
    <s v="64-2337431-"/>
    <s v="khris.silva@redsalud.gob.cl"/>
    <x v="9"/>
    <d v="2025-08-20T00:00:00"/>
    <n v="1"/>
    <s v="1057532-5462-SE25"/>
    <n v="1"/>
    <n v="3487500"/>
    <d v="2026-04-01T00:00:00"/>
    <x v="0"/>
  </r>
  <r>
    <s v="SERVICIO DE SALUD OSORNO"/>
    <x v="0"/>
    <x v="20"/>
    <s v="Proyecto operacional"/>
    <s v="Publicado"/>
    <s v="22.06.005"/>
    <x v="21"/>
    <s v="Dar cobertura a las necesidades de mantención de Equipos Médicos e Industriales de los establecimientos de la Red del Servicio de Salud Osorno."/>
    <x v="2"/>
    <x v="21"/>
    <n v="4"/>
    <n v="100"/>
    <x v="25"/>
    <x v="42"/>
    <x v="10"/>
    <x v="12"/>
    <x v="13"/>
    <x v="15"/>
    <s v="64-2337431-"/>
    <s v="khris.silva@redsalud.gob.cl"/>
    <x v="9"/>
    <d v="2025-08-20T00:00:00"/>
    <n v="1"/>
    <s v="1057532-5462-SE25"/>
    <n v="1"/>
    <n v="3487500"/>
    <d v="2026-10-01T00:00:00"/>
    <x v="0"/>
  </r>
  <r>
    <s v="SERVICIO DE SALUD OSORNO"/>
    <x v="0"/>
    <x v="20"/>
    <s v="Proyecto operacional"/>
    <s v="Publicado"/>
    <s v="22.06.005"/>
    <x v="21"/>
    <s v="Dar cobertura a las necesidades de mantención de Equipos Médicos e Industriales de los establecimientos de la Red del Servicio de Salud Osorno."/>
    <x v="2"/>
    <x v="22"/>
    <n v="4"/>
    <n v="100"/>
    <x v="26"/>
    <x v="43"/>
    <x v="10"/>
    <x v="13"/>
    <x v="13"/>
    <x v="15"/>
    <s v="64-2337431-"/>
    <s v="khris.silva@redsalud.gob.cl"/>
    <x v="9"/>
    <d v="2025-08-20T00:00:00"/>
    <n v="0"/>
    <m/>
    <n v="1"/>
    <n v="11450000"/>
    <d v="2026-08-01T00:00:00"/>
    <x v="0"/>
  </r>
  <r>
    <s v="SERVICIO DE SALUD OSORNO"/>
    <x v="0"/>
    <x v="20"/>
    <s v="Proyecto operacional"/>
    <s v="Publicado"/>
    <s v="22.06.005"/>
    <x v="21"/>
    <s v="Dar cobertura a las necesidades de mantención de Equipos Médicos e Industriales de los establecimientos de la Red del Servicio de Salud Osorno."/>
    <x v="2"/>
    <x v="22"/>
    <n v="4"/>
    <n v="100"/>
    <x v="26"/>
    <x v="43"/>
    <x v="10"/>
    <x v="13"/>
    <x v="13"/>
    <x v="15"/>
    <s v="64-2337431-"/>
    <s v="khris.silva@redsalud.gob.cl"/>
    <x v="9"/>
    <d v="2025-08-20T00:00:00"/>
    <n v="0"/>
    <m/>
    <n v="1"/>
    <n v="11450000"/>
    <d v="2026-02-01T00:00:00"/>
    <x v="0"/>
  </r>
  <r>
    <s v="SERVICIO DE SALUD OSORNO"/>
    <x v="0"/>
    <x v="20"/>
    <s v="Proyecto operacional"/>
    <s v="Publicado"/>
    <s v="22.06.005"/>
    <x v="21"/>
    <s v="Dar cobertura a las necesidades de mantención de Equipos Médicos e Industriales de los establecimientos de la Red del Servicio de Salud Osorno."/>
    <x v="2"/>
    <x v="22"/>
    <n v="4"/>
    <n v="100"/>
    <x v="26"/>
    <x v="43"/>
    <x v="10"/>
    <x v="13"/>
    <x v="13"/>
    <x v="15"/>
    <s v="64-2337431-"/>
    <s v="khris.silva@redsalud.gob.cl"/>
    <x v="9"/>
    <d v="2025-08-20T00:00:00"/>
    <n v="0"/>
    <m/>
    <n v="1"/>
    <n v="11450000"/>
    <d v="2026-05-01T00:00:00"/>
    <x v="0"/>
  </r>
  <r>
    <s v="SERVICIO DE SALUD OSORNO"/>
    <x v="0"/>
    <x v="20"/>
    <s v="Proyecto operacional"/>
    <s v="Publicado"/>
    <s v="22.06.005"/>
    <x v="21"/>
    <s v="Dar cobertura a las necesidades de mantención de Equipos Médicos e Industriales de los establecimientos de la Red del Servicio de Salud Osorno."/>
    <x v="2"/>
    <x v="22"/>
    <n v="4"/>
    <n v="100"/>
    <x v="26"/>
    <x v="43"/>
    <x v="10"/>
    <x v="13"/>
    <x v="13"/>
    <x v="15"/>
    <s v="64-2337431-"/>
    <s v="khris.silva@redsalud.gob.cl"/>
    <x v="9"/>
    <d v="2025-08-20T00:00:00"/>
    <n v="0"/>
    <m/>
    <n v="1"/>
    <n v="11450000"/>
    <d v="2026-11-01T00:00:00"/>
    <x v="0"/>
  </r>
  <r>
    <s v="SERVICIO DE SALUD OSORNO"/>
    <x v="0"/>
    <x v="20"/>
    <s v="Proyecto operacional"/>
    <s v="Publicado"/>
    <s v="22.06.005"/>
    <x v="21"/>
    <s v="Dar cobertura a las necesidades de mantención de Equipos Médicos e Industriales de los establecimientos de la Red del Servicio de Salud Osorno."/>
    <x v="2"/>
    <x v="23"/>
    <n v="4"/>
    <n v="100"/>
    <x v="27"/>
    <x v="44"/>
    <x v="1"/>
    <x v="14"/>
    <x v="13"/>
    <x v="15"/>
    <s v="64-2337431-"/>
    <s v="khris.silva@redsalud.gob.cl"/>
    <x v="9"/>
    <d v="2025-08-20T00:00:00"/>
    <n v="2"/>
    <s v="1057532-4799-AG25"/>
    <n v="1"/>
    <n v="1773333"/>
    <d v="2026-08-01T00:00:00"/>
    <x v="0"/>
  </r>
  <r>
    <s v="SERVICIO DE SALUD OSORNO"/>
    <x v="0"/>
    <x v="20"/>
    <s v="Proyecto operacional"/>
    <s v="Publicado"/>
    <s v="22.06.005"/>
    <x v="21"/>
    <s v="Dar cobertura a las necesidades de mantención de Equipos Médicos e Industriales de los establecimientos de la Red del Servicio de Salud Osorno."/>
    <x v="2"/>
    <x v="23"/>
    <n v="4"/>
    <n v="100"/>
    <x v="27"/>
    <x v="44"/>
    <x v="1"/>
    <x v="14"/>
    <x v="13"/>
    <x v="15"/>
    <s v="64-2337431-"/>
    <s v="khris.silva@redsalud.gob.cl"/>
    <x v="9"/>
    <d v="2025-08-20T00:00:00"/>
    <n v="2"/>
    <s v="1057532-5363-AG25"/>
    <n v="1"/>
    <n v="1773333"/>
    <d v="2026-01-01T00:00:00"/>
    <x v="0"/>
  </r>
  <r>
    <s v="SERVICIO DE SALUD OSORNO"/>
    <x v="0"/>
    <x v="20"/>
    <s v="Proyecto operacional"/>
    <s v="Publicado"/>
    <s v="22.06.005"/>
    <x v="21"/>
    <s v="Dar cobertura a las necesidades de mantención de Equipos Médicos e Industriales de los establecimientos de la Red del Servicio de Salud Osorno."/>
    <x v="2"/>
    <x v="23"/>
    <n v="4"/>
    <n v="100"/>
    <x v="27"/>
    <x v="44"/>
    <x v="1"/>
    <x v="14"/>
    <x v="13"/>
    <x v="15"/>
    <s v="64-2337431-"/>
    <s v="khris.silva@redsalud.gob.cl"/>
    <x v="9"/>
    <d v="2025-08-20T00:00:00"/>
    <n v="2"/>
    <s v="1057532-5363-AG25"/>
    <n v="1"/>
    <n v="1773333"/>
    <d v="2026-04-01T00:00:00"/>
    <x v="0"/>
  </r>
  <r>
    <s v="SERVICIO DE SALUD OSORNO"/>
    <x v="0"/>
    <x v="20"/>
    <s v="Proyecto operacional"/>
    <s v="Publicado"/>
    <s v="22.06.005"/>
    <x v="21"/>
    <s v="Dar cobertura a las necesidades de mantención de Equipos Médicos e Industriales de los establecimientos de la Red del Servicio de Salud Osorno."/>
    <x v="2"/>
    <x v="23"/>
    <n v="4"/>
    <n v="100"/>
    <x v="27"/>
    <x v="44"/>
    <x v="1"/>
    <x v="14"/>
    <x v="13"/>
    <x v="15"/>
    <s v="64-2337431-"/>
    <s v="khris.silva@redsalud.gob.cl"/>
    <x v="9"/>
    <d v="2025-08-20T00:00:00"/>
    <n v="2"/>
    <s v="1057532-5363-AG25"/>
    <n v="1"/>
    <n v="1773333"/>
    <d v="2026-02-01T00:00:00"/>
    <x v="0"/>
  </r>
  <r>
    <s v="SERVICIO DE SALUD OSORNO"/>
    <x v="0"/>
    <x v="20"/>
    <s v="Proyecto operacional"/>
    <s v="Publicado"/>
    <s v="22.06.005"/>
    <x v="21"/>
    <s v="Dar cobertura a las necesidades de mantención de Equipos Médicos e Industriales de los establecimientos de la Red del Servicio de Salud Osorno."/>
    <x v="2"/>
    <x v="23"/>
    <n v="4"/>
    <n v="100"/>
    <x v="27"/>
    <x v="44"/>
    <x v="1"/>
    <x v="14"/>
    <x v="13"/>
    <x v="15"/>
    <s v="64-2337431-"/>
    <s v="khris.silva@redsalud.gob.cl"/>
    <x v="9"/>
    <d v="2025-08-20T00:00:00"/>
    <n v="2"/>
    <s v="1057532-5363-AG25"/>
    <n v="1"/>
    <n v="1773333"/>
    <d v="2026-06-01T00:00:00"/>
    <x v="0"/>
  </r>
  <r>
    <s v="SERVICIO DE SALUD OSORNO"/>
    <x v="0"/>
    <x v="20"/>
    <s v="Proyecto operacional"/>
    <s v="Publicado"/>
    <s v="22.06.005"/>
    <x v="21"/>
    <s v="Dar cobertura a las necesidades de mantención de Equipos Médicos e Industriales de los establecimientos de la Red del Servicio de Salud Osorno."/>
    <x v="2"/>
    <x v="23"/>
    <n v="4"/>
    <n v="100"/>
    <x v="27"/>
    <x v="44"/>
    <x v="1"/>
    <x v="14"/>
    <x v="13"/>
    <x v="15"/>
    <s v="64-2337431-"/>
    <s v="khris.silva@redsalud.gob.cl"/>
    <x v="9"/>
    <d v="2025-08-20T00:00:00"/>
    <n v="2"/>
    <s v="1057532-4799-AG25"/>
    <n v="1"/>
    <n v="1773333"/>
    <d v="2026-03-01T00:00:00"/>
    <x v="0"/>
  </r>
  <r>
    <s v="SERVICIO DE SALUD OSORNO"/>
    <x v="0"/>
    <x v="20"/>
    <s v="Proyecto operacional"/>
    <s v="Publicado"/>
    <s v="22.06.005"/>
    <x v="21"/>
    <s v="Dar cobertura a las necesidades de mantención de Equipos Médicos e Industriales de los establecimientos de la Red del Servicio de Salud Osorno."/>
    <x v="2"/>
    <x v="23"/>
    <n v="4"/>
    <n v="100"/>
    <x v="27"/>
    <x v="44"/>
    <x v="1"/>
    <x v="14"/>
    <x v="13"/>
    <x v="15"/>
    <s v="64-2337431-"/>
    <s v="khris.silva@redsalud.gob.cl"/>
    <x v="9"/>
    <d v="2025-08-20T00:00:00"/>
    <n v="2"/>
    <s v="1057532-4799-AG25"/>
    <n v="1"/>
    <n v="1773333"/>
    <d v="2026-07-01T00:00:00"/>
    <x v="0"/>
  </r>
  <r>
    <s v="SERVICIO DE SALUD OSORNO"/>
    <x v="0"/>
    <x v="20"/>
    <s v="Proyecto operacional"/>
    <s v="Publicado"/>
    <s v="22.06.005"/>
    <x v="21"/>
    <s v="Dar cobertura a las necesidades de mantención de Equipos Médicos e Industriales de los establecimientos de la Red del Servicio de Salud Osorno."/>
    <x v="2"/>
    <x v="23"/>
    <n v="4"/>
    <n v="100"/>
    <x v="27"/>
    <x v="44"/>
    <x v="1"/>
    <x v="14"/>
    <x v="13"/>
    <x v="15"/>
    <s v="64-2337431-"/>
    <s v="khris.silva@redsalud.gob.cl"/>
    <x v="9"/>
    <d v="2025-08-20T00:00:00"/>
    <n v="2"/>
    <s v="1057532-4799-AG25"/>
    <n v="1"/>
    <n v="1773333"/>
    <d v="2026-01-01T00:00:00"/>
    <x v="0"/>
  </r>
  <r>
    <s v="SERVICIO DE SALUD OSORNO"/>
    <x v="0"/>
    <x v="20"/>
    <s v="Proyecto operacional"/>
    <s v="Publicado"/>
    <s v="22.06.005"/>
    <x v="21"/>
    <s v="Dar cobertura a las necesidades de mantención de Equipos Médicos e Industriales de los establecimientos de la Red del Servicio de Salud Osorno."/>
    <x v="2"/>
    <x v="23"/>
    <n v="4"/>
    <n v="100"/>
    <x v="27"/>
    <x v="44"/>
    <x v="1"/>
    <x v="14"/>
    <x v="13"/>
    <x v="15"/>
    <s v="64-2337431-"/>
    <s v="khris.silva@redsalud.gob.cl"/>
    <x v="9"/>
    <d v="2025-08-20T00:00:00"/>
    <n v="2"/>
    <s v="1057532-4799-AG25"/>
    <n v="1"/>
    <n v="1773333"/>
    <d v="2026-05-01T00:00:00"/>
    <x v="0"/>
  </r>
  <r>
    <s v="SERVICIO DE SALUD OSORNO"/>
    <x v="0"/>
    <x v="20"/>
    <s v="Proyecto operacional"/>
    <s v="Publicado"/>
    <s v="22.06.005"/>
    <x v="21"/>
    <s v="Dar cobertura a las necesidades de mantención de Equipos Médicos e Industriales de los establecimientos de la Red del Servicio de Salud Osorno."/>
    <x v="2"/>
    <x v="23"/>
    <n v="4"/>
    <n v="100"/>
    <x v="27"/>
    <x v="44"/>
    <x v="1"/>
    <x v="14"/>
    <x v="13"/>
    <x v="15"/>
    <s v="64-2337431-"/>
    <s v="khris.silva@redsalud.gob.cl"/>
    <x v="9"/>
    <d v="2025-08-20T00:00:00"/>
    <n v="2"/>
    <s v="1057532-4799-AG25"/>
    <n v="1"/>
    <n v="1773333"/>
    <d v="2026-06-01T00:00:00"/>
    <x v="0"/>
  </r>
  <r>
    <s v="SERVICIO DE SALUD OSORNO"/>
    <x v="0"/>
    <x v="20"/>
    <s v="Proyecto operacional"/>
    <s v="Publicado"/>
    <s v="22.06.005"/>
    <x v="21"/>
    <s v="Dar cobertura a las necesidades de mantención de Equipos Médicos e Industriales de los establecimientos de la Red del Servicio de Salud Osorno."/>
    <x v="2"/>
    <x v="23"/>
    <n v="4"/>
    <n v="100"/>
    <x v="27"/>
    <x v="44"/>
    <x v="1"/>
    <x v="14"/>
    <x v="13"/>
    <x v="15"/>
    <s v="64-2337431-"/>
    <s v="khris.silva@redsalud.gob.cl"/>
    <x v="9"/>
    <d v="2025-08-20T00:00:00"/>
    <n v="2"/>
    <s v="1057532-4799-AG25"/>
    <n v="1"/>
    <n v="1773333"/>
    <d v="2026-12-01T00:00:00"/>
    <x v="0"/>
  </r>
  <r>
    <s v="SERVICIO DE SALUD OSORNO"/>
    <x v="0"/>
    <x v="20"/>
    <s v="Proyecto operacional"/>
    <s v="Publicado"/>
    <s v="22.06.005"/>
    <x v="21"/>
    <s v="Dar cobertura a las necesidades de mantención de Equipos Médicos e Industriales de los establecimientos de la Red del Servicio de Salud Osorno."/>
    <x v="2"/>
    <x v="23"/>
    <n v="4"/>
    <n v="100"/>
    <x v="27"/>
    <x v="44"/>
    <x v="1"/>
    <x v="14"/>
    <x v="13"/>
    <x v="15"/>
    <s v="64-2337431-"/>
    <s v="khris.silva@redsalud.gob.cl"/>
    <x v="9"/>
    <d v="2025-08-20T00:00:00"/>
    <n v="2"/>
    <s v="1057532-4799-AG25"/>
    <n v="1"/>
    <n v="1773333"/>
    <d v="2026-04-01T00:00:00"/>
    <x v="0"/>
  </r>
  <r>
    <s v="SERVICIO DE SALUD OSORNO"/>
    <x v="0"/>
    <x v="20"/>
    <s v="Proyecto operacional"/>
    <s v="Publicado"/>
    <s v="22.06.005"/>
    <x v="21"/>
    <s v="Dar cobertura a las necesidades de mantención de Equipos Médicos e Industriales de los establecimientos de la Red del Servicio de Salud Osorno."/>
    <x v="2"/>
    <x v="24"/>
    <n v="4"/>
    <n v="100"/>
    <x v="28"/>
    <x v="45"/>
    <x v="8"/>
    <x v="15"/>
    <x v="13"/>
    <x v="15"/>
    <s v="64-2337431-"/>
    <s v="khris.silva@redsalud.gob.cl"/>
    <x v="10"/>
    <d v="2025-08-20T00:00:00"/>
    <n v="1"/>
    <s v="1057532-4785-AG25"/>
    <n v="1"/>
    <n v="225000"/>
    <d v="2026-03-01T00:00:00"/>
    <x v="0"/>
  </r>
  <r>
    <s v="SERVICIO DE SALUD OSORNO"/>
    <x v="0"/>
    <x v="21"/>
    <s v="Proyecto estratégico"/>
    <s v="Publicado"/>
    <s v="22.04.004"/>
    <x v="22"/>
    <s v="Abril 2025. Convenio de suministro a iniciar en abril 2025 con duración de 2 años calendario para licitar listado de 353 productos de los arsenales farmacológicos de la Red que se envian en archivo adjunto para efectos de licitación."/>
    <x v="1"/>
    <x v="25"/>
    <n v="4"/>
    <n v="1"/>
    <x v="29"/>
    <x v="46"/>
    <x v="1"/>
    <x v="16"/>
    <x v="14"/>
    <x v="16"/>
    <s v="64-335811-"/>
    <s v="eleuterio.roman@redsalud.gob.cl"/>
    <x v="11"/>
    <d v="2025-08-20T00:00:00"/>
    <n v="12"/>
    <s v="1057532-5204-SE25"/>
    <n v="1"/>
    <n v="6250000"/>
    <d v="2026-09-01T00:00:00"/>
    <x v="0"/>
  </r>
  <r>
    <s v="SERVICIO DE SALUD OSORNO"/>
    <x v="0"/>
    <x v="21"/>
    <s v="Proyecto estratégico"/>
    <s v="Publicado"/>
    <s v="22.04.004"/>
    <x v="22"/>
    <s v="Abril 2025. Convenio de suministro a iniciar en abril 2025 con duración de 2 años calendario para licitar listado de 353 productos de los arsenales farmacológicos de la Red que se envian en archivo adjunto para efectos de licitación."/>
    <x v="1"/>
    <x v="25"/>
    <n v="4"/>
    <n v="1"/>
    <x v="29"/>
    <x v="46"/>
    <x v="1"/>
    <x v="16"/>
    <x v="14"/>
    <x v="16"/>
    <s v="64-335811-"/>
    <s v="eleuterio.roman@redsalud.gob.cl"/>
    <x v="11"/>
    <d v="2025-08-20T00:00:00"/>
    <n v="12"/>
    <s v="1057532-5140-SE25"/>
    <n v="1"/>
    <n v="6250000"/>
    <d v="2026-01-01T00:00:00"/>
    <x v="0"/>
  </r>
  <r>
    <s v="SERVICIO DE SALUD OSORNO"/>
    <x v="0"/>
    <x v="21"/>
    <s v="Proyecto estratégico"/>
    <s v="Publicado"/>
    <s v="22.04.004"/>
    <x v="22"/>
    <s v="Abril 2025. Convenio de suministro a iniciar en abril 2025 con duración de 2 años calendario para licitar listado de 353 productos de los arsenales farmacológicos de la Red que se envian en archivo adjunto para efectos de licitación."/>
    <x v="1"/>
    <x v="25"/>
    <n v="4"/>
    <n v="1"/>
    <x v="29"/>
    <x v="46"/>
    <x v="1"/>
    <x v="16"/>
    <x v="14"/>
    <x v="16"/>
    <s v="64-335811-"/>
    <s v="eleuterio.roman@redsalud.gob.cl"/>
    <x v="11"/>
    <d v="2025-08-20T00:00:00"/>
    <n v="12"/>
    <s v="1057532-5140-SE25"/>
    <n v="1"/>
    <n v="6250000"/>
    <d v="2026-08-01T00:00:00"/>
    <x v="0"/>
  </r>
  <r>
    <s v="SERVICIO DE SALUD OSORNO"/>
    <x v="0"/>
    <x v="21"/>
    <s v="Proyecto estratégico"/>
    <s v="Publicado"/>
    <s v="22.04.004"/>
    <x v="22"/>
    <s v="Abril 2025. Convenio de suministro a iniciar en abril 2025 con duración de 2 años calendario para licitar listado de 353 productos de los arsenales farmacológicos de la Red que se envian en archivo adjunto para efectos de licitación."/>
    <x v="1"/>
    <x v="25"/>
    <n v="4"/>
    <n v="1"/>
    <x v="29"/>
    <x v="46"/>
    <x v="1"/>
    <x v="16"/>
    <x v="14"/>
    <x v="16"/>
    <s v="64-335811-"/>
    <s v="eleuterio.roman@redsalud.gob.cl"/>
    <x v="11"/>
    <d v="2025-08-20T00:00:00"/>
    <n v="12"/>
    <s v="1057532-5140-SE25"/>
    <n v="1"/>
    <n v="6250000"/>
    <d v="2026-07-01T00:00:00"/>
    <x v="0"/>
  </r>
  <r>
    <s v="SERVICIO DE SALUD OSORNO"/>
    <x v="0"/>
    <x v="21"/>
    <s v="Proyecto estratégico"/>
    <s v="Publicado"/>
    <s v="22.04.004"/>
    <x v="22"/>
    <s v="Abril 2025. Convenio de suministro a iniciar en abril 2025 con duración de 2 años calendario para licitar listado de 353 productos de los arsenales farmacológicos de la Red que se envian en archivo adjunto para efectos de licitación."/>
    <x v="1"/>
    <x v="25"/>
    <n v="4"/>
    <n v="1"/>
    <x v="29"/>
    <x v="46"/>
    <x v="1"/>
    <x v="16"/>
    <x v="14"/>
    <x v="16"/>
    <s v="64-335811-"/>
    <s v="eleuterio.roman@redsalud.gob.cl"/>
    <x v="11"/>
    <d v="2025-08-20T00:00:00"/>
    <n v="12"/>
    <s v="1057532-5140-SE25"/>
    <n v="1"/>
    <n v="6250000"/>
    <d v="2026-02-01T00:00:00"/>
    <x v="0"/>
  </r>
  <r>
    <s v="SERVICIO DE SALUD OSORNO"/>
    <x v="0"/>
    <x v="21"/>
    <s v="Proyecto estratégico"/>
    <s v="Publicado"/>
    <s v="22.04.004"/>
    <x v="22"/>
    <s v="Abril 2025. Convenio de suministro a iniciar en abril 2025 con duración de 2 años calendario para licitar listado de 353 productos de los arsenales farmacológicos de la Red que se envian en archivo adjunto para efectos de licitación."/>
    <x v="1"/>
    <x v="25"/>
    <n v="4"/>
    <n v="1"/>
    <x v="29"/>
    <x v="46"/>
    <x v="1"/>
    <x v="16"/>
    <x v="14"/>
    <x v="16"/>
    <s v="64-335811-"/>
    <s v="eleuterio.roman@redsalud.gob.cl"/>
    <x v="11"/>
    <d v="2025-08-20T00:00:00"/>
    <n v="12"/>
    <s v="1057532-5140-SE25"/>
    <n v="1"/>
    <n v="6250000"/>
    <d v="2026-05-01T00:00:00"/>
    <x v="0"/>
  </r>
  <r>
    <s v="SERVICIO DE SALUD OSORNO"/>
    <x v="0"/>
    <x v="21"/>
    <s v="Proyecto estratégico"/>
    <s v="Publicado"/>
    <s v="22.04.004"/>
    <x v="22"/>
    <s v="Abril 2025. Convenio de suministro a iniciar en abril 2025 con duración de 2 años calendario para licitar listado de 353 productos de los arsenales farmacológicos de la Red que se envian en archivo adjunto para efectos de licitación."/>
    <x v="1"/>
    <x v="25"/>
    <n v="4"/>
    <n v="1"/>
    <x v="29"/>
    <x v="46"/>
    <x v="1"/>
    <x v="16"/>
    <x v="14"/>
    <x v="16"/>
    <s v="64-335811-"/>
    <s v="eleuterio.roman@redsalud.gob.cl"/>
    <x v="11"/>
    <d v="2025-08-20T00:00:00"/>
    <n v="12"/>
    <s v="1057532-5140-SE25"/>
    <n v="1"/>
    <n v="6250000"/>
    <d v="2026-03-01T00:00:00"/>
    <x v="0"/>
  </r>
  <r>
    <s v="SERVICIO DE SALUD OSORNO"/>
    <x v="0"/>
    <x v="21"/>
    <s v="Proyecto estratégico"/>
    <s v="Publicado"/>
    <s v="22.04.004"/>
    <x v="22"/>
    <s v="Abril 2025. Convenio de suministro a iniciar en abril 2025 con duración de 2 años calendario para licitar listado de 353 productos de los arsenales farmacológicos de la Red que se envian en archivo adjunto para efectos de licitación."/>
    <x v="1"/>
    <x v="25"/>
    <n v="4"/>
    <n v="1"/>
    <x v="29"/>
    <x v="46"/>
    <x v="1"/>
    <x v="16"/>
    <x v="14"/>
    <x v="16"/>
    <s v="64-335811-"/>
    <s v="eleuterio.roman@redsalud.gob.cl"/>
    <x v="11"/>
    <d v="2025-08-20T00:00:00"/>
    <n v="12"/>
    <s v="1057532-5142-SE25"/>
    <n v="1"/>
    <n v="6250000"/>
    <d v="2026-05-01T00:00:00"/>
    <x v="0"/>
  </r>
  <r>
    <s v="SERVICIO DE SALUD OSORNO"/>
    <x v="0"/>
    <x v="21"/>
    <s v="Proyecto estratégico"/>
    <s v="Publicado"/>
    <s v="22.04.004"/>
    <x v="22"/>
    <s v="Abril 2025. Convenio de suministro a iniciar en abril 2025 con duración de 2 años calendario para licitar listado de 353 productos de los arsenales farmacológicos de la Red que se envian en archivo adjunto para efectos de licitación."/>
    <x v="1"/>
    <x v="25"/>
    <n v="4"/>
    <n v="1"/>
    <x v="29"/>
    <x v="46"/>
    <x v="1"/>
    <x v="16"/>
    <x v="14"/>
    <x v="16"/>
    <s v="64-335811-"/>
    <s v="eleuterio.roman@redsalud.gob.cl"/>
    <x v="11"/>
    <d v="2025-08-20T00:00:00"/>
    <n v="12"/>
    <s v="1057532-5148-SE25"/>
    <n v="1"/>
    <n v="6250000"/>
    <d v="2026-03-01T00:00:00"/>
    <x v="0"/>
  </r>
  <r>
    <s v="SERVICIO DE SALUD OSORNO"/>
    <x v="0"/>
    <x v="21"/>
    <s v="Proyecto estratégico"/>
    <s v="Publicado"/>
    <s v="22.04.004"/>
    <x v="22"/>
    <s v="Abril 2025. Convenio de suministro a iniciar en abril 2025 con duración de 2 años calendario para licitar listado de 353 productos de los arsenales farmacológicos de la Red que se envian en archivo adjunto para efectos de licitación."/>
    <x v="1"/>
    <x v="25"/>
    <n v="4"/>
    <n v="1"/>
    <x v="29"/>
    <x v="46"/>
    <x v="1"/>
    <x v="16"/>
    <x v="14"/>
    <x v="16"/>
    <s v="64-335811-"/>
    <s v="eleuterio.roman@redsalud.gob.cl"/>
    <x v="11"/>
    <d v="2025-08-20T00:00:00"/>
    <n v="12"/>
    <s v="1057532-5204-SE25"/>
    <n v="1"/>
    <n v="6250000"/>
    <d v="2026-08-01T00:00:00"/>
    <x v="0"/>
  </r>
  <r>
    <s v="SERVICIO DE SALUD OSORNO"/>
    <x v="0"/>
    <x v="21"/>
    <s v="Proyecto estratégico"/>
    <s v="Publicado"/>
    <s v="22.04.004"/>
    <x v="22"/>
    <s v="Abril 2025. Convenio de suministro a iniciar en abril 2025 con duración de 2 años calendario para licitar listado de 353 productos de los arsenales farmacológicos de la Red que se envian en archivo adjunto para efectos de licitación."/>
    <x v="1"/>
    <x v="25"/>
    <n v="4"/>
    <n v="1"/>
    <x v="29"/>
    <x v="46"/>
    <x v="1"/>
    <x v="16"/>
    <x v="14"/>
    <x v="16"/>
    <s v="64-335811-"/>
    <s v="eleuterio.roman@redsalud.gob.cl"/>
    <x v="11"/>
    <d v="2025-08-20T00:00:00"/>
    <n v="12"/>
    <s v="1057532-5204-SE25"/>
    <n v="1"/>
    <n v="6250000"/>
    <d v="2026-06-01T00:00:00"/>
    <x v="0"/>
  </r>
  <r>
    <s v="SERVICIO DE SALUD OSORNO"/>
    <x v="0"/>
    <x v="21"/>
    <s v="Proyecto estratégico"/>
    <s v="Publicado"/>
    <s v="22.04.004"/>
    <x v="22"/>
    <s v="Abril 2025. Convenio de suministro a iniciar en abril 2025 con duración de 2 años calendario para licitar listado de 353 productos de los arsenales farmacológicos de la Red que se envian en archivo adjunto para efectos de licitación."/>
    <x v="1"/>
    <x v="25"/>
    <n v="4"/>
    <n v="1"/>
    <x v="29"/>
    <x v="46"/>
    <x v="1"/>
    <x v="16"/>
    <x v="14"/>
    <x v="16"/>
    <s v="64-335811-"/>
    <s v="eleuterio.roman@redsalud.gob.cl"/>
    <x v="11"/>
    <d v="2025-08-20T00:00:00"/>
    <n v="12"/>
    <s v="1057532-5140-SE25"/>
    <n v="1"/>
    <n v="6250000"/>
    <d v="2026-04-01T00:00:00"/>
    <x v="0"/>
  </r>
  <r>
    <s v="SERVICIO DE SALUD OSORNO"/>
    <x v="0"/>
    <x v="22"/>
    <s v="Proyecto operacional"/>
    <s v="Publicado"/>
    <s v="22.04.005.003"/>
    <x v="23"/>
    <s v="Proveer desde el 01-07-2025 al 31-12-2026 al Edificio Institucional de la Dirección del Servicio de Salud Osorno, Edificio Institucional Manuel Rodriguez, Base SAMU Oriente y Base SAMU Rahue Alto del servicio de aseo y mantención de pisos, oficinas, baños, pasillos, ventanas, persianas, áreas generales y comunes, entre otras, de las dependencias en general, su infraestructura, equipos y demás bienes del establecimiento, según corresponda a las necesidades de cada establecimiento e instrucciones del referente del mismo."/>
    <x v="1"/>
    <x v="12"/>
    <n v="4"/>
    <n v="1"/>
    <x v="30"/>
    <x v="47"/>
    <x v="5"/>
    <x v="5"/>
    <x v="9"/>
    <x v="17"/>
    <s v="64-337381-"/>
    <s v="lorena.torresc@redsalud.gob.cl"/>
    <x v="12"/>
    <d v="2025-08-20T00:00:00"/>
    <n v="0"/>
    <m/>
    <n v="1"/>
    <n v="12000000"/>
    <d v="2026-12-01T00:00:00"/>
    <x v="0"/>
  </r>
  <r>
    <s v="SERVICIO DE SALUD OSORNO"/>
    <x v="0"/>
    <x v="22"/>
    <s v="Proyecto operacional"/>
    <s v="Publicado"/>
    <s v="22.04.005.003"/>
    <x v="23"/>
    <s v="Proveer desde el 01-07-2025 al 31-12-2026 al Edificio Institucional de la Dirección del Servicio de Salud Osorno, Edificio Institucional Manuel Rodriguez, Base SAMU Oriente y Base SAMU Rahue Alto del servicio de aseo y mantención de pisos, oficinas, baños, pasillos, ventanas, persianas, áreas generales y comunes, entre otras, de las dependencias en general, su infraestructura, equipos y demás bienes del establecimiento, según corresponda a las necesidades de cada establecimiento e instrucciones del referente del mismo."/>
    <x v="1"/>
    <x v="12"/>
    <n v="4"/>
    <n v="1"/>
    <x v="30"/>
    <x v="47"/>
    <x v="5"/>
    <x v="5"/>
    <x v="9"/>
    <x v="17"/>
    <s v="64-337381-"/>
    <s v="lorena.torresc@redsalud.gob.cl"/>
    <x v="12"/>
    <d v="2025-08-20T00:00:00"/>
    <n v="0"/>
    <m/>
    <n v="1"/>
    <n v="12000000"/>
    <d v="2026-06-01T00:00:00"/>
    <x v="0"/>
  </r>
  <r>
    <s v="SERVICIO DE SALUD OSORNO"/>
    <x v="0"/>
    <x v="22"/>
    <s v="Proyecto operacional"/>
    <s v="Publicado"/>
    <s v="22.04.005.003"/>
    <x v="23"/>
    <s v="Proveer desde el 01-07-2025 al 31-12-2026 al Edificio Institucional de la Dirección del Servicio de Salud Osorno, Edificio Institucional Manuel Rodriguez, Base SAMU Oriente y Base SAMU Rahue Alto del servicio de aseo y mantención de pisos, oficinas, baños, pasillos, ventanas, persianas, áreas generales y comunes, entre otras, de las dependencias en general, su infraestructura, equipos y demás bienes del establecimiento, según corresponda a las necesidades de cada establecimiento e instrucciones del referente del mismo."/>
    <x v="1"/>
    <x v="12"/>
    <n v="4"/>
    <n v="1"/>
    <x v="30"/>
    <x v="47"/>
    <x v="5"/>
    <x v="5"/>
    <x v="9"/>
    <x v="17"/>
    <s v="64-337381-"/>
    <s v="lorena.torresc@redsalud.gob.cl"/>
    <x v="12"/>
    <d v="2025-08-20T00:00:00"/>
    <n v="0"/>
    <m/>
    <n v="1"/>
    <n v="12000000"/>
    <d v="2026-02-01T00:00:00"/>
    <x v="0"/>
  </r>
  <r>
    <s v="SERVICIO DE SALUD OSORNO"/>
    <x v="0"/>
    <x v="22"/>
    <s v="Proyecto operacional"/>
    <s v="Publicado"/>
    <s v="22.04.005.003"/>
    <x v="23"/>
    <s v="Proveer desde el 01-07-2025 al 31-12-2026 al Edificio Institucional de la Dirección del Servicio de Salud Osorno, Edificio Institucional Manuel Rodriguez, Base SAMU Oriente y Base SAMU Rahue Alto del servicio de aseo y mantención de pisos, oficinas, baños, pasillos, ventanas, persianas, áreas generales y comunes, entre otras, de las dependencias en general, su infraestructura, equipos y demás bienes del establecimiento, según corresponda a las necesidades de cada establecimiento e instrucciones del referente del mismo."/>
    <x v="1"/>
    <x v="12"/>
    <n v="4"/>
    <n v="1"/>
    <x v="30"/>
    <x v="47"/>
    <x v="5"/>
    <x v="5"/>
    <x v="9"/>
    <x v="17"/>
    <s v="64-337381-"/>
    <s v="lorena.torresc@redsalud.gob.cl"/>
    <x v="12"/>
    <d v="2025-08-20T00:00:00"/>
    <n v="0"/>
    <m/>
    <n v="1"/>
    <n v="12000000"/>
    <d v="2026-01-01T00:00:00"/>
    <x v="0"/>
  </r>
  <r>
    <s v="SERVICIO DE SALUD OSORNO"/>
    <x v="0"/>
    <x v="22"/>
    <s v="Proyecto operacional"/>
    <s v="Publicado"/>
    <s v="22.04.005.003"/>
    <x v="23"/>
    <s v="Proveer desde el 01-07-2025 al 31-12-2026 al Edificio Institucional de la Dirección del Servicio de Salud Osorno, Edificio Institucional Manuel Rodriguez, Base SAMU Oriente y Base SAMU Rahue Alto del servicio de aseo y mantención de pisos, oficinas, baños, pasillos, ventanas, persianas, áreas generales y comunes, entre otras, de las dependencias en general, su infraestructura, equipos y demás bienes del establecimiento, según corresponda a las necesidades de cada establecimiento e instrucciones del referente del mismo."/>
    <x v="1"/>
    <x v="12"/>
    <n v="4"/>
    <n v="1"/>
    <x v="30"/>
    <x v="47"/>
    <x v="5"/>
    <x v="5"/>
    <x v="9"/>
    <x v="17"/>
    <s v="64-337381-"/>
    <s v="lorena.torresc@redsalud.gob.cl"/>
    <x v="12"/>
    <d v="2025-08-20T00:00:00"/>
    <n v="0"/>
    <m/>
    <n v="1"/>
    <n v="12000000"/>
    <d v="2026-07-01T00:00:00"/>
    <x v="0"/>
  </r>
  <r>
    <s v="SERVICIO DE SALUD OSORNO"/>
    <x v="0"/>
    <x v="22"/>
    <s v="Proyecto operacional"/>
    <s v="Publicado"/>
    <s v="22.04.005.003"/>
    <x v="23"/>
    <s v="Proveer desde el 01-07-2025 al 31-12-2026 al Edificio Institucional de la Dirección del Servicio de Salud Osorno, Edificio Institucional Manuel Rodriguez, Base SAMU Oriente y Base SAMU Rahue Alto del servicio de aseo y mantención de pisos, oficinas, baños, pasillos, ventanas, persianas, áreas generales y comunes, entre otras, de las dependencias en general, su infraestructura, equipos y demás bienes del establecimiento, según corresponda a las necesidades de cada establecimiento e instrucciones del referente del mismo."/>
    <x v="1"/>
    <x v="12"/>
    <n v="4"/>
    <n v="1"/>
    <x v="30"/>
    <x v="47"/>
    <x v="5"/>
    <x v="5"/>
    <x v="9"/>
    <x v="17"/>
    <s v="64-337381-"/>
    <s v="lorena.torresc@redsalud.gob.cl"/>
    <x v="12"/>
    <d v="2025-08-20T00:00:00"/>
    <n v="0"/>
    <m/>
    <n v="1"/>
    <n v="12000000"/>
    <d v="2026-03-01T00:00:00"/>
    <x v="0"/>
  </r>
  <r>
    <s v="SERVICIO DE SALUD OSORNO"/>
    <x v="0"/>
    <x v="22"/>
    <s v="Proyecto operacional"/>
    <s v="Publicado"/>
    <s v="22.04.005.003"/>
    <x v="23"/>
    <s v="Proveer desde el 01-07-2025 al 31-12-2026 al Edificio Institucional de la Dirección del Servicio de Salud Osorno, Edificio Institucional Manuel Rodriguez, Base SAMU Oriente y Base SAMU Rahue Alto del servicio de aseo y mantención de pisos, oficinas, baños, pasillos, ventanas, persianas, áreas generales y comunes, entre otras, de las dependencias en general, su infraestructura, equipos y demás bienes del establecimiento, según corresponda a las necesidades de cada establecimiento e instrucciones del referente del mismo."/>
    <x v="1"/>
    <x v="12"/>
    <n v="4"/>
    <n v="1"/>
    <x v="30"/>
    <x v="47"/>
    <x v="5"/>
    <x v="5"/>
    <x v="9"/>
    <x v="17"/>
    <s v="64-337381-"/>
    <s v="lorena.torresc@redsalud.gob.cl"/>
    <x v="12"/>
    <d v="2025-08-20T00:00:00"/>
    <n v="0"/>
    <m/>
    <n v="1"/>
    <n v="12000000"/>
    <d v="2026-11-01T00:00:00"/>
    <x v="0"/>
  </r>
  <r>
    <s v="SERVICIO DE SALUD OSORNO"/>
    <x v="0"/>
    <x v="22"/>
    <s v="Proyecto operacional"/>
    <s v="Publicado"/>
    <s v="22.04.005.003"/>
    <x v="23"/>
    <s v="Proveer desde el 01-07-2025 al 31-12-2026 al Edificio Institucional de la Dirección del Servicio de Salud Osorno, Edificio Institucional Manuel Rodriguez, Base SAMU Oriente y Base SAMU Rahue Alto del servicio de aseo y mantención de pisos, oficinas, baños, pasillos, ventanas, persianas, áreas generales y comunes, entre otras, de las dependencias en general, su infraestructura, equipos y demás bienes del establecimiento, según corresponda a las necesidades de cada establecimiento e instrucciones del referente del mismo."/>
    <x v="1"/>
    <x v="12"/>
    <n v="4"/>
    <n v="1"/>
    <x v="30"/>
    <x v="47"/>
    <x v="5"/>
    <x v="5"/>
    <x v="9"/>
    <x v="17"/>
    <s v="64-337381-"/>
    <s v="lorena.torresc@redsalud.gob.cl"/>
    <x v="12"/>
    <d v="2025-08-20T00:00:00"/>
    <n v="0"/>
    <m/>
    <n v="1"/>
    <n v="12000000"/>
    <d v="2026-04-01T00:00:00"/>
    <x v="0"/>
  </r>
  <r>
    <s v="SERVICIO DE SALUD OSORNO"/>
    <x v="0"/>
    <x v="22"/>
    <s v="Proyecto operacional"/>
    <s v="Publicado"/>
    <s v="22.04.005.003"/>
    <x v="23"/>
    <s v="Proveer desde el 01-07-2025 al 31-12-2026 al Edificio Institucional de la Dirección del Servicio de Salud Osorno, Edificio Institucional Manuel Rodriguez, Base SAMU Oriente y Base SAMU Rahue Alto del servicio de aseo y mantención de pisos, oficinas, baños, pasillos, ventanas, persianas, áreas generales y comunes, entre otras, de las dependencias en general, su infraestructura, equipos y demás bienes del establecimiento, según corresponda a las necesidades de cada establecimiento e instrucciones del referente del mismo."/>
    <x v="1"/>
    <x v="12"/>
    <n v="4"/>
    <n v="1"/>
    <x v="30"/>
    <x v="47"/>
    <x v="5"/>
    <x v="5"/>
    <x v="9"/>
    <x v="17"/>
    <s v="64-337381-"/>
    <s v="lorena.torresc@redsalud.gob.cl"/>
    <x v="12"/>
    <d v="2025-08-20T00:00:00"/>
    <n v="0"/>
    <m/>
    <n v="1"/>
    <n v="12000000"/>
    <d v="2026-09-01T00:00:00"/>
    <x v="0"/>
  </r>
  <r>
    <s v="SERVICIO DE SALUD OSORNO"/>
    <x v="0"/>
    <x v="22"/>
    <s v="Proyecto operacional"/>
    <s v="Publicado"/>
    <s v="22.04.005.003"/>
    <x v="23"/>
    <s v="Proveer desde el 01-07-2025 al 31-12-2026 al Edificio Institucional de la Dirección del Servicio de Salud Osorno, Edificio Institucional Manuel Rodriguez, Base SAMU Oriente y Base SAMU Rahue Alto del servicio de aseo y mantención de pisos, oficinas, baños, pasillos, ventanas, persianas, áreas generales y comunes, entre otras, de las dependencias en general, su infraestructura, equipos y demás bienes del establecimiento, según corresponda a las necesidades de cada establecimiento e instrucciones del referente del mismo."/>
    <x v="1"/>
    <x v="12"/>
    <n v="4"/>
    <n v="1"/>
    <x v="30"/>
    <x v="47"/>
    <x v="5"/>
    <x v="5"/>
    <x v="9"/>
    <x v="17"/>
    <s v="64-337381-"/>
    <s v="lorena.torresc@redsalud.gob.cl"/>
    <x v="12"/>
    <d v="2025-08-20T00:00:00"/>
    <n v="0"/>
    <m/>
    <n v="1"/>
    <n v="12000000"/>
    <d v="2026-10-01T00:00:00"/>
    <x v="0"/>
  </r>
  <r>
    <s v="SERVICIO DE SALUD OSORNO"/>
    <x v="0"/>
    <x v="22"/>
    <s v="Proyecto operacional"/>
    <s v="Publicado"/>
    <s v="22.04.005.003"/>
    <x v="23"/>
    <s v="Proveer desde el 01-07-2025 al 31-12-2026 al Edificio Institucional de la Dirección del Servicio de Salud Osorno, Edificio Institucional Manuel Rodriguez, Base SAMU Oriente y Base SAMU Rahue Alto del servicio de aseo y mantención de pisos, oficinas, baños, pasillos, ventanas, persianas, áreas generales y comunes, entre otras, de las dependencias en general, su infraestructura, equipos y demás bienes del establecimiento, según corresponda a las necesidades de cada establecimiento e instrucciones del referente del mismo."/>
    <x v="1"/>
    <x v="12"/>
    <n v="4"/>
    <n v="1"/>
    <x v="30"/>
    <x v="47"/>
    <x v="5"/>
    <x v="5"/>
    <x v="9"/>
    <x v="17"/>
    <s v="64-337381-"/>
    <s v="lorena.torresc@redsalud.gob.cl"/>
    <x v="12"/>
    <d v="2025-08-20T00:00:00"/>
    <n v="0"/>
    <m/>
    <n v="1"/>
    <n v="12000000"/>
    <d v="2026-08-01T00:00:00"/>
    <x v="0"/>
  </r>
  <r>
    <s v="SERVICIO DE SALUD OSORNO"/>
    <x v="0"/>
    <x v="22"/>
    <s v="Proyecto operacional"/>
    <s v="Publicado"/>
    <s v="22.04.005.003"/>
    <x v="23"/>
    <s v="Proveer desde el 01-07-2025 al 31-12-2026 al Edificio Institucional de la Dirección del Servicio de Salud Osorno, Edificio Institucional Manuel Rodriguez, Base SAMU Oriente y Base SAMU Rahue Alto del servicio de aseo y mantención de pisos, oficinas, baños, pasillos, ventanas, persianas, áreas generales y comunes, entre otras, de las dependencias en general, su infraestructura, equipos y demás bienes del establecimiento, según corresponda a las necesidades de cada establecimiento e instrucciones del referente del mismo."/>
    <x v="1"/>
    <x v="12"/>
    <n v="4"/>
    <n v="1"/>
    <x v="30"/>
    <x v="47"/>
    <x v="5"/>
    <x v="5"/>
    <x v="9"/>
    <x v="17"/>
    <s v="64-337381-"/>
    <s v="lorena.torresc@redsalud.gob.cl"/>
    <x v="12"/>
    <d v="2025-08-20T00:00:00"/>
    <n v="0"/>
    <m/>
    <n v="1"/>
    <n v="12000000"/>
    <d v="2026-05-01T00:00:00"/>
    <x v="0"/>
  </r>
  <r>
    <s v="SERVICIO DE SALUD OSORNO"/>
    <x v="0"/>
    <x v="23"/>
    <s v="Proyecto operacional"/>
    <s v="Publicado"/>
    <s v="22.04.005.003"/>
    <x v="24"/>
    <s v="INSUMOS PARA EXAMENES DE LABORATORIO TIPO POC, CON ARRIENDO DE EQUIPOS (HOSPITAL RIO NEGRO, HOSPITAL PUERTO OCTAY, HOSPITAL PU MULEN QUILACAHUIN, HOSPITAL FUKA SRUKA LAWENCHE KUNKO MAPU MO, CESFAM PUYEHUE)."/>
    <x v="1"/>
    <x v="26"/>
    <n v="4"/>
    <n v="1"/>
    <x v="31"/>
    <x v="48"/>
    <x v="11"/>
    <x v="17"/>
    <x v="15"/>
    <x v="18"/>
    <s v="64-335827-"/>
    <s v="sofiav.reyes@redsalud.gob.cl"/>
    <x v="12"/>
    <d v="2025-08-20T00:00:00"/>
    <n v="0"/>
    <m/>
    <n v="1"/>
    <n v="5833333"/>
    <d v="2026-05-01T00:00:00"/>
    <x v="0"/>
  </r>
  <r>
    <s v="SERVICIO DE SALUD OSORNO"/>
    <x v="0"/>
    <x v="23"/>
    <s v="Proyecto operacional"/>
    <s v="Publicado"/>
    <s v="22.04.005.003"/>
    <x v="24"/>
    <s v="INSUMOS PARA EXAMENES DE LABORATORIO TIPO POC, CON ARRIENDO DE EQUIPOS (HOSPITAL RIO NEGRO, HOSPITAL PUERTO OCTAY, HOSPITAL PU MULEN QUILACAHUIN, HOSPITAL FUKA SRUKA LAWENCHE KUNKO MAPU MO, CESFAM PUYEHUE)."/>
    <x v="1"/>
    <x v="26"/>
    <n v="4"/>
    <n v="1"/>
    <x v="31"/>
    <x v="48"/>
    <x v="11"/>
    <x v="17"/>
    <x v="15"/>
    <x v="18"/>
    <s v="64-335827-"/>
    <s v="sofiav.reyes@redsalud.gob.cl"/>
    <x v="12"/>
    <d v="2025-08-20T00:00:00"/>
    <n v="0"/>
    <m/>
    <n v="1"/>
    <n v="5833333"/>
    <d v="2026-02-01T00:00:00"/>
    <x v="0"/>
  </r>
  <r>
    <s v="SERVICIO DE SALUD OSORNO"/>
    <x v="0"/>
    <x v="23"/>
    <s v="Proyecto operacional"/>
    <s v="Publicado"/>
    <s v="22.04.005.003"/>
    <x v="24"/>
    <s v="INSUMOS PARA EXAMENES DE LABORATORIO TIPO POC, CON ARRIENDO DE EQUIPOS (HOSPITAL RIO NEGRO, HOSPITAL PUERTO OCTAY, HOSPITAL PU MULEN QUILACAHUIN, HOSPITAL FUKA SRUKA LAWENCHE KUNKO MAPU MO, CESFAM PUYEHUE)."/>
    <x v="1"/>
    <x v="26"/>
    <n v="4"/>
    <n v="1"/>
    <x v="31"/>
    <x v="48"/>
    <x v="11"/>
    <x v="17"/>
    <x v="15"/>
    <x v="18"/>
    <s v="64-335827-"/>
    <s v="sofiav.reyes@redsalud.gob.cl"/>
    <x v="12"/>
    <d v="2025-08-20T00:00:00"/>
    <n v="0"/>
    <m/>
    <n v="1"/>
    <n v="5833333"/>
    <d v="2026-01-01T00:00:00"/>
    <x v="0"/>
  </r>
  <r>
    <s v="SERVICIO DE SALUD OSORNO"/>
    <x v="0"/>
    <x v="23"/>
    <s v="Proyecto operacional"/>
    <s v="Publicado"/>
    <s v="22.04.005.003"/>
    <x v="24"/>
    <s v="INSUMOS PARA EXAMENES DE LABORATORIO TIPO POC, CON ARRIENDO DE EQUIPOS (HOSPITAL RIO NEGRO, HOSPITAL PUERTO OCTAY, HOSPITAL PU MULEN QUILACAHUIN, HOSPITAL FUKA SRUKA LAWENCHE KUNKO MAPU MO, CESFAM PUYEHUE)."/>
    <x v="1"/>
    <x v="26"/>
    <n v="4"/>
    <n v="1"/>
    <x v="31"/>
    <x v="48"/>
    <x v="11"/>
    <x v="17"/>
    <x v="15"/>
    <x v="18"/>
    <s v="64-335827-"/>
    <s v="sofiav.reyes@redsalud.gob.cl"/>
    <x v="12"/>
    <d v="2025-08-20T00:00:00"/>
    <n v="0"/>
    <m/>
    <n v="1"/>
    <n v="5833333"/>
    <d v="2026-04-01T00:00:00"/>
    <x v="0"/>
  </r>
  <r>
    <s v="SERVICIO DE SALUD OSORNO"/>
    <x v="0"/>
    <x v="23"/>
    <s v="Proyecto operacional"/>
    <s v="Publicado"/>
    <s v="22.04.005.003"/>
    <x v="24"/>
    <s v="INSUMOS PARA EXAMENES DE LABORATORIO TIPO POC, CON ARRIENDO DE EQUIPOS (HOSPITAL RIO NEGRO, HOSPITAL PUERTO OCTAY, HOSPITAL PU MULEN QUILACAHUIN, HOSPITAL FUKA SRUKA LAWENCHE KUNKO MAPU MO, CESFAM PUYEHUE)."/>
    <x v="1"/>
    <x v="26"/>
    <n v="4"/>
    <n v="1"/>
    <x v="31"/>
    <x v="49"/>
    <x v="11"/>
    <x v="17"/>
    <x v="15"/>
    <x v="18"/>
    <s v="64-335827-"/>
    <s v="sofiav.reyes@redsalud.gob.cl"/>
    <x v="12"/>
    <d v="2025-08-20T00:00:00"/>
    <n v="0"/>
    <m/>
    <n v="1"/>
    <n v="5833337"/>
    <d v="2026-07-01T00:00:00"/>
    <x v="0"/>
  </r>
  <r>
    <s v="SERVICIO DE SALUD OSORNO"/>
    <x v="0"/>
    <x v="23"/>
    <s v="Proyecto operacional"/>
    <s v="Publicado"/>
    <s v="22.04.005.003"/>
    <x v="24"/>
    <s v="INSUMOS PARA EXAMENES DE LABORATORIO TIPO POC, CON ARRIENDO DE EQUIPOS (HOSPITAL RIO NEGRO, HOSPITAL PUERTO OCTAY, HOSPITAL PU MULEN QUILACAHUIN, HOSPITAL FUKA SRUKA LAWENCHE KUNKO MAPU MO, CESFAM PUYEHUE)."/>
    <x v="1"/>
    <x v="26"/>
    <n v="4"/>
    <n v="1"/>
    <x v="31"/>
    <x v="48"/>
    <x v="11"/>
    <x v="17"/>
    <x v="15"/>
    <x v="18"/>
    <s v="64-335827-"/>
    <s v="sofiav.reyes@redsalud.gob.cl"/>
    <x v="12"/>
    <d v="2025-08-20T00:00:00"/>
    <n v="0"/>
    <m/>
    <n v="1"/>
    <n v="5833333"/>
    <d v="2026-03-01T00:00:00"/>
    <x v="0"/>
  </r>
  <r>
    <s v="SERVICIO DE SALUD OSORNO"/>
    <x v="0"/>
    <x v="23"/>
    <s v="Proyecto operacional"/>
    <s v="Publicado"/>
    <s v="22.04.005.003"/>
    <x v="24"/>
    <s v="INSUMOS PARA EXAMENES DE LABORATORIO TIPO POC, CON ARRIENDO DE EQUIPOS (HOSPITAL RIO NEGRO, HOSPITAL PUERTO OCTAY, HOSPITAL PU MULEN QUILACAHUIN, HOSPITAL FUKA SRUKA LAWENCHE KUNKO MAPU MO, CESFAM PUYEHUE)."/>
    <x v="1"/>
    <x v="26"/>
    <n v="4"/>
    <n v="1"/>
    <x v="31"/>
    <x v="48"/>
    <x v="11"/>
    <x v="17"/>
    <x v="15"/>
    <x v="18"/>
    <s v="64-335827-"/>
    <s v="sofiav.reyes@redsalud.gob.cl"/>
    <x v="12"/>
    <d v="2025-08-20T00:00:00"/>
    <n v="0"/>
    <m/>
    <n v="1"/>
    <n v="5833333"/>
    <d v="2026-06-01T00:00:00"/>
    <x v="0"/>
  </r>
  <r>
    <s v="SERVICIO DE SALUD OSORNO"/>
    <x v="0"/>
    <x v="24"/>
    <s v="Proyecto operacional"/>
    <s v="Publicado"/>
    <s v="22.08.007"/>
    <x v="25"/>
    <s v="Movilización para el traslado de usuarios y funcionarios CDR adulto mayor Kumelen de la Comuna de Osorno. Inicio de servicio 01/01/2026."/>
    <x v="1"/>
    <x v="27"/>
    <n v="4"/>
    <n v="1"/>
    <x v="32"/>
    <x v="50"/>
    <x v="11"/>
    <x v="18"/>
    <x v="16"/>
    <x v="19"/>
    <s v="64-647366-"/>
    <s v="luis.floresme@redsalud.gob.cl"/>
    <x v="12"/>
    <d v="2025-08-20T00:00:00"/>
    <n v="0"/>
    <m/>
    <n v="1"/>
    <n v="3291667"/>
    <d v="2026-08-01T00:00:00"/>
    <x v="0"/>
  </r>
  <r>
    <s v="SERVICIO DE SALUD OSORNO"/>
    <x v="0"/>
    <x v="24"/>
    <s v="Proyecto operacional"/>
    <s v="Publicado"/>
    <s v="22.08.007"/>
    <x v="25"/>
    <s v="Movilización para el traslado de usuarios y funcionarios CDR adulto mayor Kumelen de la Comuna de Osorno. Inicio de servicio 01/01/2026."/>
    <x v="1"/>
    <x v="27"/>
    <n v="4"/>
    <n v="1"/>
    <x v="32"/>
    <x v="50"/>
    <x v="11"/>
    <x v="18"/>
    <x v="16"/>
    <x v="19"/>
    <s v="64-647366-"/>
    <s v="luis.floresme@redsalud.gob.cl"/>
    <x v="12"/>
    <d v="2025-08-20T00:00:00"/>
    <n v="0"/>
    <m/>
    <n v="1"/>
    <n v="3291667"/>
    <d v="2026-06-01T00:00:00"/>
    <x v="0"/>
  </r>
  <r>
    <s v="SERVICIO DE SALUD OSORNO"/>
    <x v="0"/>
    <x v="24"/>
    <s v="Proyecto operacional"/>
    <s v="Publicado"/>
    <s v="22.08.007"/>
    <x v="25"/>
    <s v="Movilización para el traslado de usuarios y funcionarios CDR adulto mayor Kumelen de la Comuna de Osorno. Inicio de servicio 01/01/2026."/>
    <x v="1"/>
    <x v="27"/>
    <n v="4"/>
    <n v="1"/>
    <x v="32"/>
    <x v="50"/>
    <x v="11"/>
    <x v="18"/>
    <x v="16"/>
    <x v="19"/>
    <s v="64-647366-"/>
    <s v="luis.floresme@redsalud.gob.cl"/>
    <x v="12"/>
    <d v="2025-08-20T00:00:00"/>
    <n v="0"/>
    <m/>
    <n v="1"/>
    <n v="3291667"/>
    <d v="2026-03-01T00:00:00"/>
    <x v="0"/>
  </r>
  <r>
    <s v="SERVICIO DE SALUD OSORNO"/>
    <x v="0"/>
    <x v="24"/>
    <s v="Proyecto operacional"/>
    <s v="Publicado"/>
    <s v="22.08.007"/>
    <x v="25"/>
    <s v="Movilización para el traslado de usuarios y funcionarios CDR adulto mayor Kumelen de la Comuna de Osorno. Inicio de servicio 01/01/2026."/>
    <x v="1"/>
    <x v="27"/>
    <n v="4"/>
    <n v="1"/>
    <x v="32"/>
    <x v="50"/>
    <x v="11"/>
    <x v="18"/>
    <x v="16"/>
    <x v="19"/>
    <s v="64-647366-"/>
    <s v="luis.floresme@redsalud.gob.cl"/>
    <x v="12"/>
    <d v="2025-08-20T00:00:00"/>
    <n v="0"/>
    <m/>
    <n v="1"/>
    <n v="3291667"/>
    <d v="2026-10-01T00:00:00"/>
    <x v="0"/>
  </r>
  <r>
    <s v="SERVICIO DE SALUD OSORNO"/>
    <x v="0"/>
    <x v="24"/>
    <s v="Proyecto operacional"/>
    <s v="Publicado"/>
    <s v="22.08.007"/>
    <x v="25"/>
    <s v="Movilización para el traslado de usuarios y funcionarios CDR adulto mayor Kumelen de la Comuna de Osorno. Inicio de servicio 01/01/2026."/>
    <x v="1"/>
    <x v="27"/>
    <n v="4"/>
    <n v="1"/>
    <x v="32"/>
    <x v="50"/>
    <x v="11"/>
    <x v="18"/>
    <x v="16"/>
    <x v="19"/>
    <s v="64-647366-"/>
    <s v="luis.floresme@redsalud.gob.cl"/>
    <x v="12"/>
    <d v="2025-08-20T00:00:00"/>
    <n v="0"/>
    <m/>
    <n v="1"/>
    <n v="3291667"/>
    <d v="2026-11-01T00:00:00"/>
    <x v="0"/>
  </r>
  <r>
    <s v="SERVICIO DE SALUD OSORNO"/>
    <x v="0"/>
    <x v="24"/>
    <s v="Proyecto operacional"/>
    <s v="Publicado"/>
    <s v="22.08.007"/>
    <x v="25"/>
    <s v="Movilización para el traslado de usuarios y funcionarios CDR adulto mayor Kumelen de la Comuna de Osorno. Inicio de servicio 01/01/2026."/>
    <x v="1"/>
    <x v="27"/>
    <n v="4"/>
    <n v="1"/>
    <x v="32"/>
    <x v="50"/>
    <x v="11"/>
    <x v="18"/>
    <x v="16"/>
    <x v="19"/>
    <s v="64-647366-"/>
    <s v="luis.floresme@redsalud.gob.cl"/>
    <x v="12"/>
    <d v="2025-08-20T00:00:00"/>
    <n v="0"/>
    <m/>
    <n v="1"/>
    <n v="3291667"/>
    <d v="2026-05-01T00:00:00"/>
    <x v="0"/>
  </r>
  <r>
    <s v="SERVICIO DE SALUD OSORNO"/>
    <x v="0"/>
    <x v="24"/>
    <s v="Proyecto operacional"/>
    <s v="Publicado"/>
    <s v="22.08.007"/>
    <x v="25"/>
    <s v="Movilización para el traslado de usuarios y funcionarios CDR adulto mayor Kumelen de la Comuna de Osorno. Inicio de servicio 01/01/2026."/>
    <x v="1"/>
    <x v="27"/>
    <n v="4"/>
    <n v="1"/>
    <x v="32"/>
    <x v="50"/>
    <x v="11"/>
    <x v="18"/>
    <x v="16"/>
    <x v="19"/>
    <s v="64-647366-"/>
    <s v="luis.floresme@redsalud.gob.cl"/>
    <x v="12"/>
    <d v="2025-08-20T00:00:00"/>
    <n v="0"/>
    <m/>
    <n v="1"/>
    <n v="3291667"/>
    <d v="2026-04-01T00:00:00"/>
    <x v="0"/>
  </r>
  <r>
    <s v="SERVICIO DE SALUD OSORNO"/>
    <x v="0"/>
    <x v="24"/>
    <s v="Proyecto operacional"/>
    <s v="Publicado"/>
    <s v="22.08.007"/>
    <x v="25"/>
    <s v="Movilización para el traslado de usuarios y funcionarios CDR adulto mayor Kumelen de la Comuna de Osorno. Inicio de servicio 01/01/2026."/>
    <x v="1"/>
    <x v="27"/>
    <n v="4"/>
    <n v="1"/>
    <x v="32"/>
    <x v="50"/>
    <x v="11"/>
    <x v="18"/>
    <x v="16"/>
    <x v="19"/>
    <s v="64-647366-"/>
    <s v="luis.floresme@redsalud.gob.cl"/>
    <x v="12"/>
    <d v="2025-08-20T00:00:00"/>
    <n v="0"/>
    <m/>
    <n v="1"/>
    <n v="3291667"/>
    <d v="2026-07-01T00:00:00"/>
    <x v="0"/>
  </r>
  <r>
    <s v="SERVICIO DE SALUD OSORNO"/>
    <x v="0"/>
    <x v="24"/>
    <s v="Proyecto operacional"/>
    <s v="Publicado"/>
    <s v="22.08.007"/>
    <x v="25"/>
    <s v="Movilización para el traslado de usuarios y funcionarios CDR adulto mayor Kumelen de la Comuna de Osorno. Inicio de servicio 01/01/2026."/>
    <x v="1"/>
    <x v="27"/>
    <n v="4"/>
    <n v="1"/>
    <x v="32"/>
    <x v="50"/>
    <x v="11"/>
    <x v="18"/>
    <x v="16"/>
    <x v="19"/>
    <s v="64-647366-"/>
    <s v="luis.floresme@redsalud.gob.cl"/>
    <x v="12"/>
    <d v="2025-08-20T00:00:00"/>
    <n v="0"/>
    <m/>
    <n v="1"/>
    <n v="3291667"/>
    <d v="2026-12-01T00:00:00"/>
    <x v="0"/>
  </r>
  <r>
    <s v="SERVICIO DE SALUD OSORNO"/>
    <x v="0"/>
    <x v="24"/>
    <s v="Proyecto operacional"/>
    <s v="Publicado"/>
    <s v="22.08.007"/>
    <x v="25"/>
    <s v="Movilización para el traslado de usuarios y funcionarios CDR adulto mayor Kumelen de la Comuna de Osorno. Inicio de servicio 01/01/2026."/>
    <x v="1"/>
    <x v="27"/>
    <n v="4"/>
    <n v="1"/>
    <x v="32"/>
    <x v="50"/>
    <x v="11"/>
    <x v="18"/>
    <x v="16"/>
    <x v="19"/>
    <s v="64-647366-"/>
    <s v="luis.floresme@redsalud.gob.cl"/>
    <x v="12"/>
    <d v="2025-08-20T00:00:00"/>
    <n v="0"/>
    <m/>
    <n v="1"/>
    <n v="3291667"/>
    <d v="2026-09-01T00:00:00"/>
    <x v="0"/>
  </r>
  <r>
    <s v="SERVICIO DE SALUD OSORNO"/>
    <x v="0"/>
    <x v="24"/>
    <s v="Proyecto operacional"/>
    <s v="Publicado"/>
    <s v="22.08.007"/>
    <x v="25"/>
    <s v="Movilización para el traslado de usuarios y funcionarios CDR adulto mayor Kumelen de la Comuna de Osorno. Inicio de servicio 01/01/2026."/>
    <x v="1"/>
    <x v="27"/>
    <n v="4"/>
    <n v="1"/>
    <x v="32"/>
    <x v="50"/>
    <x v="11"/>
    <x v="18"/>
    <x v="16"/>
    <x v="19"/>
    <s v="64-647366-"/>
    <s v="luis.floresme@redsalud.gob.cl"/>
    <x v="12"/>
    <d v="2025-08-20T00:00:00"/>
    <n v="0"/>
    <m/>
    <n v="1"/>
    <n v="3291667"/>
    <d v="2026-02-01T00:00:00"/>
    <x v="0"/>
  </r>
  <r>
    <s v="SERVICIO DE SALUD OSORNO"/>
    <x v="0"/>
    <x v="25"/>
    <s v="Proyecto operacional"/>
    <s v="Publicado"/>
    <s v="22.08.007"/>
    <x v="26"/>
    <s v="Servicio de Movilizacion para Funcionarios CDR Adulto Mayor Kumelen,Vencimiento del contrato actual finaliza el 31/12/2025. Inicio del servicio 01/01/2026."/>
    <x v="1"/>
    <x v="28"/>
    <n v="4"/>
    <n v="1"/>
    <x v="33"/>
    <x v="51"/>
    <x v="11"/>
    <x v="18"/>
    <x v="16"/>
    <x v="19"/>
    <s v="64-2647366-"/>
    <s v="luis.floresme@redsalud.gob.cl"/>
    <x v="7"/>
    <d v="2025-08-20T00:00:00"/>
    <n v="0"/>
    <m/>
    <n v="1"/>
    <n v="2625000"/>
    <d v="2026-11-01T00:00:00"/>
    <x v="0"/>
  </r>
  <r>
    <s v="SERVICIO DE SALUD OSORNO"/>
    <x v="0"/>
    <x v="25"/>
    <s v="Proyecto operacional"/>
    <s v="Publicado"/>
    <s v="22.08.007"/>
    <x v="26"/>
    <s v="Servicio de Movilizacion para Funcionarios CDR Adulto Mayor Kumelen,Vencimiento del contrato actual finaliza el 31/12/2025. Inicio del servicio 01/01/2026."/>
    <x v="1"/>
    <x v="28"/>
    <n v="4"/>
    <n v="1"/>
    <x v="33"/>
    <x v="51"/>
    <x v="11"/>
    <x v="18"/>
    <x v="16"/>
    <x v="19"/>
    <s v="64-2647366-"/>
    <s v="luis.floresme@redsalud.gob.cl"/>
    <x v="7"/>
    <d v="2025-08-20T00:00:00"/>
    <n v="0"/>
    <m/>
    <n v="1"/>
    <n v="2625000"/>
    <d v="2026-03-01T00:00:00"/>
    <x v="0"/>
  </r>
  <r>
    <s v="SERVICIO DE SALUD OSORNO"/>
    <x v="0"/>
    <x v="25"/>
    <s v="Proyecto operacional"/>
    <s v="Publicado"/>
    <s v="22.08.007"/>
    <x v="26"/>
    <s v="Servicio de Movilizacion para Funcionarios CDR Adulto Mayor Kumelen,Vencimiento del contrato actual finaliza el 31/12/2025. Inicio del servicio 01/01/2026."/>
    <x v="1"/>
    <x v="28"/>
    <n v="4"/>
    <n v="1"/>
    <x v="33"/>
    <x v="51"/>
    <x v="11"/>
    <x v="18"/>
    <x v="16"/>
    <x v="19"/>
    <s v="64-2647366-"/>
    <s v="luis.floresme@redsalud.gob.cl"/>
    <x v="7"/>
    <d v="2025-08-20T00:00:00"/>
    <n v="0"/>
    <m/>
    <n v="1"/>
    <n v="2625000"/>
    <d v="2026-02-01T00:00:00"/>
    <x v="0"/>
  </r>
  <r>
    <s v="SERVICIO DE SALUD OSORNO"/>
    <x v="0"/>
    <x v="25"/>
    <s v="Proyecto operacional"/>
    <s v="Publicado"/>
    <s v="22.08.007"/>
    <x v="26"/>
    <s v="Servicio de Movilizacion para Funcionarios CDR Adulto Mayor Kumelen,Vencimiento del contrato actual finaliza el 31/12/2025. Inicio del servicio 01/01/2026."/>
    <x v="1"/>
    <x v="28"/>
    <n v="4"/>
    <n v="1"/>
    <x v="33"/>
    <x v="51"/>
    <x v="11"/>
    <x v="18"/>
    <x v="16"/>
    <x v="19"/>
    <s v="64-2647366-"/>
    <s v="luis.floresme@redsalud.gob.cl"/>
    <x v="7"/>
    <d v="2025-08-20T00:00:00"/>
    <n v="0"/>
    <m/>
    <n v="1"/>
    <n v="2625000"/>
    <d v="2026-12-01T00:00:00"/>
    <x v="0"/>
  </r>
  <r>
    <s v="SERVICIO DE SALUD OSORNO"/>
    <x v="0"/>
    <x v="25"/>
    <s v="Proyecto operacional"/>
    <s v="Publicado"/>
    <s v="22.08.007"/>
    <x v="26"/>
    <s v="Servicio de Movilizacion para Funcionarios CDR Adulto Mayor Kumelen,Vencimiento del contrato actual finaliza el 31/12/2025. Inicio del servicio 01/01/2026."/>
    <x v="1"/>
    <x v="28"/>
    <n v="4"/>
    <n v="1"/>
    <x v="33"/>
    <x v="51"/>
    <x v="11"/>
    <x v="18"/>
    <x v="16"/>
    <x v="19"/>
    <s v="64-2647366-"/>
    <s v="luis.floresme@redsalud.gob.cl"/>
    <x v="7"/>
    <d v="2025-08-20T00:00:00"/>
    <n v="0"/>
    <m/>
    <n v="1"/>
    <n v="2625000"/>
    <d v="2026-05-01T00:00:00"/>
    <x v="0"/>
  </r>
  <r>
    <s v="SERVICIO DE SALUD OSORNO"/>
    <x v="0"/>
    <x v="25"/>
    <s v="Proyecto operacional"/>
    <s v="Publicado"/>
    <s v="22.08.007"/>
    <x v="26"/>
    <s v="Servicio de Movilizacion para Funcionarios CDR Adulto Mayor Kumelen,Vencimiento del contrato actual finaliza el 31/12/2025. Inicio del servicio 01/01/2026."/>
    <x v="1"/>
    <x v="28"/>
    <n v="4"/>
    <n v="1"/>
    <x v="33"/>
    <x v="51"/>
    <x v="11"/>
    <x v="18"/>
    <x v="16"/>
    <x v="19"/>
    <s v="64-2647366-"/>
    <s v="luis.floresme@redsalud.gob.cl"/>
    <x v="7"/>
    <d v="2025-08-20T00:00:00"/>
    <n v="0"/>
    <m/>
    <n v="1"/>
    <n v="2625000"/>
    <d v="2026-06-01T00:00:00"/>
    <x v="0"/>
  </r>
  <r>
    <s v="SERVICIO DE SALUD OSORNO"/>
    <x v="0"/>
    <x v="25"/>
    <s v="Proyecto operacional"/>
    <s v="Publicado"/>
    <s v="22.08.007"/>
    <x v="26"/>
    <s v="Servicio de Movilizacion para Funcionarios CDR Adulto Mayor Kumelen,Vencimiento del contrato actual finaliza el 31/12/2025. Inicio del servicio 01/01/2026."/>
    <x v="1"/>
    <x v="28"/>
    <n v="4"/>
    <n v="1"/>
    <x v="33"/>
    <x v="51"/>
    <x v="11"/>
    <x v="18"/>
    <x v="16"/>
    <x v="19"/>
    <s v="64-2647366-"/>
    <s v="luis.floresme@redsalud.gob.cl"/>
    <x v="7"/>
    <d v="2025-08-20T00:00:00"/>
    <n v="0"/>
    <m/>
    <n v="1"/>
    <n v="2625000"/>
    <d v="2026-08-01T00:00:00"/>
    <x v="0"/>
  </r>
  <r>
    <s v="SERVICIO DE SALUD OSORNO"/>
    <x v="0"/>
    <x v="25"/>
    <s v="Proyecto operacional"/>
    <s v="Publicado"/>
    <s v="22.08.007"/>
    <x v="26"/>
    <s v="Servicio de Movilizacion para Funcionarios CDR Adulto Mayor Kumelen,Vencimiento del contrato actual finaliza el 31/12/2025. Inicio del servicio 01/01/2026."/>
    <x v="1"/>
    <x v="28"/>
    <n v="4"/>
    <n v="1"/>
    <x v="33"/>
    <x v="51"/>
    <x v="11"/>
    <x v="18"/>
    <x v="16"/>
    <x v="19"/>
    <s v="64-2647366-"/>
    <s v="luis.floresme@redsalud.gob.cl"/>
    <x v="7"/>
    <d v="2025-08-20T00:00:00"/>
    <n v="0"/>
    <m/>
    <n v="1"/>
    <n v="2625000"/>
    <d v="2026-07-01T00:00:00"/>
    <x v="0"/>
  </r>
  <r>
    <s v="SERVICIO DE SALUD OSORNO"/>
    <x v="0"/>
    <x v="25"/>
    <s v="Proyecto operacional"/>
    <s v="Publicado"/>
    <s v="22.08.007"/>
    <x v="26"/>
    <s v="Servicio de Movilizacion para Funcionarios CDR Adulto Mayor Kumelen,Vencimiento del contrato actual finaliza el 31/12/2025. Inicio del servicio 01/01/2026."/>
    <x v="1"/>
    <x v="28"/>
    <n v="4"/>
    <n v="1"/>
    <x v="33"/>
    <x v="51"/>
    <x v="11"/>
    <x v="18"/>
    <x v="16"/>
    <x v="19"/>
    <s v="64-2647366-"/>
    <s v="luis.floresme@redsalud.gob.cl"/>
    <x v="7"/>
    <d v="2025-08-20T00:00:00"/>
    <n v="0"/>
    <m/>
    <n v="1"/>
    <n v="2625000"/>
    <d v="2026-04-01T00:00:00"/>
    <x v="0"/>
  </r>
  <r>
    <s v="SERVICIO DE SALUD OSORNO"/>
    <x v="0"/>
    <x v="25"/>
    <s v="Proyecto operacional"/>
    <s v="Publicado"/>
    <s v="22.08.007"/>
    <x v="26"/>
    <s v="Servicio de Movilizacion para Funcionarios CDR Adulto Mayor Kumelen,Vencimiento del contrato actual finaliza el 31/12/2025. Inicio del servicio 01/01/2026."/>
    <x v="1"/>
    <x v="28"/>
    <n v="4"/>
    <n v="1"/>
    <x v="33"/>
    <x v="51"/>
    <x v="11"/>
    <x v="18"/>
    <x v="16"/>
    <x v="19"/>
    <s v="64-2647366-"/>
    <s v="luis.floresme@redsalud.gob.cl"/>
    <x v="7"/>
    <d v="2025-08-20T00:00:00"/>
    <n v="0"/>
    <m/>
    <n v="1"/>
    <n v="2625000"/>
    <d v="2026-09-01T00:00:00"/>
    <x v="0"/>
  </r>
  <r>
    <s v="SERVICIO DE SALUD OSORNO"/>
    <x v="0"/>
    <x v="25"/>
    <s v="Proyecto operacional"/>
    <s v="Publicado"/>
    <s v="22.08.007"/>
    <x v="26"/>
    <s v="Servicio de Movilizacion para Funcionarios CDR Adulto Mayor Kumelen,Vencimiento del contrato actual finaliza el 31/12/2025. Inicio del servicio 01/01/2026."/>
    <x v="1"/>
    <x v="28"/>
    <n v="4"/>
    <n v="1"/>
    <x v="33"/>
    <x v="51"/>
    <x v="11"/>
    <x v="18"/>
    <x v="16"/>
    <x v="19"/>
    <s v="64-2647366-"/>
    <s v="luis.floresme@redsalud.gob.cl"/>
    <x v="7"/>
    <d v="2025-08-20T00:00:00"/>
    <n v="0"/>
    <m/>
    <n v="1"/>
    <n v="2625000"/>
    <d v="2026-10-01T00:00:00"/>
    <x v="0"/>
  </r>
  <r>
    <s v="SERVICIO DE SALUD OSORNO"/>
    <x v="0"/>
    <x v="26"/>
    <s v="Proyecto operacional"/>
    <s v="Publicado"/>
    <s v="22.04.005.003"/>
    <x v="27"/>
    <s v="INSUMOS PARA EXAMENES DE LABORATORIO TIPO POC, CON ARRIENDO DE EQUIPOS (HOSPITAL RIO NEGRO, HOSPITAL PUERTO OCTAY, HOSPITAL PU MULEN QUILACAHUIN, HOSPITAL FUKA SRUKA LAWENCHE KUNKO MAPU MO, CESFAM PUYEHUE, SAR CHUYACA). ESTE PROYECTO BUSCA DAR CONTINUIDAD A LICITACION 1057532-48-LP24, POR 12 MESES MAS, CON INICIO EN JULIO 2025."/>
    <x v="1"/>
    <x v="29"/>
    <n v="4"/>
    <n v="1"/>
    <x v="0"/>
    <x v="52"/>
    <x v="11"/>
    <x v="17"/>
    <x v="17"/>
    <x v="20"/>
    <s v="64-2567046-"/>
    <s v="nicolas.asencio@redsalud.gob.cl"/>
    <x v="12"/>
    <d v="2025-08-20T00:00:00"/>
    <n v="3"/>
    <s v="1057532-4808-AG25"/>
    <n v="1"/>
    <n v="7500000"/>
    <d v="2026-06-01T00:00:00"/>
    <x v="0"/>
  </r>
  <r>
    <s v="SERVICIO DE SALUD OSORNO"/>
    <x v="0"/>
    <x v="26"/>
    <s v="Proyecto operacional"/>
    <s v="Publicado"/>
    <s v="22.04.005.003"/>
    <x v="27"/>
    <s v="INSUMOS PARA EXAMENES DE LABORATORIO TIPO POC, CON ARRIENDO DE EQUIPOS (HOSPITAL RIO NEGRO, HOSPITAL PUERTO OCTAY, HOSPITAL PU MULEN QUILACAHUIN, HOSPITAL FUKA SRUKA LAWENCHE KUNKO MAPU MO, CESFAM PUYEHUE, SAR CHUYACA). ESTE PROYECTO BUSCA DAR CONTINUIDAD A LICITACION 1057532-48-LP24, POR 12 MESES MAS, CON INICIO EN JULIO 2025."/>
    <x v="1"/>
    <x v="29"/>
    <n v="4"/>
    <n v="1"/>
    <x v="0"/>
    <x v="52"/>
    <x v="11"/>
    <x v="17"/>
    <x v="17"/>
    <x v="20"/>
    <s v="64-2567046-"/>
    <s v="nicolas.asencio@redsalud.gob.cl"/>
    <x v="12"/>
    <d v="2025-08-20T00:00:00"/>
    <n v="3"/>
    <s v="1057532-4808-AG25"/>
    <n v="1"/>
    <n v="7500000"/>
    <d v="2026-03-01T00:00:00"/>
    <x v="0"/>
  </r>
  <r>
    <s v="SERVICIO DE SALUD OSORNO"/>
    <x v="0"/>
    <x v="26"/>
    <s v="Proyecto operacional"/>
    <s v="Publicado"/>
    <s v="22.04.005.003"/>
    <x v="27"/>
    <s v="INSUMOS PARA EXAMENES DE LABORATORIO TIPO POC, CON ARRIENDO DE EQUIPOS (HOSPITAL RIO NEGRO, HOSPITAL PUERTO OCTAY, HOSPITAL PU MULEN QUILACAHUIN, HOSPITAL FUKA SRUKA LAWENCHE KUNKO MAPU MO, CESFAM PUYEHUE, SAR CHUYACA). ESTE PROYECTO BUSCA DAR CONTINUIDAD A LICITACION 1057532-48-LP24, POR 12 MESES MAS, CON INICIO EN JULIO 2025."/>
    <x v="1"/>
    <x v="29"/>
    <n v="4"/>
    <n v="1"/>
    <x v="0"/>
    <x v="52"/>
    <x v="11"/>
    <x v="17"/>
    <x v="17"/>
    <x v="20"/>
    <s v="64-2567046-"/>
    <s v="nicolas.asencio@redsalud.gob.cl"/>
    <x v="12"/>
    <d v="2025-08-20T00:00:00"/>
    <n v="3"/>
    <s v="1057532-4808-AG25"/>
    <n v="1"/>
    <n v="7500000"/>
    <d v="2026-07-01T00:00:00"/>
    <x v="0"/>
  </r>
  <r>
    <s v="SERVICIO DE SALUD OSORNO"/>
    <x v="0"/>
    <x v="26"/>
    <s v="Proyecto operacional"/>
    <s v="Publicado"/>
    <s v="22.04.005.003"/>
    <x v="27"/>
    <s v="INSUMOS PARA EXAMENES DE LABORATORIO TIPO POC, CON ARRIENDO DE EQUIPOS (HOSPITAL RIO NEGRO, HOSPITAL PUERTO OCTAY, HOSPITAL PU MULEN QUILACAHUIN, HOSPITAL FUKA SRUKA LAWENCHE KUNKO MAPU MO, CESFAM PUYEHUE, SAR CHUYACA). ESTE PROYECTO BUSCA DAR CONTINUIDAD A LICITACION 1057532-48-LP24, POR 12 MESES MAS, CON INICIO EN JULIO 2025."/>
    <x v="1"/>
    <x v="29"/>
    <n v="4"/>
    <n v="1"/>
    <x v="0"/>
    <x v="52"/>
    <x v="11"/>
    <x v="17"/>
    <x v="17"/>
    <x v="20"/>
    <s v="64-2567046-"/>
    <s v="nicolas.asencio@redsalud.gob.cl"/>
    <x v="12"/>
    <d v="2025-08-20T00:00:00"/>
    <n v="3"/>
    <s v="1057532-4808-AG25"/>
    <n v="1"/>
    <n v="7500000"/>
    <d v="2026-02-01T00:00:00"/>
    <x v="0"/>
  </r>
  <r>
    <s v="SERVICIO DE SALUD OSORNO"/>
    <x v="0"/>
    <x v="26"/>
    <s v="Proyecto operacional"/>
    <s v="Publicado"/>
    <s v="22.04.005.003"/>
    <x v="27"/>
    <s v="INSUMOS PARA EXAMENES DE LABORATORIO TIPO POC, CON ARRIENDO DE EQUIPOS (HOSPITAL RIO NEGRO, HOSPITAL PUERTO OCTAY, HOSPITAL PU MULEN QUILACAHUIN, HOSPITAL FUKA SRUKA LAWENCHE KUNKO MAPU MO, CESFAM PUYEHUE, SAR CHUYACA). ESTE PROYECTO BUSCA DAR CONTINUIDAD A LICITACION 1057532-48-LP24, POR 12 MESES MAS, CON INICIO EN JULIO 2025."/>
    <x v="1"/>
    <x v="29"/>
    <n v="4"/>
    <n v="1"/>
    <x v="0"/>
    <x v="52"/>
    <x v="11"/>
    <x v="17"/>
    <x v="17"/>
    <x v="20"/>
    <s v="64-2567046-"/>
    <s v="nicolas.asencio@redsalud.gob.cl"/>
    <x v="12"/>
    <d v="2025-08-20T00:00:00"/>
    <n v="3"/>
    <s v="1057532-4808-AG25"/>
    <n v="1"/>
    <n v="7500000"/>
    <d v="2026-01-01T00:00:00"/>
    <x v="0"/>
  </r>
  <r>
    <s v="SERVICIO DE SALUD OSORNO"/>
    <x v="0"/>
    <x v="26"/>
    <s v="Proyecto operacional"/>
    <s v="Publicado"/>
    <s v="22.04.005.003"/>
    <x v="27"/>
    <s v="INSUMOS PARA EXAMENES DE LABORATORIO TIPO POC, CON ARRIENDO DE EQUIPOS (HOSPITAL RIO NEGRO, HOSPITAL PUERTO OCTAY, HOSPITAL PU MULEN QUILACAHUIN, HOSPITAL FUKA SRUKA LAWENCHE KUNKO MAPU MO, CESFAM PUYEHUE, SAR CHUYACA). ESTE PROYECTO BUSCA DAR CONTINUIDAD A LICITACION 1057532-48-LP24, POR 12 MESES MAS, CON INICIO EN JULIO 2025."/>
    <x v="1"/>
    <x v="29"/>
    <n v="4"/>
    <n v="1"/>
    <x v="0"/>
    <x v="52"/>
    <x v="11"/>
    <x v="17"/>
    <x v="17"/>
    <x v="20"/>
    <s v="64-2567046-"/>
    <s v="nicolas.asencio@redsalud.gob.cl"/>
    <x v="12"/>
    <d v="2025-08-20T00:00:00"/>
    <n v="3"/>
    <s v="1057532-5641-SE25"/>
    <n v="1"/>
    <n v="7500000"/>
    <d v="2026-01-01T00:00:00"/>
    <x v="0"/>
  </r>
  <r>
    <s v="SERVICIO DE SALUD OSORNO"/>
    <x v="0"/>
    <x v="26"/>
    <s v="Proyecto operacional"/>
    <s v="Publicado"/>
    <s v="22.04.005.003"/>
    <x v="27"/>
    <s v="INSUMOS PARA EXAMENES DE LABORATORIO TIPO POC, CON ARRIENDO DE EQUIPOS (HOSPITAL RIO NEGRO, HOSPITAL PUERTO OCTAY, HOSPITAL PU MULEN QUILACAHUIN, HOSPITAL FUKA SRUKA LAWENCHE KUNKO MAPU MO, CESFAM PUYEHUE, SAR CHUYACA). ESTE PROYECTO BUSCA DAR CONTINUIDAD A LICITACION 1057532-48-LP24, POR 12 MESES MAS, CON INICIO EN JULIO 2025."/>
    <x v="1"/>
    <x v="29"/>
    <n v="4"/>
    <n v="1"/>
    <x v="0"/>
    <x v="52"/>
    <x v="11"/>
    <x v="17"/>
    <x v="17"/>
    <x v="20"/>
    <s v="64-2567046-"/>
    <s v="nicolas.asencio@redsalud.gob.cl"/>
    <x v="12"/>
    <d v="2025-08-20T00:00:00"/>
    <n v="3"/>
    <s v="1057532-4808-AG25"/>
    <n v="1"/>
    <n v="7500000"/>
    <d v="2026-04-01T00:00:00"/>
    <x v="0"/>
  </r>
  <r>
    <s v="SERVICIO DE SALUD OSORNO"/>
    <x v="0"/>
    <x v="27"/>
    <s v="Proyecto operacional"/>
    <s v="Publicado"/>
    <s v="22.08.007"/>
    <x v="28"/>
    <s v="Se requiere contar con un Proyecto PAC específico para Pasajes, a fin de poder vincular las Órdenes de Compra en la plataforma de Mercado Público. Este proyecto debe estar incorporado en el PAC General del DSSO, con un período de vigencia desde junio de 2025 hasta diciembre de 2026, abarcando un total de 19 meses."/>
    <x v="1"/>
    <x v="30"/>
    <n v="5"/>
    <n v="1"/>
    <x v="34"/>
    <x v="53"/>
    <x v="5"/>
    <x v="5"/>
    <x v="18"/>
    <x v="21"/>
    <s v="64-2565594-"/>
    <s v="sandra.espinoza@redsalud.gob.cl"/>
    <x v="10"/>
    <d v="2025-08-20T00:00:00"/>
    <n v="27"/>
    <s v="1057532-4762-SE25"/>
    <n v="1"/>
    <n v="916666"/>
    <d v="2026-11-01T00:00:00"/>
    <x v="0"/>
  </r>
  <r>
    <s v="SERVICIO DE SALUD OSORNO"/>
    <x v="0"/>
    <x v="27"/>
    <s v="Proyecto operacional"/>
    <s v="Publicado"/>
    <s v="22.08.007"/>
    <x v="28"/>
    <s v="Se requiere contar con un Proyecto PAC específico para Pasajes, a fin de poder vincular las Órdenes de Compra en la plataforma de Mercado Público. Este proyecto debe estar incorporado en el PAC General del DSSO, con un período de vigencia desde junio de 2025 hasta diciembre de 2026, abarcando un total de 19 meses."/>
    <x v="1"/>
    <x v="30"/>
    <n v="5"/>
    <n v="1"/>
    <x v="34"/>
    <x v="53"/>
    <x v="5"/>
    <x v="5"/>
    <x v="18"/>
    <x v="21"/>
    <s v="64-2565594-"/>
    <s v="sandra.espinoza@redsalud.gob.cl"/>
    <x v="10"/>
    <d v="2025-08-20T00:00:00"/>
    <n v="27"/>
    <s v="1057532-5096-CM25"/>
    <n v="1"/>
    <n v="916666"/>
    <d v="2026-11-01T00:00:00"/>
    <x v="0"/>
  </r>
  <r>
    <s v="SERVICIO DE SALUD OSORNO"/>
    <x v="0"/>
    <x v="27"/>
    <s v="Proyecto operacional"/>
    <s v="Publicado"/>
    <s v="22.08.007"/>
    <x v="28"/>
    <s v="Se requiere contar con un Proyecto PAC específico para Pasajes, a fin de poder vincular las Órdenes de Compra en la plataforma de Mercado Público. Este proyecto debe estar incorporado en el PAC General del DSSO, con un período de vigencia desde junio de 2025 hasta diciembre de 2026, abarcando un total de 19 meses."/>
    <x v="1"/>
    <x v="30"/>
    <n v="5"/>
    <n v="1"/>
    <x v="34"/>
    <x v="53"/>
    <x v="5"/>
    <x v="5"/>
    <x v="18"/>
    <x v="21"/>
    <s v="64-2565594-"/>
    <s v="sandra.espinoza@redsalud.gob.cl"/>
    <x v="10"/>
    <d v="2025-08-20T00:00:00"/>
    <n v="27"/>
    <s v="1057532-5070-CM25"/>
    <n v="1"/>
    <n v="916666"/>
    <d v="2026-03-01T00:00:00"/>
    <x v="0"/>
  </r>
  <r>
    <s v="SERVICIO DE SALUD OSORNO"/>
    <x v="0"/>
    <x v="27"/>
    <s v="Proyecto operacional"/>
    <s v="Publicado"/>
    <s v="22.08.007"/>
    <x v="28"/>
    <s v="Se requiere contar con un Proyecto PAC específico para Pasajes, a fin de poder vincular las Órdenes de Compra en la plataforma de Mercado Público. Este proyecto debe estar incorporado en el PAC General del DSSO, con un período de vigencia desde junio de 2025 hasta diciembre de 2026, abarcando un total de 19 meses."/>
    <x v="1"/>
    <x v="30"/>
    <n v="5"/>
    <n v="1"/>
    <x v="34"/>
    <x v="53"/>
    <x v="5"/>
    <x v="5"/>
    <x v="18"/>
    <x v="21"/>
    <s v="64-2565594-"/>
    <s v="sandra.espinoza@redsalud.gob.cl"/>
    <x v="10"/>
    <d v="2025-08-20T00:00:00"/>
    <n v="27"/>
    <s v="1057532-4720-CM25"/>
    <n v="1"/>
    <n v="916666"/>
    <d v="2026-03-01T00:00:00"/>
    <x v="0"/>
  </r>
  <r>
    <s v="SERVICIO DE SALUD OSORNO"/>
    <x v="0"/>
    <x v="27"/>
    <s v="Proyecto operacional"/>
    <s v="Publicado"/>
    <s v="22.08.007"/>
    <x v="28"/>
    <s v="Se requiere contar con un Proyecto PAC específico para Pasajes, a fin de poder vincular las Órdenes de Compra en la plataforma de Mercado Público. Este proyecto debe estar incorporado en el PAC General del DSSO, con un período de vigencia desde junio de 2025 hasta diciembre de 2026, abarcando un total de 19 meses."/>
    <x v="1"/>
    <x v="30"/>
    <n v="5"/>
    <n v="1"/>
    <x v="34"/>
    <x v="53"/>
    <x v="5"/>
    <x v="5"/>
    <x v="18"/>
    <x v="21"/>
    <s v="64-2565594-"/>
    <s v="sandra.espinoza@redsalud.gob.cl"/>
    <x v="10"/>
    <d v="2025-08-20T00:00:00"/>
    <n v="27"/>
    <s v="1057532-5352-CM25"/>
    <n v="1"/>
    <n v="916666"/>
    <d v="2026-11-01T00:00:00"/>
    <x v="0"/>
  </r>
  <r>
    <s v="SERVICIO DE SALUD OSORNO"/>
    <x v="0"/>
    <x v="27"/>
    <s v="Proyecto operacional"/>
    <s v="Publicado"/>
    <s v="22.08.007"/>
    <x v="28"/>
    <s v="Se requiere contar con un Proyecto PAC específico para Pasajes, a fin de poder vincular las Órdenes de Compra en la plataforma de Mercado Público. Este proyecto debe estar incorporado en el PAC General del DSSO, con un período de vigencia desde junio de 2025 hasta diciembre de 2026, abarcando un total de 19 meses."/>
    <x v="1"/>
    <x v="30"/>
    <n v="5"/>
    <n v="1"/>
    <x v="34"/>
    <x v="53"/>
    <x v="5"/>
    <x v="5"/>
    <x v="18"/>
    <x v="21"/>
    <s v="64-2565594-"/>
    <s v="sandra.espinoza@redsalud.gob.cl"/>
    <x v="10"/>
    <d v="2025-08-20T00:00:00"/>
    <n v="27"/>
    <s v="1057532-5335-CM25"/>
    <n v="1"/>
    <n v="916666"/>
    <d v="2026-08-01T00:00:00"/>
    <x v="0"/>
  </r>
  <r>
    <s v="SERVICIO DE SALUD OSORNO"/>
    <x v="0"/>
    <x v="27"/>
    <s v="Proyecto operacional"/>
    <s v="Publicado"/>
    <s v="22.08.007"/>
    <x v="28"/>
    <s v="Se requiere contar con un Proyecto PAC específico para Pasajes, a fin de poder vincular las Órdenes de Compra en la plataforma de Mercado Público. Este proyecto debe estar incorporado en el PAC General del DSSO, con un período de vigencia desde junio de 2025 hasta diciembre de 2026, abarcando un total de 19 meses."/>
    <x v="1"/>
    <x v="30"/>
    <n v="5"/>
    <n v="1"/>
    <x v="34"/>
    <x v="53"/>
    <x v="5"/>
    <x v="5"/>
    <x v="18"/>
    <x v="21"/>
    <s v="64-2565594-"/>
    <s v="sandra.espinoza@redsalud.gob.cl"/>
    <x v="10"/>
    <d v="2025-08-20T00:00:00"/>
    <n v="27"/>
    <s v="1057532-4899-CM25"/>
    <n v="1"/>
    <n v="916666"/>
    <d v="2026-06-01T00:00:00"/>
    <x v="0"/>
  </r>
  <r>
    <s v="SERVICIO DE SALUD OSORNO"/>
    <x v="0"/>
    <x v="27"/>
    <s v="Proyecto operacional"/>
    <s v="Publicado"/>
    <s v="22.08.007"/>
    <x v="28"/>
    <s v="Se requiere contar con un Proyecto PAC específico para Pasajes, a fin de poder vincular las Órdenes de Compra en la plataforma de Mercado Público. Este proyecto debe estar incorporado en el PAC General del DSSO, con un período de vigencia desde junio de 2025 hasta diciembre de 2026, abarcando un total de 19 meses."/>
    <x v="1"/>
    <x v="30"/>
    <n v="5"/>
    <n v="1"/>
    <x v="34"/>
    <x v="53"/>
    <x v="5"/>
    <x v="5"/>
    <x v="18"/>
    <x v="21"/>
    <s v="64-2565594-"/>
    <s v="sandra.espinoza@redsalud.gob.cl"/>
    <x v="10"/>
    <d v="2025-08-20T00:00:00"/>
    <n v="27"/>
    <s v="1057532-5599-CM25"/>
    <n v="1"/>
    <n v="916666"/>
    <d v="2026-01-01T00:00:00"/>
    <x v="0"/>
  </r>
  <r>
    <s v="SERVICIO DE SALUD OSORNO"/>
    <x v="0"/>
    <x v="27"/>
    <s v="Proyecto operacional"/>
    <s v="Publicado"/>
    <s v="22.08.007"/>
    <x v="28"/>
    <s v="Se requiere contar con un Proyecto PAC específico para Pasajes, a fin de poder vincular las Órdenes de Compra en la plataforma de Mercado Público. Este proyecto debe estar incorporado en el PAC General del DSSO, con un período de vigencia desde junio de 2025 hasta diciembre de 2026, abarcando un total de 19 meses."/>
    <x v="1"/>
    <x v="30"/>
    <n v="5"/>
    <n v="1"/>
    <x v="34"/>
    <x v="53"/>
    <x v="5"/>
    <x v="5"/>
    <x v="18"/>
    <x v="21"/>
    <s v="64-2565594-"/>
    <s v="sandra.espinoza@redsalud.gob.cl"/>
    <x v="10"/>
    <d v="2025-08-20T00:00:00"/>
    <n v="27"/>
    <s v="1057532-5071-CM25"/>
    <n v="1"/>
    <n v="916666"/>
    <d v="2026-03-01T00:00:00"/>
    <x v="0"/>
  </r>
  <r>
    <s v="SERVICIO DE SALUD OSORNO"/>
    <x v="0"/>
    <x v="27"/>
    <s v="Proyecto operacional"/>
    <s v="Publicado"/>
    <s v="22.08.007"/>
    <x v="28"/>
    <s v="Se requiere contar con un Proyecto PAC específico para Pasajes, a fin de poder vincular las Órdenes de Compra en la plataforma de Mercado Público. Este proyecto debe estar incorporado en el PAC General del DSSO, con un período de vigencia desde junio de 2025 hasta diciembre de 2026, abarcando un total de 19 meses."/>
    <x v="1"/>
    <x v="30"/>
    <n v="5"/>
    <n v="1"/>
    <x v="34"/>
    <x v="53"/>
    <x v="5"/>
    <x v="5"/>
    <x v="18"/>
    <x v="21"/>
    <s v="64-2565594-"/>
    <s v="sandra.espinoza@redsalud.gob.cl"/>
    <x v="10"/>
    <d v="2025-08-20T00:00:00"/>
    <n v="27"/>
    <s v="1057532-4899-CM25"/>
    <n v="1"/>
    <n v="916666"/>
    <d v="2026-01-01T00:00:00"/>
    <x v="0"/>
  </r>
  <r>
    <s v="SERVICIO DE SALUD OSORNO"/>
    <x v="0"/>
    <x v="27"/>
    <s v="Proyecto operacional"/>
    <s v="Publicado"/>
    <s v="22.08.007"/>
    <x v="28"/>
    <s v="Se requiere contar con un Proyecto PAC específico para Pasajes, a fin de poder vincular las Órdenes de Compra en la plataforma de Mercado Público. Este proyecto debe estar incorporado en el PAC General del DSSO, con un período de vigencia desde junio de 2025 hasta diciembre de 2026, abarcando un total de 19 meses."/>
    <x v="1"/>
    <x v="30"/>
    <n v="5"/>
    <n v="1"/>
    <x v="34"/>
    <x v="53"/>
    <x v="5"/>
    <x v="5"/>
    <x v="18"/>
    <x v="21"/>
    <s v="64-2565594-"/>
    <s v="sandra.espinoza@redsalud.gob.cl"/>
    <x v="10"/>
    <d v="2025-08-20T00:00:00"/>
    <n v="27"/>
    <s v="1057532-5335-CM25"/>
    <n v="1"/>
    <n v="916666"/>
    <d v="2026-02-01T00:00:00"/>
    <x v="0"/>
  </r>
  <r>
    <s v="SERVICIO DE SALUD OSORNO"/>
    <x v="0"/>
    <x v="27"/>
    <s v="Proyecto operacional"/>
    <s v="Publicado"/>
    <s v="22.08.007"/>
    <x v="28"/>
    <s v="Se requiere contar con un Proyecto PAC específico para Pasajes, a fin de poder vincular las Órdenes de Compra en la plataforma de Mercado Público. Este proyecto debe estar incorporado en el PAC General del DSSO, con un período de vigencia desde junio de 2025 hasta diciembre de 2026, abarcando un total de 19 meses."/>
    <x v="1"/>
    <x v="30"/>
    <n v="5"/>
    <n v="1"/>
    <x v="34"/>
    <x v="54"/>
    <x v="5"/>
    <x v="5"/>
    <x v="18"/>
    <x v="21"/>
    <s v="64-2565594-"/>
    <s v="sandra.espinoza@redsalud.gob.cl"/>
    <x v="10"/>
    <d v="2025-08-20T00:00:00"/>
    <n v="27"/>
    <s v="1057532-4718-CM25"/>
    <n v="1"/>
    <n v="916678"/>
    <d v="2026-12-01T00:00:00"/>
    <x v="0"/>
  </r>
  <r>
    <s v="SERVICIO DE SALUD OSORNO"/>
    <x v="0"/>
    <x v="28"/>
    <s v="Proyecto operacional"/>
    <s v="Publicado"/>
    <s v="22.01.001.001"/>
    <x v="29"/>
    <s v="Mes de Ejecución, Enero 2026 Periodo de Vigencia, Enero 2026 a Diciembre 2026 Se comprarán artículos para consumo y reposición en el caso de los artículos de limpieza. Para un año de gestión . Se establece la compra de alimentos y útiles de aseo para 12 personas que realizan tratamiento intensivo en el programa Residencial de la Unidad, y los para el desarrollo de los grupos de Comunidad Ambulatoria entre otros Taller de Género, Grupo Semillero, Autoayuda y Adolescentes."/>
    <x v="1"/>
    <x v="31"/>
    <n v="4"/>
    <n v="12"/>
    <x v="35"/>
    <x v="55"/>
    <x v="11"/>
    <x v="18"/>
    <x v="19"/>
    <x v="22"/>
    <s v="64-2565492-"/>
    <s v="mariaines.asenjo@redsalud.gob.cl"/>
    <x v="7"/>
    <d v="2025-08-20T00:00:00"/>
    <n v="2"/>
    <s v="1057532-5735-AG25"/>
    <n v="1"/>
    <n v="2750000"/>
    <d v="2026-04-01T00:00:00"/>
    <x v="0"/>
  </r>
  <r>
    <s v="SERVICIO DE SALUD OSORNO"/>
    <x v="0"/>
    <x v="28"/>
    <s v="Proyecto operacional"/>
    <s v="Publicado"/>
    <s v="22.01.001.001"/>
    <x v="29"/>
    <s v="Mes de Ejecución, Enero 2026 Periodo de Vigencia, Enero 2026 a Diciembre 2026 Se comprarán artículos para consumo y reposición en el caso de los artículos de limpieza. Para un año de gestión . Se establece la compra de alimentos y útiles de aseo para 12 personas que realizan tratamiento intensivo en el programa Residencial de la Unidad, y los para el desarrollo de los grupos de Comunidad Ambulatoria entre otros Taller de Género, Grupo Semillero, Autoayuda y Adolescentes."/>
    <x v="1"/>
    <x v="31"/>
    <n v="4"/>
    <n v="12"/>
    <x v="35"/>
    <x v="55"/>
    <x v="11"/>
    <x v="18"/>
    <x v="19"/>
    <x v="22"/>
    <s v="64-2565492-"/>
    <s v="mariaines.asenjo@redsalud.gob.cl"/>
    <x v="7"/>
    <d v="2025-08-20T00:00:00"/>
    <n v="2"/>
    <s v="1057532-5735-AG25"/>
    <n v="1"/>
    <n v="2750000"/>
    <d v="2026-02-01T00:00:00"/>
    <x v="0"/>
  </r>
  <r>
    <s v="SERVICIO DE SALUD OSORNO"/>
    <x v="0"/>
    <x v="28"/>
    <s v="Proyecto operacional"/>
    <s v="Publicado"/>
    <s v="22.01.001.001"/>
    <x v="29"/>
    <s v="Mes de Ejecución, Enero 2026 Periodo de Vigencia, Enero 2026 a Diciembre 2026 Se comprarán artículos para consumo y reposición en el caso de los artículos de limpieza. Para un año de gestión . Se establece la compra de alimentos y útiles de aseo para 12 personas que realizan tratamiento intensivo en el programa Residencial de la Unidad, y los para el desarrollo de los grupos de Comunidad Ambulatoria entre otros Taller de Género, Grupo Semillero, Autoayuda y Adolescentes."/>
    <x v="1"/>
    <x v="31"/>
    <n v="4"/>
    <n v="12"/>
    <x v="35"/>
    <x v="55"/>
    <x v="11"/>
    <x v="18"/>
    <x v="19"/>
    <x v="22"/>
    <s v="64-2565492-"/>
    <s v="mariaines.asenjo@redsalud.gob.cl"/>
    <x v="7"/>
    <d v="2025-08-20T00:00:00"/>
    <n v="2"/>
    <s v="1057532-5735-AG25"/>
    <n v="1"/>
    <n v="2750000"/>
    <d v="2026-07-01T00:00:00"/>
    <x v="0"/>
  </r>
  <r>
    <s v="SERVICIO DE SALUD OSORNO"/>
    <x v="0"/>
    <x v="28"/>
    <s v="Proyecto operacional"/>
    <s v="Publicado"/>
    <s v="22.01.001.001"/>
    <x v="29"/>
    <s v="Mes de Ejecución, Enero 2026 Periodo de Vigencia, Enero 2026 a Diciembre 2026 Se comprarán artículos para consumo y reposición en el caso de los artículos de limpieza. Para un año de gestión . Se establece la compra de alimentos y útiles de aseo para 12 personas que realizan tratamiento intensivo en el programa Residencial de la Unidad, y los para el desarrollo de los grupos de Comunidad Ambulatoria entre otros Taller de Género, Grupo Semillero, Autoayuda y Adolescentes."/>
    <x v="1"/>
    <x v="31"/>
    <n v="4"/>
    <n v="12"/>
    <x v="35"/>
    <x v="55"/>
    <x v="11"/>
    <x v="18"/>
    <x v="19"/>
    <x v="22"/>
    <s v="64-2565492-"/>
    <s v="mariaines.asenjo@redsalud.gob.cl"/>
    <x v="7"/>
    <d v="2025-08-20T00:00:00"/>
    <n v="2"/>
    <s v="1057532-5735-AG25"/>
    <n v="1"/>
    <n v="2750000"/>
    <d v="2026-05-01T00:00:00"/>
    <x v="0"/>
  </r>
  <r>
    <s v="SERVICIO DE SALUD OSORNO"/>
    <x v="0"/>
    <x v="28"/>
    <s v="Proyecto operacional"/>
    <s v="Publicado"/>
    <s v="22.01.001.001"/>
    <x v="29"/>
    <s v="Mes de Ejecución, Enero 2026 Periodo de Vigencia, Enero 2026 a Diciembre 2026 Se comprarán artículos para consumo y reposición en el caso de los artículos de limpieza. Para un año de gestión . Se establece la compra de alimentos y útiles de aseo para 12 personas que realizan tratamiento intensivo en el programa Residencial de la Unidad, y los para el desarrollo de los grupos de Comunidad Ambulatoria entre otros Taller de Género, Grupo Semillero, Autoayuda y Adolescentes."/>
    <x v="1"/>
    <x v="31"/>
    <n v="4"/>
    <n v="12"/>
    <x v="35"/>
    <x v="55"/>
    <x v="11"/>
    <x v="18"/>
    <x v="19"/>
    <x v="22"/>
    <s v="64-2565492-"/>
    <s v="mariaines.asenjo@redsalud.gob.cl"/>
    <x v="7"/>
    <d v="2025-08-20T00:00:00"/>
    <n v="2"/>
    <s v="1057532-5753-AG25"/>
    <n v="1"/>
    <n v="2750000"/>
    <d v="2026-12-01T00:00:00"/>
    <x v="0"/>
  </r>
  <r>
    <s v="SERVICIO DE SALUD OSORNO"/>
    <x v="0"/>
    <x v="28"/>
    <s v="Proyecto operacional"/>
    <s v="Publicado"/>
    <s v="22.01.001.001"/>
    <x v="29"/>
    <s v="Mes de Ejecución, Enero 2026 Periodo de Vigencia, Enero 2026 a Diciembre 2026 Se comprarán artículos para consumo y reposición en el caso de los artículos de limpieza. Para un año de gestión . Se establece la compra de alimentos y útiles de aseo para 12 personas que realizan tratamiento intensivo en el programa Residencial de la Unidad, y los para el desarrollo de los grupos de Comunidad Ambulatoria entre otros Taller de Género, Grupo Semillero, Autoayuda y Adolescentes."/>
    <x v="1"/>
    <x v="31"/>
    <n v="4"/>
    <n v="12"/>
    <x v="35"/>
    <x v="55"/>
    <x v="11"/>
    <x v="18"/>
    <x v="19"/>
    <x v="22"/>
    <s v="64-2565492-"/>
    <s v="mariaines.asenjo@redsalud.gob.cl"/>
    <x v="7"/>
    <d v="2025-08-20T00:00:00"/>
    <n v="2"/>
    <s v="1057532-5735-AG25"/>
    <n v="1"/>
    <n v="2750000"/>
    <d v="2026-08-01T00:00:00"/>
    <x v="0"/>
  </r>
  <r>
    <s v="SERVICIO DE SALUD OSORNO"/>
    <x v="0"/>
    <x v="28"/>
    <s v="Proyecto operacional"/>
    <s v="Publicado"/>
    <s v="22.01.001.001"/>
    <x v="29"/>
    <s v="Mes de Ejecución, Enero 2026 Periodo de Vigencia, Enero 2026 a Diciembre 2026 Se comprarán artículos para consumo y reposición en el caso de los artículos de limpieza. Para un año de gestión . Se establece la compra de alimentos y útiles de aseo para 12 personas que realizan tratamiento intensivo en el programa Residencial de la Unidad, y los para el desarrollo de los grupos de Comunidad Ambulatoria entre otros Taller de Género, Grupo Semillero, Autoayuda y Adolescentes."/>
    <x v="1"/>
    <x v="31"/>
    <n v="4"/>
    <n v="12"/>
    <x v="35"/>
    <x v="55"/>
    <x v="11"/>
    <x v="18"/>
    <x v="19"/>
    <x v="22"/>
    <s v="64-2565492-"/>
    <s v="mariaines.asenjo@redsalud.gob.cl"/>
    <x v="7"/>
    <d v="2025-08-20T00:00:00"/>
    <n v="2"/>
    <s v="1057532-5735-AG25"/>
    <n v="1"/>
    <n v="2750000"/>
    <d v="2026-03-01T00:00:00"/>
    <x v="0"/>
  </r>
  <r>
    <s v="SERVICIO DE SALUD OSORNO"/>
    <x v="0"/>
    <x v="28"/>
    <s v="Proyecto operacional"/>
    <s v="Publicado"/>
    <s v="22.01.001.001"/>
    <x v="29"/>
    <s v="Mes de Ejecución, Enero 2026 Periodo de Vigencia, Enero 2026 a Diciembre 2026 Se comprarán artículos para consumo y reposición en el caso de los artículos de limpieza. Para un año de gestión . Se establece la compra de alimentos y útiles de aseo para 12 personas que realizan tratamiento intensivo en el programa Residencial de la Unidad, y los para el desarrollo de los grupos de Comunidad Ambulatoria entre otros Taller de Género, Grupo Semillero, Autoayuda y Adolescentes."/>
    <x v="1"/>
    <x v="31"/>
    <n v="4"/>
    <n v="12"/>
    <x v="35"/>
    <x v="55"/>
    <x v="11"/>
    <x v="18"/>
    <x v="19"/>
    <x v="22"/>
    <s v="64-2565492-"/>
    <s v="mariaines.asenjo@redsalud.gob.cl"/>
    <x v="7"/>
    <d v="2025-08-20T00:00:00"/>
    <n v="2"/>
    <s v="1057532-5735-AG25"/>
    <n v="1"/>
    <n v="2750000"/>
    <d v="2026-12-01T00:00:00"/>
    <x v="0"/>
  </r>
  <r>
    <s v="SERVICIO DE SALUD OSORNO"/>
    <x v="0"/>
    <x v="28"/>
    <s v="Proyecto operacional"/>
    <s v="Publicado"/>
    <s v="22.01.001.001"/>
    <x v="29"/>
    <s v="Mes de Ejecución, Enero 2026 Periodo de Vigencia, Enero 2026 a Diciembre 2026 Se comprarán artículos para consumo y reposición en el caso de los artículos de limpieza. Para un año de gestión . Se establece la compra de alimentos y útiles de aseo para 12 personas que realizan tratamiento intensivo en el programa Residencial de la Unidad, y los para el desarrollo de los grupos de Comunidad Ambulatoria entre otros Taller de Género, Grupo Semillero, Autoayuda y Adolescentes."/>
    <x v="1"/>
    <x v="31"/>
    <n v="4"/>
    <n v="12"/>
    <x v="35"/>
    <x v="55"/>
    <x v="11"/>
    <x v="18"/>
    <x v="19"/>
    <x v="22"/>
    <s v="64-2565492-"/>
    <s v="mariaines.asenjo@redsalud.gob.cl"/>
    <x v="7"/>
    <d v="2025-08-20T00:00:00"/>
    <n v="2"/>
    <s v="1057532-5735-AG25"/>
    <n v="1"/>
    <n v="2750000"/>
    <d v="2026-10-01T00:00:00"/>
    <x v="0"/>
  </r>
  <r>
    <s v="SERVICIO DE SALUD OSORNO"/>
    <x v="0"/>
    <x v="28"/>
    <s v="Proyecto operacional"/>
    <s v="Publicado"/>
    <s v="22.01.001.001"/>
    <x v="29"/>
    <s v="Mes de Ejecución, Enero 2026 Periodo de Vigencia, Enero 2026 a Diciembre 2026 Se comprarán artículos para consumo y reposición en el caso de los artículos de limpieza. Para un año de gestión . Se establece la compra de alimentos y útiles de aseo para 12 personas que realizan tratamiento intensivo en el programa Residencial de la Unidad, y los para el desarrollo de los grupos de Comunidad Ambulatoria entre otros Taller de Género, Grupo Semillero, Autoayuda y Adolescentes."/>
    <x v="1"/>
    <x v="31"/>
    <n v="4"/>
    <n v="12"/>
    <x v="35"/>
    <x v="55"/>
    <x v="11"/>
    <x v="18"/>
    <x v="19"/>
    <x v="22"/>
    <s v="64-2565492-"/>
    <s v="mariaines.asenjo@redsalud.gob.cl"/>
    <x v="7"/>
    <d v="2025-08-20T00:00:00"/>
    <n v="2"/>
    <s v="1057532-5753-AG25"/>
    <n v="1"/>
    <n v="2750000"/>
    <d v="2026-02-01T00:00:00"/>
    <x v="0"/>
  </r>
  <r>
    <s v="SERVICIO DE SALUD OSORNO"/>
    <x v="0"/>
    <x v="28"/>
    <s v="Proyecto operacional"/>
    <s v="Publicado"/>
    <s v="22.01.001.001"/>
    <x v="29"/>
    <s v="Mes de Ejecución, Enero 2026 Periodo de Vigencia, Enero 2026 a Diciembre 2026 Se comprarán artículos para consumo y reposición en el caso de los artículos de limpieza. Para un año de gestión . Se establece la compra de alimentos y útiles de aseo para 12 personas que realizan tratamiento intensivo en el programa Residencial de la Unidad, y los para el desarrollo de los grupos de Comunidad Ambulatoria entre otros Taller de Género, Grupo Semillero, Autoayuda y Adolescentes."/>
    <x v="1"/>
    <x v="31"/>
    <n v="4"/>
    <n v="12"/>
    <x v="35"/>
    <x v="55"/>
    <x v="11"/>
    <x v="18"/>
    <x v="19"/>
    <x v="22"/>
    <s v="64-2565492-"/>
    <s v="mariaines.asenjo@redsalud.gob.cl"/>
    <x v="7"/>
    <d v="2025-08-20T00:00:00"/>
    <n v="2"/>
    <s v="1057532-5735-AG25"/>
    <n v="1"/>
    <n v="2750000"/>
    <d v="2026-09-01T00:00:00"/>
    <x v="0"/>
  </r>
  <r>
    <s v="SERVICIO DE SALUD OSORNO"/>
    <x v="0"/>
    <x v="29"/>
    <s v="Proyecto operacional"/>
    <s v="Publicado"/>
    <s v="22.01.001.003"/>
    <x v="30"/>
    <s v="Se requiere contar con un Proyecto PAC específico para los Servicios de Cafetería, con el propósito de normalizar y estandarizar las adquisiciones asociadas a este servicio. El período de vigencia del proyecto debe comprender desde enero hasta diciembre de 2026, cubriendo un total de 12 meses."/>
    <x v="1"/>
    <x v="32"/>
    <n v="4"/>
    <n v="1"/>
    <x v="36"/>
    <x v="56"/>
    <x v="11"/>
    <x v="19"/>
    <x v="18"/>
    <x v="23"/>
    <s v="64-2565594-"/>
    <s v="sandra.espinoza@redsalud.gob.cl"/>
    <x v="7"/>
    <d v="2025-08-20T00:00:00"/>
    <n v="1"/>
    <s v="1057532-5233-SE25"/>
    <n v="1"/>
    <n v="6666300"/>
    <d v="2026-01-01T00:00:00"/>
    <x v="0"/>
  </r>
  <r>
    <s v="SERVICIO DE SALUD OSORNO"/>
    <x v="0"/>
    <x v="29"/>
    <s v="Proyecto operacional"/>
    <s v="Publicado"/>
    <s v="22.01.001.003"/>
    <x v="30"/>
    <s v="Se requiere contar con un Proyecto PAC específico para los Servicios de Cafetería, con el propósito de normalizar y estandarizar las adquisiciones asociadas a este servicio. El período de vigencia del proyecto debe comprender desde enero hasta diciembre de 2026, cubriendo un total de 12 meses."/>
    <x v="1"/>
    <x v="32"/>
    <n v="4"/>
    <n v="1"/>
    <x v="36"/>
    <x v="57"/>
    <x v="11"/>
    <x v="19"/>
    <x v="18"/>
    <x v="23"/>
    <s v="64-2565594-"/>
    <s v="sandra.espinoza@redsalud.gob.cl"/>
    <x v="7"/>
    <d v="2025-08-20T00:00:00"/>
    <n v="1"/>
    <s v="1057532-5233-SE25"/>
    <n v="1"/>
    <n v="6666700"/>
    <d v="2026-03-01T00:00:00"/>
    <x v="0"/>
  </r>
  <r>
    <s v="SERVICIO DE SALUD OSORNO"/>
    <x v="0"/>
    <x v="29"/>
    <s v="Proyecto operacional"/>
    <s v="Publicado"/>
    <s v="22.01.001.003"/>
    <x v="30"/>
    <s v="Se requiere contar con un Proyecto PAC específico para los Servicios de Cafetería, con el propósito de normalizar y estandarizar las adquisiciones asociadas a este servicio. El período de vigencia del proyecto debe comprender desde enero hasta diciembre de 2026, cubriendo un total de 12 meses."/>
    <x v="1"/>
    <x v="32"/>
    <n v="4"/>
    <n v="1"/>
    <x v="36"/>
    <x v="57"/>
    <x v="11"/>
    <x v="19"/>
    <x v="18"/>
    <x v="23"/>
    <s v="64-2565594-"/>
    <s v="sandra.espinoza@redsalud.gob.cl"/>
    <x v="7"/>
    <d v="2025-08-20T00:00:00"/>
    <n v="1"/>
    <s v="1057532-5233-SE25"/>
    <n v="1"/>
    <n v="6666700"/>
    <d v="2026-07-01T00:00:00"/>
    <x v="0"/>
  </r>
  <r>
    <s v="SERVICIO DE SALUD OSORNO"/>
    <x v="0"/>
    <x v="29"/>
    <s v="Proyecto operacional"/>
    <s v="Publicado"/>
    <s v="22.01.001.003"/>
    <x v="30"/>
    <s v="Se requiere contar con un Proyecto PAC específico para los Servicios de Cafetería, con el propósito de normalizar y estandarizar las adquisiciones asociadas a este servicio. El período de vigencia del proyecto debe comprender desde enero hasta diciembre de 2026, cubriendo un total de 12 meses."/>
    <x v="1"/>
    <x v="32"/>
    <n v="4"/>
    <n v="1"/>
    <x v="36"/>
    <x v="57"/>
    <x v="11"/>
    <x v="19"/>
    <x v="18"/>
    <x v="23"/>
    <s v="64-2565594-"/>
    <s v="sandra.espinoza@redsalud.gob.cl"/>
    <x v="7"/>
    <d v="2025-08-20T00:00:00"/>
    <n v="1"/>
    <s v="1057532-5233-SE25"/>
    <n v="1"/>
    <n v="6666700"/>
    <d v="2026-11-01T00:00:00"/>
    <x v="0"/>
  </r>
  <r>
    <s v="SERVICIO DE SALUD OSORNO"/>
    <x v="0"/>
    <x v="29"/>
    <s v="Proyecto operacional"/>
    <s v="Publicado"/>
    <s v="22.01.001.003"/>
    <x v="30"/>
    <s v="Se requiere contar con un Proyecto PAC específico para los Servicios de Cafetería, con el propósito de normalizar y estandarizar las adquisiciones asociadas a este servicio. El período de vigencia del proyecto debe comprender desde enero hasta diciembre de 2026, cubriendo un total de 12 meses."/>
    <x v="1"/>
    <x v="32"/>
    <n v="4"/>
    <n v="1"/>
    <x v="36"/>
    <x v="57"/>
    <x v="11"/>
    <x v="19"/>
    <x v="18"/>
    <x v="23"/>
    <s v="64-2565594-"/>
    <s v="sandra.espinoza@redsalud.gob.cl"/>
    <x v="7"/>
    <d v="2025-08-20T00:00:00"/>
    <n v="1"/>
    <s v="1057532-5233-SE25"/>
    <n v="1"/>
    <n v="6666700"/>
    <d v="2026-05-01T00:00:00"/>
    <x v="0"/>
  </r>
  <r>
    <s v="SERVICIO DE SALUD OSORNO"/>
    <x v="0"/>
    <x v="29"/>
    <s v="Proyecto operacional"/>
    <s v="Publicado"/>
    <s v="22.01.001.003"/>
    <x v="30"/>
    <s v="Se requiere contar con un Proyecto PAC específico para los Servicios de Cafetería, con el propósito de normalizar y estandarizar las adquisiciones asociadas a este servicio. El período de vigencia del proyecto debe comprender desde enero hasta diciembre de 2026, cubriendo un total de 12 meses."/>
    <x v="1"/>
    <x v="32"/>
    <n v="4"/>
    <n v="1"/>
    <x v="36"/>
    <x v="57"/>
    <x v="11"/>
    <x v="19"/>
    <x v="18"/>
    <x v="23"/>
    <s v="64-2565594-"/>
    <s v="sandra.espinoza@redsalud.gob.cl"/>
    <x v="7"/>
    <d v="2025-08-20T00:00:00"/>
    <n v="1"/>
    <s v="1057532-5233-SE25"/>
    <n v="1"/>
    <n v="6666700"/>
    <d v="2026-08-01T00:00:00"/>
    <x v="0"/>
  </r>
  <r>
    <s v="SERVICIO DE SALUD OSORNO"/>
    <x v="0"/>
    <x v="29"/>
    <s v="Proyecto operacional"/>
    <s v="Publicado"/>
    <s v="22.01.001.003"/>
    <x v="30"/>
    <s v="Se requiere contar con un Proyecto PAC específico para los Servicios de Cafetería, con el propósito de normalizar y estandarizar las adquisiciones asociadas a este servicio. El período de vigencia del proyecto debe comprender desde enero hasta diciembre de 2026, cubriendo un total de 12 meses."/>
    <x v="1"/>
    <x v="32"/>
    <n v="4"/>
    <n v="1"/>
    <x v="36"/>
    <x v="57"/>
    <x v="11"/>
    <x v="19"/>
    <x v="18"/>
    <x v="23"/>
    <s v="64-2565594-"/>
    <s v="sandra.espinoza@redsalud.gob.cl"/>
    <x v="7"/>
    <d v="2025-08-20T00:00:00"/>
    <n v="1"/>
    <s v="1057532-5233-SE25"/>
    <n v="1"/>
    <n v="6666700"/>
    <d v="2026-04-01T00:00:00"/>
    <x v="0"/>
  </r>
  <r>
    <s v="SERVICIO DE SALUD OSORNO"/>
    <x v="0"/>
    <x v="29"/>
    <s v="Proyecto operacional"/>
    <s v="Publicado"/>
    <s v="22.01.001.003"/>
    <x v="30"/>
    <s v="Se requiere contar con un Proyecto PAC específico para los Servicios de Cafetería, con el propósito de normalizar y estandarizar las adquisiciones asociadas a este servicio. El período de vigencia del proyecto debe comprender desde enero hasta diciembre de 2026, cubriendo un total de 12 meses."/>
    <x v="1"/>
    <x v="32"/>
    <n v="4"/>
    <n v="1"/>
    <x v="36"/>
    <x v="57"/>
    <x v="11"/>
    <x v="19"/>
    <x v="18"/>
    <x v="23"/>
    <s v="64-2565594-"/>
    <s v="sandra.espinoza@redsalud.gob.cl"/>
    <x v="7"/>
    <d v="2025-08-20T00:00:00"/>
    <n v="1"/>
    <s v="1057532-5233-SE25"/>
    <n v="1"/>
    <n v="6666700"/>
    <d v="2026-02-01T00:00:00"/>
    <x v="0"/>
  </r>
  <r>
    <s v="SERVICIO DE SALUD OSORNO"/>
    <x v="0"/>
    <x v="29"/>
    <s v="Proyecto operacional"/>
    <s v="Publicado"/>
    <s v="22.01.001.003"/>
    <x v="30"/>
    <s v="Se requiere contar con un Proyecto PAC específico para los Servicios de Cafetería, con el propósito de normalizar y estandarizar las adquisiciones asociadas a este servicio. El período de vigencia del proyecto debe comprender desde enero hasta diciembre de 2026, cubriendo un total de 12 meses."/>
    <x v="1"/>
    <x v="32"/>
    <n v="4"/>
    <n v="1"/>
    <x v="36"/>
    <x v="57"/>
    <x v="11"/>
    <x v="19"/>
    <x v="18"/>
    <x v="23"/>
    <s v="64-2565594-"/>
    <s v="sandra.espinoza@redsalud.gob.cl"/>
    <x v="7"/>
    <d v="2025-08-20T00:00:00"/>
    <n v="1"/>
    <s v="1057532-5233-SE25"/>
    <n v="1"/>
    <n v="6666700"/>
    <d v="2026-06-01T00:00:00"/>
    <x v="0"/>
  </r>
  <r>
    <s v="SERVICIO DE SALUD OSORNO"/>
    <x v="0"/>
    <x v="29"/>
    <s v="Proyecto operacional"/>
    <s v="Publicado"/>
    <s v="22.01.001.003"/>
    <x v="30"/>
    <s v="Se requiere contar con un Proyecto PAC específico para los Servicios de Cafetería, con el propósito de normalizar y estandarizar las adquisiciones asociadas a este servicio. El período de vigencia del proyecto debe comprender desde enero hasta diciembre de 2026, cubriendo un total de 12 meses."/>
    <x v="1"/>
    <x v="32"/>
    <n v="4"/>
    <n v="1"/>
    <x v="36"/>
    <x v="57"/>
    <x v="11"/>
    <x v="19"/>
    <x v="18"/>
    <x v="23"/>
    <s v="64-2565594-"/>
    <s v="sandra.espinoza@redsalud.gob.cl"/>
    <x v="7"/>
    <d v="2025-08-20T00:00:00"/>
    <n v="1"/>
    <s v="1057532-5233-SE25"/>
    <n v="1"/>
    <n v="6666700"/>
    <d v="2026-12-01T00:00:00"/>
    <x v="0"/>
  </r>
  <r>
    <s v="SERVICIO DE SALUD OSORNO"/>
    <x v="0"/>
    <x v="29"/>
    <s v="Proyecto operacional"/>
    <s v="Publicado"/>
    <s v="22.01.001.003"/>
    <x v="30"/>
    <s v="Se requiere contar con un Proyecto PAC específico para los Servicios de Cafetería, con el propósito de normalizar y estandarizar las adquisiciones asociadas a este servicio. El período de vigencia del proyecto debe comprender desde enero hasta diciembre de 2026, cubriendo un total de 12 meses."/>
    <x v="1"/>
    <x v="32"/>
    <n v="4"/>
    <n v="1"/>
    <x v="36"/>
    <x v="57"/>
    <x v="11"/>
    <x v="19"/>
    <x v="18"/>
    <x v="23"/>
    <s v="64-2565594-"/>
    <s v="sandra.espinoza@redsalud.gob.cl"/>
    <x v="7"/>
    <d v="2025-08-20T00:00:00"/>
    <n v="1"/>
    <s v="1057532-5233-SE25"/>
    <n v="1"/>
    <n v="6666700"/>
    <d v="2026-09-01T00:00:00"/>
    <x v="0"/>
  </r>
  <r>
    <s v="SERVICIO DE SALUD OSORNO"/>
    <x v="0"/>
    <x v="29"/>
    <s v="Proyecto operacional"/>
    <s v="Publicado"/>
    <s v="22.01.001.003"/>
    <x v="30"/>
    <s v="Se requiere contar con un Proyecto PAC específico para los Servicios de Cafetería, con el propósito de normalizar y estandarizar las adquisiciones asociadas a este servicio. El período de vigencia del proyecto debe comprender desde enero hasta diciembre de 2026, cubriendo un total de 12 meses."/>
    <x v="1"/>
    <x v="32"/>
    <n v="4"/>
    <n v="1"/>
    <x v="36"/>
    <x v="57"/>
    <x v="11"/>
    <x v="19"/>
    <x v="18"/>
    <x v="23"/>
    <s v="64-2565594-"/>
    <s v="sandra.espinoza@redsalud.gob.cl"/>
    <x v="7"/>
    <d v="2025-08-20T00:00:00"/>
    <n v="1"/>
    <s v="1057532-5233-SE25"/>
    <n v="1"/>
    <n v="6666700"/>
    <d v="2026-10-01T00:00:00"/>
    <x v="0"/>
  </r>
  <r>
    <s v="SERVICIO DE SALUD OSORNO"/>
    <x v="1"/>
    <x v="30"/>
    <s v="Proyecto operacional"/>
    <s v="Publicado"/>
    <s v="22.08.007"/>
    <x v="31"/>
    <s v="Se requiere contar con servicio de movilización para el para traslado de funcionarios de COSAM Rahue dentro del territorio entre el 01/01/2026 al 31/12/2026, para la realización de actividades enmarcadas en la atención de salud a usuarios, teniendo presente el territorio a cargo, el cual contempla a la comuna de Osorno y San Juan de la Costa. Por lo anterior, el proceso de compra debe realizarse en el mes de julio 2025. Financiamiento a través de fondo extrapresupuestario SENDA PAI"/>
    <x v="1"/>
    <x v="28"/>
    <n v="4"/>
    <n v="1"/>
    <x v="37"/>
    <x v="58"/>
    <x v="11"/>
    <x v="18"/>
    <x v="20"/>
    <x v="22"/>
    <s v="64-2565555-"/>
    <s v="yuvit.garciachacur@redsalud.gob.cl"/>
    <x v="12"/>
    <d v="2025-08-20T00:00:00"/>
    <n v="0"/>
    <m/>
    <n v="1"/>
    <n v="1583333"/>
    <d v="2026-12-01T00:00:00"/>
    <x v="0"/>
  </r>
  <r>
    <s v="SERVICIO DE SALUD OSORNO"/>
    <x v="1"/>
    <x v="30"/>
    <s v="Proyecto operacional"/>
    <s v="Publicado"/>
    <s v="22.08.007"/>
    <x v="31"/>
    <s v="Se requiere contar con servicio de movilización para el para traslado de funcionarios de COSAM Rahue dentro del territorio entre el 01/01/2026 al 31/12/2026, para la realización de actividades enmarcadas en la atención de salud a usuarios, teniendo presente el territorio a cargo, el cual contempla a la comuna de Osorno y San Juan de la Costa. Por lo anterior, el proceso de compra debe realizarse en el mes de julio 2025. Financiamiento a través de fondo extrapresupuestario SENDA PAI"/>
    <x v="1"/>
    <x v="28"/>
    <n v="4"/>
    <n v="1"/>
    <x v="37"/>
    <x v="58"/>
    <x v="11"/>
    <x v="18"/>
    <x v="20"/>
    <x v="22"/>
    <s v="64-2565555-"/>
    <s v="yuvit.garciachacur@redsalud.gob.cl"/>
    <x v="12"/>
    <d v="2025-08-20T00:00:00"/>
    <n v="0"/>
    <m/>
    <n v="1"/>
    <n v="1583333"/>
    <d v="2026-10-01T00:00:00"/>
    <x v="0"/>
  </r>
  <r>
    <s v="SERVICIO DE SALUD OSORNO"/>
    <x v="1"/>
    <x v="30"/>
    <s v="Proyecto operacional"/>
    <s v="Publicado"/>
    <s v="22.08.007"/>
    <x v="31"/>
    <s v="Se requiere contar con servicio de movilización para el para traslado de funcionarios de COSAM Rahue dentro del territorio entre el 01/01/2026 al 31/12/2026, para la realización de actividades enmarcadas en la atención de salud a usuarios, teniendo presente el territorio a cargo, el cual contempla a la comuna de Osorno y San Juan de la Costa. Por lo anterior, el proceso de compra debe realizarse en el mes de julio 2025. Financiamiento a través de fondo extrapresupuestario SENDA PAI"/>
    <x v="1"/>
    <x v="28"/>
    <n v="4"/>
    <n v="1"/>
    <x v="37"/>
    <x v="58"/>
    <x v="11"/>
    <x v="18"/>
    <x v="20"/>
    <x v="22"/>
    <s v="64-2565555-"/>
    <s v="yuvit.garciachacur@redsalud.gob.cl"/>
    <x v="12"/>
    <d v="2025-08-20T00:00:00"/>
    <n v="0"/>
    <m/>
    <n v="1"/>
    <n v="1583333"/>
    <d v="2026-04-01T00:00:00"/>
    <x v="0"/>
  </r>
  <r>
    <s v="SERVICIO DE SALUD OSORNO"/>
    <x v="1"/>
    <x v="30"/>
    <s v="Proyecto operacional"/>
    <s v="Publicado"/>
    <s v="22.08.007"/>
    <x v="31"/>
    <s v="Se requiere contar con servicio de movilización para el para traslado de funcionarios de COSAM Rahue dentro del territorio entre el 01/01/2026 al 31/12/2026, para la realización de actividades enmarcadas en la atención de salud a usuarios, teniendo presente el territorio a cargo, el cual contempla a la comuna de Osorno y San Juan de la Costa. Por lo anterior, el proceso de compra debe realizarse en el mes de julio 2025. Financiamiento a través de fondo extrapresupuestario SENDA PAI"/>
    <x v="1"/>
    <x v="28"/>
    <n v="4"/>
    <n v="1"/>
    <x v="37"/>
    <x v="58"/>
    <x v="11"/>
    <x v="18"/>
    <x v="20"/>
    <x v="22"/>
    <s v="64-2565555-"/>
    <s v="yuvit.garciachacur@redsalud.gob.cl"/>
    <x v="12"/>
    <d v="2025-08-20T00:00:00"/>
    <n v="0"/>
    <m/>
    <n v="1"/>
    <n v="1583333"/>
    <d v="2026-11-01T00:00:00"/>
    <x v="0"/>
  </r>
  <r>
    <s v="SERVICIO DE SALUD OSORNO"/>
    <x v="1"/>
    <x v="30"/>
    <s v="Proyecto operacional"/>
    <s v="Publicado"/>
    <s v="22.08.007"/>
    <x v="31"/>
    <s v="Se requiere contar con servicio de movilización para el para traslado de funcionarios de COSAM Rahue dentro del territorio entre el 01/01/2026 al 31/12/2026, para la realización de actividades enmarcadas en la atención de salud a usuarios, teniendo presente el territorio a cargo, el cual contempla a la comuna de Osorno y San Juan de la Costa. Por lo anterior, el proceso de compra debe realizarse en el mes de julio 2025. Financiamiento a través de fondo extrapresupuestario SENDA PAI"/>
    <x v="1"/>
    <x v="28"/>
    <n v="4"/>
    <n v="1"/>
    <x v="37"/>
    <x v="58"/>
    <x v="11"/>
    <x v="18"/>
    <x v="20"/>
    <x v="22"/>
    <s v="64-2565555-"/>
    <s v="yuvit.garciachacur@redsalud.gob.cl"/>
    <x v="12"/>
    <d v="2025-08-20T00:00:00"/>
    <n v="0"/>
    <m/>
    <n v="1"/>
    <n v="1583333"/>
    <d v="2026-02-01T00:00:00"/>
    <x v="0"/>
  </r>
  <r>
    <s v="SERVICIO DE SALUD OSORNO"/>
    <x v="1"/>
    <x v="30"/>
    <s v="Proyecto operacional"/>
    <s v="Publicado"/>
    <s v="22.08.007"/>
    <x v="31"/>
    <s v="Se requiere contar con servicio de movilización para el para traslado de funcionarios de COSAM Rahue dentro del territorio entre el 01/01/2026 al 31/12/2026, para la realización de actividades enmarcadas en la atención de salud a usuarios, teniendo presente el territorio a cargo, el cual contempla a la comuna de Osorno y San Juan de la Costa. Por lo anterior, el proceso de compra debe realizarse en el mes de julio 2025. Financiamiento a través de fondo extrapresupuestario SENDA PAI"/>
    <x v="1"/>
    <x v="28"/>
    <n v="4"/>
    <n v="1"/>
    <x v="37"/>
    <x v="58"/>
    <x v="11"/>
    <x v="18"/>
    <x v="20"/>
    <x v="22"/>
    <s v="64-2565555-"/>
    <s v="yuvit.garciachacur@redsalud.gob.cl"/>
    <x v="12"/>
    <d v="2025-08-20T00:00:00"/>
    <n v="0"/>
    <m/>
    <n v="1"/>
    <n v="1583333"/>
    <d v="2026-06-01T00:00:00"/>
    <x v="0"/>
  </r>
  <r>
    <s v="SERVICIO DE SALUD OSORNO"/>
    <x v="1"/>
    <x v="30"/>
    <s v="Proyecto operacional"/>
    <s v="Publicado"/>
    <s v="22.08.007"/>
    <x v="31"/>
    <s v="Se requiere contar con servicio de movilización para el para traslado de funcionarios de COSAM Rahue dentro del territorio entre el 01/01/2026 al 31/12/2026, para la realización de actividades enmarcadas en la atención de salud a usuarios, teniendo presente el territorio a cargo, el cual contempla a la comuna de Osorno y San Juan de la Costa. Por lo anterior, el proceso de compra debe realizarse en el mes de julio 2025. Financiamiento a través de fondo extrapresupuestario SENDA PAI"/>
    <x v="1"/>
    <x v="28"/>
    <n v="4"/>
    <n v="1"/>
    <x v="37"/>
    <x v="58"/>
    <x v="11"/>
    <x v="18"/>
    <x v="20"/>
    <x v="22"/>
    <s v="64-2565555-"/>
    <s v="yuvit.garciachacur@redsalud.gob.cl"/>
    <x v="12"/>
    <d v="2025-08-20T00:00:00"/>
    <n v="0"/>
    <m/>
    <n v="1"/>
    <n v="1583333"/>
    <d v="2026-05-01T00:00:00"/>
    <x v="0"/>
  </r>
  <r>
    <s v="SERVICIO DE SALUD OSORNO"/>
    <x v="1"/>
    <x v="30"/>
    <s v="Proyecto operacional"/>
    <s v="Publicado"/>
    <s v="22.08.007"/>
    <x v="31"/>
    <s v="Se requiere contar con servicio de movilización para el para traslado de funcionarios de COSAM Rahue dentro del territorio entre el 01/01/2026 al 31/12/2026, para la realización de actividades enmarcadas en la atención de salud a usuarios, teniendo presente el territorio a cargo, el cual contempla a la comuna de Osorno y San Juan de la Costa. Por lo anterior, el proceso de compra debe realizarse en el mes de julio 2025. Financiamiento a través de fondo extrapresupuestario SENDA PAI"/>
    <x v="1"/>
    <x v="28"/>
    <n v="4"/>
    <n v="1"/>
    <x v="37"/>
    <x v="58"/>
    <x v="11"/>
    <x v="18"/>
    <x v="20"/>
    <x v="22"/>
    <s v="64-2565555-"/>
    <s v="yuvit.garciachacur@redsalud.gob.cl"/>
    <x v="12"/>
    <d v="2025-08-20T00:00:00"/>
    <n v="0"/>
    <m/>
    <n v="1"/>
    <n v="1583333"/>
    <d v="2026-03-01T00:00:00"/>
    <x v="0"/>
  </r>
  <r>
    <s v="SERVICIO DE SALUD OSORNO"/>
    <x v="1"/>
    <x v="30"/>
    <s v="Proyecto operacional"/>
    <s v="Publicado"/>
    <s v="22.08.007"/>
    <x v="31"/>
    <s v="Se requiere contar con servicio de movilización para el para traslado de funcionarios de COSAM Rahue dentro del territorio entre el 01/01/2026 al 31/12/2026, para la realización de actividades enmarcadas en la atención de salud a usuarios, teniendo presente el territorio a cargo, el cual contempla a la comuna de Osorno y San Juan de la Costa. Por lo anterior, el proceso de compra debe realizarse en el mes de julio 2025. Financiamiento a través de fondo extrapresupuestario SENDA PAI"/>
    <x v="1"/>
    <x v="28"/>
    <n v="4"/>
    <n v="1"/>
    <x v="37"/>
    <x v="58"/>
    <x v="11"/>
    <x v="18"/>
    <x v="20"/>
    <x v="22"/>
    <s v="64-2565555-"/>
    <s v="yuvit.garciachacur@redsalud.gob.cl"/>
    <x v="12"/>
    <d v="2025-08-20T00:00:00"/>
    <n v="0"/>
    <m/>
    <n v="1"/>
    <n v="1583333"/>
    <d v="2026-07-01T00:00:00"/>
    <x v="0"/>
  </r>
  <r>
    <s v="SERVICIO DE SALUD OSORNO"/>
    <x v="1"/>
    <x v="30"/>
    <s v="Proyecto operacional"/>
    <s v="Publicado"/>
    <s v="22.08.007"/>
    <x v="31"/>
    <s v="Se requiere contar con servicio de movilización para el para traslado de funcionarios de COSAM Rahue dentro del territorio entre el 01/01/2026 al 31/12/2026, para la realización de actividades enmarcadas en la atención de salud a usuarios, teniendo presente el territorio a cargo, el cual contempla a la comuna de Osorno y San Juan de la Costa. Por lo anterior, el proceso de compra debe realizarse en el mes de julio 2025. Financiamiento a través de fondo extrapresupuestario SENDA PAI"/>
    <x v="1"/>
    <x v="28"/>
    <n v="4"/>
    <n v="1"/>
    <x v="37"/>
    <x v="58"/>
    <x v="11"/>
    <x v="18"/>
    <x v="20"/>
    <x v="22"/>
    <s v="64-2565555-"/>
    <s v="yuvit.garciachacur@redsalud.gob.cl"/>
    <x v="12"/>
    <d v="2025-08-20T00:00:00"/>
    <n v="0"/>
    <m/>
    <n v="1"/>
    <n v="1583333"/>
    <d v="2026-08-01T00:00:00"/>
    <x v="0"/>
  </r>
  <r>
    <s v="SERVICIO DE SALUD OSORNO"/>
    <x v="1"/>
    <x v="30"/>
    <s v="Proyecto operacional"/>
    <s v="Publicado"/>
    <s v="22.08.007"/>
    <x v="31"/>
    <s v="Se requiere contar con servicio de movilización para el para traslado de funcionarios de COSAM Rahue dentro del territorio entre el 01/01/2026 al 31/12/2026, para la realización de actividades enmarcadas en la atención de salud a usuarios, teniendo presente el territorio a cargo, el cual contempla a la comuna de Osorno y San Juan de la Costa. Por lo anterior, el proceso de compra debe realizarse en el mes de julio 2025. Financiamiento a través de fondo extrapresupuestario SENDA PAI"/>
    <x v="1"/>
    <x v="28"/>
    <n v="4"/>
    <n v="1"/>
    <x v="37"/>
    <x v="58"/>
    <x v="11"/>
    <x v="18"/>
    <x v="20"/>
    <x v="22"/>
    <s v="64-2565555-"/>
    <s v="yuvit.garciachacur@redsalud.gob.cl"/>
    <x v="12"/>
    <d v="2025-08-20T00:00:00"/>
    <n v="0"/>
    <m/>
    <n v="1"/>
    <n v="1583333"/>
    <d v="2026-09-01T00:00:00"/>
    <x v="0"/>
  </r>
  <r>
    <s v="SERVICIO DE SALUD OSORNO"/>
    <x v="0"/>
    <x v="31"/>
    <s v="Proyecto operacional"/>
    <s v="Publicado"/>
    <s v="22.08.007"/>
    <x v="32"/>
    <s v="El objetivo es mejorar la capacidad de respuesta y la calidad de la atención que se brinda a la población. Con un vehículo adecuado, permitirá realizar visitas domiciliarias, trasladar insumos y personal, traslado de muestras de exámenes al hospital base San José de Osorno, y facilitar la coordinación con otras instituciones."/>
    <x v="1"/>
    <x v="28"/>
    <n v="4"/>
    <n v="1"/>
    <x v="38"/>
    <x v="59"/>
    <x v="11"/>
    <x v="18"/>
    <x v="21"/>
    <x v="24"/>
    <s v="64-2565610-"/>
    <s v="pedro.fritz@redsalud.gob.cl"/>
    <x v="7"/>
    <d v="2025-08-20T00:00:00"/>
    <n v="0"/>
    <m/>
    <n v="1"/>
    <n v="1458333"/>
    <d v="2026-11-01T00:00:00"/>
    <x v="0"/>
  </r>
  <r>
    <s v="SERVICIO DE SALUD OSORNO"/>
    <x v="0"/>
    <x v="31"/>
    <s v="Proyecto operacional"/>
    <s v="Publicado"/>
    <s v="22.08.007"/>
    <x v="32"/>
    <s v="El objetivo es mejorar la capacidad de respuesta y la calidad de la atención que se brinda a la población. Con un vehículo adecuado, permitirá realizar visitas domiciliarias, trasladar insumos y personal, traslado de muestras de exámenes al hospital base San José de Osorno, y facilitar la coordinación con otras instituciones."/>
    <x v="1"/>
    <x v="28"/>
    <n v="4"/>
    <n v="1"/>
    <x v="38"/>
    <x v="59"/>
    <x v="11"/>
    <x v="18"/>
    <x v="21"/>
    <x v="24"/>
    <s v="64-2565610-"/>
    <s v="pedro.fritz@redsalud.gob.cl"/>
    <x v="7"/>
    <d v="2025-08-20T00:00:00"/>
    <n v="0"/>
    <m/>
    <n v="1"/>
    <n v="1458333"/>
    <d v="2026-12-01T00:00:00"/>
    <x v="0"/>
  </r>
  <r>
    <s v="SERVICIO DE SALUD OSORNO"/>
    <x v="0"/>
    <x v="31"/>
    <s v="Proyecto operacional"/>
    <s v="Publicado"/>
    <s v="22.08.007"/>
    <x v="32"/>
    <s v="El objetivo es mejorar la capacidad de respuesta y la calidad de la atención que se brinda a la población. Con un vehículo adecuado, permitirá realizar visitas domiciliarias, trasladar insumos y personal, traslado de muestras de exámenes al hospital base San José de Osorno, y facilitar la coordinación con otras instituciones."/>
    <x v="1"/>
    <x v="28"/>
    <n v="4"/>
    <n v="1"/>
    <x v="38"/>
    <x v="59"/>
    <x v="11"/>
    <x v="18"/>
    <x v="21"/>
    <x v="24"/>
    <s v="64-2565610-"/>
    <s v="pedro.fritz@redsalud.gob.cl"/>
    <x v="7"/>
    <d v="2025-08-20T00:00:00"/>
    <n v="0"/>
    <m/>
    <n v="1"/>
    <n v="1458333"/>
    <d v="2026-04-01T00:00:00"/>
    <x v="0"/>
  </r>
  <r>
    <s v="SERVICIO DE SALUD OSORNO"/>
    <x v="0"/>
    <x v="31"/>
    <s v="Proyecto operacional"/>
    <s v="Publicado"/>
    <s v="22.08.007"/>
    <x v="32"/>
    <s v="El objetivo es mejorar la capacidad de respuesta y la calidad de la atención que se brinda a la población. Con un vehículo adecuado, permitirá realizar visitas domiciliarias, trasladar insumos y personal, traslado de muestras de exámenes al hospital base San José de Osorno, y facilitar la coordinación con otras instituciones."/>
    <x v="1"/>
    <x v="28"/>
    <n v="4"/>
    <n v="1"/>
    <x v="38"/>
    <x v="59"/>
    <x v="11"/>
    <x v="18"/>
    <x v="21"/>
    <x v="24"/>
    <s v="64-2565610-"/>
    <s v="pedro.fritz@redsalud.gob.cl"/>
    <x v="7"/>
    <d v="2025-08-20T00:00:00"/>
    <n v="0"/>
    <m/>
    <n v="1"/>
    <n v="1458333"/>
    <d v="2026-07-01T00:00:00"/>
    <x v="0"/>
  </r>
  <r>
    <s v="SERVICIO DE SALUD OSORNO"/>
    <x v="0"/>
    <x v="31"/>
    <s v="Proyecto operacional"/>
    <s v="Publicado"/>
    <s v="22.08.007"/>
    <x v="32"/>
    <s v="El objetivo es mejorar la capacidad de respuesta y la calidad de la atención que se brinda a la población. Con un vehículo adecuado, permitirá realizar visitas domiciliarias, trasladar insumos y personal, traslado de muestras de exámenes al hospital base San José de Osorno, y facilitar la coordinación con otras instituciones."/>
    <x v="1"/>
    <x v="28"/>
    <n v="4"/>
    <n v="1"/>
    <x v="38"/>
    <x v="59"/>
    <x v="11"/>
    <x v="18"/>
    <x v="21"/>
    <x v="24"/>
    <s v="64-2565610-"/>
    <s v="pedro.fritz@redsalud.gob.cl"/>
    <x v="7"/>
    <d v="2025-08-20T00:00:00"/>
    <n v="0"/>
    <m/>
    <n v="1"/>
    <n v="1458333"/>
    <d v="2026-06-01T00:00:00"/>
    <x v="0"/>
  </r>
  <r>
    <s v="SERVICIO DE SALUD OSORNO"/>
    <x v="0"/>
    <x v="31"/>
    <s v="Proyecto operacional"/>
    <s v="Publicado"/>
    <s v="22.08.007"/>
    <x v="32"/>
    <s v="El objetivo es mejorar la capacidad de respuesta y la calidad de la atención que se brinda a la población. Con un vehículo adecuado, permitirá realizar visitas domiciliarias, trasladar insumos y personal, traslado de muestras de exámenes al hospital base San José de Osorno, y facilitar la coordinación con otras instituciones."/>
    <x v="1"/>
    <x v="28"/>
    <n v="4"/>
    <n v="1"/>
    <x v="38"/>
    <x v="59"/>
    <x v="11"/>
    <x v="18"/>
    <x v="21"/>
    <x v="24"/>
    <s v="64-2565610-"/>
    <s v="pedro.fritz@redsalud.gob.cl"/>
    <x v="7"/>
    <d v="2025-08-20T00:00:00"/>
    <n v="0"/>
    <m/>
    <n v="1"/>
    <n v="1458333"/>
    <d v="2026-02-01T00:00:00"/>
    <x v="0"/>
  </r>
  <r>
    <s v="SERVICIO DE SALUD OSORNO"/>
    <x v="0"/>
    <x v="31"/>
    <s v="Proyecto operacional"/>
    <s v="Publicado"/>
    <s v="22.08.007"/>
    <x v="32"/>
    <s v="El objetivo es mejorar la capacidad de respuesta y la calidad de la atención que se brinda a la población. Con un vehículo adecuado, permitirá realizar visitas domiciliarias, trasladar insumos y personal, traslado de muestras de exámenes al hospital base San José de Osorno, y facilitar la coordinación con otras instituciones."/>
    <x v="1"/>
    <x v="28"/>
    <n v="4"/>
    <n v="1"/>
    <x v="38"/>
    <x v="59"/>
    <x v="11"/>
    <x v="18"/>
    <x v="21"/>
    <x v="24"/>
    <s v="64-2565610-"/>
    <s v="pedro.fritz@redsalud.gob.cl"/>
    <x v="7"/>
    <d v="2025-08-20T00:00:00"/>
    <n v="0"/>
    <m/>
    <n v="1"/>
    <n v="1458333"/>
    <d v="2026-10-01T00:00:00"/>
    <x v="0"/>
  </r>
  <r>
    <s v="SERVICIO DE SALUD OSORNO"/>
    <x v="0"/>
    <x v="31"/>
    <s v="Proyecto operacional"/>
    <s v="Publicado"/>
    <s v="22.08.007"/>
    <x v="32"/>
    <s v="El objetivo es mejorar la capacidad de respuesta y la calidad de la atención que se brinda a la población. Con un vehículo adecuado, permitirá realizar visitas domiciliarias, trasladar insumos y personal, traslado de muestras de exámenes al hospital base San José de Osorno, y facilitar la coordinación con otras instituciones."/>
    <x v="1"/>
    <x v="28"/>
    <n v="4"/>
    <n v="1"/>
    <x v="38"/>
    <x v="59"/>
    <x v="11"/>
    <x v="18"/>
    <x v="21"/>
    <x v="24"/>
    <s v="64-2565610-"/>
    <s v="pedro.fritz@redsalud.gob.cl"/>
    <x v="7"/>
    <d v="2025-08-20T00:00:00"/>
    <n v="0"/>
    <m/>
    <n v="1"/>
    <n v="1458333"/>
    <d v="2026-05-01T00:00:00"/>
    <x v="0"/>
  </r>
  <r>
    <s v="SERVICIO DE SALUD OSORNO"/>
    <x v="0"/>
    <x v="31"/>
    <s v="Proyecto operacional"/>
    <s v="Publicado"/>
    <s v="22.08.007"/>
    <x v="32"/>
    <s v="El objetivo es mejorar la capacidad de respuesta y la calidad de la atención que se brinda a la población. Con un vehículo adecuado, permitirá realizar visitas domiciliarias, trasladar insumos y personal, traslado de muestras de exámenes al hospital base San José de Osorno, y facilitar la coordinación con otras instituciones."/>
    <x v="1"/>
    <x v="28"/>
    <n v="4"/>
    <n v="1"/>
    <x v="38"/>
    <x v="59"/>
    <x v="11"/>
    <x v="18"/>
    <x v="21"/>
    <x v="24"/>
    <s v="64-2565610-"/>
    <s v="pedro.fritz@redsalud.gob.cl"/>
    <x v="7"/>
    <d v="2025-08-20T00:00:00"/>
    <n v="0"/>
    <m/>
    <n v="1"/>
    <n v="1458333"/>
    <d v="2026-03-01T00:00:00"/>
    <x v="0"/>
  </r>
  <r>
    <s v="SERVICIO DE SALUD OSORNO"/>
    <x v="0"/>
    <x v="31"/>
    <s v="Proyecto operacional"/>
    <s v="Publicado"/>
    <s v="22.08.007"/>
    <x v="32"/>
    <s v="El objetivo es mejorar la capacidad de respuesta y la calidad de la atención que se brinda a la población. Con un vehículo adecuado, permitirá realizar visitas domiciliarias, trasladar insumos y personal, traslado de muestras de exámenes al hospital base San José de Osorno, y facilitar la coordinación con otras instituciones."/>
    <x v="1"/>
    <x v="28"/>
    <n v="4"/>
    <n v="1"/>
    <x v="38"/>
    <x v="59"/>
    <x v="11"/>
    <x v="18"/>
    <x v="21"/>
    <x v="24"/>
    <s v="64-2565610-"/>
    <s v="pedro.fritz@redsalud.gob.cl"/>
    <x v="7"/>
    <d v="2025-08-20T00:00:00"/>
    <n v="0"/>
    <m/>
    <n v="1"/>
    <n v="1458333"/>
    <d v="2026-09-01T00:00:00"/>
    <x v="0"/>
  </r>
  <r>
    <s v="SERVICIO DE SALUD OSORNO"/>
    <x v="0"/>
    <x v="31"/>
    <s v="Proyecto operacional"/>
    <s v="Publicado"/>
    <s v="22.08.007"/>
    <x v="32"/>
    <s v="El objetivo es mejorar la capacidad de respuesta y la calidad de la atención que se brinda a la población. Con un vehículo adecuado, permitirá realizar visitas domiciliarias, trasladar insumos y personal, traslado de muestras de exámenes al hospital base San José de Osorno, y facilitar la coordinación con otras instituciones."/>
    <x v="1"/>
    <x v="28"/>
    <n v="4"/>
    <n v="1"/>
    <x v="38"/>
    <x v="59"/>
    <x v="11"/>
    <x v="18"/>
    <x v="21"/>
    <x v="24"/>
    <s v="64-2565610-"/>
    <s v="pedro.fritz@redsalud.gob.cl"/>
    <x v="7"/>
    <d v="2025-08-20T00:00:00"/>
    <n v="0"/>
    <m/>
    <n v="1"/>
    <n v="1458333"/>
    <d v="2026-08-01T00:00:00"/>
    <x v="0"/>
  </r>
  <r>
    <s v="SERVICIO DE SALUD OSORNO"/>
    <x v="0"/>
    <x v="32"/>
    <s v="Proyecto operacional"/>
    <s v="Publicado"/>
    <s v="22.08.007"/>
    <x v="33"/>
    <s v="Se requiere contar con servicio de movilización para traslado de funcionarios de COSAM Rahue dentro del territorio de la población a cargo para la realización de actividades enmarcadas en la atención de salud a usuarios, el cual incorpora la comuna de Osorno y San Juan de la Costa, desde el 01-01-2026 al 31-12-2026. Por lo anterior, la gestión de compra debe realizarse durante el mes de julio 2025. Fuente de financiamiento SSO."/>
    <x v="1"/>
    <x v="28"/>
    <n v="4"/>
    <n v="1"/>
    <x v="39"/>
    <x v="60"/>
    <x v="11"/>
    <x v="18"/>
    <x v="20"/>
    <x v="22"/>
    <s v="64-2565555-"/>
    <s v="yuvit.garciachacur@redsalud.gob.cl"/>
    <x v="7"/>
    <d v="2025-08-20T00:00:00"/>
    <n v="0"/>
    <m/>
    <n v="1"/>
    <n v="1500000"/>
    <d v="2026-03-01T00:00:00"/>
    <x v="0"/>
  </r>
  <r>
    <s v="SERVICIO DE SALUD OSORNO"/>
    <x v="0"/>
    <x v="32"/>
    <s v="Proyecto operacional"/>
    <s v="Publicado"/>
    <s v="22.08.007"/>
    <x v="33"/>
    <s v="Se requiere contar con servicio de movilización para traslado de funcionarios de COSAM Rahue dentro del territorio de la población a cargo para la realización de actividades enmarcadas en la atención de salud a usuarios, el cual incorpora la comuna de Osorno y San Juan de la Costa, desde el 01-01-2026 al 31-12-2026. Por lo anterior, la gestión de compra debe realizarse durante el mes de julio 2025. Fuente de financiamiento SSO."/>
    <x v="1"/>
    <x v="28"/>
    <n v="4"/>
    <n v="1"/>
    <x v="39"/>
    <x v="60"/>
    <x v="11"/>
    <x v="18"/>
    <x v="20"/>
    <x v="22"/>
    <s v="64-2565555-"/>
    <s v="yuvit.garciachacur@redsalud.gob.cl"/>
    <x v="7"/>
    <d v="2025-08-20T00:00:00"/>
    <n v="0"/>
    <m/>
    <n v="1"/>
    <n v="1500000"/>
    <d v="2026-07-01T00:00:00"/>
    <x v="0"/>
  </r>
  <r>
    <s v="SERVICIO DE SALUD OSORNO"/>
    <x v="0"/>
    <x v="32"/>
    <s v="Proyecto operacional"/>
    <s v="Publicado"/>
    <s v="22.08.007"/>
    <x v="33"/>
    <s v="Se requiere contar con servicio de movilización para traslado de funcionarios de COSAM Rahue dentro del territorio de la población a cargo para la realización de actividades enmarcadas en la atención de salud a usuarios, el cual incorpora la comuna de Osorno y San Juan de la Costa, desde el 01-01-2026 al 31-12-2026. Por lo anterior, la gestión de compra debe realizarse durante el mes de julio 2025. Fuente de financiamiento SSO."/>
    <x v="1"/>
    <x v="28"/>
    <n v="4"/>
    <n v="1"/>
    <x v="39"/>
    <x v="60"/>
    <x v="11"/>
    <x v="18"/>
    <x v="20"/>
    <x v="22"/>
    <s v="64-2565555-"/>
    <s v="yuvit.garciachacur@redsalud.gob.cl"/>
    <x v="7"/>
    <d v="2025-08-20T00:00:00"/>
    <n v="0"/>
    <m/>
    <n v="1"/>
    <n v="1500000"/>
    <d v="2026-05-01T00:00:00"/>
    <x v="0"/>
  </r>
  <r>
    <s v="SERVICIO DE SALUD OSORNO"/>
    <x v="0"/>
    <x v="32"/>
    <s v="Proyecto operacional"/>
    <s v="Publicado"/>
    <s v="22.08.007"/>
    <x v="33"/>
    <s v="Se requiere contar con servicio de movilización para traslado de funcionarios de COSAM Rahue dentro del territorio de la población a cargo para la realización de actividades enmarcadas en la atención de salud a usuarios, el cual incorpora la comuna de Osorno y San Juan de la Costa, desde el 01-01-2026 al 31-12-2026. Por lo anterior, la gestión de compra debe realizarse durante el mes de julio 2025. Fuente de financiamiento SSO."/>
    <x v="1"/>
    <x v="28"/>
    <n v="4"/>
    <n v="1"/>
    <x v="39"/>
    <x v="60"/>
    <x v="11"/>
    <x v="18"/>
    <x v="20"/>
    <x v="22"/>
    <s v="64-2565555-"/>
    <s v="yuvit.garciachacur@redsalud.gob.cl"/>
    <x v="7"/>
    <d v="2025-08-20T00:00:00"/>
    <n v="0"/>
    <m/>
    <n v="1"/>
    <n v="1500000"/>
    <d v="2026-11-01T00:00:00"/>
    <x v="0"/>
  </r>
  <r>
    <s v="SERVICIO DE SALUD OSORNO"/>
    <x v="0"/>
    <x v="32"/>
    <s v="Proyecto operacional"/>
    <s v="Publicado"/>
    <s v="22.08.007"/>
    <x v="33"/>
    <s v="Se requiere contar con servicio de movilización para traslado de funcionarios de COSAM Rahue dentro del territorio de la población a cargo para la realización de actividades enmarcadas en la atención de salud a usuarios, el cual incorpora la comuna de Osorno y San Juan de la Costa, desde el 01-01-2026 al 31-12-2026. Por lo anterior, la gestión de compra debe realizarse durante el mes de julio 2025. Fuente de financiamiento SSO."/>
    <x v="1"/>
    <x v="28"/>
    <n v="4"/>
    <n v="1"/>
    <x v="39"/>
    <x v="60"/>
    <x v="11"/>
    <x v="18"/>
    <x v="20"/>
    <x v="22"/>
    <s v="64-2565555-"/>
    <s v="yuvit.garciachacur@redsalud.gob.cl"/>
    <x v="7"/>
    <d v="2025-08-20T00:00:00"/>
    <n v="0"/>
    <m/>
    <n v="1"/>
    <n v="1500000"/>
    <d v="2026-08-01T00:00:00"/>
    <x v="0"/>
  </r>
  <r>
    <s v="SERVICIO DE SALUD OSORNO"/>
    <x v="0"/>
    <x v="32"/>
    <s v="Proyecto operacional"/>
    <s v="Publicado"/>
    <s v="22.08.007"/>
    <x v="33"/>
    <s v="Se requiere contar con servicio de movilización para traslado de funcionarios de COSAM Rahue dentro del territorio de la población a cargo para la realización de actividades enmarcadas en la atención de salud a usuarios, el cual incorpora la comuna de Osorno y San Juan de la Costa, desde el 01-01-2026 al 31-12-2026. Por lo anterior, la gestión de compra debe realizarse durante el mes de julio 2025. Fuente de financiamiento SSO."/>
    <x v="1"/>
    <x v="28"/>
    <n v="4"/>
    <n v="1"/>
    <x v="39"/>
    <x v="60"/>
    <x v="11"/>
    <x v="18"/>
    <x v="20"/>
    <x v="22"/>
    <s v="64-2565555-"/>
    <s v="yuvit.garciachacur@redsalud.gob.cl"/>
    <x v="7"/>
    <d v="2025-08-20T00:00:00"/>
    <n v="0"/>
    <m/>
    <n v="1"/>
    <n v="1500000"/>
    <d v="2026-06-01T00:00:00"/>
    <x v="0"/>
  </r>
  <r>
    <s v="SERVICIO DE SALUD OSORNO"/>
    <x v="0"/>
    <x v="32"/>
    <s v="Proyecto operacional"/>
    <s v="Publicado"/>
    <s v="22.08.007"/>
    <x v="33"/>
    <s v="Se requiere contar con servicio de movilización para traslado de funcionarios de COSAM Rahue dentro del territorio de la población a cargo para la realización de actividades enmarcadas en la atención de salud a usuarios, el cual incorpora la comuna de Osorno y San Juan de la Costa, desde el 01-01-2026 al 31-12-2026. Por lo anterior, la gestión de compra debe realizarse durante el mes de julio 2025. Fuente de financiamiento SSO."/>
    <x v="1"/>
    <x v="28"/>
    <n v="4"/>
    <n v="1"/>
    <x v="39"/>
    <x v="60"/>
    <x v="11"/>
    <x v="18"/>
    <x v="20"/>
    <x v="22"/>
    <s v="64-2565555-"/>
    <s v="yuvit.garciachacur@redsalud.gob.cl"/>
    <x v="7"/>
    <d v="2025-08-20T00:00:00"/>
    <n v="0"/>
    <m/>
    <n v="1"/>
    <n v="1500000"/>
    <d v="2026-02-01T00:00:00"/>
    <x v="0"/>
  </r>
  <r>
    <s v="SERVICIO DE SALUD OSORNO"/>
    <x v="0"/>
    <x v="32"/>
    <s v="Proyecto operacional"/>
    <s v="Publicado"/>
    <s v="22.08.007"/>
    <x v="33"/>
    <s v="Se requiere contar con servicio de movilización para traslado de funcionarios de COSAM Rahue dentro del territorio de la población a cargo para la realización de actividades enmarcadas en la atención de salud a usuarios, el cual incorpora la comuna de Osorno y San Juan de la Costa, desde el 01-01-2026 al 31-12-2026. Por lo anterior, la gestión de compra debe realizarse durante el mes de julio 2025. Fuente de financiamiento SSO."/>
    <x v="1"/>
    <x v="28"/>
    <n v="4"/>
    <n v="1"/>
    <x v="39"/>
    <x v="60"/>
    <x v="11"/>
    <x v="18"/>
    <x v="20"/>
    <x v="22"/>
    <s v="64-2565555-"/>
    <s v="yuvit.garciachacur@redsalud.gob.cl"/>
    <x v="7"/>
    <d v="2025-08-20T00:00:00"/>
    <n v="0"/>
    <m/>
    <n v="1"/>
    <n v="1500000"/>
    <d v="2026-04-01T00:00:00"/>
    <x v="0"/>
  </r>
  <r>
    <s v="SERVICIO DE SALUD OSORNO"/>
    <x v="0"/>
    <x v="32"/>
    <s v="Proyecto operacional"/>
    <s v="Publicado"/>
    <s v="22.08.007"/>
    <x v="33"/>
    <s v="Se requiere contar con servicio de movilización para traslado de funcionarios de COSAM Rahue dentro del territorio de la población a cargo para la realización de actividades enmarcadas en la atención de salud a usuarios, el cual incorpora la comuna de Osorno y San Juan de la Costa, desde el 01-01-2026 al 31-12-2026. Por lo anterior, la gestión de compra debe realizarse durante el mes de julio 2025. Fuente de financiamiento SSO."/>
    <x v="1"/>
    <x v="28"/>
    <n v="4"/>
    <n v="1"/>
    <x v="39"/>
    <x v="60"/>
    <x v="11"/>
    <x v="18"/>
    <x v="20"/>
    <x v="22"/>
    <s v="64-2565555-"/>
    <s v="yuvit.garciachacur@redsalud.gob.cl"/>
    <x v="7"/>
    <d v="2025-08-20T00:00:00"/>
    <n v="0"/>
    <m/>
    <n v="1"/>
    <n v="1500000"/>
    <d v="2026-12-01T00:00:00"/>
    <x v="0"/>
  </r>
  <r>
    <s v="SERVICIO DE SALUD OSORNO"/>
    <x v="0"/>
    <x v="32"/>
    <s v="Proyecto operacional"/>
    <s v="Publicado"/>
    <s v="22.08.007"/>
    <x v="33"/>
    <s v="Se requiere contar con servicio de movilización para traslado de funcionarios de COSAM Rahue dentro del territorio de la población a cargo para la realización de actividades enmarcadas en la atención de salud a usuarios, el cual incorpora la comuna de Osorno y San Juan de la Costa, desde el 01-01-2026 al 31-12-2026. Por lo anterior, la gestión de compra debe realizarse durante el mes de julio 2025. Fuente de financiamiento SSO."/>
    <x v="1"/>
    <x v="28"/>
    <n v="4"/>
    <n v="1"/>
    <x v="39"/>
    <x v="60"/>
    <x v="11"/>
    <x v="18"/>
    <x v="20"/>
    <x v="22"/>
    <s v="64-2565555-"/>
    <s v="yuvit.garciachacur@redsalud.gob.cl"/>
    <x v="7"/>
    <d v="2025-08-20T00:00:00"/>
    <n v="0"/>
    <m/>
    <n v="1"/>
    <n v="1500000"/>
    <d v="2026-09-01T00:00:00"/>
    <x v="0"/>
  </r>
  <r>
    <s v="SERVICIO DE SALUD OSORNO"/>
    <x v="0"/>
    <x v="32"/>
    <s v="Proyecto operacional"/>
    <s v="Publicado"/>
    <s v="22.08.007"/>
    <x v="33"/>
    <s v="Se requiere contar con servicio de movilización para traslado de funcionarios de COSAM Rahue dentro del territorio de la población a cargo para la realización de actividades enmarcadas en la atención de salud a usuarios, el cual incorpora la comuna de Osorno y San Juan de la Costa, desde el 01-01-2026 al 31-12-2026. Por lo anterior, la gestión de compra debe realizarse durante el mes de julio 2025. Fuente de financiamiento SSO."/>
    <x v="1"/>
    <x v="28"/>
    <n v="4"/>
    <n v="1"/>
    <x v="39"/>
    <x v="60"/>
    <x v="11"/>
    <x v="18"/>
    <x v="20"/>
    <x v="22"/>
    <s v="64-2565555-"/>
    <s v="yuvit.garciachacur@redsalud.gob.cl"/>
    <x v="7"/>
    <d v="2025-08-20T00:00:00"/>
    <n v="0"/>
    <m/>
    <n v="1"/>
    <n v="1500000"/>
    <d v="2026-10-01T00:00:00"/>
    <x v="0"/>
  </r>
  <r>
    <s v="SERVICIO DE SALUD OSORNO"/>
    <x v="0"/>
    <x v="33"/>
    <s v="Proyecto operacional"/>
    <s v="Publicado"/>
    <s v="22.08.007"/>
    <x v="34"/>
    <s v="ejecución de la compra mes julio año 2025, duración del convenio corresponde a los meses de enero a diciembre 2026"/>
    <x v="1"/>
    <x v="28"/>
    <n v="4"/>
    <n v="1"/>
    <x v="37"/>
    <x v="58"/>
    <x v="11"/>
    <x v="18"/>
    <x v="22"/>
    <x v="25"/>
    <s v="64-2567766-"/>
    <s v="camila.roa@redsalud.gob.cl"/>
    <x v="7"/>
    <d v="2025-08-20T00:00:00"/>
    <n v="0"/>
    <m/>
    <n v="1"/>
    <n v="1583333"/>
    <d v="2026-05-01T00:00:00"/>
    <x v="0"/>
  </r>
  <r>
    <s v="SERVICIO DE SALUD OSORNO"/>
    <x v="0"/>
    <x v="33"/>
    <s v="Proyecto operacional"/>
    <s v="Publicado"/>
    <s v="22.08.007"/>
    <x v="34"/>
    <s v="ejecución de la compra mes julio año 2025, duración del convenio corresponde a los meses de enero a diciembre 2026"/>
    <x v="1"/>
    <x v="28"/>
    <n v="4"/>
    <n v="1"/>
    <x v="37"/>
    <x v="58"/>
    <x v="11"/>
    <x v="18"/>
    <x v="22"/>
    <x v="25"/>
    <s v="64-2567766-"/>
    <s v="camila.roa@redsalud.gob.cl"/>
    <x v="7"/>
    <d v="2025-08-20T00:00:00"/>
    <n v="0"/>
    <m/>
    <n v="1"/>
    <n v="1583333"/>
    <d v="2026-02-01T00:00:00"/>
    <x v="0"/>
  </r>
  <r>
    <s v="SERVICIO DE SALUD OSORNO"/>
    <x v="0"/>
    <x v="33"/>
    <s v="Proyecto operacional"/>
    <s v="Publicado"/>
    <s v="22.08.007"/>
    <x v="34"/>
    <s v="ejecución de la compra mes julio año 2025, duración del convenio corresponde a los meses de enero a diciembre 2026"/>
    <x v="1"/>
    <x v="28"/>
    <n v="4"/>
    <n v="1"/>
    <x v="37"/>
    <x v="58"/>
    <x v="11"/>
    <x v="18"/>
    <x v="22"/>
    <x v="25"/>
    <s v="64-2567766-"/>
    <s v="camila.roa@redsalud.gob.cl"/>
    <x v="7"/>
    <d v="2025-08-20T00:00:00"/>
    <n v="0"/>
    <m/>
    <n v="1"/>
    <n v="1583333"/>
    <d v="2026-12-01T00:00:00"/>
    <x v="0"/>
  </r>
  <r>
    <s v="SERVICIO DE SALUD OSORNO"/>
    <x v="0"/>
    <x v="33"/>
    <s v="Proyecto operacional"/>
    <s v="Publicado"/>
    <s v="22.08.007"/>
    <x v="34"/>
    <s v="ejecución de la compra mes julio año 2025, duración del convenio corresponde a los meses de enero a diciembre 2026"/>
    <x v="1"/>
    <x v="28"/>
    <n v="4"/>
    <n v="1"/>
    <x v="37"/>
    <x v="58"/>
    <x v="11"/>
    <x v="18"/>
    <x v="22"/>
    <x v="25"/>
    <s v="64-2567766-"/>
    <s v="camila.roa@redsalud.gob.cl"/>
    <x v="7"/>
    <d v="2025-08-20T00:00:00"/>
    <n v="0"/>
    <m/>
    <n v="1"/>
    <n v="1583333"/>
    <d v="2026-04-01T00:00:00"/>
    <x v="0"/>
  </r>
  <r>
    <s v="SERVICIO DE SALUD OSORNO"/>
    <x v="0"/>
    <x v="33"/>
    <s v="Proyecto operacional"/>
    <s v="Publicado"/>
    <s v="22.08.007"/>
    <x v="34"/>
    <s v="ejecución de la compra mes julio año 2025, duración del convenio corresponde a los meses de enero a diciembre 2026"/>
    <x v="1"/>
    <x v="28"/>
    <n v="4"/>
    <n v="1"/>
    <x v="37"/>
    <x v="58"/>
    <x v="11"/>
    <x v="18"/>
    <x v="22"/>
    <x v="25"/>
    <s v="64-2567766-"/>
    <s v="camila.roa@redsalud.gob.cl"/>
    <x v="7"/>
    <d v="2025-08-20T00:00:00"/>
    <n v="0"/>
    <m/>
    <n v="1"/>
    <n v="1583333"/>
    <d v="2026-08-01T00:00:00"/>
    <x v="0"/>
  </r>
  <r>
    <s v="SERVICIO DE SALUD OSORNO"/>
    <x v="0"/>
    <x v="33"/>
    <s v="Proyecto operacional"/>
    <s v="Publicado"/>
    <s v="22.08.007"/>
    <x v="34"/>
    <s v="ejecución de la compra mes julio año 2025, duración del convenio corresponde a los meses de enero a diciembre 2026"/>
    <x v="1"/>
    <x v="28"/>
    <n v="4"/>
    <n v="1"/>
    <x v="37"/>
    <x v="58"/>
    <x v="11"/>
    <x v="18"/>
    <x v="22"/>
    <x v="25"/>
    <s v="64-2567766-"/>
    <s v="camila.roa@redsalud.gob.cl"/>
    <x v="7"/>
    <d v="2025-08-20T00:00:00"/>
    <n v="0"/>
    <m/>
    <n v="1"/>
    <n v="1583333"/>
    <d v="2026-10-01T00:00:00"/>
    <x v="0"/>
  </r>
  <r>
    <s v="SERVICIO DE SALUD OSORNO"/>
    <x v="0"/>
    <x v="33"/>
    <s v="Proyecto operacional"/>
    <s v="Publicado"/>
    <s v="22.08.007"/>
    <x v="34"/>
    <s v="ejecución de la compra mes julio año 2025, duración del convenio corresponde a los meses de enero a diciembre 2026"/>
    <x v="1"/>
    <x v="28"/>
    <n v="4"/>
    <n v="1"/>
    <x v="37"/>
    <x v="58"/>
    <x v="11"/>
    <x v="18"/>
    <x v="22"/>
    <x v="25"/>
    <s v="64-2567766-"/>
    <s v="camila.roa@redsalud.gob.cl"/>
    <x v="7"/>
    <d v="2025-08-20T00:00:00"/>
    <n v="0"/>
    <m/>
    <n v="1"/>
    <n v="1583333"/>
    <d v="2026-06-01T00:00:00"/>
    <x v="0"/>
  </r>
  <r>
    <s v="SERVICIO DE SALUD OSORNO"/>
    <x v="0"/>
    <x v="33"/>
    <s v="Proyecto operacional"/>
    <s v="Publicado"/>
    <s v="22.08.007"/>
    <x v="34"/>
    <s v="ejecución de la compra mes julio año 2025, duración del convenio corresponde a los meses de enero a diciembre 2026"/>
    <x v="1"/>
    <x v="28"/>
    <n v="4"/>
    <n v="1"/>
    <x v="37"/>
    <x v="58"/>
    <x v="11"/>
    <x v="18"/>
    <x v="22"/>
    <x v="25"/>
    <s v="64-2567766-"/>
    <s v="camila.roa@redsalud.gob.cl"/>
    <x v="7"/>
    <d v="2025-08-20T00:00:00"/>
    <n v="0"/>
    <m/>
    <n v="1"/>
    <n v="1583333"/>
    <d v="2026-11-01T00:00:00"/>
    <x v="0"/>
  </r>
  <r>
    <s v="SERVICIO DE SALUD OSORNO"/>
    <x v="0"/>
    <x v="33"/>
    <s v="Proyecto operacional"/>
    <s v="Publicado"/>
    <s v="22.08.007"/>
    <x v="34"/>
    <s v="ejecución de la compra mes julio año 2025, duración del convenio corresponde a los meses de enero a diciembre 2026"/>
    <x v="1"/>
    <x v="28"/>
    <n v="4"/>
    <n v="1"/>
    <x v="37"/>
    <x v="58"/>
    <x v="11"/>
    <x v="18"/>
    <x v="22"/>
    <x v="25"/>
    <s v="64-2567766-"/>
    <s v="camila.roa@redsalud.gob.cl"/>
    <x v="7"/>
    <d v="2025-08-20T00:00:00"/>
    <n v="0"/>
    <m/>
    <n v="1"/>
    <n v="1583333"/>
    <d v="2026-03-01T00:00:00"/>
    <x v="0"/>
  </r>
  <r>
    <s v="SERVICIO DE SALUD OSORNO"/>
    <x v="0"/>
    <x v="33"/>
    <s v="Proyecto operacional"/>
    <s v="Publicado"/>
    <s v="22.08.007"/>
    <x v="34"/>
    <s v="ejecución de la compra mes julio año 2025, duración del convenio corresponde a los meses de enero a diciembre 2026"/>
    <x v="1"/>
    <x v="28"/>
    <n v="4"/>
    <n v="1"/>
    <x v="37"/>
    <x v="58"/>
    <x v="11"/>
    <x v="18"/>
    <x v="22"/>
    <x v="25"/>
    <s v="64-2567766-"/>
    <s v="camila.roa@redsalud.gob.cl"/>
    <x v="7"/>
    <d v="2025-08-20T00:00:00"/>
    <n v="0"/>
    <m/>
    <n v="1"/>
    <n v="1583333"/>
    <d v="2026-07-01T00:00:00"/>
    <x v="0"/>
  </r>
  <r>
    <s v="SERVICIO DE SALUD OSORNO"/>
    <x v="0"/>
    <x v="33"/>
    <s v="Proyecto operacional"/>
    <s v="Publicado"/>
    <s v="22.08.007"/>
    <x v="34"/>
    <s v="ejecución de la compra mes julio año 2025, duración del convenio corresponde a los meses de enero a diciembre 2026"/>
    <x v="1"/>
    <x v="28"/>
    <n v="4"/>
    <n v="1"/>
    <x v="37"/>
    <x v="58"/>
    <x v="11"/>
    <x v="18"/>
    <x v="22"/>
    <x v="25"/>
    <s v="64-2567766-"/>
    <s v="camila.roa@redsalud.gob.cl"/>
    <x v="7"/>
    <d v="2025-08-20T00:00:00"/>
    <n v="0"/>
    <m/>
    <n v="1"/>
    <n v="1583333"/>
    <d v="2026-09-01T00:00:00"/>
    <x v="0"/>
  </r>
  <r>
    <s v="SERVICIO DE SALUD OSORNO"/>
    <x v="0"/>
    <x v="34"/>
    <s v="Proyecto operacional"/>
    <s v="Publicado"/>
    <s v="22.08.007"/>
    <x v="35"/>
    <s v="Cumplir con los requerimientos GES 85 Enfemedad de"/>
    <x v="1"/>
    <x v="28"/>
    <n v="4"/>
    <n v="1"/>
    <x v="33"/>
    <x v="51"/>
    <x v="11"/>
    <x v="18"/>
    <x v="23"/>
    <x v="19"/>
    <s v="64-2567363-"/>
    <s v="ximena.campos@redsalud.gob.cl"/>
    <x v="7"/>
    <d v="2025-08-20T00:00:00"/>
    <n v="0"/>
    <m/>
    <n v="1"/>
    <n v="2625000"/>
    <d v="2026-07-01T00:00:00"/>
    <x v="0"/>
  </r>
  <r>
    <s v="SERVICIO DE SALUD OSORNO"/>
    <x v="0"/>
    <x v="34"/>
    <s v="Proyecto operacional"/>
    <s v="Publicado"/>
    <s v="22.08.007"/>
    <x v="35"/>
    <s v="Cumplir con los requerimientos GES 85 Enfemedad de"/>
    <x v="1"/>
    <x v="28"/>
    <n v="4"/>
    <n v="1"/>
    <x v="33"/>
    <x v="51"/>
    <x v="11"/>
    <x v="18"/>
    <x v="23"/>
    <x v="19"/>
    <s v="64-2567363-"/>
    <s v="ximena.campos@redsalud.gob.cl"/>
    <x v="7"/>
    <d v="2025-08-20T00:00:00"/>
    <n v="0"/>
    <m/>
    <n v="1"/>
    <n v="2625000"/>
    <d v="2026-12-01T00:00:00"/>
    <x v="0"/>
  </r>
  <r>
    <s v="SERVICIO DE SALUD OSORNO"/>
    <x v="0"/>
    <x v="34"/>
    <s v="Proyecto operacional"/>
    <s v="Publicado"/>
    <s v="22.08.007"/>
    <x v="35"/>
    <s v="Cumplir con los requerimientos GES 85 Enfemedad de"/>
    <x v="1"/>
    <x v="28"/>
    <n v="4"/>
    <n v="1"/>
    <x v="33"/>
    <x v="51"/>
    <x v="11"/>
    <x v="18"/>
    <x v="23"/>
    <x v="19"/>
    <s v="64-2567363-"/>
    <s v="ximena.campos@redsalud.gob.cl"/>
    <x v="7"/>
    <d v="2025-08-20T00:00:00"/>
    <n v="0"/>
    <m/>
    <n v="1"/>
    <n v="2625000"/>
    <d v="2026-08-01T00:00:00"/>
    <x v="0"/>
  </r>
  <r>
    <s v="SERVICIO DE SALUD OSORNO"/>
    <x v="0"/>
    <x v="34"/>
    <s v="Proyecto operacional"/>
    <s v="Publicado"/>
    <s v="22.08.007"/>
    <x v="35"/>
    <s v="Cumplir con los requerimientos GES 85 Enfemedad de"/>
    <x v="1"/>
    <x v="28"/>
    <n v="4"/>
    <n v="1"/>
    <x v="33"/>
    <x v="51"/>
    <x v="11"/>
    <x v="18"/>
    <x v="23"/>
    <x v="19"/>
    <s v="64-2567363-"/>
    <s v="ximena.campos@redsalud.gob.cl"/>
    <x v="7"/>
    <d v="2025-08-20T00:00:00"/>
    <n v="0"/>
    <m/>
    <n v="1"/>
    <n v="2625000"/>
    <d v="2026-05-01T00:00:00"/>
    <x v="0"/>
  </r>
  <r>
    <s v="SERVICIO DE SALUD OSORNO"/>
    <x v="0"/>
    <x v="34"/>
    <s v="Proyecto operacional"/>
    <s v="Publicado"/>
    <s v="22.08.007"/>
    <x v="35"/>
    <s v="Cumplir con los requerimientos GES 85 Enfemedad de"/>
    <x v="1"/>
    <x v="28"/>
    <n v="4"/>
    <n v="1"/>
    <x v="33"/>
    <x v="51"/>
    <x v="11"/>
    <x v="18"/>
    <x v="23"/>
    <x v="19"/>
    <s v="64-2567363-"/>
    <s v="ximena.campos@redsalud.gob.cl"/>
    <x v="7"/>
    <d v="2025-08-20T00:00:00"/>
    <n v="0"/>
    <m/>
    <n v="1"/>
    <n v="2625000"/>
    <d v="2026-09-01T00:00:00"/>
    <x v="0"/>
  </r>
  <r>
    <s v="SERVICIO DE SALUD OSORNO"/>
    <x v="0"/>
    <x v="34"/>
    <s v="Proyecto operacional"/>
    <s v="Publicado"/>
    <s v="22.08.007"/>
    <x v="35"/>
    <s v="Cumplir con los requerimientos GES 85 Enfemedad de"/>
    <x v="1"/>
    <x v="28"/>
    <n v="4"/>
    <n v="1"/>
    <x v="33"/>
    <x v="51"/>
    <x v="11"/>
    <x v="18"/>
    <x v="23"/>
    <x v="19"/>
    <s v="64-2567363-"/>
    <s v="ximena.campos@redsalud.gob.cl"/>
    <x v="7"/>
    <d v="2025-08-20T00:00:00"/>
    <n v="0"/>
    <m/>
    <n v="1"/>
    <n v="2625000"/>
    <d v="2026-11-01T00:00:00"/>
    <x v="0"/>
  </r>
  <r>
    <s v="SERVICIO DE SALUD OSORNO"/>
    <x v="0"/>
    <x v="34"/>
    <s v="Proyecto operacional"/>
    <s v="Publicado"/>
    <s v="22.08.007"/>
    <x v="35"/>
    <s v="Cumplir con los requerimientos GES 85 Enfemedad de"/>
    <x v="1"/>
    <x v="28"/>
    <n v="4"/>
    <n v="1"/>
    <x v="33"/>
    <x v="51"/>
    <x v="11"/>
    <x v="18"/>
    <x v="23"/>
    <x v="19"/>
    <s v="64-2567363-"/>
    <s v="ximena.campos@redsalud.gob.cl"/>
    <x v="7"/>
    <d v="2025-08-20T00:00:00"/>
    <n v="0"/>
    <m/>
    <n v="1"/>
    <n v="2625000"/>
    <d v="2026-02-01T00:00:00"/>
    <x v="0"/>
  </r>
  <r>
    <s v="SERVICIO DE SALUD OSORNO"/>
    <x v="0"/>
    <x v="34"/>
    <s v="Proyecto operacional"/>
    <s v="Publicado"/>
    <s v="22.08.007"/>
    <x v="35"/>
    <s v="Cumplir con los requerimientos GES 85 Enfemedad de"/>
    <x v="1"/>
    <x v="28"/>
    <n v="4"/>
    <n v="1"/>
    <x v="33"/>
    <x v="51"/>
    <x v="11"/>
    <x v="18"/>
    <x v="23"/>
    <x v="19"/>
    <s v="64-2567363-"/>
    <s v="ximena.campos@redsalud.gob.cl"/>
    <x v="7"/>
    <d v="2025-08-20T00:00:00"/>
    <n v="0"/>
    <m/>
    <n v="1"/>
    <n v="2625000"/>
    <d v="2026-06-01T00:00:00"/>
    <x v="0"/>
  </r>
  <r>
    <s v="SERVICIO DE SALUD OSORNO"/>
    <x v="0"/>
    <x v="34"/>
    <s v="Proyecto operacional"/>
    <s v="Publicado"/>
    <s v="22.08.007"/>
    <x v="35"/>
    <s v="Cumplir con los requerimientos GES 85 Enfemedad de"/>
    <x v="1"/>
    <x v="28"/>
    <n v="4"/>
    <n v="1"/>
    <x v="33"/>
    <x v="51"/>
    <x v="11"/>
    <x v="18"/>
    <x v="23"/>
    <x v="19"/>
    <s v="64-2567363-"/>
    <s v="ximena.campos@redsalud.gob.cl"/>
    <x v="7"/>
    <d v="2025-08-20T00:00:00"/>
    <n v="0"/>
    <m/>
    <n v="1"/>
    <n v="2625000"/>
    <d v="2026-03-01T00:00:00"/>
    <x v="0"/>
  </r>
  <r>
    <s v="SERVICIO DE SALUD OSORNO"/>
    <x v="0"/>
    <x v="34"/>
    <s v="Proyecto operacional"/>
    <s v="Publicado"/>
    <s v="22.08.007"/>
    <x v="35"/>
    <s v="Cumplir con los requerimientos GES 85 Enfemedad de"/>
    <x v="1"/>
    <x v="28"/>
    <n v="4"/>
    <n v="1"/>
    <x v="33"/>
    <x v="51"/>
    <x v="11"/>
    <x v="18"/>
    <x v="23"/>
    <x v="19"/>
    <s v="64-2567363-"/>
    <s v="ximena.campos@redsalud.gob.cl"/>
    <x v="7"/>
    <d v="2025-08-20T00:00:00"/>
    <n v="0"/>
    <m/>
    <n v="1"/>
    <n v="2625000"/>
    <d v="2026-04-01T00:00:00"/>
    <x v="0"/>
  </r>
  <r>
    <s v="SERVICIO DE SALUD OSORNO"/>
    <x v="0"/>
    <x v="34"/>
    <s v="Proyecto operacional"/>
    <s v="Publicado"/>
    <s v="22.08.007"/>
    <x v="35"/>
    <s v="Cumplir con los requerimientos GES 85 Enfemedad de"/>
    <x v="1"/>
    <x v="28"/>
    <n v="4"/>
    <n v="1"/>
    <x v="33"/>
    <x v="51"/>
    <x v="11"/>
    <x v="18"/>
    <x v="23"/>
    <x v="19"/>
    <s v="64-2567363-"/>
    <s v="ximena.campos@redsalud.gob.cl"/>
    <x v="7"/>
    <d v="2025-08-20T00:00:00"/>
    <n v="0"/>
    <m/>
    <n v="1"/>
    <n v="2625000"/>
    <d v="2026-10-01T00:00:00"/>
    <x v="0"/>
  </r>
  <r>
    <s v="SERVICIO DE SALUD OSORNO"/>
    <x v="0"/>
    <x v="35"/>
    <s v="Proyecto operacional"/>
    <s v="Publicado"/>
    <s v="22.08.007"/>
    <x v="36"/>
    <s v="Mes de Ejecución, Enero 2026 Periodo de Vigencia 01-01-2026 al 31-12-2026 Servicio Transporte de móvil para visitas domiciliarias, seguimientos y rescates entre otros dentro y fuera de la Provincia de Osorno. Gestiones administrativas en la Provincia de Osorno tanto en el sector urbano, rural e interurbano (fuera de la Provincia de Osorno). El transporte debe contar con chofer, capacidad hasta 15 asientos."/>
    <x v="1"/>
    <x v="28"/>
    <n v="4"/>
    <n v="1"/>
    <x v="40"/>
    <x v="61"/>
    <x v="11"/>
    <x v="18"/>
    <x v="19"/>
    <x v="22"/>
    <s v="64-2565492-"/>
    <s v="mariaines.asenjo@redsalud.gob.cl"/>
    <x v="7"/>
    <d v="2025-08-20T00:00:00"/>
    <n v="0"/>
    <m/>
    <n v="1"/>
    <n v="2166667"/>
    <d v="2026-03-01T00:00:00"/>
    <x v="0"/>
  </r>
  <r>
    <s v="SERVICIO DE SALUD OSORNO"/>
    <x v="0"/>
    <x v="35"/>
    <s v="Proyecto operacional"/>
    <s v="Publicado"/>
    <s v="22.08.007"/>
    <x v="36"/>
    <s v="Mes de Ejecución, Enero 2026 Periodo de Vigencia 01-01-2026 al 31-12-2026 Servicio Transporte de móvil para visitas domiciliarias, seguimientos y rescates entre otros dentro y fuera de la Provincia de Osorno. Gestiones administrativas en la Provincia de Osorno tanto en el sector urbano, rural e interurbano (fuera de la Provincia de Osorno). El transporte debe contar con chofer, capacidad hasta 15 asientos."/>
    <x v="1"/>
    <x v="28"/>
    <n v="4"/>
    <n v="1"/>
    <x v="40"/>
    <x v="61"/>
    <x v="11"/>
    <x v="18"/>
    <x v="19"/>
    <x v="22"/>
    <s v="64-2565492-"/>
    <s v="mariaines.asenjo@redsalud.gob.cl"/>
    <x v="7"/>
    <d v="2025-08-20T00:00:00"/>
    <n v="0"/>
    <m/>
    <n v="1"/>
    <n v="2166667"/>
    <d v="2026-08-01T00:00:00"/>
    <x v="0"/>
  </r>
  <r>
    <s v="SERVICIO DE SALUD OSORNO"/>
    <x v="0"/>
    <x v="35"/>
    <s v="Proyecto operacional"/>
    <s v="Publicado"/>
    <s v="22.08.007"/>
    <x v="36"/>
    <s v="Mes de Ejecución, Enero 2026 Periodo de Vigencia 01-01-2026 al 31-12-2026 Servicio Transporte de móvil para visitas domiciliarias, seguimientos y rescates entre otros dentro y fuera de la Provincia de Osorno. Gestiones administrativas en la Provincia de Osorno tanto en el sector urbano, rural e interurbano (fuera de la Provincia de Osorno). El transporte debe contar con chofer, capacidad hasta 15 asientos."/>
    <x v="1"/>
    <x v="28"/>
    <n v="4"/>
    <n v="1"/>
    <x v="40"/>
    <x v="61"/>
    <x v="11"/>
    <x v="18"/>
    <x v="19"/>
    <x v="22"/>
    <s v="64-2565492-"/>
    <s v="mariaines.asenjo@redsalud.gob.cl"/>
    <x v="7"/>
    <d v="2025-08-20T00:00:00"/>
    <n v="0"/>
    <m/>
    <n v="1"/>
    <n v="2166667"/>
    <d v="2026-02-01T00:00:00"/>
    <x v="0"/>
  </r>
  <r>
    <s v="SERVICIO DE SALUD OSORNO"/>
    <x v="0"/>
    <x v="35"/>
    <s v="Proyecto operacional"/>
    <s v="Publicado"/>
    <s v="22.08.007"/>
    <x v="36"/>
    <s v="Mes de Ejecución, Enero 2026 Periodo de Vigencia 01-01-2026 al 31-12-2026 Servicio Transporte de móvil para visitas domiciliarias, seguimientos y rescates entre otros dentro y fuera de la Provincia de Osorno. Gestiones administrativas en la Provincia de Osorno tanto en el sector urbano, rural e interurbano (fuera de la Provincia de Osorno). El transporte debe contar con chofer, capacidad hasta 15 asientos."/>
    <x v="1"/>
    <x v="28"/>
    <n v="4"/>
    <n v="1"/>
    <x v="40"/>
    <x v="61"/>
    <x v="11"/>
    <x v="18"/>
    <x v="19"/>
    <x v="22"/>
    <s v="64-2565492-"/>
    <s v="mariaines.asenjo@redsalud.gob.cl"/>
    <x v="7"/>
    <d v="2025-08-20T00:00:00"/>
    <n v="0"/>
    <m/>
    <n v="1"/>
    <n v="2166667"/>
    <d v="2026-04-01T00:00:00"/>
    <x v="0"/>
  </r>
  <r>
    <s v="SERVICIO DE SALUD OSORNO"/>
    <x v="0"/>
    <x v="35"/>
    <s v="Proyecto operacional"/>
    <s v="Publicado"/>
    <s v="22.08.007"/>
    <x v="36"/>
    <s v="Mes de Ejecución, Enero 2026 Periodo de Vigencia 01-01-2026 al 31-12-2026 Servicio Transporte de móvil para visitas domiciliarias, seguimientos y rescates entre otros dentro y fuera de la Provincia de Osorno. Gestiones administrativas en la Provincia de Osorno tanto en el sector urbano, rural e interurbano (fuera de la Provincia de Osorno). El transporte debe contar con chofer, capacidad hasta 15 asientos."/>
    <x v="1"/>
    <x v="28"/>
    <n v="4"/>
    <n v="1"/>
    <x v="40"/>
    <x v="61"/>
    <x v="11"/>
    <x v="18"/>
    <x v="19"/>
    <x v="22"/>
    <s v="64-2565492-"/>
    <s v="mariaines.asenjo@redsalud.gob.cl"/>
    <x v="7"/>
    <d v="2025-08-20T00:00:00"/>
    <n v="0"/>
    <m/>
    <n v="1"/>
    <n v="2166667"/>
    <d v="2026-10-01T00:00:00"/>
    <x v="0"/>
  </r>
  <r>
    <s v="SERVICIO DE SALUD OSORNO"/>
    <x v="0"/>
    <x v="35"/>
    <s v="Proyecto operacional"/>
    <s v="Publicado"/>
    <s v="22.08.007"/>
    <x v="36"/>
    <s v="Mes de Ejecución, Enero 2026 Periodo de Vigencia 01-01-2026 al 31-12-2026 Servicio Transporte de móvil para visitas domiciliarias, seguimientos y rescates entre otros dentro y fuera de la Provincia de Osorno. Gestiones administrativas en la Provincia de Osorno tanto en el sector urbano, rural e interurbano (fuera de la Provincia de Osorno). El transporte debe contar con chofer, capacidad hasta 15 asientos."/>
    <x v="1"/>
    <x v="28"/>
    <n v="4"/>
    <n v="1"/>
    <x v="40"/>
    <x v="61"/>
    <x v="11"/>
    <x v="18"/>
    <x v="19"/>
    <x v="22"/>
    <s v="64-2565492-"/>
    <s v="mariaines.asenjo@redsalud.gob.cl"/>
    <x v="7"/>
    <d v="2025-08-20T00:00:00"/>
    <n v="0"/>
    <m/>
    <n v="1"/>
    <n v="2166667"/>
    <d v="2026-05-01T00:00:00"/>
    <x v="0"/>
  </r>
  <r>
    <s v="SERVICIO DE SALUD OSORNO"/>
    <x v="0"/>
    <x v="35"/>
    <s v="Proyecto operacional"/>
    <s v="Publicado"/>
    <s v="22.08.007"/>
    <x v="36"/>
    <s v="Mes de Ejecución, Enero 2026 Periodo de Vigencia 01-01-2026 al 31-12-2026 Servicio Transporte de móvil para visitas domiciliarias, seguimientos y rescates entre otros dentro y fuera de la Provincia de Osorno. Gestiones administrativas en la Provincia de Osorno tanto en el sector urbano, rural e interurbano (fuera de la Provincia de Osorno). El transporte debe contar con chofer, capacidad hasta 15 asientos."/>
    <x v="1"/>
    <x v="28"/>
    <n v="4"/>
    <n v="1"/>
    <x v="40"/>
    <x v="61"/>
    <x v="11"/>
    <x v="18"/>
    <x v="19"/>
    <x v="22"/>
    <s v="64-2565492-"/>
    <s v="mariaines.asenjo@redsalud.gob.cl"/>
    <x v="7"/>
    <d v="2025-08-20T00:00:00"/>
    <n v="0"/>
    <m/>
    <n v="1"/>
    <n v="2166667"/>
    <d v="2026-06-01T00:00:00"/>
    <x v="0"/>
  </r>
  <r>
    <s v="SERVICIO DE SALUD OSORNO"/>
    <x v="0"/>
    <x v="35"/>
    <s v="Proyecto operacional"/>
    <s v="Publicado"/>
    <s v="22.08.007"/>
    <x v="36"/>
    <s v="Mes de Ejecución, Enero 2026 Periodo de Vigencia 01-01-2026 al 31-12-2026 Servicio Transporte de móvil para visitas domiciliarias, seguimientos y rescates entre otros dentro y fuera de la Provincia de Osorno. Gestiones administrativas en la Provincia de Osorno tanto en el sector urbano, rural e interurbano (fuera de la Provincia de Osorno). El transporte debe contar con chofer, capacidad hasta 15 asientos."/>
    <x v="1"/>
    <x v="28"/>
    <n v="4"/>
    <n v="1"/>
    <x v="40"/>
    <x v="61"/>
    <x v="11"/>
    <x v="18"/>
    <x v="19"/>
    <x v="22"/>
    <s v="64-2565492-"/>
    <s v="mariaines.asenjo@redsalud.gob.cl"/>
    <x v="7"/>
    <d v="2025-08-20T00:00:00"/>
    <n v="0"/>
    <m/>
    <n v="1"/>
    <n v="2166667"/>
    <d v="2026-11-01T00:00:00"/>
    <x v="0"/>
  </r>
  <r>
    <s v="SERVICIO DE SALUD OSORNO"/>
    <x v="0"/>
    <x v="35"/>
    <s v="Proyecto operacional"/>
    <s v="Publicado"/>
    <s v="22.08.007"/>
    <x v="36"/>
    <s v="Mes de Ejecución, Enero 2026 Periodo de Vigencia 01-01-2026 al 31-12-2026 Servicio Transporte de móvil para visitas domiciliarias, seguimientos y rescates entre otros dentro y fuera de la Provincia de Osorno. Gestiones administrativas en la Provincia de Osorno tanto en el sector urbano, rural e interurbano (fuera de la Provincia de Osorno). El transporte debe contar con chofer, capacidad hasta 15 asientos."/>
    <x v="1"/>
    <x v="28"/>
    <n v="4"/>
    <n v="1"/>
    <x v="40"/>
    <x v="61"/>
    <x v="11"/>
    <x v="18"/>
    <x v="19"/>
    <x v="22"/>
    <s v="64-2565492-"/>
    <s v="mariaines.asenjo@redsalud.gob.cl"/>
    <x v="7"/>
    <d v="2025-08-20T00:00:00"/>
    <n v="0"/>
    <m/>
    <n v="1"/>
    <n v="2166667"/>
    <d v="2026-12-01T00:00:00"/>
    <x v="0"/>
  </r>
  <r>
    <s v="SERVICIO DE SALUD OSORNO"/>
    <x v="0"/>
    <x v="35"/>
    <s v="Proyecto operacional"/>
    <s v="Publicado"/>
    <s v="22.08.007"/>
    <x v="36"/>
    <s v="Mes de Ejecución, Enero 2026 Periodo de Vigencia 01-01-2026 al 31-12-2026 Servicio Transporte de móvil para visitas domiciliarias, seguimientos y rescates entre otros dentro y fuera de la Provincia de Osorno. Gestiones administrativas en la Provincia de Osorno tanto en el sector urbano, rural e interurbano (fuera de la Provincia de Osorno). El transporte debe contar con chofer, capacidad hasta 15 asientos."/>
    <x v="1"/>
    <x v="28"/>
    <n v="4"/>
    <n v="1"/>
    <x v="40"/>
    <x v="61"/>
    <x v="11"/>
    <x v="18"/>
    <x v="19"/>
    <x v="22"/>
    <s v="64-2565492-"/>
    <s v="mariaines.asenjo@redsalud.gob.cl"/>
    <x v="7"/>
    <d v="2025-08-20T00:00:00"/>
    <n v="0"/>
    <m/>
    <n v="1"/>
    <n v="2166667"/>
    <d v="2026-07-01T00:00:00"/>
    <x v="0"/>
  </r>
  <r>
    <s v="SERVICIO DE SALUD OSORNO"/>
    <x v="0"/>
    <x v="35"/>
    <s v="Proyecto operacional"/>
    <s v="Publicado"/>
    <s v="22.08.007"/>
    <x v="36"/>
    <s v="Mes de Ejecución, Enero 2026 Periodo de Vigencia 01-01-2026 al 31-12-2026 Servicio Transporte de móvil para visitas domiciliarias, seguimientos y rescates entre otros dentro y fuera de la Provincia de Osorno. Gestiones administrativas en la Provincia de Osorno tanto en el sector urbano, rural e interurbano (fuera de la Provincia de Osorno). El transporte debe contar con chofer, capacidad hasta 15 asientos."/>
    <x v="1"/>
    <x v="28"/>
    <n v="4"/>
    <n v="1"/>
    <x v="40"/>
    <x v="61"/>
    <x v="11"/>
    <x v="18"/>
    <x v="19"/>
    <x v="22"/>
    <s v="64-2565492-"/>
    <s v="mariaines.asenjo@redsalud.gob.cl"/>
    <x v="7"/>
    <d v="2025-08-20T00:00:00"/>
    <n v="0"/>
    <m/>
    <n v="1"/>
    <n v="2166667"/>
    <d v="2026-09-01T00:00:00"/>
    <x v="0"/>
  </r>
  <r>
    <s v="SERVICIO DE SALUD OSORNO"/>
    <x v="0"/>
    <x v="36"/>
    <s v="Proyecto operacional"/>
    <s v="Publicado"/>
    <s v="22.12.999.002.01"/>
    <x v="37"/>
    <s v="Adquisición de servicio de arriendo e informes de teleelectrocardiografía a distancia (PSCV), para 35 ESTABLECIMIENTOS DE SALUD de la RED de APS provincial ( 55 EQUIPOS ELECTROCARDIÓGRAFOS PORTÁTILES), QUE PUEDAN SER UTILIZADOS EN LOS CENTROS DE SALUD Y TAMBIÉN SER TRASLADADOS A DOMICILIO. Fecha vigencia del convenio: 01/01/2026 al 31/12/2027. Presupuesto: $500.000.000.- Retención mensual de percápita municipal, de acuerdo al número de ECG e informes realizados."/>
    <x v="1"/>
    <x v="33"/>
    <n v="4"/>
    <n v="1"/>
    <x v="41"/>
    <x v="62"/>
    <x v="11"/>
    <x v="20"/>
    <x v="24"/>
    <x v="26"/>
    <s v="64-2565810-"/>
    <s v="consuelo.cordova@redsalud.gob.cl"/>
    <x v="7"/>
    <d v="2025-08-20T00:00:00"/>
    <n v="0"/>
    <m/>
    <n v="1"/>
    <n v="41666666"/>
    <d v="2026-06-01T00:00:00"/>
    <x v="0"/>
  </r>
  <r>
    <s v="SERVICIO DE SALUD OSORNO"/>
    <x v="0"/>
    <x v="36"/>
    <s v="Proyecto operacional"/>
    <s v="Publicado"/>
    <s v="22.12.999.002.01"/>
    <x v="37"/>
    <s v="Adquisición de servicio de arriendo e informes de teleelectrocardiografía a distancia (PSCV), para 35 ESTABLECIMIENTOS DE SALUD de la RED de APS provincial ( 55 EQUIPOS ELECTROCARDIÓGRAFOS PORTÁTILES), QUE PUEDAN SER UTILIZADOS EN LOS CENTROS DE SALUD Y TAMBIÉN SER TRASLADADOS A DOMICILIO. Fecha vigencia del convenio: 01/01/2026 al 31/12/2027. Presupuesto: $500.000.000.- Retención mensual de percápita municipal, de acuerdo al número de ECG e informes realizados."/>
    <x v="1"/>
    <x v="33"/>
    <n v="4"/>
    <n v="1"/>
    <x v="41"/>
    <x v="62"/>
    <x v="11"/>
    <x v="20"/>
    <x v="24"/>
    <x v="26"/>
    <s v="64-2565810-"/>
    <s v="consuelo.cordova@redsalud.gob.cl"/>
    <x v="7"/>
    <d v="2025-08-20T00:00:00"/>
    <n v="0"/>
    <m/>
    <n v="1"/>
    <n v="41666666"/>
    <d v="2026-11-01T00:00:00"/>
    <x v="0"/>
  </r>
  <r>
    <s v="SERVICIO DE SALUD OSORNO"/>
    <x v="0"/>
    <x v="36"/>
    <s v="Proyecto operacional"/>
    <s v="Publicado"/>
    <s v="22.12.999.002.01"/>
    <x v="37"/>
    <s v="Adquisición de servicio de arriendo e informes de teleelectrocardiografía a distancia (PSCV), para 35 ESTABLECIMIENTOS DE SALUD de la RED de APS provincial ( 55 EQUIPOS ELECTROCARDIÓGRAFOS PORTÁTILES), QUE PUEDAN SER UTILIZADOS EN LOS CENTROS DE SALUD Y TAMBIÉN SER TRASLADADOS A DOMICILIO. Fecha vigencia del convenio: 01/01/2026 al 31/12/2027. Presupuesto: $500.000.000.- Retención mensual de percápita municipal, de acuerdo al número de ECG e informes realizados."/>
    <x v="1"/>
    <x v="33"/>
    <n v="4"/>
    <n v="1"/>
    <x v="41"/>
    <x v="62"/>
    <x v="11"/>
    <x v="20"/>
    <x v="24"/>
    <x v="26"/>
    <s v="64-2565810-"/>
    <s v="consuelo.cordova@redsalud.gob.cl"/>
    <x v="7"/>
    <d v="2025-08-20T00:00:00"/>
    <n v="0"/>
    <m/>
    <n v="1"/>
    <n v="41666666"/>
    <d v="2026-04-01T00:00:00"/>
    <x v="0"/>
  </r>
  <r>
    <s v="SERVICIO DE SALUD OSORNO"/>
    <x v="0"/>
    <x v="36"/>
    <s v="Proyecto operacional"/>
    <s v="Publicado"/>
    <s v="22.12.999.002.01"/>
    <x v="37"/>
    <s v="Adquisición de servicio de arriendo e informes de teleelectrocardiografía a distancia (PSCV), para 35 ESTABLECIMIENTOS DE SALUD de la RED de APS provincial ( 55 EQUIPOS ELECTROCARDIÓGRAFOS PORTÁTILES), QUE PUEDAN SER UTILIZADOS EN LOS CENTROS DE SALUD Y TAMBIÉN SER TRASLADADOS A DOMICILIO. Fecha vigencia del convenio: 01/01/2026 al 31/12/2027. Presupuesto: $500.000.000.- Retención mensual de percápita municipal, de acuerdo al número de ECG e informes realizados."/>
    <x v="1"/>
    <x v="33"/>
    <n v="4"/>
    <n v="1"/>
    <x v="41"/>
    <x v="62"/>
    <x v="11"/>
    <x v="20"/>
    <x v="24"/>
    <x v="26"/>
    <s v="64-2565810-"/>
    <s v="consuelo.cordova@redsalud.gob.cl"/>
    <x v="7"/>
    <d v="2025-08-20T00:00:00"/>
    <n v="0"/>
    <m/>
    <n v="1"/>
    <n v="41666666"/>
    <d v="2026-01-01T00:00:00"/>
    <x v="0"/>
  </r>
  <r>
    <s v="SERVICIO DE SALUD OSORNO"/>
    <x v="0"/>
    <x v="36"/>
    <s v="Proyecto operacional"/>
    <s v="Publicado"/>
    <s v="22.12.999.002.01"/>
    <x v="37"/>
    <s v="Adquisición de servicio de arriendo e informes de teleelectrocardiografía a distancia (PSCV), para 35 ESTABLECIMIENTOS DE SALUD de la RED de APS provincial ( 55 EQUIPOS ELECTROCARDIÓGRAFOS PORTÁTILES), QUE PUEDAN SER UTILIZADOS EN LOS CENTROS DE SALUD Y TAMBIÉN SER TRASLADADOS A DOMICILIO. Fecha vigencia del convenio: 01/01/2026 al 31/12/2027. Presupuesto: $500.000.000.- Retención mensual de percápita municipal, de acuerdo al número de ECG e informes realizados."/>
    <x v="1"/>
    <x v="33"/>
    <n v="4"/>
    <n v="1"/>
    <x v="41"/>
    <x v="62"/>
    <x v="11"/>
    <x v="20"/>
    <x v="24"/>
    <x v="26"/>
    <s v="64-2565810-"/>
    <s v="consuelo.cordova@redsalud.gob.cl"/>
    <x v="7"/>
    <d v="2025-08-20T00:00:00"/>
    <n v="0"/>
    <m/>
    <n v="1"/>
    <n v="41666666"/>
    <d v="2026-10-01T00:00:00"/>
    <x v="0"/>
  </r>
  <r>
    <s v="SERVICIO DE SALUD OSORNO"/>
    <x v="0"/>
    <x v="36"/>
    <s v="Proyecto operacional"/>
    <s v="Publicado"/>
    <s v="22.12.999.002.01"/>
    <x v="37"/>
    <s v="Adquisición de servicio de arriendo e informes de teleelectrocardiografía a distancia (PSCV), para 35 ESTABLECIMIENTOS DE SALUD de la RED de APS provincial ( 55 EQUIPOS ELECTROCARDIÓGRAFOS PORTÁTILES), QUE PUEDAN SER UTILIZADOS EN LOS CENTROS DE SALUD Y TAMBIÉN SER TRASLADADOS A DOMICILIO. Fecha vigencia del convenio: 01/01/2026 al 31/12/2027. Presupuesto: $500.000.000.- Retención mensual de percápita municipal, de acuerdo al número de ECG e informes realizados."/>
    <x v="1"/>
    <x v="33"/>
    <n v="4"/>
    <n v="1"/>
    <x v="41"/>
    <x v="62"/>
    <x v="11"/>
    <x v="20"/>
    <x v="24"/>
    <x v="26"/>
    <s v="64-2565810-"/>
    <s v="consuelo.cordova@redsalud.gob.cl"/>
    <x v="7"/>
    <d v="2025-08-20T00:00:00"/>
    <n v="0"/>
    <m/>
    <n v="1"/>
    <n v="41666666"/>
    <d v="2026-08-01T00:00:00"/>
    <x v="0"/>
  </r>
  <r>
    <s v="SERVICIO DE SALUD OSORNO"/>
    <x v="0"/>
    <x v="36"/>
    <s v="Proyecto operacional"/>
    <s v="Publicado"/>
    <s v="22.12.999.002.01"/>
    <x v="37"/>
    <s v="Adquisición de servicio de arriendo e informes de teleelectrocardiografía a distancia (PSCV), para 35 ESTABLECIMIENTOS DE SALUD de la RED de APS provincial ( 55 EQUIPOS ELECTROCARDIÓGRAFOS PORTÁTILES), QUE PUEDAN SER UTILIZADOS EN LOS CENTROS DE SALUD Y TAMBIÉN SER TRASLADADOS A DOMICILIO. Fecha vigencia del convenio: 01/01/2026 al 31/12/2027. Presupuesto: $500.000.000.- Retención mensual de percápita municipal, de acuerdo al número de ECG e informes realizados."/>
    <x v="1"/>
    <x v="33"/>
    <n v="4"/>
    <n v="1"/>
    <x v="41"/>
    <x v="62"/>
    <x v="11"/>
    <x v="20"/>
    <x v="24"/>
    <x v="26"/>
    <s v="64-2565810-"/>
    <s v="consuelo.cordova@redsalud.gob.cl"/>
    <x v="7"/>
    <d v="2025-08-20T00:00:00"/>
    <n v="0"/>
    <m/>
    <n v="1"/>
    <n v="41666666"/>
    <d v="2026-02-01T00:00:00"/>
    <x v="0"/>
  </r>
  <r>
    <s v="SERVICIO DE SALUD OSORNO"/>
    <x v="0"/>
    <x v="36"/>
    <s v="Proyecto operacional"/>
    <s v="Publicado"/>
    <s v="22.12.999.002.01"/>
    <x v="37"/>
    <s v="Adquisición de servicio de arriendo e informes de teleelectrocardiografía a distancia (PSCV), para 35 ESTABLECIMIENTOS DE SALUD de la RED de APS provincial ( 55 EQUIPOS ELECTROCARDIÓGRAFOS PORTÁTILES), QUE PUEDAN SER UTILIZADOS EN LOS CENTROS DE SALUD Y TAMBIÉN SER TRASLADADOS A DOMICILIO. Fecha vigencia del convenio: 01/01/2026 al 31/12/2027. Presupuesto: $500.000.000.- Retención mensual de percápita municipal, de acuerdo al número de ECG e informes realizados."/>
    <x v="1"/>
    <x v="33"/>
    <n v="4"/>
    <n v="1"/>
    <x v="41"/>
    <x v="62"/>
    <x v="11"/>
    <x v="20"/>
    <x v="24"/>
    <x v="26"/>
    <s v="64-2565810-"/>
    <s v="consuelo.cordova@redsalud.gob.cl"/>
    <x v="7"/>
    <d v="2025-08-20T00:00:00"/>
    <n v="0"/>
    <m/>
    <n v="1"/>
    <n v="41666666"/>
    <d v="2026-05-01T00:00:00"/>
    <x v="0"/>
  </r>
  <r>
    <s v="SERVICIO DE SALUD OSORNO"/>
    <x v="0"/>
    <x v="36"/>
    <s v="Proyecto operacional"/>
    <s v="Publicado"/>
    <s v="22.12.999.002.01"/>
    <x v="37"/>
    <s v="Adquisición de servicio de arriendo e informes de teleelectrocardiografía a distancia (PSCV), para 35 ESTABLECIMIENTOS DE SALUD de la RED de APS provincial ( 55 EQUIPOS ELECTROCARDIÓGRAFOS PORTÁTILES), QUE PUEDAN SER UTILIZADOS EN LOS CENTROS DE SALUD Y TAMBIÉN SER TRASLADADOS A DOMICILIO. Fecha vigencia del convenio: 01/01/2026 al 31/12/2027. Presupuesto: $500.000.000.- Retención mensual de percápita municipal, de acuerdo al número de ECG e informes realizados."/>
    <x v="1"/>
    <x v="33"/>
    <n v="4"/>
    <n v="1"/>
    <x v="41"/>
    <x v="62"/>
    <x v="11"/>
    <x v="20"/>
    <x v="24"/>
    <x v="26"/>
    <s v="64-2565810-"/>
    <s v="consuelo.cordova@redsalud.gob.cl"/>
    <x v="7"/>
    <d v="2025-08-20T00:00:00"/>
    <n v="0"/>
    <m/>
    <n v="1"/>
    <n v="41666666"/>
    <d v="2026-07-01T00:00:00"/>
    <x v="0"/>
  </r>
  <r>
    <s v="SERVICIO DE SALUD OSORNO"/>
    <x v="0"/>
    <x v="36"/>
    <s v="Proyecto operacional"/>
    <s v="Publicado"/>
    <s v="22.12.999.002.01"/>
    <x v="37"/>
    <s v="Adquisición de servicio de arriendo e informes de teleelectrocardiografía a distancia (PSCV), para 35 ESTABLECIMIENTOS DE SALUD de la RED de APS provincial ( 55 EQUIPOS ELECTROCARDIÓGRAFOS PORTÁTILES), QUE PUEDAN SER UTILIZADOS EN LOS CENTROS DE SALUD Y TAMBIÉN SER TRASLADADOS A DOMICILIO. Fecha vigencia del convenio: 01/01/2026 al 31/12/2027. Presupuesto: $500.000.000.- Retención mensual de percápita municipal, de acuerdo al número de ECG e informes realizados."/>
    <x v="1"/>
    <x v="33"/>
    <n v="4"/>
    <n v="1"/>
    <x v="41"/>
    <x v="63"/>
    <x v="11"/>
    <x v="20"/>
    <x v="24"/>
    <x v="26"/>
    <s v="64-2565810-"/>
    <s v="consuelo.cordova@redsalud.gob.cl"/>
    <x v="7"/>
    <d v="2025-08-20T00:00:00"/>
    <n v="0"/>
    <m/>
    <n v="1"/>
    <n v="41666674"/>
    <d v="2026-12-01T00:00:00"/>
    <x v="0"/>
  </r>
  <r>
    <s v="SERVICIO DE SALUD OSORNO"/>
    <x v="0"/>
    <x v="36"/>
    <s v="Proyecto operacional"/>
    <s v="Publicado"/>
    <s v="22.12.999.002.01"/>
    <x v="37"/>
    <s v="Adquisición de servicio de arriendo e informes de teleelectrocardiografía a distancia (PSCV), para 35 ESTABLECIMIENTOS DE SALUD de la RED de APS provincial ( 55 EQUIPOS ELECTROCARDIÓGRAFOS PORTÁTILES), QUE PUEDAN SER UTILIZADOS EN LOS CENTROS DE SALUD Y TAMBIÉN SER TRASLADADOS A DOMICILIO. Fecha vigencia del convenio: 01/01/2026 al 31/12/2027. Presupuesto: $500.000.000.- Retención mensual de percápita municipal, de acuerdo al número de ECG e informes realizados."/>
    <x v="1"/>
    <x v="33"/>
    <n v="4"/>
    <n v="1"/>
    <x v="41"/>
    <x v="62"/>
    <x v="11"/>
    <x v="20"/>
    <x v="24"/>
    <x v="26"/>
    <s v="64-2565810-"/>
    <s v="consuelo.cordova@redsalud.gob.cl"/>
    <x v="7"/>
    <d v="2025-08-20T00:00:00"/>
    <n v="0"/>
    <m/>
    <n v="1"/>
    <n v="41666666"/>
    <d v="2026-09-01T00:00:00"/>
    <x v="0"/>
  </r>
  <r>
    <s v="SERVICIO DE SALUD OSORNO"/>
    <x v="0"/>
    <x v="36"/>
    <s v="Proyecto operacional"/>
    <s v="Publicado"/>
    <s v="22.12.999.002.01"/>
    <x v="37"/>
    <s v="Adquisición de servicio de arriendo e informes de teleelectrocardiografía a distancia (PSCV), para 35 ESTABLECIMIENTOS DE SALUD de la RED de APS provincial ( 55 EQUIPOS ELECTROCARDIÓGRAFOS PORTÁTILES), QUE PUEDAN SER UTILIZADOS EN LOS CENTROS DE SALUD Y TAMBIÉN SER TRASLADADOS A DOMICILIO. Fecha vigencia del convenio: 01/01/2026 al 31/12/2027. Presupuesto: $500.000.000.- Retención mensual de percápita municipal, de acuerdo al número de ECG e informes realizados."/>
    <x v="1"/>
    <x v="33"/>
    <n v="4"/>
    <n v="1"/>
    <x v="41"/>
    <x v="62"/>
    <x v="11"/>
    <x v="20"/>
    <x v="24"/>
    <x v="26"/>
    <s v="64-2565810-"/>
    <s v="consuelo.cordova@redsalud.gob.cl"/>
    <x v="7"/>
    <d v="2025-08-20T00:00:00"/>
    <n v="0"/>
    <m/>
    <n v="1"/>
    <n v="41666666"/>
    <d v="2026-03-01T00:00:00"/>
    <x v="0"/>
  </r>
  <r>
    <s v="SERVICIO DE SALUD OSORNO"/>
    <x v="0"/>
    <x v="37"/>
    <s v="Proyecto operacional"/>
    <s v="Publicado"/>
    <s v="22.08.001"/>
    <x v="38"/>
    <s v="El servicio requerido consta de la sanitización de baños, desratización y desinsectación de todos los hospitales de la red y establecimientos dependientes del SSO"/>
    <x v="1"/>
    <x v="34"/>
    <n v="4"/>
    <n v="1"/>
    <x v="42"/>
    <x v="64"/>
    <x v="11"/>
    <x v="18"/>
    <x v="25"/>
    <x v="27"/>
    <s v="64-2567030-"/>
    <s v="carlos.lopez@redsalud.gob.cl"/>
    <x v="7"/>
    <d v="2025-08-20T00:00:00"/>
    <n v="0"/>
    <m/>
    <n v="1"/>
    <n v="7956816"/>
    <d v="2026-03-01T00:00:00"/>
    <x v="0"/>
  </r>
  <r>
    <s v="SERVICIO DE SALUD OSORNO"/>
    <x v="0"/>
    <x v="37"/>
    <s v="Proyecto operacional"/>
    <s v="Publicado"/>
    <s v="22.08.001"/>
    <x v="38"/>
    <s v="El servicio requerido consta de la sanitización de baños, desratización y desinsectación de todos los hospitales de la red y establecimientos dependientes del SSO"/>
    <x v="1"/>
    <x v="34"/>
    <n v="4"/>
    <n v="1"/>
    <x v="42"/>
    <x v="64"/>
    <x v="11"/>
    <x v="18"/>
    <x v="25"/>
    <x v="27"/>
    <s v="64-2567030-"/>
    <s v="carlos.lopez@redsalud.gob.cl"/>
    <x v="7"/>
    <d v="2025-08-20T00:00:00"/>
    <n v="0"/>
    <m/>
    <n v="1"/>
    <n v="7956816"/>
    <d v="2026-08-01T00:00:00"/>
    <x v="0"/>
  </r>
  <r>
    <s v="SERVICIO DE SALUD OSORNO"/>
    <x v="0"/>
    <x v="37"/>
    <s v="Proyecto operacional"/>
    <s v="Publicado"/>
    <s v="22.08.001"/>
    <x v="38"/>
    <s v="El servicio requerido consta de la sanitización de baños, desratización y desinsectación de todos los hospitales de la red y establecimientos dependientes del SSO"/>
    <x v="1"/>
    <x v="34"/>
    <n v="4"/>
    <n v="1"/>
    <x v="42"/>
    <x v="64"/>
    <x v="11"/>
    <x v="18"/>
    <x v="25"/>
    <x v="27"/>
    <s v="64-2567030-"/>
    <s v="carlos.lopez@redsalud.gob.cl"/>
    <x v="7"/>
    <d v="2025-08-20T00:00:00"/>
    <n v="0"/>
    <m/>
    <n v="1"/>
    <n v="7956816"/>
    <d v="2026-12-01T00:00:00"/>
    <x v="0"/>
  </r>
  <r>
    <s v="SERVICIO DE SALUD OSORNO"/>
    <x v="0"/>
    <x v="37"/>
    <s v="Proyecto operacional"/>
    <s v="Publicado"/>
    <s v="22.08.001"/>
    <x v="38"/>
    <s v="El servicio requerido consta de la sanitización de baños, desratización y desinsectación de todos los hospitales de la red y establecimientos dependientes del SSO"/>
    <x v="1"/>
    <x v="34"/>
    <n v="4"/>
    <n v="1"/>
    <x v="42"/>
    <x v="64"/>
    <x v="11"/>
    <x v="18"/>
    <x v="25"/>
    <x v="27"/>
    <s v="64-2567030-"/>
    <s v="carlos.lopez@redsalud.gob.cl"/>
    <x v="7"/>
    <d v="2025-08-20T00:00:00"/>
    <n v="0"/>
    <m/>
    <n v="1"/>
    <n v="7956816"/>
    <d v="2026-04-01T00:00:00"/>
    <x v="0"/>
  </r>
  <r>
    <s v="SERVICIO DE SALUD OSORNO"/>
    <x v="0"/>
    <x v="37"/>
    <s v="Proyecto operacional"/>
    <s v="Publicado"/>
    <s v="22.08.001"/>
    <x v="38"/>
    <s v="El servicio requerido consta de la sanitización de baños, desratización y desinsectación de todos los hospitales de la red y establecimientos dependientes del SSO"/>
    <x v="1"/>
    <x v="34"/>
    <n v="4"/>
    <n v="1"/>
    <x v="42"/>
    <x v="64"/>
    <x v="11"/>
    <x v="18"/>
    <x v="25"/>
    <x v="27"/>
    <s v="64-2567030-"/>
    <s v="carlos.lopez@redsalud.gob.cl"/>
    <x v="7"/>
    <d v="2025-08-20T00:00:00"/>
    <n v="0"/>
    <m/>
    <n v="1"/>
    <n v="7956816"/>
    <d v="2026-07-01T00:00:00"/>
    <x v="0"/>
  </r>
  <r>
    <s v="SERVICIO DE SALUD OSORNO"/>
    <x v="0"/>
    <x v="37"/>
    <s v="Proyecto operacional"/>
    <s v="Publicado"/>
    <s v="22.08.001"/>
    <x v="38"/>
    <s v="El servicio requerido consta de la sanitización de baños, desratización y desinsectación de todos los hospitales de la red y establecimientos dependientes del SSO"/>
    <x v="1"/>
    <x v="34"/>
    <n v="4"/>
    <n v="1"/>
    <x v="42"/>
    <x v="64"/>
    <x v="11"/>
    <x v="18"/>
    <x v="25"/>
    <x v="27"/>
    <s v="64-2567030-"/>
    <s v="carlos.lopez@redsalud.gob.cl"/>
    <x v="7"/>
    <d v="2025-08-20T00:00:00"/>
    <n v="0"/>
    <m/>
    <n v="1"/>
    <n v="7956816"/>
    <d v="2026-02-01T00:00:00"/>
    <x v="0"/>
  </r>
  <r>
    <s v="SERVICIO DE SALUD OSORNO"/>
    <x v="0"/>
    <x v="37"/>
    <s v="Proyecto operacional"/>
    <s v="Publicado"/>
    <s v="22.08.001"/>
    <x v="38"/>
    <s v="El servicio requerido consta de la sanitización de baños, desratización y desinsectación de todos los hospitales de la red y establecimientos dependientes del SSO"/>
    <x v="1"/>
    <x v="34"/>
    <n v="4"/>
    <n v="1"/>
    <x v="42"/>
    <x v="64"/>
    <x v="11"/>
    <x v="18"/>
    <x v="25"/>
    <x v="27"/>
    <s v="64-2567030-"/>
    <s v="carlos.lopez@redsalud.gob.cl"/>
    <x v="7"/>
    <d v="2025-08-20T00:00:00"/>
    <n v="0"/>
    <m/>
    <n v="1"/>
    <n v="7956816"/>
    <d v="2026-05-01T00:00:00"/>
    <x v="0"/>
  </r>
  <r>
    <s v="SERVICIO DE SALUD OSORNO"/>
    <x v="0"/>
    <x v="37"/>
    <s v="Proyecto operacional"/>
    <s v="Publicado"/>
    <s v="22.08.001"/>
    <x v="38"/>
    <s v="El servicio requerido consta de la sanitización de baños, desratización y desinsectación de todos los hospitales de la red y establecimientos dependientes del SSO"/>
    <x v="1"/>
    <x v="34"/>
    <n v="4"/>
    <n v="1"/>
    <x v="42"/>
    <x v="64"/>
    <x v="11"/>
    <x v="18"/>
    <x v="25"/>
    <x v="27"/>
    <s v="64-2567030-"/>
    <s v="carlos.lopez@redsalud.gob.cl"/>
    <x v="7"/>
    <d v="2025-08-20T00:00:00"/>
    <n v="0"/>
    <m/>
    <n v="1"/>
    <n v="7956816"/>
    <d v="2026-11-01T00:00:00"/>
    <x v="0"/>
  </r>
  <r>
    <s v="SERVICIO DE SALUD OSORNO"/>
    <x v="0"/>
    <x v="37"/>
    <s v="Proyecto operacional"/>
    <s v="Publicado"/>
    <s v="22.08.001"/>
    <x v="38"/>
    <s v="El servicio requerido consta de la sanitización de baños, desratización y desinsectación de todos los hospitales de la red y establecimientos dependientes del SSO"/>
    <x v="1"/>
    <x v="34"/>
    <n v="4"/>
    <n v="1"/>
    <x v="42"/>
    <x v="64"/>
    <x v="11"/>
    <x v="18"/>
    <x v="25"/>
    <x v="27"/>
    <s v="64-2567030-"/>
    <s v="carlos.lopez@redsalud.gob.cl"/>
    <x v="7"/>
    <d v="2025-08-20T00:00:00"/>
    <n v="0"/>
    <m/>
    <n v="1"/>
    <n v="7956816"/>
    <d v="2026-10-01T00:00:00"/>
    <x v="0"/>
  </r>
  <r>
    <s v="SERVICIO DE SALUD OSORNO"/>
    <x v="0"/>
    <x v="37"/>
    <s v="Proyecto operacional"/>
    <s v="Publicado"/>
    <s v="22.08.001"/>
    <x v="38"/>
    <s v="El servicio requerido consta de la sanitización de baños, desratización y desinsectación de todos los hospitales de la red y establecimientos dependientes del SSO"/>
    <x v="1"/>
    <x v="34"/>
    <n v="4"/>
    <n v="1"/>
    <x v="42"/>
    <x v="64"/>
    <x v="11"/>
    <x v="18"/>
    <x v="25"/>
    <x v="27"/>
    <s v="64-2567030-"/>
    <s v="carlos.lopez@redsalud.gob.cl"/>
    <x v="7"/>
    <d v="2025-08-20T00:00:00"/>
    <n v="0"/>
    <m/>
    <n v="1"/>
    <n v="7956816"/>
    <d v="2026-06-01T00:00:00"/>
    <x v="0"/>
  </r>
  <r>
    <s v="SERVICIO DE SALUD OSORNO"/>
    <x v="0"/>
    <x v="37"/>
    <s v="Proyecto operacional"/>
    <s v="Publicado"/>
    <s v="22.08.001"/>
    <x v="38"/>
    <s v="El servicio requerido consta de la sanitización de baños, desratización y desinsectación de todos los hospitales de la red y establecimientos dependientes del SSO"/>
    <x v="1"/>
    <x v="34"/>
    <n v="4"/>
    <n v="1"/>
    <x v="42"/>
    <x v="64"/>
    <x v="11"/>
    <x v="18"/>
    <x v="25"/>
    <x v="27"/>
    <s v="64-2567030-"/>
    <s v="carlos.lopez@redsalud.gob.cl"/>
    <x v="7"/>
    <d v="2025-08-20T00:00:00"/>
    <n v="0"/>
    <m/>
    <n v="1"/>
    <n v="7956816"/>
    <d v="2026-09-01T00:00:00"/>
    <x v="0"/>
  </r>
  <r>
    <s v="SERVICIO DE SALUD OSORNO"/>
    <x v="0"/>
    <x v="38"/>
    <s v="Proyecto operacional"/>
    <s v="Publicado"/>
    <s v="22.04.003.002"/>
    <x v="39"/>
    <s v="Adquirir kit de detección de VPH y arriendo de equipo."/>
    <x v="1"/>
    <x v="33"/>
    <n v="4"/>
    <n v="3500"/>
    <x v="43"/>
    <x v="65"/>
    <x v="11"/>
    <x v="18"/>
    <x v="26"/>
    <x v="28"/>
    <s v="64-2565818-"/>
    <s v="Javiera.gajardom@redsalud.gob.cl"/>
    <x v="7"/>
    <d v="2025-08-20T00:00:00"/>
    <n v="0"/>
    <m/>
    <n v="1"/>
    <n v="4416666"/>
    <d v="2026-05-01T00:00:00"/>
    <x v="0"/>
  </r>
  <r>
    <s v="SERVICIO DE SALUD OSORNO"/>
    <x v="0"/>
    <x v="38"/>
    <s v="Proyecto operacional"/>
    <s v="Publicado"/>
    <s v="22.04.003.002"/>
    <x v="39"/>
    <s v="Adquirir kit de detección de VPH y arriendo de equipo."/>
    <x v="1"/>
    <x v="33"/>
    <n v="4"/>
    <n v="3500"/>
    <x v="43"/>
    <x v="65"/>
    <x v="11"/>
    <x v="18"/>
    <x v="26"/>
    <x v="28"/>
    <s v="64-2565818-"/>
    <s v="Javiera.gajardom@redsalud.gob.cl"/>
    <x v="7"/>
    <d v="2025-08-20T00:00:00"/>
    <n v="0"/>
    <m/>
    <n v="1"/>
    <n v="4416666"/>
    <d v="2026-06-01T00:00:00"/>
    <x v="0"/>
  </r>
  <r>
    <s v="SERVICIO DE SALUD OSORNO"/>
    <x v="0"/>
    <x v="38"/>
    <s v="Proyecto operacional"/>
    <s v="Publicado"/>
    <s v="22.04.003.002"/>
    <x v="39"/>
    <s v="Adquirir kit de detección de VPH y arriendo de equipo."/>
    <x v="1"/>
    <x v="33"/>
    <n v="4"/>
    <n v="3500"/>
    <x v="43"/>
    <x v="65"/>
    <x v="11"/>
    <x v="18"/>
    <x v="26"/>
    <x v="28"/>
    <s v="64-2565818-"/>
    <s v="Javiera.gajardom@redsalud.gob.cl"/>
    <x v="7"/>
    <d v="2025-08-20T00:00:00"/>
    <n v="0"/>
    <m/>
    <n v="1"/>
    <n v="4416666"/>
    <d v="2026-11-01T00:00:00"/>
    <x v="0"/>
  </r>
  <r>
    <s v="SERVICIO DE SALUD OSORNO"/>
    <x v="0"/>
    <x v="38"/>
    <s v="Proyecto operacional"/>
    <s v="Publicado"/>
    <s v="22.04.003.002"/>
    <x v="39"/>
    <s v="Adquirir kit de detección de VPH y arriendo de equipo."/>
    <x v="1"/>
    <x v="33"/>
    <n v="4"/>
    <n v="3500"/>
    <x v="43"/>
    <x v="65"/>
    <x v="11"/>
    <x v="18"/>
    <x v="26"/>
    <x v="28"/>
    <s v="64-2565818-"/>
    <s v="Javiera.gajardom@redsalud.gob.cl"/>
    <x v="7"/>
    <d v="2025-08-20T00:00:00"/>
    <n v="0"/>
    <m/>
    <n v="1"/>
    <n v="4416666"/>
    <d v="2026-04-01T00:00:00"/>
    <x v="0"/>
  </r>
  <r>
    <s v="SERVICIO DE SALUD OSORNO"/>
    <x v="0"/>
    <x v="38"/>
    <s v="Proyecto operacional"/>
    <s v="Publicado"/>
    <s v="22.04.003.002"/>
    <x v="39"/>
    <s v="Adquirir kit de detección de VPH y arriendo de equipo."/>
    <x v="1"/>
    <x v="33"/>
    <n v="4"/>
    <n v="3500"/>
    <x v="43"/>
    <x v="65"/>
    <x v="11"/>
    <x v="18"/>
    <x v="26"/>
    <x v="28"/>
    <s v="64-2565818-"/>
    <s v="Javiera.gajardom@redsalud.gob.cl"/>
    <x v="7"/>
    <d v="2025-08-20T00:00:00"/>
    <n v="0"/>
    <m/>
    <n v="1"/>
    <n v="4416666"/>
    <d v="2026-02-01T00:00:00"/>
    <x v="0"/>
  </r>
  <r>
    <s v="SERVICIO DE SALUD OSORNO"/>
    <x v="0"/>
    <x v="38"/>
    <s v="Proyecto operacional"/>
    <s v="Publicado"/>
    <s v="22.04.003.002"/>
    <x v="39"/>
    <s v="Adquirir kit de detección de VPH y arriendo de equipo."/>
    <x v="1"/>
    <x v="33"/>
    <n v="4"/>
    <n v="3500"/>
    <x v="43"/>
    <x v="65"/>
    <x v="11"/>
    <x v="18"/>
    <x v="26"/>
    <x v="28"/>
    <s v="64-2565818-"/>
    <s v="Javiera.gajardom@redsalud.gob.cl"/>
    <x v="7"/>
    <d v="2025-08-20T00:00:00"/>
    <n v="0"/>
    <m/>
    <n v="1"/>
    <n v="4416666"/>
    <d v="2026-10-01T00:00:00"/>
    <x v="0"/>
  </r>
  <r>
    <s v="SERVICIO DE SALUD OSORNO"/>
    <x v="0"/>
    <x v="38"/>
    <s v="Proyecto operacional"/>
    <s v="Publicado"/>
    <s v="22.04.003.002"/>
    <x v="39"/>
    <s v="Adquirir kit de detección de VPH y arriendo de equipo."/>
    <x v="1"/>
    <x v="33"/>
    <n v="4"/>
    <n v="3500"/>
    <x v="43"/>
    <x v="65"/>
    <x v="11"/>
    <x v="18"/>
    <x v="26"/>
    <x v="28"/>
    <s v="64-2565818-"/>
    <s v="Javiera.gajardom@redsalud.gob.cl"/>
    <x v="7"/>
    <d v="2025-08-20T00:00:00"/>
    <n v="0"/>
    <m/>
    <n v="1"/>
    <n v="4416666"/>
    <d v="2026-07-01T00:00:00"/>
    <x v="0"/>
  </r>
  <r>
    <s v="SERVICIO DE SALUD OSORNO"/>
    <x v="0"/>
    <x v="38"/>
    <s v="Proyecto operacional"/>
    <s v="Publicado"/>
    <s v="22.04.003.002"/>
    <x v="39"/>
    <s v="Adquirir kit de detección de VPH y arriendo de equipo."/>
    <x v="1"/>
    <x v="33"/>
    <n v="4"/>
    <n v="3500"/>
    <x v="43"/>
    <x v="65"/>
    <x v="11"/>
    <x v="18"/>
    <x v="26"/>
    <x v="28"/>
    <s v="64-2565818-"/>
    <s v="Javiera.gajardom@redsalud.gob.cl"/>
    <x v="7"/>
    <d v="2025-08-20T00:00:00"/>
    <n v="0"/>
    <m/>
    <n v="1"/>
    <n v="4416666"/>
    <d v="2026-09-01T00:00:00"/>
    <x v="0"/>
  </r>
  <r>
    <s v="SERVICIO DE SALUD OSORNO"/>
    <x v="0"/>
    <x v="38"/>
    <s v="Proyecto operacional"/>
    <s v="Publicado"/>
    <s v="22.04.003.002"/>
    <x v="39"/>
    <s v="Adquirir kit de detección de VPH y arriendo de equipo."/>
    <x v="1"/>
    <x v="33"/>
    <n v="4"/>
    <n v="3500"/>
    <x v="43"/>
    <x v="65"/>
    <x v="11"/>
    <x v="18"/>
    <x v="26"/>
    <x v="28"/>
    <s v="64-2565818-"/>
    <s v="Javiera.gajardom@redsalud.gob.cl"/>
    <x v="7"/>
    <d v="2025-08-20T00:00:00"/>
    <n v="0"/>
    <m/>
    <n v="1"/>
    <n v="4416666"/>
    <d v="2026-12-01T00:00:00"/>
    <x v="0"/>
  </r>
  <r>
    <s v="SERVICIO DE SALUD OSORNO"/>
    <x v="0"/>
    <x v="38"/>
    <s v="Proyecto operacional"/>
    <s v="Publicado"/>
    <s v="22.04.003.002"/>
    <x v="39"/>
    <s v="Adquirir kit de detección de VPH y arriendo de equipo."/>
    <x v="1"/>
    <x v="33"/>
    <n v="4"/>
    <n v="3500"/>
    <x v="43"/>
    <x v="65"/>
    <x v="11"/>
    <x v="18"/>
    <x v="26"/>
    <x v="28"/>
    <s v="64-2565818-"/>
    <s v="Javiera.gajardom@redsalud.gob.cl"/>
    <x v="7"/>
    <d v="2025-08-20T00:00:00"/>
    <n v="0"/>
    <m/>
    <n v="1"/>
    <n v="4416666"/>
    <d v="2026-03-01T00:00:00"/>
    <x v="0"/>
  </r>
  <r>
    <s v="SERVICIO DE SALUD OSORNO"/>
    <x v="0"/>
    <x v="38"/>
    <s v="Proyecto operacional"/>
    <s v="Publicado"/>
    <s v="22.04.003.002"/>
    <x v="39"/>
    <s v="Adquirir kit de detección de VPH y arriendo de equipo."/>
    <x v="1"/>
    <x v="33"/>
    <n v="4"/>
    <n v="3500"/>
    <x v="43"/>
    <x v="65"/>
    <x v="11"/>
    <x v="18"/>
    <x v="26"/>
    <x v="28"/>
    <s v="64-2565818-"/>
    <s v="Javiera.gajardom@redsalud.gob.cl"/>
    <x v="7"/>
    <d v="2025-08-20T00:00:00"/>
    <n v="0"/>
    <m/>
    <n v="1"/>
    <n v="4416666"/>
    <d v="2026-08-01T00:00:00"/>
    <x v="0"/>
  </r>
  <r>
    <s v="SERVICIO DE SALUD OSORNO"/>
    <x v="0"/>
    <x v="39"/>
    <s v="Proyecto operacional"/>
    <s v="Publicado"/>
    <s v="22.01.001.001"/>
    <x v="40"/>
    <s v="Servicio de alimentación CDR Kumelen para usuarios que participan en talleres de lunes a viernes. Proceso licitatorio año 2025 finaliza 31/12/2025. Iniciar con Servicio 01/01/2026."/>
    <x v="1"/>
    <x v="31"/>
    <n v="4"/>
    <n v="1"/>
    <x v="36"/>
    <x v="66"/>
    <x v="11"/>
    <x v="18"/>
    <x v="16"/>
    <x v="19"/>
    <s v="64-2567366-"/>
    <s v="luis.floresme@redsalud.gob.cl"/>
    <x v="7"/>
    <d v="2025-08-20T00:00:00"/>
    <n v="0"/>
    <m/>
    <n v="1"/>
    <n v="6666666"/>
    <d v="2026-03-01T00:00:00"/>
    <x v="0"/>
  </r>
  <r>
    <s v="SERVICIO DE SALUD OSORNO"/>
    <x v="0"/>
    <x v="39"/>
    <s v="Proyecto operacional"/>
    <s v="Publicado"/>
    <s v="22.01.001.001"/>
    <x v="40"/>
    <s v="Servicio de alimentación CDR Kumelen para usuarios que participan en talleres de lunes a viernes. Proceso licitatorio año 2025 finaliza 31/12/2025. Iniciar con Servicio 01/01/2026."/>
    <x v="1"/>
    <x v="31"/>
    <n v="4"/>
    <n v="1"/>
    <x v="36"/>
    <x v="66"/>
    <x v="11"/>
    <x v="18"/>
    <x v="16"/>
    <x v="19"/>
    <s v="64-2567366-"/>
    <s v="luis.floresme@redsalud.gob.cl"/>
    <x v="7"/>
    <d v="2025-08-20T00:00:00"/>
    <n v="0"/>
    <m/>
    <n v="1"/>
    <n v="6666666"/>
    <d v="2026-04-01T00:00:00"/>
    <x v="0"/>
  </r>
  <r>
    <s v="SERVICIO DE SALUD OSORNO"/>
    <x v="0"/>
    <x v="39"/>
    <s v="Proyecto operacional"/>
    <s v="Publicado"/>
    <s v="22.01.001.001"/>
    <x v="40"/>
    <s v="Servicio de alimentación CDR Kumelen para usuarios que participan en talleres de lunes a viernes. Proceso licitatorio año 2025 finaliza 31/12/2025. Iniciar con Servicio 01/01/2026."/>
    <x v="1"/>
    <x v="31"/>
    <n v="4"/>
    <n v="1"/>
    <x v="36"/>
    <x v="66"/>
    <x v="11"/>
    <x v="18"/>
    <x v="16"/>
    <x v="19"/>
    <s v="64-2567366-"/>
    <s v="luis.floresme@redsalud.gob.cl"/>
    <x v="7"/>
    <d v="2025-08-20T00:00:00"/>
    <n v="0"/>
    <m/>
    <n v="1"/>
    <n v="6666666"/>
    <d v="2026-12-01T00:00:00"/>
    <x v="0"/>
  </r>
  <r>
    <s v="SERVICIO DE SALUD OSORNO"/>
    <x v="0"/>
    <x v="39"/>
    <s v="Proyecto operacional"/>
    <s v="Publicado"/>
    <s v="22.01.001.001"/>
    <x v="40"/>
    <s v="Servicio de alimentación CDR Kumelen para usuarios que participan en talleres de lunes a viernes. Proceso licitatorio año 2025 finaliza 31/12/2025. Iniciar con Servicio 01/01/2026."/>
    <x v="1"/>
    <x v="31"/>
    <n v="4"/>
    <n v="1"/>
    <x v="36"/>
    <x v="66"/>
    <x v="11"/>
    <x v="18"/>
    <x v="16"/>
    <x v="19"/>
    <s v="64-2567366-"/>
    <s v="luis.floresme@redsalud.gob.cl"/>
    <x v="7"/>
    <d v="2025-08-20T00:00:00"/>
    <n v="0"/>
    <m/>
    <n v="1"/>
    <n v="6666666"/>
    <d v="2026-06-01T00:00:00"/>
    <x v="0"/>
  </r>
  <r>
    <s v="SERVICIO DE SALUD OSORNO"/>
    <x v="0"/>
    <x v="39"/>
    <s v="Proyecto operacional"/>
    <s v="Publicado"/>
    <s v="22.01.001.001"/>
    <x v="40"/>
    <s v="Servicio de alimentación CDR Kumelen para usuarios que participan en talleres de lunes a viernes. Proceso licitatorio año 2025 finaliza 31/12/2025. Iniciar con Servicio 01/01/2026."/>
    <x v="1"/>
    <x v="31"/>
    <n v="4"/>
    <n v="1"/>
    <x v="36"/>
    <x v="66"/>
    <x v="11"/>
    <x v="18"/>
    <x v="16"/>
    <x v="19"/>
    <s v="64-2567366-"/>
    <s v="luis.floresme@redsalud.gob.cl"/>
    <x v="7"/>
    <d v="2025-08-20T00:00:00"/>
    <n v="0"/>
    <m/>
    <n v="1"/>
    <n v="6666666"/>
    <d v="2026-08-01T00:00:00"/>
    <x v="0"/>
  </r>
  <r>
    <s v="SERVICIO DE SALUD OSORNO"/>
    <x v="0"/>
    <x v="39"/>
    <s v="Proyecto operacional"/>
    <s v="Publicado"/>
    <s v="22.01.001.001"/>
    <x v="40"/>
    <s v="Servicio de alimentación CDR Kumelen para usuarios que participan en talleres de lunes a viernes. Proceso licitatorio año 2025 finaliza 31/12/2025. Iniciar con Servicio 01/01/2026."/>
    <x v="1"/>
    <x v="31"/>
    <n v="4"/>
    <n v="1"/>
    <x v="36"/>
    <x v="66"/>
    <x v="11"/>
    <x v="18"/>
    <x v="16"/>
    <x v="19"/>
    <s v="64-2567366-"/>
    <s v="luis.floresme@redsalud.gob.cl"/>
    <x v="7"/>
    <d v="2025-08-20T00:00:00"/>
    <n v="0"/>
    <m/>
    <n v="1"/>
    <n v="6666666"/>
    <d v="2026-07-01T00:00:00"/>
    <x v="0"/>
  </r>
  <r>
    <s v="SERVICIO DE SALUD OSORNO"/>
    <x v="0"/>
    <x v="39"/>
    <s v="Proyecto operacional"/>
    <s v="Publicado"/>
    <s v="22.01.001.001"/>
    <x v="40"/>
    <s v="Servicio de alimentación CDR Kumelen para usuarios que participan en talleres de lunes a viernes. Proceso licitatorio año 2025 finaliza 31/12/2025. Iniciar con Servicio 01/01/2026."/>
    <x v="1"/>
    <x v="31"/>
    <n v="4"/>
    <n v="1"/>
    <x v="36"/>
    <x v="66"/>
    <x v="11"/>
    <x v="18"/>
    <x v="16"/>
    <x v="19"/>
    <s v="64-2567366-"/>
    <s v="luis.floresme@redsalud.gob.cl"/>
    <x v="7"/>
    <d v="2025-08-20T00:00:00"/>
    <n v="0"/>
    <m/>
    <n v="1"/>
    <n v="6666666"/>
    <d v="2026-02-01T00:00:00"/>
    <x v="0"/>
  </r>
  <r>
    <s v="SERVICIO DE SALUD OSORNO"/>
    <x v="0"/>
    <x v="39"/>
    <s v="Proyecto operacional"/>
    <s v="Publicado"/>
    <s v="22.01.001.001"/>
    <x v="40"/>
    <s v="Servicio de alimentación CDR Kumelen para usuarios que participan en talleres de lunes a viernes. Proceso licitatorio año 2025 finaliza 31/12/2025. Iniciar con Servicio 01/01/2026."/>
    <x v="1"/>
    <x v="31"/>
    <n v="4"/>
    <n v="1"/>
    <x v="36"/>
    <x v="66"/>
    <x v="11"/>
    <x v="18"/>
    <x v="16"/>
    <x v="19"/>
    <s v="64-2567366-"/>
    <s v="luis.floresme@redsalud.gob.cl"/>
    <x v="7"/>
    <d v="2025-08-20T00:00:00"/>
    <n v="0"/>
    <m/>
    <n v="1"/>
    <n v="6666666"/>
    <d v="2026-05-01T00:00:00"/>
    <x v="0"/>
  </r>
  <r>
    <s v="SERVICIO DE SALUD OSORNO"/>
    <x v="0"/>
    <x v="39"/>
    <s v="Proyecto operacional"/>
    <s v="Publicado"/>
    <s v="22.01.001.001"/>
    <x v="40"/>
    <s v="Servicio de alimentación CDR Kumelen para usuarios que participan en talleres de lunes a viernes. Proceso licitatorio año 2025 finaliza 31/12/2025. Iniciar con Servicio 01/01/2026."/>
    <x v="1"/>
    <x v="31"/>
    <n v="4"/>
    <n v="1"/>
    <x v="36"/>
    <x v="66"/>
    <x v="11"/>
    <x v="18"/>
    <x v="16"/>
    <x v="19"/>
    <s v="64-2567366-"/>
    <s v="luis.floresme@redsalud.gob.cl"/>
    <x v="7"/>
    <d v="2025-08-20T00:00:00"/>
    <n v="0"/>
    <m/>
    <n v="1"/>
    <n v="6666666"/>
    <d v="2026-10-01T00:00:00"/>
    <x v="0"/>
  </r>
  <r>
    <s v="SERVICIO DE SALUD OSORNO"/>
    <x v="0"/>
    <x v="39"/>
    <s v="Proyecto operacional"/>
    <s v="Publicado"/>
    <s v="22.01.001.001"/>
    <x v="40"/>
    <s v="Servicio de alimentación CDR Kumelen para usuarios que participan en talleres de lunes a viernes. Proceso licitatorio año 2025 finaliza 31/12/2025. Iniciar con Servicio 01/01/2026."/>
    <x v="1"/>
    <x v="31"/>
    <n v="4"/>
    <n v="1"/>
    <x v="36"/>
    <x v="66"/>
    <x v="11"/>
    <x v="18"/>
    <x v="16"/>
    <x v="19"/>
    <s v="64-2567366-"/>
    <s v="luis.floresme@redsalud.gob.cl"/>
    <x v="7"/>
    <d v="2025-08-20T00:00:00"/>
    <n v="0"/>
    <m/>
    <n v="1"/>
    <n v="6666666"/>
    <d v="2026-11-01T00:00:00"/>
    <x v="0"/>
  </r>
  <r>
    <s v="SERVICIO DE SALUD OSORNO"/>
    <x v="0"/>
    <x v="39"/>
    <s v="Proyecto operacional"/>
    <s v="Publicado"/>
    <s v="22.01.001.001"/>
    <x v="40"/>
    <s v="Servicio de alimentación CDR Kumelen para usuarios que participan en talleres de lunes a viernes. Proceso licitatorio año 2025 finaliza 31/12/2025. Iniciar con Servicio 01/01/2026."/>
    <x v="1"/>
    <x v="31"/>
    <n v="4"/>
    <n v="1"/>
    <x v="36"/>
    <x v="66"/>
    <x v="11"/>
    <x v="18"/>
    <x v="16"/>
    <x v="19"/>
    <s v="64-2567366-"/>
    <s v="luis.floresme@redsalud.gob.cl"/>
    <x v="7"/>
    <d v="2025-08-20T00:00:00"/>
    <n v="0"/>
    <m/>
    <n v="1"/>
    <n v="6666666"/>
    <d v="2026-09-01T00:00:00"/>
    <x v="0"/>
  </r>
  <r>
    <s v="SERVICIO DE SALUD OSORNO"/>
    <x v="0"/>
    <x v="40"/>
    <s v="Proyecto operacional"/>
    <s v="Publicado"/>
    <s v="22.03.003"/>
    <x v="41"/>
    <s v="Mes de Ejecución, Enero 2026 Periodo de Vigencia, Enero a Diciembre 2026 Reposición de gas licuado de 45, 15, 11 y 5 kilos para la Comunidad Terapéutica Peulla, Unidades Ambulatorio y Residencial. Además, compra de 65 metros de leña, seca de 50 y 33 cm. de largo para calefaccionar Unidades Residencial y Ambulatorio."/>
    <x v="0"/>
    <x v="35"/>
    <n v="4"/>
    <n v="65"/>
    <x v="44"/>
    <x v="67"/>
    <x v="11"/>
    <x v="20"/>
    <x v="19"/>
    <x v="22"/>
    <s v="64-2565492-"/>
    <s v="mariaines.asenjo@redsalud.gob.cl"/>
    <x v="7"/>
    <d v="2025-08-20T00:00:00"/>
    <n v="0"/>
    <m/>
    <n v="1"/>
    <n v="291958"/>
    <d v="2026-02-01T00:00:00"/>
    <x v="0"/>
  </r>
  <r>
    <s v="SERVICIO DE SALUD OSORNO"/>
    <x v="0"/>
    <x v="40"/>
    <s v="Proyecto operacional"/>
    <s v="Publicado"/>
    <s v="22.03.003"/>
    <x v="41"/>
    <s v="Mes de Ejecución, Enero 2026 Periodo de Vigencia, Enero a Diciembre 2026 Reposición de gas licuado de 45, 15, 11 y 5 kilos para la Comunidad Terapéutica Peulla, Unidades Ambulatorio y Residencial. Además, compra de 65 metros de leña, seca de 50 y 33 cm. de largo para calefaccionar Unidades Residencial y Ambulatorio."/>
    <x v="0"/>
    <x v="35"/>
    <n v="4"/>
    <n v="65"/>
    <x v="44"/>
    <x v="67"/>
    <x v="11"/>
    <x v="20"/>
    <x v="19"/>
    <x v="22"/>
    <s v="64-2565492-"/>
    <s v="mariaines.asenjo@redsalud.gob.cl"/>
    <x v="7"/>
    <d v="2025-08-20T00:00:00"/>
    <n v="0"/>
    <m/>
    <n v="1"/>
    <n v="291958"/>
    <d v="2026-07-01T00:00:00"/>
    <x v="0"/>
  </r>
  <r>
    <s v="SERVICIO DE SALUD OSORNO"/>
    <x v="0"/>
    <x v="40"/>
    <s v="Proyecto operacional"/>
    <s v="Publicado"/>
    <s v="22.03.003"/>
    <x v="41"/>
    <s v="Mes de Ejecución, Enero 2026 Periodo de Vigencia, Enero a Diciembre 2026 Reposición de gas licuado de 45, 15, 11 y 5 kilos para la Comunidad Terapéutica Peulla, Unidades Ambulatorio y Residencial. Además, compra de 65 metros de leña, seca de 50 y 33 cm. de largo para calefaccionar Unidades Residencial y Ambulatorio."/>
    <x v="0"/>
    <x v="35"/>
    <n v="4"/>
    <n v="65"/>
    <x v="44"/>
    <x v="67"/>
    <x v="11"/>
    <x v="20"/>
    <x v="19"/>
    <x v="22"/>
    <s v="64-2565492-"/>
    <s v="mariaines.asenjo@redsalud.gob.cl"/>
    <x v="7"/>
    <d v="2025-08-20T00:00:00"/>
    <n v="0"/>
    <m/>
    <n v="1"/>
    <n v="291958"/>
    <d v="2026-01-01T00:00:00"/>
    <x v="0"/>
  </r>
  <r>
    <s v="SERVICIO DE SALUD OSORNO"/>
    <x v="0"/>
    <x v="40"/>
    <s v="Proyecto operacional"/>
    <s v="Publicado"/>
    <s v="22.03.003"/>
    <x v="41"/>
    <s v="Mes de Ejecución, Enero 2026 Periodo de Vigencia, Enero a Diciembre 2026 Reposición de gas licuado de 45, 15, 11 y 5 kilos para la Comunidad Terapéutica Peulla, Unidades Ambulatorio y Residencial. Además, compra de 65 metros de leña, seca de 50 y 33 cm. de largo para calefaccionar Unidades Residencial y Ambulatorio."/>
    <x v="0"/>
    <x v="35"/>
    <n v="4"/>
    <n v="65"/>
    <x v="44"/>
    <x v="68"/>
    <x v="11"/>
    <x v="20"/>
    <x v="19"/>
    <x v="22"/>
    <s v="64-2565492-"/>
    <s v="mariaines.asenjo@redsalud.gob.cl"/>
    <x v="7"/>
    <d v="2025-08-20T00:00:00"/>
    <n v="0"/>
    <m/>
    <n v="1"/>
    <n v="291962"/>
    <d v="2026-12-01T00:00:00"/>
    <x v="0"/>
  </r>
  <r>
    <s v="SERVICIO DE SALUD OSORNO"/>
    <x v="0"/>
    <x v="40"/>
    <s v="Proyecto operacional"/>
    <s v="Publicado"/>
    <s v="22.03.003"/>
    <x v="41"/>
    <s v="Mes de Ejecución, Enero 2026 Periodo de Vigencia, Enero a Diciembre 2026 Reposición de gas licuado de 45, 15, 11 y 5 kilos para la Comunidad Terapéutica Peulla, Unidades Ambulatorio y Residencial. Además, compra de 65 metros de leña, seca de 50 y 33 cm. de largo para calefaccionar Unidades Residencial y Ambulatorio."/>
    <x v="0"/>
    <x v="35"/>
    <n v="4"/>
    <n v="65"/>
    <x v="44"/>
    <x v="67"/>
    <x v="11"/>
    <x v="20"/>
    <x v="19"/>
    <x v="22"/>
    <s v="64-2565492-"/>
    <s v="mariaines.asenjo@redsalud.gob.cl"/>
    <x v="7"/>
    <d v="2025-08-20T00:00:00"/>
    <n v="0"/>
    <m/>
    <n v="1"/>
    <n v="291958"/>
    <d v="2026-04-01T00:00:00"/>
    <x v="0"/>
  </r>
  <r>
    <s v="SERVICIO DE SALUD OSORNO"/>
    <x v="0"/>
    <x v="40"/>
    <s v="Proyecto operacional"/>
    <s v="Publicado"/>
    <s v="22.03.003"/>
    <x v="41"/>
    <s v="Mes de Ejecución, Enero 2026 Periodo de Vigencia, Enero a Diciembre 2026 Reposición de gas licuado de 45, 15, 11 y 5 kilos para la Comunidad Terapéutica Peulla, Unidades Ambulatorio y Residencial. Además, compra de 65 metros de leña, seca de 50 y 33 cm. de largo para calefaccionar Unidades Residencial y Ambulatorio."/>
    <x v="0"/>
    <x v="35"/>
    <n v="4"/>
    <n v="65"/>
    <x v="44"/>
    <x v="67"/>
    <x v="11"/>
    <x v="20"/>
    <x v="19"/>
    <x v="22"/>
    <s v="64-2565492-"/>
    <s v="mariaines.asenjo@redsalud.gob.cl"/>
    <x v="7"/>
    <d v="2025-08-20T00:00:00"/>
    <n v="0"/>
    <m/>
    <n v="1"/>
    <n v="291958"/>
    <d v="2026-06-01T00:00:00"/>
    <x v="0"/>
  </r>
  <r>
    <s v="SERVICIO DE SALUD OSORNO"/>
    <x v="0"/>
    <x v="40"/>
    <s v="Proyecto operacional"/>
    <s v="Publicado"/>
    <s v="22.03.003"/>
    <x v="41"/>
    <s v="Mes de Ejecución, Enero 2026 Periodo de Vigencia, Enero a Diciembre 2026 Reposición de gas licuado de 45, 15, 11 y 5 kilos para la Comunidad Terapéutica Peulla, Unidades Ambulatorio y Residencial. Además, compra de 65 metros de leña, seca de 50 y 33 cm. de largo para calefaccionar Unidades Residencial y Ambulatorio."/>
    <x v="0"/>
    <x v="35"/>
    <n v="4"/>
    <n v="65"/>
    <x v="44"/>
    <x v="67"/>
    <x v="11"/>
    <x v="20"/>
    <x v="19"/>
    <x v="22"/>
    <s v="64-2565492-"/>
    <s v="mariaines.asenjo@redsalud.gob.cl"/>
    <x v="7"/>
    <d v="2025-08-20T00:00:00"/>
    <n v="0"/>
    <m/>
    <n v="1"/>
    <n v="291958"/>
    <d v="2026-05-01T00:00:00"/>
    <x v="0"/>
  </r>
  <r>
    <s v="SERVICIO DE SALUD OSORNO"/>
    <x v="0"/>
    <x v="40"/>
    <s v="Proyecto operacional"/>
    <s v="Publicado"/>
    <s v="22.03.003"/>
    <x v="41"/>
    <s v="Mes de Ejecución, Enero 2026 Periodo de Vigencia, Enero a Diciembre 2026 Reposición de gas licuado de 45, 15, 11 y 5 kilos para la Comunidad Terapéutica Peulla, Unidades Ambulatorio y Residencial. Además, compra de 65 metros de leña, seca de 50 y 33 cm. de largo para calefaccionar Unidades Residencial y Ambulatorio."/>
    <x v="0"/>
    <x v="35"/>
    <n v="4"/>
    <n v="65"/>
    <x v="44"/>
    <x v="67"/>
    <x v="11"/>
    <x v="20"/>
    <x v="19"/>
    <x v="22"/>
    <s v="64-2565492-"/>
    <s v="mariaines.asenjo@redsalud.gob.cl"/>
    <x v="7"/>
    <d v="2025-08-20T00:00:00"/>
    <n v="0"/>
    <m/>
    <n v="1"/>
    <n v="291958"/>
    <d v="2026-03-01T00:00:00"/>
    <x v="0"/>
  </r>
  <r>
    <s v="SERVICIO DE SALUD OSORNO"/>
    <x v="0"/>
    <x v="40"/>
    <s v="Proyecto operacional"/>
    <s v="Publicado"/>
    <s v="22.03.003"/>
    <x v="41"/>
    <s v="Mes de Ejecución, Enero 2026 Periodo de Vigencia, Enero a Diciembre 2026 Reposición de gas licuado de 45, 15, 11 y 5 kilos para la Comunidad Terapéutica Peulla, Unidades Ambulatorio y Residencial. Además, compra de 65 metros de leña, seca de 50 y 33 cm. de largo para calefaccionar Unidades Residencial y Ambulatorio."/>
    <x v="0"/>
    <x v="35"/>
    <n v="4"/>
    <n v="65"/>
    <x v="44"/>
    <x v="67"/>
    <x v="11"/>
    <x v="20"/>
    <x v="19"/>
    <x v="22"/>
    <s v="64-2565492-"/>
    <s v="mariaines.asenjo@redsalud.gob.cl"/>
    <x v="7"/>
    <d v="2025-08-20T00:00:00"/>
    <n v="0"/>
    <m/>
    <n v="1"/>
    <n v="291958"/>
    <d v="2026-10-01T00:00:00"/>
    <x v="0"/>
  </r>
  <r>
    <s v="SERVICIO DE SALUD OSORNO"/>
    <x v="0"/>
    <x v="40"/>
    <s v="Proyecto operacional"/>
    <s v="Publicado"/>
    <s v="22.03.003"/>
    <x v="41"/>
    <s v="Mes de Ejecución, Enero 2026 Periodo de Vigencia, Enero a Diciembre 2026 Reposición de gas licuado de 45, 15, 11 y 5 kilos para la Comunidad Terapéutica Peulla, Unidades Ambulatorio y Residencial. Además, compra de 65 metros de leña, seca de 50 y 33 cm. de largo para calefaccionar Unidades Residencial y Ambulatorio."/>
    <x v="0"/>
    <x v="35"/>
    <n v="4"/>
    <n v="65"/>
    <x v="44"/>
    <x v="67"/>
    <x v="11"/>
    <x v="20"/>
    <x v="19"/>
    <x v="22"/>
    <s v="64-2565492-"/>
    <s v="mariaines.asenjo@redsalud.gob.cl"/>
    <x v="7"/>
    <d v="2025-08-20T00:00:00"/>
    <n v="0"/>
    <m/>
    <n v="1"/>
    <n v="291958"/>
    <d v="2026-09-01T00:00:00"/>
    <x v="0"/>
  </r>
  <r>
    <s v="SERVICIO DE SALUD OSORNO"/>
    <x v="0"/>
    <x v="40"/>
    <s v="Proyecto operacional"/>
    <s v="Publicado"/>
    <s v="22.03.003"/>
    <x v="41"/>
    <s v="Mes de Ejecución, Enero 2026 Periodo de Vigencia, Enero a Diciembre 2026 Reposición de gas licuado de 45, 15, 11 y 5 kilos para la Comunidad Terapéutica Peulla, Unidades Ambulatorio y Residencial. Además, compra de 65 metros de leña, seca de 50 y 33 cm. de largo para calefaccionar Unidades Residencial y Ambulatorio."/>
    <x v="0"/>
    <x v="35"/>
    <n v="4"/>
    <n v="65"/>
    <x v="44"/>
    <x v="67"/>
    <x v="11"/>
    <x v="20"/>
    <x v="19"/>
    <x v="22"/>
    <s v="64-2565492-"/>
    <s v="mariaines.asenjo@redsalud.gob.cl"/>
    <x v="7"/>
    <d v="2025-08-20T00:00:00"/>
    <n v="0"/>
    <m/>
    <n v="1"/>
    <n v="291958"/>
    <d v="2026-08-01T00:00:00"/>
    <x v="0"/>
  </r>
  <r>
    <s v="SERVICIO DE SALUD OSORNO"/>
    <x v="0"/>
    <x v="40"/>
    <s v="Proyecto operacional"/>
    <s v="Publicado"/>
    <s v="22.03.003"/>
    <x v="41"/>
    <s v="Mes de Ejecución, Enero 2026 Periodo de Vigencia, Enero a Diciembre 2026 Reposición de gas licuado de 45, 15, 11 y 5 kilos para la Comunidad Terapéutica Peulla, Unidades Ambulatorio y Residencial. Además, compra de 65 metros de leña, seca de 50 y 33 cm. de largo para calefaccionar Unidades Residencial y Ambulatorio."/>
    <x v="0"/>
    <x v="35"/>
    <n v="4"/>
    <n v="65"/>
    <x v="44"/>
    <x v="67"/>
    <x v="11"/>
    <x v="20"/>
    <x v="19"/>
    <x v="22"/>
    <s v="64-2565492-"/>
    <s v="mariaines.asenjo@redsalud.gob.cl"/>
    <x v="7"/>
    <d v="2025-08-20T00:00:00"/>
    <n v="0"/>
    <m/>
    <n v="1"/>
    <n v="291958"/>
    <d v="2026-11-01T00:00:00"/>
    <x v="0"/>
  </r>
  <r>
    <s v="SERVICIO DE SALUD OSORNO"/>
    <x v="0"/>
    <x v="40"/>
    <s v="Proyecto operacional"/>
    <s v="Publicado"/>
    <s v="22.03.003"/>
    <x v="41"/>
    <s v="Mes de Ejecución, Enero 2026 Periodo de Vigencia, Enero a Diciembre 2026 Reposición de gas licuado de 45, 15, 11 y 5 kilos para la Comunidad Terapéutica Peulla, Unidades Ambulatorio y Residencial. Además, compra de 65 metros de leña, seca de 50 y 33 cm. de largo para calefaccionar Unidades Residencial y Ambulatorio."/>
    <x v="0"/>
    <x v="36"/>
    <n v="4"/>
    <n v="50"/>
    <x v="45"/>
    <x v="69"/>
    <x v="11"/>
    <x v="20"/>
    <x v="19"/>
    <x v="22"/>
    <s v="64-2565492-"/>
    <s v="mariaines.asenjo@redsalud.gob.cl"/>
    <x v="7"/>
    <d v="2025-08-20T00:00:00"/>
    <n v="0"/>
    <m/>
    <n v="1"/>
    <n v="242833"/>
    <d v="2026-01-01T00:00:00"/>
    <x v="0"/>
  </r>
  <r>
    <s v="SERVICIO DE SALUD OSORNO"/>
    <x v="0"/>
    <x v="40"/>
    <s v="Proyecto operacional"/>
    <s v="Publicado"/>
    <s v="22.03.003"/>
    <x v="41"/>
    <s v="Mes de Ejecución, Enero 2026 Periodo de Vigencia, Enero a Diciembre 2026 Reposición de gas licuado de 45, 15, 11 y 5 kilos para la Comunidad Terapéutica Peulla, Unidades Ambulatorio y Residencial. Además, compra de 65 metros de leña, seca de 50 y 33 cm. de largo para calefaccionar Unidades Residencial y Ambulatorio."/>
    <x v="0"/>
    <x v="36"/>
    <n v="4"/>
    <n v="50"/>
    <x v="45"/>
    <x v="69"/>
    <x v="11"/>
    <x v="20"/>
    <x v="19"/>
    <x v="22"/>
    <s v="64-2565492-"/>
    <s v="mariaines.asenjo@redsalud.gob.cl"/>
    <x v="7"/>
    <d v="2025-08-20T00:00:00"/>
    <n v="0"/>
    <m/>
    <n v="1"/>
    <n v="242833"/>
    <d v="2026-07-01T00:00:00"/>
    <x v="0"/>
  </r>
  <r>
    <s v="SERVICIO DE SALUD OSORNO"/>
    <x v="0"/>
    <x v="40"/>
    <s v="Proyecto operacional"/>
    <s v="Publicado"/>
    <s v="22.03.003"/>
    <x v="41"/>
    <s v="Mes de Ejecución, Enero 2026 Periodo de Vigencia, Enero a Diciembre 2026 Reposición de gas licuado de 45, 15, 11 y 5 kilos para la Comunidad Terapéutica Peulla, Unidades Ambulatorio y Residencial. Además, compra de 65 metros de leña, seca de 50 y 33 cm. de largo para calefaccionar Unidades Residencial y Ambulatorio."/>
    <x v="0"/>
    <x v="36"/>
    <n v="4"/>
    <n v="50"/>
    <x v="45"/>
    <x v="69"/>
    <x v="11"/>
    <x v="20"/>
    <x v="19"/>
    <x v="22"/>
    <s v="64-2565492-"/>
    <s v="mariaines.asenjo@redsalud.gob.cl"/>
    <x v="7"/>
    <d v="2025-08-20T00:00:00"/>
    <n v="0"/>
    <m/>
    <n v="1"/>
    <n v="242833"/>
    <d v="2026-05-01T00:00:00"/>
    <x v="0"/>
  </r>
  <r>
    <s v="SERVICIO DE SALUD OSORNO"/>
    <x v="0"/>
    <x v="40"/>
    <s v="Proyecto operacional"/>
    <s v="Publicado"/>
    <s v="22.03.003"/>
    <x v="41"/>
    <s v="Mes de Ejecución, Enero 2026 Periodo de Vigencia, Enero a Diciembre 2026 Reposición de gas licuado de 45, 15, 11 y 5 kilos para la Comunidad Terapéutica Peulla, Unidades Ambulatorio y Residencial. Además, compra de 65 metros de leña, seca de 50 y 33 cm. de largo para calefaccionar Unidades Residencial y Ambulatorio."/>
    <x v="0"/>
    <x v="36"/>
    <n v="4"/>
    <n v="50"/>
    <x v="45"/>
    <x v="69"/>
    <x v="11"/>
    <x v="20"/>
    <x v="19"/>
    <x v="22"/>
    <s v="64-2565492-"/>
    <s v="mariaines.asenjo@redsalud.gob.cl"/>
    <x v="7"/>
    <d v="2025-08-20T00:00:00"/>
    <n v="0"/>
    <m/>
    <n v="1"/>
    <n v="242833"/>
    <d v="2026-06-01T00:00:00"/>
    <x v="0"/>
  </r>
  <r>
    <s v="SERVICIO DE SALUD OSORNO"/>
    <x v="0"/>
    <x v="40"/>
    <s v="Proyecto operacional"/>
    <s v="Publicado"/>
    <s v="22.03.003"/>
    <x v="41"/>
    <s v="Mes de Ejecución, Enero 2026 Periodo de Vigencia, Enero a Diciembre 2026 Reposición de gas licuado de 45, 15, 11 y 5 kilos para la Comunidad Terapéutica Peulla, Unidades Ambulatorio y Residencial. Además, compra de 65 metros de leña, seca de 50 y 33 cm. de largo para calefaccionar Unidades Residencial y Ambulatorio."/>
    <x v="0"/>
    <x v="36"/>
    <n v="4"/>
    <n v="50"/>
    <x v="45"/>
    <x v="69"/>
    <x v="11"/>
    <x v="20"/>
    <x v="19"/>
    <x v="22"/>
    <s v="64-2565492-"/>
    <s v="mariaines.asenjo@redsalud.gob.cl"/>
    <x v="7"/>
    <d v="2025-08-20T00:00:00"/>
    <n v="0"/>
    <m/>
    <n v="1"/>
    <n v="242833"/>
    <d v="2026-11-01T00:00:00"/>
    <x v="0"/>
  </r>
  <r>
    <s v="SERVICIO DE SALUD OSORNO"/>
    <x v="0"/>
    <x v="40"/>
    <s v="Proyecto operacional"/>
    <s v="Publicado"/>
    <s v="22.03.003"/>
    <x v="41"/>
    <s v="Mes de Ejecución, Enero 2026 Periodo de Vigencia, Enero a Diciembre 2026 Reposición de gas licuado de 45, 15, 11 y 5 kilos para la Comunidad Terapéutica Peulla, Unidades Ambulatorio y Residencial. Además, compra de 65 metros de leña, seca de 50 y 33 cm. de largo para calefaccionar Unidades Residencial y Ambulatorio."/>
    <x v="0"/>
    <x v="36"/>
    <n v="4"/>
    <n v="50"/>
    <x v="45"/>
    <x v="70"/>
    <x v="11"/>
    <x v="20"/>
    <x v="19"/>
    <x v="22"/>
    <s v="64-2565492-"/>
    <s v="mariaines.asenjo@redsalud.gob.cl"/>
    <x v="7"/>
    <d v="2025-08-20T00:00:00"/>
    <n v="0"/>
    <m/>
    <n v="1"/>
    <n v="242837"/>
    <d v="2026-12-01T00:00:00"/>
    <x v="0"/>
  </r>
  <r>
    <s v="SERVICIO DE SALUD OSORNO"/>
    <x v="0"/>
    <x v="40"/>
    <s v="Proyecto operacional"/>
    <s v="Publicado"/>
    <s v="22.03.003"/>
    <x v="41"/>
    <s v="Mes de Ejecución, Enero 2026 Periodo de Vigencia, Enero a Diciembre 2026 Reposición de gas licuado de 45, 15, 11 y 5 kilos para la Comunidad Terapéutica Peulla, Unidades Ambulatorio y Residencial. Además, compra de 65 metros de leña, seca de 50 y 33 cm. de largo para calefaccionar Unidades Residencial y Ambulatorio."/>
    <x v="0"/>
    <x v="36"/>
    <n v="4"/>
    <n v="50"/>
    <x v="45"/>
    <x v="69"/>
    <x v="11"/>
    <x v="20"/>
    <x v="19"/>
    <x v="22"/>
    <s v="64-2565492-"/>
    <s v="mariaines.asenjo@redsalud.gob.cl"/>
    <x v="7"/>
    <d v="2025-08-20T00:00:00"/>
    <n v="0"/>
    <m/>
    <n v="1"/>
    <n v="242833"/>
    <d v="2026-08-01T00:00:00"/>
    <x v="0"/>
  </r>
  <r>
    <s v="SERVICIO DE SALUD OSORNO"/>
    <x v="0"/>
    <x v="40"/>
    <s v="Proyecto operacional"/>
    <s v="Publicado"/>
    <s v="22.03.003"/>
    <x v="41"/>
    <s v="Mes de Ejecución, Enero 2026 Periodo de Vigencia, Enero a Diciembre 2026 Reposición de gas licuado de 45, 15, 11 y 5 kilos para la Comunidad Terapéutica Peulla, Unidades Ambulatorio y Residencial. Además, compra de 65 metros de leña, seca de 50 y 33 cm. de largo para calefaccionar Unidades Residencial y Ambulatorio."/>
    <x v="0"/>
    <x v="36"/>
    <n v="4"/>
    <n v="50"/>
    <x v="45"/>
    <x v="69"/>
    <x v="11"/>
    <x v="20"/>
    <x v="19"/>
    <x v="22"/>
    <s v="64-2565492-"/>
    <s v="mariaines.asenjo@redsalud.gob.cl"/>
    <x v="7"/>
    <d v="2025-08-20T00:00:00"/>
    <n v="0"/>
    <m/>
    <n v="1"/>
    <n v="242833"/>
    <d v="2026-02-01T00:00:00"/>
    <x v="0"/>
  </r>
  <r>
    <s v="SERVICIO DE SALUD OSORNO"/>
    <x v="0"/>
    <x v="40"/>
    <s v="Proyecto operacional"/>
    <s v="Publicado"/>
    <s v="22.03.003"/>
    <x v="41"/>
    <s v="Mes de Ejecución, Enero 2026 Periodo de Vigencia, Enero a Diciembre 2026 Reposición de gas licuado de 45, 15, 11 y 5 kilos para la Comunidad Terapéutica Peulla, Unidades Ambulatorio y Residencial. Además, compra de 65 metros de leña, seca de 50 y 33 cm. de largo para calefaccionar Unidades Residencial y Ambulatorio."/>
    <x v="0"/>
    <x v="36"/>
    <n v="4"/>
    <n v="50"/>
    <x v="45"/>
    <x v="69"/>
    <x v="11"/>
    <x v="20"/>
    <x v="19"/>
    <x v="22"/>
    <s v="64-2565492-"/>
    <s v="mariaines.asenjo@redsalud.gob.cl"/>
    <x v="7"/>
    <d v="2025-08-20T00:00:00"/>
    <n v="0"/>
    <m/>
    <n v="1"/>
    <n v="242833"/>
    <d v="2026-04-01T00:00:00"/>
    <x v="0"/>
  </r>
  <r>
    <s v="SERVICIO DE SALUD OSORNO"/>
    <x v="0"/>
    <x v="40"/>
    <s v="Proyecto operacional"/>
    <s v="Publicado"/>
    <s v="22.03.003"/>
    <x v="41"/>
    <s v="Mes de Ejecución, Enero 2026 Periodo de Vigencia, Enero a Diciembre 2026 Reposición de gas licuado de 45, 15, 11 y 5 kilos para la Comunidad Terapéutica Peulla, Unidades Ambulatorio y Residencial. Además, compra de 65 metros de leña, seca de 50 y 33 cm. de largo para calefaccionar Unidades Residencial y Ambulatorio."/>
    <x v="0"/>
    <x v="36"/>
    <n v="4"/>
    <n v="50"/>
    <x v="45"/>
    <x v="69"/>
    <x v="11"/>
    <x v="20"/>
    <x v="19"/>
    <x v="22"/>
    <s v="64-2565492-"/>
    <s v="mariaines.asenjo@redsalud.gob.cl"/>
    <x v="7"/>
    <d v="2025-08-20T00:00:00"/>
    <n v="0"/>
    <m/>
    <n v="1"/>
    <n v="242833"/>
    <d v="2026-09-01T00:00:00"/>
    <x v="0"/>
  </r>
  <r>
    <s v="SERVICIO DE SALUD OSORNO"/>
    <x v="0"/>
    <x v="40"/>
    <s v="Proyecto operacional"/>
    <s v="Publicado"/>
    <s v="22.03.003"/>
    <x v="41"/>
    <s v="Mes de Ejecución, Enero 2026 Periodo de Vigencia, Enero a Diciembre 2026 Reposición de gas licuado de 45, 15, 11 y 5 kilos para la Comunidad Terapéutica Peulla, Unidades Ambulatorio y Residencial. Además, compra de 65 metros de leña, seca de 50 y 33 cm. de largo para calefaccionar Unidades Residencial y Ambulatorio."/>
    <x v="0"/>
    <x v="36"/>
    <n v="4"/>
    <n v="50"/>
    <x v="45"/>
    <x v="69"/>
    <x v="11"/>
    <x v="20"/>
    <x v="19"/>
    <x v="22"/>
    <s v="64-2565492-"/>
    <s v="mariaines.asenjo@redsalud.gob.cl"/>
    <x v="7"/>
    <d v="2025-08-20T00:00:00"/>
    <n v="0"/>
    <m/>
    <n v="1"/>
    <n v="242833"/>
    <d v="2026-10-01T00:00:00"/>
    <x v="0"/>
  </r>
  <r>
    <s v="SERVICIO DE SALUD OSORNO"/>
    <x v="0"/>
    <x v="40"/>
    <s v="Proyecto operacional"/>
    <s v="Publicado"/>
    <s v="22.03.003"/>
    <x v="41"/>
    <s v="Mes de Ejecución, Enero 2026 Periodo de Vigencia, Enero a Diciembre 2026 Reposición de gas licuado de 45, 15, 11 y 5 kilos para la Comunidad Terapéutica Peulla, Unidades Ambulatorio y Residencial. Además, compra de 65 metros de leña, seca de 50 y 33 cm. de largo para calefaccionar Unidades Residencial y Ambulatorio."/>
    <x v="0"/>
    <x v="36"/>
    <n v="4"/>
    <n v="50"/>
    <x v="45"/>
    <x v="69"/>
    <x v="11"/>
    <x v="20"/>
    <x v="19"/>
    <x v="22"/>
    <s v="64-2565492-"/>
    <s v="mariaines.asenjo@redsalud.gob.cl"/>
    <x v="7"/>
    <d v="2025-08-20T00:00:00"/>
    <n v="0"/>
    <m/>
    <n v="1"/>
    <n v="242833"/>
    <d v="2026-03-01T00:00:00"/>
    <x v="0"/>
  </r>
  <r>
    <s v="SERVICIO DE SALUD OSORNO"/>
    <x v="0"/>
    <x v="41"/>
    <s v="Proyecto operacional"/>
    <s v="Publicado"/>
    <s v="22.09.006"/>
    <x v="42"/>
    <s v="Licitar, iniciando en Octubre del 2025 el proceso de arriendo de 159 PC AIO. El contrato respectivo tendrá una duración de 36 meses desde enero del 2026 hasta enero del año 2029. Los PC deben incluir el licenciamiento Sistemas Operativo Windows 11, licencias Office 365 y un antivirus por cada equipo."/>
    <x v="1"/>
    <x v="37"/>
    <n v="4"/>
    <n v="1"/>
    <x v="46"/>
    <x v="71"/>
    <x v="3"/>
    <x v="21"/>
    <x v="0"/>
    <x v="29"/>
    <s v="64-2565840-"/>
    <s v="bruno.ojeda@redsalud.gob.cl"/>
    <x v="7"/>
    <d v="2025-08-20T00:00:00"/>
    <n v="0"/>
    <m/>
    <n v="1"/>
    <n v="7456500"/>
    <d v="2026-04-01T00:00:00"/>
    <x v="0"/>
  </r>
  <r>
    <s v="SERVICIO DE SALUD OSORNO"/>
    <x v="0"/>
    <x v="41"/>
    <s v="Proyecto operacional"/>
    <s v="Publicado"/>
    <s v="22.09.006"/>
    <x v="42"/>
    <s v="Licitar, iniciando en Octubre del 2025 el proceso de arriendo de 159 PC AIO. El contrato respectivo tendrá una duración de 36 meses desde enero del 2026 hasta enero del año 2029. Los PC deben incluir el licenciamiento Sistemas Operativo Windows 11, licencias Office 365 y un antivirus por cada equipo."/>
    <x v="1"/>
    <x v="37"/>
    <n v="4"/>
    <n v="1"/>
    <x v="46"/>
    <x v="71"/>
    <x v="3"/>
    <x v="21"/>
    <x v="0"/>
    <x v="29"/>
    <s v="64-2565840-"/>
    <s v="bruno.ojeda@redsalud.gob.cl"/>
    <x v="7"/>
    <d v="2025-08-20T00:00:00"/>
    <n v="0"/>
    <m/>
    <n v="1"/>
    <n v="7456500"/>
    <d v="2026-06-01T00:00:00"/>
    <x v="0"/>
  </r>
  <r>
    <s v="SERVICIO DE SALUD OSORNO"/>
    <x v="0"/>
    <x v="41"/>
    <s v="Proyecto operacional"/>
    <s v="Publicado"/>
    <s v="22.09.006"/>
    <x v="42"/>
    <s v="Licitar, iniciando en Octubre del 2025 el proceso de arriendo de 159 PC AIO. El contrato respectivo tendrá una duración de 36 meses desde enero del 2026 hasta enero del año 2029. Los PC deben incluir el licenciamiento Sistemas Operativo Windows 11, licencias Office 365 y un antivirus por cada equipo."/>
    <x v="1"/>
    <x v="37"/>
    <n v="4"/>
    <n v="1"/>
    <x v="46"/>
    <x v="71"/>
    <x v="3"/>
    <x v="21"/>
    <x v="0"/>
    <x v="29"/>
    <s v="64-2565840-"/>
    <s v="bruno.ojeda@redsalud.gob.cl"/>
    <x v="7"/>
    <d v="2025-08-20T00:00:00"/>
    <n v="0"/>
    <m/>
    <n v="1"/>
    <n v="7456500"/>
    <d v="2026-10-01T00:00:00"/>
    <x v="0"/>
  </r>
  <r>
    <s v="SERVICIO DE SALUD OSORNO"/>
    <x v="0"/>
    <x v="41"/>
    <s v="Proyecto operacional"/>
    <s v="Publicado"/>
    <s v="22.09.006"/>
    <x v="42"/>
    <s v="Licitar, iniciando en Octubre del 2025 el proceso de arriendo de 159 PC AIO. El contrato respectivo tendrá una duración de 36 meses desde enero del 2026 hasta enero del año 2029. Los PC deben incluir el licenciamiento Sistemas Operativo Windows 11, licencias Office 365 y un antivirus por cada equipo."/>
    <x v="1"/>
    <x v="37"/>
    <n v="4"/>
    <n v="1"/>
    <x v="46"/>
    <x v="71"/>
    <x v="3"/>
    <x v="21"/>
    <x v="0"/>
    <x v="29"/>
    <s v="64-2565840-"/>
    <s v="bruno.ojeda@redsalud.gob.cl"/>
    <x v="7"/>
    <d v="2025-08-20T00:00:00"/>
    <n v="0"/>
    <m/>
    <n v="1"/>
    <n v="7456500"/>
    <d v="2026-11-01T00:00:00"/>
    <x v="0"/>
  </r>
  <r>
    <s v="SERVICIO DE SALUD OSORNO"/>
    <x v="0"/>
    <x v="41"/>
    <s v="Proyecto operacional"/>
    <s v="Publicado"/>
    <s v="22.09.006"/>
    <x v="42"/>
    <s v="Licitar, iniciando en Octubre del 2025 el proceso de arriendo de 159 PC AIO. El contrato respectivo tendrá una duración de 36 meses desde enero del 2026 hasta enero del año 2029. Los PC deben incluir el licenciamiento Sistemas Operativo Windows 11, licencias Office 365 y un antivirus por cada equipo."/>
    <x v="1"/>
    <x v="37"/>
    <n v="4"/>
    <n v="1"/>
    <x v="46"/>
    <x v="71"/>
    <x v="3"/>
    <x v="21"/>
    <x v="0"/>
    <x v="29"/>
    <s v="64-2565840-"/>
    <s v="bruno.ojeda@redsalud.gob.cl"/>
    <x v="7"/>
    <d v="2025-08-20T00:00:00"/>
    <n v="0"/>
    <m/>
    <n v="1"/>
    <n v="7456500"/>
    <d v="2026-02-01T00:00:00"/>
    <x v="0"/>
  </r>
  <r>
    <s v="SERVICIO DE SALUD OSORNO"/>
    <x v="0"/>
    <x v="41"/>
    <s v="Proyecto operacional"/>
    <s v="Publicado"/>
    <s v="22.09.006"/>
    <x v="42"/>
    <s v="Licitar, iniciando en Octubre del 2025 el proceso de arriendo de 159 PC AIO. El contrato respectivo tendrá una duración de 36 meses desde enero del 2026 hasta enero del año 2029. Los PC deben incluir el licenciamiento Sistemas Operativo Windows 11, licencias Office 365 y un antivirus por cada equipo."/>
    <x v="1"/>
    <x v="37"/>
    <n v="4"/>
    <n v="1"/>
    <x v="46"/>
    <x v="71"/>
    <x v="3"/>
    <x v="21"/>
    <x v="0"/>
    <x v="29"/>
    <s v="64-2565840-"/>
    <s v="bruno.ojeda@redsalud.gob.cl"/>
    <x v="7"/>
    <d v="2025-08-20T00:00:00"/>
    <n v="0"/>
    <m/>
    <n v="1"/>
    <n v="7456500"/>
    <d v="2026-05-01T00:00:00"/>
    <x v="0"/>
  </r>
  <r>
    <s v="SERVICIO DE SALUD OSORNO"/>
    <x v="0"/>
    <x v="41"/>
    <s v="Proyecto operacional"/>
    <s v="Publicado"/>
    <s v="22.09.006"/>
    <x v="42"/>
    <s v="Licitar, iniciando en Octubre del 2025 el proceso de arriendo de 159 PC AIO. El contrato respectivo tendrá una duración de 36 meses desde enero del 2026 hasta enero del año 2029. Los PC deben incluir el licenciamiento Sistemas Operativo Windows 11, licencias Office 365 y un antivirus por cada equipo."/>
    <x v="1"/>
    <x v="37"/>
    <n v="4"/>
    <n v="1"/>
    <x v="46"/>
    <x v="71"/>
    <x v="3"/>
    <x v="21"/>
    <x v="0"/>
    <x v="29"/>
    <s v="64-2565840-"/>
    <s v="bruno.ojeda@redsalud.gob.cl"/>
    <x v="7"/>
    <d v="2025-08-20T00:00:00"/>
    <n v="0"/>
    <m/>
    <n v="1"/>
    <n v="7456500"/>
    <d v="2026-01-01T00:00:00"/>
    <x v="0"/>
  </r>
  <r>
    <s v="SERVICIO DE SALUD OSORNO"/>
    <x v="0"/>
    <x v="41"/>
    <s v="Proyecto operacional"/>
    <s v="Publicado"/>
    <s v="22.09.006"/>
    <x v="42"/>
    <s v="Licitar, iniciando en Octubre del 2025 el proceso de arriendo de 159 PC AIO. El contrato respectivo tendrá una duración de 36 meses desde enero del 2026 hasta enero del año 2029. Los PC deben incluir el licenciamiento Sistemas Operativo Windows 11, licencias Office 365 y un antivirus por cada equipo."/>
    <x v="1"/>
    <x v="37"/>
    <n v="4"/>
    <n v="1"/>
    <x v="46"/>
    <x v="71"/>
    <x v="3"/>
    <x v="21"/>
    <x v="0"/>
    <x v="29"/>
    <s v="64-2565840-"/>
    <s v="bruno.ojeda@redsalud.gob.cl"/>
    <x v="7"/>
    <d v="2025-08-20T00:00:00"/>
    <n v="0"/>
    <m/>
    <n v="1"/>
    <n v="7456500"/>
    <d v="2026-08-01T00:00:00"/>
    <x v="0"/>
  </r>
  <r>
    <s v="SERVICIO DE SALUD OSORNO"/>
    <x v="0"/>
    <x v="41"/>
    <s v="Proyecto operacional"/>
    <s v="Publicado"/>
    <s v="22.09.006"/>
    <x v="42"/>
    <s v="Licitar, iniciando en Octubre del 2025 el proceso de arriendo de 159 PC AIO. El contrato respectivo tendrá una duración de 36 meses desde enero del 2026 hasta enero del año 2029. Los PC deben incluir el licenciamiento Sistemas Operativo Windows 11, licencias Office 365 y un antivirus por cada equipo."/>
    <x v="1"/>
    <x v="37"/>
    <n v="4"/>
    <n v="1"/>
    <x v="46"/>
    <x v="71"/>
    <x v="3"/>
    <x v="21"/>
    <x v="0"/>
    <x v="29"/>
    <s v="64-2565840-"/>
    <s v="bruno.ojeda@redsalud.gob.cl"/>
    <x v="7"/>
    <d v="2025-08-20T00:00:00"/>
    <n v="0"/>
    <m/>
    <n v="1"/>
    <n v="7456500"/>
    <d v="2026-03-01T00:00:00"/>
    <x v="0"/>
  </r>
  <r>
    <s v="SERVICIO DE SALUD OSORNO"/>
    <x v="0"/>
    <x v="41"/>
    <s v="Proyecto operacional"/>
    <s v="Publicado"/>
    <s v="22.09.006"/>
    <x v="42"/>
    <s v="Licitar, iniciando en Octubre del 2025 el proceso de arriendo de 159 PC AIO. El contrato respectivo tendrá una duración de 36 meses desde enero del 2026 hasta enero del año 2029. Los PC deben incluir el licenciamiento Sistemas Operativo Windows 11, licencias Office 365 y un antivirus por cada equipo."/>
    <x v="1"/>
    <x v="37"/>
    <n v="4"/>
    <n v="1"/>
    <x v="46"/>
    <x v="71"/>
    <x v="3"/>
    <x v="21"/>
    <x v="0"/>
    <x v="29"/>
    <s v="64-2565840-"/>
    <s v="bruno.ojeda@redsalud.gob.cl"/>
    <x v="7"/>
    <d v="2025-08-20T00:00:00"/>
    <n v="0"/>
    <m/>
    <n v="1"/>
    <n v="7456500"/>
    <d v="2026-12-01T00:00:00"/>
    <x v="0"/>
  </r>
  <r>
    <s v="SERVICIO DE SALUD OSORNO"/>
    <x v="0"/>
    <x v="41"/>
    <s v="Proyecto operacional"/>
    <s v="Publicado"/>
    <s v="22.09.006"/>
    <x v="42"/>
    <s v="Licitar, iniciando en Octubre del 2025 el proceso de arriendo de 159 PC AIO. El contrato respectivo tendrá una duración de 36 meses desde enero del 2026 hasta enero del año 2029. Los PC deben incluir el licenciamiento Sistemas Operativo Windows 11, licencias Office 365 y un antivirus por cada equipo."/>
    <x v="1"/>
    <x v="37"/>
    <n v="4"/>
    <n v="1"/>
    <x v="46"/>
    <x v="71"/>
    <x v="3"/>
    <x v="21"/>
    <x v="0"/>
    <x v="29"/>
    <s v="64-2565840-"/>
    <s v="bruno.ojeda@redsalud.gob.cl"/>
    <x v="7"/>
    <d v="2025-08-20T00:00:00"/>
    <n v="0"/>
    <m/>
    <n v="1"/>
    <n v="7456500"/>
    <d v="2026-07-01T00:00:00"/>
    <x v="0"/>
  </r>
  <r>
    <s v="SERVICIO DE SALUD OSORNO"/>
    <x v="0"/>
    <x v="41"/>
    <s v="Proyecto operacional"/>
    <s v="Publicado"/>
    <s v="22.09.006"/>
    <x v="42"/>
    <s v="Licitar, iniciando en Octubre del 2025 el proceso de arriendo de 159 PC AIO. El contrato respectivo tendrá una duración de 36 meses desde enero del 2026 hasta enero del año 2029. Los PC deben incluir el licenciamiento Sistemas Operativo Windows 11, licencias Office 365 y un antivirus por cada equipo."/>
    <x v="1"/>
    <x v="37"/>
    <n v="4"/>
    <n v="1"/>
    <x v="46"/>
    <x v="71"/>
    <x v="3"/>
    <x v="21"/>
    <x v="0"/>
    <x v="29"/>
    <s v="64-2565840-"/>
    <s v="bruno.ojeda@redsalud.gob.cl"/>
    <x v="7"/>
    <d v="2025-08-20T00:00:00"/>
    <n v="0"/>
    <m/>
    <n v="1"/>
    <n v="7456500"/>
    <d v="2026-09-01T00:00:00"/>
    <x v="0"/>
  </r>
  <r>
    <s v="SERVICIO DE SALUD OSORNO"/>
    <x v="0"/>
    <x v="42"/>
    <s v="Proyecto operacional"/>
    <s v="Publicado"/>
    <s v="22.08.008"/>
    <x v="43"/>
    <s v="LAS SALA CUNAS CON LAS QUE SE REALICE CONVENIO, DEBEN CONTAR CON AUTORIZACIÓN DE FUNCIONAMIENTO, EMANADA POR LA SUBSECRETARÍA DE EDUCACIÓN PARVULARIA, CONTANDO CON REGLAMENTO INTERNOS, PROTOCOLOS ESTABLECIDOS POR NORMATIVA, PROYECTO EDUCATIVO INSTITUCIONAL, Y SOBRETOODO PERSONAL CALIFICADO PARA LA ATENCIÓN Y CUIDADOS DE LOS NIÑOS Y NIÑAS QUE ASISTIRAN."/>
    <x v="1"/>
    <x v="38"/>
    <n v="4"/>
    <n v="1"/>
    <x v="47"/>
    <x v="72"/>
    <x v="11"/>
    <x v="18"/>
    <x v="27"/>
    <x v="30"/>
    <s v="64-2567096-"/>
    <s v="claudia.munozga@redsalud.gob.cl"/>
    <x v="7"/>
    <d v="2025-08-20T00:00:00"/>
    <n v="0"/>
    <m/>
    <n v="1"/>
    <n v="17266666"/>
    <d v="2026-04-01T00:00:00"/>
    <x v="0"/>
  </r>
  <r>
    <s v="SERVICIO DE SALUD OSORNO"/>
    <x v="0"/>
    <x v="42"/>
    <s v="Proyecto operacional"/>
    <s v="Publicado"/>
    <s v="22.08.008"/>
    <x v="43"/>
    <s v="LAS SALA CUNAS CON LAS QUE SE REALICE CONVENIO, DEBEN CONTAR CON AUTORIZACIÓN DE FUNCIONAMIENTO, EMANADA POR LA SUBSECRETARÍA DE EDUCACIÓN PARVULARIA, CONTANDO CON REGLAMENTO INTERNOS, PROTOCOLOS ESTABLECIDOS POR NORMATIVA, PROYECTO EDUCATIVO INSTITUCIONAL, Y SOBRETOODO PERSONAL CALIFICADO PARA LA ATENCIÓN Y CUIDADOS DE LOS NIÑOS Y NIÑAS QUE ASISTIRAN."/>
    <x v="1"/>
    <x v="38"/>
    <n v="4"/>
    <n v="1"/>
    <x v="47"/>
    <x v="72"/>
    <x v="11"/>
    <x v="18"/>
    <x v="27"/>
    <x v="30"/>
    <s v="64-2567096-"/>
    <s v="claudia.munozga@redsalud.gob.cl"/>
    <x v="7"/>
    <d v="2025-08-20T00:00:00"/>
    <n v="0"/>
    <m/>
    <n v="1"/>
    <n v="17266666"/>
    <d v="2026-05-01T00:00:00"/>
    <x v="0"/>
  </r>
  <r>
    <s v="SERVICIO DE SALUD OSORNO"/>
    <x v="0"/>
    <x v="42"/>
    <s v="Proyecto operacional"/>
    <s v="Publicado"/>
    <s v="22.08.008"/>
    <x v="43"/>
    <s v="LAS SALA CUNAS CON LAS QUE SE REALICE CONVENIO, DEBEN CONTAR CON AUTORIZACIÓN DE FUNCIONAMIENTO, EMANADA POR LA SUBSECRETARÍA DE EDUCACIÓN PARVULARIA, CONTANDO CON REGLAMENTO INTERNOS, PROTOCOLOS ESTABLECIDOS POR NORMATIVA, PROYECTO EDUCATIVO INSTITUCIONAL, Y SOBRETOODO PERSONAL CALIFICADO PARA LA ATENCIÓN Y CUIDADOS DE LOS NIÑOS Y NIÑAS QUE ASISTIRAN."/>
    <x v="1"/>
    <x v="38"/>
    <n v="4"/>
    <n v="1"/>
    <x v="47"/>
    <x v="72"/>
    <x v="11"/>
    <x v="18"/>
    <x v="27"/>
    <x v="30"/>
    <s v="64-2567096-"/>
    <s v="claudia.munozga@redsalud.gob.cl"/>
    <x v="7"/>
    <d v="2025-08-20T00:00:00"/>
    <n v="0"/>
    <m/>
    <n v="1"/>
    <n v="17266666"/>
    <d v="2026-02-01T00:00:00"/>
    <x v="0"/>
  </r>
  <r>
    <s v="SERVICIO DE SALUD OSORNO"/>
    <x v="0"/>
    <x v="42"/>
    <s v="Proyecto operacional"/>
    <s v="Publicado"/>
    <s v="22.08.008"/>
    <x v="43"/>
    <s v="LAS SALA CUNAS CON LAS QUE SE REALICE CONVENIO, DEBEN CONTAR CON AUTORIZACIÓN DE FUNCIONAMIENTO, EMANADA POR LA SUBSECRETARÍA DE EDUCACIÓN PARVULARIA, CONTANDO CON REGLAMENTO INTERNOS, PROTOCOLOS ESTABLECIDOS POR NORMATIVA, PROYECTO EDUCATIVO INSTITUCIONAL, Y SOBRETOODO PERSONAL CALIFICADO PARA LA ATENCIÓN Y CUIDADOS DE LOS NIÑOS Y NIÑAS QUE ASISTIRAN."/>
    <x v="1"/>
    <x v="38"/>
    <n v="4"/>
    <n v="1"/>
    <x v="47"/>
    <x v="72"/>
    <x v="11"/>
    <x v="18"/>
    <x v="27"/>
    <x v="30"/>
    <s v="64-2567096-"/>
    <s v="claudia.munozga@redsalud.gob.cl"/>
    <x v="7"/>
    <d v="2025-08-20T00:00:00"/>
    <n v="0"/>
    <m/>
    <n v="1"/>
    <n v="17266666"/>
    <d v="2026-08-01T00:00:00"/>
    <x v="0"/>
  </r>
  <r>
    <s v="SERVICIO DE SALUD OSORNO"/>
    <x v="0"/>
    <x v="42"/>
    <s v="Proyecto operacional"/>
    <s v="Publicado"/>
    <s v="22.08.008"/>
    <x v="43"/>
    <s v="LAS SALA CUNAS CON LAS QUE SE REALICE CONVENIO, DEBEN CONTAR CON AUTORIZACIÓN DE FUNCIONAMIENTO, EMANADA POR LA SUBSECRETARÍA DE EDUCACIÓN PARVULARIA, CONTANDO CON REGLAMENTO INTERNOS, PROTOCOLOS ESTABLECIDOS POR NORMATIVA, PROYECTO EDUCATIVO INSTITUCIONAL, Y SOBRETOODO PERSONAL CALIFICADO PARA LA ATENCIÓN Y CUIDADOS DE LOS NIÑOS Y NIÑAS QUE ASISTIRAN."/>
    <x v="1"/>
    <x v="38"/>
    <n v="4"/>
    <n v="1"/>
    <x v="47"/>
    <x v="72"/>
    <x v="11"/>
    <x v="18"/>
    <x v="27"/>
    <x v="30"/>
    <s v="64-2567096-"/>
    <s v="claudia.munozga@redsalud.gob.cl"/>
    <x v="7"/>
    <d v="2025-08-20T00:00:00"/>
    <n v="0"/>
    <m/>
    <n v="1"/>
    <n v="17266666"/>
    <d v="2026-11-01T00:00:00"/>
    <x v="0"/>
  </r>
  <r>
    <s v="SERVICIO DE SALUD OSORNO"/>
    <x v="0"/>
    <x v="42"/>
    <s v="Proyecto operacional"/>
    <s v="Publicado"/>
    <s v="22.08.008"/>
    <x v="43"/>
    <s v="LAS SALA CUNAS CON LAS QUE SE REALICE CONVENIO, DEBEN CONTAR CON AUTORIZACIÓN DE FUNCIONAMIENTO, EMANADA POR LA SUBSECRETARÍA DE EDUCACIÓN PARVULARIA, CONTANDO CON REGLAMENTO INTERNOS, PROTOCOLOS ESTABLECIDOS POR NORMATIVA, PROYECTO EDUCATIVO INSTITUCIONAL, Y SOBRETOODO PERSONAL CALIFICADO PARA LA ATENCIÓN Y CUIDADOS DE LOS NIÑOS Y NIÑAS QUE ASISTIRAN."/>
    <x v="1"/>
    <x v="38"/>
    <n v="4"/>
    <n v="1"/>
    <x v="47"/>
    <x v="72"/>
    <x v="11"/>
    <x v="18"/>
    <x v="27"/>
    <x v="30"/>
    <s v="64-2567096-"/>
    <s v="claudia.munozga@redsalud.gob.cl"/>
    <x v="7"/>
    <d v="2025-08-20T00:00:00"/>
    <n v="0"/>
    <m/>
    <n v="1"/>
    <n v="17266666"/>
    <d v="2026-06-01T00:00:00"/>
    <x v="0"/>
  </r>
  <r>
    <s v="SERVICIO DE SALUD OSORNO"/>
    <x v="0"/>
    <x v="42"/>
    <s v="Proyecto operacional"/>
    <s v="Publicado"/>
    <s v="22.08.008"/>
    <x v="43"/>
    <s v="LAS SALA CUNAS CON LAS QUE SE REALICE CONVENIO, DEBEN CONTAR CON AUTORIZACIÓN DE FUNCIONAMIENTO, EMANADA POR LA SUBSECRETARÍA DE EDUCACIÓN PARVULARIA, CONTANDO CON REGLAMENTO INTERNOS, PROTOCOLOS ESTABLECIDOS POR NORMATIVA, PROYECTO EDUCATIVO INSTITUCIONAL, Y SOBRETOODO PERSONAL CALIFICADO PARA LA ATENCIÓN Y CUIDADOS DE LOS NIÑOS Y NIÑAS QUE ASISTIRAN."/>
    <x v="1"/>
    <x v="38"/>
    <n v="4"/>
    <n v="1"/>
    <x v="47"/>
    <x v="72"/>
    <x v="11"/>
    <x v="18"/>
    <x v="27"/>
    <x v="30"/>
    <s v="64-2567096-"/>
    <s v="claudia.munozga@redsalud.gob.cl"/>
    <x v="7"/>
    <d v="2025-08-20T00:00:00"/>
    <n v="0"/>
    <m/>
    <n v="1"/>
    <n v="17266666"/>
    <d v="2026-03-01T00:00:00"/>
    <x v="0"/>
  </r>
  <r>
    <s v="SERVICIO DE SALUD OSORNO"/>
    <x v="0"/>
    <x v="42"/>
    <s v="Proyecto operacional"/>
    <s v="Publicado"/>
    <s v="22.08.008"/>
    <x v="43"/>
    <s v="LAS SALA CUNAS CON LAS QUE SE REALICE CONVENIO, DEBEN CONTAR CON AUTORIZACIÓN DE FUNCIONAMIENTO, EMANADA POR LA SUBSECRETARÍA DE EDUCACIÓN PARVULARIA, CONTANDO CON REGLAMENTO INTERNOS, PROTOCOLOS ESTABLECIDOS POR NORMATIVA, PROYECTO EDUCATIVO INSTITUCIONAL, Y SOBRETOODO PERSONAL CALIFICADO PARA LA ATENCIÓN Y CUIDADOS DE LOS NIÑOS Y NIÑAS QUE ASISTIRAN."/>
    <x v="1"/>
    <x v="38"/>
    <n v="4"/>
    <n v="1"/>
    <x v="47"/>
    <x v="72"/>
    <x v="11"/>
    <x v="18"/>
    <x v="27"/>
    <x v="30"/>
    <s v="64-2567096-"/>
    <s v="claudia.munozga@redsalud.gob.cl"/>
    <x v="7"/>
    <d v="2025-08-20T00:00:00"/>
    <n v="0"/>
    <m/>
    <n v="1"/>
    <n v="17266666"/>
    <d v="2026-07-01T00:00:00"/>
    <x v="0"/>
  </r>
  <r>
    <s v="SERVICIO DE SALUD OSORNO"/>
    <x v="0"/>
    <x v="42"/>
    <s v="Proyecto operacional"/>
    <s v="Publicado"/>
    <s v="22.08.008"/>
    <x v="43"/>
    <s v="LAS SALA CUNAS CON LAS QUE SE REALICE CONVENIO, DEBEN CONTAR CON AUTORIZACIÓN DE FUNCIONAMIENTO, EMANADA POR LA SUBSECRETARÍA DE EDUCACIÓN PARVULARIA, CONTANDO CON REGLAMENTO INTERNOS, PROTOCOLOS ESTABLECIDOS POR NORMATIVA, PROYECTO EDUCATIVO INSTITUCIONAL, Y SOBRETOODO PERSONAL CALIFICADO PARA LA ATENCIÓN Y CUIDADOS DE LOS NIÑOS Y NIÑAS QUE ASISTIRAN."/>
    <x v="1"/>
    <x v="38"/>
    <n v="4"/>
    <n v="1"/>
    <x v="47"/>
    <x v="72"/>
    <x v="11"/>
    <x v="18"/>
    <x v="27"/>
    <x v="30"/>
    <s v="64-2567096-"/>
    <s v="claudia.munozga@redsalud.gob.cl"/>
    <x v="7"/>
    <d v="2025-08-20T00:00:00"/>
    <n v="0"/>
    <m/>
    <n v="1"/>
    <n v="17266666"/>
    <d v="2026-10-01T00:00:00"/>
    <x v="0"/>
  </r>
  <r>
    <s v="SERVICIO DE SALUD OSORNO"/>
    <x v="0"/>
    <x v="42"/>
    <s v="Proyecto operacional"/>
    <s v="Publicado"/>
    <s v="22.08.008"/>
    <x v="43"/>
    <s v="LAS SALA CUNAS CON LAS QUE SE REALICE CONVENIO, DEBEN CONTAR CON AUTORIZACIÓN DE FUNCIONAMIENTO, EMANADA POR LA SUBSECRETARÍA DE EDUCACIÓN PARVULARIA, CONTANDO CON REGLAMENTO INTERNOS, PROTOCOLOS ESTABLECIDOS POR NORMATIVA, PROYECTO EDUCATIVO INSTITUCIONAL, Y SOBRETOODO PERSONAL CALIFICADO PARA LA ATENCIÓN Y CUIDADOS DE LOS NIÑOS Y NIÑAS QUE ASISTIRAN."/>
    <x v="1"/>
    <x v="38"/>
    <n v="4"/>
    <n v="1"/>
    <x v="47"/>
    <x v="72"/>
    <x v="11"/>
    <x v="18"/>
    <x v="27"/>
    <x v="30"/>
    <s v="64-2567096-"/>
    <s v="claudia.munozga@redsalud.gob.cl"/>
    <x v="7"/>
    <d v="2025-08-20T00:00:00"/>
    <n v="0"/>
    <m/>
    <n v="1"/>
    <n v="17266666"/>
    <d v="2026-09-01T00:00:00"/>
    <x v="0"/>
  </r>
  <r>
    <s v="SERVICIO DE SALUD OSORNO"/>
    <x v="0"/>
    <x v="42"/>
    <s v="Proyecto operacional"/>
    <s v="Publicado"/>
    <s v="22.08.008"/>
    <x v="43"/>
    <s v="LAS SALA CUNAS CON LAS QUE SE REALICE CONVENIO, DEBEN CONTAR CON AUTORIZACIÓN DE FUNCIONAMIENTO, EMANADA POR LA SUBSECRETARÍA DE EDUCACIÓN PARVULARIA, CONTANDO CON REGLAMENTO INTERNOS, PROTOCOLOS ESTABLECIDOS POR NORMATIVA, PROYECTO EDUCATIVO INSTITUCIONAL, Y SOBRETOODO PERSONAL CALIFICADO PARA LA ATENCIÓN Y CUIDADOS DE LOS NIÑOS Y NIÑAS QUE ASISTIRAN."/>
    <x v="1"/>
    <x v="38"/>
    <n v="4"/>
    <n v="1"/>
    <x v="47"/>
    <x v="72"/>
    <x v="11"/>
    <x v="18"/>
    <x v="27"/>
    <x v="30"/>
    <s v="64-2567096-"/>
    <s v="claudia.munozga@redsalud.gob.cl"/>
    <x v="7"/>
    <d v="2025-08-20T00:00:00"/>
    <n v="0"/>
    <m/>
    <n v="1"/>
    <n v="17266666"/>
    <d v="2026-12-01T00:00:00"/>
    <x v="0"/>
  </r>
  <r>
    <s v="SERVICIO DE SALUD OSORNO"/>
    <x v="0"/>
    <x v="43"/>
    <s v="Proyecto estratégico"/>
    <s v="Publicado"/>
    <s v="22.12.999.022"/>
    <x v="44"/>
    <s v="Se requiere la contratación del servicio denominado 11.040 Días de Programa de Rehabilitación Tipo II por un periodo de 12 meses, debiéndose otorgar 920 prestaciones mensuales para la atención regular y continua de un conjunto de actividades de rehabilitación por dieciocho a treinta horas semanales, en un mínimo de cuatro días y un período máximo de dos años. El servicio se requiere a contar del 01/01/2026 hasta el 31/12/2026. A un valor día programa rehabilitación tipo II de $19.547"/>
    <x v="1"/>
    <x v="39"/>
    <n v="4"/>
    <n v="11040"/>
    <x v="48"/>
    <x v="73"/>
    <x v="11"/>
    <x v="20"/>
    <x v="28"/>
    <x v="31"/>
    <s v="64-2565813-"/>
    <s v="antonia.caifil@redsalud.gob.cl"/>
    <x v="6"/>
    <d v="2025-08-20T00:00:00"/>
    <n v="0"/>
    <m/>
    <n v="1"/>
    <n v="20529800"/>
    <d v="2026-11-01T00:00:00"/>
    <x v="0"/>
  </r>
  <r>
    <s v="SERVICIO DE SALUD OSORNO"/>
    <x v="0"/>
    <x v="43"/>
    <s v="Proyecto estratégico"/>
    <s v="Publicado"/>
    <s v="22.12.999.022"/>
    <x v="44"/>
    <s v="Se requiere la contratación del servicio denominado 11.040 Días de Programa de Rehabilitación Tipo II por un periodo de 12 meses, debiéndose otorgar 920 prestaciones mensuales para la atención regular y continua de un conjunto de actividades de rehabilitación por dieciocho a treinta horas semanales, en un mínimo de cuatro días y un período máximo de dos años. El servicio se requiere a contar del 01/01/2026 hasta el 31/12/2026. A un valor día programa rehabilitación tipo II de $19.547"/>
    <x v="1"/>
    <x v="39"/>
    <n v="4"/>
    <n v="11040"/>
    <x v="48"/>
    <x v="73"/>
    <x v="11"/>
    <x v="20"/>
    <x v="28"/>
    <x v="31"/>
    <s v="64-2565813-"/>
    <s v="antonia.caifil@redsalud.gob.cl"/>
    <x v="6"/>
    <d v="2025-08-20T00:00:00"/>
    <n v="0"/>
    <m/>
    <n v="1"/>
    <n v="20529800"/>
    <d v="2026-05-01T00:00:00"/>
    <x v="0"/>
  </r>
  <r>
    <s v="SERVICIO DE SALUD OSORNO"/>
    <x v="0"/>
    <x v="43"/>
    <s v="Proyecto estratégico"/>
    <s v="Publicado"/>
    <s v="22.12.999.022"/>
    <x v="44"/>
    <s v="Se requiere la contratación del servicio denominado 11.040 Días de Programa de Rehabilitación Tipo II por un periodo de 12 meses, debiéndose otorgar 920 prestaciones mensuales para la atención regular y continua de un conjunto de actividades de rehabilitación por dieciocho a treinta horas semanales, en un mínimo de cuatro días y un período máximo de dos años. El servicio se requiere a contar del 01/01/2026 hasta el 31/12/2026. A un valor día programa rehabilitación tipo II de $19.547"/>
    <x v="1"/>
    <x v="39"/>
    <n v="4"/>
    <n v="11040"/>
    <x v="48"/>
    <x v="73"/>
    <x v="11"/>
    <x v="20"/>
    <x v="28"/>
    <x v="31"/>
    <s v="64-2565813-"/>
    <s v="antonia.caifil@redsalud.gob.cl"/>
    <x v="6"/>
    <d v="2025-08-20T00:00:00"/>
    <n v="0"/>
    <m/>
    <n v="1"/>
    <n v="20529800"/>
    <d v="2026-02-01T00:00:00"/>
    <x v="0"/>
  </r>
  <r>
    <s v="SERVICIO DE SALUD OSORNO"/>
    <x v="0"/>
    <x v="43"/>
    <s v="Proyecto estratégico"/>
    <s v="Publicado"/>
    <s v="22.12.999.022"/>
    <x v="44"/>
    <s v="Se requiere la contratación del servicio denominado 11.040 Días de Programa de Rehabilitación Tipo II por un periodo de 12 meses, debiéndose otorgar 920 prestaciones mensuales para la atención regular y continua de un conjunto de actividades de rehabilitación por dieciocho a treinta horas semanales, en un mínimo de cuatro días y un período máximo de dos años. El servicio se requiere a contar del 01/01/2026 hasta el 31/12/2026. A un valor día programa rehabilitación tipo II de $19.547"/>
    <x v="1"/>
    <x v="39"/>
    <n v="4"/>
    <n v="11040"/>
    <x v="48"/>
    <x v="73"/>
    <x v="11"/>
    <x v="20"/>
    <x v="28"/>
    <x v="31"/>
    <s v="64-2565813-"/>
    <s v="antonia.caifil@redsalud.gob.cl"/>
    <x v="6"/>
    <d v="2025-08-20T00:00:00"/>
    <n v="0"/>
    <m/>
    <n v="1"/>
    <n v="20529800"/>
    <d v="2026-04-01T00:00:00"/>
    <x v="0"/>
  </r>
  <r>
    <s v="SERVICIO DE SALUD OSORNO"/>
    <x v="0"/>
    <x v="43"/>
    <s v="Proyecto estratégico"/>
    <s v="Publicado"/>
    <s v="22.12.999.022"/>
    <x v="44"/>
    <s v="Se requiere la contratación del servicio denominado 11.040 Días de Programa de Rehabilitación Tipo II por un periodo de 12 meses, debiéndose otorgar 920 prestaciones mensuales para la atención regular y continua de un conjunto de actividades de rehabilitación por dieciocho a treinta horas semanales, en un mínimo de cuatro días y un período máximo de dos años. El servicio se requiere a contar del 01/01/2026 hasta el 31/12/2026. A un valor día programa rehabilitación tipo II de $19.547"/>
    <x v="1"/>
    <x v="39"/>
    <n v="4"/>
    <n v="11040"/>
    <x v="48"/>
    <x v="73"/>
    <x v="11"/>
    <x v="20"/>
    <x v="28"/>
    <x v="31"/>
    <s v="64-2565813-"/>
    <s v="antonia.caifil@redsalud.gob.cl"/>
    <x v="6"/>
    <d v="2025-08-20T00:00:00"/>
    <n v="0"/>
    <m/>
    <n v="1"/>
    <n v="20529800"/>
    <d v="2026-08-01T00:00:00"/>
    <x v="0"/>
  </r>
  <r>
    <s v="SERVICIO DE SALUD OSORNO"/>
    <x v="0"/>
    <x v="43"/>
    <s v="Proyecto estratégico"/>
    <s v="Publicado"/>
    <s v="22.12.999.022"/>
    <x v="44"/>
    <s v="Se requiere la contratación del servicio denominado 11.040 Días de Programa de Rehabilitación Tipo II por un periodo de 12 meses, debiéndose otorgar 920 prestaciones mensuales para la atención regular y continua de un conjunto de actividades de rehabilitación por dieciocho a treinta horas semanales, en un mínimo de cuatro días y un período máximo de dos años. El servicio se requiere a contar del 01/01/2026 hasta el 31/12/2026. A un valor día programa rehabilitación tipo II de $19.547"/>
    <x v="1"/>
    <x v="39"/>
    <n v="4"/>
    <n v="11040"/>
    <x v="48"/>
    <x v="73"/>
    <x v="11"/>
    <x v="20"/>
    <x v="28"/>
    <x v="31"/>
    <s v="64-2565813-"/>
    <s v="antonia.caifil@redsalud.gob.cl"/>
    <x v="6"/>
    <d v="2025-08-20T00:00:00"/>
    <n v="0"/>
    <m/>
    <n v="1"/>
    <n v="20529800"/>
    <d v="2026-06-01T00:00:00"/>
    <x v="0"/>
  </r>
  <r>
    <s v="SERVICIO DE SALUD OSORNO"/>
    <x v="0"/>
    <x v="43"/>
    <s v="Proyecto estratégico"/>
    <s v="Publicado"/>
    <s v="22.12.999.022"/>
    <x v="44"/>
    <s v="Se requiere la contratación del servicio denominado 11.040 Días de Programa de Rehabilitación Tipo II por un periodo de 12 meses, debiéndose otorgar 920 prestaciones mensuales para la atención regular y continua de un conjunto de actividades de rehabilitación por dieciocho a treinta horas semanales, en un mínimo de cuatro días y un período máximo de dos años. El servicio se requiere a contar del 01/01/2026 hasta el 31/12/2026. A un valor día programa rehabilitación tipo II de $19.547"/>
    <x v="1"/>
    <x v="39"/>
    <n v="4"/>
    <n v="11040"/>
    <x v="48"/>
    <x v="73"/>
    <x v="11"/>
    <x v="20"/>
    <x v="28"/>
    <x v="31"/>
    <s v="64-2565813-"/>
    <s v="antonia.caifil@redsalud.gob.cl"/>
    <x v="6"/>
    <d v="2025-08-20T00:00:00"/>
    <n v="0"/>
    <m/>
    <n v="1"/>
    <n v="20529800"/>
    <d v="2026-12-01T00:00:00"/>
    <x v="0"/>
  </r>
  <r>
    <s v="SERVICIO DE SALUD OSORNO"/>
    <x v="0"/>
    <x v="43"/>
    <s v="Proyecto estratégico"/>
    <s v="Publicado"/>
    <s v="22.12.999.022"/>
    <x v="44"/>
    <s v="Se requiere la contratación del servicio denominado 11.040 Días de Programa de Rehabilitación Tipo II por un periodo de 12 meses, debiéndose otorgar 920 prestaciones mensuales para la atención regular y continua de un conjunto de actividades de rehabilitación por dieciocho a treinta horas semanales, en un mínimo de cuatro días y un período máximo de dos años. El servicio se requiere a contar del 01/01/2026 hasta el 31/12/2026. A un valor día programa rehabilitación tipo II de $19.547"/>
    <x v="1"/>
    <x v="39"/>
    <n v="4"/>
    <n v="11040"/>
    <x v="48"/>
    <x v="73"/>
    <x v="11"/>
    <x v="20"/>
    <x v="28"/>
    <x v="31"/>
    <s v="64-2565813-"/>
    <s v="antonia.caifil@redsalud.gob.cl"/>
    <x v="6"/>
    <d v="2025-08-20T00:00:00"/>
    <n v="0"/>
    <m/>
    <n v="1"/>
    <n v="20529800"/>
    <d v="2026-07-01T00:00:00"/>
    <x v="0"/>
  </r>
  <r>
    <s v="SERVICIO DE SALUD OSORNO"/>
    <x v="0"/>
    <x v="43"/>
    <s v="Proyecto estratégico"/>
    <s v="Publicado"/>
    <s v="22.12.999.022"/>
    <x v="44"/>
    <s v="Se requiere la contratación del servicio denominado 11.040 Días de Programa de Rehabilitación Tipo II por un periodo de 12 meses, debiéndose otorgar 920 prestaciones mensuales para la atención regular y continua de un conjunto de actividades de rehabilitación por dieciocho a treinta horas semanales, en un mínimo de cuatro días y un período máximo de dos años. El servicio se requiere a contar del 01/01/2026 hasta el 31/12/2026. A un valor día programa rehabilitación tipo II de $19.547"/>
    <x v="1"/>
    <x v="39"/>
    <n v="4"/>
    <n v="11040"/>
    <x v="48"/>
    <x v="73"/>
    <x v="11"/>
    <x v="20"/>
    <x v="28"/>
    <x v="31"/>
    <s v="64-2565813-"/>
    <s v="antonia.caifil@redsalud.gob.cl"/>
    <x v="6"/>
    <d v="2025-08-20T00:00:00"/>
    <n v="0"/>
    <m/>
    <n v="1"/>
    <n v="20529800"/>
    <d v="2026-10-01T00:00:00"/>
    <x v="0"/>
  </r>
  <r>
    <s v="SERVICIO DE SALUD OSORNO"/>
    <x v="0"/>
    <x v="43"/>
    <s v="Proyecto estratégico"/>
    <s v="Publicado"/>
    <s v="22.12.999.022"/>
    <x v="44"/>
    <s v="Se requiere la contratación del servicio denominado 11.040 Días de Programa de Rehabilitación Tipo II por un periodo de 12 meses, debiéndose otorgar 920 prestaciones mensuales para la atención regular y continua de un conjunto de actividades de rehabilitación por dieciocho a treinta horas semanales, en un mínimo de cuatro días y un período máximo de dos años. El servicio se requiere a contar del 01/01/2026 hasta el 31/12/2026. A un valor día programa rehabilitación tipo II de $19.547"/>
    <x v="1"/>
    <x v="39"/>
    <n v="4"/>
    <n v="11040"/>
    <x v="48"/>
    <x v="73"/>
    <x v="11"/>
    <x v="20"/>
    <x v="28"/>
    <x v="31"/>
    <s v="64-2565813-"/>
    <s v="antonia.caifil@redsalud.gob.cl"/>
    <x v="6"/>
    <d v="2025-08-20T00:00:00"/>
    <n v="0"/>
    <m/>
    <n v="1"/>
    <n v="20529800"/>
    <d v="2026-01-01T00:00:00"/>
    <x v="0"/>
  </r>
  <r>
    <s v="SERVICIO DE SALUD OSORNO"/>
    <x v="0"/>
    <x v="43"/>
    <s v="Proyecto estratégico"/>
    <s v="Publicado"/>
    <s v="22.12.999.022"/>
    <x v="44"/>
    <s v="Se requiere la contratación del servicio denominado 11.040 Días de Programa de Rehabilitación Tipo II por un periodo de 12 meses, debiéndose otorgar 920 prestaciones mensuales para la atención regular y continua de un conjunto de actividades de rehabilitación por dieciocho a treinta horas semanales, en un mínimo de cuatro días y un período máximo de dos años. El servicio se requiere a contar del 01/01/2026 hasta el 31/12/2026. A un valor día programa rehabilitación tipo II de $19.547"/>
    <x v="1"/>
    <x v="39"/>
    <n v="4"/>
    <n v="11040"/>
    <x v="48"/>
    <x v="73"/>
    <x v="11"/>
    <x v="20"/>
    <x v="28"/>
    <x v="31"/>
    <s v="64-2565813-"/>
    <s v="antonia.caifil@redsalud.gob.cl"/>
    <x v="6"/>
    <d v="2025-08-20T00:00:00"/>
    <n v="0"/>
    <m/>
    <n v="1"/>
    <n v="20529800"/>
    <d v="2026-09-01T00:00:00"/>
    <x v="0"/>
  </r>
  <r>
    <s v="SERVICIO DE SALUD OSORNO"/>
    <x v="0"/>
    <x v="43"/>
    <s v="Proyecto estratégico"/>
    <s v="Publicado"/>
    <s v="22.12.999.022"/>
    <x v="44"/>
    <s v="Se requiere la contratación del servicio denominado 11.040 Días de Programa de Rehabilitación Tipo II por un periodo de 12 meses, debiéndose otorgar 920 prestaciones mensuales para la atención regular y continua de un conjunto de actividades de rehabilitación por dieciocho a treinta horas semanales, en un mínimo de cuatro días y un período máximo de dos años. El servicio se requiere a contar del 01/01/2026 hasta el 31/12/2026. A un valor día programa rehabilitación tipo II de $19.547"/>
    <x v="1"/>
    <x v="39"/>
    <n v="4"/>
    <n v="11040"/>
    <x v="48"/>
    <x v="73"/>
    <x v="11"/>
    <x v="20"/>
    <x v="28"/>
    <x v="31"/>
    <s v="64-2565813-"/>
    <s v="antonia.caifil@redsalud.gob.cl"/>
    <x v="6"/>
    <d v="2025-08-20T00:00:00"/>
    <n v="0"/>
    <m/>
    <n v="1"/>
    <n v="20529800"/>
    <d v="2026-03-01T00:00:00"/>
    <x v="0"/>
  </r>
  <r>
    <s v="SERVICIO DE SALUD OSORNO"/>
    <x v="1"/>
    <x v="44"/>
    <s v="Proyecto operacional"/>
    <s v="Publicado"/>
    <s v="22.04.004.006"/>
    <x v="45"/>
    <s v="La ejecución de la compra será realizada desde enero a diciembre 2026, al igual que la duración del convenio. Esto debido al escaso espacio en almacenamiento de las ayudas técnicas en bodega, teniendo que realizar varias compras durante el año, según la demanda de los establecimientos de salud."/>
    <x v="1"/>
    <x v="40"/>
    <n v="4"/>
    <n v="4692"/>
    <x v="49"/>
    <x v="74"/>
    <x v="11"/>
    <x v="20"/>
    <x v="29"/>
    <x v="32"/>
    <s v="64-2565818-"/>
    <s v="camila.alvarez@redsalud.gob.cl"/>
    <x v="7"/>
    <d v="2025-08-20T00:00:00"/>
    <n v="0"/>
    <m/>
    <n v="1"/>
    <n v="32863550"/>
    <d v="2026-08-01T00:00:00"/>
    <x v="0"/>
  </r>
  <r>
    <s v="SERVICIO DE SALUD OSORNO"/>
    <x v="1"/>
    <x v="44"/>
    <s v="Proyecto operacional"/>
    <s v="Publicado"/>
    <s v="22.04.004.006"/>
    <x v="45"/>
    <s v="La ejecución de la compra será realizada desde enero a diciembre 2026, al igual que la duración del convenio. Esto debido al escaso espacio en almacenamiento de las ayudas técnicas en bodega, teniendo que realizar varias compras durante el año, según la demanda de los establecimientos de salud."/>
    <x v="1"/>
    <x v="40"/>
    <n v="4"/>
    <n v="4692"/>
    <x v="49"/>
    <x v="74"/>
    <x v="11"/>
    <x v="20"/>
    <x v="29"/>
    <x v="32"/>
    <s v="64-2565818-"/>
    <s v="camila.alvarez@redsalud.gob.cl"/>
    <x v="7"/>
    <d v="2025-08-20T00:00:00"/>
    <n v="0"/>
    <m/>
    <n v="1"/>
    <n v="32863550"/>
    <d v="2026-01-01T00:00:00"/>
    <x v="0"/>
  </r>
  <r>
    <s v="SERVICIO DE SALUD OSORNO"/>
    <x v="1"/>
    <x v="44"/>
    <s v="Proyecto operacional"/>
    <s v="Publicado"/>
    <s v="22.04.004.006"/>
    <x v="45"/>
    <s v="La ejecución de la compra será realizada desde enero a diciembre 2026, al igual que la duración del convenio. Esto debido al escaso espacio en almacenamiento de las ayudas técnicas en bodega, teniendo que realizar varias compras durante el año, según la demanda de los establecimientos de salud."/>
    <x v="1"/>
    <x v="40"/>
    <n v="4"/>
    <n v="4692"/>
    <x v="49"/>
    <x v="74"/>
    <x v="11"/>
    <x v="20"/>
    <x v="29"/>
    <x v="32"/>
    <s v="64-2565818-"/>
    <s v="camila.alvarez@redsalud.gob.cl"/>
    <x v="7"/>
    <d v="2025-08-20T00:00:00"/>
    <n v="0"/>
    <m/>
    <n v="1"/>
    <n v="32863550"/>
    <d v="2026-06-01T00:00:00"/>
    <x v="0"/>
  </r>
  <r>
    <s v="SERVICIO DE SALUD OSORNO"/>
    <x v="1"/>
    <x v="44"/>
    <s v="Proyecto operacional"/>
    <s v="Publicado"/>
    <s v="22.04.004.006"/>
    <x v="45"/>
    <s v="La ejecución de la compra será realizada desde enero a diciembre 2026, al igual que la duración del convenio. Esto debido al escaso espacio en almacenamiento de las ayudas técnicas en bodega, teniendo que realizar varias compras durante el año, según la demanda de los establecimientos de salud."/>
    <x v="1"/>
    <x v="40"/>
    <n v="4"/>
    <n v="4692"/>
    <x v="49"/>
    <x v="74"/>
    <x v="11"/>
    <x v="20"/>
    <x v="29"/>
    <x v="32"/>
    <s v="64-2565818-"/>
    <s v="camila.alvarez@redsalud.gob.cl"/>
    <x v="7"/>
    <d v="2025-08-20T00:00:00"/>
    <n v="0"/>
    <m/>
    <n v="1"/>
    <n v="32863550"/>
    <d v="2026-02-01T00:00:00"/>
    <x v="0"/>
  </r>
  <r>
    <s v="SERVICIO DE SALUD OSORNO"/>
    <x v="1"/>
    <x v="44"/>
    <s v="Proyecto operacional"/>
    <s v="Publicado"/>
    <s v="22.04.004.006"/>
    <x v="45"/>
    <s v="La ejecución de la compra será realizada desde enero a diciembre 2026, al igual que la duración del convenio. Esto debido al escaso espacio en almacenamiento de las ayudas técnicas en bodega, teniendo que realizar varias compras durante el año, según la demanda de los establecimientos de salud."/>
    <x v="1"/>
    <x v="40"/>
    <n v="4"/>
    <n v="4692"/>
    <x v="49"/>
    <x v="74"/>
    <x v="11"/>
    <x v="20"/>
    <x v="29"/>
    <x v="32"/>
    <s v="64-2565818-"/>
    <s v="camila.alvarez@redsalud.gob.cl"/>
    <x v="7"/>
    <d v="2025-08-20T00:00:00"/>
    <n v="0"/>
    <m/>
    <n v="1"/>
    <n v="32863550"/>
    <d v="2026-07-01T00:00:00"/>
    <x v="0"/>
  </r>
  <r>
    <s v="SERVICIO DE SALUD OSORNO"/>
    <x v="1"/>
    <x v="44"/>
    <s v="Proyecto operacional"/>
    <s v="Publicado"/>
    <s v="22.04.004.006"/>
    <x v="45"/>
    <s v="La ejecución de la compra será realizada desde enero a diciembre 2026, al igual que la duración del convenio. Esto debido al escaso espacio en almacenamiento de las ayudas técnicas en bodega, teniendo que realizar varias compras durante el año, según la demanda de los establecimientos de salud."/>
    <x v="1"/>
    <x v="40"/>
    <n v="4"/>
    <n v="4692"/>
    <x v="49"/>
    <x v="74"/>
    <x v="11"/>
    <x v="20"/>
    <x v="29"/>
    <x v="32"/>
    <s v="64-2565818-"/>
    <s v="camila.alvarez@redsalud.gob.cl"/>
    <x v="7"/>
    <d v="2025-08-20T00:00:00"/>
    <n v="0"/>
    <m/>
    <n v="1"/>
    <n v="32863550"/>
    <d v="2026-11-01T00:00:00"/>
    <x v="0"/>
  </r>
  <r>
    <s v="SERVICIO DE SALUD OSORNO"/>
    <x v="1"/>
    <x v="44"/>
    <s v="Proyecto operacional"/>
    <s v="Publicado"/>
    <s v="22.04.004.006"/>
    <x v="45"/>
    <s v="La ejecución de la compra será realizada desde enero a diciembre 2026, al igual que la duración del convenio. Esto debido al escaso espacio en almacenamiento de las ayudas técnicas en bodega, teniendo que realizar varias compras durante el año, según la demanda de los establecimientos de salud."/>
    <x v="1"/>
    <x v="40"/>
    <n v="4"/>
    <n v="4692"/>
    <x v="49"/>
    <x v="74"/>
    <x v="11"/>
    <x v="20"/>
    <x v="29"/>
    <x v="32"/>
    <s v="64-2565818-"/>
    <s v="camila.alvarez@redsalud.gob.cl"/>
    <x v="7"/>
    <d v="2025-08-20T00:00:00"/>
    <n v="0"/>
    <m/>
    <n v="1"/>
    <n v="32863550"/>
    <d v="2026-04-01T00:00:00"/>
    <x v="0"/>
  </r>
  <r>
    <s v="SERVICIO DE SALUD OSORNO"/>
    <x v="1"/>
    <x v="44"/>
    <s v="Proyecto operacional"/>
    <s v="Publicado"/>
    <s v="22.04.004.006"/>
    <x v="45"/>
    <s v="La ejecución de la compra será realizada desde enero a diciembre 2026, al igual que la duración del convenio. Esto debido al escaso espacio en almacenamiento de las ayudas técnicas en bodega, teniendo que realizar varias compras durante el año, según la demanda de los establecimientos de salud."/>
    <x v="1"/>
    <x v="40"/>
    <n v="4"/>
    <n v="4692"/>
    <x v="49"/>
    <x v="74"/>
    <x v="11"/>
    <x v="20"/>
    <x v="29"/>
    <x v="32"/>
    <s v="64-2565818-"/>
    <s v="camila.alvarez@redsalud.gob.cl"/>
    <x v="7"/>
    <d v="2025-08-20T00:00:00"/>
    <n v="0"/>
    <m/>
    <n v="1"/>
    <n v="32863550"/>
    <d v="2026-12-01T00:00:00"/>
    <x v="0"/>
  </r>
  <r>
    <s v="SERVICIO DE SALUD OSORNO"/>
    <x v="1"/>
    <x v="44"/>
    <s v="Proyecto operacional"/>
    <s v="Publicado"/>
    <s v="22.04.004.006"/>
    <x v="45"/>
    <s v="La ejecución de la compra será realizada desde enero a diciembre 2026, al igual que la duración del convenio. Esto debido al escaso espacio en almacenamiento de las ayudas técnicas en bodega, teniendo que realizar varias compras durante el año, según la demanda de los establecimientos de salud."/>
    <x v="1"/>
    <x v="40"/>
    <n v="4"/>
    <n v="4692"/>
    <x v="49"/>
    <x v="74"/>
    <x v="11"/>
    <x v="20"/>
    <x v="29"/>
    <x v="32"/>
    <s v="64-2565818-"/>
    <s v="camila.alvarez@redsalud.gob.cl"/>
    <x v="7"/>
    <d v="2025-08-20T00:00:00"/>
    <n v="0"/>
    <m/>
    <n v="1"/>
    <n v="32863550"/>
    <d v="2026-05-01T00:00:00"/>
    <x v="0"/>
  </r>
  <r>
    <s v="SERVICIO DE SALUD OSORNO"/>
    <x v="1"/>
    <x v="44"/>
    <s v="Proyecto operacional"/>
    <s v="Publicado"/>
    <s v="22.04.004.006"/>
    <x v="45"/>
    <s v="La ejecución de la compra será realizada desde enero a diciembre 2026, al igual que la duración del convenio. Esto debido al escaso espacio en almacenamiento de las ayudas técnicas en bodega, teniendo que realizar varias compras durante el año, según la demanda de los establecimientos de salud."/>
    <x v="1"/>
    <x v="40"/>
    <n v="4"/>
    <n v="4692"/>
    <x v="49"/>
    <x v="74"/>
    <x v="11"/>
    <x v="20"/>
    <x v="29"/>
    <x v="32"/>
    <s v="64-2565818-"/>
    <s v="camila.alvarez@redsalud.gob.cl"/>
    <x v="7"/>
    <d v="2025-08-20T00:00:00"/>
    <n v="0"/>
    <m/>
    <n v="1"/>
    <n v="32863550"/>
    <d v="2026-03-01T00:00:00"/>
    <x v="0"/>
  </r>
  <r>
    <s v="SERVICIO DE SALUD OSORNO"/>
    <x v="1"/>
    <x v="44"/>
    <s v="Proyecto operacional"/>
    <s v="Publicado"/>
    <s v="22.04.004.006"/>
    <x v="45"/>
    <s v="La ejecución de la compra será realizada desde enero a diciembre 2026, al igual que la duración del convenio. Esto debido al escaso espacio en almacenamiento de las ayudas técnicas en bodega, teniendo que realizar varias compras durante el año, según la demanda de los establecimientos de salud."/>
    <x v="1"/>
    <x v="40"/>
    <n v="4"/>
    <n v="4692"/>
    <x v="49"/>
    <x v="74"/>
    <x v="11"/>
    <x v="20"/>
    <x v="29"/>
    <x v="32"/>
    <s v="64-2565818-"/>
    <s v="camila.alvarez@redsalud.gob.cl"/>
    <x v="7"/>
    <d v="2025-08-20T00:00:00"/>
    <n v="0"/>
    <m/>
    <n v="1"/>
    <n v="32863550"/>
    <d v="2026-09-01T00:00:00"/>
    <x v="0"/>
  </r>
  <r>
    <s v="SERVICIO DE SALUD OSORNO"/>
    <x v="1"/>
    <x v="44"/>
    <s v="Proyecto operacional"/>
    <s v="Publicado"/>
    <s v="22.04.004.006"/>
    <x v="45"/>
    <s v="La ejecución de la compra será realizada desde enero a diciembre 2026, al igual que la duración del convenio. Esto debido al escaso espacio en almacenamiento de las ayudas técnicas en bodega, teniendo que realizar varias compras durante el año, según la demanda de los establecimientos de salud."/>
    <x v="1"/>
    <x v="40"/>
    <n v="4"/>
    <n v="4692"/>
    <x v="49"/>
    <x v="74"/>
    <x v="11"/>
    <x v="20"/>
    <x v="29"/>
    <x v="32"/>
    <s v="64-2565818-"/>
    <s v="camila.alvarez@redsalud.gob.cl"/>
    <x v="7"/>
    <d v="2025-08-20T00:00:00"/>
    <n v="0"/>
    <m/>
    <n v="1"/>
    <n v="32863550"/>
    <d v="2026-10-01T00:00:00"/>
    <x v="0"/>
  </r>
  <r>
    <s v="SERVICIO DE SALUD OSORNO"/>
    <x v="0"/>
    <x v="45"/>
    <s v="Proyecto operacional"/>
    <s v="Publicado"/>
    <s v="22.12.999.022"/>
    <x v="46"/>
    <s v="Se requiere la contratación del servicio denominado Hogar Protegido para Hombres, para 8 usuarios beneficiados, por un periodo de 12 meses. Incluyendo 1 usuario en categoría 3. Periodo Enero a diciembre 2026. Vigencia desde el 1 de enero del 2026."/>
    <x v="0"/>
    <x v="41"/>
    <n v="4"/>
    <n v="7"/>
    <x v="50"/>
    <x v="75"/>
    <x v="11"/>
    <x v="20"/>
    <x v="12"/>
    <x v="33"/>
    <s v="64-2565813-"/>
    <s v="angelo.palma@redsalud.gob.cl"/>
    <x v="13"/>
    <d v="2025-08-20T00:00:00"/>
    <n v="0"/>
    <m/>
    <n v="1"/>
    <n v="7558541"/>
    <d v="2026-02-01T00:00:00"/>
    <x v="0"/>
  </r>
  <r>
    <s v="SERVICIO DE SALUD OSORNO"/>
    <x v="0"/>
    <x v="45"/>
    <s v="Proyecto operacional"/>
    <s v="Publicado"/>
    <s v="22.12.999.022"/>
    <x v="46"/>
    <s v="Se requiere la contratación del servicio denominado Hogar Protegido para Hombres, para 8 usuarios beneficiados, por un periodo de 12 meses. Incluyendo 1 usuario en categoría 3. Periodo Enero a diciembre 2026. Vigencia desde el 1 de enero del 2026."/>
    <x v="0"/>
    <x v="41"/>
    <n v="4"/>
    <n v="7"/>
    <x v="50"/>
    <x v="75"/>
    <x v="11"/>
    <x v="20"/>
    <x v="12"/>
    <x v="33"/>
    <s v="64-2565813-"/>
    <s v="angelo.palma@redsalud.gob.cl"/>
    <x v="13"/>
    <d v="2025-08-20T00:00:00"/>
    <n v="0"/>
    <m/>
    <n v="1"/>
    <n v="7558541"/>
    <d v="2026-06-01T00:00:00"/>
    <x v="0"/>
  </r>
  <r>
    <s v="SERVICIO DE SALUD OSORNO"/>
    <x v="0"/>
    <x v="45"/>
    <s v="Proyecto operacional"/>
    <s v="Publicado"/>
    <s v="22.12.999.022"/>
    <x v="46"/>
    <s v="Se requiere la contratación del servicio denominado Hogar Protegido para Hombres, para 8 usuarios beneficiados, por un periodo de 12 meses. Incluyendo 1 usuario en categoría 3. Periodo Enero a diciembre 2026. Vigencia desde el 1 de enero del 2026."/>
    <x v="0"/>
    <x v="41"/>
    <n v="4"/>
    <n v="7"/>
    <x v="50"/>
    <x v="75"/>
    <x v="11"/>
    <x v="20"/>
    <x v="12"/>
    <x v="33"/>
    <s v="64-2565813-"/>
    <s v="angelo.palma@redsalud.gob.cl"/>
    <x v="13"/>
    <d v="2025-08-20T00:00:00"/>
    <n v="0"/>
    <m/>
    <n v="1"/>
    <n v="7558541"/>
    <d v="2026-07-01T00:00:00"/>
    <x v="0"/>
  </r>
  <r>
    <s v="SERVICIO DE SALUD OSORNO"/>
    <x v="0"/>
    <x v="45"/>
    <s v="Proyecto operacional"/>
    <s v="Publicado"/>
    <s v="22.12.999.022"/>
    <x v="46"/>
    <s v="Se requiere la contratación del servicio denominado Hogar Protegido para Hombres, para 8 usuarios beneficiados, por un periodo de 12 meses. Incluyendo 1 usuario en categoría 3. Periodo Enero a diciembre 2026. Vigencia desde el 1 de enero del 2026."/>
    <x v="0"/>
    <x v="41"/>
    <n v="4"/>
    <n v="7"/>
    <x v="50"/>
    <x v="75"/>
    <x v="11"/>
    <x v="20"/>
    <x v="12"/>
    <x v="33"/>
    <s v="64-2565813-"/>
    <s v="angelo.palma@redsalud.gob.cl"/>
    <x v="13"/>
    <d v="2025-08-20T00:00:00"/>
    <n v="0"/>
    <m/>
    <n v="1"/>
    <n v="7558541"/>
    <d v="2026-05-01T00:00:00"/>
    <x v="0"/>
  </r>
  <r>
    <s v="SERVICIO DE SALUD OSORNO"/>
    <x v="0"/>
    <x v="45"/>
    <s v="Proyecto operacional"/>
    <s v="Publicado"/>
    <s v="22.12.999.022"/>
    <x v="46"/>
    <s v="Se requiere la contratación del servicio denominado Hogar Protegido para Hombres, para 8 usuarios beneficiados, por un periodo de 12 meses. Incluyendo 1 usuario en categoría 3. Periodo Enero a diciembre 2026. Vigencia desde el 1 de enero del 2026."/>
    <x v="0"/>
    <x v="41"/>
    <n v="4"/>
    <n v="7"/>
    <x v="50"/>
    <x v="75"/>
    <x v="11"/>
    <x v="20"/>
    <x v="12"/>
    <x v="33"/>
    <s v="64-2565813-"/>
    <s v="angelo.palma@redsalud.gob.cl"/>
    <x v="13"/>
    <d v="2025-08-20T00:00:00"/>
    <n v="0"/>
    <m/>
    <n v="1"/>
    <n v="7558541"/>
    <d v="2026-04-01T00:00:00"/>
    <x v="0"/>
  </r>
  <r>
    <s v="SERVICIO DE SALUD OSORNO"/>
    <x v="0"/>
    <x v="45"/>
    <s v="Proyecto operacional"/>
    <s v="Publicado"/>
    <s v="22.12.999.022"/>
    <x v="46"/>
    <s v="Se requiere la contratación del servicio denominado Hogar Protegido para Hombres, para 8 usuarios beneficiados, por un periodo de 12 meses. Incluyendo 1 usuario en categoría 3. Periodo Enero a diciembre 2026. Vigencia desde el 1 de enero del 2026."/>
    <x v="0"/>
    <x v="41"/>
    <n v="4"/>
    <n v="7"/>
    <x v="50"/>
    <x v="75"/>
    <x v="11"/>
    <x v="20"/>
    <x v="12"/>
    <x v="33"/>
    <s v="64-2565813-"/>
    <s v="angelo.palma@redsalud.gob.cl"/>
    <x v="13"/>
    <d v="2025-08-20T00:00:00"/>
    <n v="0"/>
    <m/>
    <n v="1"/>
    <n v="7558541"/>
    <d v="2026-01-01T00:00:00"/>
    <x v="0"/>
  </r>
  <r>
    <s v="SERVICIO DE SALUD OSORNO"/>
    <x v="0"/>
    <x v="45"/>
    <s v="Proyecto operacional"/>
    <s v="Publicado"/>
    <s v="22.12.999.022"/>
    <x v="46"/>
    <s v="Se requiere la contratación del servicio denominado Hogar Protegido para Hombres, para 8 usuarios beneficiados, por un periodo de 12 meses. Incluyendo 1 usuario en categoría 3. Periodo Enero a diciembre 2026. Vigencia desde el 1 de enero del 2026."/>
    <x v="0"/>
    <x v="41"/>
    <n v="4"/>
    <n v="7"/>
    <x v="50"/>
    <x v="75"/>
    <x v="11"/>
    <x v="20"/>
    <x v="12"/>
    <x v="33"/>
    <s v="64-2565813-"/>
    <s v="angelo.palma@redsalud.gob.cl"/>
    <x v="13"/>
    <d v="2025-08-20T00:00:00"/>
    <n v="0"/>
    <m/>
    <n v="1"/>
    <n v="7558541"/>
    <d v="2026-03-01T00:00:00"/>
    <x v="0"/>
  </r>
  <r>
    <s v="SERVICIO DE SALUD OSORNO"/>
    <x v="0"/>
    <x v="45"/>
    <s v="Proyecto operacional"/>
    <s v="Publicado"/>
    <s v="22.12.999.022"/>
    <x v="46"/>
    <s v="Se requiere la contratación del servicio denominado Hogar Protegido para Hombres, para 8 usuarios beneficiados, por un periodo de 12 meses. Incluyendo 1 usuario en categoría 3. Periodo Enero a diciembre 2026. Vigencia desde el 1 de enero del 2026."/>
    <x v="0"/>
    <x v="41"/>
    <n v="4"/>
    <n v="7"/>
    <x v="50"/>
    <x v="75"/>
    <x v="11"/>
    <x v="20"/>
    <x v="12"/>
    <x v="33"/>
    <s v="64-2565813-"/>
    <s v="angelo.palma@redsalud.gob.cl"/>
    <x v="13"/>
    <d v="2025-08-20T00:00:00"/>
    <n v="0"/>
    <m/>
    <n v="1"/>
    <n v="7558541"/>
    <d v="2026-11-01T00:00:00"/>
    <x v="0"/>
  </r>
  <r>
    <s v="SERVICIO DE SALUD OSORNO"/>
    <x v="0"/>
    <x v="45"/>
    <s v="Proyecto operacional"/>
    <s v="Publicado"/>
    <s v="22.12.999.022"/>
    <x v="46"/>
    <s v="Se requiere la contratación del servicio denominado Hogar Protegido para Hombres, para 8 usuarios beneficiados, por un periodo de 12 meses. Incluyendo 1 usuario en categoría 3. Periodo Enero a diciembre 2026. Vigencia desde el 1 de enero del 2026."/>
    <x v="0"/>
    <x v="41"/>
    <n v="4"/>
    <n v="7"/>
    <x v="50"/>
    <x v="75"/>
    <x v="11"/>
    <x v="20"/>
    <x v="12"/>
    <x v="33"/>
    <s v="64-2565813-"/>
    <s v="angelo.palma@redsalud.gob.cl"/>
    <x v="13"/>
    <d v="2025-08-20T00:00:00"/>
    <n v="0"/>
    <m/>
    <n v="1"/>
    <n v="7558541"/>
    <d v="2026-10-01T00:00:00"/>
    <x v="0"/>
  </r>
  <r>
    <s v="SERVICIO DE SALUD OSORNO"/>
    <x v="0"/>
    <x v="45"/>
    <s v="Proyecto operacional"/>
    <s v="Publicado"/>
    <s v="22.12.999.022"/>
    <x v="46"/>
    <s v="Se requiere la contratación del servicio denominado Hogar Protegido para Hombres, para 8 usuarios beneficiados, por un periodo de 12 meses. Incluyendo 1 usuario en categoría 3. Periodo Enero a diciembre 2026. Vigencia desde el 1 de enero del 2026."/>
    <x v="0"/>
    <x v="41"/>
    <n v="4"/>
    <n v="7"/>
    <x v="50"/>
    <x v="75"/>
    <x v="11"/>
    <x v="20"/>
    <x v="12"/>
    <x v="33"/>
    <s v="64-2565813-"/>
    <s v="angelo.palma@redsalud.gob.cl"/>
    <x v="13"/>
    <d v="2025-08-20T00:00:00"/>
    <n v="0"/>
    <m/>
    <n v="1"/>
    <n v="7558541"/>
    <d v="2026-08-01T00:00:00"/>
    <x v="0"/>
  </r>
  <r>
    <s v="SERVICIO DE SALUD OSORNO"/>
    <x v="0"/>
    <x v="45"/>
    <s v="Proyecto operacional"/>
    <s v="Publicado"/>
    <s v="22.12.999.022"/>
    <x v="46"/>
    <s v="Se requiere la contratación del servicio denominado Hogar Protegido para Hombres, para 8 usuarios beneficiados, por un periodo de 12 meses. Incluyendo 1 usuario en categoría 3. Periodo Enero a diciembre 2026. Vigencia desde el 1 de enero del 2026."/>
    <x v="0"/>
    <x v="41"/>
    <n v="4"/>
    <n v="7"/>
    <x v="50"/>
    <x v="75"/>
    <x v="11"/>
    <x v="20"/>
    <x v="12"/>
    <x v="33"/>
    <s v="64-2565813-"/>
    <s v="angelo.palma@redsalud.gob.cl"/>
    <x v="13"/>
    <d v="2025-08-20T00:00:00"/>
    <n v="0"/>
    <m/>
    <n v="1"/>
    <n v="7558541"/>
    <d v="2026-09-01T00:00:00"/>
    <x v="0"/>
  </r>
  <r>
    <s v="SERVICIO DE SALUD OSORNO"/>
    <x v="0"/>
    <x v="45"/>
    <s v="Proyecto operacional"/>
    <s v="Publicado"/>
    <s v="22.12.999.022"/>
    <x v="46"/>
    <s v="Se requiere la contratación del servicio denominado Hogar Protegido para Hombres, para 8 usuarios beneficiados, por un periodo de 12 meses. Incluyendo 1 usuario en categoría 3. Periodo Enero a diciembre 2026. Vigencia desde el 1 de enero del 2026."/>
    <x v="0"/>
    <x v="41"/>
    <n v="4"/>
    <n v="7"/>
    <x v="50"/>
    <x v="76"/>
    <x v="11"/>
    <x v="20"/>
    <x v="12"/>
    <x v="33"/>
    <s v="64-2565813-"/>
    <s v="angelo.palma@redsalud.gob.cl"/>
    <x v="13"/>
    <d v="2025-08-20T00:00:00"/>
    <n v="0"/>
    <m/>
    <n v="1"/>
    <n v="7558549"/>
    <d v="2026-12-01T00:00:00"/>
    <x v="0"/>
  </r>
  <r>
    <s v="SERVICIO DE SALUD OSORNO"/>
    <x v="0"/>
    <x v="45"/>
    <s v="Proyecto operacional"/>
    <s v="Publicado"/>
    <s v="22.12.999.022"/>
    <x v="46"/>
    <s v="Se requiere la contratación del servicio denominado Hogar Protegido para Hombres, para 8 usuarios beneficiados, por un periodo de 12 meses. Incluyendo 1 usuario en categoría 3. Periodo Enero a diciembre 2026. Vigencia desde el 1 de enero del 2026."/>
    <x v="0"/>
    <x v="42"/>
    <n v="4"/>
    <n v="1"/>
    <x v="51"/>
    <x v="77"/>
    <x v="11"/>
    <x v="20"/>
    <x v="12"/>
    <x v="33"/>
    <s v="64-2565813-"/>
    <s v="angelo.palma@redsalud.gob.cl"/>
    <x v="7"/>
    <d v="2025-08-20T00:00:00"/>
    <n v="0"/>
    <m/>
    <n v="1"/>
    <n v="1993690"/>
    <d v="2026-01-01T00:00:00"/>
    <x v="0"/>
  </r>
  <r>
    <s v="SERVICIO DE SALUD OSORNO"/>
    <x v="0"/>
    <x v="45"/>
    <s v="Proyecto operacional"/>
    <s v="Publicado"/>
    <s v="22.12.999.022"/>
    <x v="46"/>
    <s v="Se requiere la contratación del servicio denominado Hogar Protegido para Hombres, para 8 usuarios beneficiados, por un periodo de 12 meses. Incluyendo 1 usuario en categoría 3. Periodo Enero a diciembre 2026. Vigencia desde el 1 de enero del 2026."/>
    <x v="0"/>
    <x v="42"/>
    <n v="4"/>
    <n v="1"/>
    <x v="51"/>
    <x v="77"/>
    <x v="11"/>
    <x v="20"/>
    <x v="12"/>
    <x v="33"/>
    <s v="64-2565813-"/>
    <s v="angelo.palma@redsalud.gob.cl"/>
    <x v="7"/>
    <d v="2025-08-20T00:00:00"/>
    <n v="0"/>
    <m/>
    <n v="1"/>
    <n v="1993690"/>
    <d v="2026-02-01T00:00:00"/>
    <x v="0"/>
  </r>
  <r>
    <s v="SERVICIO DE SALUD OSORNO"/>
    <x v="0"/>
    <x v="45"/>
    <s v="Proyecto operacional"/>
    <s v="Publicado"/>
    <s v="22.12.999.022"/>
    <x v="46"/>
    <s v="Se requiere la contratación del servicio denominado Hogar Protegido para Hombres, para 8 usuarios beneficiados, por un periodo de 12 meses. Incluyendo 1 usuario en categoría 3. Periodo Enero a diciembre 2026. Vigencia desde el 1 de enero del 2026."/>
    <x v="0"/>
    <x v="42"/>
    <n v="4"/>
    <n v="1"/>
    <x v="51"/>
    <x v="77"/>
    <x v="11"/>
    <x v="20"/>
    <x v="12"/>
    <x v="33"/>
    <s v="64-2565813-"/>
    <s v="angelo.palma@redsalud.gob.cl"/>
    <x v="7"/>
    <d v="2025-08-20T00:00:00"/>
    <n v="0"/>
    <m/>
    <n v="1"/>
    <n v="1993690"/>
    <d v="2026-03-01T00:00:00"/>
    <x v="0"/>
  </r>
  <r>
    <s v="SERVICIO DE SALUD OSORNO"/>
    <x v="0"/>
    <x v="45"/>
    <s v="Proyecto operacional"/>
    <s v="Publicado"/>
    <s v="22.12.999.022"/>
    <x v="46"/>
    <s v="Se requiere la contratación del servicio denominado Hogar Protegido para Hombres, para 8 usuarios beneficiados, por un periodo de 12 meses. Incluyendo 1 usuario en categoría 3. Periodo Enero a diciembre 2026. Vigencia desde el 1 de enero del 2026."/>
    <x v="0"/>
    <x v="42"/>
    <n v="4"/>
    <n v="1"/>
    <x v="51"/>
    <x v="77"/>
    <x v="11"/>
    <x v="20"/>
    <x v="12"/>
    <x v="33"/>
    <s v="64-2565813-"/>
    <s v="angelo.palma@redsalud.gob.cl"/>
    <x v="7"/>
    <d v="2025-08-20T00:00:00"/>
    <n v="0"/>
    <m/>
    <n v="1"/>
    <n v="1993690"/>
    <d v="2026-05-01T00:00:00"/>
    <x v="0"/>
  </r>
  <r>
    <s v="SERVICIO DE SALUD OSORNO"/>
    <x v="0"/>
    <x v="45"/>
    <s v="Proyecto operacional"/>
    <s v="Publicado"/>
    <s v="22.12.999.022"/>
    <x v="46"/>
    <s v="Se requiere la contratación del servicio denominado Hogar Protegido para Hombres, para 8 usuarios beneficiados, por un periodo de 12 meses. Incluyendo 1 usuario en categoría 3. Periodo Enero a diciembre 2026. Vigencia desde el 1 de enero del 2026."/>
    <x v="0"/>
    <x v="42"/>
    <n v="4"/>
    <n v="1"/>
    <x v="51"/>
    <x v="78"/>
    <x v="11"/>
    <x v="20"/>
    <x v="12"/>
    <x v="33"/>
    <s v="64-2565813-"/>
    <s v="angelo.palma@redsalud.gob.cl"/>
    <x v="7"/>
    <d v="2025-08-20T00:00:00"/>
    <n v="0"/>
    <m/>
    <n v="1"/>
    <n v="1993700"/>
    <d v="2026-12-01T00:00:00"/>
    <x v="0"/>
  </r>
  <r>
    <s v="SERVICIO DE SALUD OSORNO"/>
    <x v="0"/>
    <x v="45"/>
    <s v="Proyecto operacional"/>
    <s v="Publicado"/>
    <s v="22.12.999.022"/>
    <x v="46"/>
    <s v="Se requiere la contratación del servicio denominado Hogar Protegido para Hombres, para 8 usuarios beneficiados, por un periodo de 12 meses. Incluyendo 1 usuario en categoría 3. Periodo Enero a diciembre 2026. Vigencia desde el 1 de enero del 2026."/>
    <x v="0"/>
    <x v="42"/>
    <n v="4"/>
    <n v="1"/>
    <x v="51"/>
    <x v="77"/>
    <x v="11"/>
    <x v="20"/>
    <x v="12"/>
    <x v="33"/>
    <s v="64-2565813-"/>
    <s v="angelo.palma@redsalud.gob.cl"/>
    <x v="7"/>
    <d v="2025-08-20T00:00:00"/>
    <n v="0"/>
    <m/>
    <n v="1"/>
    <n v="1993690"/>
    <d v="2026-07-01T00:00:00"/>
    <x v="0"/>
  </r>
  <r>
    <s v="SERVICIO DE SALUD OSORNO"/>
    <x v="0"/>
    <x v="45"/>
    <s v="Proyecto operacional"/>
    <s v="Publicado"/>
    <s v="22.12.999.022"/>
    <x v="46"/>
    <s v="Se requiere la contratación del servicio denominado Hogar Protegido para Hombres, para 8 usuarios beneficiados, por un periodo de 12 meses. Incluyendo 1 usuario en categoría 3. Periodo Enero a diciembre 2026. Vigencia desde el 1 de enero del 2026."/>
    <x v="0"/>
    <x v="42"/>
    <n v="4"/>
    <n v="1"/>
    <x v="51"/>
    <x v="77"/>
    <x v="11"/>
    <x v="20"/>
    <x v="12"/>
    <x v="33"/>
    <s v="64-2565813-"/>
    <s v="angelo.palma@redsalud.gob.cl"/>
    <x v="7"/>
    <d v="2025-08-20T00:00:00"/>
    <n v="0"/>
    <m/>
    <n v="1"/>
    <n v="1993690"/>
    <d v="2026-06-01T00:00:00"/>
    <x v="0"/>
  </r>
  <r>
    <s v="SERVICIO DE SALUD OSORNO"/>
    <x v="0"/>
    <x v="45"/>
    <s v="Proyecto operacional"/>
    <s v="Publicado"/>
    <s v="22.12.999.022"/>
    <x v="46"/>
    <s v="Se requiere la contratación del servicio denominado Hogar Protegido para Hombres, para 8 usuarios beneficiados, por un periodo de 12 meses. Incluyendo 1 usuario en categoría 3. Periodo Enero a diciembre 2026. Vigencia desde el 1 de enero del 2026."/>
    <x v="0"/>
    <x v="42"/>
    <n v="4"/>
    <n v="1"/>
    <x v="51"/>
    <x v="77"/>
    <x v="11"/>
    <x v="20"/>
    <x v="12"/>
    <x v="33"/>
    <s v="64-2565813-"/>
    <s v="angelo.palma@redsalud.gob.cl"/>
    <x v="7"/>
    <d v="2025-08-20T00:00:00"/>
    <n v="0"/>
    <m/>
    <n v="1"/>
    <n v="1993690"/>
    <d v="2026-08-01T00:00:00"/>
    <x v="0"/>
  </r>
  <r>
    <s v="SERVICIO DE SALUD OSORNO"/>
    <x v="0"/>
    <x v="45"/>
    <s v="Proyecto operacional"/>
    <s v="Publicado"/>
    <s v="22.12.999.022"/>
    <x v="46"/>
    <s v="Se requiere la contratación del servicio denominado Hogar Protegido para Hombres, para 8 usuarios beneficiados, por un periodo de 12 meses. Incluyendo 1 usuario en categoría 3. Periodo Enero a diciembre 2026. Vigencia desde el 1 de enero del 2026."/>
    <x v="0"/>
    <x v="42"/>
    <n v="4"/>
    <n v="1"/>
    <x v="51"/>
    <x v="77"/>
    <x v="11"/>
    <x v="20"/>
    <x v="12"/>
    <x v="33"/>
    <s v="64-2565813-"/>
    <s v="angelo.palma@redsalud.gob.cl"/>
    <x v="7"/>
    <d v="2025-08-20T00:00:00"/>
    <n v="0"/>
    <m/>
    <n v="1"/>
    <n v="1993690"/>
    <d v="2026-11-01T00:00:00"/>
    <x v="0"/>
  </r>
  <r>
    <s v="SERVICIO DE SALUD OSORNO"/>
    <x v="0"/>
    <x v="45"/>
    <s v="Proyecto operacional"/>
    <s v="Publicado"/>
    <s v="22.12.999.022"/>
    <x v="46"/>
    <s v="Se requiere la contratación del servicio denominado Hogar Protegido para Hombres, para 8 usuarios beneficiados, por un periodo de 12 meses. Incluyendo 1 usuario en categoría 3. Periodo Enero a diciembre 2026. Vigencia desde el 1 de enero del 2026."/>
    <x v="0"/>
    <x v="42"/>
    <n v="4"/>
    <n v="1"/>
    <x v="51"/>
    <x v="77"/>
    <x v="11"/>
    <x v="20"/>
    <x v="12"/>
    <x v="33"/>
    <s v="64-2565813-"/>
    <s v="angelo.palma@redsalud.gob.cl"/>
    <x v="7"/>
    <d v="2025-08-20T00:00:00"/>
    <n v="0"/>
    <m/>
    <n v="1"/>
    <n v="1993690"/>
    <d v="2026-09-01T00:00:00"/>
    <x v="0"/>
  </r>
  <r>
    <s v="SERVICIO DE SALUD OSORNO"/>
    <x v="0"/>
    <x v="45"/>
    <s v="Proyecto operacional"/>
    <s v="Publicado"/>
    <s v="22.12.999.022"/>
    <x v="46"/>
    <s v="Se requiere la contratación del servicio denominado Hogar Protegido para Hombres, para 8 usuarios beneficiados, por un periodo de 12 meses. Incluyendo 1 usuario en categoría 3. Periodo Enero a diciembre 2026. Vigencia desde el 1 de enero del 2026."/>
    <x v="0"/>
    <x v="42"/>
    <n v="4"/>
    <n v="1"/>
    <x v="51"/>
    <x v="77"/>
    <x v="11"/>
    <x v="20"/>
    <x v="12"/>
    <x v="33"/>
    <s v="64-2565813-"/>
    <s v="angelo.palma@redsalud.gob.cl"/>
    <x v="7"/>
    <d v="2025-08-20T00:00:00"/>
    <n v="0"/>
    <m/>
    <n v="1"/>
    <n v="1993690"/>
    <d v="2026-04-01T00:00:00"/>
    <x v="0"/>
  </r>
  <r>
    <s v="SERVICIO DE SALUD OSORNO"/>
    <x v="0"/>
    <x v="45"/>
    <s v="Proyecto operacional"/>
    <s v="Publicado"/>
    <s v="22.12.999.022"/>
    <x v="46"/>
    <s v="Se requiere la contratación del servicio denominado Hogar Protegido para Hombres, para 8 usuarios beneficiados, por un periodo de 12 meses. Incluyendo 1 usuario en categoría 3. Periodo Enero a diciembre 2026. Vigencia desde el 1 de enero del 2026."/>
    <x v="0"/>
    <x v="42"/>
    <n v="4"/>
    <n v="1"/>
    <x v="51"/>
    <x v="77"/>
    <x v="11"/>
    <x v="20"/>
    <x v="12"/>
    <x v="33"/>
    <s v="64-2565813-"/>
    <s v="angelo.palma@redsalud.gob.cl"/>
    <x v="7"/>
    <d v="2025-08-20T00:00:00"/>
    <n v="0"/>
    <m/>
    <n v="1"/>
    <n v="1993690"/>
    <d v="2026-10-01T00:00:00"/>
    <x v="0"/>
  </r>
  <r>
    <s v="SERVICIO DE SALUD OSORNO"/>
    <x v="0"/>
    <x v="46"/>
    <s v="Proyecto operacional"/>
    <s v="Publicado"/>
    <s v="22.04.001"/>
    <x v="47"/>
    <s v="Articulos de Libreria para entrega a Deptos, Unidades, etc, del Servicio de Salud Osorno, por un periodo de 12 meses."/>
    <x v="1"/>
    <x v="43"/>
    <n v="4"/>
    <n v="100"/>
    <x v="52"/>
    <x v="79"/>
    <x v="11"/>
    <x v="17"/>
    <x v="30"/>
    <x v="34"/>
    <s v="64-2565716-"/>
    <s v="cecilia.garay@redsalud.gob.cl"/>
    <x v="7"/>
    <d v="2025-08-20T00:00:00"/>
    <n v="2"/>
    <s v="1057532-5287-AG25"/>
    <n v="1"/>
    <n v="2402500"/>
    <d v="2026-07-01T00:00:00"/>
    <x v="0"/>
  </r>
  <r>
    <s v="SERVICIO DE SALUD OSORNO"/>
    <x v="0"/>
    <x v="46"/>
    <s v="Proyecto operacional"/>
    <s v="Publicado"/>
    <s v="22.04.001"/>
    <x v="47"/>
    <s v="Articulos de Libreria para entrega a Deptos, Unidades, etc, del Servicio de Salud Osorno, por un periodo de 12 meses."/>
    <x v="1"/>
    <x v="43"/>
    <n v="4"/>
    <n v="100"/>
    <x v="52"/>
    <x v="79"/>
    <x v="11"/>
    <x v="17"/>
    <x v="30"/>
    <x v="34"/>
    <s v="64-2565716-"/>
    <s v="cecilia.garay@redsalud.gob.cl"/>
    <x v="7"/>
    <d v="2025-08-20T00:00:00"/>
    <n v="2"/>
    <s v="1057532-5287-AG25"/>
    <n v="1"/>
    <n v="2402500"/>
    <d v="2026-05-01T00:00:00"/>
    <x v="0"/>
  </r>
  <r>
    <s v="SERVICIO DE SALUD OSORNO"/>
    <x v="0"/>
    <x v="46"/>
    <s v="Proyecto operacional"/>
    <s v="Publicado"/>
    <s v="22.04.001"/>
    <x v="47"/>
    <s v="Articulos de Libreria para entrega a Deptos, Unidades, etc, del Servicio de Salud Osorno, por un periodo de 12 meses."/>
    <x v="1"/>
    <x v="43"/>
    <n v="4"/>
    <n v="100"/>
    <x v="52"/>
    <x v="79"/>
    <x v="11"/>
    <x v="17"/>
    <x v="30"/>
    <x v="34"/>
    <s v="64-2565716-"/>
    <s v="cecilia.garay@redsalud.gob.cl"/>
    <x v="7"/>
    <d v="2025-08-20T00:00:00"/>
    <n v="2"/>
    <s v="1057532-5446-CM25"/>
    <n v="1"/>
    <n v="2402500"/>
    <d v="2026-06-01T00:00:00"/>
    <x v="0"/>
  </r>
  <r>
    <s v="SERVICIO DE SALUD OSORNO"/>
    <x v="0"/>
    <x v="46"/>
    <s v="Proyecto operacional"/>
    <s v="Publicado"/>
    <s v="22.04.001"/>
    <x v="47"/>
    <s v="Articulos de Libreria para entrega a Deptos, Unidades, etc, del Servicio de Salud Osorno, por un periodo de 12 meses."/>
    <x v="1"/>
    <x v="43"/>
    <n v="4"/>
    <n v="100"/>
    <x v="52"/>
    <x v="79"/>
    <x v="11"/>
    <x v="17"/>
    <x v="30"/>
    <x v="34"/>
    <s v="64-2565716-"/>
    <s v="cecilia.garay@redsalud.gob.cl"/>
    <x v="7"/>
    <d v="2025-08-20T00:00:00"/>
    <n v="2"/>
    <s v="1057532-5446-CM25"/>
    <n v="1"/>
    <n v="2402500"/>
    <d v="2026-01-01T00:00:00"/>
    <x v="0"/>
  </r>
  <r>
    <s v="SERVICIO DE SALUD OSORNO"/>
    <x v="0"/>
    <x v="46"/>
    <s v="Proyecto operacional"/>
    <s v="Publicado"/>
    <s v="22.04.001"/>
    <x v="47"/>
    <s v="Articulos de Libreria para entrega a Deptos, Unidades, etc, del Servicio de Salud Osorno, por un periodo de 12 meses."/>
    <x v="1"/>
    <x v="43"/>
    <n v="4"/>
    <n v="100"/>
    <x v="52"/>
    <x v="79"/>
    <x v="11"/>
    <x v="17"/>
    <x v="30"/>
    <x v="34"/>
    <s v="64-2565716-"/>
    <s v="cecilia.garay@redsalud.gob.cl"/>
    <x v="7"/>
    <d v="2025-08-20T00:00:00"/>
    <n v="2"/>
    <s v="1057532-5287-AG25"/>
    <n v="1"/>
    <n v="2402500"/>
    <d v="2026-06-01T00:00:00"/>
    <x v="0"/>
  </r>
  <r>
    <s v="SERVICIO DE SALUD OSORNO"/>
    <x v="0"/>
    <x v="46"/>
    <s v="Proyecto operacional"/>
    <s v="Publicado"/>
    <s v="22.04.001"/>
    <x v="47"/>
    <s v="Articulos de Libreria para entrega a Deptos, Unidades, etc, del Servicio de Salud Osorno, por un periodo de 12 meses."/>
    <x v="1"/>
    <x v="43"/>
    <n v="4"/>
    <n v="100"/>
    <x v="52"/>
    <x v="79"/>
    <x v="11"/>
    <x v="17"/>
    <x v="30"/>
    <x v="34"/>
    <s v="64-2565716-"/>
    <s v="cecilia.garay@redsalud.gob.cl"/>
    <x v="7"/>
    <d v="2025-08-20T00:00:00"/>
    <n v="2"/>
    <s v="1057532-5287-AG25"/>
    <n v="1"/>
    <n v="2402500"/>
    <d v="2026-01-01T00:00:00"/>
    <x v="0"/>
  </r>
  <r>
    <s v="SERVICIO DE SALUD OSORNO"/>
    <x v="0"/>
    <x v="46"/>
    <s v="Proyecto operacional"/>
    <s v="Publicado"/>
    <s v="22.04.001"/>
    <x v="47"/>
    <s v="Articulos de Libreria para entrega a Deptos, Unidades, etc, del Servicio de Salud Osorno, por un periodo de 12 meses."/>
    <x v="1"/>
    <x v="43"/>
    <n v="4"/>
    <n v="100"/>
    <x v="52"/>
    <x v="79"/>
    <x v="11"/>
    <x v="17"/>
    <x v="30"/>
    <x v="34"/>
    <s v="64-2565716-"/>
    <s v="cecilia.garay@redsalud.gob.cl"/>
    <x v="7"/>
    <d v="2025-08-20T00:00:00"/>
    <n v="2"/>
    <s v="1057532-5446-CM25"/>
    <n v="1"/>
    <n v="2402500"/>
    <d v="2026-07-01T00:00:00"/>
    <x v="0"/>
  </r>
  <r>
    <s v="SERVICIO DE SALUD OSORNO"/>
    <x v="0"/>
    <x v="47"/>
    <s v="Proyecto operacional"/>
    <s v="Publicado"/>
    <s v="22.03.003"/>
    <x v="48"/>
    <s v="Producto solicitado: Se requiere m3 de chip Duración del Convenio: 24 meses Fecha Inicio convenio: 01-01-2026 Fecha Término de Convenio: 31-12-2027 Vigencia: 24 meses"/>
    <x v="1"/>
    <x v="44"/>
    <n v="4"/>
    <n v="1"/>
    <x v="53"/>
    <x v="80"/>
    <x v="1"/>
    <x v="14"/>
    <x v="31"/>
    <x v="17"/>
    <s v="64-2567381-"/>
    <s v="daniela.jarac@redsalud.gob.cl"/>
    <x v="7"/>
    <d v="2025-08-20T00:00:00"/>
    <n v="0"/>
    <m/>
    <n v="1"/>
    <n v="6083333"/>
    <d v="2026-02-01T00:00:00"/>
    <x v="0"/>
  </r>
  <r>
    <s v="SERVICIO DE SALUD OSORNO"/>
    <x v="0"/>
    <x v="47"/>
    <s v="Proyecto operacional"/>
    <s v="Publicado"/>
    <s v="22.03.003"/>
    <x v="48"/>
    <s v="Producto solicitado: Se requiere m3 de chip Duración del Convenio: 24 meses Fecha Inicio convenio: 01-01-2026 Fecha Término de Convenio: 31-12-2027 Vigencia: 24 meses"/>
    <x v="1"/>
    <x v="44"/>
    <n v="4"/>
    <n v="1"/>
    <x v="53"/>
    <x v="80"/>
    <x v="1"/>
    <x v="14"/>
    <x v="31"/>
    <x v="17"/>
    <s v="64-2567381-"/>
    <s v="daniela.jarac@redsalud.gob.cl"/>
    <x v="7"/>
    <d v="2025-08-20T00:00:00"/>
    <n v="0"/>
    <m/>
    <n v="1"/>
    <n v="6083333"/>
    <d v="2026-06-01T00:00:00"/>
    <x v="0"/>
  </r>
  <r>
    <s v="SERVICIO DE SALUD OSORNO"/>
    <x v="0"/>
    <x v="47"/>
    <s v="Proyecto operacional"/>
    <s v="Publicado"/>
    <s v="22.03.003"/>
    <x v="48"/>
    <s v="Producto solicitado: Se requiere m3 de chip Duración del Convenio: 24 meses Fecha Inicio convenio: 01-01-2026 Fecha Término de Convenio: 31-12-2027 Vigencia: 24 meses"/>
    <x v="1"/>
    <x v="44"/>
    <n v="4"/>
    <n v="1"/>
    <x v="53"/>
    <x v="80"/>
    <x v="1"/>
    <x v="14"/>
    <x v="31"/>
    <x v="17"/>
    <s v="64-2567381-"/>
    <s v="daniela.jarac@redsalud.gob.cl"/>
    <x v="7"/>
    <d v="2025-08-20T00:00:00"/>
    <n v="0"/>
    <m/>
    <n v="1"/>
    <n v="6083333"/>
    <d v="2026-01-01T00:00:00"/>
    <x v="0"/>
  </r>
  <r>
    <s v="SERVICIO DE SALUD OSORNO"/>
    <x v="0"/>
    <x v="47"/>
    <s v="Proyecto operacional"/>
    <s v="Publicado"/>
    <s v="22.03.003"/>
    <x v="48"/>
    <s v="Producto solicitado: Se requiere m3 de chip Duración del Convenio: 24 meses Fecha Inicio convenio: 01-01-2026 Fecha Término de Convenio: 31-12-2027 Vigencia: 24 meses"/>
    <x v="1"/>
    <x v="44"/>
    <n v="4"/>
    <n v="1"/>
    <x v="53"/>
    <x v="80"/>
    <x v="1"/>
    <x v="14"/>
    <x v="31"/>
    <x v="17"/>
    <s v="64-2567381-"/>
    <s v="daniela.jarac@redsalud.gob.cl"/>
    <x v="7"/>
    <d v="2025-08-20T00:00:00"/>
    <n v="0"/>
    <m/>
    <n v="1"/>
    <n v="6083333"/>
    <d v="2026-12-01T00:00:00"/>
    <x v="0"/>
  </r>
  <r>
    <s v="SERVICIO DE SALUD OSORNO"/>
    <x v="0"/>
    <x v="47"/>
    <s v="Proyecto operacional"/>
    <s v="Publicado"/>
    <s v="22.03.003"/>
    <x v="48"/>
    <s v="Producto solicitado: Se requiere m3 de chip Duración del Convenio: 24 meses Fecha Inicio convenio: 01-01-2026 Fecha Término de Convenio: 31-12-2027 Vigencia: 24 meses"/>
    <x v="1"/>
    <x v="44"/>
    <n v="4"/>
    <n v="1"/>
    <x v="53"/>
    <x v="80"/>
    <x v="1"/>
    <x v="14"/>
    <x v="31"/>
    <x v="17"/>
    <s v="64-2567381-"/>
    <s v="daniela.jarac@redsalud.gob.cl"/>
    <x v="7"/>
    <d v="2025-08-20T00:00:00"/>
    <n v="0"/>
    <m/>
    <n v="1"/>
    <n v="6083333"/>
    <d v="2026-04-01T00:00:00"/>
    <x v="0"/>
  </r>
  <r>
    <s v="SERVICIO DE SALUD OSORNO"/>
    <x v="0"/>
    <x v="47"/>
    <s v="Proyecto operacional"/>
    <s v="Publicado"/>
    <s v="22.03.003"/>
    <x v="48"/>
    <s v="Producto solicitado: Se requiere m3 de chip Duración del Convenio: 24 meses Fecha Inicio convenio: 01-01-2026 Fecha Término de Convenio: 31-12-2027 Vigencia: 24 meses"/>
    <x v="1"/>
    <x v="44"/>
    <n v="4"/>
    <n v="1"/>
    <x v="53"/>
    <x v="80"/>
    <x v="1"/>
    <x v="14"/>
    <x v="31"/>
    <x v="17"/>
    <s v="64-2567381-"/>
    <s v="daniela.jarac@redsalud.gob.cl"/>
    <x v="7"/>
    <d v="2025-08-20T00:00:00"/>
    <n v="0"/>
    <m/>
    <n v="1"/>
    <n v="6083333"/>
    <d v="2026-07-01T00:00:00"/>
    <x v="0"/>
  </r>
  <r>
    <s v="SERVICIO DE SALUD OSORNO"/>
    <x v="0"/>
    <x v="47"/>
    <s v="Proyecto operacional"/>
    <s v="Publicado"/>
    <s v="22.03.003"/>
    <x v="48"/>
    <s v="Producto solicitado: Se requiere m3 de chip Duración del Convenio: 24 meses Fecha Inicio convenio: 01-01-2026 Fecha Término de Convenio: 31-12-2027 Vigencia: 24 meses"/>
    <x v="1"/>
    <x v="44"/>
    <n v="4"/>
    <n v="1"/>
    <x v="53"/>
    <x v="80"/>
    <x v="1"/>
    <x v="14"/>
    <x v="31"/>
    <x v="17"/>
    <s v="64-2567381-"/>
    <s v="daniela.jarac@redsalud.gob.cl"/>
    <x v="7"/>
    <d v="2025-08-20T00:00:00"/>
    <n v="0"/>
    <m/>
    <n v="1"/>
    <n v="6083333"/>
    <d v="2026-08-01T00:00:00"/>
    <x v="0"/>
  </r>
  <r>
    <s v="SERVICIO DE SALUD OSORNO"/>
    <x v="0"/>
    <x v="47"/>
    <s v="Proyecto operacional"/>
    <s v="Publicado"/>
    <s v="22.03.003"/>
    <x v="48"/>
    <s v="Producto solicitado: Se requiere m3 de chip Duración del Convenio: 24 meses Fecha Inicio convenio: 01-01-2026 Fecha Término de Convenio: 31-12-2027 Vigencia: 24 meses"/>
    <x v="1"/>
    <x v="44"/>
    <n v="4"/>
    <n v="1"/>
    <x v="53"/>
    <x v="80"/>
    <x v="1"/>
    <x v="14"/>
    <x v="31"/>
    <x v="17"/>
    <s v="64-2567381-"/>
    <s v="daniela.jarac@redsalud.gob.cl"/>
    <x v="7"/>
    <d v="2025-08-20T00:00:00"/>
    <n v="0"/>
    <m/>
    <n v="1"/>
    <n v="6083333"/>
    <d v="2026-03-01T00:00:00"/>
    <x v="0"/>
  </r>
  <r>
    <s v="SERVICIO DE SALUD OSORNO"/>
    <x v="0"/>
    <x v="47"/>
    <s v="Proyecto operacional"/>
    <s v="Publicado"/>
    <s v="22.03.003"/>
    <x v="48"/>
    <s v="Producto solicitado: Se requiere m3 de chip Duración del Convenio: 24 meses Fecha Inicio convenio: 01-01-2026 Fecha Término de Convenio: 31-12-2027 Vigencia: 24 meses"/>
    <x v="1"/>
    <x v="44"/>
    <n v="4"/>
    <n v="1"/>
    <x v="53"/>
    <x v="80"/>
    <x v="1"/>
    <x v="14"/>
    <x v="31"/>
    <x v="17"/>
    <s v="64-2567381-"/>
    <s v="daniela.jarac@redsalud.gob.cl"/>
    <x v="7"/>
    <d v="2025-08-20T00:00:00"/>
    <n v="0"/>
    <m/>
    <n v="1"/>
    <n v="6083333"/>
    <d v="2026-10-01T00:00:00"/>
    <x v="0"/>
  </r>
  <r>
    <s v="SERVICIO DE SALUD OSORNO"/>
    <x v="0"/>
    <x v="47"/>
    <s v="Proyecto operacional"/>
    <s v="Publicado"/>
    <s v="22.03.003"/>
    <x v="48"/>
    <s v="Producto solicitado: Se requiere m3 de chip Duración del Convenio: 24 meses Fecha Inicio convenio: 01-01-2026 Fecha Término de Convenio: 31-12-2027 Vigencia: 24 meses"/>
    <x v="1"/>
    <x v="44"/>
    <n v="4"/>
    <n v="1"/>
    <x v="53"/>
    <x v="80"/>
    <x v="1"/>
    <x v="14"/>
    <x v="31"/>
    <x v="17"/>
    <s v="64-2567381-"/>
    <s v="daniela.jarac@redsalud.gob.cl"/>
    <x v="7"/>
    <d v="2025-08-20T00:00:00"/>
    <n v="0"/>
    <m/>
    <n v="1"/>
    <n v="6083333"/>
    <d v="2026-09-01T00:00:00"/>
    <x v="0"/>
  </r>
  <r>
    <s v="SERVICIO DE SALUD OSORNO"/>
    <x v="0"/>
    <x v="47"/>
    <s v="Proyecto operacional"/>
    <s v="Publicado"/>
    <s v="22.03.003"/>
    <x v="48"/>
    <s v="Producto solicitado: Se requiere m3 de chip Duración del Convenio: 24 meses Fecha Inicio convenio: 01-01-2026 Fecha Término de Convenio: 31-12-2027 Vigencia: 24 meses"/>
    <x v="1"/>
    <x v="44"/>
    <n v="4"/>
    <n v="1"/>
    <x v="53"/>
    <x v="80"/>
    <x v="1"/>
    <x v="14"/>
    <x v="31"/>
    <x v="17"/>
    <s v="64-2567381-"/>
    <s v="daniela.jarac@redsalud.gob.cl"/>
    <x v="7"/>
    <d v="2025-08-20T00:00:00"/>
    <n v="0"/>
    <m/>
    <n v="1"/>
    <n v="6083333"/>
    <d v="2026-05-01T00:00:00"/>
    <x v="0"/>
  </r>
  <r>
    <s v="SERVICIO DE SALUD OSORNO"/>
    <x v="0"/>
    <x v="47"/>
    <s v="Proyecto operacional"/>
    <s v="Publicado"/>
    <s v="22.03.003"/>
    <x v="48"/>
    <s v="Producto solicitado: Se requiere m3 de chip Duración del Convenio: 24 meses Fecha Inicio convenio: 01-01-2026 Fecha Término de Convenio: 31-12-2027 Vigencia: 24 meses"/>
    <x v="1"/>
    <x v="44"/>
    <n v="4"/>
    <n v="1"/>
    <x v="53"/>
    <x v="80"/>
    <x v="1"/>
    <x v="14"/>
    <x v="31"/>
    <x v="17"/>
    <s v="64-2567381-"/>
    <s v="daniela.jarac@redsalud.gob.cl"/>
    <x v="7"/>
    <d v="2025-08-20T00:00:00"/>
    <n v="0"/>
    <m/>
    <n v="1"/>
    <n v="6083333"/>
    <d v="2026-11-01T00:00:00"/>
    <x v="0"/>
  </r>
  <r>
    <s v="SERVICIO DE SALUD OSORNO"/>
    <x v="0"/>
    <x v="48"/>
    <s v="Proyecto operacional"/>
    <s v="Publicado"/>
    <s v="22.09.003"/>
    <x v="49"/>
    <s v="Convenio de arriendo de ambulancias SAMU, periodo comprendido entre septiembre 2025 a diciembre 2026, para dar continuidad a la atención prehospitalaria con 6 ambulancias operativas en la provincia de Osorno al realizar mantenciones preventivas y correctivas a ambulancias institucionales. Se arrendarán las ambulancias que sean necesarias que permita una dotación 6 ambulancias operativas para la atención prehospitalaria. Las ambulancias deben cumplir con especificaciones técnicas según determine el equipo clínico y de mantención de vehículos"/>
    <x v="1"/>
    <x v="45"/>
    <n v="4"/>
    <n v="16"/>
    <x v="54"/>
    <x v="81"/>
    <x v="12"/>
    <x v="22"/>
    <x v="32"/>
    <x v="35"/>
    <s v="64-2567353-"/>
    <s v="raul.nunezv@redsalud.gob.cl"/>
    <x v="7"/>
    <d v="2025-08-20T00:00:00"/>
    <n v="0"/>
    <m/>
    <n v="1"/>
    <n v="4687500"/>
    <d v="2026-02-01T00:00:00"/>
    <x v="0"/>
  </r>
  <r>
    <s v="SERVICIO DE SALUD OSORNO"/>
    <x v="0"/>
    <x v="48"/>
    <s v="Proyecto operacional"/>
    <s v="Publicado"/>
    <s v="22.09.003"/>
    <x v="49"/>
    <s v="Convenio de arriendo de ambulancias SAMU, periodo comprendido entre septiembre 2025 a diciembre 2026, para dar continuidad a la atención prehospitalaria con 6 ambulancias operativas en la provincia de Osorno al realizar mantenciones preventivas y correctivas a ambulancias institucionales. Se arrendarán las ambulancias que sean necesarias que permita una dotación 6 ambulancias operativas para la atención prehospitalaria. Las ambulancias deben cumplir con especificaciones técnicas según determine el equipo clínico y de mantención de vehículos"/>
    <x v="1"/>
    <x v="45"/>
    <n v="4"/>
    <n v="16"/>
    <x v="54"/>
    <x v="81"/>
    <x v="12"/>
    <x v="22"/>
    <x v="32"/>
    <x v="35"/>
    <s v="64-2567353-"/>
    <s v="raul.nunezv@redsalud.gob.cl"/>
    <x v="7"/>
    <d v="2025-08-20T00:00:00"/>
    <n v="0"/>
    <m/>
    <n v="1"/>
    <n v="4687500"/>
    <d v="2026-11-01T00:00:00"/>
    <x v="0"/>
  </r>
  <r>
    <s v="SERVICIO DE SALUD OSORNO"/>
    <x v="0"/>
    <x v="48"/>
    <s v="Proyecto operacional"/>
    <s v="Publicado"/>
    <s v="22.09.003"/>
    <x v="49"/>
    <s v="Convenio de arriendo de ambulancias SAMU, periodo comprendido entre septiembre 2025 a diciembre 2026, para dar continuidad a la atención prehospitalaria con 6 ambulancias operativas en la provincia de Osorno al realizar mantenciones preventivas y correctivas a ambulancias institucionales. Se arrendarán las ambulancias que sean necesarias que permita una dotación 6 ambulancias operativas para la atención prehospitalaria. Las ambulancias deben cumplir con especificaciones técnicas según determine el equipo clínico y de mantención de vehículos"/>
    <x v="1"/>
    <x v="45"/>
    <n v="4"/>
    <n v="16"/>
    <x v="54"/>
    <x v="81"/>
    <x v="12"/>
    <x v="22"/>
    <x v="32"/>
    <x v="35"/>
    <s v="64-2567353-"/>
    <s v="raul.nunezv@redsalud.gob.cl"/>
    <x v="7"/>
    <d v="2025-08-20T00:00:00"/>
    <n v="0"/>
    <m/>
    <n v="1"/>
    <n v="4687500"/>
    <d v="2026-03-01T00:00:00"/>
    <x v="0"/>
  </r>
  <r>
    <s v="SERVICIO DE SALUD OSORNO"/>
    <x v="0"/>
    <x v="48"/>
    <s v="Proyecto operacional"/>
    <s v="Publicado"/>
    <s v="22.09.003"/>
    <x v="49"/>
    <s v="Convenio de arriendo de ambulancias SAMU, periodo comprendido entre septiembre 2025 a diciembre 2026, para dar continuidad a la atención prehospitalaria con 6 ambulancias operativas en la provincia de Osorno al realizar mantenciones preventivas y correctivas a ambulancias institucionales. Se arrendarán las ambulancias que sean necesarias que permita una dotación 6 ambulancias operativas para la atención prehospitalaria. Las ambulancias deben cumplir con especificaciones técnicas según determine el equipo clínico y de mantención de vehículos"/>
    <x v="1"/>
    <x v="45"/>
    <n v="4"/>
    <n v="16"/>
    <x v="54"/>
    <x v="81"/>
    <x v="12"/>
    <x v="22"/>
    <x v="32"/>
    <x v="35"/>
    <s v="64-2567353-"/>
    <s v="raul.nunezv@redsalud.gob.cl"/>
    <x v="7"/>
    <d v="2025-08-20T00:00:00"/>
    <n v="0"/>
    <m/>
    <n v="1"/>
    <n v="4687500"/>
    <d v="2026-01-01T00:00:00"/>
    <x v="0"/>
  </r>
  <r>
    <s v="SERVICIO DE SALUD OSORNO"/>
    <x v="0"/>
    <x v="48"/>
    <s v="Proyecto operacional"/>
    <s v="Publicado"/>
    <s v="22.09.003"/>
    <x v="49"/>
    <s v="Convenio de arriendo de ambulancias SAMU, periodo comprendido entre septiembre 2025 a diciembre 2026, para dar continuidad a la atención prehospitalaria con 6 ambulancias operativas en la provincia de Osorno al realizar mantenciones preventivas y correctivas a ambulancias institucionales. Se arrendarán las ambulancias que sean necesarias que permita una dotación 6 ambulancias operativas para la atención prehospitalaria. Las ambulancias deben cumplir con especificaciones técnicas según determine el equipo clínico y de mantención de vehículos"/>
    <x v="1"/>
    <x v="45"/>
    <n v="4"/>
    <n v="16"/>
    <x v="54"/>
    <x v="81"/>
    <x v="12"/>
    <x v="22"/>
    <x v="32"/>
    <x v="35"/>
    <s v="64-2567353-"/>
    <s v="raul.nunezv@redsalud.gob.cl"/>
    <x v="7"/>
    <d v="2025-08-20T00:00:00"/>
    <n v="0"/>
    <m/>
    <n v="1"/>
    <n v="4687500"/>
    <d v="2026-06-01T00:00:00"/>
    <x v="0"/>
  </r>
  <r>
    <s v="SERVICIO DE SALUD OSORNO"/>
    <x v="0"/>
    <x v="48"/>
    <s v="Proyecto operacional"/>
    <s v="Publicado"/>
    <s v="22.09.003"/>
    <x v="49"/>
    <s v="Convenio de arriendo de ambulancias SAMU, periodo comprendido entre septiembre 2025 a diciembre 2026, para dar continuidad a la atención prehospitalaria con 6 ambulancias operativas en la provincia de Osorno al realizar mantenciones preventivas y correctivas a ambulancias institucionales. Se arrendarán las ambulancias que sean necesarias que permita una dotación 6 ambulancias operativas para la atención prehospitalaria. Las ambulancias deben cumplir con especificaciones técnicas según determine el equipo clínico y de mantención de vehículos"/>
    <x v="1"/>
    <x v="45"/>
    <n v="4"/>
    <n v="16"/>
    <x v="54"/>
    <x v="81"/>
    <x v="12"/>
    <x v="22"/>
    <x v="32"/>
    <x v="35"/>
    <s v="64-2567353-"/>
    <s v="raul.nunezv@redsalud.gob.cl"/>
    <x v="7"/>
    <d v="2025-08-20T00:00:00"/>
    <n v="0"/>
    <m/>
    <n v="1"/>
    <n v="4687500"/>
    <d v="2026-04-01T00:00:00"/>
    <x v="0"/>
  </r>
  <r>
    <s v="SERVICIO DE SALUD OSORNO"/>
    <x v="0"/>
    <x v="48"/>
    <s v="Proyecto operacional"/>
    <s v="Publicado"/>
    <s v="22.09.003"/>
    <x v="49"/>
    <s v="Convenio de arriendo de ambulancias SAMU, periodo comprendido entre septiembre 2025 a diciembre 2026, para dar continuidad a la atención prehospitalaria con 6 ambulancias operativas en la provincia de Osorno al realizar mantenciones preventivas y correctivas a ambulancias institucionales. Se arrendarán las ambulancias que sean necesarias que permita una dotación 6 ambulancias operativas para la atención prehospitalaria. Las ambulancias deben cumplir con especificaciones técnicas según determine el equipo clínico y de mantención de vehículos"/>
    <x v="1"/>
    <x v="45"/>
    <n v="4"/>
    <n v="16"/>
    <x v="54"/>
    <x v="81"/>
    <x v="12"/>
    <x v="22"/>
    <x v="32"/>
    <x v="35"/>
    <s v="64-2567353-"/>
    <s v="raul.nunezv@redsalud.gob.cl"/>
    <x v="7"/>
    <d v="2025-08-20T00:00:00"/>
    <n v="0"/>
    <m/>
    <n v="1"/>
    <n v="4687500"/>
    <d v="2026-07-01T00:00:00"/>
    <x v="0"/>
  </r>
  <r>
    <s v="SERVICIO DE SALUD OSORNO"/>
    <x v="0"/>
    <x v="48"/>
    <s v="Proyecto operacional"/>
    <s v="Publicado"/>
    <s v="22.09.003"/>
    <x v="49"/>
    <s v="Convenio de arriendo de ambulancias SAMU, periodo comprendido entre septiembre 2025 a diciembre 2026, para dar continuidad a la atención prehospitalaria con 6 ambulancias operativas en la provincia de Osorno al realizar mantenciones preventivas y correctivas a ambulancias institucionales. Se arrendarán las ambulancias que sean necesarias que permita una dotación 6 ambulancias operativas para la atención prehospitalaria. Las ambulancias deben cumplir con especificaciones técnicas según determine el equipo clínico y de mantención de vehículos"/>
    <x v="1"/>
    <x v="45"/>
    <n v="4"/>
    <n v="16"/>
    <x v="54"/>
    <x v="81"/>
    <x v="12"/>
    <x v="22"/>
    <x v="32"/>
    <x v="35"/>
    <s v="64-2567353-"/>
    <s v="raul.nunezv@redsalud.gob.cl"/>
    <x v="7"/>
    <d v="2025-08-20T00:00:00"/>
    <n v="0"/>
    <m/>
    <n v="1"/>
    <n v="4687500"/>
    <d v="2026-05-01T00:00:00"/>
    <x v="0"/>
  </r>
  <r>
    <s v="SERVICIO DE SALUD OSORNO"/>
    <x v="0"/>
    <x v="48"/>
    <s v="Proyecto operacional"/>
    <s v="Publicado"/>
    <s v="22.09.003"/>
    <x v="49"/>
    <s v="Convenio de arriendo de ambulancias SAMU, periodo comprendido entre septiembre 2025 a diciembre 2026, para dar continuidad a la atención prehospitalaria con 6 ambulancias operativas en la provincia de Osorno al realizar mantenciones preventivas y correctivas a ambulancias institucionales. Se arrendarán las ambulancias que sean necesarias que permita una dotación 6 ambulancias operativas para la atención prehospitalaria. Las ambulancias deben cumplir con especificaciones técnicas según determine el equipo clínico y de mantención de vehículos"/>
    <x v="1"/>
    <x v="45"/>
    <n v="4"/>
    <n v="16"/>
    <x v="54"/>
    <x v="81"/>
    <x v="12"/>
    <x v="22"/>
    <x v="32"/>
    <x v="35"/>
    <s v="64-2567353-"/>
    <s v="raul.nunezv@redsalud.gob.cl"/>
    <x v="7"/>
    <d v="2025-08-20T00:00:00"/>
    <n v="0"/>
    <m/>
    <n v="1"/>
    <n v="4687500"/>
    <d v="2026-12-01T00:00:00"/>
    <x v="0"/>
  </r>
  <r>
    <s v="SERVICIO DE SALUD OSORNO"/>
    <x v="0"/>
    <x v="48"/>
    <s v="Proyecto operacional"/>
    <s v="Publicado"/>
    <s v="22.09.003"/>
    <x v="49"/>
    <s v="Convenio de arriendo de ambulancias SAMU, periodo comprendido entre septiembre 2025 a diciembre 2026, para dar continuidad a la atención prehospitalaria con 6 ambulancias operativas en la provincia de Osorno al realizar mantenciones preventivas y correctivas a ambulancias institucionales. Se arrendarán las ambulancias que sean necesarias que permita una dotación 6 ambulancias operativas para la atención prehospitalaria. Las ambulancias deben cumplir con especificaciones técnicas según determine el equipo clínico y de mantención de vehículos"/>
    <x v="1"/>
    <x v="45"/>
    <n v="4"/>
    <n v="16"/>
    <x v="54"/>
    <x v="81"/>
    <x v="12"/>
    <x v="22"/>
    <x v="32"/>
    <x v="35"/>
    <s v="64-2567353-"/>
    <s v="raul.nunezv@redsalud.gob.cl"/>
    <x v="7"/>
    <d v="2025-08-20T00:00:00"/>
    <n v="0"/>
    <m/>
    <n v="1"/>
    <n v="4687500"/>
    <d v="2026-10-01T00:00:00"/>
    <x v="0"/>
  </r>
  <r>
    <s v="SERVICIO DE SALUD OSORNO"/>
    <x v="0"/>
    <x v="48"/>
    <s v="Proyecto operacional"/>
    <s v="Publicado"/>
    <s v="22.09.003"/>
    <x v="49"/>
    <s v="Convenio de arriendo de ambulancias SAMU, periodo comprendido entre septiembre 2025 a diciembre 2026, para dar continuidad a la atención prehospitalaria con 6 ambulancias operativas en la provincia de Osorno al realizar mantenciones preventivas y correctivas a ambulancias institucionales. Se arrendarán las ambulancias que sean necesarias que permita una dotación 6 ambulancias operativas para la atención prehospitalaria. Las ambulancias deben cumplir con especificaciones técnicas según determine el equipo clínico y de mantención de vehículos"/>
    <x v="1"/>
    <x v="45"/>
    <n v="4"/>
    <n v="16"/>
    <x v="54"/>
    <x v="81"/>
    <x v="12"/>
    <x v="22"/>
    <x v="32"/>
    <x v="35"/>
    <s v="64-2567353-"/>
    <s v="raul.nunezv@redsalud.gob.cl"/>
    <x v="7"/>
    <d v="2025-08-20T00:00:00"/>
    <n v="0"/>
    <m/>
    <n v="1"/>
    <n v="4687500"/>
    <d v="2026-09-01T00:00:00"/>
    <x v="0"/>
  </r>
  <r>
    <s v="SERVICIO DE SALUD OSORNO"/>
    <x v="0"/>
    <x v="48"/>
    <s v="Proyecto operacional"/>
    <s v="Publicado"/>
    <s v="22.09.003"/>
    <x v="49"/>
    <s v="Convenio de arriendo de ambulancias SAMU, periodo comprendido entre septiembre 2025 a diciembre 2026, para dar continuidad a la atención prehospitalaria con 6 ambulancias operativas en la provincia de Osorno al realizar mantenciones preventivas y correctivas a ambulancias institucionales. Se arrendarán las ambulancias que sean necesarias que permita una dotación 6 ambulancias operativas para la atención prehospitalaria. Las ambulancias deben cumplir con especificaciones técnicas según determine el equipo clínico y de mantención de vehículos"/>
    <x v="1"/>
    <x v="45"/>
    <n v="4"/>
    <n v="16"/>
    <x v="54"/>
    <x v="81"/>
    <x v="12"/>
    <x v="22"/>
    <x v="32"/>
    <x v="35"/>
    <s v="64-2567353-"/>
    <s v="raul.nunezv@redsalud.gob.cl"/>
    <x v="7"/>
    <d v="2025-08-20T00:00:00"/>
    <n v="0"/>
    <m/>
    <n v="1"/>
    <n v="4687500"/>
    <d v="2026-08-01T00:00:00"/>
    <x v="0"/>
  </r>
  <r>
    <s v="SERVICIO DE SALUD OSORNO"/>
    <x v="0"/>
    <x v="49"/>
    <s v="Proyecto operacional"/>
    <s v="Publicado"/>
    <s v="22.06.001"/>
    <x v="50"/>
    <s v="MANTENIMIENTO Y/O REPARACIONES DE LA INFRAESTRUCTURA COMO MUROS, TABIQUES, TECHUMBRES, CIELOS INTERIORES, PISOS, CARPINTERIA, PUERTAS, VENTANAS, PINTURA, CIERRES, CERCOS, CERRAJERIA, ARTEFACTOS ELECTRICOS (INTERRUPTORES, ENCHUFES, EQUIPOS DE ILUMINACIÓN, ACCIONAMIENTOS Y CENTROS DE DERIVACIÓN, ETC), ARTEFACTOS SANITARIOS, REDES, EQUIPOS A GAS Y MOBILIARIO EN GENERAL . MES DE EJECUCIÓN DEL CONVENIO: DESDE ENERO A DICIEMBRE 2026."/>
    <x v="1"/>
    <x v="46"/>
    <n v="4"/>
    <n v="1"/>
    <x v="55"/>
    <x v="82"/>
    <x v="11"/>
    <x v="20"/>
    <x v="33"/>
    <x v="36"/>
    <s v="64-2565596-"/>
    <s v="GARIBE.GALLARDO@REDSALUD.GOB.CL"/>
    <x v="7"/>
    <d v="2025-08-20T00:00:00"/>
    <n v="0"/>
    <m/>
    <n v="1"/>
    <n v="6966194"/>
    <d v="2026-10-01T00:00:00"/>
    <x v="0"/>
  </r>
  <r>
    <s v="SERVICIO DE SALUD OSORNO"/>
    <x v="0"/>
    <x v="49"/>
    <s v="Proyecto operacional"/>
    <s v="Publicado"/>
    <s v="22.06.001"/>
    <x v="50"/>
    <s v="MANTENIMIENTO Y/O REPARACIONES DE LA INFRAESTRUCTURA COMO MUROS, TABIQUES, TECHUMBRES, CIELOS INTERIORES, PISOS, CARPINTERIA, PUERTAS, VENTANAS, PINTURA, CIERRES, CERCOS, CERRAJERIA, ARTEFACTOS ELECTRICOS (INTERRUPTORES, ENCHUFES, EQUIPOS DE ILUMINACIÓN, ACCIONAMIENTOS Y CENTROS DE DERIVACIÓN, ETC), ARTEFACTOS SANITARIOS, REDES, EQUIPOS A GAS Y MOBILIARIO EN GENERAL . MES DE EJECUCIÓN DEL CONVENIO: DESDE ENERO A DICIEMBRE 2026."/>
    <x v="1"/>
    <x v="46"/>
    <n v="4"/>
    <n v="1"/>
    <x v="55"/>
    <x v="82"/>
    <x v="11"/>
    <x v="20"/>
    <x v="33"/>
    <x v="36"/>
    <s v="64-2565596-"/>
    <s v="GARIBE.GALLARDO@REDSALUD.GOB.CL"/>
    <x v="7"/>
    <d v="2025-08-20T00:00:00"/>
    <n v="0"/>
    <m/>
    <n v="1"/>
    <n v="6966194"/>
    <d v="2026-07-01T00:00:00"/>
    <x v="0"/>
  </r>
  <r>
    <s v="SERVICIO DE SALUD OSORNO"/>
    <x v="0"/>
    <x v="49"/>
    <s v="Proyecto operacional"/>
    <s v="Publicado"/>
    <s v="22.06.001"/>
    <x v="50"/>
    <s v="MANTENIMIENTO Y/O REPARACIONES DE LA INFRAESTRUCTURA COMO MUROS, TABIQUES, TECHUMBRES, CIELOS INTERIORES, PISOS, CARPINTERIA, PUERTAS, VENTANAS, PINTURA, CIERRES, CERCOS, CERRAJERIA, ARTEFACTOS ELECTRICOS (INTERRUPTORES, ENCHUFES, EQUIPOS DE ILUMINACIÓN, ACCIONAMIENTOS Y CENTROS DE DERIVACIÓN, ETC), ARTEFACTOS SANITARIOS, REDES, EQUIPOS A GAS Y MOBILIARIO EN GENERAL . MES DE EJECUCIÓN DEL CONVENIO: DESDE ENERO A DICIEMBRE 2026."/>
    <x v="1"/>
    <x v="46"/>
    <n v="4"/>
    <n v="1"/>
    <x v="55"/>
    <x v="82"/>
    <x v="11"/>
    <x v="20"/>
    <x v="33"/>
    <x v="36"/>
    <s v="64-2565596-"/>
    <s v="GARIBE.GALLARDO@REDSALUD.GOB.CL"/>
    <x v="7"/>
    <d v="2025-08-20T00:00:00"/>
    <n v="0"/>
    <m/>
    <n v="1"/>
    <n v="6966194"/>
    <d v="2026-01-01T00:00:00"/>
    <x v="0"/>
  </r>
  <r>
    <s v="SERVICIO DE SALUD OSORNO"/>
    <x v="0"/>
    <x v="49"/>
    <s v="Proyecto operacional"/>
    <s v="Publicado"/>
    <s v="22.06.001"/>
    <x v="50"/>
    <s v="MANTENIMIENTO Y/O REPARACIONES DE LA INFRAESTRUCTURA COMO MUROS, TABIQUES, TECHUMBRES, CIELOS INTERIORES, PISOS, CARPINTERIA, PUERTAS, VENTANAS, PINTURA, CIERRES, CERCOS, CERRAJERIA, ARTEFACTOS ELECTRICOS (INTERRUPTORES, ENCHUFES, EQUIPOS DE ILUMINACIÓN, ACCIONAMIENTOS Y CENTROS DE DERIVACIÓN, ETC), ARTEFACTOS SANITARIOS, REDES, EQUIPOS A GAS Y MOBILIARIO EN GENERAL . MES DE EJECUCIÓN DEL CONVENIO: DESDE ENERO A DICIEMBRE 2026."/>
    <x v="1"/>
    <x v="46"/>
    <n v="4"/>
    <n v="1"/>
    <x v="55"/>
    <x v="82"/>
    <x v="11"/>
    <x v="20"/>
    <x v="33"/>
    <x v="36"/>
    <s v="64-2565596-"/>
    <s v="GARIBE.GALLARDO@REDSALUD.GOB.CL"/>
    <x v="7"/>
    <d v="2025-08-20T00:00:00"/>
    <n v="0"/>
    <m/>
    <n v="1"/>
    <n v="6966194"/>
    <d v="2026-05-01T00:00:00"/>
    <x v="0"/>
  </r>
  <r>
    <s v="SERVICIO DE SALUD OSORNO"/>
    <x v="0"/>
    <x v="49"/>
    <s v="Proyecto operacional"/>
    <s v="Publicado"/>
    <s v="22.06.001"/>
    <x v="50"/>
    <s v="MANTENIMIENTO Y/O REPARACIONES DE LA INFRAESTRUCTURA COMO MUROS, TABIQUES, TECHUMBRES, CIELOS INTERIORES, PISOS, CARPINTERIA, PUERTAS, VENTANAS, PINTURA, CIERRES, CERCOS, CERRAJERIA, ARTEFACTOS ELECTRICOS (INTERRUPTORES, ENCHUFES, EQUIPOS DE ILUMINACIÓN, ACCIONAMIENTOS Y CENTROS DE DERIVACIÓN, ETC), ARTEFACTOS SANITARIOS, REDES, EQUIPOS A GAS Y MOBILIARIO EN GENERAL . MES DE EJECUCIÓN DEL CONVENIO: DESDE ENERO A DICIEMBRE 2026."/>
    <x v="1"/>
    <x v="46"/>
    <n v="4"/>
    <n v="1"/>
    <x v="55"/>
    <x v="82"/>
    <x v="11"/>
    <x v="20"/>
    <x v="33"/>
    <x v="36"/>
    <s v="64-2565596-"/>
    <s v="GARIBE.GALLARDO@REDSALUD.GOB.CL"/>
    <x v="7"/>
    <d v="2025-08-20T00:00:00"/>
    <n v="0"/>
    <m/>
    <n v="1"/>
    <n v="6966194"/>
    <d v="2026-06-01T00:00:00"/>
    <x v="0"/>
  </r>
  <r>
    <s v="SERVICIO DE SALUD OSORNO"/>
    <x v="0"/>
    <x v="49"/>
    <s v="Proyecto operacional"/>
    <s v="Publicado"/>
    <s v="22.06.001"/>
    <x v="50"/>
    <s v="MANTENIMIENTO Y/O REPARACIONES DE LA INFRAESTRUCTURA COMO MUROS, TABIQUES, TECHUMBRES, CIELOS INTERIORES, PISOS, CARPINTERIA, PUERTAS, VENTANAS, PINTURA, CIERRES, CERCOS, CERRAJERIA, ARTEFACTOS ELECTRICOS (INTERRUPTORES, ENCHUFES, EQUIPOS DE ILUMINACIÓN, ACCIONAMIENTOS Y CENTROS DE DERIVACIÓN, ETC), ARTEFACTOS SANITARIOS, REDES, EQUIPOS A GAS Y MOBILIARIO EN GENERAL . MES DE EJECUCIÓN DEL CONVENIO: DESDE ENERO A DICIEMBRE 2026."/>
    <x v="1"/>
    <x v="46"/>
    <n v="4"/>
    <n v="1"/>
    <x v="55"/>
    <x v="82"/>
    <x v="11"/>
    <x v="20"/>
    <x v="33"/>
    <x v="36"/>
    <s v="64-2565596-"/>
    <s v="GARIBE.GALLARDO@REDSALUD.GOB.CL"/>
    <x v="7"/>
    <d v="2025-08-20T00:00:00"/>
    <n v="0"/>
    <m/>
    <n v="1"/>
    <n v="6966194"/>
    <d v="2026-04-01T00:00:00"/>
    <x v="0"/>
  </r>
  <r>
    <s v="SERVICIO DE SALUD OSORNO"/>
    <x v="0"/>
    <x v="49"/>
    <s v="Proyecto operacional"/>
    <s v="Publicado"/>
    <s v="22.06.001"/>
    <x v="50"/>
    <s v="MANTENIMIENTO Y/O REPARACIONES DE LA INFRAESTRUCTURA COMO MUROS, TABIQUES, TECHUMBRES, CIELOS INTERIORES, PISOS, CARPINTERIA, PUERTAS, VENTANAS, PINTURA, CIERRES, CERCOS, CERRAJERIA, ARTEFACTOS ELECTRICOS (INTERRUPTORES, ENCHUFES, EQUIPOS DE ILUMINACIÓN, ACCIONAMIENTOS Y CENTROS DE DERIVACIÓN, ETC), ARTEFACTOS SANITARIOS, REDES, EQUIPOS A GAS Y MOBILIARIO EN GENERAL . MES DE EJECUCIÓN DEL CONVENIO: DESDE ENERO A DICIEMBRE 2026."/>
    <x v="1"/>
    <x v="46"/>
    <n v="4"/>
    <n v="1"/>
    <x v="55"/>
    <x v="82"/>
    <x v="11"/>
    <x v="20"/>
    <x v="33"/>
    <x v="36"/>
    <s v="64-2565596-"/>
    <s v="GARIBE.GALLARDO@REDSALUD.GOB.CL"/>
    <x v="7"/>
    <d v="2025-08-20T00:00:00"/>
    <n v="0"/>
    <m/>
    <n v="1"/>
    <n v="6966194"/>
    <d v="2026-03-01T00:00:00"/>
    <x v="0"/>
  </r>
  <r>
    <s v="SERVICIO DE SALUD OSORNO"/>
    <x v="0"/>
    <x v="49"/>
    <s v="Proyecto operacional"/>
    <s v="Publicado"/>
    <s v="22.06.001"/>
    <x v="50"/>
    <s v="MANTENIMIENTO Y/O REPARACIONES DE LA INFRAESTRUCTURA COMO MUROS, TABIQUES, TECHUMBRES, CIELOS INTERIORES, PISOS, CARPINTERIA, PUERTAS, VENTANAS, PINTURA, CIERRES, CERCOS, CERRAJERIA, ARTEFACTOS ELECTRICOS (INTERRUPTORES, ENCHUFES, EQUIPOS DE ILUMINACIÓN, ACCIONAMIENTOS Y CENTROS DE DERIVACIÓN, ETC), ARTEFACTOS SANITARIOS, REDES, EQUIPOS A GAS Y MOBILIARIO EN GENERAL . MES DE EJECUCIÓN DEL CONVENIO: DESDE ENERO A DICIEMBRE 2026."/>
    <x v="1"/>
    <x v="46"/>
    <n v="4"/>
    <n v="1"/>
    <x v="55"/>
    <x v="82"/>
    <x v="11"/>
    <x v="20"/>
    <x v="33"/>
    <x v="36"/>
    <s v="64-2565596-"/>
    <s v="GARIBE.GALLARDO@REDSALUD.GOB.CL"/>
    <x v="7"/>
    <d v="2025-08-20T00:00:00"/>
    <n v="0"/>
    <m/>
    <n v="1"/>
    <n v="6966194"/>
    <d v="2026-11-01T00:00:00"/>
    <x v="0"/>
  </r>
  <r>
    <s v="SERVICIO DE SALUD OSORNO"/>
    <x v="0"/>
    <x v="49"/>
    <s v="Proyecto operacional"/>
    <s v="Publicado"/>
    <s v="22.06.001"/>
    <x v="50"/>
    <s v="MANTENIMIENTO Y/O REPARACIONES DE LA INFRAESTRUCTURA COMO MUROS, TABIQUES, TECHUMBRES, CIELOS INTERIORES, PISOS, CARPINTERIA, PUERTAS, VENTANAS, PINTURA, CIERRES, CERCOS, CERRAJERIA, ARTEFACTOS ELECTRICOS (INTERRUPTORES, ENCHUFES, EQUIPOS DE ILUMINACIÓN, ACCIONAMIENTOS Y CENTROS DE DERIVACIÓN, ETC), ARTEFACTOS SANITARIOS, REDES, EQUIPOS A GAS Y MOBILIARIO EN GENERAL . MES DE EJECUCIÓN DEL CONVENIO: DESDE ENERO A DICIEMBRE 2026."/>
    <x v="1"/>
    <x v="46"/>
    <n v="4"/>
    <n v="1"/>
    <x v="55"/>
    <x v="83"/>
    <x v="11"/>
    <x v="20"/>
    <x v="33"/>
    <x v="36"/>
    <s v="64-2565596-"/>
    <s v="GARIBE.GALLARDO@REDSALUD.GOB.CL"/>
    <x v="7"/>
    <d v="2025-08-20T00:00:00"/>
    <n v="0"/>
    <m/>
    <n v="1"/>
    <n v="6966203"/>
    <d v="2026-12-01T00:00:00"/>
    <x v="0"/>
  </r>
  <r>
    <s v="SERVICIO DE SALUD OSORNO"/>
    <x v="0"/>
    <x v="49"/>
    <s v="Proyecto operacional"/>
    <s v="Publicado"/>
    <s v="22.06.001"/>
    <x v="50"/>
    <s v="MANTENIMIENTO Y/O REPARACIONES DE LA INFRAESTRUCTURA COMO MUROS, TABIQUES, TECHUMBRES, CIELOS INTERIORES, PISOS, CARPINTERIA, PUERTAS, VENTANAS, PINTURA, CIERRES, CERCOS, CERRAJERIA, ARTEFACTOS ELECTRICOS (INTERRUPTORES, ENCHUFES, EQUIPOS DE ILUMINACIÓN, ACCIONAMIENTOS Y CENTROS DE DERIVACIÓN, ETC), ARTEFACTOS SANITARIOS, REDES, EQUIPOS A GAS Y MOBILIARIO EN GENERAL . MES DE EJECUCIÓN DEL CONVENIO: DESDE ENERO A DICIEMBRE 2026."/>
    <x v="1"/>
    <x v="46"/>
    <n v="4"/>
    <n v="1"/>
    <x v="55"/>
    <x v="82"/>
    <x v="11"/>
    <x v="20"/>
    <x v="33"/>
    <x v="36"/>
    <s v="64-2565596-"/>
    <s v="GARIBE.GALLARDO@REDSALUD.GOB.CL"/>
    <x v="7"/>
    <d v="2025-08-20T00:00:00"/>
    <n v="0"/>
    <m/>
    <n v="1"/>
    <n v="6966194"/>
    <d v="2026-08-01T00:00:00"/>
    <x v="0"/>
  </r>
  <r>
    <s v="SERVICIO DE SALUD OSORNO"/>
    <x v="0"/>
    <x v="49"/>
    <s v="Proyecto operacional"/>
    <s v="Publicado"/>
    <s v="22.06.001"/>
    <x v="50"/>
    <s v="MANTENIMIENTO Y/O REPARACIONES DE LA INFRAESTRUCTURA COMO MUROS, TABIQUES, TECHUMBRES, CIELOS INTERIORES, PISOS, CARPINTERIA, PUERTAS, VENTANAS, PINTURA, CIERRES, CERCOS, CERRAJERIA, ARTEFACTOS ELECTRICOS (INTERRUPTORES, ENCHUFES, EQUIPOS DE ILUMINACIÓN, ACCIONAMIENTOS Y CENTROS DE DERIVACIÓN, ETC), ARTEFACTOS SANITARIOS, REDES, EQUIPOS A GAS Y MOBILIARIO EN GENERAL . MES DE EJECUCIÓN DEL CONVENIO: DESDE ENERO A DICIEMBRE 2026."/>
    <x v="1"/>
    <x v="46"/>
    <n v="4"/>
    <n v="1"/>
    <x v="55"/>
    <x v="82"/>
    <x v="11"/>
    <x v="20"/>
    <x v="33"/>
    <x v="36"/>
    <s v="64-2565596-"/>
    <s v="GARIBE.GALLARDO@REDSALUD.GOB.CL"/>
    <x v="7"/>
    <d v="2025-08-20T00:00:00"/>
    <n v="0"/>
    <m/>
    <n v="1"/>
    <n v="6966194"/>
    <d v="2026-02-01T00:00:00"/>
    <x v="0"/>
  </r>
  <r>
    <s v="SERVICIO DE SALUD OSORNO"/>
    <x v="0"/>
    <x v="49"/>
    <s v="Proyecto operacional"/>
    <s v="Publicado"/>
    <s v="22.06.001"/>
    <x v="50"/>
    <s v="MANTENIMIENTO Y/O REPARACIONES DE LA INFRAESTRUCTURA COMO MUROS, TABIQUES, TECHUMBRES, CIELOS INTERIORES, PISOS, CARPINTERIA, PUERTAS, VENTANAS, PINTURA, CIERRES, CERCOS, CERRAJERIA, ARTEFACTOS ELECTRICOS (INTERRUPTORES, ENCHUFES, EQUIPOS DE ILUMINACIÓN, ACCIONAMIENTOS Y CENTROS DE DERIVACIÓN, ETC), ARTEFACTOS SANITARIOS, REDES, EQUIPOS A GAS Y MOBILIARIO EN GENERAL . MES DE EJECUCIÓN DEL CONVENIO: DESDE ENERO A DICIEMBRE 2026."/>
    <x v="1"/>
    <x v="46"/>
    <n v="4"/>
    <n v="1"/>
    <x v="55"/>
    <x v="82"/>
    <x v="11"/>
    <x v="20"/>
    <x v="33"/>
    <x v="36"/>
    <s v="64-2565596-"/>
    <s v="GARIBE.GALLARDO@REDSALUD.GOB.CL"/>
    <x v="7"/>
    <d v="2025-08-20T00:00:00"/>
    <n v="0"/>
    <m/>
    <n v="1"/>
    <n v="6966194"/>
    <d v="2026-09-01T00:00:00"/>
    <x v="0"/>
  </r>
  <r>
    <s v="SERVICIO DE SALUD OSORNO"/>
    <x v="0"/>
    <x v="50"/>
    <s v="Proyecto operacional"/>
    <s v="Publicado"/>
    <s v="22.04.003.001"/>
    <x v="51"/>
    <s v="Servicio de oxigenoterapia domiciliaria para personas beneficiarias de ley 21.375 ingresadas al Programa CPU APS. Convenio a ejecutar por 15 meses, a partir del 23 de octubre 2025 al 31 diciembre 2026."/>
    <x v="1"/>
    <x v="47"/>
    <n v="4"/>
    <n v="1"/>
    <x v="56"/>
    <x v="84"/>
    <x v="13"/>
    <x v="23"/>
    <x v="34"/>
    <x v="37"/>
    <s v="64-2565809-"/>
    <s v="maria.jaramillov@redsalud.gob.cl"/>
    <x v="7"/>
    <d v="2025-08-20T00:00:00"/>
    <n v="1"/>
    <s v="1057532-5742-SE25"/>
    <n v="1"/>
    <n v="849333"/>
    <d v="2026-05-01T00:00:00"/>
    <x v="0"/>
  </r>
  <r>
    <s v="SERVICIO DE SALUD OSORNO"/>
    <x v="0"/>
    <x v="50"/>
    <s v="Proyecto operacional"/>
    <s v="Publicado"/>
    <s v="22.04.003.001"/>
    <x v="51"/>
    <s v="Servicio de oxigenoterapia domiciliaria para personas beneficiarias de ley 21.375 ingresadas al Programa CPU APS. Convenio a ejecutar por 15 meses, a partir del 23 de octubre 2025 al 31 diciembre 2026."/>
    <x v="1"/>
    <x v="47"/>
    <n v="4"/>
    <n v="1"/>
    <x v="56"/>
    <x v="84"/>
    <x v="13"/>
    <x v="23"/>
    <x v="34"/>
    <x v="37"/>
    <s v="64-2565809-"/>
    <s v="maria.jaramillov@redsalud.gob.cl"/>
    <x v="7"/>
    <d v="2025-08-20T00:00:00"/>
    <n v="1"/>
    <s v="1057532-5742-SE25"/>
    <n v="1"/>
    <n v="849333"/>
    <d v="2026-04-01T00:00:00"/>
    <x v="0"/>
  </r>
  <r>
    <s v="SERVICIO DE SALUD OSORNO"/>
    <x v="0"/>
    <x v="50"/>
    <s v="Proyecto operacional"/>
    <s v="Publicado"/>
    <s v="22.04.003.001"/>
    <x v="51"/>
    <s v="Servicio de oxigenoterapia domiciliaria para personas beneficiarias de ley 21.375 ingresadas al Programa CPU APS. Convenio a ejecutar por 15 meses, a partir del 23 de octubre 2025 al 31 diciembre 2026."/>
    <x v="1"/>
    <x v="47"/>
    <n v="4"/>
    <n v="1"/>
    <x v="56"/>
    <x v="84"/>
    <x v="13"/>
    <x v="23"/>
    <x v="34"/>
    <x v="37"/>
    <s v="64-2565809-"/>
    <s v="maria.jaramillov@redsalud.gob.cl"/>
    <x v="7"/>
    <d v="2025-08-20T00:00:00"/>
    <n v="1"/>
    <s v="1057532-5742-SE25"/>
    <n v="1"/>
    <n v="849333"/>
    <d v="2026-03-01T00:00:00"/>
    <x v="0"/>
  </r>
  <r>
    <s v="SERVICIO DE SALUD OSORNO"/>
    <x v="0"/>
    <x v="50"/>
    <s v="Proyecto operacional"/>
    <s v="Publicado"/>
    <s v="22.04.003.001"/>
    <x v="51"/>
    <s v="Servicio de oxigenoterapia domiciliaria para personas beneficiarias de ley 21.375 ingresadas al Programa CPU APS. Convenio a ejecutar por 15 meses, a partir del 23 de octubre 2025 al 31 diciembre 2026."/>
    <x v="1"/>
    <x v="47"/>
    <n v="4"/>
    <n v="1"/>
    <x v="56"/>
    <x v="84"/>
    <x v="13"/>
    <x v="23"/>
    <x v="34"/>
    <x v="37"/>
    <s v="64-2565809-"/>
    <s v="maria.jaramillov@redsalud.gob.cl"/>
    <x v="7"/>
    <d v="2025-08-20T00:00:00"/>
    <n v="1"/>
    <s v="1057532-5742-SE25"/>
    <n v="1"/>
    <n v="849333"/>
    <d v="2026-02-01T00:00:00"/>
    <x v="0"/>
  </r>
  <r>
    <s v="SERVICIO DE SALUD OSORNO"/>
    <x v="0"/>
    <x v="50"/>
    <s v="Proyecto operacional"/>
    <s v="Publicado"/>
    <s v="22.04.003.001"/>
    <x v="51"/>
    <s v="Servicio de oxigenoterapia domiciliaria para personas beneficiarias de ley 21.375 ingresadas al Programa CPU APS. Convenio a ejecutar por 15 meses, a partir del 23 de octubre 2025 al 31 diciembre 2026."/>
    <x v="1"/>
    <x v="47"/>
    <n v="4"/>
    <n v="1"/>
    <x v="56"/>
    <x v="84"/>
    <x v="13"/>
    <x v="23"/>
    <x v="34"/>
    <x v="37"/>
    <s v="64-2565809-"/>
    <s v="maria.jaramillov@redsalud.gob.cl"/>
    <x v="7"/>
    <d v="2025-08-20T00:00:00"/>
    <n v="1"/>
    <s v="1057532-5742-SE25"/>
    <n v="1"/>
    <n v="849333"/>
    <d v="2026-06-01T00:00:00"/>
    <x v="0"/>
  </r>
  <r>
    <s v="SERVICIO DE SALUD OSORNO"/>
    <x v="0"/>
    <x v="50"/>
    <s v="Proyecto operacional"/>
    <s v="Publicado"/>
    <s v="22.04.003.001"/>
    <x v="51"/>
    <s v="Servicio de oxigenoterapia domiciliaria para personas beneficiarias de ley 21.375 ingresadas al Programa CPU APS. Convenio a ejecutar por 15 meses, a partir del 23 de octubre 2025 al 31 diciembre 2026."/>
    <x v="1"/>
    <x v="47"/>
    <n v="4"/>
    <n v="1"/>
    <x v="56"/>
    <x v="84"/>
    <x v="13"/>
    <x v="23"/>
    <x v="34"/>
    <x v="37"/>
    <s v="64-2565809-"/>
    <s v="maria.jaramillov@redsalud.gob.cl"/>
    <x v="7"/>
    <d v="2025-08-20T00:00:00"/>
    <n v="1"/>
    <s v="1057532-5742-SE25"/>
    <n v="1"/>
    <n v="849333"/>
    <d v="2026-08-01T00:00:00"/>
    <x v="0"/>
  </r>
  <r>
    <s v="SERVICIO DE SALUD OSORNO"/>
    <x v="0"/>
    <x v="50"/>
    <s v="Proyecto operacional"/>
    <s v="Publicado"/>
    <s v="22.04.003.001"/>
    <x v="51"/>
    <s v="Servicio de oxigenoterapia domiciliaria para personas beneficiarias de ley 21.375 ingresadas al Programa CPU APS. Convenio a ejecutar por 15 meses, a partir del 23 de octubre 2025 al 31 diciembre 2026."/>
    <x v="1"/>
    <x v="47"/>
    <n v="4"/>
    <n v="1"/>
    <x v="56"/>
    <x v="84"/>
    <x v="13"/>
    <x v="23"/>
    <x v="34"/>
    <x v="37"/>
    <s v="64-2565809-"/>
    <s v="maria.jaramillov@redsalud.gob.cl"/>
    <x v="7"/>
    <d v="2025-08-20T00:00:00"/>
    <n v="1"/>
    <s v="1057532-5742-SE25"/>
    <n v="1"/>
    <n v="849333"/>
    <d v="2026-07-01T00:00:00"/>
    <x v="0"/>
  </r>
  <r>
    <s v="SERVICIO DE SALUD OSORNO"/>
    <x v="0"/>
    <x v="50"/>
    <s v="Proyecto operacional"/>
    <s v="Publicado"/>
    <s v="22.04.003.001"/>
    <x v="51"/>
    <s v="Servicio de oxigenoterapia domiciliaria para personas beneficiarias de ley 21.375 ingresadas al Programa CPU APS. Convenio a ejecutar por 15 meses, a partir del 23 de octubre 2025 al 31 diciembre 2026."/>
    <x v="1"/>
    <x v="47"/>
    <n v="4"/>
    <n v="1"/>
    <x v="56"/>
    <x v="84"/>
    <x v="13"/>
    <x v="23"/>
    <x v="34"/>
    <x v="37"/>
    <s v="64-2565809-"/>
    <s v="maria.jaramillov@redsalud.gob.cl"/>
    <x v="7"/>
    <d v="2025-08-20T00:00:00"/>
    <n v="1"/>
    <s v="1057532-5742-SE25"/>
    <n v="1"/>
    <n v="849333"/>
    <d v="2026-10-01T00:00:00"/>
    <x v="0"/>
  </r>
  <r>
    <s v="SERVICIO DE SALUD OSORNO"/>
    <x v="0"/>
    <x v="50"/>
    <s v="Proyecto operacional"/>
    <s v="Publicado"/>
    <s v="22.04.003.001"/>
    <x v="51"/>
    <s v="Servicio de oxigenoterapia domiciliaria para personas beneficiarias de ley 21.375 ingresadas al Programa CPU APS. Convenio a ejecutar por 15 meses, a partir del 23 de octubre 2025 al 31 diciembre 2026."/>
    <x v="1"/>
    <x v="47"/>
    <n v="4"/>
    <n v="1"/>
    <x v="56"/>
    <x v="84"/>
    <x v="13"/>
    <x v="23"/>
    <x v="34"/>
    <x v="37"/>
    <s v="64-2565809-"/>
    <s v="maria.jaramillov@redsalud.gob.cl"/>
    <x v="7"/>
    <d v="2025-08-20T00:00:00"/>
    <n v="1"/>
    <s v="1057532-5742-SE25"/>
    <n v="1"/>
    <n v="849333"/>
    <d v="2026-09-01T00:00:00"/>
    <x v="0"/>
  </r>
  <r>
    <s v="SERVICIO DE SALUD OSORNO"/>
    <x v="0"/>
    <x v="50"/>
    <s v="Proyecto operacional"/>
    <s v="Publicado"/>
    <s v="22.04.003.001"/>
    <x v="51"/>
    <s v="Servicio de oxigenoterapia domiciliaria para personas beneficiarias de ley 21.375 ingresadas al Programa CPU APS. Convenio a ejecutar por 15 meses, a partir del 23 de octubre 2025 al 31 diciembre 2026."/>
    <x v="1"/>
    <x v="47"/>
    <n v="4"/>
    <n v="1"/>
    <x v="56"/>
    <x v="84"/>
    <x v="13"/>
    <x v="23"/>
    <x v="34"/>
    <x v="37"/>
    <s v="64-2565809-"/>
    <s v="maria.jaramillov@redsalud.gob.cl"/>
    <x v="7"/>
    <d v="2025-08-20T00:00:00"/>
    <n v="1"/>
    <s v="1057532-5742-SE25"/>
    <n v="1"/>
    <n v="849333"/>
    <d v="2026-01-01T00:00:00"/>
    <x v="0"/>
  </r>
  <r>
    <s v="SERVICIO DE SALUD OSORNO"/>
    <x v="0"/>
    <x v="50"/>
    <s v="Proyecto operacional"/>
    <s v="Publicado"/>
    <s v="22.04.003.001"/>
    <x v="51"/>
    <s v="Servicio de oxigenoterapia domiciliaria para personas beneficiarias de ley 21.375 ingresadas al Programa CPU APS. Convenio a ejecutar por 15 meses, a partir del 23 de octubre 2025 al 31 diciembre 2026."/>
    <x v="1"/>
    <x v="47"/>
    <n v="4"/>
    <n v="1"/>
    <x v="56"/>
    <x v="84"/>
    <x v="13"/>
    <x v="23"/>
    <x v="34"/>
    <x v="37"/>
    <s v="64-2565809-"/>
    <s v="maria.jaramillov@redsalud.gob.cl"/>
    <x v="7"/>
    <d v="2025-08-20T00:00:00"/>
    <n v="1"/>
    <s v="1057532-5742-SE25"/>
    <n v="1"/>
    <n v="849333"/>
    <d v="2026-11-01T00:00:00"/>
    <x v="0"/>
  </r>
  <r>
    <s v="SERVICIO DE SALUD OSORNO"/>
    <x v="0"/>
    <x v="50"/>
    <s v="Proyecto operacional"/>
    <s v="Publicado"/>
    <s v="22.04.003.001"/>
    <x v="51"/>
    <s v="Servicio de oxigenoterapia domiciliaria para personas beneficiarias de ley 21.375 ingresadas al Programa CPU APS. Convenio a ejecutar por 15 meses, a partir del 23 de octubre 2025 al 31 diciembre 2026."/>
    <x v="1"/>
    <x v="47"/>
    <n v="4"/>
    <n v="1"/>
    <x v="56"/>
    <x v="85"/>
    <x v="13"/>
    <x v="23"/>
    <x v="34"/>
    <x v="37"/>
    <s v="64-2565809-"/>
    <s v="maria.jaramillov@redsalud.gob.cl"/>
    <x v="7"/>
    <d v="2025-08-20T00:00:00"/>
    <n v="1"/>
    <s v="1057532-5742-SE25"/>
    <n v="1"/>
    <n v="849338"/>
    <d v="2026-12-01T00:00:00"/>
    <x v="0"/>
  </r>
  <r>
    <s v="SERVICIO DE SALUD OSORNO"/>
    <x v="0"/>
    <x v="51"/>
    <s v="Proyecto operacional"/>
    <s v="Publicado"/>
    <s v="22.03.003"/>
    <x v="52"/>
    <s v="Adquisición Combustible calefacción para dispositivos del Servicio de Salud Osorno , desde mes Enero a Diciembre año 2026"/>
    <x v="1"/>
    <x v="48"/>
    <n v="4"/>
    <n v="1"/>
    <x v="57"/>
    <x v="86"/>
    <x v="11"/>
    <x v="20"/>
    <x v="35"/>
    <x v="38"/>
    <s v="64-2565660-"/>
    <s v="pablo.oyarzo@redsalud.gob.cl"/>
    <x v="7"/>
    <d v="2025-08-20T00:00:00"/>
    <n v="0"/>
    <m/>
    <n v="1"/>
    <n v="3333333"/>
    <d v="2026-02-01T00:00:00"/>
    <x v="0"/>
  </r>
  <r>
    <s v="SERVICIO DE SALUD OSORNO"/>
    <x v="0"/>
    <x v="51"/>
    <s v="Proyecto operacional"/>
    <s v="Publicado"/>
    <s v="22.03.003"/>
    <x v="52"/>
    <s v="Adquisición Combustible calefacción para dispositivos del Servicio de Salud Osorno , desde mes Enero a Diciembre año 2026"/>
    <x v="1"/>
    <x v="48"/>
    <n v="4"/>
    <n v="1"/>
    <x v="57"/>
    <x v="87"/>
    <x v="11"/>
    <x v="20"/>
    <x v="35"/>
    <x v="38"/>
    <s v="64-2565660-"/>
    <s v="pablo.oyarzo@redsalud.gob.cl"/>
    <x v="7"/>
    <d v="2025-08-20T00:00:00"/>
    <n v="0"/>
    <m/>
    <n v="1"/>
    <n v="3333337"/>
    <d v="2026-12-01T00:00:00"/>
    <x v="0"/>
  </r>
  <r>
    <s v="SERVICIO DE SALUD OSORNO"/>
    <x v="0"/>
    <x v="51"/>
    <s v="Proyecto operacional"/>
    <s v="Publicado"/>
    <s v="22.03.003"/>
    <x v="52"/>
    <s v="Adquisición Combustible calefacción para dispositivos del Servicio de Salud Osorno , desde mes Enero a Diciembre año 2026"/>
    <x v="1"/>
    <x v="48"/>
    <n v="4"/>
    <n v="1"/>
    <x v="57"/>
    <x v="86"/>
    <x v="11"/>
    <x v="20"/>
    <x v="35"/>
    <x v="38"/>
    <s v="64-2565660-"/>
    <s v="pablo.oyarzo@redsalud.gob.cl"/>
    <x v="7"/>
    <d v="2025-08-20T00:00:00"/>
    <n v="0"/>
    <m/>
    <n v="1"/>
    <n v="3333333"/>
    <d v="2026-05-01T00:00:00"/>
    <x v="0"/>
  </r>
  <r>
    <s v="SERVICIO DE SALUD OSORNO"/>
    <x v="0"/>
    <x v="51"/>
    <s v="Proyecto operacional"/>
    <s v="Publicado"/>
    <s v="22.03.003"/>
    <x v="52"/>
    <s v="Adquisición Combustible calefacción para dispositivos del Servicio de Salud Osorno , desde mes Enero a Diciembre año 2026"/>
    <x v="1"/>
    <x v="48"/>
    <n v="4"/>
    <n v="1"/>
    <x v="57"/>
    <x v="86"/>
    <x v="11"/>
    <x v="20"/>
    <x v="35"/>
    <x v="38"/>
    <s v="64-2565660-"/>
    <s v="pablo.oyarzo@redsalud.gob.cl"/>
    <x v="7"/>
    <d v="2025-08-20T00:00:00"/>
    <n v="0"/>
    <m/>
    <n v="1"/>
    <n v="3333333"/>
    <d v="2026-04-01T00:00:00"/>
    <x v="0"/>
  </r>
  <r>
    <s v="SERVICIO DE SALUD OSORNO"/>
    <x v="0"/>
    <x v="51"/>
    <s v="Proyecto operacional"/>
    <s v="Publicado"/>
    <s v="22.03.003"/>
    <x v="52"/>
    <s v="Adquisición Combustible calefacción para dispositivos del Servicio de Salud Osorno , desde mes Enero a Diciembre año 2026"/>
    <x v="1"/>
    <x v="48"/>
    <n v="4"/>
    <n v="1"/>
    <x v="57"/>
    <x v="86"/>
    <x v="11"/>
    <x v="20"/>
    <x v="35"/>
    <x v="38"/>
    <s v="64-2565660-"/>
    <s v="pablo.oyarzo@redsalud.gob.cl"/>
    <x v="7"/>
    <d v="2025-08-20T00:00:00"/>
    <n v="0"/>
    <m/>
    <n v="1"/>
    <n v="3333333"/>
    <d v="2026-11-01T00:00:00"/>
    <x v="0"/>
  </r>
  <r>
    <s v="SERVICIO DE SALUD OSORNO"/>
    <x v="0"/>
    <x v="51"/>
    <s v="Proyecto operacional"/>
    <s v="Publicado"/>
    <s v="22.03.003"/>
    <x v="52"/>
    <s v="Adquisición Combustible calefacción para dispositivos del Servicio de Salud Osorno , desde mes Enero a Diciembre año 2026"/>
    <x v="1"/>
    <x v="48"/>
    <n v="4"/>
    <n v="1"/>
    <x v="57"/>
    <x v="86"/>
    <x v="11"/>
    <x v="20"/>
    <x v="35"/>
    <x v="38"/>
    <s v="64-2565660-"/>
    <s v="pablo.oyarzo@redsalud.gob.cl"/>
    <x v="7"/>
    <d v="2025-08-20T00:00:00"/>
    <n v="0"/>
    <m/>
    <n v="1"/>
    <n v="3333333"/>
    <d v="2026-01-01T00:00:00"/>
    <x v="0"/>
  </r>
  <r>
    <s v="SERVICIO DE SALUD OSORNO"/>
    <x v="0"/>
    <x v="51"/>
    <s v="Proyecto operacional"/>
    <s v="Publicado"/>
    <s v="22.03.003"/>
    <x v="52"/>
    <s v="Adquisición Combustible calefacción para dispositivos del Servicio de Salud Osorno , desde mes Enero a Diciembre año 2026"/>
    <x v="1"/>
    <x v="48"/>
    <n v="4"/>
    <n v="1"/>
    <x v="57"/>
    <x v="86"/>
    <x v="11"/>
    <x v="20"/>
    <x v="35"/>
    <x v="38"/>
    <s v="64-2565660-"/>
    <s v="pablo.oyarzo@redsalud.gob.cl"/>
    <x v="7"/>
    <d v="2025-08-20T00:00:00"/>
    <n v="0"/>
    <m/>
    <n v="1"/>
    <n v="3333333"/>
    <d v="2026-07-01T00:00:00"/>
    <x v="0"/>
  </r>
  <r>
    <s v="SERVICIO DE SALUD OSORNO"/>
    <x v="0"/>
    <x v="51"/>
    <s v="Proyecto operacional"/>
    <s v="Publicado"/>
    <s v="22.03.003"/>
    <x v="52"/>
    <s v="Adquisición Combustible calefacción para dispositivos del Servicio de Salud Osorno , desde mes Enero a Diciembre año 2026"/>
    <x v="1"/>
    <x v="48"/>
    <n v="4"/>
    <n v="1"/>
    <x v="57"/>
    <x v="86"/>
    <x v="11"/>
    <x v="20"/>
    <x v="35"/>
    <x v="38"/>
    <s v="64-2565660-"/>
    <s v="pablo.oyarzo@redsalud.gob.cl"/>
    <x v="7"/>
    <d v="2025-08-20T00:00:00"/>
    <n v="0"/>
    <m/>
    <n v="1"/>
    <n v="3333333"/>
    <d v="2026-06-01T00:00:00"/>
    <x v="0"/>
  </r>
  <r>
    <s v="SERVICIO DE SALUD OSORNO"/>
    <x v="0"/>
    <x v="51"/>
    <s v="Proyecto operacional"/>
    <s v="Publicado"/>
    <s v="22.03.003"/>
    <x v="52"/>
    <s v="Adquisición Combustible calefacción para dispositivos del Servicio de Salud Osorno , desde mes Enero a Diciembre año 2026"/>
    <x v="1"/>
    <x v="48"/>
    <n v="4"/>
    <n v="1"/>
    <x v="57"/>
    <x v="86"/>
    <x v="11"/>
    <x v="20"/>
    <x v="35"/>
    <x v="38"/>
    <s v="64-2565660-"/>
    <s v="pablo.oyarzo@redsalud.gob.cl"/>
    <x v="7"/>
    <d v="2025-08-20T00:00:00"/>
    <n v="0"/>
    <m/>
    <n v="1"/>
    <n v="3333333"/>
    <d v="2026-08-01T00:00:00"/>
    <x v="0"/>
  </r>
  <r>
    <s v="SERVICIO DE SALUD OSORNO"/>
    <x v="0"/>
    <x v="51"/>
    <s v="Proyecto operacional"/>
    <s v="Publicado"/>
    <s v="22.03.003"/>
    <x v="52"/>
    <s v="Adquisición Combustible calefacción para dispositivos del Servicio de Salud Osorno , desde mes Enero a Diciembre año 2026"/>
    <x v="1"/>
    <x v="48"/>
    <n v="4"/>
    <n v="1"/>
    <x v="57"/>
    <x v="86"/>
    <x v="11"/>
    <x v="20"/>
    <x v="35"/>
    <x v="38"/>
    <s v="64-2565660-"/>
    <s v="pablo.oyarzo@redsalud.gob.cl"/>
    <x v="7"/>
    <d v="2025-08-20T00:00:00"/>
    <n v="0"/>
    <m/>
    <n v="1"/>
    <n v="3333333"/>
    <d v="2026-03-01T00:00:00"/>
    <x v="0"/>
  </r>
  <r>
    <s v="SERVICIO DE SALUD OSORNO"/>
    <x v="0"/>
    <x v="51"/>
    <s v="Proyecto operacional"/>
    <s v="Publicado"/>
    <s v="22.03.003"/>
    <x v="52"/>
    <s v="Adquisición Combustible calefacción para dispositivos del Servicio de Salud Osorno , desde mes Enero a Diciembre año 2026"/>
    <x v="1"/>
    <x v="48"/>
    <n v="4"/>
    <n v="1"/>
    <x v="57"/>
    <x v="86"/>
    <x v="11"/>
    <x v="20"/>
    <x v="35"/>
    <x v="38"/>
    <s v="64-2565660-"/>
    <s v="pablo.oyarzo@redsalud.gob.cl"/>
    <x v="7"/>
    <d v="2025-08-20T00:00:00"/>
    <n v="0"/>
    <m/>
    <n v="1"/>
    <n v="3333333"/>
    <d v="2026-09-01T00:00:00"/>
    <x v="0"/>
  </r>
  <r>
    <s v="SERVICIO DE SALUD OSORNO"/>
    <x v="0"/>
    <x v="51"/>
    <s v="Proyecto operacional"/>
    <s v="Publicado"/>
    <s v="22.03.003"/>
    <x v="52"/>
    <s v="Adquisición Combustible calefacción para dispositivos del Servicio de Salud Osorno , desde mes Enero a Diciembre año 2026"/>
    <x v="1"/>
    <x v="48"/>
    <n v="4"/>
    <n v="1"/>
    <x v="57"/>
    <x v="86"/>
    <x v="11"/>
    <x v="20"/>
    <x v="35"/>
    <x v="38"/>
    <s v="64-2565660-"/>
    <s v="pablo.oyarzo@redsalud.gob.cl"/>
    <x v="7"/>
    <d v="2025-08-20T00:00:00"/>
    <n v="0"/>
    <m/>
    <n v="1"/>
    <n v="3333333"/>
    <d v="2026-10-01T00:00:00"/>
    <x v="0"/>
  </r>
  <r>
    <s v="SERVICIO DE SALUD OSORNO"/>
    <x v="0"/>
    <x v="52"/>
    <s v="Proyecto operacional"/>
    <s v="Publicado"/>
    <s v="22.04.007.002"/>
    <x v="53"/>
    <s v="CONVENIO DE ENERO A DICIEMBRE DEL AÑO 2026 ( Formulario enviado)"/>
    <x v="1"/>
    <x v="44"/>
    <n v="4"/>
    <n v="1"/>
    <x v="36"/>
    <x v="66"/>
    <x v="11"/>
    <x v="20"/>
    <x v="35"/>
    <x v="38"/>
    <s v="64-2565660-"/>
    <s v="pablo.oyarzo@redsalud.gob.cl"/>
    <x v="7"/>
    <d v="2025-08-20T00:00:00"/>
    <n v="0"/>
    <m/>
    <n v="1"/>
    <n v="6666666"/>
    <d v="2026-01-01T00:00:00"/>
    <x v="0"/>
  </r>
  <r>
    <s v="SERVICIO DE SALUD OSORNO"/>
    <x v="0"/>
    <x v="52"/>
    <s v="Proyecto operacional"/>
    <s v="Publicado"/>
    <s v="22.04.007.002"/>
    <x v="53"/>
    <s v="CONVENIO DE ENERO A DICIEMBRE DEL AÑO 2026 ( Formulario enviado)"/>
    <x v="1"/>
    <x v="44"/>
    <n v="4"/>
    <n v="1"/>
    <x v="36"/>
    <x v="88"/>
    <x v="11"/>
    <x v="20"/>
    <x v="35"/>
    <x v="38"/>
    <s v="64-2565660-"/>
    <s v="pablo.oyarzo@redsalud.gob.cl"/>
    <x v="7"/>
    <d v="2025-08-20T00:00:00"/>
    <n v="0"/>
    <m/>
    <n v="1"/>
    <n v="6666674"/>
    <d v="2026-12-01T00:00:00"/>
    <x v="0"/>
  </r>
  <r>
    <s v="SERVICIO DE SALUD OSORNO"/>
    <x v="0"/>
    <x v="52"/>
    <s v="Proyecto operacional"/>
    <s v="Publicado"/>
    <s v="22.04.007.002"/>
    <x v="53"/>
    <s v="CONVENIO DE ENERO A DICIEMBRE DEL AÑO 2026 ( Formulario enviado)"/>
    <x v="1"/>
    <x v="44"/>
    <n v="4"/>
    <n v="1"/>
    <x v="36"/>
    <x v="66"/>
    <x v="11"/>
    <x v="20"/>
    <x v="35"/>
    <x v="38"/>
    <s v="64-2565660-"/>
    <s v="pablo.oyarzo@redsalud.gob.cl"/>
    <x v="7"/>
    <d v="2025-08-20T00:00:00"/>
    <n v="0"/>
    <m/>
    <n v="1"/>
    <n v="6666666"/>
    <d v="2026-05-01T00:00:00"/>
    <x v="0"/>
  </r>
  <r>
    <s v="SERVICIO DE SALUD OSORNO"/>
    <x v="0"/>
    <x v="52"/>
    <s v="Proyecto operacional"/>
    <s v="Publicado"/>
    <s v="22.04.007.002"/>
    <x v="53"/>
    <s v="CONVENIO DE ENERO A DICIEMBRE DEL AÑO 2026 ( Formulario enviado)"/>
    <x v="1"/>
    <x v="44"/>
    <n v="4"/>
    <n v="1"/>
    <x v="36"/>
    <x v="66"/>
    <x v="11"/>
    <x v="20"/>
    <x v="35"/>
    <x v="38"/>
    <s v="64-2565660-"/>
    <s v="pablo.oyarzo@redsalud.gob.cl"/>
    <x v="7"/>
    <d v="2025-08-20T00:00:00"/>
    <n v="0"/>
    <m/>
    <n v="1"/>
    <n v="6666666"/>
    <d v="2026-03-01T00:00:00"/>
    <x v="0"/>
  </r>
  <r>
    <s v="SERVICIO DE SALUD OSORNO"/>
    <x v="0"/>
    <x v="52"/>
    <s v="Proyecto operacional"/>
    <s v="Publicado"/>
    <s v="22.04.007.002"/>
    <x v="53"/>
    <s v="CONVENIO DE ENERO A DICIEMBRE DEL AÑO 2026 ( Formulario enviado)"/>
    <x v="1"/>
    <x v="44"/>
    <n v="4"/>
    <n v="1"/>
    <x v="36"/>
    <x v="66"/>
    <x v="11"/>
    <x v="20"/>
    <x v="35"/>
    <x v="38"/>
    <s v="64-2565660-"/>
    <s v="pablo.oyarzo@redsalud.gob.cl"/>
    <x v="7"/>
    <d v="2025-08-20T00:00:00"/>
    <n v="0"/>
    <m/>
    <n v="1"/>
    <n v="6666666"/>
    <d v="2026-08-01T00:00:00"/>
    <x v="0"/>
  </r>
  <r>
    <s v="SERVICIO DE SALUD OSORNO"/>
    <x v="0"/>
    <x v="52"/>
    <s v="Proyecto operacional"/>
    <s v="Publicado"/>
    <s v="22.04.007.002"/>
    <x v="53"/>
    <s v="CONVENIO DE ENERO A DICIEMBRE DEL AÑO 2026 ( Formulario enviado)"/>
    <x v="1"/>
    <x v="44"/>
    <n v="4"/>
    <n v="1"/>
    <x v="36"/>
    <x v="66"/>
    <x v="11"/>
    <x v="20"/>
    <x v="35"/>
    <x v="38"/>
    <s v="64-2565660-"/>
    <s v="pablo.oyarzo@redsalud.gob.cl"/>
    <x v="7"/>
    <d v="2025-08-20T00:00:00"/>
    <n v="0"/>
    <m/>
    <n v="1"/>
    <n v="6666666"/>
    <d v="2026-02-01T00:00:00"/>
    <x v="0"/>
  </r>
  <r>
    <s v="SERVICIO DE SALUD OSORNO"/>
    <x v="0"/>
    <x v="52"/>
    <s v="Proyecto operacional"/>
    <s v="Publicado"/>
    <s v="22.04.007.002"/>
    <x v="53"/>
    <s v="CONVENIO DE ENERO A DICIEMBRE DEL AÑO 2026 ( Formulario enviado)"/>
    <x v="1"/>
    <x v="44"/>
    <n v="4"/>
    <n v="1"/>
    <x v="36"/>
    <x v="66"/>
    <x v="11"/>
    <x v="20"/>
    <x v="35"/>
    <x v="38"/>
    <s v="64-2565660-"/>
    <s v="pablo.oyarzo@redsalud.gob.cl"/>
    <x v="7"/>
    <d v="2025-08-20T00:00:00"/>
    <n v="0"/>
    <m/>
    <n v="1"/>
    <n v="6666666"/>
    <d v="2026-11-01T00:00:00"/>
    <x v="0"/>
  </r>
  <r>
    <s v="SERVICIO DE SALUD OSORNO"/>
    <x v="0"/>
    <x v="52"/>
    <s v="Proyecto operacional"/>
    <s v="Publicado"/>
    <s v="22.04.007.002"/>
    <x v="53"/>
    <s v="CONVENIO DE ENERO A DICIEMBRE DEL AÑO 2026 ( Formulario enviado)"/>
    <x v="1"/>
    <x v="44"/>
    <n v="4"/>
    <n v="1"/>
    <x v="36"/>
    <x v="66"/>
    <x v="11"/>
    <x v="20"/>
    <x v="35"/>
    <x v="38"/>
    <s v="64-2565660-"/>
    <s v="pablo.oyarzo@redsalud.gob.cl"/>
    <x v="7"/>
    <d v="2025-08-20T00:00:00"/>
    <n v="0"/>
    <m/>
    <n v="1"/>
    <n v="6666666"/>
    <d v="2026-06-01T00:00:00"/>
    <x v="0"/>
  </r>
  <r>
    <s v="SERVICIO DE SALUD OSORNO"/>
    <x v="0"/>
    <x v="52"/>
    <s v="Proyecto operacional"/>
    <s v="Publicado"/>
    <s v="22.04.007.002"/>
    <x v="53"/>
    <s v="CONVENIO DE ENERO A DICIEMBRE DEL AÑO 2026 ( Formulario enviado)"/>
    <x v="1"/>
    <x v="44"/>
    <n v="4"/>
    <n v="1"/>
    <x v="36"/>
    <x v="66"/>
    <x v="11"/>
    <x v="20"/>
    <x v="35"/>
    <x v="38"/>
    <s v="64-2565660-"/>
    <s v="pablo.oyarzo@redsalud.gob.cl"/>
    <x v="7"/>
    <d v="2025-08-20T00:00:00"/>
    <n v="0"/>
    <m/>
    <n v="1"/>
    <n v="6666666"/>
    <d v="2026-04-01T00:00:00"/>
    <x v="0"/>
  </r>
  <r>
    <s v="SERVICIO DE SALUD OSORNO"/>
    <x v="0"/>
    <x v="52"/>
    <s v="Proyecto operacional"/>
    <s v="Publicado"/>
    <s v="22.04.007.002"/>
    <x v="53"/>
    <s v="CONVENIO DE ENERO A DICIEMBRE DEL AÑO 2026 ( Formulario enviado)"/>
    <x v="1"/>
    <x v="44"/>
    <n v="4"/>
    <n v="1"/>
    <x v="36"/>
    <x v="66"/>
    <x v="11"/>
    <x v="20"/>
    <x v="35"/>
    <x v="38"/>
    <s v="64-2565660-"/>
    <s v="pablo.oyarzo@redsalud.gob.cl"/>
    <x v="7"/>
    <d v="2025-08-20T00:00:00"/>
    <n v="0"/>
    <m/>
    <n v="1"/>
    <n v="6666666"/>
    <d v="2026-07-01T00:00:00"/>
    <x v="0"/>
  </r>
  <r>
    <s v="SERVICIO DE SALUD OSORNO"/>
    <x v="0"/>
    <x v="52"/>
    <s v="Proyecto operacional"/>
    <s v="Publicado"/>
    <s v="22.04.007.002"/>
    <x v="53"/>
    <s v="CONVENIO DE ENERO A DICIEMBRE DEL AÑO 2026 ( Formulario enviado)"/>
    <x v="1"/>
    <x v="44"/>
    <n v="4"/>
    <n v="1"/>
    <x v="36"/>
    <x v="66"/>
    <x v="11"/>
    <x v="20"/>
    <x v="35"/>
    <x v="38"/>
    <s v="64-2565660-"/>
    <s v="pablo.oyarzo@redsalud.gob.cl"/>
    <x v="7"/>
    <d v="2025-08-20T00:00:00"/>
    <n v="0"/>
    <m/>
    <n v="1"/>
    <n v="6666666"/>
    <d v="2026-10-01T00:00:00"/>
    <x v="0"/>
  </r>
  <r>
    <s v="SERVICIO DE SALUD OSORNO"/>
    <x v="0"/>
    <x v="52"/>
    <s v="Proyecto operacional"/>
    <s v="Publicado"/>
    <s v="22.04.007.002"/>
    <x v="53"/>
    <s v="CONVENIO DE ENERO A DICIEMBRE DEL AÑO 2026 ( Formulario enviado)"/>
    <x v="1"/>
    <x v="44"/>
    <n v="4"/>
    <n v="1"/>
    <x v="36"/>
    <x v="66"/>
    <x v="11"/>
    <x v="20"/>
    <x v="35"/>
    <x v="38"/>
    <s v="64-2565660-"/>
    <s v="pablo.oyarzo@redsalud.gob.cl"/>
    <x v="7"/>
    <d v="2025-08-20T00:00:00"/>
    <n v="0"/>
    <m/>
    <n v="1"/>
    <n v="6666666"/>
    <d v="2026-09-01T00:00:00"/>
    <x v="0"/>
  </r>
  <r>
    <s v="SERVICIO DE SALUD OSORNO"/>
    <x v="0"/>
    <x v="53"/>
    <s v="Proyecto operacional"/>
    <s v="Publicado"/>
    <s v="22..10.002"/>
    <x v="54"/>
    <s v="Contratación de Seguros para Vehículos Motorizados pertenecientes al Servicio de Salud Osorno que prestan servicios en los Establecimientos Asistenciales, ya sea como Ambulancias, Camionetas, Minibuses, Station Wagon, Clínicas Dentales o como transporte de personas, etc. Esto, por considerar que, dadas las condiciones de trabajo de dichos vehículos y las características viales de esta Región en particular, así lo aconsejan."/>
    <x v="1"/>
    <x v="49"/>
    <n v="4"/>
    <n v="40"/>
    <x v="58"/>
    <x v="86"/>
    <x v="1"/>
    <x v="14"/>
    <x v="1"/>
    <x v="39"/>
    <s v="64-2565654-"/>
    <s v="felipe.salvob@redsalud.gob.cl"/>
    <x v="7"/>
    <d v="2025-08-20T00:00:00"/>
    <n v="0"/>
    <m/>
    <n v="1"/>
    <n v="3333333"/>
    <d v="2026-03-01T00:00:00"/>
    <x v="0"/>
  </r>
  <r>
    <s v="SERVICIO DE SALUD OSORNO"/>
    <x v="0"/>
    <x v="53"/>
    <s v="Proyecto operacional"/>
    <s v="Publicado"/>
    <s v="22..10.002"/>
    <x v="54"/>
    <s v="Contratación de Seguros para Vehículos Motorizados pertenecientes al Servicio de Salud Osorno que prestan servicios en los Establecimientos Asistenciales, ya sea como Ambulancias, Camionetas, Minibuses, Station Wagon, Clínicas Dentales o como transporte de personas, etc. Esto, por considerar que, dadas las condiciones de trabajo de dichos vehículos y las características viales de esta Región en particular, así lo aconsejan."/>
    <x v="1"/>
    <x v="49"/>
    <n v="4"/>
    <n v="40"/>
    <x v="58"/>
    <x v="86"/>
    <x v="1"/>
    <x v="14"/>
    <x v="1"/>
    <x v="39"/>
    <s v="64-2565654-"/>
    <s v="felipe.salvob@redsalud.gob.cl"/>
    <x v="7"/>
    <d v="2025-08-20T00:00:00"/>
    <n v="0"/>
    <m/>
    <n v="1"/>
    <n v="3333333"/>
    <d v="2026-01-01T00:00:00"/>
    <x v="0"/>
  </r>
  <r>
    <s v="SERVICIO DE SALUD OSORNO"/>
    <x v="0"/>
    <x v="53"/>
    <s v="Proyecto operacional"/>
    <s v="Publicado"/>
    <s v="22..10.002"/>
    <x v="54"/>
    <s v="Contratación de Seguros para Vehículos Motorizados pertenecientes al Servicio de Salud Osorno que prestan servicios en los Establecimientos Asistenciales, ya sea como Ambulancias, Camionetas, Minibuses, Station Wagon, Clínicas Dentales o como transporte de personas, etc. Esto, por considerar que, dadas las condiciones de trabajo de dichos vehículos y las características viales de esta Región en particular, así lo aconsejan."/>
    <x v="1"/>
    <x v="49"/>
    <n v="4"/>
    <n v="40"/>
    <x v="58"/>
    <x v="86"/>
    <x v="1"/>
    <x v="14"/>
    <x v="1"/>
    <x v="39"/>
    <s v="64-2565654-"/>
    <s v="felipe.salvob@redsalud.gob.cl"/>
    <x v="7"/>
    <d v="2025-08-20T00:00:00"/>
    <n v="0"/>
    <m/>
    <n v="1"/>
    <n v="3333333"/>
    <d v="2026-06-01T00:00:00"/>
    <x v="0"/>
  </r>
  <r>
    <s v="SERVICIO DE SALUD OSORNO"/>
    <x v="0"/>
    <x v="53"/>
    <s v="Proyecto operacional"/>
    <s v="Publicado"/>
    <s v="22..10.002"/>
    <x v="54"/>
    <s v="Contratación de Seguros para Vehículos Motorizados pertenecientes al Servicio de Salud Osorno que prestan servicios en los Establecimientos Asistenciales, ya sea como Ambulancias, Camionetas, Minibuses, Station Wagon, Clínicas Dentales o como transporte de personas, etc. Esto, por considerar que, dadas las condiciones de trabajo de dichos vehículos y las características viales de esta Región en particular, así lo aconsejan."/>
    <x v="1"/>
    <x v="49"/>
    <n v="4"/>
    <n v="40"/>
    <x v="58"/>
    <x v="86"/>
    <x v="1"/>
    <x v="14"/>
    <x v="1"/>
    <x v="39"/>
    <s v="64-2565654-"/>
    <s v="felipe.salvob@redsalud.gob.cl"/>
    <x v="7"/>
    <d v="2025-08-20T00:00:00"/>
    <n v="0"/>
    <m/>
    <n v="1"/>
    <n v="3333333"/>
    <d v="2026-05-01T00:00:00"/>
    <x v="0"/>
  </r>
  <r>
    <s v="SERVICIO DE SALUD OSORNO"/>
    <x v="0"/>
    <x v="53"/>
    <s v="Proyecto operacional"/>
    <s v="Publicado"/>
    <s v="22..10.002"/>
    <x v="54"/>
    <s v="Contratación de Seguros para Vehículos Motorizados pertenecientes al Servicio de Salud Osorno que prestan servicios en los Establecimientos Asistenciales, ya sea como Ambulancias, Camionetas, Minibuses, Station Wagon, Clínicas Dentales o como transporte de personas, etc. Esto, por considerar que, dadas las condiciones de trabajo de dichos vehículos y las características viales de esta Región en particular, así lo aconsejan."/>
    <x v="1"/>
    <x v="49"/>
    <n v="4"/>
    <n v="40"/>
    <x v="58"/>
    <x v="86"/>
    <x v="1"/>
    <x v="14"/>
    <x v="1"/>
    <x v="39"/>
    <s v="64-2565654-"/>
    <s v="felipe.salvob@redsalud.gob.cl"/>
    <x v="7"/>
    <d v="2025-08-20T00:00:00"/>
    <n v="0"/>
    <m/>
    <n v="1"/>
    <n v="3333333"/>
    <d v="2026-12-01T00:00:00"/>
    <x v="0"/>
  </r>
  <r>
    <s v="SERVICIO DE SALUD OSORNO"/>
    <x v="0"/>
    <x v="53"/>
    <s v="Proyecto operacional"/>
    <s v="Publicado"/>
    <s v="22..10.002"/>
    <x v="54"/>
    <s v="Contratación de Seguros para Vehículos Motorizados pertenecientes al Servicio de Salud Osorno que prestan servicios en los Establecimientos Asistenciales, ya sea como Ambulancias, Camionetas, Minibuses, Station Wagon, Clínicas Dentales o como transporte de personas, etc. Esto, por considerar que, dadas las condiciones de trabajo de dichos vehículos y las características viales de esta Región en particular, así lo aconsejan."/>
    <x v="1"/>
    <x v="49"/>
    <n v="4"/>
    <n v="40"/>
    <x v="58"/>
    <x v="86"/>
    <x v="1"/>
    <x v="14"/>
    <x v="1"/>
    <x v="39"/>
    <s v="64-2565654-"/>
    <s v="felipe.salvob@redsalud.gob.cl"/>
    <x v="7"/>
    <d v="2025-08-20T00:00:00"/>
    <n v="0"/>
    <m/>
    <n v="1"/>
    <n v="3333333"/>
    <d v="2026-02-01T00:00:00"/>
    <x v="0"/>
  </r>
  <r>
    <s v="SERVICIO DE SALUD OSORNO"/>
    <x v="0"/>
    <x v="53"/>
    <s v="Proyecto operacional"/>
    <s v="Publicado"/>
    <s v="22..10.002"/>
    <x v="54"/>
    <s v="Contratación de Seguros para Vehículos Motorizados pertenecientes al Servicio de Salud Osorno que prestan servicios en los Establecimientos Asistenciales, ya sea como Ambulancias, Camionetas, Minibuses, Station Wagon, Clínicas Dentales o como transporte de personas, etc. Esto, por considerar que, dadas las condiciones de trabajo de dichos vehículos y las características viales de esta Región en particular, así lo aconsejan."/>
    <x v="1"/>
    <x v="49"/>
    <n v="4"/>
    <n v="40"/>
    <x v="58"/>
    <x v="86"/>
    <x v="1"/>
    <x v="14"/>
    <x v="1"/>
    <x v="39"/>
    <s v="64-2565654-"/>
    <s v="felipe.salvob@redsalud.gob.cl"/>
    <x v="7"/>
    <d v="2025-08-20T00:00:00"/>
    <n v="0"/>
    <m/>
    <n v="1"/>
    <n v="3333333"/>
    <d v="2026-07-01T00:00:00"/>
    <x v="0"/>
  </r>
  <r>
    <s v="SERVICIO DE SALUD OSORNO"/>
    <x v="0"/>
    <x v="53"/>
    <s v="Proyecto operacional"/>
    <s v="Publicado"/>
    <s v="22..10.002"/>
    <x v="54"/>
    <s v="Contratación de Seguros para Vehículos Motorizados pertenecientes al Servicio de Salud Osorno que prestan servicios en los Establecimientos Asistenciales, ya sea como Ambulancias, Camionetas, Minibuses, Station Wagon, Clínicas Dentales o como transporte de personas, etc. Esto, por considerar que, dadas las condiciones de trabajo de dichos vehículos y las características viales de esta Región en particular, así lo aconsejan."/>
    <x v="1"/>
    <x v="49"/>
    <n v="4"/>
    <n v="40"/>
    <x v="58"/>
    <x v="86"/>
    <x v="1"/>
    <x v="14"/>
    <x v="1"/>
    <x v="39"/>
    <s v="64-2565654-"/>
    <s v="felipe.salvob@redsalud.gob.cl"/>
    <x v="7"/>
    <d v="2025-08-20T00:00:00"/>
    <n v="0"/>
    <m/>
    <n v="1"/>
    <n v="3333333"/>
    <d v="2026-11-01T00:00:00"/>
    <x v="0"/>
  </r>
  <r>
    <s v="SERVICIO DE SALUD OSORNO"/>
    <x v="0"/>
    <x v="53"/>
    <s v="Proyecto operacional"/>
    <s v="Publicado"/>
    <s v="22..10.002"/>
    <x v="54"/>
    <s v="Contratación de Seguros para Vehículos Motorizados pertenecientes al Servicio de Salud Osorno que prestan servicios en los Establecimientos Asistenciales, ya sea como Ambulancias, Camionetas, Minibuses, Station Wagon, Clínicas Dentales o como transporte de personas, etc. Esto, por considerar que, dadas las condiciones de trabajo de dichos vehículos y las características viales de esta Región en particular, así lo aconsejan."/>
    <x v="1"/>
    <x v="49"/>
    <n v="4"/>
    <n v="40"/>
    <x v="58"/>
    <x v="86"/>
    <x v="1"/>
    <x v="14"/>
    <x v="1"/>
    <x v="39"/>
    <s v="64-2565654-"/>
    <s v="felipe.salvob@redsalud.gob.cl"/>
    <x v="7"/>
    <d v="2025-08-20T00:00:00"/>
    <n v="0"/>
    <m/>
    <n v="1"/>
    <n v="3333333"/>
    <d v="2026-04-01T00:00:00"/>
    <x v="0"/>
  </r>
  <r>
    <s v="SERVICIO DE SALUD OSORNO"/>
    <x v="0"/>
    <x v="53"/>
    <s v="Proyecto operacional"/>
    <s v="Publicado"/>
    <s v="22..10.002"/>
    <x v="54"/>
    <s v="Contratación de Seguros para Vehículos Motorizados pertenecientes al Servicio de Salud Osorno que prestan servicios en los Establecimientos Asistenciales, ya sea como Ambulancias, Camionetas, Minibuses, Station Wagon, Clínicas Dentales o como transporte de personas, etc. Esto, por considerar que, dadas las condiciones de trabajo de dichos vehículos y las características viales de esta Región en particular, así lo aconsejan."/>
    <x v="1"/>
    <x v="49"/>
    <n v="4"/>
    <n v="40"/>
    <x v="58"/>
    <x v="86"/>
    <x v="1"/>
    <x v="14"/>
    <x v="1"/>
    <x v="39"/>
    <s v="64-2565654-"/>
    <s v="felipe.salvob@redsalud.gob.cl"/>
    <x v="7"/>
    <d v="2025-08-20T00:00:00"/>
    <n v="0"/>
    <m/>
    <n v="1"/>
    <n v="3333333"/>
    <d v="2026-08-01T00:00:00"/>
    <x v="0"/>
  </r>
  <r>
    <s v="SERVICIO DE SALUD OSORNO"/>
    <x v="0"/>
    <x v="53"/>
    <s v="Proyecto operacional"/>
    <s v="Publicado"/>
    <s v="22..10.002"/>
    <x v="54"/>
    <s v="Contratación de Seguros para Vehículos Motorizados pertenecientes al Servicio de Salud Osorno que prestan servicios en los Establecimientos Asistenciales, ya sea como Ambulancias, Camionetas, Minibuses, Station Wagon, Clínicas Dentales o como transporte de personas, etc. Esto, por considerar que, dadas las condiciones de trabajo de dichos vehículos y las características viales de esta Región en particular, así lo aconsejan."/>
    <x v="1"/>
    <x v="49"/>
    <n v="4"/>
    <n v="40"/>
    <x v="58"/>
    <x v="86"/>
    <x v="1"/>
    <x v="14"/>
    <x v="1"/>
    <x v="39"/>
    <s v="64-2565654-"/>
    <s v="felipe.salvob@redsalud.gob.cl"/>
    <x v="7"/>
    <d v="2025-08-20T00:00:00"/>
    <n v="0"/>
    <m/>
    <n v="1"/>
    <n v="3333333"/>
    <d v="2026-09-01T00:00:00"/>
    <x v="0"/>
  </r>
  <r>
    <s v="SERVICIO DE SALUD OSORNO"/>
    <x v="0"/>
    <x v="53"/>
    <s v="Proyecto operacional"/>
    <s v="Publicado"/>
    <s v="22..10.002"/>
    <x v="54"/>
    <s v="Contratación de Seguros para Vehículos Motorizados pertenecientes al Servicio de Salud Osorno que prestan servicios en los Establecimientos Asistenciales, ya sea como Ambulancias, Camionetas, Minibuses, Station Wagon, Clínicas Dentales o como transporte de personas, etc. Esto, por considerar que, dadas las condiciones de trabajo de dichos vehículos y las características viales de esta Región en particular, así lo aconsejan."/>
    <x v="1"/>
    <x v="49"/>
    <n v="4"/>
    <n v="40"/>
    <x v="58"/>
    <x v="86"/>
    <x v="1"/>
    <x v="14"/>
    <x v="1"/>
    <x v="39"/>
    <s v="64-2565654-"/>
    <s v="felipe.salvob@redsalud.gob.cl"/>
    <x v="7"/>
    <d v="2025-08-20T00:00:00"/>
    <n v="0"/>
    <m/>
    <n v="1"/>
    <n v="3333333"/>
    <d v="2026-10-01T00:00:00"/>
    <x v="0"/>
  </r>
  <r>
    <s v="SERVICIO DE SALUD OSORNO"/>
    <x v="1"/>
    <x v="54"/>
    <s v="Proyecto operacional"/>
    <s v="Publicado"/>
    <s v="22.12.999.002.01"/>
    <x v="55"/>
    <s v="Servicio de arriendo (comodato) de 13 equipos portátiles de teleelectrocardiografía a distancia para la sospecha de IAM en dispositivos de la Red de Urgencia primaria de la provincia e informes de electrocardiografía a distancia, emitidos por médico cardiólogo o internista. Fecha de implementación: desde el 01/01/2026 al 31/12/2026. presupuesto: Minsal para tele ECG IAM, 2026"/>
    <x v="1"/>
    <x v="44"/>
    <n v="4"/>
    <n v="1"/>
    <x v="59"/>
    <x v="89"/>
    <x v="11"/>
    <x v="18"/>
    <x v="24"/>
    <x v="26"/>
    <s v="64-2565810-"/>
    <s v="consuelo.cordova@redsalud.gob.cl"/>
    <x v="7"/>
    <d v="2025-08-20T00:00:00"/>
    <n v="0"/>
    <m/>
    <n v="1"/>
    <n v="2800000"/>
    <d v="2026-07-01T00:00:00"/>
    <x v="0"/>
  </r>
  <r>
    <s v="SERVICIO DE SALUD OSORNO"/>
    <x v="1"/>
    <x v="54"/>
    <s v="Proyecto operacional"/>
    <s v="Publicado"/>
    <s v="22.12.999.002.01"/>
    <x v="55"/>
    <s v="Servicio de arriendo (comodato) de 13 equipos portátiles de teleelectrocardiografía a distancia para la sospecha de IAM en dispositivos de la Red de Urgencia primaria de la provincia e informes de electrocardiografía a distancia, emitidos por médico cardiólogo o internista. Fecha de implementación: desde el 01/01/2026 al 31/12/2026. presupuesto: Minsal para tele ECG IAM, 2026"/>
    <x v="1"/>
    <x v="44"/>
    <n v="4"/>
    <n v="1"/>
    <x v="59"/>
    <x v="89"/>
    <x v="11"/>
    <x v="18"/>
    <x v="24"/>
    <x v="26"/>
    <s v="64-2565810-"/>
    <s v="consuelo.cordova@redsalud.gob.cl"/>
    <x v="7"/>
    <d v="2025-08-20T00:00:00"/>
    <n v="0"/>
    <m/>
    <n v="1"/>
    <n v="2800000"/>
    <d v="2026-04-01T00:00:00"/>
    <x v="0"/>
  </r>
  <r>
    <s v="SERVICIO DE SALUD OSORNO"/>
    <x v="1"/>
    <x v="54"/>
    <s v="Proyecto operacional"/>
    <s v="Publicado"/>
    <s v="22.12.999.002.01"/>
    <x v="55"/>
    <s v="Servicio de arriendo (comodato) de 13 equipos portátiles de teleelectrocardiografía a distancia para la sospecha de IAM en dispositivos de la Red de Urgencia primaria de la provincia e informes de electrocardiografía a distancia, emitidos por médico cardiólogo o internista. Fecha de implementación: desde el 01/01/2026 al 31/12/2026. presupuesto: Minsal para tele ECG IAM, 2026"/>
    <x v="1"/>
    <x v="44"/>
    <n v="4"/>
    <n v="1"/>
    <x v="59"/>
    <x v="89"/>
    <x v="11"/>
    <x v="18"/>
    <x v="24"/>
    <x v="26"/>
    <s v="64-2565810-"/>
    <s v="consuelo.cordova@redsalud.gob.cl"/>
    <x v="7"/>
    <d v="2025-08-20T00:00:00"/>
    <n v="0"/>
    <m/>
    <n v="1"/>
    <n v="2800000"/>
    <d v="2026-02-01T00:00:00"/>
    <x v="0"/>
  </r>
  <r>
    <s v="SERVICIO DE SALUD OSORNO"/>
    <x v="1"/>
    <x v="54"/>
    <s v="Proyecto operacional"/>
    <s v="Publicado"/>
    <s v="22.12.999.002.01"/>
    <x v="55"/>
    <s v="Servicio de arriendo (comodato) de 13 equipos portátiles de teleelectrocardiografía a distancia para la sospecha de IAM en dispositivos de la Red de Urgencia primaria de la provincia e informes de electrocardiografía a distancia, emitidos por médico cardiólogo o internista. Fecha de implementación: desde el 01/01/2026 al 31/12/2026. presupuesto: Minsal para tele ECG IAM, 2026"/>
    <x v="1"/>
    <x v="44"/>
    <n v="4"/>
    <n v="1"/>
    <x v="59"/>
    <x v="89"/>
    <x v="11"/>
    <x v="18"/>
    <x v="24"/>
    <x v="26"/>
    <s v="64-2565810-"/>
    <s v="consuelo.cordova@redsalud.gob.cl"/>
    <x v="7"/>
    <d v="2025-08-20T00:00:00"/>
    <n v="0"/>
    <m/>
    <n v="1"/>
    <n v="2800000"/>
    <d v="2026-10-01T00:00:00"/>
    <x v="0"/>
  </r>
  <r>
    <s v="SERVICIO DE SALUD OSORNO"/>
    <x v="1"/>
    <x v="54"/>
    <s v="Proyecto operacional"/>
    <s v="Publicado"/>
    <s v="22.12.999.002.01"/>
    <x v="55"/>
    <s v="Servicio de arriendo (comodato) de 13 equipos portátiles de teleelectrocardiografía a distancia para la sospecha de IAM en dispositivos de la Red de Urgencia primaria de la provincia e informes de electrocardiografía a distancia, emitidos por médico cardiólogo o internista. Fecha de implementación: desde el 01/01/2026 al 31/12/2026. presupuesto: Minsal para tele ECG IAM, 2026"/>
    <x v="1"/>
    <x v="44"/>
    <n v="4"/>
    <n v="1"/>
    <x v="59"/>
    <x v="89"/>
    <x v="11"/>
    <x v="18"/>
    <x v="24"/>
    <x v="26"/>
    <s v="64-2565810-"/>
    <s v="consuelo.cordova@redsalud.gob.cl"/>
    <x v="7"/>
    <d v="2025-08-20T00:00:00"/>
    <n v="0"/>
    <m/>
    <n v="1"/>
    <n v="2800000"/>
    <d v="2026-03-01T00:00:00"/>
    <x v="0"/>
  </r>
  <r>
    <s v="SERVICIO DE SALUD OSORNO"/>
    <x v="1"/>
    <x v="54"/>
    <s v="Proyecto operacional"/>
    <s v="Publicado"/>
    <s v="22.12.999.002.01"/>
    <x v="55"/>
    <s v="Servicio de arriendo (comodato) de 13 equipos portátiles de teleelectrocardiografía a distancia para la sospecha de IAM en dispositivos de la Red de Urgencia primaria de la provincia e informes de electrocardiografía a distancia, emitidos por médico cardiólogo o internista. Fecha de implementación: desde el 01/01/2026 al 31/12/2026. presupuesto: Minsal para tele ECG IAM, 2026"/>
    <x v="1"/>
    <x v="44"/>
    <n v="4"/>
    <n v="1"/>
    <x v="59"/>
    <x v="89"/>
    <x v="11"/>
    <x v="18"/>
    <x v="24"/>
    <x v="26"/>
    <s v="64-2565810-"/>
    <s v="consuelo.cordova@redsalud.gob.cl"/>
    <x v="7"/>
    <d v="2025-08-20T00:00:00"/>
    <n v="0"/>
    <m/>
    <n v="1"/>
    <n v="2800000"/>
    <d v="2026-11-01T00:00:00"/>
    <x v="0"/>
  </r>
  <r>
    <s v="SERVICIO DE SALUD OSORNO"/>
    <x v="1"/>
    <x v="54"/>
    <s v="Proyecto operacional"/>
    <s v="Publicado"/>
    <s v="22.12.999.002.01"/>
    <x v="55"/>
    <s v="Servicio de arriendo (comodato) de 13 equipos portátiles de teleelectrocardiografía a distancia para la sospecha de IAM en dispositivos de la Red de Urgencia primaria de la provincia e informes de electrocardiografía a distancia, emitidos por médico cardiólogo o internista. Fecha de implementación: desde el 01/01/2026 al 31/12/2026. presupuesto: Minsal para tele ECG IAM, 2026"/>
    <x v="1"/>
    <x v="44"/>
    <n v="4"/>
    <n v="1"/>
    <x v="59"/>
    <x v="89"/>
    <x v="11"/>
    <x v="18"/>
    <x v="24"/>
    <x v="26"/>
    <s v="64-2565810-"/>
    <s v="consuelo.cordova@redsalud.gob.cl"/>
    <x v="7"/>
    <d v="2025-08-20T00:00:00"/>
    <n v="0"/>
    <m/>
    <n v="1"/>
    <n v="2800000"/>
    <d v="2026-12-01T00:00:00"/>
    <x v="0"/>
  </r>
  <r>
    <s v="SERVICIO DE SALUD OSORNO"/>
    <x v="1"/>
    <x v="54"/>
    <s v="Proyecto operacional"/>
    <s v="Publicado"/>
    <s v="22.12.999.002.01"/>
    <x v="55"/>
    <s v="Servicio de arriendo (comodato) de 13 equipos portátiles de teleelectrocardiografía a distancia para la sospecha de IAM en dispositivos de la Red de Urgencia primaria de la provincia e informes de electrocardiografía a distancia, emitidos por médico cardiólogo o internista. Fecha de implementación: desde el 01/01/2026 al 31/12/2026. presupuesto: Minsal para tele ECG IAM, 2026"/>
    <x v="1"/>
    <x v="44"/>
    <n v="4"/>
    <n v="1"/>
    <x v="59"/>
    <x v="89"/>
    <x v="11"/>
    <x v="18"/>
    <x v="24"/>
    <x v="26"/>
    <s v="64-2565810-"/>
    <s v="consuelo.cordova@redsalud.gob.cl"/>
    <x v="7"/>
    <d v="2025-08-20T00:00:00"/>
    <n v="0"/>
    <m/>
    <n v="1"/>
    <n v="2800000"/>
    <d v="2026-08-01T00:00:00"/>
    <x v="0"/>
  </r>
  <r>
    <s v="SERVICIO DE SALUD OSORNO"/>
    <x v="1"/>
    <x v="54"/>
    <s v="Proyecto operacional"/>
    <s v="Publicado"/>
    <s v="22.12.999.002.01"/>
    <x v="55"/>
    <s v="Servicio de arriendo (comodato) de 13 equipos portátiles de teleelectrocardiografía a distancia para la sospecha de IAM en dispositivos de la Red de Urgencia primaria de la provincia e informes de electrocardiografía a distancia, emitidos por médico cardiólogo o internista. Fecha de implementación: desde el 01/01/2026 al 31/12/2026. presupuesto: Minsal para tele ECG IAM, 2026"/>
    <x v="1"/>
    <x v="44"/>
    <n v="4"/>
    <n v="1"/>
    <x v="59"/>
    <x v="89"/>
    <x v="11"/>
    <x v="18"/>
    <x v="24"/>
    <x v="26"/>
    <s v="64-2565810-"/>
    <s v="consuelo.cordova@redsalud.gob.cl"/>
    <x v="7"/>
    <d v="2025-08-20T00:00:00"/>
    <n v="0"/>
    <m/>
    <n v="1"/>
    <n v="2800000"/>
    <d v="2026-06-01T00:00:00"/>
    <x v="0"/>
  </r>
  <r>
    <s v="SERVICIO DE SALUD OSORNO"/>
    <x v="1"/>
    <x v="54"/>
    <s v="Proyecto operacional"/>
    <s v="Publicado"/>
    <s v="22.12.999.002.01"/>
    <x v="55"/>
    <s v="Servicio de arriendo (comodato) de 13 equipos portátiles de teleelectrocardiografía a distancia para la sospecha de IAM en dispositivos de la Red de Urgencia primaria de la provincia e informes de electrocardiografía a distancia, emitidos por médico cardiólogo o internista. Fecha de implementación: desde el 01/01/2026 al 31/12/2026. presupuesto: Minsal para tele ECG IAM, 2026"/>
    <x v="1"/>
    <x v="44"/>
    <n v="4"/>
    <n v="1"/>
    <x v="59"/>
    <x v="89"/>
    <x v="11"/>
    <x v="18"/>
    <x v="24"/>
    <x v="26"/>
    <s v="64-2565810-"/>
    <s v="consuelo.cordova@redsalud.gob.cl"/>
    <x v="7"/>
    <d v="2025-08-20T00:00:00"/>
    <n v="0"/>
    <m/>
    <n v="1"/>
    <n v="2800000"/>
    <d v="2026-09-01T00:00:00"/>
    <x v="0"/>
  </r>
  <r>
    <s v="SERVICIO DE SALUD OSORNO"/>
    <x v="1"/>
    <x v="54"/>
    <s v="Proyecto operacional"/>
    <s v="Publicado"/>
    <s v="22.12.999.002.01"/>
    <x v="55"/>
    <s v="Servicio de arriendo (comodato) de 13 equipos portátiles de teleelectrocardiografía a distancia para la sospecha de IAM en dispositivos de la Red de Urgencia primaria de la provincia e informes de electrocardiografía a distancia, emitidos por médico cardiólogo o internista. Fecha de implementación: desde el 01/01/2026 al 31/12/2026. presupuesto: Minsal para tele ECG IAM, 2026"/>
    <x v="1"/>
    <x v="44"/>
    <n v="4"/>
    <n v="1"/>
    <x v="59"/>
    <x v="89"/>
    <x v="11"/>
    <x v="18"/>
    <x v="24"/>
    <x v="26"/>
    <s v="64-2565810-"/>
    <s v="consuelo.cordova@redsalud.gob.cl"/>
    <x v="7"/>
    <d v="2025-08-20T00:00:00"/>
    <n v="0"/>
    <m/>
    <n v="1"/>
    <n v="2800000"/>
    <d v="2026-05-01T00:00:00"/>
    <x v="0"/>
  </r>
  <r>
    <s v="SERVICIO DE SALUD OSORNO"/>
    <x v="0"/>
    <x v="55"/>
    <s v="Proyecto operacional"/>
    <s v="Publicado"/>
    <s v="22.06.002"/>
    <x v="56"/>
    <s v="Realizar mantenciones preventivas a todos los sistemas de las conversiones de las Ambulancias y vehículos con equipos especiales, como también realizar mantenciones correctivas y/o reparativas, según sea requerido."/>
    <x v="1"/>
    <x v="44"/>
    <n v="4"/>
    <n v="1"/>
    <x v="60"/>
    <x v="90"/>
    <x v="11"/>
    <x v="20"/>
    <x v="1"/>
    <x v="39"/>
    <s v="64-2565654-"/>
    <s v="felipe.salvob@redsalud.gob.cl"/>
    <x v="7"/>
    <d v="2025-08-20T00:00:00"/>
    <n v="0"/>
    <m/>
    <n v="1"/>
    <n v="8008333"/>
    <d v="2026-02-01T00:00:00"/>
    <x v="0"/>
  </r>
  <r>
    <s v="SERVICIO DE SALUD OSORNO"/>
    <x v="0"/>
    <x v="55"/>
    <s v="Proyecto operacional"/>
    <s v="Publicado"/>
    <s v="22.06.002"/>
    <x v="56"/>
    <s v="Realizar mantenciones preventivas a todos los sistemas de las conversiones de las Ambulancias y vehículos con equipos especiales, como también realizar mantenciones correctivas y/o reparativas, según sea requerido."/>
    <x v="1"/>
    <x v="44"/>
    <n v="4"/>
    <n v="1"/>
    <x v="60"/>
    <x v="90"/>
    <x v="11"/>
    <x v="20"/>
    <x v="1"/>
    <x v="39"/>
    <s v="64-2565654-"/>
    <s v="felipe.salvob@redsalud.gob.cl"/>
    <x v="7"/>
    <d v="2025-08-20T00:00:00"/>
    <n v="0"/>
    <m/>
    <n v="1"/>
    <n v="8008333"/>
    <d v="2026-06-01T00:00:00"/>
    <x v="0"/>
  </r>
  <r>
    <s v="SERVICIO DE SALUD OSORNO"/>
    <x v="0"/>
    <x v="55"/>
    <s v="Proyecto operacional"/>
    <s v="Publicado"/>
    <s v="22.06.002"/>
    <x v="56"/>
    <s v="Realizar mantenciones preventivas a todos los sistemas de las conversiones de las Ambulancias y vehículos con equipos especiales, como también realizar mantenciones correctivas y/o reparativas, según sea requerido."/>
    <x v="1"/>
    <x v="44"/>
    <n v="4"/>
    <n v="1"/>
    <x v="60"/>
    <x v="91"/>
    <x v="11"/>
    <x v="20"/>
    <x v="1"/>
    <x v="39"/>
    <s v="64-2565654-"/>
    <s v="felipe.salvob@redsalud.gob.cl"/>
    <x v="7"/>
    <d v="2025-08-20T00:00:00"/>
    <n v="0"/>
    <m/>
    <n v="1"/>
    <n v="8008337"/>
    <d v="2026-12-01T00:00:00"/>
    <x v="0"/>
  </r>
  <r>
    <s v="SERVICIO DE SALUD OSORNO"/>
    <x v="0"/>
    <x v="55"/>
    <s v="Proyecto operacional"/>
    <s v="Publicado"/>
    <s v="22.06.002"/>
    <x v="56"/>
    <s v="Realizar mantenciones preventivas a todos los sistemas de las conversiones de las Ambulancias y vehículos con equipos especiales, como también realizar mantenciones correctivas y/o reparativas, según sea requerido."/>
    <x v="1"/>
    <x v="44"/>
    <n v="4"/>
    <n v="1"/>
    <x v="60"/>
    <x v="90"/>
    <x v="11"/>
    <x v="20"/>
    <x v="1"/>
    <x v="39"/>
    <s v="64-2565654-"/>
    <s v="felipe.salvob@redsalud.gob.cl"/>
    <x v="7"/>
    <d v="2025-08-20T00:00:00"/>
    <n v="0"/>
    <m/>
    <n v="1"/>
    <n v="8008333"/>
    <d v="2026-03-01T00:00:00"/>
    <x v="0"/>
  </r>
  <r>
    <s v="SERVICIO DE SALUD OSORNO"/>
    <x v="0"/>
    <x v="55"/>
    <s v="Proyecto operacional"/>
    <s v="Publicado"/>
    <s v="22.06.002"/>
    <x v="56"/>
    <s v="Realizar mantenciones preventivas a todos los sistemas de las conversiones de las Ambulancias y vehículos con equipos especiales, como también realizar mantenciones correctivas y/o reparativas, según sea requerido."/>
    <x v="1"/>
    <x v="44"/>
    <n v="4"/>
    <n v="1"/>
    <x v="60"/>
    <x v="90"/>
    <x v="11"/>
    <x v="20"/>
    <x v="1"/>
    <x v="39"/>
    <s v="64-2565654-"/>
    <s v="felipe.salvob@redsalud.gob.cl"/>
    <x v="7"/>
    <d v="2025-08-20T00:00:00"/>
    <n v="0"/>
    <m/>
    <n v="1"/>
    <n v="8008333"/>
    <d v="2026-05-01T00:00:00"/>
    <x v="0"/>
  </r>
  <r>
    <s v="SERVICIO DE SALUD OSORNO"/>
    <x v="0"/>
    <x v="55"/>
    <s v="Proyecto operacional"/>
    <s v="Publicado"/>
    <s v="22.06.002"/>
    <x v="56"/>
    <s v="Realizar mantenciones preventivas a todos los sistemas de las conversiones de las Ambulancias y vehículos con equipos especiales, como también realizar mantenciones correctivas y/o reparativas, según sea requerido."/>
    <x v="1"/>
    <x v="44"/>
    <n v="4"/>
    <n v="1"/>
    <x v="60"/>
    <x v="90"/>
    <x v="11"/>
    <x v="20"/>
    <x v="1"/>
    <x v="39"/>
    <s v="64-2565654-"/>
    <s v="felipe.salvob@redsalud.gob.cl"/>
    <x v="7"/>
    <d v="2025-08-20T00:00:00"/>
    <n v="0"/>
    <m/>
    <n v="1"/>
    <n v="8008333"/>
    <d v="2026-07-01T00:00:00"/>
    <x v="0"/>
  </r>
  <r>
    <s v="SERVICIO DE SALUD OSORNO"/>
    <x v="0"/>
    <x v="55"/>
    <s v="Proyecto operacional"/>
    <s v="Publicado"/>
    <s v="22.06.002"/>
    <x v="56"/>
    <s v="Realizar mantenciones preventivas a todos los sistemas de las conversiones de las Ambulancias y vehículos con equipos especiales, como también realizar mantenciones correctivas y/o reparativas, según sea requerido."/>
    <x v="1"/>
    <x v="44"/>
    <n v="4"/>
    <n v="1"/>
    <x v="60"/>
    <x v="90"/>
    <x v="11"/>
    <x v="20"/>
    <x v="1"/>
    <x v="39"/>
    <s v="64-2565654-"/>
    <s v="felipe.salvob@redsalud.gob.cl"/>
    <x v="7"/>
    <d v="2025-08-20T00:00:00"/>
    <n v="0"/>
    <m/>
    <n v="1"/>
    <n v="8008333"/>
    <d v="2026-01-01T00:00:00"/>
    <x v="0"/>
  </r>
  <r>
    <s v="SERVICIO DE SALUD OSORNO"/>
    <x v="0"/>
    <x v="55"/>
    <s v="Proyecto operacional"/>
    <s v="Publicado"/>
    <s v="22.06.002"/>
    <x v="56"/>
    <s v="Realizar mantenciones preventivas a todos los sistemas de las conversiones de las Ambulancias y vehículos con equipos especiales, como también realizar mantenciones correctivas y/o reparativas, según sea requerido."/>
    <x v="1"/>
    <x v="44"/>
    <n v="4"/>
    <n v="1"/>
    <x v="60"/>
    <x v="90"/>
    <x v="11"/>
    <x v="20"/>
    <x v="1"/>
    <x v="39"/>
    <s v="64-2565654-"/>
    <s v="felipe.salvob@redsalud.gob.cl"/>
    <x v="7"/>
    <d v="2025-08-20T00:00:00"/>
    <n v="0"/>
    <m/>
    <n v="1"/>
    <n v="8008333"/>
    <d v="2026-08-01T00:00:00"/>
    <x v="0"/>
  </r>
  <r>
    <s v="SERVICIO DE SALUD OSORNO"/>
    <x v="0"/>
    <x v="55"/>
    <s v="Proyecto operacional"/>
    <s v="Publicado"/>
    <s v="22.06.002"/>
    <x v="56"/>
    <s v="Realizar mantenciones preventivas a todos los sistemas de las conversiones de las Ambulancias y vehículos con equipos especiales, como también realizar mantenciones correctivas y/o reparativas, según sea requerido."/>
    <x v="1"/>
    <x v="44"/>
    <n v="4"/>
    <n v="1"/>
    <x v="60"/>
    <x v="90"/>
    <x v="11"/>
    <x v="20"/>
    <x v="1"/>
    <x v="39"/>
    <s v="64-2565654-"/>
    <s v="felipe.salvob@redsalud.gob.cl"/>
    <x v="7"/>
    <d v="2025-08-20T00:00:00"/>
    <n v="0"/>
    <m/>
    <n v="1"/>
    <n v="8008333"/>
    <d v="2026-04-01T00:00:00"/>
    <x v="0"/>
  </r>
  <r>
    <s v="SERVICIO DE SALUD OSORNO"/>
    <x v="0"/>
    <x v="55"/>
    <s v="Proyecto operacional"/>
    <s v="Publicado"/>
    <s v="22.06.002"/>
    <x v="56"/>
    <s v="Realizar mantenciones preventivas a todos los sistemas de las conversiones de las Ambulancias y vehículos con equipos especiales, como también realizar mantenciones correctivas y/o reparativas, según sea requerido."/>
    <x v="1"/>
    <x v="44"/>
    <n v="4"/>
    <n v="1"/>
    <x v="60"/>
    <x v="90"/>
    <x v="11"/>
    <x v="20"/>
    <x v="1"/>
    <x v="39"/>
    <s v="64-2565654-"/>
    <s v="felipe.salvob@redsalud.gob.cl"/>
    <x v="7"/>
    <d v="2025-08-20T00:00:00"/>
    <n v="0"/>
    <m/>
    <n v="1"/>
    <n v="8008333"/>
    <d v="2026-10-01T00:00:00"/>
    <x v="0"/>
  </r>
  <r>
    <s v="SERVICIO DE SALUD OSORNO"/>
    <x v="0"/>
    <x v="55"/>
    <s v="Proyecto operacional"/>
    <s v="Publicado"/>
    <s v="22.06.002"/>
    <x v="56"/>
    <s v="Realizar mantenciones preventivas a todos los sistemas de las conversiones de las Ambulancias y vehículos con equipos especiales, como también realizar mantenciones correctivas y/o reparativas, según sea requerido."/>
    <x v="1"/>
    <x v="44"/>
    <n v="4"/>
    <n v="1"/>
    <x v="60"/>
    <x v="90"/>
    <x v="11"/>
    <x v="20"/>
    <x v="1"/>
    <x v="39"/>
    <s v="64-2565654-"/>
    <s v="felipe.salvob@redsalud.gob.cl"/>
    <x v="7"/>
    <d v="2025-08-20T00:00:00"/>
    <n v="0"/>
    <m/>
    <n v="1"/>
    <n v="8008333"/>
    <d v="2026-09-01T00:00:00"/>
    <x v="0"/>
  </r>
  <r>
    <s v="SERVICIO DE SALUD OSORNO"/>
    <x v="0"/>
    <x v="55"/>
    <s v="Proyecto operacional"/>
    <s v="Publicado"/>
    <s v="22.06.002"/>
    <x v="56"/>
    <s v="Realizar mantenciones preventivas a todos los sistemas de las conversiones de las Ambulancias y vehículos con equipos especiales, como también realizar mantenciones correctivas y/o reparativas, según sea requerido."/>
    <x v="1"/>
    <x v="44"/>
    <n v="4"/>
    <n v="1"/>
    <x v="60"/>
    <x v="90"/>
    <x v="11"/>
    <x v="20"/>
    <x v="1"/>
    <x v="39"/>
    <s v="64-2565654-"/>
    <s v="felipe.salvob@redsalud.gob.cl"/>
    <x v="7"/>
    <d v="2025-08-20T00:00:00"/>
    <n v="0"/>
    <m/>
    <n v="1"/>
    <n v="8008333"/>
    <d v="2026-11-01T00:00:00"/>
    <x v="0"/>
  </r>
  <r>
    <s v="SERVICIO DE SALUD OSORNO"/>
    <x v="0"/>
    <x v="56"/>
    <s v="Proyecto operacional"/>
    <s v="Publicado"/>
    <s v="22.06.002"/>
    <x v="57"/>
    <s v="Mantenciones 2026 Preventivas, correctivas y/o reparativas para vehículos motorizados mutimarcas de la Red Asistencial del Servicio de Salud Osorno. Enero2026 - Diciembre2026"/>
    <x v="1"/>
    <x v="46"/>
    <n v="4"/>
    <n v="1"/>
    <x v="61"/>
    <x v="92"/>
    <x v="1"/>
    <x v="14"/>
    <x v="5"/>
    <x v="40"/>
    <s v="64-2565654-"/>
    <s v="felipe.salvob@redsalud.gob.cl"/>
    <x v="7"/>
    <d v="2025-08-20T00:00:00"/>
    <n v="1"/>
    <s v="1057532-5558-SE25"/>
    <n v="1"/>
    <n v="8350000"/>
    <d v="2026-08-01T00:00:00"/>
    <x v="0"/>
  </r>
  <r>
    <s v="SERVICIO DE SALUD OSORNO"/>
    <x v="0"/>
    <x v="56"/>
    <s v="Proyecto operacional"/>
    <s v="Publicado"/>
    <s v="22.06.002"/>
    <x v="57"/>
    <s v="Mantenciones 2026 Preventivas, correctivas y/o reparativas para vehículos motorizados mutimarcas de la Red Asistencial del Servicio de Salud Osorno. Enero2026 - Diciembre2026"/>
    <x v="1"/>
    <x v="46"/>
    <n v="4"/>
    <n v="1"/>
    <x v="61"/>
    <x v="92"/>
    <x v="1"/>
    <x v="14"/>
    <x v="5"/>
    <x v="40"/>
    <s v="64-2565654-"/>
    <s v="felipe.salvob@redsalud.gob.cl"/>
    <x v="7"/>
    <d v="2025-08-20T00:00:00"/>
    <n v="1"/>
    <s v="1057532-5558-SE25"/>
    <n v="1"/>
    <n v="8350000"/>
    <d v="2026-06-01T00:00:00"/>
    <x v="0"/>
  </r>
  <r>
    <s v="SERVICIO DE SALUD OSORNO"/>
    <x v="0"/>
    <x v="56"/>
    <s v="Proyecto operacional"/>
    <s v="Publicado"/>
    <s v="22.06.002"/>
    <x v="57"/>
    <s v="Mantenciones 2026 Preventivas, correctivas y/o reparativas para vehículos motorizados mutimarcas de la Red Asistencial del Servicio de Salud Osorno. Enero2026 - Diciembre2026"/>
    <x v="1"/>
    <x v="46"/>
    <n v="4"/>
    <n v="1"/>
    <x v="61"/>
    <x v="92"/>
    <x v="1"/>
    <x v="14"/>
    <x v="5"/>
    <x v="40"/>
    <s v="64-2565654-"/>
    <s v="felipe.salvob@redsalud.gob.cl"/>
    <x v="7"/>
    <d v="2025-08-20T00:00:00"/>
    <n v="1"/>
    <s v="1057532-5558-SE25"/>
    <n v="1"/>
    <n v="8350000"/>
    <d v="2026-04-01T00:00:00"/>
    <x v="0"/>
  </r>
  <r>
    <s v="SERVICIO DE SALUD OSORNO"/>
    <x v="0"/>
    <x v="56"/>
    <s v="Proyecto operacional"/>
    <s v="Publicado"/>
    <s v="22.06.002"/>
    <x v="57"/>
    <s v="Mantenciones 2026 Preventivas, correctivas y/o reparativas para vehículos motorizados mutimarcas de la Red Asistencial del Servicio de Salud Osorno. Enero2026 - Diciembre2026"/>
    <x v="1"/>
    <x v="46"/>
    <n v="4"/>
    <n v="1"/>
    <x v="61"/>
    <x v="92"/>
    <x v="1"/>
    <x v="14"/>
    <x v="5"/>
    <x v="40"/>
    <s v="64-2565654-"/>
    <s v="felipe.salvob@redsalud.gob.cl"/>
    <x v="7"/>
    <d v="2025-08-20T00:00:00"/>
    <n v="1"/>
    <s v="1057532-5558-SE25"/>
    <n v="1"/>
    <n v="8350000"/>
    <d v="2026-01-01T00:00:00"/>
    <x v="0"/>
  </r>
  <r>
    <s v="SERVICIO DE SALUD OSORNO"/>
    <x v="0"/>
    <x v="56"/>
    <s v="Proyecto operacional"/>
    <s v="Publicado"/>
    <s v="22.06.002"/>
    <x v="57"/>
    <s v="Mantenciones 2026 Preventivas, correctivas y/o reparativas para vehículos motorizados mutimarcas de la Red Asistencial del Servicio de Salud Osorno. Enero2026 - Diciembre2026"/>
    <x v="1"/>
    <x v="46"/>
    <n v="4"/>
    <n v="1"/>
    <x v="61"/>
    <x v="92"/>
    <x v="1"/>
    <x v="14"/>
    <x v="5"/>
    <x v="40"/>
    <s v="64-2565654-"/>
    <s v="felipe.salvob@redsalud.gob.cl"/>
    <x v="7"/>
    <d v="2025-08-20T00:00:00"/>
    <n v="1"/>
    <s v="1057532-5558-SE25"/>
    <n v="1"/>
    <n v="8350000"/>
    <d v="2026-05-01T00:00:00"/>
    <x v="0"/>
  </r>
  <r>
    <s v="SERVICIO DE SALUD OSORNO"/>
    <x v="0"/>
    <x v="56"/>
    <s v="Proyecto operacional"/>
    <s v="Publicado"/>
    <s v="22.06.002"/>
    <x v="57"/>
    <s v="Mantenciones 2026 Preventivas, correctivas y/o reparativas para vehículos motorizados mutimarcas de la Red Asistencial del Servicio de Salud Osorno. Enero2026 - Diciembre2026"/>
    <x v="1"/>
    <x v="46"/>
    <n v="4"/>
    <n v="1"/>
    <x v="61"/>
    <x v="92"/>
    <x v="1"/>
    <x v="14"/>
    <x v="5"/>
    <x v="40"/>
    <s v="64-2565654-"/>
    <s v="felipe.salvob@redsalud.gob.cl"/>
    <x v="7"/>
    <d v="2025-08-20T00:00:00"/>
    <n v="1"/>
    <s v="1057532-5558-SE25"/>
    <n v="1"/>
    <n v="8350000"/>
    <d v="2026-10-01T00:00:00"/>
    <x v="0"/>
  </r>
  <r>
    <s v="SERVICIO DE SALUD OSORNO"/>
    <x v="0"/>
    <x v="56"/>
    <s v="Proyecto operacional"/>
    <s v="Publicado"/>
    <s v="22.06.002"/>
    <x v="57"/>
    <s v="Mantenciones 2026 Preventivas, correctivas y/o reparativas para vehículos motorizados mutimarcas de la Red Asistencial del Servicio de Salud Osorno. Enero2026 - Diciembre2026"/>
    <x v="1"/>
    <x v="46"/>
    <n v="4"/>
    <n v="1"/>
    <x v="61"/>
    <x v="92"/>
    <x v="1"/>
    <x v="14"/>
    <x v="5"/>
    <x v="40"/>
    <s v="64-2565654-"/>
    <s v="felipe.salvob@redsalud.gob.cl"/>
    <x v="7"/>
    <d v="2025-08-20T00:00:00"/>
    <n v="1"/>
    <s v="1057532-5558-SE25"/>
    <n v="1"/>
    <n v="8350000"/>
    <d v="2026-12-01T00:00:00"/>
    <x v="0"/>
  </r>
  <r>
    <s v="SERVICIO DE SALUD OSORNO"/>
    <x v="0"/>
    <x v="56"/>
    <s v="Proyecto operacional"/>
    <s v="Publicado"/>
    <s v="22.06.002"/>
    <x v="57"/>
    <s v="Mantenciones 2026 Preventivas, correctivas y/o reparativas para vehículos motorizados mutimarcas de la Red Asistencial del Servicio de Salud Osorno. Enero2026 - Diciembre2026"/>
    <x v="1"/>
    <x v="46"/>
    <n v="4"/>
    <n v="1"/>
    <x v="61"/>
    <x v="92"/>
    <x v="1"/>
    <x v="14"/>
    <x v="5"/>
    <x v="40"/>
    <s v="64-2565654-"/>
    <s v="felipe.salvob@redsalud.gob.cl"/>
    <x v="7"/>
    <d v="2025-08-20T00:00:00"/>
    <n v="1"/>
    <s v="1057532-5558-SE25"/>
    <n v="1"/>
    <n v="8350000"/>
    <d v="2026-07-01T00:00:00"/>
    <x v="0"/>
  </r>
  <r>
    <s v="SERVICIO DE SALUD OSORNO"/>
    <x v="0"/>
    <x v="56"/>
    <s v="Proyecto operacional"/>
    <s v="Publicado"/>
    <s v="22.06.002"/>
    <x v="57"/>
    <s v="Mantenciones 2026 Preventivas, correctivas y/o reparativas para vehículos motorizados mutimarcas de la Red Asistencial del Servicio de Salud Osorno. Enero2026 - Diciembre2026"/>
    <x v="1"/>
    <x v="46"/>
    <n v="4"/>
    <n v="1"/>
    <x v="61"/>
    <x v="92"/>
    <x v="1"/>
    <x v="14"/>
    <x v="5"/>
    <x v="40"/>
    <s v="64-2565654-"/>
    <s v="felipe.salvob@redsalud.gob.cl"/>
    <x v="7"/>
    <d v="2025-08-20T00:00:00"/>
    <n v="1"/>
    <s v="1057532-5558-SE25"/>
    <n v="1"/>
    <n v="8350000"/>
    <d v="2026-02-01T00:00:00"/>
    <x v="0"/>
  </r>
  <r>
    <s v="SERVICIO DE SALUD OSORNO"/>
    <x v="0"/>
    <x v="56"/>
    <s v="Proyecto operacional"/>
    <s v="Publicado"/>
    <s v="22.06.002"/>
    <x v="57"/>
    <s v="Mantenciones 2026 Preventivas, correctivas y/o reparativas para vehículos motorizados mutimarcas de la Red Asistencial del Servicio de Salud Osorno. Enero2026 - Diciembre2026"/>
    <x v="1"/>
    <x v="46"/>
    <n v="4"/>
    <n v="1"/>
    <x v="61"/>
    <x v="92"/>
    <x v="1"/>
    <x v="14"/>
    <x v="5"/>
    <x v="40"/>
    <s v="64-2565654-"/>
    <s v="felipe.salvob@redsalud.gob.cl"/>
    <x v="7"/>
    <d v="2025-08-20T00:00:00"/>
    <n v="1"/>
    <s v="1057532-5558-SE25"/>
    <n v="1"/>
    <n v="8350000"/>
    <d v="2026-03-01T00:00:00"/>
    <x v="0"/>
  </r>
  <r>
    <s v="SERVICIO DE SALUD OSORNO"/>
    <x v="0"/>
    <x v="56"/>
    <s v="Proyecto operacional"/>
    <s v="Publicado"/>
    <s v="22.06.002"/>
    <x v="57"/>
    <s v="Mantenciones 2026 Preventivas, correctivas y/o reparativas para vehículos motorizados mutimarcas de la Red Asistencial del Servicio de Salud Osorno. Enero2026 - Diciembre2026"/>
    <x v="1"/>
    <x v="46"/>
    <n v="4"/>
    <n v="1"/>
    <x v="61"/>
    <x v="92"/>
    <x v="1"/>
    <x v="14"/>
    <x v="5"/>
    <x v="40"/>
    <s v="64-2565654-"/>
    <s v="felipe.salvob@redsalud.gob.cl"/>
    <x v="7"/>
    <d v="2025-08-20T00:00:00"/>
    <n v="1"/>
    <s v="1057532-5558-SE25"/>
    <n v="1"/>
    <n v="8350000"/>
    <d v="2026-11-01T00:00:00"/>
    <x v="0"/>
  </r>
  <r>
    <s v="SERVICIO DE SALUD OSORNO"/>
    <x v="0"/>
    <x v="56"/>
    <s v="Proyecto operacional"/>
    <s v="Publicado"/>
    <s v="22.06.002"/>
    <x v="57"/>
    <s v="Mantenciones 2026 Preventivas, correctivas y/o reparativas para vehículos motorizados mutimarcas de la Red Asistencial del Servicio de Salud Osorno. Enero2026 - Diciembre2026"/>
    <x v="1"/>
    <x v="46"/>
    <n v="4"/>
    <n v="1"/>
    <x v="61"/>
    <x v="92"/>
    <x v="1"/>
    <x v="14"/>
    <x v="5"/>
    <x v="40"/>
    <s v="64-2565654-"/>
    <s v="felipe.salvob@redsalud.gob.cl"/>
    <x v="7"/>
    <d v="2025-08-20T00:00:00"/>
    <n v="1"/>
    <s v="1057532-5558-SE25"/>
    <n v="1"/>
    <n v="8350000"/>
    <d v="2026-09-01T00:00:00"/>
    <x v="0"/>
  </r>
  <r>
    <s v="SERVICIO DE SALUD OSORNO"/>
    <x v="0"/>
    <x v="57"/>
    <s v="Proyecto operacional"/>
    <s v="Publicado"/>
    <s v="22.06.002"/>
    <x v="58"/>
    <s v="Convenio 2026 -Mantenciones Preventivas, correctivas y/o reparativas de vehículos motorizados de la marca Mitsubishi - Fuso de la Red Asistencial del Servicio de Salud Osorno. Enero 26 - Diciembre 26"/>
    <x v="1"/>
    <x v="44"/>
    <n v="4"/>
    <n v="1"/>
    <x v="62"/>
    <x v="0"/>
    <x v="11"/>
    <x v="20"/>
    <x v="5"/>
    <x v="40"/>
    <s v="64-2565654-"/>
    <s v="felipe.salvob@redsalud.gob.cl"/>
    <x v="7"/>
    <d v="2025-08-20T00:00:00"/>
    <n v="0"/>
    <m/>
    <n v="1"/>
    <n v="2500000"/>
    <d v="2026-06-01T00:00:00"/>
    <x v="0"/>
  </r>
  <r>
    <s v="SERVICIO DE SALUD OSORNO"/>
    <x v="0"/>
    <x v="57"/>
    <s v="Proyecto operacional"/>
    <s v="Publicado"/>
    <s v="22.06.002"/>
    <x v="58"/>
    <s v="Convenio 2026 -Mantenciones Preventivas, correctivas y/o reparativas de vehículos motorizados de la marca Mitsubishi - Fuso de la Red Asistencial del Servicio de Salud Osorno. Enero 26 - Diciembre 26"/>
    <x v="1"/>
    <x v="44"/>
    <n v="4"/>
    <n v="1"/>
    <x v="62"/>
    <x v="0"/>
    <x v="11"/>
    <x v="20"/>
    <x v="5"/>
    <x v="40"/>
    <s v="64-2565654-"/>
    <s v="felipe.salvob@redsalud.gob.cl"/>
    <x v="7"/>
    <d v="2025-08-20T00:00:00"/>
    <n v="0"/>
    <m/>
    <n v="1"/>
    <n v="2500000"/>
    <d v="2026-01-01T00:00:00"/>
    <x v="0"/>
  </r>
  <r>
    <s v="SERVICIO DE SALUD OSORNO"/>
    <x v="0"/>
    <x v="57"/>
    <s v="Proyecto operacional"/>
    <s v="Publicado"/>
    <s v="22.06.002"/>
    <x v="58"/>
    <s v="Convenio 2026 -Mantenciones Preventivas, correctivas y/o reparativas de vehículos motorizados de la marca Mitsubishi - Fuso de la Red Asistencial del Servicio de Salud Osorno. Enero 26 - Diciembre 26"/>
    <x v="1"/>
    <x v="44"/>
    <n v="4"/>
    <n v="1"/>
    <x v="62"/>
    <x v="0"/>
    <x v="11"/>
    <x v="20"/>
    <x v="5"/>
    <x v="40"/>
    <s v="64-2565654-"/>
    <s v="felipe.salvob@redsalud.gob.cl"/>
    <x v="7"/>
    <d v="2025-08-20T00:00:00"/>
    <n v="0"/>
    <m/>
    <n v="1"/>
    <n v="2500000"/>
    <d v="2026-07-01T00:00:00"/>
    <x v="0"/>
  </r>
  <r>
    <s v="SERVICIO DE SALUD OSORNO"/>
    <x v="0"/>
    <x v="57"/>
    <s v="Proyecto operacional"/>
    <s v="Publicado"/>
    <s v="22.06.002"/>
    <x v="58"/>
    <s v="Convenio 2026 -Mantenciones Preventivas, correctivas y/o reparativas de vehículos motorizados de la marca Mitsubishi - Fuso de la Red Asistencial del Servicio de Salud Osorno. Enero 26 - Diciembre 26"/>
    <x v="1"/>
    <x v="44"/>
    <n v="4"/>
    <n v="1"/>
    <x v="62"/>
    <x v="0"/>
    <x v="11"/>
    <x v="20"/>
    <x v="5"/>
    <x v="40"/>
    <s v="64-2565654-"/>
    <s v="felipe.salvob@redsalud.gob.cl"/>
    <x v="7"/>
    <d v="2025-08-20T00:00:00"/>
    <n v="0"/>
    <m/>
    <n v="1"/>
    <n v="2500000"/>
    <d v="2026-02-01T00:00:00"/>
    <x v="0"/>
  </r>
  <r>
    <s v="SERVICIO DE SALUD OSORNO"/>
    <x v="0"/>
    <x v="57"/>
    <s v="Proyecto operacional"/>
    <s v="Publicado"/>
    <s v="22.06.002"/>
    <x v="58"/>
    <s v="Convenio 2026 -Mantenciones Preventivas, correctivas y/o reparativas de vehículos motorizados de la marca Mitsubishi - Fuso de la Red Asistencial del Servicio de Salud Osorno. Enero 26 - Diciembre 26"/>
    <x v="1"/>
    <x v="44"/>
    <n v="4"/>
    <n v="1"/>
    <x v="62"/>
    <x v="0"/>
    <x v="11"/>
    <x v="20"/>
    <x v="5"/>
    <x v="40"/>
    <s v="64-2565654-"/>
    <s v="felipe.salvob@redsalud.gob.cl"/>
    <x v="7"/>
    <d v="2025-08-20T00:00:00"/>
    <n v="0"/>
    <m/>
    <n v="1"/>
    <n v="2500000"/>
    <d v="2026-05-01T00:00:00"/>
    <x v="0"/>
  </r>
  <r>
    <s v="SERVICIO DE SALUD OSORNO"/>
    <x v="0"/>
    <x v="57"/>
    <s v="Proyecto operacional"/>
    <s v="Publicado"/>
    <s v="22.06.002"/>
    <x v="58"/>
    <s v="Convenio 2026 -Mantenciones Preventivas, correctivas y/o reparativas de vehículos motorizados de la marca Mitsubishi - Fuso de la Red Asistencial del Servicio de Salud Osorno. Enero 26 - Diciembre 26"/>
    <x v="1"/>
    <x v="44"/>
    <n v="4"/>
    <n v="1"/>
    <x v="62"/>
    <x v="0"/>
    <x v="11"/>
    <x v="20"/>
    <x v="5"/>
    <x v="40"/>
    <s v="64-2565654-"/>
    <s v="felipe.salvob@redsalud.gob.cl"/>
    <x v="7"/>
    <d v="2025-08-20T00:00:00"/>
    <n v="0"/>
    <m/>
    <n v="1"/>
    <n v="2500000"/>
    <d v="2026-03-01T00:00:00"/>
    <x v="0"/>
  </r>
  <r>
    <s v="SERVICIO DE SALUD OSORNO"/>
    <x v="0"/>
    <x v="57"/>
    <s v="Proyecto operacional"/>
    <s v="Publicado"/>
    <s v="22.06.002"/>
    <x v="58"/>
    <s v="Convenio 2026 -Mantenciones Preventivas, correctivas y/o reparativas de vehículos motorizados de la marca Mitsubishi - Fuso de la Red Asistencial del Servicio de Salud Osorno. Enero 26 - Diciembre 26"/>
    <x v="1"/>
    <x v="44"/>
    <n v="4"/>
    <n v="1"/>
    <x v="62"/>
    <x v="0"/>
    <x v="11"/>
    <x v="20"/>
    <x v="5"/>
    <x v="40"/>
    <s v="64-2565654-"/>
    <s v="felipe.salvob@redsalud.gob.cl"/>
    <x v="7"/>
    <d v="2025-08-20T00:00:00"/>
    <n v="0"/>
    <m/>
    <n v="1"/>
    <n v="2500000"/>
    <d v="2026-08-01T00:00:00"/>
    <x v="0"/>
  </r>
  <r>
    <s v="SERVICIO DE SALUD OSORNO"/>
    <x v="0"/>
    <x v="57"/>
    <s v="Proyecto operacional"/>
    <s v="Publicado"/>
    <s v="22.06.002"/>
    <x v="58"/>
    <s v="Convenio 2026 -Mantenciones Preventivas, correctivas y/o reparativas de vehículos motorizados de la marca Mitsubishi - Fuso de la Red Asistencial del Servicio de Salud Osorno. Enero 26 - Diciembre 26"/>
    <x v="1"/>
    <x v="44"/>
    <n v="4"/>
    <n v="1"/>
    <x v="62"/>
    <x v="0"/>
    <x v="11"/>
    <x v="20"/>
    <x v="5"/>
    <x v="40"/>
    <s v="64-2565654-"/>
    <s v="felipe.salvob@redsalud.gob.cl"/>
    <x v="7"/>
    <d v="2025-08-20T00:00:00"/>
    <n v="0"/>
    <m/>
    <n v="1"/>
    <n v="2500000"/>
    <d v="2026-04-01T00:00:00"/>
    <x v="0"/>
  </r>
  <r>
    <s v="SERVICIO DE SALUD OSORNO"/>
    <x v="0"/>
    <x v="57"/>
    <s v="Proyecto operacional"/>
    <s v="Publicado"/>
    <s v="22.06.002"/>
    <x v="58"/>
    <s v="Convenio 2026 -Mantenciones Preventivas, correctivas y/o reparativas de vehículos motorizados de la marca Mitsubishi - Fuso de la Red Asistencial del Servicio de Salud Osorno. Enero 26 - Diciembre 26"/>
    <x v="1"/>
    <x v="44"/>
    <n v="4"/>
    <n v="1"/>
    <x v="62"/>
    <x v="0"/>
    <x v="11"/>
    <x v="20"/>
    <x v="5"/>
    <x v="40"/>
    <s v="64-2565654-"/>
    <s v="felipe.salvob@redsalud.gob.cl"/>
    <x v="7"/>
    <d v="2025-08-20T00:00:00"/>
    <n v="0"/>
    <m/>
    <n v="1"/>
    <n v="2500000"/>
    <d v="2026-09-01T00:00:00"/>
    <x v="0"/>
  </r>
  <r>
    <s v="SERVICIO DE SALUD OSORNO"/>
    <x v="0"/>
    <x v="57"/>
    <s v="Proyecto operacional"/>
    <s v="Publicado"/>
    <s v="22.06.002"/>
    <x v="58"/>
    <s v="Convenio 2026 -Mantenciones Preventivas, correctivas y/o reparativas de vehículos motorizados de la marca Mitsubishi - Fuso de la Red Asistencial del Servicio de Salud Osorno. Enero 26 - Diciembre 26"/>
    <x v="1"/>
    <x v="44"/>
    <n v="4"/>
    <n v="1"/>
    <x v="62"/>
    <x v="0"/>
    <x v="11"/>
    <x v="20"/>
    <x v="5"/>
    <x v="40"/>
    <s v="64-2565654-"/>
    <s v="felipe.salvob@redsalud.gob.cl"/>
    <x v="7"/>
    <d v="2025-08-20T00:00:00"/>
    <n v="0"/>
    <m/>
    <n v="1"/>
    <n v="2500000"/>
    <d v="2026-10-01T00:00:00"/>
    <x v="0"/>
  </r>
  <r>
    <s v="SERVICIO DE SALUD OSORNO"/>
    <x v="0"/>
    <x v="57"/>
    <s v="Proyecto operacional"/>
    <s v="Publicado"/>
    <s v="22.06.002"/>
    <x v="58"/>
    <s v="Convenio 2026 -Mantenciones Preventivas, correctivas y/o reparativas de vehículos motorizados de la marca Mitsubishi - Fuso de la Red Asistencial del Servicio de Salud Osorno. Enero 26 - Diciembre 26"/>
    <x v="1"/>
    <x v="44"/>
    <n v="4"/>
    <n v="1"/>
    <x v="62"/>
    <x v="0"/>
    <x v="11"/>
    <x v="20"/>
    <x v="5"/>
    <x v="40"/>
    <s v="64-2565654-"/>
    <s v="felipe.salvob@redsalud.gob.cl"/>
    <x v="7"/>
    <d v="2025-08-20T00:00:00"/>
    <n v="0"/>
    <m/>
    <n v="1"/>
    <n v="2500000"/>
    <d v="2026-11-01T00:00:00"/>
    <x v="0"/>
  </r>
  <r>
    <s v="SERVICIO DE SALUD OSORNO"/>
    <x v="0"/>
    <x v="57"/>
    <s v="Proyecto operacional"/>
    <s v="Publicado"/>
    <s v="22.06.002"/>
    <x v="58"/>
    <s v="Convenio 2026 -Mantenciones Preventivas, correctivas y/o reparativas de vehículos motorizados de la marca Mitsubishi - Fuso de la Red Asistencial del Servicio de Salud Osorno. Enero 26 - Diciembre 26"/>
    <x v="1"/>
    <x v="44"/>
    <n v="4"/>
    <n v="1"/>
    <x v="62"/>
    <x v="0"/>
    <x v="11"/>
    <x v="20"/>
    <x v="5"/>
    <x v="40"/>
    <s v="64-2565654-"/>
    <s v="felipe.salvob@redsalud.gob.cl"/>
    <x v="7"/>
    <d v="2025-08-20T00:00:00"/>
    <n v="0"/>
    <m/>
    <n v="1"/>
    <n v="2500000"/>
    <d v="2026-12-01T00:00:00"/>
    <x v="0"/>
  </r>
  <r>
    <s v="SERVICIO DE SALUD OSORNO"/>
    <x v="0"/>
    <x v="58"/>
    <s v="Proyecto operacional"/>
    <s v="Publicado"/>
    <s v="22.05"/>
    <x v="59"/>
    <s v="Sistema Push To Talk y control de flota, integrado al sistema VHF de SSO y conexión a canal nacional SAMU, por un periodo de 36 meses, desde enero 2026 hasta diciembre 2028, para complementar zonas que no cuentan con cobertura radial e implementar gestión de flota moviles de la red."/>
    <x v="1"/>
    <x v="50"/>
    <n v="4"/>
    <n v="36"/>
    <x v="63"/>
    <x v="93"/>
    <x v="3"/>
    <x v="4"/>
    <x v="8"/>
    <x v="3"/>
    <s v="64-2337728-"/>
    <s v="CATALINA.VERAC@REDSALUD.GOB.CL"/>
    <x v="6"/>
    <d v="2025-08-20T00:00:00"/>
    <n v="0"/>
    <m/>
    <n v="1"/>
    <n v="5777778"/>
    <d v="2026-02-01T00:00:00"/>
    <x v="0"/>
  </r>
  <r>
    <s v="SERVICIO DE SALUD OSORNO"/>
    <x v="0"/>
    <x v="58"/>
    <s v="Proyecto operacional"/>
    <s v="Publicado"/>
    <s v="22.05"/>
    <x v="59"/>
    <s v="Sistema Push To Talk y control de flota, integrado al sistema VHF de SSO y conexión a canal nacional SAMU, por un periodo de 36 meses, desde enero 2026 hasta diciembre 2028, para complementar zonas que no cuentan con cobertura radial e implementar gestión de flota moviles de la red."/>
    <x v="1"/>
    <x v="50"/>
    <n v="4"/>
    <n v="36"/>
    <x v="63"/>
    <x v="93"/>
    <x v="3"/>
    <x v="4"/>
    <x v="8"/>
    <x v="3"/>
    <s v="64-2337728-"/>
    <s v="CATALINA.VERAC@REDSALUD.GOB.CL"/>
    <x v="6"/>
    <d v="2025-08-20T00:00:00"/>
    <n v="0"/>
    <m/>
    <n v="1"/>
    <n v="5777778"/>
    <d v="2026-09-01T00:00:00"/>
    <x v="0"/>
  </r>
  <r>
    <s v="SERVICIO DE SALUD OSORNO"/>
    <x v="0"/>
    <x v="58"/>
    <s v="Proyecto operacional"/>
    <s v="Publicado"/>
    <s v="22.05"/>
    <x v="59"/>
    <s v="Sistema Push To Talk y control de flota, integrado al sistema VHF de SSO y conexión a canal nacional SAMU, por un periodo de 36 meses, desde enero 2026 hasta diciembre 2028, para complementar zonas que no cuentan con cobertura radial e implementar gestión de flota moviles de la red."/>
    <x v="1"/>
    <x v="50"/>
    <n v="4"/>
    <n v="36"/>
    <x v="63"/>
    <x v="93"/>
    <x v="3"/>
    <x v="4"/>
    <x v="8"/>
    <x v="3"/>
    <s v="64-2337728-"/>
    <s v="CATALINA.VERAC@REDSALUD.GOB.CL"/>
    <x v="6"/>
    <d v="2025-08-20T00:00:00"/>
    <n v="0"/>
    <m/>
    <n v="1"/>
    <n v="5777778"/>
    <d v="2026-01-01T00:00:00"/>
    <x v="0"/>
  </r>
  <r>
    <s v="SERVICIO DE SALUD OSORNO"/>
    <x v="0"/>
    <x v="58"/>
    <s v="Proyecto operacional"/>
    <s v="Publicado"/>
    <s v="22.05"/>
    <x v="59"/>
    <s v="Sistema Push To Talk y control de flota, integrado al sistema VHF de SSO y conexión a canal nacional SAMU, por un periodo de 36 meses, desde enero 2026 hasta diciembre 2028, para complementar zonas que no cuentan con cobertura radial e implementar gestión de flota moviles de la red."/>
    <x v="1"/>
    <x v="50"/>
    <n v="4"/>
    <n v="36"/>
    <x v="63"/>
    <x v="93"/>
    <x v="3"/>
    <x v="4"/>
    <x v="8"/>
    <x v="3"/>
    <s v="64-2337728-"/>
    <s v="CATALINA.VERAC@REDSALUD.GOB.CL"/>
    <x v="6"/>
    <d v="2025-08-20T00:00:00"/>
    <n v="0"/>
    <m/>
    <n v="1"/>
    <n v="5777778"/>
    <d v="2026-07-01T00:00:00"/>
    <x v="0"/>
  </r>
  <r>
    <s v="SERVICIO DE SALUD OSORNO"/>
    <x v="0"/>
    <x v="58"/>
    <s v="Proyecto operacional"/>
    <s v="Publicado"/>
    <s v="22.05"/>
    <x v="59"/>
    <s v="Sistema Push To Talk y control de flota, integrado al sistema VHF de SSO y conexión a canal nacional SAMU, por un periodo de 36 meses, desde enero 2026 hasta diciembre 2028, para complementar zonas que no cuentan con cobertura radial e implementar gestión de flota moviles de la red."/>
    <x v="1"/>
    <x v="50"/>
    <n v="4"/>
    <n v="36"/>
    <x v="63"/>
    <x v="93"/>
    <x v="3"/>
    <x v="4"/>
    <x v="8"/>
    <x v="3"/>
    <s v="64-2337728-"/>
    <s v="CATALINA.VERAC@REDSALUD.GOB.CL"/>
    <x v="6"/>
    <d v="2025-08-20T00:00:00"/>
    <n v="0"/>
    <m/>
    <n v="1"/>
    <n v="5777778"/>
    <d v="2026-10-01T00:00:00"/>
    <x v="0"/>
  </r>
  <r>
    <s v="SERVICIO DE SALUD OSORNO"/>
    <x v="0"/>
    <x v="58"/>
    <s v="Proyecto operacional"/>
    <s v="Publicado"/>
    <s v="22.05"/>
    <x v="59"/>
    <s v="Sistema Push To Talk y control de flota, integrado al sistema VHF de SSO y conexión a canal nacional SAMU, por un periodo de 36 meses, desde enero 2026 hasta diciembre 2028, para complementar zonas que no cuentan con cobertura radial e implementar gestión de flota moviles de la red."/>
    <x v="1"/>
    <x v="50"/>
    <n v="4"/>
    <n v="36"/>
    <x v="63"/>
    <x v="93"/>
    <x v="3"/>
    <x v="4"/>
    <x v="8"/>
    <x v="3"/>
    <s v="64-2337728-"/>
    <s v="CATALINA.VERAC@REDSALUD.GOB.CL"/>
    <x v="6"/>
    <d v="2025-08-20T00:00:00"/>
    <n v="0"/>
    <m/>
    <n v="1"/>
    <n v="5777778"/>
    <d v="2026-04-01T00:00:00"/>
    <x v="0"/>
  </r>
  <r>
    <s v="SERVICIO DE SALUD OSORNO"/>
    <x v="0"/>
    <x v="58"/>
    <s v="Proyecto operacional"/>
    <s v="Publicado"/>
    <s v="22.05"/>
    <x v="59"/>
    <s v="Sistema Push To Talk y control de flota, integrado al sistema VHF de SSO y conexión a canal nacional SAMU, por un periodo de 36 meses, desde enero 2026 hasta diciembre 2028, para complementar zonas que no cuentan con cobertura radial e implementar gestión de flota moviles de la red."/>
    <x v="1"/>
    <x v="50"/>
    <n v="4"/>
    <n v="36"/>
    <x v="63"/>
    <x v="93"/>
    <x v="3"/>
    <x v="4"/>
    <x v="8"/>
    <x v="3"/>
    <s v="64-2337728-"/>
    <s v="CATALINA.VERAC@REDSALUD.GOB.CL"/>
    <x v="6"/>
    <d v="2025-08-20T00:00:00"/>
    <n v="0"/>
    <m/>
    <n v="1"/>
    <n v="5777778"/>
    <d v="2026-11-01T00:00:00"/>
    <x v="0"/>
  </r>
  <r>
    <s v="SERVICIO DE SALUD OSORNO"/>
    <x v="0"/>
    <x v="58"/>
    <s v="Proyecto operacional"/>
    <s v="Publicado"/>
    <s v="22.05"/>
    <x v="59"/>
    <s v="Sistema Push To Talk y control de flota, integrado al sistema VHF de SSO y conexión a canal nacional SAMU, por un periodo de 36 meses, desde enero 2026 hasta diciembre 2028, para complementar zonas que no cuentan con cobertura radial e implementar gestión de flota moviles de la red."/>
    <x v="1"/>
    <x v="50"/>
    <n v="4"/>
    <n v="36"/>
    <x v="63"/>
    <x v="93"/>
    <x v="3"/>
    <x v="4"/>
    <x v="8"/>
    <x v="3"/>
    <s v="64-2337728-"/>
    <s v="CATALINA.VERAC@REDSALUD.GOB.CL"/>
    <x v="6"/>
    <d v="2025-08-20T00:00:00"/>
    <n v="0"/>
    <m/>
    <n v="1"/>
    <n v="5777778"/>
    <d v="2026-06-01T00:00:00"/>
    <x v="0"/>
  </r>
  <r>
    <s v="SERVICIO DE SALUD OSORNO"/>
    <x v="0"/>
    <x v="58"/>
    <s v="Proyecto operacional"/>
    <s v="Publicado"/>
    <s v="22.05"/>
    <x v="59"/>
    <s v="Sistema Push To Talk y control de flota, integrado al sistema VHF de SSO y conexión a canal nacional SAMU, por un periodo de 36 meses, desde enero 2026 hasta diciembre 2028, para complementar zonas que no cuentan con cobertura radial e implementar gestión de flota moviles de la red."/>
    <x v="1"/>
    <x v="50"/>
    <n v="4"/>
    <n v="36"/>
    <x v="63"/>
    <x v="93"/>
    <x v="3"/>
    <x v="4"/>
    <x v="8"/>
    <x v="3"/>
    <s v="64-2337728-"/>
    <s v="CATALINA.VERAC@REDSALUD.GOB.CL"/>
    <x v="6"/>
    <d v="2025-08-20T00:00:00"/>
    <n v="0"/>
    <m/>
    <n v="1"/>
    <n v="5777778"/>
    <d v="2026-08-01T00:00:00"/>
    <x v="0"/>
  </r>
  <r>
    <s v="SERVICIO DE SALUD OSORNO"/>
    <x v="0"/>
    <x v="58"/>
    <s v="Proyecto operacional"/>
    <s v="Publicado"/>
    <s v="22.05"/>
    <x v="59"/>
    <s v="Sistema Push To Talk y control de flota, integrado al sistema VHF de SSO y conexión a canal nacional SAMU, por un periodo de 36 meses, desde enero 2026 hasta diciembre 2028, para complementar zonas que no cuentan con cobertura radial e implementar gestión de flota moviles de la red."/>
    <x v="1"/>
    <x v="50"/>
    <n v="4"/>
    <n v="36"/>
    <x v="63"/>
    <x v="93"/>
    <x v="3"/>
    <x v="4"/>
    <x v="8"/>
    <x v="3"/>
    <s v="64-2337728-"/>
    <s v="CATALINA.VERAC@REDSALUD.GOB.CL"/>
    <x v="6"/>
    <d v="2025-08-20T00:00:00"/>
    <n v="0"/>
    <m/>
    <n v="1"/>
    <n v="5777778"/>
    <d v="2026-03-01T00:00:00"/>
    <x v="0"/>
  </r>
  <r>
    <s v="SERVICIO DE SALUD OSORNO"/>
    <x v="0"/>
    <x v="58"/>
    <s v="Proyecto operacional"/>
    <s v="Publicado"/>
    <s v="22.05"/>
    <x v="59"/>
    <s v="Sistema Push To Talk y control de flota, integrado al sistema VHF de SSO y conexión a canal nacional SAMU, por un periodo de 36 meses, desde enero 2026 hasta diciembre 2028, para complementar zonas que no cuentan con cobertura radial e implementar gestión de flota moviles de la red."/>
    <x v="1"/>
    <x v="50"/>
    <n v="4"/>
    <n v="36"/>
    <x v="63"/>
    <x v="93"/>
    <x v="3"/>
    <x v="4"/>
    <x v="8"/>
    <x v="3"/>
    <s v="64-2337728-"/>
    <s v="CATALINA.VERAC@REDSALUD.GOB.CL"/>
    <x v="6"/>
    <d v="2025-08-20T00:00:00"/>
    <n v="0"/>
    <m/>
    <n v="1"/>
    <n v="5777778"/>
    <d v="2026-12-01T00:00:00"/>
    <x v="0"/>
  </r>
  <r>
    <s v="SERVICIO DE SALUD OSORNO"/>
    <x v="0"/>
    <x v="58"/>
    <s v="Proyecto operacional"/>
    <s v="Publicado"/>
    <s v="22.05"/>
    <x v="59"/>
    <s v="Sistema Push To Talk y control de flota, integrado al sistema VHF de SSO y conexión a canal nacional SAMU, por un periodo de 36 meses, desde enero 2026 hasta diciembre 2028, para complementar zonas que no cuentan con cobertura radial e implementar gestión de flota moviles de la red."/>
    <x v="1"/>
    <x v="50"/>
    <n v="4"/>
    <n v="36"/>
    <x v="63"/>
    <x v="93"/>
    <x v="3"/>
    <x v="4"/>
    <x v="8"/>
    <x v="3"/>
    <s v="64-2337728-"/>
    <s v="CATALINA.VERAC@REDSALUD.GOB.CL"/>
    <x v="6"/>
    <d v="2025-08-20T00:00:00"/>
    <n v="0"/>
    <m/>
    <n v="1"/>
    <n v="5777778"/>
    <d v="2026-05-01T00:00:00"/>
    <x v="0"/>
  </r>
  <r>
    <s v="SERVICIO DE SALUD OSORNO"/>
    <x v="2"/>
    <x v="59"/>
    <s v="Proyecto operacional"/>
    <s v="Enviado"/>
    <n v="32"/>
    <x v="60"/>
    <s v="describe una serie de iniciativas y actividades organizadas por el Servicio de Salud Osorno con el objetivo de fomentar el bienestar, la cultura, el deporte y la convivencia entre sus afiliados, tanto activos como pasivos. Las actividades incluyen proyectos deportivos, eventos artísticos y culturales, manualidades y folclore, así como celebraciones especiales como la Gala Folclórica y la Celebración de Navidad para los hijos de los afiliados."/>
    <x v="3"/>
    <x v="51"/>
    <n v="4"/>
    <n v="1"/>
    <x v="57"/>
    <x v="94"/>
    <x v="4"/>
    <x v="24"/>
    <x v="36"/>
    <x v="41"/>
    <s v="64-2336164-"/>
    <s v="claudia.centeno@redsalud.gob.cl"/>
    <x v="14"/>
    <m/>
    <n v="0"/>
    <m/>
    <n v="0"/>
    <n v="0"/>
    <m/>
    <x v="1"/>
  </r>
  <r>
    <s v="SERVICIO DE SALUD OSORNO"/>
    <x v="2"/>
    <x v="59"/>
    <s v="Proyecto operacional"/>
    <s v="Enviado"/>
    <n v="32"/>
    <x v="60"/>
    <s v="describe una serie de iniciativas y actividades organizadas por el Servicio de Salud Osorno con el objetivo de fomentar el bienestar, la cultura, el deporte y la convivencia entre sus afiliados, tanto activos como pasivos. Las actividades incluyen proyectos deportivos, eventos artísticos y culturales, manualidades y folclore, así como celebraciones especiales como la Gala Folclórica y la Celebración de Navidad para los hijos de los afiliados."/>
    <x v="3"/>
    <x v="52"/>
    <n v="4"/>
    <n v="1"/>
    <x v="64"/>
    <x v="95"/>
    <x v="4"/>
    <x v="25"/>
    <x v="36"/>
    <x v="41"/>
    <s v="64-2336164-"/>
    <s v="claudia.centeno@redsalud.gob.cl"/>
    <x v="15"/>
    <m/>
    <n v="0"/>
    <m/>
    <n v="0"/>
    <n v="0"/>
    <m/>
    <x v="1"/>
  </r>
  <r>
    <s v="SERVICIO DE SALUD OSORNO"/>
    <x v="2"/>
    <x v="59"/>
    <s v="Proyecto operacional"/>
    <s v="Enviado"/>
    <n v="32"/>
    <x v="60"/>
    <s v="describe una serie de iniciativas y actividades organizadas por el Servicio de Salud Osorno con el objetivo de fomentar el bienestar, la cultura, el deporte y la convivencia entre sus afiliados, tanto activos como pasivos. Las actividades incluyen proyectos deportivos, eventos artísticos y culturales, manualidades y folclore, así como celebraciones especiales como la Gala Folclórica y la Celebración de Navidad para los hijos de los afiliados."/>
    <x v="3"/>
    <x v="53"/>
    <n v="4"/>
    <n v="1"/>
    <x v="58"/>
    <x v="96"/>
    <x v="4"/>
    <x v="25"/>
    <x v="36"/>
    <x v="41"/>
    <s v="64-2336164-"/>
    <s v="claudia.centeno@redsalud.gob.cl"/>
    <x v="15"/>
    <m/>
    <n v="0"/>
    <m/>
    <n v="0"/>
    <n v="0"/>
    <m/>
    <x v="1"/>
  </r>
  <r>
    <s v="SERVICIO DE SALUD OSORNO"/>
    <x v="2"/>
    <x v="59"/>
    <s v="Proyecto operacional"/>
    <s v="Enviado"/>
    <n v="32"/>
    <x v="60"/>
    <s v="describe una serie de iniciativas y actividades organizadas por el Servicio de Salud Osorno con el objetivo de fomentar el bienestar, la cultura, el deporte y la convivencia entre sus afiliados, tanto activos como pasivos. Las actividades incluyen proyectos deportivos, eventos artísticos y culturales, manualidades y folclore, así como celebraciones especiales como la Gala Folclórica y la Celebración de Navidad para los hijos de los afiliados."/>
    <x v="3"/>
    <x v="54"/>
    <n v="4"/>
    <n v="1"/>
    <x v="65"/>
    <x v="97"/>
    <x v="4"/>
    <x v="26"/>
    <x v="36"/>
    <x v="41"/>
    <s v="64-2336164-"/>
    <s v="claudia.centeno@redsalud.gob.cl"/>
    <x v="16"/>
    <m/>
    <n v="0"/>
    <m/>
    <n v="0"/>
    <n v="0"/>
    <m/>
    <x v="1"/>
  </r>
  <r>
    <s v="SERVICIO DE SALUD OSORNO"/>
    <x v="2"/>
    <x v="59"/>
    <s v="Proyecto operacional"/>
    <s v="Enviado"/>
    <n v="32"/>
    <x v="60"/>
    <s v="describe una serie de iniciativas y actividades organizadas por el Servicio de Salud Osorno con el objetivo de fomentar el bienestar, la cultura, el deporte y la convivencia entre sus afiliados, tanto activos como pasivos. Las actividades incluyen proyectos deportivos, eventos artísticos y culturales, manualidades y folclore, así como celebraciones especiales como la Gala Folclórica y la Celebración de Navidad para los hijos de los afiliados."/>
    <x v="3"/>
    <x v="55"/>
    <n v="4"/>
    <n v="1"/>
    <x v="66"/>
    <x v="98"/>
    <x v="4"/>
    <x v="27"/>
    <x v="36"/>
    <x v="41"/>
    <s v="64-2336164-"/>
    <s v="claudia.centeno@redsalud.gob.cl"/>
    <x v="17"/>
    <m/>
    <n v="0"/>
    <m/>
    <n v="0"/>
    <n v="0"/>
    <m/>
    <x v="1"/>
  </r>
  <r>
    <s v="SERVICIO DE SALUD OSORNO"/>
    <x v="2"/>
    <x v="59"/>
    <s v="Proyecto operacional"/>
    <s v="Enviado"/>
    <n v="32"/>
    <x v="60"/>
    <s v="describe una serie de iniciativas y actividades organizadas por el Servicio de Salud Osorno con el objetivo de fomentar el bienestar, la cultura, el deporte y la convivencia entre sus afiliados, tanto activos como pasivos. Las actividades incluyen proyectos deportivos, eventos artísticos y culturales, manualidades y folclore, así como celebraciones especiales como la Gala Folclórica y la Celebración de Navidad para los hijos de los afiliados."/>
    <x v="3"/>
    <x v="56"/>
    <n v="4"/>
    <n v="1"/>
    <x v="67"/>
    <x v="99"/>
    <x v="4"/>
    <x v="28"/>
    <x v="36"/>
    <x v="41"/>
    <s v="64-2336164-"/>
    <s v="claudia.centeno@redsalud.gob.cl"/>
    <x v="18"/>
    <m/>
    <n v="0"/>
    <m/>
    <n v="0"/>
    <n v="0"/>
    <m/>
    <x v="1"/>
  </r>
  <r>
    <s v="SERVICIO DE SALUD OSORNO"/>
    <x v="2"/>
    <x v="59"/>
    <s v="Proyecto operacional"/>
    <s v="Enviado"/>
    <n v="32"/>
    <x v="60"/>
    <s v="describe una serie de iniciativas y actividades organizadas por el Servicio de Salud Osorno con el objetivo de fomentar el bienestar, la cultura, el deporte y la convivencia entre sus afiliados, tanto activos como pasivos. Las actividades incluyen proyectos deportivos, eventos artísticos y culturales, manualidades y folclore, así como celebraciones especiales como la Gala Folclórica y la Celebración de Navidad para los hijos de los afiliados."/>
    <x v="3"/>
    <x v="57"/>
    <n v="4"/>
    <n v="1"/>
    <x v="10"/>
    <x v="100"/>
    <x v="4"/>
    <x v="29"/>
    <x v="36"/>
    <x v="41"/>
    <s v="64-2336164-"/>
    <s v="claudia.centeno@redsalud.gob.cl"/>
    <x v="18"/>
    <m/>
    <n v="0"/>
    <m/>
    <n v="0"/>
    <n v="0"/>
    <m/>
    <x v="1"/>
  </r>
  <r>
    <s v="SERVICIO DE SALUD OSORNO"/>
    <x v="2"/>
    <x v="59"/>
    <s v="Proyecto operacional"/>
    <s v="Enviado"/>
    <n v="32"/>
    <x v="60"/>
    <s v="describe una serie de iniciativas y actividades organizadas por el Servicio de Salud Osorno con el objetivo de fomentar el bienestar, la cultura, el deporte y la convivencia entre sus afiliados, tanto activos como pasivos. Las actividades incluyen proyectos deportivos, eventos artísticos y culturales, manualidades y folclore, así como celebraciones especiales como la Gala Folclórica y la Celebración de Navidad para los hijos de los afiliados."/>
    <x v="3"/>
    <x v="58"/>
    <n v="4"/>
    <n v="1"/>
    <x v="39"/>
    <x v="101"/>
    <x v="4"/>
    <x v="29"/>
    <x v="36"/>
    <x v="41"/>
    <s v="64-2336164-"/>
    <s v="claudia.centeno@redsalud.gob.cl"/>
    <x v="18"/>
    <m/>
    <n v="0"/>
    <m/>
    <n v="0"/>
    <n v="0"/>
    <m/>
    <x v="1"/>
  </r>
  <r>
    <s v="SERVICIO DE SALUD OSORNO"/>
    <x v="1"/>
    <x v="60"/>
    <s v="Proyecto operacional"/>
    <s v="Enviado"/>
    <s v="22.12.999.02"/>
    <x v="61"/>
    <s v="Se requiere la ADQUISICIÓN DE PRESTACIONES DE REHABILITACIÓN INTEGRAL PARA EVALUACIÓN DIAGNÓSTICA Y TRATAMIENTO EN NIÑOS, NIÑAS Y ADOLESCENTES CON TRASTORNO DEL ESPECTRO AUTISTA (TEA). Se entregarán prestaciones a usuarios de la provincia de Osorno. Se realizará pago por prestaciones realizadas de acuerdo a arancel de modalidad de libre elección nivel 3, para cada una de ellas. Debido a que cada usuario tiene un Plan de tratamiento distinto, la cantidad de prestaciones no se puede definir, al igual que el numero de NNA."/>
    <x v="1"/>
    <x v="59"/>
    <n v="4"/>
    <n v="200"/>
    <x v="68"/>
    <x v="102"/>
    <x v="14"/>
    <x v="30"/>
    <x v="37"/>
    <x v="42"/>
    <s v="64-2335807-"/>
    <s v="karin.avila@redsalud.gob.cl"/>
    <x v="19"/>
    <m/>
    <n v="0"/>
    <m/>
    <n v="0"/>
    <n v="0"/>
    <m/>
    <x v="1"/>
  </r>
  <r>
    <s v="SERVICIO DE SALUD OSORNO"/>
    <x v="3"/>
    <x v="61"/>
    <s v="Proyecto estratégico"/>
    <s v="Enviado"/>
    <s v="29.05.002"/>
    <x v="62"/>
    <s v="Compra de Insumos y equipamiento para el desarrollo del Programa (GORE) ?Apoyo de Rehabilitación Integral e Inclusión Social para niños, niñas y adolescentes con Trastorno del Espectro Autista, para su ejecución enero-diciembre 2025. Programa que será ejecutido con la implementación de una sala de rehabilitación y un equipo de profesionales T. Ocupacional, Fonoaudiologo y Psicologo, para las 7 comunas de la provincia de Osorno. En algunas de ellas se considera el arriendo de un espacio y en otras la implementación en espacios publicos municipal"/>
    <x v="4"/>
    <x v="60"/>
    <n v="4"/>
    <n v="1"/>
    <x v="69"/>
    <x v="103"/>
    <x v="4"/>
    <x v="31"/>
    <x v="37"/>
    <x v="42"/>
    <s v="64-2335807-"/>
    <s v="karin.avila@redsalud.gob.cl"/>
    <x v="20"/>
    <m/>
    <n v="0"/>
    <m/>
    <n v="0"/>
    <n v="0"/>
    <m/>
    <x v="1"/>
  </r>
  <r>
    <s v="SERVICIO DE SALUD OSORNO"/>
    <x v="3"/>
    <x v="61"/>
    <s v="Proyecto estratégico"/>
    <s v="Enviado"/>
    <s v="29.05.002"/>
    <x v="62"/>
    <s v="Compra de Insumos y equipamiento para el desarrollo del Programa (GORE) ?Apoyo de Rehabilitación Integral e Inclusión Social para niños, niñas y adolescentes con Trastorno del Espectro Autista, para su ejecución enero-diciembre 2025. Programa que será ejecutido con la implementación de una sala de rehabilitación y un equipo de profesionales T. Ocupacional, Fonoaudiologo y Psicologo, para las 7 comunas de la provincia de Osorno. En algunas de ellas se considera el arriendo de un espacio y en otras la implementación en espacios publicos municipal"/>
    <x v="4"/>
    <x v="61"/>
    <n v="4"/>
    <n v="4"/>
    <x v="70"/>
    <x v="104"/>
    <x v="4"/>
    <x v="31"/>
    <x v="37"/>
    <x v="42"/>
    <s v="64-2335807-"/>
    <s v="karin.avila@redsalud.gob.cl"/>
    <x v="20"/>
    <m/>
    <n v="0"/>
    <m/>
    <n v="0"/>
    <n v="0"/>
    <m/>
    <x v="1"/>
  </r>
  <r>
    <s v="SERVICIO DE SALUD OSORNO"/>
    <x v="3"/>
    <x v="61"/>
    <s v="Proyecto estratégico"/>
    <s v="Enviado"/>
    <s v="29.05.002"/>
    <x v="62"/>
    <s v="Compra de Insumos y equipamiento para el desarrollo del Programa (GORE) ?Apoyo de Rehabilitación Integral e Inclusión Social para niños, niñas y adolescentes con Trastorno del Espectro Autista, para su ejecución enero-diciembre 2025. Programa que será ejecutido con la implementación de una sala de rehabilitación y un equipo de profesionales T. Ocupacional, Fonoaudiologo y Psicologo, para las 7 comunas de la provincia de Osorno. En algunas de ellas se considera el arriendo de un espacio y en otras la implementación en espacios publicos municipal"/>
    <x v="4"/>
    <x v="62"/>
    <n v="4"/>
    <n v="7"/>
    <x v="71"/>
    <x v="105"/>
    <x v="4"/>
    <x v="32"/>
    <x v="37"/>
    <x v="42"/>
    <s v="64-2335807-"/>
    <s v="karin.avila@redsalud.gob.cl"/>
    <x v="21"/>
    <m/>
    <n v="0"/>
    <m/>
    <n v="0"/>
    <n v="0"/>
    <m/>
    <x v="1"/>
  </r>
  <r>
    <s v="SERVICIO DE SALUD OSORNO"/>
    <x v="3"/>
    <x v="61"/>
    <s v="Proyecto estratégico"/>
    <s v="Enviado"/>
    <s v="29.05.002"/>
    <x v="62"/>
    <s v="Compra de Insumos y equipamiento para el desarrollo del Programa (GORE) ?Apoyo de Rehabilitación Integral e Inclusión Social para niños, niñas y adolescentes con Trastorno del Espectro Autista, para su ejecución enero-diciembre 2025. Programa que será ejecutido con la implementación de una sala de rehabilitación y un equipo de profesionales T. Ocupacional, Fonoaudiologo y Psicologo, para las 7 comunas de la provincia de Osorno. En algunas de ellas se considera el arriendo de un espacio y en otras la implementación en espacios publicos municipal"/>
    <x v="4"/>
    <x v="63"/>
    <n v="4"/>
    <n v="7"/>
    <x v="72"/>
    <x v="106"/>
    <x v="4"/>
    <x v="26"/>
    <x v="37"/>
    <x v="42"/>
    <s v="64-2335807-"/>
    <s v="karin.avila@redsalud.gob.cl"/>
    <x v="16"/>
    <m/>
    <n v="0"/>
    <m/>
    <n v="0"/>
    <n v="0"/>
    <m/>
    <x v="1"/>
  </r>
  <r>
    <s v="SERVICIO DE SALUD OSORNO"/>
    <x v="3"/>
    <x v="61"/>
    <s v="Proyecto estratégico"/>
    <s v="Enviado"/>
    <s v="29.05.002"/>
    <x v="62"/>
    <s v="Compra de Insumos y equipamiento para el desarrollo del Programa (GORE) ?Apoyo de Rehabilitación Integral e Inclusión Social para niños, niñas y adolescentes con Trastorno del Espectro Autista, para su ejecución enero-diciembre 2025. Programa que será ejecutido con la implementación de una sala de rehabilitación y un equipo de profesionales T. Ocupacional, Fonoaudiologo y Psicologo, para las 7 comunas de la provincia de Osorno. En algunas de ellas se considera el arriendo de un espacio y en otras la implementación en espacios publicos municipal"/>
    <x v="4"/>
    <x v="64"/>
    <n v="4"/>
    <n v="7"/>
    <x v="73"/>
    <x v="107"/>
    <x v="4"/>
    <x v="31"/>
    <x v="37"/>
    <x v="42"/>
    <s v="64-2335807-"/>
    <s v="karin.avila@redsalud.gob.cl"/>
    <x v="20"/>
    <m/>
    <n v="0"/>
    <m/>
    <n v="0"/>
    <n v="0"/>
    <m/>
    <x v="1"/>
  </r>
  <r>
    <s v="SERVICIO DE SALUD OSORNO"/>
    <x v="3"/>
    <x v="61"/>
    <s v="Proyecto estratégico"/>
    <s v="Enviado"/>
    <s v="29.05.002"/>
    <x v="62"/>
    <s v="Compra de Insumos y equipamiento para el desarrollo del Programa (GORE) ?Apoyo de Rehabilitación Integral e Inclusión Social para niños, niñas y adolescentes con Trastorno del Espectro Autista, para su ejecución enero-diciembre 2025. Programa que será ejecutido con la implementación de una sala de rehabilitación y un equipo de profesionales T. Ocupacional, Fonoaudiologo y Psicologo, para las 7 comunas de la provincia de Osorno. En algunas de ellas se considera el arriendo de un espacio y en otras la implementación en espacios publicos municipal"/>
    <x v="4"/>
    <x v="65"/>
    <n v="4"/>
    <n v="7"/>
    <x v="74"/>
    <x v="108"/>
    <x v="4"/>
    <x v="31"/>
    <x v="37"/>
    <x v="42"/>
    <s v="64-2335807-"/>
    <s v="karin.avila@redsalud.gob.cl"/>
    <x v="20"/>
    <m/>
    <n v="0"/>
    <m/>
    <n v="0"/>
    <n v="0"/>
    <m/>
    <x v="1"/>
  </r>
  <r>
    <s v="SERVICIO DE SALUD OSORNO"/>
    <x v="1"/>
    <x v="62"/>
    <s v="Proyecto operacional"/>
    <s v="Enviado"/>
    <s v="22.04.005"/>
    <x v="63"/>
    <s v="Medicamentos e insumos para dar apoyo a la red cuando se requiera asociado al programa Fondo de Farmacia para enfermedades crónicas no transmisibles en establecimientos de APS (FOFAR) periodo 2026."/>
    <x v="0"/>
    <x v="25"/>
    <n v="4"/>
    <n v="1"/>
    <x v="62"/>
    <x v="109"/>
    <x v="4"/>
    <x v="24"/>
    <x v="38"/>
    <x v="43"/>
    <s v="64-2335833-"/>
    <s v="chessarina.tuchief@redsalud.gob.cl"/>
    <x v="14"/>
    <m/>
    <n v="0"/>
    <m/>
    <n v="0"/>
    <n v="0"/>
    <m/>
    <x v="1"/>
  </r>
  <r>
    <s v="SERVICIO DE SALUD OSORNO"/>
    <x v="1"/>
    <x v="62"/>
    <s v="Proyecto operacional"/>
    <s v="Enviado"/>
    <s v="22.04.005"/>
    <x v="63"/>
    <s v="Medicamentos e insumos para dar apoyo a la red cuando se requiera asociado al programa Fondo de Farmacia para enfermedades crónicas no transmisibles en establecimientos de APS (FOFAR) periodo 2026."/>
    <x v="0"/>
    <x v="66"/>
    <n v="4"/>
    <n v="1"/>
    <x v="62"/>
    <x v="109"/>
    <x v="4"/>
    <x v="31"/>
    <x v="38"/>
    <x v="43"/>
    <s v="64-2335833-"/>
    <s v="chessarina.tuchief@redsalud.gob.cl"/>
    <x v="20"/>
    <m/>
    <n v="0"/>
    <m/>
    <n v="0"/>
    <n v="0"/>
    <m/>
    <x v="1"/>
  </r>
  <r>
    <s v="SERVICIO DE SALUD OSORNO"/>
    <x v="1"/>
    <x v="63"/>
    <s v="Proyecto operacional"/>
    <s v="Enviado"/>
    <s v="22.04"/>
    <x v="64"/>
    <s v="Compra de elementos de higiene para el funiconamiento del Equipo Rural de Rehabilitación"/>
    <x v="1"/>
    <x v="67"/>
    <n v="4"/>
    <n v="10"/>
    <x v="75"/>
    <x v="110"/>
    <x v="4"/>
    <x v="32"/>
    <x v="37"/>
    <x v="42"/>
    <s v="64-2335807-"/>
    <s v="karin.avila@redsalud.gob.cl"/>
    <x v="21"/>
    <m/>
    <n v="0"/>
    <m/>
    <n v="0"/>
    <n v="0"/>
    <m/>
    <x v="1"/>
  </r>
  <r>
    <s v="SERVICIO DE SALUD OSORNO"/>
    <x v="0"/>
    <x v="64"/>
    <s v="Proyecto operacional"/>
    <s v="Enviado"/>
    <s v="22.06.007"/>
    <x v="65"/>
    <s v="Mantención anual preventiva, limpieza, cambio de cabezales y revisión de componentes."/>
    <x v="1"/>
    <x v="68"/>
    <n v="4"/>
    <n v="1"/>
    <x v="76"/>
    <x v="111"/>
    <x v="4"/>
    <x v="26"/>
    <x v="39"/>
    <x v="44"/>
    <s v="64-2335843-"/>
    <s v="mario.barrientos@redsalud.gob.cl"/>
    <x v="16"/>
    <m/>
    <n v="0"/>
    <m/>
    <n v="0"/>
    <n v="0"/>
    <m/>
    <x v="1"/>
  </r>
  <r>
    <s v="SERVICIO DE SALUD OSORNO"/>
    <x v="0"/>
    <x v="65"/>
    <s v="Proyecto operacional"/>
    <s v="Enviado"/>
    <s v="22.04.001"/>
    <x v="66"/>
    <s v="Adquisición de rollos de 50 mts de papel bond 80 grs, para la impresión de expedientes técnicos de la cartera de Inversión del SSO."/>
    <x v="1"/>
    <x v="69"/>
    <n v="4"/>
    <n v="15"/>
    <x v="77"/>
    <x v="112"/>
    <x v="4"/>
    <x v="25"/>
    <x v="39"/>
    <x v="44"/>
    <s v="64-2335843-"/>
    <s v="mario.barrientos@redsalud.gob.cl"/>
    <x v="15"/>
    <m/>
    <n v="0"/>
    <m/>
    <n v="0"/>
    <n v="0"/>
    <m/>
    <x v="1"/>
  </r>
  <r>
    <s v="SERVICIO DE SALUD OSORNO"/>
    <x v="0"/>
    <x v="66"/>
    <s v="Proyecto operacional"/>
    <s v="Enviado"/>
    <s v="22.04.009"/>
    <x v="67"/>
    <s v="Compra de 2 set completos (6 tintas cada set) de tinta originales para Plotter Canon IPF 770."/>
    <x v="1"/>
    <x v="70"/>
    <n v="4"/>
    <n v="2"/>
    <x v="78"/>
    <x v="113"/>
    <x v="4"/>
    <x v="33"/>
    <x v="39"/>
    <x v="44"/>
    <s v="64-2335843-"/>
    <s v="mario.barrientos@redsalud.gob.cl"/>
    <x v="22"/>
    <m/>
    <n v="0"/>
    <m/>
    <n v="0"/>
    <n v="0"/>
    <m/>
    <x v="1"/>
  </r>
  <r>
    <s v="SERVICIO DE SALUD OSORNO"/>
    <x v="0"/>
    <x v="67"/>
    <s v="Proyecto operacional"/>
    <s v="Enviado"/>
    <s v="22.04.001"/>
    <x v="68"/>
    <s v="Adquisicición Hojas Prehospitalarias"/>
    <x v="1"/>
    <x v="71"/>
    <n v="4"/>
    <n v="260"/>
    <x v="79"/>
    <x v="114"/>
    <x v="4"/>
    <x v="32"/>
    <x v="40"/>
    <x v="45"/>
    <s v="64-2335844-"/>
    <s v="silvia.delgado@redsalud.gob.cl"/>
    <x v="21"/>
    <m/>
    <n v="0"/>
    <m/>
    <n v="0"/>
    <n v="0"/>
    <m/>
    <x v="1"/>
  </r>
  <r>
    <s v="SERVICIO DE SALUD OSORNO"/>
    <x v="0"/>
    <x v="68"/>
    <s v="Proyecto operacional"/>
    <s v="Enviado"/>
    <s v="22.04.999"/>
    <x v="69"/>
    <s v="Permitirá estandarizar la evaluación, clasificación y priorización de pacientes según su gravedad clínica, asegurando una atención oportuna y eficiente. Su ejecución sera entre enero a marzo 2026."/>
    <x v="1"/>
    <x v="72"/>
    <n v="4"/>
    <n v="15"/>
    <x v="80"/>
    <x v="115"/>
    <x v="4"/>
    <x v="32"/>
    <x v="40"/>
    <x v="45"/>
    <s v="64-2335844-"/>
    <s v="silvia.delgado@redsalud.gob.cl"/>
    <x v="21"/>
    <m/>
    <n v="0"/>
    <m/>
    <n v="0"/>
    <n v="0"/>
    <m/>
    <x v="1"/>
  </r>
  <r>
    <s v="SERVICIO DE SALUD OSORNO"/>
    <x v="0"/>
    <x v="69"/>
    <s v="Proyecto operacional"/>
    <s v="Enviado"/>
    <s v="22.04.001"/>
    <x v="70"/>
    <s v="Proyecto de Capacitación ?Curso de Atención Inicial en Urgencias y Entorno Prehospitalario para el Paciente Crítico?. Busca abordar brechas críticas identificadas en la evaluación y manejo inicial de pacientes en situación de urgencia vital, en el ámbito prehospitalario como en servicios de urgencia, mediante un enfoque estandarizado y protocolizado que fortalezca las competencias del equipo clínico. Se requiere servicio de cafeteria y para generar certificación a los asistentes, a ejecutar en marzo 2026, previo a campaña de invierno."/>
    <x v="0"/>
    <x v="73"/>
    <n v="4"/>
    <n v="50"/>
    <x v="81"/>
    <x v="116"/>
    <x v="4"/>
    <x v="32"/>
    <x v="40"/>
    <x v="45"/>
    <s v="64-2335844-"/>
    <s v="silvia.delgado@redsalud.gob.cl"/>
    <x v="21"/>
    <m/>
    <n v="0"/>
    <m/>
    <n v="0"/>
    <n v="0"/>
    <m/>
    <x v="1"/>
  </r>
  <r>
    <s v="SERVICIO DE SALUD OSORNO"/>
    <x v="0"/>
    <x v="69"/>
    <s v="Proyecto operacional"/>
    <s v="Enviado"/>
    <s v="22.04.001"/>
    <x v="70"/>
    <s v="Proyecto de Capacitación ?Curso de Atención Inicial en Urgencias y Entorno Prehospitalario para el Paciente Crítico?. Busca abordar brechas críticas identificadas en la evaluación y manejo inicial de pacientes en situación de urgencia vital, en el ámbito prehospitalario como en servicios de urgencia, mediante un enfoque estandarizado y protocolizado que fortalezca las competencias del equipo clínico. Se requiere servicio de cafeteria y para generar certificación a los asistentes, a ejecutar en marzo 2026, previo a campaña de invierno."/>
    <x v="0"/>
    <x v="32"/>
    <n v="4"/>
    <n v="1"/>
    <x v="82"/>
    <x v="117"/>
    <x v="4"/>
    <x v="32"/>
    <x v="40"/>
    <x v="45"/>
    <s v="64-2335844-"/>
    <s v="silvia.delgado@redsalud.gob.cl"/>
    <x v="21"/>
    <m/>
    <n v="0"/>
    <m/>
    <n v="0"/>
    <n v="0"/>
    <m/>
    <x v="1"/>
  </r>
  <r>
    <s v="SERVICIO DE SALUD OSORNO"/>
    <x v="0"/>
    <x v="70"/>
    <s v="Proyecto operacional"/>
    <s v="Enviado"/>
    <s v="22.01.001"/>
    <x v="71"/>
    <s v="Entregar un coffe break para jornada ?Diálogo participativo 2026&quot; a realizarse en el mes de noviembre 2026. En este espacio significativo se busca capturar información relevante, conocer puntos de vista de las /os participantes, identificando y comprendiendo las problemáticas en salud mental de nuestro territorio a cargo, siendo de importancia para nuestra labor en salud publica generar espacios de integración y trabajo en red , que contribuyan a la salud mental de nuestros usuarios /as. Con cargo a fondo extrapresupuestario SENDA-PAI"/>
    <x v="1"/>
    <x v="32"/>
    <n v="4"/>
    <n v="120"/>
    <x v="28"/>
    <x v="118"/>
    <x v="4"/>
    <x v="28"/>
    <x v="41"/>
    <x v="46"/>
    <s v="64-2335608-"/>
    <s v="camilo.martinez@redsalud.gob.cl"/>
    <x v="18"/>
    <m/>
    <n v="0"/>
    <m/>
    <n v="0"/>
    <n v="0"/>
    <m/>
    <x v="1"/>
  </r>
  <r>
    <s v="SERVICIO DE SALUD OSORNO"/>
    <x v="0"/>
    <x v="71"/>
    <s v="Proyecto operacional"/>
    <s v="Enviado"/>
    <s v="22.01.001"/>
    <x v="72"/>
    <s v="4 servicios de cafetería, mas colación saludable para 20 personas en los meses de abril ?julio ?septiembre y diciembre del 2026. Con cargo a fondo extrapresupuestario SENDA-PAI"/>
    <x v="4"/>
    <x v="32"/>
    <n v="4"/>
    <n v="30"/>
    <x v="28"/>
    <x v="119"/>
    <x v="4"/>
    <x v="24"/>
    <x v="41"/>
    <x v="46"/>
    <s v="64-2335608-"/>
    <s v="camilo.martinez@redsalud.gob.cl"/>
    <x v="14"/>
    <m/>
    <n v="0"/>
    <m/>
    <n v="0"/>
    <n v="0"/>
    <m/>
    <x v="1"/>
  </r>
  <r>
    <s v="SERVICIO DE SALUD OSORNO"/>
    <x v="0"/>
    <x v="71"/>
    <s v="Proyecto operacional"/>
    <s v="Enviado"/>
    <s v="22.01.001"/>
    <x v="72"/>
    <s v="4 servicios de cafetería, mas colación saludable para 20 personas en los meses de abril ?julio ?septiembre y diciembre del 2026. Con cargo a fondo extrapresupuestario SENDA-PAI"/>
    <x v="4"/>
    <x v="32"/>
    <n v="4"/>
    <n v="90"/>
    <x v="28"/>
    <x v="120"/>
    <x v="15"/>
    <x v="34"/>
    <x v="41"/>
    <x v="46"/>
    <s v="64-2335608-"/>
    <s v="camilo.martinez@redsalud.gob.cl"/>
    <x v="22"/>
    <m/>
    <n v="0"/>
    <m/>
    <n v="0"/>
    <n v="0"/>
    <m/>
    <x v="1"/>
  </r>
  <r>
    <s v="SERVICIO DE SALUD OSORNO"/>
    <x v="0"/>
    <x v="71"/>
    <s v="Proyecto operacional"/>
    <s v="Enviado"/>
    <s v="22.01.001"/>
    <x v="72"/>
    <s v="4 servicios de cafetería, mas colación saludable para 20 personas en los meses de abril ?julio ?septiembre y diciembre del 2026. Con cargo a fondo extrapresupuestario SENDA-PAI"/>
    <x v="4"/>
    <x v="31"/>
    <n v="4"/>
    <n v="30"/>
    <x v="28"/>
    <x v="119"/>
    <x v="4"/>
    <x v="24"/>
    <x v="41"/>
    <x v="46"/>
    <s v="64-2335608-"/>
    <s v="camilo.martinez@redsalud.gob.cl"/>
    <x v="14"/>
    <m/>
    <n v="0"/>
    <m/>
    <n v="0"/>
    <n v="0"/>
    <m/>
    <x v="1"/>
  </r>
  <r>
    <s v="SERVICIO DE SALUD OSORNO"/>
    <x v="0"/>
    <x v="71"/>
    <s v="Proyecto operacional"/>
    <s v="Enviado"/>
    <s v="22.01.001"/>
    <x v="72"/>
    <s v="4 servicios de cafetería, mas colación saludable para 20 personas en los meses de abril ?julio ?septiembre y diciembre del 2026. Con cargo a fondo extrapresupuestario SENDA-PAI"/>
    <x v="4"/>
    <x v="31"/>
    <n v="4"/>
    <n v="30"/>
    <x v="28"/>
    <x v="119"/>
    <x v="4"/>
    <x v="33"/>
    <x v="41"/>
    <x v="46"/>
    <s v="64-2335608-"/>
    <s v="camilo.martinez@redsalud.gob.cl"/>
    <x v="22"/>
    <m/>
    <n v="0"/>
    <m/>
    <n v="0"/>
    <n v="0"/>
    <m/>
    <x v="1"/>
  </r>
  <r>
    <s v="SERVICIO DE SALUD OSORNO"/>
    <x v="0"/>
    <x v="71"/>
    <s v="Proyecto operacional"/>
    <s v="Enviado"/>
    <s v="22.01.001"/>
    <x v="72"/>
    <s v="4 servicios de cafetería, mas colación saludable para 20 personas en los meses de abril ?julio ?septiembre y diciembre del 2026. Con cargo a fondo extrapresupuestario SENDA-PAI"/>
    <x v="4"/>
    <x v="31"/>
    <n v="4"/>
    <n v="30"/>
    <x v="28"/>
    <x v="119"/>
    <x v="4"/>
    <x v="26"/>
    <x v="41"/>
    <x v="46"/>
    <s v="64-2335608-"/>
    <s v="camilo.martinez@redsalud.gob.cl"/>
    <x v="16"/>
    <m/>
    <n v="0"/>
    <m/>
    <n v="0"/>
    <n v="0"/>
    <m/>
    <x v="1"/>
  </r>
  <r>
    <s v="SERVICIO DE SALUD OSORNO"/>
    <x v="0"/>
    <x v="71"/>
    <s v="Proyecto operacional"/>
    <s v="Enviado"/>
    <s v="22.01.001"/>
    <x v="72"/>
    <s v="4 servicios de cafetería, mas colación saludable para 20 personas en los meses de abril ?julio ?septiembre y diciembre del 2026. Con cargo a fondo extrapresupuestario SENDA-PAI"/>
    <x v="4"/>
    <x v="31"/>
    <n v="4"/>
    <n v="30"/>
    <x v="28"/>
    <x v="119"/>
    <x v="4"/>
    <x v="29"/>
    <x v="41"/>
    <x v="46"/>
    <s v="64-2335608-"/>
    <s v="camilo.martinez@redsalud.gob.cl"/>
    <x v="23"/>
    <m/>
    <n v="0"/>
    <m/>
    <n v="0"/>
    <n v="0"/>
    <m/>
    <x v="1"/>
  </r>
  <r>
    <s v="SERVICIO DE SALUD OSORNO"/>
    <x v="0"/>
    <x v="72"/>
    <s v="Proyecto operacional"/>
    <s v="Enviado"/>
    <s v="22.04.015"/>
    <x v="73"/>
    <s v="5 Kits Torre PRO48, Sistema Aero/Hidropónico vertical con macetero de 40 lts con ruedas para mover con mayor facilidad en superficies planas. Capacidad de hasta 48 plantas. Incluye fertilizantes y plantas seleccionadas a elección. Se requiere para el mes de marzo 2026. Con cargo a presupuesto de SSO."/>
    <x v="1"/>
    <x v="74"/>
    <n v="4"/>
    <n v="6"/>
    <x v="83"/>
    <x v="60"/>
    <x v="4"/>
    <x v="32"/>
    <x v="41"/>
    <x v="46"/>
    <s v="64-2335608-"/>
    <s v="camilo.martinez@redsalud.gob.cl"/>
    <x v="21"/>
    <m/>
    <n v="0"/>
    <m/>
    <n v="0"/>
    <n v="0"/>
    <m/>
    <x v="1"/>
  </r>
  <r>
    <s v="SERVICIO DE SALUD OSORNO"/>
    <x v="0"/>
    <x v="73"/>
    <s v="Proyecto operacional"/>
    <s v="Enviado"/>
    <s v="22.04.001"/>
    <x v="74"/>
    <s v="Garantizar disponibilidad de medicamentos para el tratamiento de los usuarios. Realizar correctamente la dispensación de medicamentos a los usuarios, con la correspondiente etiqueta y comprobante de entrega de fármacos. INSUMOS SE REQUIEREN PARA EL MES DE ENERO 2026"/>
    <x v="1"/>
    <x v="75"/>
    <n v="4"/>
    <n v="10"/>
    <x v="84"/>
    <x v="117"/>
    <x v="4"/>
    <x v="35"/>
    <x v="41"/>
    <x v="46"/>
    <s v="64-2335608-"/>
    <s v="camilo.martinez@redsalud.gob.cl"/>
    <x v="13"/>
    <m/>
    <n v="0"/>
    <m/>
    <n v="0"/>
    <n v="0"/>
    <m/>
    <x v="1"/>
  </r>
  <r>
    <s v="SERVICIO DE SALUD OSORNO"/>
    <x v="0"/>
    <x v="74"/>
    <s v="Proyecto operacional"/>
    <s v="Enviado"/>
    <s v="22.01.001"/>
    <x v="75"/>
    <s v="Se requiere servicio de cafetería con pertinencia cultural, para jornadas de Capacitación a dotación de COSAM Rahue y Comunidad Mapuche Huilliche, en el contexto de cambio a nuevas instalaciones, la incorporación de Facilitador Intercultural, el aumento de dotación de funcionarios de COSAM Rahue. Lo anterior trae desafíos para la implementación de Salud Mental Intercultural que se espera abordad a través de capacitación continua como una de las estrategias. Se programan 1 jornada en el mes de mayo y otra en noviembre. Con cargo a SENDA-PAI"/>
    <x v="0"/>
    <x v="32"/>
    <n v="4"/>
    <n v="100"/>
    <x v="28"/>
    <x v="121"/>
    <x v="4"/>
    <x v="31"/>
    <x v="41"/>
    <x v="46"/>
    <s v="64-2335608-"/>
    <s v="camilo.martinez@redsalud.gob.cl"/>
    <x v="20"/>
    <m/>
    <n v="0"/>
    <m/>
    <n v="0"/>
    <n v="0"/>
    <m/>
    <x v="1"/>
  </r>
  <r>
    <s v="SERVICIO DE SALUD OSORNO"/>
    <x v="0"/>
    <x v="74"/>
    <s v="Proyecto operacional"/>
    <s v="Enviado"/>
    <s v="22.01.001"/>
    <x v="75"/>
    <s v="Se requiere servicio de cafetería con pertinencia cultural, para jornadas de Capacitación a dotación de COSAM Rahue y Comunidad Mapuche Huilliche, en el contexto de cambio a nuevas instalaciones, la incorporación de Facilitador Intercultural, el aumento de dotación de funcionarios de COSAM Rahue. Lo anterior trae desafíos para la implementación de Salud Mental Intercultural que se espera abordad a través de capacitación continua como una de las estrategias. Se programan 1 jornada en el mes de mayo y otra en noviembre. Con cargo a SENDA-PAI"/>
    <x v="0"/>
    <x v="32"/>
    <n v="4"/>
    <n v="100"/>
    <x v="28"/>
    <x v="121"/>
    <x v="4"/>
    <x v="31"/>
    <x v="41"/>
    <x v="46"/>
    <s v="64-2335608-"/>
    <s v="camilo.martinez@redsalud.gob.cl"/>
    <x v="18"/>
    <m/>
    <n v="0"/>
    <m/>
    <n v="0"/>
    <n v="0"/>
    <m/>
    <x v="1"/>
  </r>
  <r>
    <s v="SERVICIO DE SALUD OSORNO"/>
    <x v="0"/>
    <x v="75"/>
    <s v="Proyecto operacional"/>
    <s v="Enviado"/>
    <s v="22.01.001"/>
    <x v="76"/>
    <s v="Se requiere contratación de servicio de cafetería con pertinencia cultural, a fin de llevar a cabo Celebración de We Tripantu, ceremonia que marca el nuevo ciclo para la comunidad Mapuche Huilliche. Está programada para el viernes 19 de junio de 2026, con la participación de 140 personas entre usuarios y participantes de la comunidad del territorio de COSAM Rahue. Con cargo a fondo extrapresupuestario SENDA-PAI"/>
    <x v="1"/>
    <x v="32"/>
    <n v="4"/>
    <n v="140"/>
    <x v="28"/>
    <x v="122"/>
    <x v="4"/>
    <x v="25"/>
    <x v="41"/>
    <x v="46"/>
    <s v="64-2335608-"/>
    <s v="camilo.martinez@redsalud.gob.cl"/>
    <x v="15"/>
    <m/>
    <n v="0"/>
    <m/>
    <n v="0"/>
    <n v="0"/>
    <m/>
    <x v="1"/>
  </r>
  <r>
    <s v="SERVICIO DE SALUD OSORNO"/>
    <x v="0"/>
    <x v="76"/>
    <s v="Proyecto operacional"/>
    <s v="Enviado"/>
    <s v="22.01.001"/>
    <x v="77"/>
    <s v="Servicio de cafetería para jornada Autocuidado programa PAI COSAM Rahue, para 30 personas, en el mes de septiembre 2026. Con cargo a fondo extrapresupuestario SENDA-PAI"/>
    <x v="1"/>
    <x v="32"/>
    <n v="4"/>
    <n v="30"/>
    <x v="28"/>
    <x v="119"/>
    <x v="4"/>
    <x v="36"/>
    <x v="41"/>
    <x v="46"/>
    <s v="64-2335608-"/>
    <s v="camilo.martinez@redsalud.gob.cl"/>
    <x v="24"/>
    <m/>
    <n v="0"/>
    <m/>
    <n v="0"/>
    <n v="0"/>
    <m/>
    <x v="1"/>
  </r>
  <r>
    <s v="SERVICIO DE SALUD OSORNO"/>
    <x v="1"/>
    <x v="77"/>
    <s v="Proyecto operacional"/>
    <s v="Enviado"/>
    <s v="22.01.001"/>
    <x v="78"/>
    <s v="1 servicio de cafetería para 50 personas para ceremonia alta de Programa SENDA-PAI COSAM Rahue, en el mes de agosto de 2026."/>
    <x v="1"/>
    <x v="32"/>
    <n v="4"/>
    <n v="50"/>
    <x v="28"/>
    <x v="45"/>
    <x v="4"/>
    <x v="36"/>
    <x v="41"/>
    <x v="46"/>
    <s v="64-2335608-"/>
    <s v="camilo.martinez@redsalud.gob.cl"/>
    <x v="24"/>
    <m/>
    <n v="0"/>
    <m/>
    <n v="0"/>
    <n v="0"/>
    <m/>
    <x v="1"/>
  </r>
  <r>
    <s v="SERVICIO DE SALUD OSORNO"/>
    <x v="0"/>
    <x v="78"/>
    <s v="Proyecto operacional"/>
    <s v="Enviado"/>
    <s v="22.12.999"/>
    <x v="79"/>
    <s v="Se requiere la contratación del servicio denominado Hogar Protegido Mujeres (beneficiarios 8 usuarios) para usuarios/as por un periodo de 12 meses. Vigencia desde el 22 de marzo de 2026 al 23 de marzo de 2027. Incluye: $ 35.500 valor prestación Día Hogar Protegido (6 usuarios). $ 54.145 valor prestación categoría 2 (1 usuario) $ 65.546 valor prestación categoría 3 (1 usuario)"/>
    <x v="5"/>
    <x v="76"/>
    <n v="4"/>
    <n v="6"/>
    <x v="50"/>
    <x v="123"/>
    <x v="11"/>
    <x v="37"/>
    <x v="12"/>
    <x v="33"/>
    <s v="64-2335813-"/>
    <s v="angelo.palma@redsalud.gob.cl"/>
    <x v="21"/>
    <m/>
    <n v="0"/>
    <m/>
    <n v="0"/>
    <n v="0"/>
    <m/>
    <x v="1"/>
  </r>
  <r>
    <s v="SERVICIO DE SALUD OSORNO"/>
    <x v="0"/>
    <x v="78"/>
    <s v="Proyecto operacional"/>
    <s v="Enviado"/>
    <s v="22.12.999"/>
    <x v="79"/>
    <s v="Se requiere la contratación del servicio denominado Hogar Protegido Mujeres (beneficiarios 8 usuarios) para usuarios/as por un periodo de 12 meses. Vigencia desde el 22 de marzo de 2026 al 23 de marzo de 2027. Incluye: $ 35.500 valor prestación Día Hogar Protegido (6 usuarios). $ 54.145 valor prestación categoría 2 (1 usuario) $ 65.546 valor prestación categoría 3 (1 usuario)"/>
    <x v="5"/>
    <x v="77"/>
    <n v="4"/>
    <n v="1"/>
    <x v="85"/>
    <x v="124"/>
    <x v="11"/>
    <x v="37"/>
    <x v="12"/>
    <x v="33"/>
    <s v="64-2335813-"/>
    <s v="angelo.palma@redsalud.gob.cl"/>
    <x v="21"/>
    <m/>
    <n v="0"/>
    <m/>
    <n v="0"/>
    <n v="0"/>
    <m/>
    <x v="1"/>
  </r>
  <r>
    <s v="SERVICIO DE SALUD OSORNO"/>
    <x v="0"/>
    <x v="78"/>
    <s v="Proyecto operacional"/>
    <s v="Enviado"/>
    <s v="22.12.999"/>
    <x v="79"/>
    <s v="Se requiere la contratación del servicio denominado Hogar Protegido Mujeres (beneficiarios 8 usuarios) para usuarios/as por un periodo de 12 meses. Vigencia desde el 22 de marzo de 2026 al 23 de marzo de 2027. Incluye: $ 35.500 valor prestación Día Hogar Protegido (6 usuarios). $ 54.145 valor prestación categoría 2 (1 usuario) $ 65.546 valor prestación categoría 3 (1 usuario)"/>
    <x v="5"/>
    <x v="77"/>
    <n v="4"/>
    <n v="1"/>
    <x v="51"/>
    <x v="125"/>
    <x v="11"/>
    <x v="37"/>
    <x v="12"/>
    <x v="33"/>
    <s v="64-2335813-"/>
    <s v="angelo.palma@redsalud.gob.cl"/>
    <x v="21"/>
    <m/>
    <n v="0"/>
    <m/>
    <n v="0"/>
    <n v="0"/>
    <m/>
    <x v="1"/>
  </r>
  <r>
    <s v="SERVICIO DE SALUD OSORNO"/>
    <x v="1"/>
    <x v="79"/>
    <s v="Proyecto operacional"/>
    <s v="Enviado"/>
    <s v="22.04.001"/>
    <x v="80"/>
    <s v="Se requiere adquirir anilladora e insumos para la elaboración de material de trabajo y difusión para el mes de febrero. Lo anterior con cargo a fondo extrapresupuestario SENDA PAI."/>
    <x v="1"/>
    <x v="43"/>
    <n v="4"/>
    <n v="20"/>
    <x v="86"/>
    <x v="126"/>
    <x v="4"/>
    <x v="38"/>
    <x v="41"/>
    <x v="46"/>
    <s v="64-2335608-"/>
    <s v="camilo.martinez@redsalud.gob.cl"/>
    <x v="19"/>
    <m/>
    <n v="0"/>
    <m/>
    <n v="0"/>
    <n v="0"/>
    <m/>
    <x v="1"/>
  </r>
  <r>
    <s v="SERVICIO DE SALUD OSORNO"/>
    <x v="0"/>
    <x v="80"/>
    <s v="Proyecto operacional"/>
    <s v="Enviado"/>
    <s v="22.01.001"/>
    <x v="81"/>
    <s v="Se requiere servicio de cafetería para 150 personas para el mes de mayo 2026. Se espera: ? La participación de Directivos del Servicio de Salud Osorno, funcionarios de COSAM Rahue, usuarios y comunidad."/>
    <x v="1"/>
    <x v="32"/>
    <n v="4"/>
    <n v="150"/>
    <x v="28"/>
    <x v="127"/>
    <x v="4"/>
    <x v="31"/>
    <x v="41"/>
    <x v="46"/>
    <s v="64-2335608-"/>
    <s v="camilo.martinez@redsalud.gob.cl"/>
    <x v="20"/>
    <m/>
    <n v="0"/>
    <m/>
    <n v="0"/>
    <n v="0"/>
    <m/>
    <x v="1"/>
  </r>
  <r>
    <s v="SERVICIO DE SALUD OSORNO"/>
    <x v="1"/>
    <x v="81"/>
    <s v="Proyecto operacional"/>
    <s v="Enviado"/>
    <s v="22.01.001"/>
    <x v="82"/>
    <s v="Se requiere la contratación de 2 servicios de cafetería para jornadas de autocuidado de la comunidad funcionaria para 100 personas cada uno: mes de junio y mes de diciembre. La contratación de este servicio será cargada a fondos extrapresupuestarios SENDA-PAI"/>
    <x v="0"/>
    <x v="32"/>
    <n v="4"/>
    <n v="100"/>
    <x v="28"/>
    <x v="121"/>
    <x v="4"/>
    <x v="25"/>
    <x v="41"/>
    <x v="46"/>
    <s v="64-2335608-"/>
    <s v="camilo.martinez@redsalud.gob.cl"/>
    <x v="15"/>
    <m/>
    <n v="0"/>
    <m/>
    <n v="0"/>
    <n v="0"/>
    <m/>
    <x v="1"/>
  </r>
  <r>
    <s v="SERVICIO DE SALUD OSORNO"/>
    <x v="1"/>
    <x v="81"/>
    <s v="Proyecto operacional"/>
    <s v="Enviado"/>
    <s v="22.01.001"/>
    <x v="82"/>
    <s v="Se requiere la contratación de 2 servicios de cafetería para jornadas de autocuidado de la comunidad funcionaria para 100 personas cada uno: mes de junio y mes de diciembre. La contratación de este servicio será cargada a fondos extrapresupuestarios SENDA-PAI"/>
    <x v="0"/>
    <x v="32"/>
    <n v="4"/>
    <n v="100"/>
    <x v="28"/>
    <x v="121"/>
    <x v="4"/>
    <x v="29"/>
    <x v="41"/>
    <x v="46"/>
    <s v="64-2335608-"/>
    <s v="camilo.martinez@redsalud.gob.cl"/>
    <x v="23"/>
    <m/>
    <n v="0"/>
    <m/>
    <n v="0"/>
    <n v="0"/>
    <m/>
    <x v="1"/>
  </r>
  <r>
    <s v="SERVICIO DE SALUD OSORNO"/>
    <x v="1"/>
    <x v="82"/>
    <s v="Proyecto operacional"/>
    <s v="Enviado"/>
    <s v="22.01.001"/>
    <x v="83"/>
    <s v="Se requiere la compra de insumos de alimentación para actividad de celebración de fiestas patrias con usuarios y cuidadores de Programa de Atención Domiciliaria, Programa Calle, Programa SENDA PAI, Consejo Consultivo Adulto e Infanto-adolescente y usuarios de talleres, para el 04/09/2026. Con cargo a fondo extrapresupuestario SENDA-PAI"/>
    <x v="1"/>
    <x v="78"/>
    <n v="4"/>
    <n v="100"/>
    <x v="87"/>
    <x v="128"/>
    <x v="4"/>
    <x v="26"/>
    <x v="41"/>
    <x v="46"/>
    <s v="64-2335608-"/>
    <s v="camilo.martinez@redsalud.gob.cl"/>
    <x v="16"/>
    <m/>
    <n v="0"/>
    <m/>
    <n v="0"/>
    <n v="0"/>
    <m/>
    <x v="1"/>
  </r>
  <r>
    <s v="SERVICIO DE SALUD OSORNO"/>
    <x v="0"/>
    <x v="83"/>
    <s v="Proyecto operacional"/>
    <s v="Enviado"/>
    <s v="22.04.001"/>
    <x v="84"/>
    <s v="Compra de articulos de libreria para el funiconamiento del Equipo Rural de Rehabilitación (marzo 2026)"/>
    <x v="1"/>
    <x v="43"/>
    <n v="4"/>
    <n v="100"/>
    <x v="88"/>
    <x v="129"/>
    <x v="4"/>
    <x v="32"/>
    <x v="37"/>
    <x v="42"/>
    <s v="64-2335807-"/>
    <s v="karin.avila@redsalud.gob.cl"/>
    <x v="21"/>
    <m/>
    <n v="0"/>
    <m/>
    <n v="0"/>
    <n v="0"/>
    <m/>
    <x v="1"/>
  </r>
  <r>
    <s v="SERVICIO DE SALUD OSORNO"/>
    <x v="1"/>
    <x v="84"/>
    <s v="Proyecto operacional"/>
    <s v="Enviado"/>
    <s v="22.04.001"/>
    <x v="85"/>
    <s v="Compra de material de ergoterapia para el funiconamiento del Equipo Rural de Rehabilitación"/>
    <x v="1"/>
    <x v="79"/>
    <n v="4"/>
    <n v="5"/>
    <x v="89"/>
    <x v="130"/>
    <x v="4"/>
    <x v="32"/>
    <x v="37"/>
    <x v="42"/>
    <s v="64-2335807-"/>
    <s v="karin.avila@redsalud.gob.cl"/>
    <x v="21"/>
    <m/>
    <n v="0"/>
    <m/>
    <n v="0"/>
    <n v="0"/>
    <m/>
    <x v="1"/>
  </r>
  <r>
    <s v="SERVICIO DE SALUD OSORNO"/>
    <x v="0"/>
    <x v="85"/>
    <s v="Proyecto operacional"/>
    <s v="Enviado"/>
    <s v="22.12.999"/>
    <x v="86"/>
    <s v="Se requiere la contratación del servicio denominado Residencia Protegida (beneficiarios 3 usuarios) para usuarios/as por un periodo de 24 meses. Vigencia desde el 31 de marzo de 2026 al 1 de abril de 2028. $ 54.154 valor prestación Día residencia Protegida (3 usuarios). Estos usuarias cuentan actualmente con domicilio en la comuna de Hualqui, derivados bajo la responsabilidad de nuestro Servicio de Salud."/>
    <x v="1"/>
    <x v="80"/>
    <n v="4"/>
    <n v="3"/>
    <x v="90"/>
    <x v="131"/>
    <x v="1"/>
    <x v="39"/>
    <x v="12"/>
    <x v="33"/>
    <s v="64-2335813-"/>
    <s v="angelo.palma@redsalud.gob.cl"/>
    <x v="21"/>
    <m/>
    <n v="0"/>
    <m/>
    <n v="0"/>
    <n v="0"/>
    <m/>
    <x v="1"/>
  </r>
  <r>
    <s v="SERVICIO DE SALUD OSORNO"/>
    <x v="0"/>
    <x v="86"/>
    <s v="Proyecto operacional"/>
    <s v="Enviado"/>
    <s v="22.04.001"/>
    <x v="87"/>
    <s v="Se requiere la compra de 50 Rollos Etiquetas para impresora ZEBRA ZD 888T y 50 rollos de cinta para impresora SOME para el mes de enero 2026."/>
    <x v="1"/>
    <x v="69"/>
    <n v="4"/>
    <n v="70"/>
    <x v="91"/>
    <x v="132"/>
    <x v="4"/>
    <x v="35"/>
    <x v="41"/>
    <x v="46"/>
    <s v="64-2335608-"/>
    <s v="camilo.martinez@redsalud.gob.cl"/>
    <x v="13"/>
    <m/>
    <n v="0"/>
    <m/>
    <n v="0"/>
    <n v="0"/>
    <m/>
    <x v="1"/>
  </r>
  <r>
    <s v="SERVICIO DE SALUD OSORNO"/>
    <x v="0"/>
    <x v="87"/>
    <s v="Proyecto operacional"/>
    <s v="Enviado"/>
    <s v="22.12.999"/>
    <x v="88"/>
    <s v="Se requiere la contratación del servicio denominado Residencia Protegida alta complejidad (beneficiarios 10 usuarios) para usuarios/as por un periodo de 12 meses. Vigencia desde el 15 de marzo de 2026 al 16 de marzo de 2027. $ 81.432 valor prestación Día residencia Protegida alta complejidad (10 usuarios)."/>
    <x v="1"/>
    <x v="80"/>
    <n v="4"/>
    <n v="10"/>
    <x v="92"/>
    <x v="133"/>
    <x v="11"/>
    <x v="37"/>
    <x v="12"/>
    <x v="33"/>
    <s v="64-2335813-"/>
    <s v="angelo.palma@redsalud.gob.cl"/>
    <x v="21"/>
    <m/>
    <n v="0"/>
    <m/>
    <n v="0"/>
    <n v="0"/>
    <m/>
    <x v="1"/>
  </r>
  <r>
    <s v="SERVICIO DE SALUD OSORNO"/>
    <x v="0"/>
    <x v="88"/>
    <s v="Proyecto operacional"/>
    <s v="Enviado"/>
    <s v="22.04.007"/>
    <x v="89"/>
    <s v="Contar con insumos de aseo para el buen funcionamiento del dispositivo, no disponibles en maestro de abastecimiento. Insumos se requieren para el mes de marzo 2026."/>
    <x v="1"/>
    <x v="81"/>
    <n v="4"/>
    <n v="338"/>
    <x v="93"/>
    <x v="134"/>
    <x v="4"/>
    <x v="32"/>
    <x v="41"/>
    <x v="46"/>
    <s v="64-2335608-"/>
    <s v="camilo.martinez@redsalud.gob.cl"/>
    <x v="21"/>
    <m/>
    <n v="0"/>
    <m/>
    <n v="0"/>
    <n v="0"/>
    <m/>
    <x v="1"/>
  </r>
  <r>
    <s v="SERVICIO DE SALUD OSORNO"/>
    <x v="0"/>
    <x v="89"/>
    <s v="Proyecto operacional"/>
    <s v="Enviado"/>
    <s v="22.12.999.015"/>
    <x v="90"/>
    <s v="Compra Insumos de cafetería para reuniones mensuales Salud Pueblos Originarios, se proyectan 18 reuniones ordinarias (marzo a diciembre) con un aproximado de 365 personas."/>
    <x v="1"/>
    <x v="31"/>
    <n v="4"/>
    <n v="2107"/>
    <x v="94"/>
    <x v="135"/>
    <x v="4"/>
    <x v="32"/>
    <x v="42"/>
    <x v="47"/>
    <s v="64-2335814-"/>
    <s v="pedro.huito@redsalud.gob.cl"/>
    <x v="21"/>
    <m/>
    <n v="0"/>
    <m/>
    <n v="0"/>
    <n v="0"/>
    <m/>
    <x v="1"/>
  </r>
  <r>
    <s v="SERVICIO DE SALUD OSORNO"/>
    <x v="1"/>
    <x v="90"/>
    <s v="Proyecto operacional"/>
    <s v="Enviado"/>
    <s v="22.01.001"/>
    <x v="91"/>
    <s v="Insumos de cafetería para la ejecución de talleres, actividades grupales y psicoeducativas que se desarrollan con usuarios/as de Cosam Rahue y la comunidad para el año 2026, con cargo a fondo extrapresupuestario SENDA PAI. Se requiere compra para enero 2026."/>
    <x v="0"/>
    <x v="82"/>
    <n v="4"/>
    <n v="1200"/>
    <x v="95"/>
    <x v="136"/>
    <x v="4"/>
    <x v="35"/>
    <x v="41"/>
    <x v="46"/>
    <s v="64-2335608-"/>
    <s v="camilo.martinez@redsalud.gob.cl"/>
    <x v="13"/>
    <m/>
    <n v="0"/>
    <m/>
    <n v="0"/>
    <n v="0"/>
    <m/>
    <x v="1"/>
  </r>
  <r>
    <s v="SERVICIO DE SALUD OSORNO"/>
    <x v="1"/>
    <x v="90"/>
    <s v="Proyecto operacional"/>
    <s v="Enviado"/>
    <s v="22.01.001"/>
    <x v="91"/>
    <s v="Insumos de cafetería para la ejecución de talleres, actividades grupales y psicoeducativas que se desarrollan con usuarios/as de Cosam Rahue y la comunidad para el año 2026, con cargo a fondo extrapresupuestario SENDA PAI. Se requiere compra para enero 2026."/>
    <x v="0"/>
    <x v="11"/>
    <n v="4"/>
    <n v="94"/>
    <x v="96"/>
    <x v="137"/>
    <x v="4"/>
    <x v="35"/>
    <x v="41"/>
    <x v="46"/>
    <s v="64-2335608-"/>
    <s v="camilo.martinez@redsalud.gob.cl"/>
    <x v="13"/>
    <m/>
    <n v="0"/>
    <m/>
    <n v="0"/>
    <n v="0"/>
    <m/>
    <x v="1"/>
  </r>
  <r>
    <s v="SERVICIO DE SALUD OSORNO"/>
    <x v="1"/>
    <x v="91"/>
    <s v="Proyecto operacional"/>
    <s v="Enviado"/>
    <s v="22.04.001"/>
    <x v="92"/>
    <s v="Insumos de escritorio que no se encuentran en el maestro de Depto de Abastecimiento o que son insuficientes para el correcto funcionamiento del dispositivo. Se requieren para el mes de marzo 2026. con cargo a fondo extrapresupuestario SENDA-PAI"/>
    <x v="1"/>
    <x v="43"/>
    <n v="4"/>
    <n v="311"/>
    <x v="97"/>
    <x v="138"/>
    <x v="4"/>
    <x v="32"/>
    <x v="41"/>
    <x v="46"/>
    <s v="64-2335608-"/>
    <s v="camilo.martinez@redsalud.gob.cl"/>
    <x v="21"/>
    <m/>
    <n v="0"/>
    <m/>
    <n v="0"/>
    <n v="0"/>
    <m/>
    <x v="1"/>
  </r>
  <r>
    <s v="SERVICIO DE SALUD OSORNO"/>
    <x v="0"/>
    <x v="92"/>
    <s v="Proyecto operacional"/>
    <s v="Actualizado"/>
    <s v="22.04.999"/>
    <x v="93"/>
    <s v="En el contexto de atención clínica comunitaria, el equipo técnico-profesional de Cosam Rahue realiza acciones en la comunidad, tales como talleres, visitas domiciliarias y actividades al aire libre, por lo que se requiere protector solar para enero 2026."/>
    <x v="1"/>
    <x v="83"/>
    <n v="4"/>
    <n v="20"/>
    <x v="98"/>
    <x v="112"/>
    <x v="4"/>
    <x v="35"/>
    <x v="41"/>
    <x v="46"/>
    <s v="64-2335608-"/>
    <s v="camilo.martinez@redsalud.gob.cl"/>
    <x v="13"/>
    <m/>
    <n v="0"/>
    <m/>
    <n v="0"/>
    <n v="0"/>
    <m/>
    <x v="1"/>
  </r>
  <r>
    <s v="SERVICIO DE SALUD OSORNO"/>
    <x v="1"/>
    <x v="93"/>
    <s v="Proyecto operacional"/>
    <s v="Actualizado"/>
    <s v="22.04.009"/>
    <x v="94"/>
    <s v="Se requiere la compra de tinta de repuesto para la operatividad de impresoras que se utilizan para la elaboración de material a color para las diversas actividades de promoción y prevención, para el mes de abril 2026, con a SENDA-PAI."/>
    <x v="1"/>
    <x v="84"/>
    <n v="4"/>
    <n v="5"/>
    <x v="99"/>
    <x v="139"/>
    <x v="4"/>
    <x v="24"/>
    <x v="41"/>
    <x v="46"/>
    <s v="64-2335608-"/>
    <s v="camilo.martinez@redsalud.gob.cl"/>
    <x v="14"/>
    <m/>
    <n v="0"/>
    <m/>
    <n v="0"/>
    <n v="0"/>
    <m/>
    <x v="1"/>
  </r>
  <r>
    <s v="SERVICIO DE SALUD OSORNO"/>
    <x v="1"/>
    <x v="94"/>
    <s v="Proyecto operacional"/>
    <s v="Enviado"/>
    <s v="22.01.001"/>
    <x v="95"/>
    <s v="Se requiere adquirir insumos alimenticios para usuarios pertenecientes al Programa para personas en situación de calle con consumo de alcohol y otras drogas. Lo anterior con cargo a fondo extrapresupuestario SENDA PAI"/>
    <x v="1"/>
    <x v="31"/>
    <n v="4"/>
    <n v="290"/>
    <x v="100"/>
    <x v="140"/>
    <x v="4"/>
    <x v="32"/>
    <x v="41"/>
    <x v="46"/>
    <s v="64-2335608-"/>
    <s v="camilo.martinez@redsalud.gob.cl"/>
    <x v="21"/>
    <m/>
    <n v="0"/>
    <m/>
    <n v="0"/>
    <n v="0"/>
    <m/>
    <x v="1"/>
  </r>
  <r>
    <s v="SERVICIO DE SALUD OSORNO"/>
    <x v="0"/>
    <x v="95"/>
    <s v="Proyecto operacional"/>
    <s v="Actualizado"/>
    <s v="22.04.003"/>
    <x v="96"/>
    <s v="Se requiere la adquisición de test de detección de drogas con capacidad para reconocer nueve o más tipos de sustancias, destinados a procesos de evaluación y control del programa. Los test deberán venir en envases individuales sellados, garantizando higiene y seguridad. Su diseño debe evitar el contacto directo con la orina, mediante sistema de activación tipo llave o mecanismo interno, asegurando fiabilidad, trazabilidad y resultados confiables. Ejecución: octubre 2026."/>
    <x v="1"/>
    <x v="85"/>
    <n v="4"/>
    <n v="100"/>
    <x v="101"/>
    <x v="141"/>
    <x v="4"/>
    <x v="27"/>
    <x v="43"/>
    <x v="48"/>
    <s v="64-2335492-"/>
    <s v="CAROLINA.SILVALL@REDSALUD.GOB.CL"/>
    <x v="17"/>
    <m/>
    <n v="0"/>
    <m/>
    <n v="0"/>
    <n v="0"/>
    <m/>
    <x v="1"/>
  </r>
  <r>
    <s v="SERVICIO DE SALUD OSORNO"/>
    <x v="1"/>
    <x v="96"/>
    <s v="Proyecto operacional"/>
    <s v="Enviado"/>
    <s v="22.01.001"/>
    <x v="97"/>
    <s v="Estos espacios buscan generar un ambiente de confianza, cercanía y participación activa de los usuarios, por lo que ofrecen un momento de compartir alimentos contribuye directamente a los objetivos terapéuticos. Otros materiales contribuyen en el manejo de ansiedad (como bolsas de papel Kraft, pelotas antiestrés, pañuelos desechables), y permite enseñar técnicas de manejo de síntomas ansiosos."/>
    <x v="6"/>
    <x v="31"/>
    <n v="4"/>
    <n v="69"/>
    <x v="102"/>
    <x v="142"/>
    <x v="4"/>
    <x v="32"/>
    <x v="44"/>
    <x v="24"/>
    <s v="64-2335610-"/>
    <s v="pedro.fritz@redsalud.gob.cl"/>
    <x v="21"/>
    <m/>
    <n v="0"/>
    <m/>
    <n v="0"/>
    <n v="0"/>
    <m/>
    <x v="1"/>
  </r>
  <r>
    <s v="SERVICIO DE SALUD OSORNO"/>
    <x v="1"/>
    <x v="96"/>
    <s v="Proyecto operacional"/>
    <s v="Enviado"/>
    <s v="22.01.001"/>
    <x v="97"/>
    <s v="Estos espacios buscan generar un ambiente de confianza, cercanía y participación activa de los usuarios, por lo que ofrecen un momento de compartir alimentos contribuye directamente a los objetivos terapéuticos. Otros materiales contribuyen en el manejo de ansiedad (como bolsas de papel Kraft, pelotas antiestrés, pañuelos desechables), y permite enseñar técnicas de manejo de síntomas ansiosos."/>
    <x v="6"/>
    <x v="11"/>
    <n v="4"/>
    <n v="9"/>
    <x v="103"/>
    <x v="143"/>
    <x v="4"/>
    <x v="32"/>
    <x v="44"/>
    <x v="24"/>
    <s v="64-2335610-"/>
    <s v="pedro.fritz@redsalud.gob.cl"/>
    <x v="21"/>
    <m/>
    <n v="0"/>
    <m/>
    <n v="0"/>
    <n v="0"/>
    <m/>
    <x v="1"/>
  </r>
  <r>
    <s v="SERVICIO DE SALUD OSORNO"/>
    <x v="1"/>
    <x v="96"/>
    <s v="Proyecto operacional"/>
    <s v="Enviado"/>
    <s v="22.01.001"/>
    <x v="97"/>
    <s v="Estos espacios buscan generar un ambiente de confianza, cercanía y participación activa de los usuarios, por lo que ofrecen un momento de compartir alimentos contribuye directamente a los objetivos terapéuticos. Otros materiales contribuyen en el manejo de ansiedad (como bolsas de papel Kraft, pelotas antiestrés, pañuelos desechables), y permite enseñar técnicas de manejo de síntomas ansiosos."/>
    <x v="6"/>
    <x v="86"/>
    <n v="4"/>
    <n v="3"/>
    <x v="104"/>
    <x v="144"/>
    <x v="4"/>
    <x v="32"/>
    <x v="44"/>
    <x v="24"/>
    <s v="64-2335610-"/>
    <s v="pedro.fritz@redsalud.gob.cl"/>
    <x v="21"/>
    <m/>
    <n v="0"/>
    <m/>
    <n v="0"/>
    <n v="0"/>
    <m/>
    <x v="1"/>
  </r>
  <r>
    <s v="SERVICIO DE SALUD OSORNO"/>
    <x v="1"/>
    <x v="96"/>
    <s v="Proyecto operacional"/>
    <s v="Enviado"/>
    <s v="22.01.001"/>
    <x v="97"/>
    <s v="Estos espacios buscan generar un ambiente de confianza, cercanía y participación activa de los usuarios, por lo que ofrecen un momento de compartir alimentos contribuye directamente a los objetivos terapéuticos. Otros materiales contribuyen en el manejo de ansiedad (como bolsas de papel Kraft, pelotas antiestrés, pañuelos desechables), y permite enseñar técnicas de manejo de síntomas ansiosos."/>
    <x v="6"/>
    <x v="87"/>
    <n v="4"/>
    <n v="2"/>
    <x v="105"/>
    <x v="145"/>
    <x v="4"/>
    <x v="32"/>
    <x v="44"/>
    <x v="24"/>
    <s v="64-2335610-"/>
    <s v="pedro.fritz@redsalud.gob.cl"/>
    <x v="21"/>
    <m/>
    <n v="0"/>
    <m/>
    <n v="0"/>
    <n v="0"/>
    <m/>
    <x v="1"/>
  </r>
  <r>
    <s v="SERVICIO DE SALUD OSORNO"/>
    <x v="0"/>
    <x v="97"/>
    <s v="Proyecto operacional"/>
    <s v="Enviado"/>
    <s v="22.04"/>
    <x v="98"/>
    <s v="Los insumos clínicos son elementos fundamentales para la prestación de cuidados de enfermería entregados en COSAM Oriente. Estos materiales permiten que el personal de enfermería pueda cumplir con las funciones de tomas de muestras y procedimientos, para garantizar una atención segura y de calidad a la población usuaria. Es importante que la adquisición sea entre los meses de febrero y marzo 2026, para evitar quiebre de stock de insumos clínicos."/>
    <x v="4"/>
    <x v="88"/>
    <n v="4"/>
    <n v="18"/>
    <x v="106"/>
    <x v="146"/>
    <x v="4"/>
    <x v="38"/>
    <x v="44"/>
    <x v="24"/>
    <s v="64-2335610-"/>
    <s v="pedro.fritz@redsalud.gob.cl"/>
    <x v="19"/>
    <m/>
    <n v="0"/>
    <m/>
    <n v="0"/>
    <n v="0"/>
    <m/>
    <x v="1"/>
  </r>
  <r>
    <s v="SERVICIO DE SALUD OSORNO"/>
    <x v="0"/>
    <x v="97"/>
    <s v="Proyecto operacional"/>
    <s v="Enviado"/>
    <s v="22.04"/>
    <x v="98"/>
    <s v="Los insumos clínicos son elementos fundamentales para la prestación de cuidados de enfermería entregados en COSAM Oriente. Estos materiales permiten que el personal de enfermería pueda cumplir con las funciones de tomas de muestras y procedimientos, para garantizar una atención segura y de calidad a la población usuaria. Es importante que la adquisición sea entre los meses de febrero y marzo 2026, para evitar quiebre de stock de insumos clínicos."/>
    <x v="4"/>
    <x v="89"/>
    <n v="4"/>
    <n v="39"/>
    <x v="107"/>
    <x v="147"/>
    <x v="4"/>
    <x v="38"/>
    <x v="44"/>
    <x v="24"/>
    <s v="64-2335610-"/>
    <s v="pedro.fritz@redsalud.gob.cl"/>
    <x v="19"/>
    <m/>
    <n v="0"/>
    <m/>
    <n v="0"/>
    <n v="0"/>
    <m/>
    <x v="1"/>
  </r>
  <r>
    <s v="SERVICIO DE SALUD OSORNO"/>
    <x v="0"/>
    <x v="97"/>
    <s v="Proyecto operacional"/>
    <s v="Enviado"/>
    <s v="22.04"/>
    <x v="98"/>
    <s v="Los insumos clínicos son elementos fundamentales para la prestación de cuidados de enfermería entregados en COSAM Oriente. Estos materiales permiten que el personal de enfermería pueda cumplir con las funciones de tomas de muestras y procedimientos, para garantizar una atención segura y de calidad a la población usuaria. Es importante que la adquisición sea entre los meses de febrero y marzo 2026, para evitar quiebre de stock de insumos clínicos."/>
    <x v="4"/>
    <x v="90"/>
    <n v="4"/>
    <n v="2"/>
    <x v="108"/>
    <x v="148"/>
    <x v="4"/>
    <x v="38"/>
    <x v="44"/>
    <x v="24"/>
    <s v="64-2335610-"/>
    <s v="pedro.fritz@redsalud.gob.cl"/>
    <x v="19"/>
    <m/>
    <n v="0"/>
    <m/>
    <n v="0"/>
    <n v="0"/>
    <m/>
    <x v="1"/>
  </r>
  <r>
    <s v="SERVICIO DE SALUD OSORNO"/>
    <x v="0"/>
    <x v="97"/>
    <s v="Proyecto operacional"/>
    <s v="Enviado"/>
    <s v="22.04"/>
    <x v="98"/>
    <s v="Los insumos clínicos son elementos fundamentales para la prestación de cuidados de enfermería entregados en COSAM Oriente. Estos materiales permiten que el personal de enfermería pueda cumplir con las funciones de tomas de muestras y procedimientos, para garantizar una atención segura y de calidad a la población usuaria. Es importante que la adquisición sea entre los meses de febrero y marzo 2026, para evitar quiebre de stock de insumos clínicos."/>
    <x v="4"/>
    <x v="91"/>
    <n v="4"/>
    <n v="50"/>
    <x v="109"/>
    <x v="149"/>
    <x v="4"/>
    <x v="38"/>
    <x v="44"/>
    <x v="24"/>
    <s v="64-2335610-"/>
    <s v="pedro.fritz@redsalud.gob.cl"/>
    <x v="19"/>
    <m/>
    <n v="0"/>
    <m/>
    <n v="0"/>
    <n v="0"/>
    <m/>
    <x v="1"/>
  </r>
  <r>
    <s v="SERVICIO DE SALUD OSORNO"/>
    <x v="0"/>
    <x v="97"/>
    <s v="Proyecto operacional"/>
    <s v="Enviado"/>
    <s v="22.04"/>
    <x v="98"/>
    <s v="Los insumos clínicos son elementos fundamentales para la prestación de cuidados de enfermería entregados en COSAM Oriente. Estos materiales permiten que el personal de enfermería pueda cumplir con las funciones de tomas de muestras y procedimientos, para garantizar una atención segura y de calidad a la población usuaria. Es importante que la adquisición sea entre los meses de febrero y marzo 2026, para evitar quiebre de stock de insumos clínicos."/>
    <x v="4"/>
    <x v="92"/>
    <n v="4"/>
    <n v="1"/>
    <x v="110"/>
    <x v="150"/>
    <x v="4"/>
    <x v="38"/>
    <x v="44"/>
    <x v="24"/>
    <s v="64-2335610-"/>
    <s v="pedro.fritz@redsalud.gob.cl"/>
    <x v="19"/>
    <m/>
    <n v="0"/>
    <m/>
    <n v="0"/>
    <n v="0"/>
    <m/>
    <x v="1"/>
  </r>
  <r>
    <s v="SERVICIO DE SALUD OSORNO"/>
    <x v="0"/>
    <x v="97"/>
    <s v="Proyecto operacional"/>
    <s v="Enviado"/>
    <s v="22.04"/>
    <x v="98"/>
    <s v="Los insumos clínicos son elementos fundamentales para la prestación de cuidados de enfermería entregados en COSAM Oriente. Estos materiales permiten que el personal de enfermería pueda cumplir con las funciones de tomas de muestras y procedimientos, para garantizar una atención segura y de calidad a la población usuaria. Es importante que la adquisición sea entre los meses de febrero y marzo 2026, para evitar quiebre de stock de insumos clínicos."/>
    <x v="4"/>
    <x v="93"/>
    <n v="4"/>
    <n v="1"/>
    <x v="101"/>
    <x v="151"/>
    <x v="4"/>
    <x v="38"/>
    <x v="44"/>
    <x v="24"/>
    <s v="64-2335610-"/>
    <s v="pedro.fritz@redsalud.gob.cl"/>
    <x v="19"/>
    <m/>
    <n v="0"/>
    <m/>
    <n v="0"/>
    <n v="0"/>
    <m/>
    <x v="1"/>
  </r>
  <r>
    <s v="SERVICIO DE SALUD OSORNO"/>
    <x v="1"/>
    <x v="98"/>
    <s v="Proyecto operacional"/>
    <s v="Enviado"/>
    <s v="22.01.002"/>
    <x v="99"/>
    <s v="Taller con duración de 8 sesiones se desarrolla durante todo el año. Solicitud de compra para el mes de enero 2026"/>
    <x v="0"/>
    <x v="31"/>
    <n v="4"/>
    <n v="86"/>
    <x v="111"/>
    <x v="152"/>
    <x v="4"/>
    <x v="35"/>
    <x v="44"/>
    <x v="24"/>
    <s v="64-2335610-"/>
    <s v="pedro.fritz@redsalud.gob.cl"/>
    <x v="13"/>
    <m/>
    <n v="0"/>
    <m/>
    <n v="0"/>
    <n v="0"/>
    <m/>
    <x v="1"/>
  </r>
  <r>
    <s v="SERVICIO DE SALUD OSORNO"/>
    <x v="1"/>
    <x v="98"/>
    <s v="Proyecto operacional"/>
    <s v="Enviado"/>
    <s v="22.01.002"/>
    <x v="99"/>
    <s v="Taller con duración de 8 sesiones se desarrolla durante todo el año. Solicitud de compra para el mes de enero 2026"/>
    <x v="0"/>
    <x v="94"/>
    <n v="4"/>
    <n v="2"/>
    <x v="112"/>
    <x v="153"/>
    <x v="4"/>
    <x v="35"/>
    <x v="44"/>
    <x v="24"/>
    <s v="64-2335610-"/>
    <s v="pedro.fritz@redsalud.gob.cl"/>
    <x v="13"/>
    <m/>
    <n v="0"/>
    <m/>
    <n v="0"/>
    <n v="0"/>
    <m/>
    <x v="1"/>
  </r>
  <r>
    <s v="SERVICIO DE SALUD OSORNO"/>
    <x v="0"/>
    <x v="99"/>
    <s v="Proyecto operacional"/>
    <s v="Enviado"/>
    <s v="22.01.001"/>
    <x v="100"/>
    <s v="Insumos de cafetería para reuniones mensuales Trato Usuario, se proyecta 12 reuniones, con un aprox. de 225 personas"/>
    <x v="0"/>
    <x v="31"/>
    <n v="4"/>
    <n v="821"/>
    <x v="113"/>
    <x v="154"/>
    <x v="4"/>
    <x v="32"/>
    <x v="45"/>
    <x v="49"/>
    <s v="64-2335775-"/>
    <s v="daniela.barriaa@redsalud.gob.cl"/>
    <x v="21"/>
    <m/>
    <n v="0"/>
    <m/>
    <n v="0"/>
    <n v="0"/>
    <m/>
    <x v="1"/>
  </r>
  <r>
    <s v="SERVICIO DE SALUD OSORNO"/>
    <x v="0"/>
    <x v="99"/>
    <s v="Proyecto operacional"/>
    <s v="Enviado"/>
    <s v="22.01.001"/>
    <x v="100"/>
    <s v="Insumos de cafetería para reuniones mensuales Trato Usuario, se proyecta 12 reuniones, con un aprox. de 225 personas"/>
    <x v="0"/>
    <x v="11"/>
    <n v="4"/>
    <n v="409"/>
    <x v="114"/>
    <x v="155"/>
    <x v="4"/>
    <x v="32"/>
    <x v="45"/>
    <x v="49"/>
    <s v="64-2335775-"/>
    <s v="daniela.barriaa@redsalud.gob.cl"/>
    <x v="21"/>
    <m/>
    <n v="0"/>
    <m/>
    <n v="0"/>
    <n v="0"/>
    <m/>
    <x v="1"/>
  </r>
  <r>
    <s v="SERVICIO DE SALUD OSORNO"/>
    <x v="1"/>
    <x v="100"/>
    <s v="Proyecto operacional"/>
    <s v="Enviado"/>
    <s v="22.04.015"/>
    <x v="101"/>
    <s v="Taller se realiza durante todo el año, sin suspensión, por lo que se solicita material a contar de enero en lo posible"/>
    <x v="5"/>
    <x v="95"/>
    <n v="4"/>
    <n v="106"/>
    <x v="115"/>
    <x v="156"/>
    <x v="4"/>
    <x v="35"/>
    <x v="44"/>
    <x v="24"/>
    <s v="64-2335610-"/>
    <s v="pedro.fritz@redsalud.gob.cl"/>
    <x v="13"/>
    <m/>
    <n v="0"/>
    <m/>
    <n v="0"/>
    <n v="0"/>
    <m/>
    <x v="1"/>
  </r>
  <r>
    <s v="SERVICIO DE SALUD OSORNO"/>
    <x v="1"/>
    <x v="100"/>
    <s v="Proyecto operacional"/>
    <s v="Enviado"/>
    <s v="22.04.015"/>
    <x v="101"/>
    <s v="Taller se realiza durante todo el año, sin suspensión, por lo que se solicita material a contar de enero en lo posible"/>
    <x v="5"/>
    <x v="82"/>
    <n v="4"/>
    <n v="10"/>
    <x v="116"/>
    <x v="157"/>
    <x v="4"/>
    <x v="35"/>
    <x v="44"/>
    <x v="24"/>
    <s v="64-2335610-"/>
    <s v="pedro.fritz@redsalud.gob.cl"/>
    <x v="13"/>
    <m/>
    <n v="0"/>
    <m/>
    <n v="0"/>
    <n v="0"/>
    <m/>
    <x v="1"/>
  </r>
  <r>
    <s v="SERVICIO DE SALUD OSORNO"/>
    <x v="1"/>
    <x v="100"/>
    <s v="Proyecto operacional"/>
    <s v="Enviado"/>
    <s v="22.04.015"/>
    <x v="101"/>
    <s v="Taller se realiza durante todo el año, sin suspensión, por lo que se solicita material a contar de enero en lo posible"/>
    <x v="5"/>
    <x v="96"/>
    <n v="4"/>
    <n v="200"/>
    <x v="117"/>
    <x v="158"/>
    <x v="4"/>
    <x v="35"/>
    <x v="44"/>
    <x v="24"/>
    <s v="64-2335610-"/>
    <s v="pedro.fritz@redsalud.gob.cl"/>
    <x v="13"/>
    <m/>
    <n v="0"/>
    <m/>
    <n v="0"/>
    <n v="0"/>
    <m/>
    <x v="1"/>
  </r>
  <r>
    <s v="SERVICIO DE SALUD OSORNO"/>
    <x v="1"/>
    <x v="101"/>
    <s v="Proyecto operacional"/>
    <s v="Enviado"/>
    <s v="22.04.002"/>
    <x v="102"/>
    <s v="La conmemoración del día de la mujer se realizará el día miércoles 11 de marzo del 2026, idealmente la compra debe estar un mes antes, ya que debemos preparar los recuerdos y las actividades para ese día. En esta actividad se invitará a mujeres que se encuentran atendiendo en Cosam Oriente, se realizará una sesión educativa y reflexiva y luego una actividad práctica y de autocuidado."/>
    <x v="0"/>
    <x v="94"/>
    <n v="4"/>
    <n v="42"/>
    <x v="118"/>
    <x v="159"/>
    <x v="4"/>
    <x v="38"/>
    <x v="44"/>
    <x v="24"/>
    <s v="64-2335610-"/>
    <s v="pedro.fritz@redsalud.gob.cl"/>
    <x v="19"/>
    <m/>
    <n v="0"/>
    <m/>
    <n v="0"/>
    <n v="0"/>
    <m/>
    <x v="1"/>
  </r>
  <r>
    <s v="SERVICIO DE SALUD OSORNO"/>
    <x v="1"/>
    <x v="101"/>
    <s v="Proyecto operacional"/>
    <s v="Enviado"/>
    <s v="22.04.002"/>
    <x v="102"/>
    <s v="La conmemoración del día de la mujer se realizará el día miércoles 11 de marzo del 2026, idealmente la compra debe estar un mes antes, ya que debemos preparar los recuerdos y las actividades para ese día. En esta actividad se invitará a mujeres que se encuentran atendiendo en Cosam Oriente, se realizará una sesión educativa y reflexiva y luego una actividad práctica y de autocuidado."/>
    <x v="0"/>
    <x v="31"/>
    <n v="4"/>
    <n v="1004"/>
    <x v="119"/>
    <x v="160"/>
    <x v="4"/>
    <x v="38"/>
    <x v="44"/>
    <x v="24"/>
    <s v="64-2335610-"/>
    <s v="pedro.fritz@redsalud.gob.cl"/>
    <x v="19"/>
    <m/>
    <n v="0"/>
    <m/>
    <n v="0"/>
    <n v="0"/>
    <m/>
    <x v="1"/>
  </r>
  <r>
    <s v="SERVICIO DE SALUD OSORNO"/>
    <x v="3"/>
    <x v="102"/>
    <s v="Proyecto operacional"/>
    <s v="Enviado"/>
    <s v="31.02.002"/>
    <x v="103"/>
    <s v="Desarrollar las adecuaciones a los proyectos de arquitectura y especialidades del diseño del la PSR tipo para el sector de Coligual, comuna de Purranque."/>
    <x v="1"/>
    <x v="97"/>
    <n v="4"/>
    <n v="1"/>
    <x v="120"/>
    <x v="161"/>
    <x v="4"/>
    <x v="26"/>
    <x v="39"/>
    <x v="44"/>
    <s v="64-2335843-"/>
    <s v="mario.barrientos@redsalud.gob.cl"/>
    <x v="16"/>
    <m/>
    <n v="0"/>
    <m/>
    <n v="0"/>
    <n v="0"/>
    <m/>
    <x v="1"/>
  </r>
  <r>
    <s v="SERVICIO DE SALUD OSORNO"/>
    <x v="3"/>
    <x v="103"/>
    <s v="Proyecto operacional"/>
    <s v="Enviado"/>
    <s v="31.02.002"/>
    <x v="104"/>
    <s v="Desarrollar las adecuaciones a los proyectos de arquitectura y especialidades del diseño del la PSR tipo para el sector de Caracol, comuna de San Pablo."/>
    <x v="1"/>
    <x v="97"/>
    <n v="4"/>
    <n v="1"/>
    <x v="120"/>
    <x v="161"/>
    <x v="4"/>
    <x v="27"/>
    <x v="39"/>
    <x v="44"/>
    <s v="64-2335843-"/>
    <s v="mario.barrientos@redsalud.gob.cl"/>
    <x v="17"/>
    <m/>
    <n v="0"/>
    <m/>
    <n v="0"/>
    <n v="0"/>
    <m/>
    <x v="1"/>
  </r>
  <r>
    <s v="SERVICIO DE SALUD OSORNO"/>
    <x v="0"/>
    <x v="104"/>
    <s v="Proyecto operacional"/>
    <s v="Enviado"/>
    <s v="22.07.002"/>
    <x v="105"/>
    <s v="Los talonarios deben contener 50 formularios en duplicado autocopiativo, se envía modelo con información en la parte inferior se debe señalar Formulario Original Establecimiento; Formulario Duplicado Usuario, según corresponda."/>
    <x v="1"/>
    <x v="98"/>
    <n v="4"/>
    <n v="100"/>
    <x v="121"/>
    <x v="162"/>
    <x v="4"/>
    <x v="32"/>
    <x v="45"/>
    <x v="49"/>
    <s v="64-2335775-"/>
    <s v="daniela.barriaa@redsalud.gob.cl"/>
    <x v="21"/>
    <m/>
    <n v="0"/>
    <m/>
    <n v="0"/>
    <n v="0"/>
    <m/>
    <x v="1"/>
  </r>
  <r>
    <s v="SERVICIO DE SALUD OSORNO"/>
    <x v="0"/>
    <x v="105"/>
    <s v="Proyecto operacional"/>
    <s v="Enviado"/>
    <s v="22.04.001"/>
    <x v="106"/>
    <s v="Compra de serie de productos para el buen funcionamiento de la Unidad de Farmacia durante el año 2026"/>
    <x v="7"/>
    <x v="99"/>
    <n v="4"/>
    <n v="415"/>
    <x v="122"/>
    <x v="163"/>
    <x v="4"/>
    <x v="24"/>
    <x v="44"/>
    <x v="24"/>
    <s v="64-2335610-"/>
    <s v="pedro.fritz@redsalud.gob.cl"/>
    <x v="14"/>
    <m/>
    <n v="0"/>
    <m/>
    <n v="0"/>
    <n v="0"/>
    <m/>
    <x v="1"/>
  </r>
  <r>
    <s v="SERVICIO DE SALUD OSORNO"/>
    <x v="0"/>
    <x v="105"/>
    <s v="Proyecto operacional"/>
    <s v="Enviado"/>
    <s v="22.04.001"/>
    <x v="106"/>
    <s v="Compra de serie de productos para el buen funcionamiento de la Unidad de Farmacia durante el año 2026"/>
    <x v="7"/>
    <x v="43"/>
    <n v="4"/>
    <n v="4"/>
    <x v="123"/>
    <x v="164"/>
    <x v="4"/>
    <x v="35"/>
    <x v="44"/>
    <x v="24"/>
    <s v="64-2335610-"/>
    <s v="pedro.fritz@redsalud.gob.cl"/>
    <x v="13"/>
    <m/>
    <n v="0"/>
    <m/>
    <n v="0"/>
    <n v="0"/>
    <m/>
    <x v="1"/>
  </r>
  <r>
    <s v="SERVICIO DE SALUD OSORNO"/>
    <x v="0"/>
    <x v="105"/>
    <s v="Proyecto operacional"/>
    <s v="Enviado"/>
    <s v="22.04.001"/>
    <x v="106"/>
    <s v="Compra de serie de productos para el buen funcionamiento de la Unidad de Farmacia durante el año 2026"/>
    <x v="7"/>
    <x v="100"/>
    <n v="4"/>
    <n v="2"/>
    <x v="124"/>
    <x v="60"/>
    <x v="4"/>
    <x v="35"/>
    <x v="44"/>
    <x v="24"/>
    <s v="64-2335610-"/>
    <s v="pedro.fritz@redsalud.gob.cl"/>
    <x v="13"/>
    <m/>
    <n v="0"/>
    <m/>
    <n v="0"/>
    <n v="0"/>
    <m/>
    <x v="1"/>
  </r>
  <r>
    <s v="SERVICIO DE SALUD OSORNO"/>
    <x v="0"/>
    <x v="105"/>
    <s v="Proyecto operacional"/>
    <s v="Enviado"/>
    <s v="22.04.001"/>
    <x v="106"/>
    <s v="Compra de serie de productos para el buen funcionamiento de la Unidad de Farmacia durante el año 2026"/>
    <x v="7"/>
    <x v="101"/>
    <n v="4"/>
    <n v="146"/>
    <x v="125"/>
    <x v="165"/>
    <x v="4"/>
    <x v="32"/>
    <x v="44"/>
    <x v="24"/>
    <s v="64-2335610-"/>
    <s v="pedro.fritz@redsalud.gob.cl"/>
    <x v="21"/>
    <m/>
    <n v="0"/>
    <m/>
    <n v="0"/>
    <n v="0"/>
    <m/>
    <x v="1"/>
  </r>
  <r>
    <s v="SERVICIO DE SALUD OSORNO"/>
    <x v="0"/>
    <x v="105"/>
    <s v="Proyecto operacional"/>
    <s v="Enviado"/>
    <s v="22.04.001"/>
    <x v="106"/>
    <s v="Compra de serie de productos para el buen funcionamiento de la Unidad de Farmacia durante el año 2026"/>
    <x v="7"/>
    <x v="101"/>
    <n v="4"/>
    <n v="6"/>
    <x v="126"/>
    <x v="166"/>
    <x v="4"/>
    <x v="35"/>
    <x v="44"/>
    <x v="24"/>
    <s v="64-2335610-"/>
    <s v="pedro.fritz@redsalud.gob.cl"/>
    <x v="13"/>
    <m/>
    <n v="0"/>
    <m/>
    <n v="0"/>
    <n v="0"/>
    <m/>
    <x v="1"/>
  </r>
  <r>
    <s v="SERVICIO DE SALUD OSORNO"/>
    <x v="1"/>
    <x v="106"/>
    <s v="Proyecto operacional"/>
    <s v="Enviado"/>
    <s v="22.01.001"/>
    <x v="107"/>
    <s v="Actividades en sesiones del taller, presentación de fiestas patrias y presentación en el día de la salud mental. Inicio de actividades en enero."/>
    <x v="5"/>
    <x v="31"/>
    <n v="4"/>
    <n v="15"/>
    <x v="127"/>
    <x v="167"/>
    <x v="4"/>
    <x v="35"/>
    <x v="44"/>
    <x v="24"/>
    <s v="64-2335610-"/>
    <s v="pedro.fritz@redsalud.gob.cl"/>
    <x v="13"/>
    <m/>
    <n v="0"/>
    <m/>
    <n v="0"/>
    <n v="0"/>
    <m/>
    <x v="1"/>
  </r>
  <r>
    <s v="SERVICIO DE SALUD OSORNO"/>
    <x v="1"/>
    <x v="106"/>
    <s v="Proyecto operacional"/>
    <s v="Enviado"/>
    <s v="22.01.001"/>
    <x v="107"/>
    <s v="Actividades en sesiones del taller, presentación de fiestas patrias y presentación en el día de la salud mental. Inicio de actividades en enero."/>
    <x v="5"/>
    <x v="102"/>
    <n v="4"/>
    <n v="16"/>
    <x v="128"/>
    <x v="129"/>
    <x v="4"/>
    <x v="35"/>
    <x v="44"/>
    <x v="24"/>
    <s v="64-2335610-"/>
    <s v="pedro.fritz@redsalud.gob.cl"/>
    <x v="13"/>
    <m/>
    <n v="0"/>
    <m/>
    <n v="0"/>
    <n v="0"/>
    <m/>
    <x v="1"/>
  </r>
  <r>
    <s v="SERVICIO DE SALUD OSORNO"/>
    <x v="1"/>
    <x v="106"/>
    <s v="Proyecto operacional"/>
    <s v="Enviado"/>
    <s v="22.01.001"/>
    <x v="107"/>
    <s v="Actividades en sesiones del taller, presentación de fiestas patrias y presentación en el día de la salud mental. Inicio de actividades en enero."/>
    <x v="5"/>
    <x v="103"/>
    <n v="4"/>
    <n v="23"/>
    <x v="129"/>
    <x v="168"/>
    <x v="4"/>
    <x v="35"/>
    <x v="44"/>
    <x v="24"/>
    <s v="64-2335610-"/>
    <s v="pedro.fritz@redsalud.gob.cl"/>
    <x v="13"/>
    <m/>
    <n v="0"/>
    <m/>
    <n v="0"/>
    <n v="0"/>
    <m/>
    <x v="1"/>
  </r>
  <r>
    <s v="SERVICIO DE SALUD OSORNO"/>
    <x v="0"/>
    <x v="107"/>
    <s v="Proyecto operacional"/>
    <s v="Enviado"/>
    <s v="22.04.999"/>
    <x v="108"/>
    <s v="Se requiere la adquisición de artículos promocionales para fortalecer la imagen corporativa de la Comunidad, incluyendo lienzos y pendones con información institucional y de contacto. También se contemplan trofeos, galardones, bolsas y suvenires personalizados con la identidad visual de la organización, con el fin de mantener coherencia en la comunicación institucional y reforzar el reconocimiento de la Comunidad en actividades, eventos y campañas de promoción."/>
    <x v="6"/>
    <x v="104"/>
    <n v="4"/>
    <n v="24"/>
    <x v="130"/>
    <x v="169"/>
    <x v="4"/>
    <x v="32"/>
    <x v="43"/>
    <x v="48"/>
    <s v="64-2335492-"/>
    <s v="CAROLINA.SILVALL@REDSALUD.GOB.CL"/>
    <x v="21"/>
    <m/>
    <n v="0"/>
    <m/>
    <n v="0"/>
    <n v="0"/>
    <m/>
    <x v="1"/>
  </r>
  <r>
    <s v="SERVICIO DE SALUD OSORNO"/>
    <x v="0"/>
    <x v="107"/>
    <s v="Proyecto operacional"/>
    <s v="Enviado"/>
    <s v="22.04.999"/>
    <x v="108"/>
    <s v="Se requiere la adquisición de artículos promocionales para fortalecer la imagen corporativa de la Comunidad, incluyendo lienzos y pendones con información institucional y de contacto. También se contemplan trofeos, galardones, bolsas y suvenires personalizados con la identidad visual de la organización, con el fin de mantener coherencia en la comunicación institucional y reforzar el reconocimiento de la Comunidad en actividades, eventos y campañas de promoción."/>
    <x v="6"/>
    <x v="105"/>
    <n v="4"/>
    <n v="500"/>
    <x v="131"/>
    <x v="112"/>
    <x v="4"/>
    <x v="32"/>
    <x v="43"/>
    <x v="48"/>
    <s v="64-2335492-"/>
    <s v="CAROLINA.SILVALL@REDSALUD.GOB.CL"/>
    <x v="21"/>
    <m/>
    <n v="0"/>
    <m/>
    <n v="0"/>
    <n v="0"/>
    <m/>
    <x v="1"/>
  </r>
  <r>
    <s v="SERVICIO DE SALUD OSORNO"/>
    <x v="0"/>
    <x v="107"/>
    <s v="Proyecto operacional"/>
    <s v="Enviado"/>
    <s v="22.04.999"/>
    <x v="108"/>
    <s v="Se requiere la adquisición de artículos promocionales para fortalecer la imagen corporativa de la Comunidad, incluyendo lienzos y pendones con información institucional y de contacto. También se contemplan trofeos, galardones, bolsas y suvenires personalizados con la identidad visual de la organización, con el fin de mantener coherencia en la comunicación institucional y reforzar el reconocimiento de la Comunidad en actividades, eventos y campañas de promoción."/>
    <x v="6"/>
    <x v="106"/>
    <n v="4"/>
    <n v="2"/>
    <x v="132"/>
    <x v="130"/>
    <x v="4"/>
    <x v="35"/>
    <x v="43"/>
    <x v="48"/>
    <s v="64-2335492-"/>
    <s v="CAROLINA.SILVALL@REDSALUD.GOB.CL"/>
    <x v="13"/>
    <m/>
    <n v="0"/>
    <m/>
    <n v="0"/>
    <n v="0"/>
    <m/>
    <x v="1"/>
  </r>
  <r>
    <s v="SERVICIO DE SALUD OSORNO"/>
    <x v="0"/>
    <x v="107"/>
    <s v="Proyecto operacional"/>
    <s v="Enviado"/>
    <s v="22.04.999"/>
    <x v="108"/>
    <s v="Se requiere la adquisición de artículos promocionales para fortalecer la imagen corporativa de la Comunidad, incluyendo lienzos y pendones con información institucional y de contacto. También se contemplan trofeos, galardones, bolsas y suvenires personalizados con la identidad visual de la organización, con el fin de mantener coherencia en la comunicación institucional y reforzar el reconocimiento de la Comunidad en actividades, eventos y campañas de promoción."/>
    <x v="6"/>
    <x v="107"/>
    <n v="4"/>
    <n v="1550"/>
    <x v="133"/>
    <x v="170"/>
    <x v="4"/>
    <x v="32"/>
    <x v="43"/>
    <x v="48"/>
    <s v="64-2335492-"/>
    <s v="CAROLINA.SILVALL@REDSALUD.GOB.CL"/>
    <x v="21"/>
    <m/>
    <n v="0"/>
    <m/>
    <n v="0"/>
    <n v="0"/>
    <m/>
    <x v="1"/>
  </r>
  <r>
    <s v="SERVICIO DE SALUD OSORNO"/>
    <x v="0"/>
    <x v="108"/>
    <s v="Proyecto operacional"/>
    <s v="Enviado"/>
    <s v="22.01.001"/>
    <x v="109"/>
    <s v="Compra de Servicio de Cafetería para asistentes a Jornada de Humanización del Trato Usuario, dirigido a 50 participantes, jornada AM - PM."/>
    <x v="1"/>
    <x v="32"/>
    <n v="4"/>
    <n v="100"/>
    <x v="121"/>
    <x v="162"/>
    <x v="4"/>
    <x v="33"/>
    <x v="45"/>
    <x v="49"/>
    <s v="64-2335775-"/>
    <s v="daniela.barriaa@redsalud.gob.cl"/>
    <x v="22"/>
    <m/>
    <n v="0"/>
    <m/>
    <n v="0"/>
    <n v="0"/>
    <m/>
    <x v="1"/>
  </r>
  <r>
    <s v="SERVICIO DE SALUD OSORNO"/>
    <x v="0"/>
    <x v="109"/>
    <s v="Proyecto operacional"/>
    <s v="Enviado"/>
    <s v="22.04.999"/>
    <x v="110"/>
    <s v="Se requiere en Enero la compra de una despensa con cierre para resguardo y protección de equipos Notebook y Celulares del Cosam"/>
    <x v="1"/>
    <x v="108"/>
    <n v="4"/>
    <n v="1"/>
    <x v="134"/>
    <x v="171"/>
    <x v="4"/>
    <x v="35"/>
    <x v="44"/>
    <x v="24"/>
    <s v="64-2335610-"/>
    <s v="pedro.fritz@redsalud.gob.cl"/>
    <x v="13"/>
    <m/>
    <n v="0"/>
    <m/>
    <n v="0"/>
    <n v="0"/>
    <m/>
    <x v="1"/>
  </r>
  <r>
    <s v="SERVICIO DE SALUD OSORNO"/>
    <x v="1"/>
    <x v="110"/>
    <s v="Proyecto operacional"/>
    <s v="Enviado"/>
    <s v="22.04.014"/>
    <x v="111"/>
    <s v="Se espera adquisición para el mes de enero del 2026 para dar inicio a intervenciones desde febrero a diciembre."/>
    <x v="0"/>
    <x v="109"/>
    <n v="4"/>
    <n v="20"/>
    <x v="135"/>
    <x v="172"/>
    <x v="4"/>
    <x v="35"/>
    <x v="44"/>
    <x v="24"/>
    <s v="64-2335610-"/>
    <s v="pedro.fritz@redsalud.gob.cl"/>
    <x v="13"/>
    <m/>
    <n v="0"/>
    <m/>
    <n v="0"/>
    <n v="0"/>
    <m/>
    <x v="1"/>
  </r>
  <r>
    <s v="SERVICIO DE SALUD OSORNO"/>
    <x v="1"/>
    <x v="110"/>
    <s v="Proyecto operacional"/>
    <s v="Enviado"/>
    <s v="22.04.014"/>
    <x v="111"/>
    <s v="Se espera adquisición para el mes de enero del 2026 para dar inicio a intervenciones desde febrero a diciembre."/>
    <x v="0"/>
    <x v="110"/>
    <n v="4"/>
    <n v="10"/>
    <x v="28"/>
    <x v="173"/>
    <x v="4"/>
    <x v="35"/>
    <x v="44"/>
    <x v="24"/>
    <s v="64-2335610-"/>
    <s v="pedro.fritz@redsalud.gob.cl"/>
    <x v="13"/>
    <m/>
    <n v="0"/>
    <m/>
    <n v="0"/>
    <n v="0"/>
    <m/>
    <x v="1"/>
  </r>
  <r>
    <s v="SERVICIO DE SALUD OSORNO"/>
    <x v="1"/>
    <x v="111"/>
    <s v="Proyecto operacional"/>
    <s v="Enviado"/>
    <s v="22.01.001"/>
    <x v="112"/>
    <s v="La actividad se realizará en el mes de agosto del 2026, por lo que las compras deberían estar un mes antes para preparar los recuerdos y material para ese día."/>
    <x v="0"/>
    <x v="31"/>
    <n v="4"/>
    <n v="32"/>
    <x v="136"/>
    <x v="174"/>
    <x v="4"/>
    <x v="33"/>
    <x v="44"/>
    <x v="24"/>
    <s v="64-2335610-"/>
    <s v="pedro.fritz@redsalud.gob.cl"/>
    <x v="22"/>
    <m/>
    <n v="0"/>
    <m/>
    <n v="0"/>
    <n v="0"/>
    <m/>
    <x v="1"/>
  </r>
  <r>
    <s v="SERVICIO DE SALUD OSORNO"/>
    <x v="1"/>
    <x v="111"/>
    <s v="Proyecto operacional"/>
    <s v="Enviado"/>
    <s v="22.01.001"/>
    <x v="112"/>
    <s v="La actividad se realizará en el mes de agosto del 2026, por lo que las compras deberían estar un mes antes para preparar los recuerdos y material para ese día."/>
    <x v="0"/>
    <x v="111"/>
    <n v="4"/>
    <n v="9"/>
    <x v="137"/>
    <x v="175"/>
    <x v="4"/>
    <x v="33"/>
    <x v="44"/>
    <x v="24"/>
    <s v="64-2335610-"/>
    <s v="pedro.fritz@redsalud.gob.cl"/>
    <x v="22"/>
    <m/>
    <n v="0"/>
    <m/>
    <n v="0"/>
    <n v="0"/>
    <m/>
    <x v="1"/>
  </r>
  <r>
    <s v="SERVICIO DE SALUD OSORNO"/>
    <x v="1"/>
    <x v="112"/>
    <s v="Proyecto operacional"/>
    <s v="Enviado"/>
    <s v="22.04.999"/>
    <x v="113"/>
    <s v="La actividad de fiestas patrias 2026 se desarrollará en el mes de septiembre, por lo que se recomienda realizar la compra un mes antes, en este ítem y para la ejecución de dicho evento se requiere insumos para decorar y alimentación para los usuarios y sus familias, quienes son el público objetivo."/>
    <x v="5"/>
    <x v="112"/>
    <n v="4"/>
    <n v="78"/>
    <x v="138"/>
    <x v="176"/>
    <x v="4"/>
    <x v="36"/>
    <x v="44"/>
    <x v="24"/>
    <s v="64-2335610-"/>
    <s v="pedro.fritz@redsalud.gob.cl"/>
    <x v="24"/>
    <m/>
    <n v="0"/>
    <m/>
    <n v="0"/>
    <n v="0"/>
    <m/>
    <x v="1"/>
  </r>
  <r>
    <s v="SERVICIO DE SALUD OSORNO"/>
    <x v="1"/>
    <x v="112"/>
    <s v="Proyecto operacional"/>
    <s v="Enviado"/>
    <s v="22.04.999"/>
    <x v="113"/>
    <s v="La actividad de fiestas patrias 2026 se desarrollará en el mes de septiembre, por lo que se recomienda realizar la compra un mes antes, en este ítem y para la ejecución de dicho evento se requiere insumos para decorar y alimentación para los usuarios y sus familias, quienes son el público objetivo."/>
    <x v="5"/>
    <x v="63"/>
    <n v="4"/>
    <n v="1"/>
    <x v="72"/>
    <x v="177"/>
    <x v="4"/>
    <x v="36"/>
    <x v="44"/>
    <x v="24"/>
    <s v="64-2335610-"/>
    <s v="pedro.fritz@redsalud.gob.cl"/>
    <x v="24"/>
    <m/>
    <n v="0"/>
    <m/>
    <n v="0"/>
    <n v="0"/>
    <m/>
    <x v="1"/>
  </r>
  <r>
    <s v="SERVICIO DE SALUD OSORNO"/>
    <x v="1"/>
    <x v="112"/>
    <s v="Proyecto operacional"/>
    <s v="Enviado"/>
    <s v="22.04.999"/>
    <x v="113"/>
    <s v="La actividad de fiestas patrias 2026 se desarrollará en el mes de septiembre, por lo que se recomienda realizar la compra un mes antes, en este ítem y para la ejecución de dicho evento se requiere insumos para decorar y alimentación para los usuarios y sus familias, quienes son el público objetivo."/>
    <x v="5"/>
    <x v="113"/>
    <n v="4"/>
    <n v="10"/>
    <x v="139"/>
    <x v="178"/>
    <x v="4"/>
    <x v="36"/>
    <x v="44"/>
    <x v="24"/>
    <s v="64-2335610-"/>
    <s v="pedro.fritz@redsalud.gob.cl"/>
    <x v="24"/>
    <m/>
    <n v="0"/>
    <m/>
    <n v="0"/>
    <n v="0"/>
    <m/>
    <x v="1"/>
  </r>
  <r>
    <s v="SERVICIO DE SALUD OSORNO"/>
    <x v="1"/>
    <x v="113"/>
    <s v="Proyecto operacional"/>
    <s v="Enviado"/>
    <s v="22.04.002"/>
    <x v="114"/>
    <s v="La Intervención psicosocial grupal se desarrollará desde abril del 2026, a cargo de profesional de cosam oriente, y está enmarcada en 2 ciclos anuales para diferentes personas, cada ciclo constan de 4 meses en total, y finaliza con una presentación."/>
    <x v="1"/>
    <x v="114"/>
    <n v="4"/>
    <n v="6"/>
    <x v="140"/>
    <x v="112"/>
    <x v="4"/>
    <x v="32"/>
    <x v="44"/>
    <x v="24"/>
    <s v="64-2335610-"/>
    <s v="pedro.fritz@redsalud.gob.cl"/>
    <x v="21"/>
    <m/>
    <n v="0"/>
    <m/>
    <n v="0"/>
    <n v="0"/>
    <m/>
    <x v="1"/>
  </r>
  <r>
    <s v="SERVICIO DE SALUD OSORNO"/>
    <x v="0"/>
    <x v="114"/>
    <s v="Proyecto operacional"/>
    <s v="Enviado"/>
    <s v="22.04.001"/>
    <x v="115"/>
    <s v="COMPRA DE MATERIALES DE OFICINA QUE NO SE ENCUENTRA DISPONIBLE EN BODEGA DE INSUMOS DE OFICINA, TALES COMO: PAQUETE DE MICAS TRANSPARENTES TAMAÑO CARTA PAQUETE DE MICAS TRANSPARENTES, TIJERAS GRANDES PARA CORTAR PLANOS TIJERAS DE OFICINA, CORCHETERAS, PORTA PLANOS, TERMOLAMINADORA, ENTRE OTROS."/>
    <x v="1"/>
    <x v="115"/>
    <n v="4"/>
    <n v="177"/>
    <x v="141"/>
    <x v="179"/>
    <x v="4"/>
    <x v="35"/>
    <x v="46"/>
    <x v="50"/>
    <s v="64-2335764-"/>
    <s v="yanet.gutierrez@redsalud.gob.cl"/>
    <x v="13"/>
    <m/>
    <n v="0"/>
    <m/>
    <n v="0"/>
    <n v="0"/>
    <m/>
    <x v="1"/>
  </r>
  <r>
    <s v="SERVICIO DE SALUD OSORNO"/>
    <x v="0"/>
    <x v="115"/>
    <s v="Proyecto operacional"/>
    <s v="Enviado"/>
    <s v="22.11.003"/>
    <x v="116"/>
    <s v="Desarrollar el estudio y modelación estructural del actual COSAM Oriente, de tal forma de evaluar una ampliación para la normalización del edificio al estándar MINSAL actual."/>
    <x v="1"/>
    <x v="97"/>
    <n v="4"/>
    <n v="1"/>
    <x v="142"/>
    <x v="180"/>
    <x v="4"/>
    <x v="31"/>
    <x v="39"/>
    <x v="44"/>
    <s v="64-2335843-"/>
    <s v="mario.barrientos@redsalud.gob.cl"/>
    <x v="20"/>
    <m/>
    <n v="0"/>
    <m/>
    <n v="0"/>
    <n v="0"/>
    <m/>
    <x v="1"/>
  </r>
  <r>
    <s v="SERVICIO DE SALUD OSORNO"/>
    <x v="0"/>
    <x v="116"/>
    <s v="Proyecto operacional"/>
    <s v="Enviado"/>
    <s v="22.04.002"/>
    <x v="117"/>
    <s v="Artículos para uso en los talleres de Terapia Ocupacional en unidades Residencial y Ambulatorio. Que tengan durabilidad, higiene, que cumplan funciones de estimulación, que sean seguros, que el tamaño vaya de acuerdo a la edad para la cual esté dirigido y que la forma facilite la manipulación, diseño adecuado para todos los beneficiarios, Sin olvidar la buena calidad. EJECUCIÓN: JULIO 2026"/>
    <x v="1"/>
    <x v="116"/>
    <n v="4"/>
    <n v="26"/>
    <x v="143"/>
    <x v="181"/>
    <x v="4"/>
    <x v="33"/>
    <x v="43"/>
    <x v="48"/>
    <s v="64-2335492-"/>
    <s v="CAROLINA.SILVALL@REDSALUD.GOB.CL"/>
    <x v="22"/>
    <m/>
    <n v="0"/>
    <m/>
    <n v="0"/>
    <n v="0"/>
    <m/>
    <x v="1"/>
  </r>
  <r>
    <s v="SERVICIO DE SALUD OSORNO"/>
    <x v="0"/>
    <x v="117"/>
    <s v="Proyecto operacional"/>
    <s v="Enviado"/>
    <s v="22.04.999"/>
    <x v="118"/>
    <s v="Se requiere la adquisición de una cubierta textil o lona de alta resistencia para su instalación en jardines y áreas abiertas del establecimiento. Su finalidad es brindar protección ante radiación solar y condiciones climáticas, favoreciendo el uso seguro y confortable de los espacios exteriores. El material deberá ser lona acrílica impermeable, transpirable y duradera, resistente al sol, viento y lluvia, con estructura estable y apta para espacios institucionales. EJECUCION MARZO 2026"/>
    <x v="1"/>
    <x v="117"/>
    <n v="4"/>
    <n v="4"/>
    <x v="144"/>
    <x v="182"/>
    <x v="4"/>
    <x v="32"/>
    <x v="43"/>
    <x v="48"/>
    <s v="64-2335492-"/>
    <s v="CAROLINA.SILVALL@REDSALUD.GOB.CL"/>
    <x v="21"/>
    <m/>
    <n v="0"/>
    <m/>
    <n v="0"/>
    <n v="0"/>
    <m/>
    <x v="1"/>
  </r>
  <r>
    <s v="SERVICIO DE SALUD OSORNO"/>
    <x v="0"/>
    <x v="118"/>
    <s v="Proyecto operacional"/>
    <s v="Enviado"/>
    <s v="22.04.012"/>
    <x v="119"/>
    <s v="Se requiere la adquisición de materiales para mantenciones y reparaciones en la unidad de salud con el fin de asegurar el correcto funcionamiento de las instalaciones, equipos e infraestructura, garantizando condiciones seguras y adecuadas para la atención de usuarios y el trabajo del personal. Estos insumos permiten realizar reparaciones oportunas, prevenir deterioros mayores, mantener la continuidad operativa y cumplir con las normas de seguridad y salud laboral establecidas."/>
    <x v="5"/>
    <x v="118"/>
    <n v="4"/>
    <n v="28"/>
    <x v="145"/>
    <x v="183"/>
    <x v="4"/>
    <x v="31"/>
    <x v="43"/>
    <x v="48"/>
    <s v="64-2335492-"/>
    <s v="CAROLINA.SILVALL@REDSALUD.GOB.CL"/>
    <x v="20"/>
    <m/>
    <n v="0"/>
    <m/>
    <n v="0"/>
    <n v="0"/>
    <m/>
    <x v="1"/>
  </r>
  <r>
    <s v="SERVICIO DE SALUD OSORNO"/>
    <x v="0"/>
    <x v="118"/>
    <s v="Proyecto operacional"/>
    <s v="Enviado"/>
    <s v="22.04.012"/>
    <x v="119"/>
    <s v="Se requiere la adquisición de materiales para mantenciones y reparaciones en la unidad de salud con el fin de asegurar el correcto funcionamiento de las instalaciones, equipos e infraestructura, garantizando condiciones seguras y adecuadas para la atención de usuarios y el trabajo del personal. Estos insumos permiten realizar reparaciones oportunas, prevenir deterioros mayores, mantener la continuidad operativa y cumplir con las normas de seguridad y salud laboral establecidas."/>
    <x v="5"/>
    <x v="119"/>
    <n v="4"/>
    <n v="60"/>
    <x v="146"/>
    <x v="184"/>
    <x v="4"/>
    <x v="31"/>
    <x v="43"/>
    <x v="48"/>
    <s v="64-2335492-"/>
    <s v="CAROLINA.SILVALL@REDSALUD.GOB.CL"/>
    <x v="20"/>
    <m/>
    <n v="0"/>
    <m/>
    <n v="0"/>
    <n v="0"/>
    <m/>
    <x v="1"/>
  </r>
  <r>
    <s v="SERVICIO DE SALUD OSORNO"/>
    <x v="0"/>
    <x v="118"/>
    <s v="Proyecto operacional"/>
    <s v="Enviado"/>
    <s v="22.04.012"/>
    <x v="119"/>
    <s v="Se requiere la adquisición de materiales para mantenciones y reparaciones en la unidad de salud con el fin de asegurar el correcto funcionamiento de las instalaciones, equipos e infraestructura, garantizando condiciones seguras y adecuadas para la atención de usuarios y el trabajo del personal. Estos insumos permiten realizar reparaciones oportunas, prevenir deterioros mayores, mantener la continuidad operativa y cumplir con las normas de seguridad y salud laboral establecidas."/>
    <x v="5"/>
    <x v="3"/>
    <n v="4"/>
    <n v="2"/>
    <x v="147"/>
    <x v="185"/>
    <x v="4"/>
    <x v="31"/>
    <x v="43"/>
    <x v="48"/>
    <s v="64-2335492-"/>
    <s v="CAROLINA.SILVALL@REDSALUD.GOB.CL"/>
    <x v="20"/>
    <m/>
    <n v="0"/>
    <m/>
    <n v="0"/>
    <n v="0"/>
    <m/>
    <x v="1"/>
  </r>
  <r>
    <s v="SERVICIO DE SALUD OSORNO"/>
    <x v="0"/>
    <x v="119"/>
    <s v="Proyecto operacional"/>
    <s v="Enviado"/>
    <s v="22.04.009"/>
    <x v="120"/>
    <s v="Se requiere la adquisición de repuestos e insumos computacionales para garantizar el correcto funcionamiento de los equipos tecnológicos de la unidad de salud, asegurando la continuidad de los servicios administrativos, clínicos y de registro de información. Estos insumos permiten reparar, mantener y optimizar el desempeño de computadores, impresoras y otros dispositivos electrónicos, reduciendo tiempos de inactividad, previniendo fallas mayores y asegurando eficiencia, seguridad y confiabilidad en los procesos del establecimiento."/>
    <x v="5"/>
    <x v="101"/>
    <n v="4"/>
    <n v="31"/>
    <x v="148"/>
    <x v="186"/>
    <x v="4"/>
    <x v="24"/>
    <x v="43"/>
    <x v="48"/>
    <s v="64-2335492-"/>
    <s v="CAROLINA.SILVALL@REDSALUD.GOB.CL"/>
    <x v="14"/>
    <m/>
    <n v="0"/>
    <m/>
    <n v="0"/>
    <n v="0"/>
    <m/>
    <x v="1"/>
  </r>
  <r>
    <s v="SERVICIO DE SALUD OSORNO"/>
    <x v="0"/>
    <x v="119"/>
    <s v="Proyecto operacional"/>
    <s v="Enviado"/>
    <s v="22.04.009"/>
    <x v="120"/>
    <s v="Se requiere la adquisición de repuestos e insumos computacionales para garantizar el correcto funcionamiento de los equipos tecnológicos de la unidad de salud, asegurando la continuidad de los servicios administrativos, clínicos y de registro de información. Estos insumos permiten reparar, mantener y optimizar el desempeño de computadores, impresoras y otros dispositivos electrónicos, reduciendo tiempos de inactividad, previniendo fallas mayores y asegurando eficiencia, seguridad y confiabilidad en los procesos del establecimiento."/>
    <x v="5"/>
    <x v="120"/>
    <n v="4"/>
    <n v="12"/>
    <x v="132"/>
    <x v="187"/>
    <x v="4"/>
    <x v="35"/>
    <x v="43"/>
    <x v="48"/>
    <s v="64-2335492-"/>
    <s v="CAROLINA.SILVALL@REDSALUD.GOB.CL"/>
    <x v="13"/>
    <m/>
    <n v="0"/>
    <m/>
    <n v="0"/>
    <n v="0"/>
    <m/>
    <x v="1"/>
  </r>
  <r>
    <s v="SERVICIO DE SALUD OSORNO"/>
    <x v="0"/>
    <x v="119"/>
    <s v="Proyecto operacional"/>
    <s v="Enviado"/>
    <s v="22.04.009"/>
    <x v="120"/>
    <s v="Se requiere la adquisición de repuestos e insumos computacionales para garantizar el correcto funcionamiento de los equipos tecnológicos de la unidad de salud, asegurando la continuidad de los servicios administrativos, clínicos y de registro de información. Estos insumos permiten reparar, mantener y optimizar el desempeño de computadores, impresoras y otros dispositivos electrónicos, reduciendo tiempos de inactividad, previniendo fallas mayores y asegurando eficiencia, seguridad y confiabilidad en los procesos del establecimiento."/>
    <x v="5"/>
    <x v="119"/>
    <n v="4"/>
    <n v="20"/>
    <x v="149"/>
    <x v="141"/>
    <x v="4"/>
    <x v="25"/>
    <x v="43"/>
    <x v="48"/>
    <s v="64-2335492-"/>
    <s v="CAROLINA.SILVALL@REDSALUD.GOB.CL"/>
    <x v="15"/>
    <m/>
    <n v="0"/>
    <m/>
    <n v="0"/>
    <n v="0"/>
    <m/>
    <x v="1"/>
  </r>
  <r>
    <s v="SERVICIO DE SALUD OSORNO"/>
    <x v="0"/>
    <x v="120"/>
    <s v="Proyecto estratégico"/>
    <s v="Enviado"/>
    <s v="22.04.003.002"/>
    <x v="121"/>
    <s v="INSUMOS PARA EXAMENES DE LABORATORIO TIPO POC, CON ARRIENDO DE EQUIPOS, PARA HOSPITAL PUERTO OCTAY, HOSPITAL RIO NEGRO, HOSPITAL PU MULEN QUILACAHUIN, HOSPITAL FUKA SRUKA LAWENCHE KUNKO MAPU MO Y SAR CHUYACA. MES DE EJECUCION DE LA COMPRA SE REQUIERE PARA JULIO DEL 2026, CON DURACION DE 12 MESES."/>
    <x v="1"/>
    <x v="121"/>
    <n v="4"/>
    <n v="1"/>
    <x v="150"/>
    <x v="188"/>
    <x v="11"/>
    <x v="40"/>
    <x v="15"/>
    <x v="51"/>
    <s v="64-2335827-"/>
    <s v="sofiav.reyes@redsalud.gob.cl"/>
    <x v="22"/>
    <m/>
    <n v="0"/>
    <m/>
    <n v="0"/>
    <n v="0"/>
    <m/>
    <x v="1"/>
  </r>
  <r>
    <s v="SERVICIO DE SALUD OSORNO"/>
    <x v="0"/>
    <x v="121"/>
    <s v="Proyecto operacional"/>
    <s v="Enviado"/>
    <s v="22.04.999"/>
    <x v="122"/>
    <s v="Con motivo de conmemorar el Día Mundial de la Actividad Física (6 de abril) y el Día Mundial de la Salud (7 de abril), la Unidad SAFU invita a participar a los funcionarios de los diferentes Servicios/Establecimientos/Dispositivos de la Red SSO para que envíen un video que muestre una pausa activa en su trabajo, ya sea una rutina simple de ejercicios o un baile entretenido en grupo. La pausa activa más creativa será premiada con un ?set de pausas activas?, que incluye herramientas para desarrollar pausas activas en su lugar de trabajo."/>
    <x v="1"/>
    <x v="122"/>
    <n v="4"/>
    <n v="50"/>
    <x v="121"/>
    <x v="185"/>
    <x v="4"/>
    <x v="32"/>
    <x v="47"/>
    <x v="52"/>
    <s v="64-2337097-"/>
    <s v="marcia.delarze@redsalud.gob.cl"/>
    <x v="21"/>
    <m/>
    <n v="0"/>
    <m/>
    <n v="0"/>
    <n v="0"/>
    <m/>
    <x v="1"/>
  </r>
  <r>
    <s v="SERVICIO DE SALUD OSORNO"/>
    <x v="0"/>
    <x v="122"/>
    <s v="Proyecto operacional"/>
    <s v="Enviado"/>
    <s v="22.01.001"/>
    <x v="123"/>
    <s v="Plan de compras para el año 2026 lo que contempla inducción de médicos u odontólogos EDF contratados por el art. 8° de la ley N° 19.664 , profesionales que retornan a iniciar su periodo asistencial obligatorio y procesos de inducción para profesionales funcionarios que ingresan a nuestro Servicio. Para esto se requiere: Servicio de cafetería para jornadas de inducción Servicio de Mudanza para Profesionales EDF/Becados Publicación de Avisos de Llamado a Consultores"/>
    <x v="8"/>
    <x v="31"/>
    <n v="4"/>
    <n v="1"/>
    <x v="151"/>
    <x v="189"/>
    <x v="4"/>
    <x v="38"/>
    <x v="48"/>
    <x v="53"/>
    <s v="64-2335767-"/>
    <s v="jocelyne.prieto@redsalud.gob.cl"/>
    <x v="19"/>
    <m/>
    <n v="0"/>
    <m/>
    <n v="0"/>
    <n v="0"/>
    <m/>
    <x v="1"/>
  </r>
  <r>
    <s v="SERVICIO DE SALUD OSORNO"/>
    <x v="0"/>
    <x v="122"/>
    <s v="Proyecto operacional"/>
    <s v="Enviado"/>
    <s v="22.01.001"/>
    <x v="123"/>
    <s v="Plan de compras para el año 2026 lo que contempla inducción de médicos u odontólogos EDF contratados por el art. 8° de la ley N° 19.664 , profesionales que retornan a iniciar su periodo asistencial obligatorio y procesos de inducción para profesionales funcionarios que ingresan a nuestro Servicio. Para esto se requiere: Servicio de cafetería para jornadas de inducción Servicio de Mudanza para Profesionales EDF/Becados Publicación de Avisos de Llamado a Consultores"/>
    <x v="8"/>
    <x v="63"/>
    <n v="4"/>
    <n v="3"/>
    <x v="152"/>
    <x v="190"/>
    <x v="4"/>
    <x v="31"/>
    <x v="48"/>
    <x v="53"/>
    <s v="64-2335767-"/>
    <s v="jocelyne.prieto@redsalud.gob.cl"/>
    <x v="20"/>
    <m/>
    <n v="0"/>
    <m/>
    <n v="0"/>
    <n v="0"/>
    <m/>
    <x v="1"/>
  </r>
  <r>
    <s v="SERVICIO DE SALUD OSORNO"/>
    <x v="0"/>
    <x v="122"/>
    <s v="Proyecto operacional"/>
    <s v="Enviado"/>
    <s v="22.01.001"/>
    <x v="123"/>
    <s v="Plan de compras para el año 2026 lo que contempla inducción de médicos u odontólogos EDF contratados por el art. 8° de la ley N° 19.664 , profesionales que retornan a iniciar su periodo asistencial obligatorio y procesos de inducción para profesionales funcionarios que ingresan a nuestro Servicio. Para esto se requiere: Servicio de cafetería para jornadas de inducción Servicio de Mudanza para Profesionales EDF/Becados Publicación de Avisos de Llamado a Consultores"/>
    <x v="8"/>
    <x v="123"/>
    <n v="4"/>
    <n v="30"/>
    <x v="153"/>
    <x v="191"/>
    <x v="4"/>
    <x v="31"/>
    <x v="48"/>
    <x v="53"/>
    <s v="64-2335767-"/>
    <s v="jocelyne.prieto@redsalud.gob.cl"/>
    <x v="20"/>
    <m/>
    <n v="0"/>
    <m/>
    <n v="0"/>
    <n v="0"/>
    <m/>
    <x v="1"/>
  </r>
  <r>
    <s v="SERVICIO DE SALUD OSORNO"/>
    <x v="0"/>
    <x v="122"/>
    <s v="Proyecto operacional"/>
    <s v="Enviado"/>
    <s v="22.01.001"/>
    <x v="123"/>
    <s v="Plan de compras para el año 2026 lo que contempla inducción de médicos u odontólogos EDF contratados por el art. 8° de la ley N° 19.664 , profesionales que retornan a iniciar su periodo asistencial obligatorio y procesos de inducción para profesionales funcionarios que ingresan a nuestro Servicio. Para esto se requiere: Servicio de cafetería para jornadas de inducción Servicio de Mudanza para Profesionales EDF/Becados Publicación de Avisos de Llamado a Consultores"/>
    <x v="8"/>
    <x v="124"/>
    <n v="4"/>
    <n v="25"/>
    <x v="154"/>
    <x v="150"/>
    <x v="4"/>
    <x v="31"/>
    <x v="48"/>
    <x v="53"/>
    <s v="64-2335767-"/>
    <s v="jocelyne.prieto@redsalud.gob.cl"/>
    <x v="20"/>
    <m/>
    <n v="0"/>
    <m/>
    <n v="0"/>
    <n v="0"/>
    <m/>
    <x v="1"/>
  </r>
  <r>
    <s v="SERVICIO DE SALUD OSORNO"/>
    <x v="0"/>
    <x v="122"/>
    <s v="Proyecto operacional"/>
    <s v="Enviado"/>
    <s v="22.01.001"/>
    <x v="123"/>
    <s v="Plan de compras para el año 2026 lo que contempla inducción de médicos u odontólogos EDF contratados por el art. 8° de la ley N° 19.664 , profesionales que retornan a iniciar su periodo asistencial obligatorio y procesos de inducción para profesionales funcionarios que ingresan a nuestro Servicio. Para esto se requiere: Servicio de cafetería para jornadas de inducción Servicio de Mudanza para Profesionales EDF/Becados Publicación de Avisos de Llamado a Consultores"/>
    <x v="8"/>
    <x v="125"/>
    <n v="4"/>
    <n v="50"/>
    <x v="155"/>
    <x v="178"/>
    <x v="4"/>
    <x v="38"/>
    <x v="48"/>
    <x v="53"/>
    <s v="64-2335767-"/>
    <s v="jocelyne.prieto@redsalud.gob.cl"/>
    <x v="19"/>
    <m/>
    <n v="0"/>
    <m/>
    <n v="0"/>
    <n v="0"/>
    <m/>
    <x v="1"/>
  </r>
  <r>
    <s v="SERVICIO DE SALUD OSORNO"/>
    <x v="0"/>
    <x v="122"/>
    <s v="Proyecto operacional"/>
    <s v="Enviado"/>
    <s v="22.01.001"/>
    <x v="123"/>
    <s v="Plan de compras para el año 2026 lo que contempla inducción de médicos u odontólogos EDF contratados por el art. 8° de la ley N° 19.664 , profesionales que retornan a iniciar su periodo asistencial obligatorio y procesos de inducción para profesionales funcionarios que ingresan a nuestro Servicio. Para esto se requiere: Servicio de cafetería para jornadas de inducción Servicio de Mudanza para Profesionales EDF/Becados Publicación de Avisos de Llamado a Consultores"/>
    <x v="8"/>
    <x v="126"/>
    <n v="4"/>
    <n v="2"/>
    <x v="156"/>
    <x v="192"/>
    <x v="4"/>
    <x v="28"/>
    <x v="48"/>
    <x v="53"/>
    <s v="64-2335767-"/>
    <s v="jocelyne.prieto@redsalud.gob.cl"/>
    <x v="18"/>
    <m/>
    <n v="0"/>
    <m/>
    <n v="0"/>
    <n v="0"/>
    <m/>
    <x v="1"/>
  </r>
  <r>
    <s v="SERVICIO DE SALUD OSORNO"/>
    <x v="0"/>
    <x v="122"/>
    <s v="Proyecto operacional"/>
    <s v="Enviado"/>
    <s v="22.01.001"/>
    <x v="123"/>
    <s v="Plan de compras para el año 2026 lo que contempla inducción de médicos u odontólogos EDF contratados por el art. 8° de la ley N° 19.664 , profesionales que retornan a iniciar su periodo asistencial obligatorio y procesos de inducción para profesionales funcionarios que ingresan a nuestro Servicio. Para esto se requiere: Servicio de cafetería para jornadas de inducción Servicio de Mudanza para Profesionales EDF/Becados Publicación de Avisos de Llamado a Consultores"/>
    <x v="8"/>
    <x v="127"/>
    <n v="4"/>
    <n v="200"/>
    <x v="157"/>
    <x v="193"/>
    <x v="4"/>
    <x v="38"/>
    <x v="48"/>
    <x v="53"/>
    <s v="64-2335767-"/>
    <s v="jocelyne.prieto@redsalud.gob.cl"/>
    <x v="19"/>
    <m/>
    <n v="0"/>
    <m/>
    <n v="0"/>
    <n v="0"/>
    <m/>
    <x v="1"/>
  </r>
  <r>
    <s v="SERVICIO DE SALUD OSORNO"/>
    <x v="1"/>
    <x v="123"/>
    <s v="Proyecto operacional"/>
    <s v="Enviado"/>
    <s v="22.01.001"/>
    <x v="124"/>
    <s v="El Festival Navideño se realizará en el mes de diciembre, por lo que las compras deberían estar en noviembre, para poder organizar los recuerdos y actividades a realizar en este evento, además de la comida que se va a entregar a los invitados. Es una actividad de cierre de año y de reflexión en torno a lo realizado en las vidas de los usuarios y sus familiares"/>
    <x v="6"/>
    <x v="63"/>
    <n v="4"/>
    <n v="1"/>
    <x v="83"/>
    <x v="164"/>
    <x v="4"/>
    <x v="28"/>
    <x v="44"/>
    <x v="24"/>
    <s v="64-2335610-"/>
    <s v="pedro.fritz@redsalud.gob.cl"/>
    <x v="18"/>
    <m/>
    <n v="0"/>
    <m/>
    <n v="0"/>
    <n v="0"/>
    <m/>
    <x v="1"/>
  </r>
  <r>
    <s v="SERVICIO DE SALUD OSORNO"/>
    <x v="1"/>
    <x v="123"/>
    <s v="Proyecto operacional"/>
    <s v="Enviado"/>
    <s v="22.01.001"/>
    <x v="124"/>
    <s v="El Festival Navideño se realizará en el mes de diciembre, por lo que las compras deberían estar en noviembre, para poder organizar los recuerdos y actividades a realizar en este evento, además de la comida que se va a entregar a los invitados. Es una actividad de cierre de año y de reflexión en torno a lo realizado en las vidas de los usuarios y sus familiares"/>
    <x v="6"/>
    <x v="31"/>
    <n v="4"/>
    <n v="110"/>
    <x v="158"/>
    <x v="194"/>
    <x v="4"/>
    <x v="28"/>
    <x v="44"/>
    <x v="24"/>
    <s v="64-2335610-"/>
    <s v="pedro.fritz@redsalud.gob.cl"/>
    <x v="18"/>
    <m/>
    <n v="0"/>
    <m/>
    <n v="0"/>
    <n v="0"/>
    <m/>
    <x v="1"/>
  </r>
  <r>
    <s v="SERVICIO DE SALUD OSORNO"/>
    <x v="1"/>
    <x v="123"/>
    <s v="Proyecto operacional"/>
    <s v="Enviado"/>
    <s v="22.01.001"/>
    <x v="124"/>
    <s v="El Festival Navideño se realizará en el mes de diciembre, por lo que las compras deberían estar en noviembre, para poder organizar los recuerdos y actividades a realizar en este evento, además de la comida que se va a entregar a los invitados. Es una actividad de cierre de año y de reflexión en torno a lo realizado en las vidas de los usuarios y sus familiares"/>
    <x v="6"/>
    <x v="94"/>
    <n v="4"/>
    <n v="31"/>
    <x v="159"/>
    <x v="195"/>
    <x v="4"/>
    <x v="28"/>
    <x v="44"/>
    <x v="24"/>
    <s v="64-2335610-"/>
    <s v="pedro.fritz@redsalud.gob.cl"/>
    <x v="18"/>
    <m/>
    <n v="0"/>
    <m/>
    <n v="0"/>
    <n v="0"/>
    <m/>
    <x v="1"/>
  </r>
  <r>
    <s v="SERVICIO DE SALUD OSORNO"/>
    <x v="1"/>
    <x v="123"/>
    <s v="Proyecto operacional"/>
    <s v="Enviado"/>
    <s v="22.01.001"/>
    <x v="124"/>
    <s v="El Festival Navideño se realizará en el mes de diciembre, por lo que las compras deberían estar en noviembre, para poder organizar los recuerdos y actividades a realizar en este evento, además de la comida que se va a entregar a los invitados. Es una actividad de cierre de año y de reflexión en torno a lo realizado en las vidas de los usuarios y sus familiares"/>
    <x v="6"/>
    <x v="128"/>
    <n v="4"/>
    <n v="30"/>
    <x v="160"/>
    <x v="196"/>
    <x v="4"/>
    <x v="28"/>
    <x v="44"/>
    <x v="24"/>
    <s v="64-2335610-"/>
    <s v="pedro.fritz@redsalud.gob.cl"/>
    <x v="18"/>
    <m/>
    <n v="0"/>
    <m/>
    <n v="0"/>
    <n v="0"/>
    <m/>
    <x v="1"/>
  </r>
  <r>
    <s v="SERVICIO DE SALUD OSORNO"/>
    <x v="1"/>
    <x v="124"/>
    <s v="Proyecto operacional"/>
    <s v="Enviado"/>
    <s v="22.04.002"/>
    <x v="125"/>
    <s v="Idealmente en enero ya contar con los materiales."/>
    <x v="1"/>
    <x v="94"/>
    <n v="4"/>
    <n v="26"/>
    <x v="161"/>
    <x v="197"/>
    <x v="4"/>
    <x v="35"/>
    <x v="44"/>
    <x v="24"/>
    <s v="64-2335610-"/>
    <s v="pedro.fritz@redsalud.gob.cl"/>
    <x v="13"/>
    <m/>
    <n v="0"/>
    <m/>
    <n v="0"/>
    <n v="0"/>
    <m/>
    <x v="1"/>
  </r>
  <r>
    <s v="SERVICIO DE SALUD OSORNO"/>
    <x v="0"/>
    <x v="125"/>
    <s v="Proyecto operacional"/>
    <s v="Enviado"/>
    <s v="22.04.003"/>
    <x v="126"/>
    <s v="COMPRA DE KITS PARA DETECCION DE VIRUS Y BACTERIAS RESPIRATORIAS POR METODO MOLECULAR RAPIDO (POC MOLECULAR) QUE PERMITIRAN A HPO, HRN Y HPU OTORGAR PRESTACIONES DE LABORATORIO RELATIVAS A LA DETECCION DE INFECCIONES RESPIRATORIAS POR METODOS RAPIDOS Y ALTAMENTE ESPECIFICOS/SENSIBLES. SE REQUIERE QUE LA COMPRA SE REALICE EN MAYO DEL 2026, CON RECURSOS DE LA CAMPAÑA DE INVIERNO DEL AÑO 2026, CON DURACION DEL CONVENIO POR 12 MESES."/>
    <x v="1"/>
    <x v="121"/>
    <n v="4"/>
    <n v="1"/>
    <x v="66"/>
    <x v="198"/>
    <x v="11"/>
    <x v="41"/>
    <x v="49"/>
    <x v="51"/>
    <s v="64-2335827-"/>
    <s v="sofiav.reyes@redsalud.gob.cl"/>
    <x v="20"/>
    <m/>
    <n v="0"/>
    <m/>
    <n v="0"/>
    <n v="0"/>
    <m/>
    <x v="1"/>
  </r>
  <r>
    <s v="SERVICIO DE SALUD OSORNO"/>
    <x v="1"/>
    <x v="126"/>
    <s v="Proyecto operacional"/>
    <s v="Enviado"/>
    <s v="22.01.001.002"/>
    <x v="127"/>
    <s v="Se requiere contar con los insumos en los siguientes meses: Febrero, Marzo, Abril, Mayo, Junio, Julio, Agosto y Noviembre"/>
    <x v="5"/>
    <x v="63"/>
    <n v="4"/>
    <n v="2"/>
    <x v="162"/>
    <x v="199"/>
    <x v="4"/>
    <x v="38"/>
    <x v="44"/>
    <x v="24"/>
    <s v="64-2335610-"/>
    <s v="pedro.fritz@redsalud.gob.cl"/>
    <x v="19"/>
    <m/>
    <n v="0"/>
    <m/>
    <n v="0"/>
    <n v="0"/>
    <m/>
    <x v="1"/>
  </r>
  <r>
    <s v="SERVICIO DE SALUD OSORNO"/>
    <x v="1"/>
    <x v="126"/>
    <s v="Proyecto operacional"/>
    <s v="Enviado"/>
    <s v="22.01.001.002"/>
    <x v="127"/>
    <s v="Se requiere contar con los insumos en los siguientes meses: Febrero, Marzo, Abril, Mayo, Junio, Julio, Agosto y Noviembre"/>
    <x v="5"/>
    <x v="31"/>
    <n v="4"/>
    <n v="173"/>
    <x v="163"/>
    <x v="200"/>
    <x v="4"/>
    <x v="38"/>
    <x v="44"/>
    <x v="24"/>
    <s v="64-2335610-"/>
    <s v="pedro.fritz@redsalud.gob.cl"/>
    <x v="19"/>
    <m/>
    <n v="0"/>
    <m/>
    <n v="0"/>
    <n v="0"/>
    <m/>
    <x v="1"/>
  </r>
  <r>
    <s v="SERVICIO DE SALUD OSORNO"/>
    <x v="1"/>
    <x v="126"/>
    <s v="Proyecto operacional"/>
    <s v="Enviado"/>
    <s v="22.01.001.002"/>
    <x v="127"/>
    <s v="Se requiere contar con los insumos en los siguientes meses: Febrero, Marzo, Abril, Mayo, Junio, Julio, Agosto y Noviembre"/>
    <x v="5"/>
    <x v="113"/>
    <n v="4"/>
    <n v="400"/>
    <x v="164"/>
    <x v="201"/>
    <x v="4"/>
    <x v="38"/>
    <x v="44"/>
    <x v="24"/>
    <s v="64-2335610-"/>
    <s v="pedro.fritz@redsalud.gob.cl"/>
    <x v="19"/>
    <m/>
    <n v="0"/>
    <m/>
    <n v="0"/>
    <n v="0"/>
    <m/>
    <x v="1"/>
  </r>
  <r>
    <s v="SERVICIO DE SALUD OSORNO"/>
    <x v="0"/>
    <x v="127"/>
    <s v="Proyecto operacional"/>
    <s v="Enviado"/>
    <s v="22.04.999"/>
    <x v="128"/>
    <s v="Adquirir productos para realización de medicina integrativa en los/las funcionarios/as que se atiendas en SAFU, por lo cual, para dar continuidad a los tratamientos realizados, el mes de ejecución de la compra debe ser realizado en enero 2026 , el cual estará vigente hasta diciembre 2026."/>
    <x v="1"/>
    <x v="129"/>
    <n v="4"/>
    <n v="1328"/>
    <x v="165"/>
    <x v="202"/>
    <x v="4"/>
    <x v="35"/>
    <x v="50"/>
    <x v="54"/>
    <s v="64-2337034-"/>
    <s v="lhya.kortmann@redsalud.gob.cl"/>
    <x v="13"/>
    <m/>
    <n v="0"/>
    <m/>
    <n v="0"/>
    <n v="0"/>
    <m/>
    <x v="1"/>
  </r>
  <r>
    <s v="SERVICIO DE SALUD OSORNO"/>
    <x v="0"/>
    <x v="128"/>
    <s v="Proyecto operacional"/>
    <s v="Enviado"/>
    <s v="22.04.007"/>
    <x v="129"/>
    <s v="COMPRA DE INSUMOS PARA USUARIOS DEL PROGRAMA ATENCIÓN DOMICILIARIA PARA PERSONAS CON DEPENDENCIA SEVERA. LA COMPRA SE REALIZARÁ EN EL MES DE ABRIL, SEGÚN DISTRIBUCIÓN DE RECURSOS FINANCIEROS."/>
    <x v="5"/>
    <x v="130"/>
    <n v="4"/>
    <n v="750"/>
    <x v="166"/>
    <x v="203"/>
    <x v="4"/>
    <x v="24"/>
    <x v="51"/>
    <x v="55"/>
    <s v="64-2335818-"/>
    <s v="camila.alvarez@redsalud.gob.cl"/>
    <x v="14"/>
    <m/>
    <n v="0"/>
    <m/>
    <n v="0"/>
    <n v="0"/>
    <m/>
    <x v="1"/>
  </r>
  <r>
    <s v="SERVICIO DE SALUD OSORNO"/>
    <x v="0"/>
    <x v="128"/>
    <s v="Proyecto operacional"/>
    <s v="Enviado"/>
    <s v="22.04.007"/>
    <x v="129"/>
    <s v="COMPRA DE INSUMOS PARA USUARIOS DEL PROGRAMA ATENCIÓN DOMICILIARIA PARA PERSONAS CON DEPENDENCIA SEVERA. LA COMPRA SE REALIZARÁ EN EL MES DE ABRIL, SEGÚN DISTRIBUCIÓN DE RECURSOS FINANCIEROS."/>
    <x v="5"/>
    <x v="131"/>
    <n v="4"/>
    <n v="702"/>
    <x v="167"/>
    <x v="204"/>
    <x v="4"/>
    <x v="24"/>
    <x v="51"/>
    <x v="55"/>
    <s v="64-2335818-"/>
    <s v="camila.alvarez@redsalud.gob.cl"/>
    <x v="14"/>
    <m/>
    <n v="0"/>
    <m/>
    <n v="0"/>
    <n v="0"/>
    <m/>
    <x v="1"/>
  </r>
  <r>
    <s v="SERVICIO DE SALUD OSORNO"/>
    <x v="0"/>
    <x v="128"/>
    <s v="Proyecto operacional"/>
    <s v="Enviado"/>
    <s v="22.04.007"/>
    <x v="129"/>
    <s v="COMPRA DE INSUMOS PARA USUARIOS DEL PROGRAMA ATENCIÓN DOMICILIARIA PARA PERSONAS CON DEPENDENCIA SEVERA. LA COMPRA SE REALIZARÁ EN EL MES DE ABRIL, SEGÚN DISTRIBUCIÓN DE RECURSOS FINANCIEROS."/>
    <x v="5"/>
    <x v="132"/>
    <n v="4"/>
    <n v="200"/>
    <x v="168"/>
    <x v="205"/>
    <x v="4"/>
    <x v="24"/>
    <x v="51"/>
    <x v="55"/>
    <s v="64-2335818-"/>
    <s v="camila.alvarez@redsalud.gob.cl"/>
    <x v="14"/>
    <m/>
    <n v="0"/>
    <m/>
    <n v="0"/>
    <n v="0"/>
    <m/>
    <x v="1"/>
  </r>
  <r>
    <s v="SERVICIO DE SALUD OSORNO"/>
    <x v="0"/>
    <x v="129"/>
    <s v="Proyecto operacional"/>
    <s v="Enviado"/>
    <s v="22.04.001"/>
    <x v="130"/>
    <s v="Compra se ejecutará en Marzo 2026."/>
    <x v="0"/>
    <x v="43"/>
    <n v="4"/>
    <n v="3248"/>
    <x v="169"/>
    <x v="206"/>
    <x v="4"/>
    <x v="32"/>
    <x v="52"/>
    <x v="56"/>
    <s v="64-2335811-"/>
    <s v="eleuterio.roman@redsalud.gob.cl"/>
    <x v="21"/>
    <m/>
    <n v="0"/>
    <m/>
    <n v="0"/>
    <n v="0"/>
    <m/>
    <x v="1"/>
  </r>
  <r>
    <s v="SERVICIO DE SALUD OSORNO"/>
    <x v="0"/>
    <x v="129"/>
    <s v="Proyecto operacional"/>
    <s v="Enviado"/>
    <s v="22.04.001"/>
    <x v="130"/>
    <s v="Compra se ejecutará en Marzo 2026."/>
    <x v="0"/>
    <x v="133"/>
    <n v="4"/>
    <n v="4"/>
    <x v="170"/>
    <x v="207"/>
    <x v="4"/>
    <x v="32"/>
    <x v="52"/>
    <x v="56"/>
    <s v="64-2335811-"/>
    <s v="eleuterio.roman@redsalud.gob.cl"/>
    <x v="21"/>
    <m/>
    <n v="0"/>
    <m/>
    <n v="0"/>
    <n v="0"/>
    <m/>
    <x v="1"/>
  </r>
  <r>
    <s v="SERVICIO DE SALUD OSORNO"/>
    <x v="0"/>
    <x v="130"/>
    <s v="Proyecto operacional"/>
    <s v="Enviado"/>
    <s v="22.04.999"/>
    <x v="131"/>
    <s v="Ejecutar actividad de Zumba dirigida a funcionarios/as y comunidad en conmemoración al mes del corazón (Agosto 2026), además de entregar colaciones saludables y premios posterior a la realización de la actividad. Actividad inserta en Programa Apoyo a la Gestión en establecimiento dependientes - componente Salud Cardiovascular (Presupuesto 2026)."/>
    <x v="5"/>
    <x v="134"/>
    <n v="4"/>
    <n v="2"/>
    <x v="171"/>
    <x v="208"/>
    <x v="4"/>
    <x v="36"/>
    <x v="53"/>
    <x v="57"/>
    <s v="64-2337032-"/>
    <s v="daniela.cancino01@redsalud.gob.cl"/>
    <x v="24"/>
    <m/>
    <n v="0"/>
    <m/>
    <n v="0"/>
    <n v="0"/>
    <m/>
    <x v="1"/>
  </r>
  <r>
    <s v="SERVICIO DE SALUD OSORNO"/>
    <x v="0"/>
    <x v="130"/>
    <s v="Proyecto operacional"/>
    <s v="Enviado"/>
    <s v="22.04.999"/>
    <x v="131"/>
    <s v="Ejecutar actividad de Zumba dirigida a funcionarios/as y comunidad en conmemoración al mes del corazón (Agosto 2026), además de entregar colaciones saludables y premios posterior a la realización de la actividad. Actividad inserta en Programa Apoyo a la Gestión en establecimiento dependientes - componente Salud Cardiovascular (Presupuesto 2026)."/>
    <x v="5"/>
    <x v="31"/>
    <n v="4"/>
    <n v="240"/>
    <x v="172"/>
    <x v="209"/>
    <x v="4"/>
    <x v="36"/>
    <x v="53"/>
    <x v="57"/>
    <s v="64-2337032-"/>
    <s v="daniela.cancino01@redsalud.gob.cl"/>
    <x v="24"/>
    <m/>
    <n v="0"/>
    <m/>
    <n v="0"/>
    <n v="0"/>
    <m/>
    <x v="1"/>
  </r>
  <r>
    <s v="SERVICIO DE SALUD OSORNO"/>
    <x v="0"/>
    <x v="130"/>
    <s v="Proyecto operacional"/>
    <s v="Enviado"/>
    <s v="22.04.999"/>
    <x v="131"/>
    <s v="Ejecutar actividad de Zumba dirigida a funcionarios/as y comunidad en conmemoración al mes del corazón (Agosto 2026), además de entregar colaciones saludables y premios posterior a la realización de la actividad. Actividad inserta en Programa Apoyo a la Gestión en establecimiento dependientes - componente Salud Cardiovascular (Presupuesto 2026)."/>
    <x v="5"/>
    <x v="135"/>
    <n v="4"/>
    <n v="220"/>
    <x v="173"/>
    <x v="210"/>
    <x v="4"/>
    <x v="36"/>
    <x v="53"/>
    <x v="57"/>
    <s v="64-2337032-"/>
    <s v="daniela.cancino01@redsalud.gob.cl"/>
    <x v="24"/>
    <m/>
    <n v="0"/>
    <m/>
    <n v="0"/>
    <n v="0"/>
    <m/>
    <x v="1"/>
  </r>
  <r>
    <s v="SERVICIO DE SALUD OSORNO"/>
    <x v="0"/>
    <x v="131"/>
    <s v="Proyecto operacional"/>
    <s v="Enviado"/>
    <s v="22.06.001"/>
    <x v="132"/>
    <s v="Mes en el que se deberá gestionar FSC es febrero 2026. la mantención se considera 1 vez en el año."/>
    <x v="1"/>
    <x v="68"/>
    <n v="4"/>
    <n v="9"/>
    <x v="174"/>
    <x v="211"/>
    <x v="4"/>
    <x v="38"/>
    <x v="44"/>
    <x v="58"/>
    <s v="64-2335588-"/>
    <s v="roberto.nunez@redsalud.gob.cl"/>
    <x v="19"/>
    <m/>
    <n v="0"/>
    <m/>
    <n v="0"/>
    <n v="0"/>
    <m/>
    <x v="1"/>
  </r>
  <r>
    <s v="SERVICIO DE SALUD OSORNO"/>
    <x v="0"/>
    <x v="132"/>
    <s v="Proyecto operacional"/>
    <s v="Enviado"/>
    <s v="22.06.001"/>
    <x v="133"/>
    <s v="Febrero, marzo, abril año 2026. El trabajo se debe hacer en 3 meses son 12 estacionamientos, se debe realizar de a 4 por motivo de no congestionar espacios destinados a estacionamientos"/>
    <x v="1"/>
    <x v="68"/>
    <n v="4"/>
    <n v="12"/>
    <x v="175"/>
    <x v="212"/>
    <x v="4"/>
    <x v="38"/>
    <x v="44"/>
    <x v="58"/>
    <s v="64-2335588-"/>
    <s v="roberto.nunez@redsalud.gob.cl"/>
    <x v="19"/>
    <m/>
    <n v="0"/>
    <m/>
    <n v="0"/>
    <n v="0"/>
    <m/>
    <x v="1"/>
  </r>
  <r>
    <s v="SERVICIO DE SALUD OSORNO"/>
    <x v="0"/>
    <x v="133"/>
    <s v="Proyecto operacional"/>
    <s v="Enviado"/>
    <s v="22.06.001"/>
    <x v="134"/>
    <s v="marzo 2026, corresponde a 1 trabajo que se debe ejecutar"/>
    <x v="1"/>
    <x v="68"/>
    <n v="4"/>
    <n v="1"/>
    <x v="176"/>
    <x v="141"/>
    <x v="4"/>
    <x v="32"/>
    <x v="44"/>
    <x v="58"/>
    <s v="64-2335588-"/>
    <s v="roberto.nunez@redsalud.gob.cl"/>
    <x v="21"/>
    <m/>
    <n v="0"/>
    <m/>
    <n v="0"/>
    <n v="0"/>
    <m/>
    <x v="1"/>
  </r>
  <r>
    <s v="SERVICIO DE SALUD OSORNO"/>
    <x v="0"/>
    <x v="134"/>
    <s v="Proyecto operacional"/>
    <s v="Enviado"/>
    <s v="22.06.001"/>
    <x v="135"/>
    <s v="Se deberá ejecutar en marzo 2026, es un sólo trabajo"/>
    <x v="1"/>
    <x v="68"/>
    <n v="4"/>
    <n v="1"/>
    <x v="177"/>
    <x v="106"/>
    <x v="4"/>
    <x v="38"/>
    <x v="44"/>
    <x v="58"/>
    <s v="64-2335588-"/>
    <s v="roberto.nunez@redsalud.gob.cl"/>
    <x v="19"/>
    <m/>
    <n v="0"/>
    <m/>
    <n v="0"/>
    <n v="0"/>
    <m/>
    <x v="1"/>
  </r>
  <r>
    <s v="SERVICIO DE SALUD OSORNO"/>
    <x v="0"/>
    <x v="135"/>
    <s v="Proyecto operacional"/>
    <s v="Enviado"/>
    <s v="22.06.001"/>
    <x v="136"/>
    <s v="Se deberá ejecutar en marzo 2026, corresponde a 1 trabajo"/>
    <x v="1"/>
    <x v="68"/>
    <n v="4"/>
    <n v="1"/>
    <x v="58"/>
    <x v="96"/>
    <x v="4"/>
    <x v="32"/>
    <x v="44"/>
    <x v="58"/>
    <s v="64-2335588-"/>
    <s v="roberto.nunez@redsalud.gob.cl"/>
    <x v="21"/>
    <m/>
    <n v="0"/>
    <m/>
    <n v="0"/>
    <n v="0"/>
    <m/>
    <x v="1"/>
  </r>
  <r>
    <s v="SERVICIO DE SALUD OSORNO"/>
    <x v="0"/>
    <x v="136"/>
    <s v="Proyecto operacional"/>
    <s v="Enviado"/>
    <s v="22.06.001"/>
    <x v="137"/>
    <s v="Se deberá ejecutar en abril 2026, El trabajo se hace 1 vez"/>
    <x v="1"/>
    <x v="68"/>
    <n v="4"/>
    <n v="6"/>
    <x v="178"/>
    <x v="213"/>
    <x v="4"/>
    <x v="24"/>
    <x v="44"/>
    <x v="58"/>
    <s v="64-2335588-"/>
    <s v="roberto.nunez@redsalud.gob.cl"/>
    <x v="14"/>
    <m/>
    <n v="0"/>
    <m/>
    <n v="0"/>
    <n v="0"/>
    <m/>
    <x v="1"/>
  </r>
  <r>
    <s v="SERVICIO DE SALUD OSORNO"/>
    <x v="0"/>
    <x v="137"/>
    <s v="Proyecto operacional"/>
    <s v="Enviado"/>
    <s v="22.06.001"/>
    <x v="138"/>
    <s v="Se deberá ejecutar en Enero 2026. Corresponde a un trabajo"/>
    <x v="1"/>
    <x v="68"/>
    <n v="4"/>
    <n v="1"/>
    <x v="179"/>
    <x v="182"/>
    <x v="4"/>
    <x v="35"/>
    <x v="44"/>
    <x v="58"/>
    <s v="64-2335588-"/>
    <s v="roberto.nunez@redsalud.gob.cl"/>
    <x v="13"/>
    <m/>
    <n v="0"/>
    <m/>
    <n v="0"/>
    <n v="0"/>
    <m/>
    <x v="1"/>
  </r>
  <r>
    <s v="SERVICIO DE SALUD OSORNO"/>
    <x v="0"/>
    <x v="138"/>
    <s v="Proyecto operacional"/>
    <s v="Enviado"/>
    <s v="22.06.001"/>
    <x v="139"/>
    <s v="Se deberá ejecutar en julio 2026, corresponde a una obra de adecuación."/>
    <x v="1"/>
    <x v="68"/>
    <n v="4"/>
    <n v="1"/>
    <x v="180"/>
    <x v="214"/>
    <x v="4"/>
    <x v="33"/>
    <x v="44"/>
    <x v="58"/>
    <s v="64-2335588-"/>
    <s v="roberto.nunez@redsalud.gob.cl"/>
    <x v="22"/>
    <m/>
    <n v="0"/>
    <m/>
    <n v="0"/>
    <n v="0"/>
    <m/>
    <x v="1"/>
  </r>
  <r>
    <s v="SERVICIO DE SALUD OSORNO"/>
    <x v="0"/>
    <x v="139"/>
    <s v="Proyecto operacional"/>
    <s v="Enviado"/>
    <s v="22.06.001"/>
    <x v="140"/>
    <s v="Ejecución en marzo 2026. Corresponde a 1 trabajo."/>
    <x v="1"/>
    <x v="68"/>
    <n v="4"/>
    <n v="1"/>
    <x v="181"/>
    <x v="215"/>
    <x v="4"/>
    <x v="32"/>
    <x v="44"/>
    <x v="58"/>
    <s v="64-2335588-"/>
    <s v="roberto.nunez@redsalud.gob.cl"/>
    <x v="21"/>
    <m/>
    <n v="0"/>
    <m/>
    <n v="0"/>
    <n v="0"/>
    <m/>
    <x v="1"/>
  </r>
  <r>
    <s v="SERVICIO DE SALUD OSORNO"/>
    <x v="0"/>
    <x v="140"/>
    <s v="Proyecto operacional"/>
    <s v="Enviado"/>
    <s v="22.06.001"/>
    <x v="141"/>
    <s v="Ejecución en abril 2026, corresponde a 1 solo trabajo"/>
    <x v="1"/>
    <x v="68"/>
    <n v="4"/>
    <n v="1"/>
    <x v="142"/>
    <x v="180"/>
    <x v="4"/>
    <x v="24"/>
    <x v="44"/>
    <x v="58"/>
    <s v="64-2335588-"/>
    <s v="roberto.nunez@redsalud.gob.cl"/>
    <x v="14"/>
    <m/>
    <n v="0"/>
    <m/>
    <n v="0"/>
    <n v="0"/>
    <m/>
    <x v="1"/>
  </r>
  <r>
    <s v="SERVICIO DE SALUD OSORNO"/>
    <x v="0"/>
    <x v="141"/>
    <s v="Proyecto operacional"/>
    <s v="Enviado"/>
    <s v="22.04.001"/>
    <x v="142"/>
    <s v="El talonario para licencias médicas es un suministro de formularios de papel que los médicos pueden solicitar a través de la COMPIN. Si bien la emisión de licencias médicas electrónicas es obligatoria desde enero de 2021, existen excepciones que requieren el uso de papel, como cuando hay error en la lectura de la huella del prestador , intermitencia de la plataforma, etc..., por lo cual, se requiere adquirir estos talonarios de licencia médica a través de COMPIN , donde el mes de ejecución de la compra es enero 2026."/>
    <x v="1"/>
    <x v="43"/>
    <n v="4"/>
    <n v="4"/>
    <x v="98"/>
    <x v="216"/>
    <x v="4"/>
    <x v="35"/>
    <x v="50"/>
    <x v="54"/>
    <s v="64-2335663-"/>
    <s v="lhya.kortmann@redsalud.gob.cl"/>
    <x v="13"/>
    <m/>
    <n v="0"/>
    <m/>
    <n v="0"/>
    <n v="0"/>
    <m/>
    <x v="1"/>
  </r>
  <r>
    <s v="SERVICIO DE SALUD OSORNO"/>
    <x v="0"/>
    <x v="142"/>
    <s v="Proyecto operacional"/>
    <s v="Enviado"/>
    <s v="22.06.001"/>
    <x v="143"/>
    <s v="Junio 2026, corresponde a 1 trabajo"/>
    <x v="1"/>
    <x v="68"/>
    <n v="4"/>
    <n v="1"/>
    <x v="153"/>
    <x v="60"/>
    <x v="4"/>
    <x v="25"/>
    <x v="44"/>
    <x v="58"/>
    <s v="64-2335588-"/>
    <s v="roberto.nunez@redsalud.gob.cl"/>
    <x v="22"/>
    <m/>
    <n v="0"/>
    <m/>
    <n v="0"/>
    <n v="0"/>
    <m/>
    <x v="1"/>
  </r>
  <r>
    <s v="SERVICIO DE SALUD OSORNO"/>
    <x v="0"/>
    <x v="143"/>
    <s v="Proyecto operacional"/>
    <s v="Enviado"/>
    <s v="22.03.003"/>
    <x v="144"/>
    <s v="El insumo se deberá adquiquir de la siguiente forma: 600 bolsas de pellet 15kg en marzo, 500 bolsas de pellet 15kg en mayo, 600 bolsas de pellet 15kg en julio y 700 bolsas de pellet 15kg en septiembre"/>
    <x v="1"/>
    <x v="136"/>
    <n v="4"/>
    <n v="2500"/>
    <x v="182"/>
    <x v="217"/>
    <x v="7"/>
    <x v="42"/>
    <x v="44"/>
    <x v="58"/>
    <s v="64-2335588-"/>
    <s v="roberto.nunez@redsalud.gob.cl"/>
    <x v="21"/>
    <m/>
    <n v="0"/>
    <m/>
    <n v="0"/>
    <n v="0"/>
    <m/>
    <x v="1"/>
  </r>
  <r>
    <s v="SERVICIO DE SALUD OSORNO"/>
    <x v="0"/>
    <x v="144"/>
    <s v="Proyecto operacional"/>
    <s v="Enviado"/>
    <s v="22.03.999"/>
    <x v="145"/>
    <s v="Se deberá adquirir en mayo 2026, se comprará una sola vez."/>
    <x v="1"/>
    <x v="137"/>
    <n v="4"/>
    <n v="700"/>
    <x v="183"/>
    <x v="218"/>
    <x v="4"/>
    <x v="31"/>
    <x v="44"/>
    <x v="58"/>
    <s v="64-2335588-"/>
    <s v="roberto.nunez@redsalud.gob.cl"/>
    <x v="20"/>
    <m/>
    <n v="0"/>
    <m/>
    <n v="0"/>
    <n v="0"/>
    <m/>
    <x v="1"/>
  </r>
  <r>
    <s v="SERVICIO DE SALUD OSORNO"/>
    <x v="0"/>
    <x v="145"/>
    <s v="Proyecto operacional"/>
    <s v="Enviado"/>
    <s v="22.06.001"/>
    <x v="146"/>
    <s v="julio 2026. Corresponde a compra de insumos."/>
    <x v="1"/>
    <x v="68"/>
    <n v="4"/>
    <n v="60"/>
    <x v="77"/>
    <x v="219"/>
    <x v="4"/>
    <x v="32"/>
    <x v="44"/>
    <x v="58"/>
    <s v="64-2335588-"/>
    <s v="roberto.nunez@redsalud.gob.cl"/>
    <x v="21"/>
    <m/>
    <n v="0"/>
    <m/>
    <n v="0"/>
    <n v="0"/>
    <m/>
    <x v="1"/>
  </r>
  <r>
    <s v="SERVICIO DE SALUD OSORNO"/>
    <x v="0"/>
    <x v="146"/>
    <s v="Proyecto operacional"/>
    <s v="Enviado"/>
    <s v="22.06.001"/>
    <x v="147"/>
    <s v="Junio 2026. Corresponde a 1 trabajo."/>
    <x v="1"/>
    <x v="68"/>
    <n v="4"/>
    <n v="36"/>
    <x v="184"/>
    <x v="220"/>
    <x v="4"/>
    <x v="25"/>
    <x v="44"/>
    <x v="58"/>
    <s v="64-2335588-"/>
    <s v="roberto.nunez@redsalud.gob.cl"/>
    <x v="15"/>
    <m/>
    <n v="0"/>
    <m/>
    <n v="0"/>
    <n v="0"/>
    <m/>
    <x v="1"/>
  </r>
  <r>
    <s v="SERVICIO DE SALUD OSORNO"/>
    <x v="0"/>
    <x v="147"/>
    <s v="Proyecto operacional"/>
    <s v="Enviado"/>
    <s v="22.06.001"/>
    <x v="148"/>
    <s v="Dejar operativas puertas comunes, puertas de emergencia y puerta doble acceso a pasillo clínico)."/>
    <x v="1"/>
    <x v="6"/>
    <n v="4"/>
    <n v="25"/>
    <x v="147"/>
    <x v="0"/>
    <x v="4"/>
    <x v="36"/>
    <x v="44"/>
    <x v="58"/>
    <s v="64-2335588-"/>
    <s v="roberto.nunez@redsalud.gob.cl"/>
    <x v="24"/>
    <m/>
    <n v="0"/>
    <m/>
    <n v="0"/>
    <n v="0"/>
    <m/>
    <x v="1"/>
  </r>
  <r>
    <s v="SERVICIO DE SALUD OSORNO"/>
    <x v="0"/>
    <x v="148"/>
    <s v="Proyecto operacional"/>
    <s v="Enviado"/>
    <s v="22.06.001"/>
    <x v="149"/>
    <s v="Agosto 2026."/>
    <x v="1"/>
    <x v="68"/>
    <n v="4"/>
    <n v="160"/>
    <x v="185"/>
    <x v="0"/>
    <x v="4"/>
    <x v="36"/>
    <x v="44"/>
    <x v="58"/>
    <s v="64-2335588-"/>
    <s v="roberto.nunez@redsalud.gob.cl"/>
    <x v="24"/>
    <m/>
    <n v="0"/>
    <m/>
    <n v="0"/>
    <n v="0"/>
    <m/>
    <x v="1"/>
  </r>
  <r>
    <s v="SERVICIO DE SALUD OSORNO"/>
    <x v="0"/>
    <x v="149"/>
    <s v="Proyecto operacional"/>
    <s v="Enviado"/>
    <s v="22.08.007"/>
    <x v="150"/>
    <s v="SE REQUIERE EL SERVICIO DE MOVILIZACIÓN PARA COSAM ORIENTE A PARTIR DE ENERO A DICIEMBRE DEL 2027"/>
    <x v="1"/>
    <x v="138"/>
    <n v="4"/>
    <n v="1"/>
    <x v="186"/>
    <x v="221"/>
    <x v="11"/>
    <x v="43"/>
    <x v="44"/>
    <x v="24"/>
    <s v="64-2335610-"/>
    <s v="pedro.fritz@redsalud.gob.cl"/>
    <x v="18"/>
    <m/>
    <n v="0"/>
    <m/>
    <n v="0"/>
    <n v="0"/>
    <m/>
    <x v="1"/>
  </r>
  <r>
    <s v="SERVICIO DE SALUD OSORNO"/>
    <x v="1"/>
    <x v="150"/>
    <s v="Proyecto operacional"/>
    <s v="Enviado"/>
    <s v="29.05.001"/>
    <x v="151"/>
    <s v="QUE LOS FUNCIONARIOS/AS TENGANUN ENTORNO LABORAL ADECUADO PARA EL DESARROLLO DE SUS FUNCIONES. Inicio de ejecucion Marzo del 2026 hasta noviembre 2026"/>
    <x v="0"/>
    <x v="139"/>
    <n v="4"/>
    <n v="1"/>
    <x v="187"/>
    <x v="222"/>
    <x v="4"/>
    <x v="32"/>
    <x v="54"/>
    <x v="59"/>
    <s v="64-2336339-"/>
    <s v="kassandra.fernandez@redsalud.gob.cl"/>
    <x v="21"/>
    <m/>
    <n v="0"/>
    <m/>
    <n v="0"/>
    <n v="0"/>
    <m/>
    <x v="1"/>
  </r>
  <r>
    <s v="SERVICIO DE SALUD OSORNO"/>
    <x v="1"/>
    <x v="150"/>
    <s v="Proyecto operacional"/>
    <s v="Enviado"/>
    <s v="29.05.001"/>
    <x v="151"/>
    <s v="QUE LOS FUNCIONARIOS/AS TENGANUN ENTORNO LABORAL ADECUADO PARA EL DESARROLLO DE SUS FUNCIONES. Inicio de ejecucion Marzo del 2026 hasta noviembre 2026"/>
    <x v="0"/>
    <x v="31"/>
    <n v="4"/>
    <n v="1"/>
    <x v="188"/>
    <x v="223"/>
    <x v="4"/>
    <x v="32"/>
    <x v="54"/>
    <x v="59"/>
    <s v="64-2336339-"/>
    <s v="kassandra.fernandez@redsalud.gob.cl"/>
    <x v="21"/>
    <m/>
    <n v="0"/>
    <m/>
    <n v="0"/>
    <n v="0"/>
    <m/>
    <x v="1"/>
  </r>
  <r>
    <s v="SERVICIO DE SALUD OSORNO"/>
    <x v="0"/>
    <x v="151"/>
    <s v="Proyecto operacional"/>
    <s v="Enviado"/>
    <s v="22.04.001"/>
    <x v="152"/>
    <s v="Se requiere comprar en Marzo"/>
    <x v="1"/>
    <x v="43"/>
    <n v="4"/>
    <n v="134"/>
    <x v="189"/>
    <x v="224"/>
    <x v="4"/>
    <x v="32"/>
    <x v="44"/>
    <x v="24"/>
    <s v="64-2335610-"/>
    <s v="pedro.fritz@redsalud.gob.cl"/>
    <x v="21"/>
    <m/>
    <n v="0"/>
    <m/>
    <n v="0"/>
    <n v="0"/>
    <m/>
    <x v="1"/>
  </r>
  <r>
    <s v="SERVICIO DE SALUD OSORNO"/>
    <x v="0"/>
    <x v="152"/>
    <s v="Proyecto operacional"/>
    <s v="Enviado"/>
    <s v="22.03.001"/>
    <x v="153"/>
    <s v="Se requiere la compra de combustible para el funcionamiento de los móviles de la Dirección del Servicio de Salud Osorno y Ambulancias de la Base SAMU"/>
    <x v="1"/>
    <x v="137"/>
    <n v="4"/>
    <n v="1"/>
    <x v="190"/>
    <x v="225"/>
    <x v="11"/>
    <x v="20"/>
    <x v="35"/>
    <x v="38"/>
    <s v="64-2335660-"/>
    <s v="pablo.oyarzo@redsalud.gob.cl"/>
    <x v="13"/>
    <m/>
    <n v="0"/>
    <m/>
    <n v="0"/>
    <n v="0"/>
    <m/>
    <x v="1"/>
  </r>
  <r>
    <s v="SERVICIO DE SALUD OSORNO"/>
    <x v="0"/>
    <x v="153"/>
    <s v="Proyecto operacional"/>
    <s v="Enviado"/>
    <s v="23.03.003"/>
    <x v="154"/>
    <s v="Convenio Adquisición de 10.000 litros de combustible Diesel para equipos generadores dispositivos del SSO Cosam Rahue y Cosam Oriente año 2026"/>
    <x v="1"/>
    <x v="137"/>
    <n v="4"/>
    <n v="1"/>
    <x v="191"/>
    <x v="226"/>
    <x v="11"/>
    <x v="20"/>
    <x v="35"/>
    <x v="60"/>
    <s v="64-2335660-"/>
    <s v="pablo.oyarzo@redsalud.gob.cl"/>
    <x v="13"/>
    <m/>
    <n v="0"/>
    <m/>
    <n v="0"/>
    <n v="0"/>
    <m/>
    <x v="1"/>
  </r>
  <r>
    <s v="SERVICIO DE SALUD OSORNO"/>
    <x v="1"/>
    <x v="154"/>
    <s v="Proyecto operacional"/>
    <s v="Enviado"/>
    <s v="22.01.001"/>
    <x v="155"/>
    <s v="Se requieren las compras para el mes de marzo"/>
    <x v="0"/>
    <x v="31"/>
    <n v="4"/>
    <n v="68"/>
    <x v="192"/>
    <x v="227"/>
    <x v="4"/>
    <x v="32"/>
    <x v="44"/>
    <x v="24"/>
    <s v="64-2335610-"/>
    <s v="pedro.fritz@redsalud.gob.cl"/>
    <x v="21"/>
    <m/>
    <n v="0"/>
    <m/>
    <n v="0"/>
    <n v="0"/>
    <m/>
    <x v="1"/>
  </r>
  <r>
    <s v="SERVICIO DE SALUD OSORNO"/>
    <x v="1"/>
    <x v="154"/>
    <s v="Proyecto operacional"/>
    <s v="Enviado"/>
    <s v="22.01.001"/>
    <x v="155"/>
    <s v="Se requieren las compras para el mes de marzo"/>
    <x v="0"/>
    <x v="113"/>
    <n v="4"/>
    <n v="5"/>
    <x v="193"/>
    <x v="228"/>
    <x v="4"/>
    <x v="32"/>
    <x v="44"/>
    <x v="24"/>
    <s v="64-2335610-"/>
    <s v="pedro.fritz@redsalud.gob.cl"/>
    <x v="21"/>
    <m/>
    <n v="0"/>
    <m/>
    <n v="0"/>
    <n v="0"/>
    <m/>
    <x v="1"/>
  </r>
  <r>
    <s v="SERVICIO DE SALUD OSORNO"/>
    <x v="1"/>
    <x v="155"/>
    <s v="Proyecto operacional"/>
    <s v="Enviado"/>
    <s v="22.01.001"/>
    <x v="156"/>
    <s v="Se requieren los insumos para el mes de marzo"/>
    <x v="6"/>
    <x v="31"/>
    <n v="4"/>
    <n v="68"/>
    <x v="192"/>
    <x v="227"/>
    <x v="4"/>
    <x v="32"/>
    <x v="44"/>
    <x v="24"/>
    <s v="64-2335610-"/>
    <s v="pedro.fritz@redsalud.gob.cl"/>
    <x v="21"/>
    <m/>
    <n v="0"/>
    <m/>
    <n v="0"/>
    <n v="0"/>
    <m/>
    <x v="1"/>
  </r>
  <r>
    <s v="SERVICIO DE SALUD OSORNO"/>
    <x v="1"/>
    <x v="155"/>
    <s v="Proyecto operacional"/>
    <s v="Enviado"/>
    <s v="22.01.001"/>
    <x v="156"/>
    <s v="Se requieren los insumos para el mes de marzo"/>
    <x v="6"/>
    <x v="113"/>
    <n v="4"/>
    <n v="4"/>
    <x v="194"/>
    <x v="229"/>
    <x v="4"/>
    <x v="32"/>
    <x v="44"/>
    <x v="24"/>
    <s v="64-2335610-"/>
    <s v="pedro.fritz@redsalud.gob.cl"/>
    <x v="21"/>
    <m/>
    <n v="0"/>
    <m/>
    <n v="0"/>
    <n v="0"/>
    <m/>
    <x v="1"/>
  </r>
  <r>
    <s v="SERVICIO DE SALUD OSORNO"/>
    <x v="1"/>
    <x v="155"/>
    <s v="Proyecto operacional"/>
    <s v="Enviado"/>
    <s v="22.01.001"/>
    <x v="156"/>
    <s v="Se requieren los insumos para el mes de marzo"/>
    <x v="6"/>
    <x v="43"/>
    <n v="4"/>
    <n v="1"/>
    <x v="98"/>
    <x v="178"/>
    <x v="4"/>
    <x v="32"/>
    <x v="44"/>
    <x v="24"/>
    <s v="64-2335610-"/>
    <s v="pedro.fritz@redsalud.gob.cl"/>
    <x v="21"/>
    <m/>
    <n v="0"/>
    <m/>
    <n v="0"/>
    <n v="0"/>
    <m/>
    <x v="1"/>
  </r>
  <r>
    <s v="SERVICIO DE SALUD OSORNO"/>
    <x v="1"/>
    <x v="155"/>
    <s v="Proyecto operacional"/>
    <s v="Enviado"/>
    <s v="22.01.001"/>
    <x v="156"/>
    <s v="Se requieren los insumos para el mes de marzo"/>
    <x v="6"/>
    <x v="140"/>
    <n v="4"/>
    <n v="2"/>
    <x v="105"/>
    <x v="145"/>
    <x v="4"/>
    <x v="32"/>
    <x v="44"/>
    <x v="24"/>
    <s v="64-2335610-"/>
    <s v="pedro.fritz@redsalud.gob.cl"/>
    <x v="21"/>
    <m/>
    <n v="0"/>
    <m/>
    <n v="0"/>
    <n v="0"/>
    <m/>
    <x v="1"/>
  </r>
  <r>
    <s v="SERVICIO DE SALUD OSORNO"/>
    <x v="0"/>
    <x v="156"/>
    <s v="Proyecto operacional"/>
    <s v="Enviado"/>
    <s v="22.01.001.003"/>
    <x v="157"/>
    <s v="Compra se servicio de cafetería mañana y tarde para 50 personas, centro de costo Trato Usuario. Instancia de encuentro orientada a compartir experiencias significativas, fortalecer la implementación de buenas prácticas en humanización del trato y cuidado, y promover la mejora continua en la atención centrada en las personas y sus familias."/>
    <x v="0"/>
    <x v="141"/>
    <n v="4"/>
    <n v="50"/>
    <x v="101"/>
    <x v="162"/>
    <x v="4"/>
    <x v="27"/>
    <x v="45"/>
    <x v="49"/>
    <s v="64-2335775-"/>
    <s v="daniela.barriaa@redsalud.gob.cl"/>
    <x v="17"/>
    <m/>
    <n v="0"/>
    <m/>
    <n v="0"/>
    <n v="0"/>
    <m/>
    <x v="1"/>
  </r>
  <r>
    <s v="SERVICIO DE SALUD OSORNO"/>
    <x v="0"/>
    <x v="156"/>
    <s v="Proyecto operacional"/>
    <s v="Enviado"/>
    <s v="22.01.001.003"/>
    <x v="157"/>
    <s v="Compra se servicio de cafetería mañana y tarde para 50 personas, centro de costo Trato Usuario. Instancia de encuentro orientada a compartir experiencias significativas, fortalecer la implementación de buenas prácticas en humanización del trato y cuidado, y promover la mejora continua en la atención centrada en las personas y sus familias."/>
    <x v="0"/>
    <x v="43"/>
    <n v="4"/>
    <n v="26"/>
    <x v="195"/>
    <x v="230"/>
    <x v="4"/>
    <x v="27"/>
    <x v="45"/>
    <x v="49"/>
    <s v="64-2335775-"/>
    <s v="daniela.barriaa@redsalud.gob.cl"/>
    <x v="17"/>
    <m/>
    <n v="0"/>
    <m/>
    <n v="0"/>
    <n v="0"/>
    <m/>
    <x v="1"/>
  </r>
  <r>
    <s v="SERVICIO DE SALUD OSORNO"/>
    <x v="0"/>
    <x v="157"/>
    <s v="Proyecto operacional"/>
    <s v="Enviado"/>
    <s v="22.01.001"/>
    <x v="158"/>
    <s v="Compra de servicio de cafetería y materiales de apoyo (papelería, lápices, papelógrafos) para 50 personas, jornada de un día completo. Centro de costo Trato Usuario"/>
    <x v="0"/>
    <x v="63"/>
    <n v="4"/>
    <n v="50"/>
    <x v="101"/>
    <x v="162"/>
    <x v="4"/>
    <x v="27"/>
    <x v="45"/>
    <x v="49"/>
    <s v="64-2335775-"/>
    <s v="daniela.barriaa@redsalud.gob.cl"/>
    <x v="17"/>
    <m/>
    <n v="0"/>
    <m/>
    <n v="0"/>
    <n v="0"/>
    <m/>
    <x v="1"/>
  </r>
  <r>
    <s v="SERVICIO DE SALUD OSORNO"/>
    <x v="0"/>
    <x v="157"/>
    <s v="Proyecto operacional"/>
    <s v="Enviado"/>
    <s v="22.01.001"/>
    <x v="158"/>
    <s v="Compra de servicio de cafetería y materiales de apoyo (papelería, lápices, papelógrafos) para 50 personas, jornada de un día completo. Centro de costo Trato Usuario"/>
    <x v="0"/>
    <x v="43"/>
    <n v="4"/>
    <n v="50"/>
    <x v="154"/>
    <x v="231"/>
    <x v="4"/>
    <x v="27"/>
    <x v="45"/>
    <x v="49"/>
    <s v="64-2335775-"/>
    <s v="daniela.barriaa@redsalud.gob.cl"/>
    <x v="17"/>
    <m/>
    <n v="0"/>
    <m/>
    <n v="0"/>
    <n v="0"/>
    <m/>
    <x v="1"/>
  </r>
  <r>
    <s v="SERVICIO DE SALUD OSORNO"/>
    <x v="1"/>
    <x v="158"/>
    <s v="Proyecto operacional"/>
    <s v="Enviado"/>
    <s v="22.01.001"/>
    <x v="159"/>
    <s v="Compra de servicio de cafetería y papelería para 50 personas durante dos jornadas. Centro de costo Trato Usuario."/>
    <x v="0"/>
    <x v="63"/>
    <n v="4"/>
    <n v="200"/>
    <x v="196"/>
    <x v="60"/>
    <x v="4"/>
    <x v="27"/>
    <x v="45"/>
    <x v="49"/>
    <s v="64-2335775-"/>
    <s v="daniela.barriaa@redsalud.gob.cl"/>
    <x v="17"/>
    <m/>
    <n v="0"/>
    <m/>
    <n v="0"/>
    <n v="0"/>
    <m/>
    <x v="1"/>
  </r>
  <r>
    <s v="SERVICIO DE SALUD OSORNO"/>
    <x v="1"/>
    <x v="158"/>
    <s v="Proyecto operacional"/>
    <s v="Enviado"/>
    <s v="22.01.001"/>
    <x v="159"/>
    <s v="Compra de servicio de cafetería y papelería para 50 personas durante dos jornadas. Centro de costo Trato Usuario."/>
    <x v="0"/>
    <x v="43"/>
    <n v="4"/>
    <n v="50"/>
    <x v="197"/>
    <x v="164"/>
    <x v="4"/>
    <x v="27"/>
    <x v="45"/>
    <x v="49"/>
    <s v="64-2335775-"/>
    <s v="daniela.barriaa@redsalud.gob.cl"/>
    <x v="16"/>
    <m/>
    <n v="0"/>
    <m/>
    <n v="0"/>
    <n v="0"/>
    <m/>
    <x v="1"/>
  </r>
  <r>
    <s v="SERVICIO DE SALUD OSORNO"/>
    <x v="0"/>
    <x v="159"/>
    <s v="Proyecto operacional"/>
    <s v="Enviado"/>
    <s v="22.04.001"/>
    <x v="160"/>
    <s v="Adquirir recetarios médicos para la Unidad SAFU enero 2026"/>
    <x v="1"/>
    <x v="99"/>
    <n v="4"/>
    <n v="150"/>
    <x v="198"/>
    <x v="121"/>
    <x v="4"/>
    <x v="35"/>
    <x v="50"/>
    <x v="54"/>
    <s v="64-2337034-"/>
    <s v="lhya.kortmann@redsalud.gob.cl"/>
    <x v="13"/>
    <m/>
    <n v="0"/>
    <m/>
    <n v="0"/>
    <n v="0"/>
    <m/>
    <x v="1"/>
  </r>
  <r>
    <s v="SERVICIO DE SALUD OSORNO"/>
    <x v="0"/>
    <x v="160"/>
    <s v="Proyecto operacional"/>
    <s v="Enviado"/>
    <s v="22.04.001"/>
    <x v="161"/>
    <s v="Materiales e insumos que no se encuentran en bodega general y son necesarios para las actividades y salidas a terreno que desarrolla Prevención de Riesgos , S.O. y G.A."/>
    <x v="1"/>
    <x v="43"/>
    <n v="4"/>
    <n v="8"/>
    <x v="199"/>
    <x v="232"/>
    <x v="4"/>
    <x v="38"/>
    <x v="55"/>
    <x v="61"/>
    <s v="64-2336130-"/>
    <s v="david.serrano@redsalud.gob.cl"/>
    <x v="19"/>
    <m/>
    <n v="0"/>
    <m/>
    <n v="0"/>
    <n v="0"/>
    <m/>
    <x v="1"/>
  </r>
  <r>
    <s v="SERVICIO DE SALUD OSORNO"/>
    <x v="0"/>
    <x v="161"/>
    <s v="Proyecto operacional"/>
    <s v="Enviado"/>
    <s v="22.02.002"/>
    <x v="162"/>
    <s v="Vestuario institucional y de proteccion para actividades de terreno del SDPR."/>
    <x v="1"/>
    <x v="142"/>
    <n v="4"/>
    <n v="4"/>
    <x v="110"/>
    <x v="233"/>
    <x v="4"/>
    <x v="32"/>
    <x v="55"/>
    <x v="61"/>
    <s v="64-2336130-"/>
    <s v="venecia.recabarren@redsalud.gob.cl"/>
    <x v="21"/>
    <m/>
    <n v="0"/>
    <m/>
    <n v="0"/>
    <n v="0"/>
    <m/>
    <x v="1"/>
  </r>
  <r>
    <s v="SERVICIO DE SALUD OSORNO"/>
    <x v="0"/>
    <x v="162"/>
    <s v="Proyecto operacional"/>
    <s v="Enviado"/>
    <s v="22.04.005"/>
    <x v="163"/>
    <s v="Se requiere adquirir insumos del área de enfermería para dar continuidad a la atención y una mejora de ésta a la comunidad funcionaria durante el mes de febrero 2026."/>
    <x v="1"/>
    <x v="143"/>
    <n v="4"/>
    <n v="4300"/>
    <x v="200"/>
    <x v="234"/>
    <x v="4"/>
    <x v="35"/>
    <x v="50"/>
    <x v="54"/>
    <s v="64-2337034-"/>
    <s v="lhya.kortmann@redsalud.gob.cl"/>
    <x v="13"/>
    <m/>
    <n v="0"/>
    <m/>
    <n v="0"/>
    <n v="0"/>
    <m/>
    <x v="1"/>
  </r>
  <r>
    <s v="SERVICIO DE SALUD OSORNO"/>
    <x v="0"/>
    <x v="163"/>
    <s v="Proyecto operacional"/>
    <s v="Enviado"/>
    <s v="22.04.014"/>
    <x v="164"/>
    <s v="Se requiere adquirir cajas de almacenamiento de 28 LT para la conservación y resguardo de los insumos de enfermería, con el fin de prevenir deterioro de los insumos , mes de ejecución febrero 2026"/>
    <x v="1"/>
    <x v="93"/>
    <n v="4"/>
    <n v="6"/>
    <x v="201"/>
    <x v="235"/>
    <x v="4"/>
    <x v="38"/>
    <x v="50"/>
    <x v="54"/>
    <s v="64-2337034-"/>
    <s v="lhya.kortmann@redsalud.gob.cl"/>
    <x v="19"/>
    <m/>
    <n v="0"/>
    <m/>
    <n v="0"/>
    <n v="0"/>
    <m/>
    <x v="1"/>
  </r>
  <r>
    <s v="SERVICIO DE SALUD OSORNO"/>
    <x v="0"/>
    <x v="164"/>
    <s v="Proyecto operacional"/>
    <s v="Enviado"/>
    <s v="22.04.001"/>
    <x v="165"/>
    <s v="COMPRAR CROQUERAS PEQUEÑAS Y LAPICES GEL PARA QUE CADA FUNCIONARIO/A, PUEDA, A TRAVÉS, DE LA PSICOTERAPIA NARRATIVA EXPLORAR RECURSOS PERSONALES, HABILIDADES Y COMPETENCIAS QUE FAVORECEN EL CUIDADO Y LA PROTECCIÓN DE LA SALUD MENTAL EN LOS CONTEXTOS LABORALES. ESTAS JORNADAS SE REALIZARAN EN TODOS LOS DISPOSITIVOS DE LA RED DURANTE LA SEGUNDA SEMANA DE OCTUBRE (CONMEMORACIÓN DIA MUNDIAL DE LA SALUD MENTAL)"/>
    <x v="1"/>
    <x v="43"/>
    <n v="4"/>
    <n v="302"/>
    <x v="202"/>
    <x v="236"/>
    <x v="4"/>
    <x v="27"/>
    <x v="56"/>
    <x v="62"/>
    <s v="64-2337096-"/>
    <s v="pilar.mora@redsalud.gob.cl"/>
    <x v="17"/>
    <m/>
    <n v="0"/>
    <m/>
    <n v="0"/>
    <n v="0"/>
    <m/>
    <x v="1"/>
  </r>
  <r>
    <s v="SERVICIO DE SALUD OSORNO"/>
    <x v="0"/>
    <x v="165"/>
    <s v="Proyecto operacional"/>
    <s v="Enviado"/>
    <s v="22.01.001"/>
    <x v="166"/>
    <s v="SE NECESITAN INSUMOS PARA REALIZAR COFFEE PARA EXPOSITORES EXTERNOS, Y COMUNIDAD USUARIA Y FUNCIONARIA, LA CUAL ACTIVIDAD ESTA DIRIGIDO A AMBOS PUBLICO OBJETIVO, COMPRA EN MAYO 2026."/>
    <x v="0"/>
    <x v="31"/>
    <n v="4"/>
    <n v="242"/>
    <x v="203"/>
    <x v="237"/>
    <x v="4"/>
    <x v="25"/>
    <x v="27"/>
    <x v="30"/>
    <s v="64-2337096-"/>
    <s v="claudia.munozga@redsalud.gob.cl"/>
    <x v="15"/>
    <m/>
    <n v="0"/>
    <m/>
    <n v="0"/>
    <n v="0"/>
    <m/>
    <x v="1"/>
  </r>
  <r>
    <s v="SERVICIO DE SALUD OSORNO"/>
    <x v="0"/>
    <x v="165"/>
    <s v="Proyecto operacional"/>
    <s v="Enviado"/>
    <s v="22.01.001"/>
    <x v="166"/>
    <s v="SE NECESITAN INSUMOS PARA REALIZAR COFFEE PARA EXPOSITORES EXTERNOS, Y COMUNIDAD USUARIA Y FUNCIONARIA, LA CUAL ACTIVIDAD ESTA DIRIGIDO A AMBOS PUBLICO OBJETIVO, COMPRA EN MAYO 2026."/>
    <x v="0"/>
    <x v="113"/>
    <n v="4"/>
    <n v="210"/>
    <x v="204"/>
    <x v="238"/>
    <x v="4"/>
    <x v="25"/>
    <x v="27"/>
    <x v="30"/>
    <s v="64-2337096-"/>
    <s v="claudia.munozga@redsalud.gob.cl"/>
    <x v="15"/>
    <m/>
    <n v="0"/>
    <m/>
    <n v="0"/>
    <n v="0"/>
    <m/>
    <x v="1"/>
  </r>
  <r>
    <s v="SERVICIO DE SALUD OSORNO"/>
    <x v="0"/>
    <x v="166"/>
    <s v="Proyecto operacional"/>
    <s v="Enviado"/>
    <s v="31.02.002"/>
    <x v="167"/>
    <s v="se requiere contratar las visitas de los siguientes proyectistas para el mes de octubre 2026; 1 visita proyectista Mecánica de suelos 20 uf; 1 visita proyectista Arquitectura 20 uf; 2 visitas proyectista Calculo Estructural 20 uf; 2 visitas proyectista Instalaciones electricas 20 uf; 1 visita proyectista Paisajismo 15 uf; 1 visita Revisor independiente de arquitectura 20 uf ( nota el valor de la uf será del dia de la visita del especialista)."/>
    <x v="1"/>
    <x v="97"/>
    <n v="4"/>
    <n v="7"/>
    <x v="205"/>
    <x v="239"/>
    <x v="4"/>
    <x v="27"/>
    <x v="57"/>
    <x v="63"/>
    <s v="64-2335596-"/>
    <s v="raul.rojasc@redsalud.gob.cl"/>
    <x v="17"/>
    <m/>
    <n v="0"/>
    <m/>
    <n v="0"/>
    <n v="0"/>
    <m/>
    <x v="1"/>
  </r>
  <r>
    <s v="SERVICIO DE SALUD OSORNO"/>
    <x v="0"/>
    <x v="167"/>
    <s v="Proyecto operacional"/>
    <s v="Enviado"/>
    <s v="22.01.001"/>
    <x v="168"/>
    <s v="LA ACTIVIDAD REQUIERE COMPRA DE INSUMOS, SERVCIOS Y MATERIALES NECESARIOS PARA LA ORGANIZACIÓN, LA COMPRA DEBE HACERSE EL MES DE JULIO 2026."/>
    <x v="0"/>
    <x v="31"/>
    <n v="4"/>
    <n v="138"/>
    <x v="206"/>
    <x v="240"/>
    <x v="4"/>
    <x v="33"/>
    <x v="27"/>
    <x v="30"/>
    <s v="64-2337096-"/>
    <s v="claudia.munozga@redsalud.gob.cl"/>
    <x v="22"/>
    <m/>
    <n v="0"/>
    <m/>
    <n v="0"/>
    <n v="0"/>
    <m/>
    <x v="1"/>
  </r>
  <r>
    <s v="SERVICIO DE SALUD OSORNO"/>
    <x v="0"/>
    <x v="167"/>
    <s v="Proyecto operacional"/>
    <s v="Enviado"/>
    <s v="22.01.001"/>
    <x v="168"/>
    <s v="LA ACTIVIDAD REQUIERE COMPRA DE INSUMOS, SERVCIOS Y MATERIALES NECESARIOS PARA LA ORGANIZACIÓN, LA COMPRA DEBE HACERSE EL MES DE JULIO 2026."/>
    <x v="0"/>
    <x v="135"/>
    <n v="4"/>
    <n v="70"/>
    <x v="207"/>
    <x v="241"/>
    <x v="4"/>
    <x v="33"/>
    <x v="27"/>
    <x v="30"/>
    <s v="64-2337096-"/>
    <s v="claudia.munozga@redsalud.gob.cl"/>
    <x v="22"/>
    <m/>
    <n v="0"/>
    <m/>
    <n v="0"/>
    <n v="0"/>
    <m/>
    <x v="1"/>
  </r>
  <r>
    <s v="SERVICIO DE SALUD OSORNO"/>
    <x v="0"/>
    <x v="168"/>
    <s v="Proyecto operacional"/>
    <s v="Enviado"/>
    <s v="22.09.005.002"/>
    <x v="169"/>
    <s v="EL SERVICIO DE SALUD OSORNO REQUIERE SUSCRIBIR UN CONVENIO CON EL OBJETIVO DE CONTRATAR EL SERVICIO DE ARRIENDO DE EQUIPOS CON SISTEMA INFORMATICO INTEGRADO, PARA LA REALIZACION DE EXAMENES DE QUIMICA CLINICA, ORINAS, HORMONAS, HEMATOLOGIA, MICROBIOLOGIA Y COAGULACION, JUNTO A LOS REACTIVOS E INSUMOS NECESARIOS PARA EL PROCESAMIENTO DE EXAMENES. LOS ESTABLECIMIENTOS SON HPU, HRN, HPO, HPMQ Y HFSLKMM. LA COMPRA SE REQUIERE EN ABRIL 2026 (PUBLICADO EN MERCADO PUBLICO), Y EL CONVENIO TENDRA VIGENCIA 5 AÑOS (60 MESES)."/>
    <x v="1"/>
    <x v="144"/>
    <n v="4"/>
    <n v="1"/>
    <x v="208"/>
    <x v="242"/>
    <x v="3"/>
    <x v="44"/>
    <x v="15"/>
    <x v="51"/>
    <s v="64-2335827-"/>
    <s v="sofiav.reyes@redsalud.gob.cl"/>
    <x v="14"/>
    <m/>
    <n v="0"/>
    <m/>
    <n v="0"/>
    <n v="0"/>
    <m/>
    <x v="1"/>
  </r>
  <r>
    <s v="SERVICIO DE SALUD OSORNO"/>
    <x v="0"/>
    <x v="169"/>
    <s v="Proyecto operacional"/>
    <s v="Enviado"/>
    <s v="22.04.012"/>
    <x v="170"/>
    <s v="Adquisición Carro de Transporte Droguería-Bodega General"/>
    <x v="1"/>
    <x v="145"/>
    <n v="4"/>
    <n v="3"/>
    <x v="209"/>
    <x v="182"/>
    <x v="4"/>
    <x v="32"/>
    <x v="58"/>
    <x v="64"/>
    <s v="64-2335651-"/>
    <s v="LEONOR.ARANEDAA@REDSALUD.GOB.CL"/>
    <x v="21"/>
    <m/>
    <n v="0"/>
    <m/>
    <n v="0"/>
    <n v="0"/>
    <m/>
    <x v="1"/>
  </r>
  <r>
    <s v="SERVICIO DE SALUD OSORNO"/>
    <x v="0"/>
    <x v="170"/>
    <s v="Proyecto operacional"/>
    <s v="Enviado"/>
    <s v="22.04.001"/>
    <x v="171"/>
    <s v="Adquisición de Amarras Plásticas y Elásticos para Optimizar el Almacenamiento y Distribución primer Trimestre del año 2026. Adquirir 300 bolsas de 1/2 kilo dividido en 3 colores diferentes de tal manera poder ligar cajas con diferentes colores según su lote . Adquirir 20.000 unidades de amarras plásticas o amarras cables para el cierre de los contenedores de transporte de medicamentos."/>
    <x v="1"/>
    <x v="146"/>
    <n v="4"/>
    <n v="10000"/>
    <x v="210"/>
    <x v="243"/>
    <x v="4"/>
    <x v="32"/>
    <x v="58"/>
    <x v="64"/>
    <s v="64-2335651-"/>
    <s v="LEONOR.ARANEDAA@REDSALUD.GOB.CL"/>
    <x v="21"/>
    <m/>
    <n v="0"/>
    <m/>
    <n v="0"/>
    <n v="0"/>
    <m/>
    <x v="1"/>
  </r>
  <r>
    <s v="SERVICIO DE SALUD OSORNO"/>
    <x v="0"/>
    <x v="171"/>
    <s v="Proyecto operacional"/>
    <s v="Enviado"/>
    <s v="22.02.002"/>
    <x v="172"/>
    <s v="Ropa- Zapatos : DT: 02 Poleras, 01 Parka , 01Polar ; 2 TENS- 2 Bodegueros : 02 Poleras c/u, 02 Pantalones c/u , 01 Parka c/u , 01 Polar c/u y 01 Zapatos de Seguridad c/u. ; 2 Administrativas: 02 Poleras c/u , 01 polar c/u , 01 parka c/u. Cascos : 4unidades Guantes para carga: 14 pares de guantes."/>
    <x v="1"/>
    <x v="147"/>
    <n v="4"/>
    <n v="64"/>
    <x v="211"/>
    <x v="244"/>
    <x v="4"/>
    <x v="32"/>
    <x v="58"/>
    <x v="64"/>
    <s v="64-2335651-"/>
    <s v="LEONOR.ARANEDAA@REDSALUD.GOB.CL"/>
    <x v="21"/>
    <m/>
    <n v="0"/>
    <m/>
    <n v="0"/>
    <n v="0"/>
    <m/>
    <x v="1"/>
  </r>
  <r>
    <s v="SERVICIO DE SALUD OSORNO"/>
    <x v="0"/>
    <x v="172"/>
    <s v="Proyecto operacional"/>
    <s v="Enviado"/>
    <s v="22.06.001"/>
    <x v="173"/>
    <s v="Adquisición de 3 cerraduras digitales para el acceso a Droguería y Bodega General. Primer Trimestre 2026."/>
    <x v="1"/>
    <x v="148"/>
    <n v="4"/>
    <n v="3"/>
    <x v="212"/>
    <x v="187"/>
    <x v="4"/>
    <x v="32"/>
    <x v="58"/>
    <x v="64"/>
    <s v="64-2335651-"/>
    <s v="LEONOR.ARANEDAA@REDSALUD.GOB.CL"/>
    <x v="21"/>
    <m/>
    <n v="0"/>
    <m/>
    <n v="0"/>
    <n v="0"/>
    <m/>
    <x v="1"/>
  </r>
  <r>
    <s v="SERVICIO DE SALUD OSORNO"/>
    <x v="0"/>
    <x v="173"/>
    <s v="Proyecto operacional"/>
    <s v="Enviado"/>
    <s v="29.05.999"/>
    <x v="174"/>
    <s v="Adquisición de 15 Sensores de Temperatura y humedad calibrados para Droguería ( Bodega de Dispositivos Médicos) Primer Trimestre 2026. Velar por monitoreo de temperatura y humedad en espacios de almacenamiento de Dispositivos Médicos, se debe considerar poder :poder contar con un sensor en 3 puntos de cada zona de almacenamiento. ( Mas variable, mayor temperatura y menor temperatura) y descargar la información para realizar un monitoreo continuo."/>
    <x v="1"/>
    <x v="149"/>
    <n v="4"/>
    <n v="15"/>
    <x v="213"/>
    <x v="245"/>
    <x v="4"/>
    <x v="32"/>
    <x v="58"/>
    <x v="64"/>
    <s v="64-2335651-"/>
    <s v="LEONOR.ARANEDAA@REDSALUD.GOB.CL"/>
    <x v="21"/>
    <m/>
    <n v="0"/>
    <m/>
    <n v="0"/>
    <n v="0"/>
    <m/>
    <x v="1"/>
  </r>
  <r>
    <s v="SERVICIO DE SALUD OSORNO"/>
    <x v="1"/>
    <x v="174"/>
    <s v="Proyecto operacional"/>
    <s v="Enviado"/>
    <s v="22.01.001"/>
    <x v="175"/>
    <s v="Ceremonia a realizar en septiembre del 2026"/>
    <x v="6"/>
    <x v="31"/>
    <n v="4"/>
    <n v="16"/>
    <x v="214"/>
    <x v="246"/>
    <x v="4"/>
    <x v="36"/>
    <x v="44"/>
    <x v="24"/>
    <s v="64-2335610-"/>
    <s v="pedro.fritz@redsalud.gob.cl"/>
    <x v="24"/>
    <m/>
    <n v="0"/>
    <m/>
    <n v="0"/>
    <n v="0"/>
    <m/>
    <x v="1"/>
  </r>
  <r>
    <s v="SERVICIO DE SALUD OSORNO"/>
    <x v="1"/>
    <x v="174"/>
    <s v="Proyecto operacional"/>
    <s v="Enviado"/>
    <s v="22.01.001"/>
    <x v="175"/>
    <s v="Ceremonia a realizar en septiembre del 2026"/>
    <x v="6"/>
    <x v="150"/>
    <n v="4"/>
    <n v="5"/>
    <x v="197"/>
    <x v="150"/>
    <x v="4"/>
    <x v="36"/>
    <x v="44"/>
    <x v="24"/>
    <s v="64-2335610-"/>
    <s v="pedro.fritz@redsalud.gob.cl"/>
    <x v="24"/>
    <m/>
    <n v="0"/>
    <m/>
    <n v="0"/>
    <n v="0"/>
    <m/>
    <x v="1"/>
  </r>
  <r>
    <s v="SERVICIO DE SALUD OSORNO"/>
    <x v="1"/>
    <x v="174"/>
    <s v="Proyecto operacional"/>
    <s v="Enviado"/>
    <s v="22.01.001"/>
    <x v="175"/>
    <s v="Ceremonia a realizar en septiembre del 2026"/>
    <x v="6"/>
    <x v="151"/>
    <n v="4"/>
    <n v="5"/>
    <x v="197"/>
    <x v="150"/>
    <x v="4"/>
    <x v="36"/>
    <x v="44"/>
    <x v="24"/>
    <s v="64-2335610-"/>
    <s v="pedro.fritz@redsalud.gob.cl"/>
    <x v="24"/>
    <m/>
    <n v="0"/>
    <m/>
    <n v="0"/>
    <n v="0"/>
    <m/>
    <x v="1"/>
  </r>
  <r>
    <s v="SERVICIO DE SALUD OSORNO"/>
    <x v="1"/>
    <x v="174"/>
    <s v="Proyecto operacional"/>
    <s v="Enviado"/>
    <s v="22.01.001"/>
    <x v="175"/>
    <s v="Ceremonia a realizar en septiembre del 2026"/>
    <x v="6"/>
    <x v="152"/>
    <n v="4"/>
    <n v="10"/>
    <x v="215"/>
    <x v="247"/>
    <x v="4"/>
    <x v="36"/>
    <x v="44"/>
    <x v="24"/>
    <s v="64-2335610-"/>
    <s v="pedro.fritz@redsalud.gob.cl"/>
    <x v="24"/>
    <m/>
    <n v="0"/>
    <m/>
    <n v="0"/>
    <n v="0"/>
    <m/>
    <x v="1"/>
  </r>
  <r>
    <s v="SERVICIO DE SALUD OSORNO"/>
    <x v="1"/>
    <x v="175"/>
    <s v="Proyecto operacional"/>
    <s v="Enviado"/>
    <s v="22.01.001"/>
    <x v="176"/>
    <s v="Servicio de cafetería e insumos de librería para la realización de capacitación en talleres prenatales."/>
    <x v="5"/>
    <x v="63"/>
    <n v="4"/>
    <n v="15"/>
    <x v="216"/>
    <x v="248"/>
    <x v="4"/>
    <x v="24"/>
    <x v="59"/>
    <x v="65"/>
    <s v="64-2335829-"/>
    <s v="estrella.azocarv@redsalud.gob.cl"/>
    <x v="14"/>
    <m/>
    <n v="0"/>
    <m/>
    <n v="0"/>
    <n v="0"/>
    <m/>
    <x v="1"/>
  </r>
  <r>
    <s v="SERVICIO DE SALUD OSORNO"/>
    <x v="1"/>
    <x v="175"/>
    <s v="Proyecto operacional"/>
    <s v="Enviado"/>
    <s v="22.01.001"/>
    <x v="176"/>
    <s v="Servicio de cafetería e insumos de librería para la realización de capacitación en talleres prenatales."/>
    <x v="5"/>
    <x v="105"/>
    <n v="4"/>
    <n v="100"/>
    <x v="217"/>
    <x v="231"/>
    <x v="4"/>
    <x v="24"/>
    <x v="59"/>
    <x v="65"/>
    <s v="64-2335829-"/>
    <s v="estrella.azocarv@redsalud.gob.cl"/>
    <x v="14"/>
    <m/>
    <n v="0"/>
    <m/>
    <n v="0"/>
    <n v="0"/>
    <m/>
    <x v="1"/>
  </r>
  <r>
    <s v="SERVICIO DE SALUD OSORNO"/>
    <x v="1"/>
    <x v="175"/>
    <s v="Proyecto operacional"/>
    <s v="Enviado"/>
    <s v="22.01.001"/>
    <x v="176"/>
    <s v="Servicio de cafetería e insumos de librería para la realización de capacitación en talleres prenatales."/>
    <x v="5"/>
    <x v="43"/>
    <n v="4"/>
    <n v="272"/>
    <x v="218"/>
    <x v="249"/>
    <x v="4"/>
    <x v="24"/>
    <x v="59"/>
    <x v="65"/>
    <s v="64-2335829-"/>
    <s v="estrella.azocarv@redsalud.gob.cl"/>
    <x v="14"/>
    <m/>
    <n v="0"/>
    <m/>
    <n v="0"/>
    <n v="0"/>
    <m/>
    <x v="1"/>
  </r>
  <r>
    <s v="SERVICIO DE SALUD OSORNO"/>
    <x v="0"/>
    <x v="176"/>
    <s v="Proyecto operacional"/>
    <s v="Enviado"/>
    <s v="22.06"/>
    <x v="177"/>
    <s v="Dar cobertura a las necesidades de calibración y mantención de equipos médicos e industriales de los establecimientos de la Red del Servicio de Salud Osorno. Corresponde a diferentes servicios a ejecutarse en dichos equipos los años 2026 y 2027, para mantener su buen, continuo y seguro funcionamiento asociados a la atención en unidades clinicas y unidades de apoyo de los diferentes establecimientos y dispositivos de la Red del Servicio de Salud Osorno, dando así continuidad a las prestaciones de salud de la provincia."/>
    <x v="7"/>
    <x v="153"/>
    <n v="4"/>
    <n v="4"/>
    <x v="219"/>
    <x v="250"/>
    <x v="15"/>
    <x v="45"/>
    <x v="60"/>
    <x v="15"/>
    <s v="64-2337431-"/>
    <s v="khris.silva@redsalud.gob.cl"/>
    <x v="21"/>
    <m/>
    <n v="0"/>
    <m/>
    <n v="0"/>
    <n v="0"/>
    <m/>
    <x v="1"/>
  </r>
  <r>
    <s v="SERVICIO DE SALUD OSORNO"/>
    <x v="0"/>
    <x v="176"/>
    <s v="Proyecto operacional"/>
    <s v="Enviado"/>
    <s v="22.06"/>
    <x v="177"/>
    <s v="Dar cobertura a las necesidades de calibración y mantención de equipos médicos e industriales de los establecimientos de la Red del Servicio de Salud Osorno. Corresponde a diferentes servicios a ejecutarse en dichos equipos los años 2026 y 2027, para mantener su buen, continuo y seguro funcionamiento asociados a la atención en unidades clinicas y unidades de apoyo de los diferentes establecimientos y dispositivos de la Red del Servicio de Salud Osorno, dando así continuidad a las prestaciones de salud de la provincia."/>
    <x v="7"/>
    <x v="154"/>
    <n v="4"/>
    <n v="6"/>
    <x v="220"/>
    <x v="251"/>
    <x v="4"/>
    <x v="25"/>
    <x v="60"/>
    <x v="15"/>
    <s v="64-2337431-"/>
    <s v="khris.silva@redsalud.gob.cl"/>
    <x v="15"/>
    <m/>
    <n v="0"/>
    <m/>
    <n v="0"/>
    <n v="0"/>
    <m/>
    <x v="1"/>
  </r>
  <r>
    <s v="SERVICIO DE SALUD OSORNO"/>
    <x v="0"/>
    <x v="176"/>
    <s v="Proyecto operacional"/>
    <s v="Enviado"/>
    <s v="22.06"/>
    <x v="177"/>
    <s v="Dar cobertura a las necesidades de calibración y mantención de equipos médicos e industriales de los establecimientos de la Red del Servicio de Salud Osorno. Corresponde a diferentes servicios a ejecutarse en dichos equipos los años 2026 y 2027, para mantener su buen, continuo y seguro funcionamiento asociados a la atención en unidades clinicas y unidades de apoyo de los diferentes establecimientos y dispositivos de la Red del Servicio de Salud Osorno, dando así continuidad a las prestaciones de salud de la provincia."/>
    <x v="7"/>
    <x v="155"/>
    <n v="4"/>
    <n v="1"/>
    <x v="142"/>
    <x v="180"/>
    <x v="4"/>
    <x v="25"/>
    <x v="60"/>
    <x v="15"/>
    <s v="64-2337431-"/>
    <s v="khris.silva@redsalud.gob.cl"/>
    <x v="15"/>
    <m/>
    <n v="0"/>
    <m/>
    <n v="0"/>
    <n v="0"/>
    <m/>
    <x v="1"/>
  </r>
  <r>
    <s v="SERVICIO DE SALUD OSORNO"/>
    <x v="0"/>
    <x v="176"/>
    <s v="Proyecto operacional"/>
    <s v="Enviado"/>
    <s v="22.06"/>
    <x v="177"/>
    <s v="Dar cobertura a las necesidades de calibración y mantención de equipos médicos e industriales de los establecimientos de la Red del Servicio de Salud Osorno. Corresponde a diferentes servicios a ejecutarse en dichos equipos los años 2026 y 2027, para mantener su buen, continuo y seguro funcionamiento asociados a la atención en unidades clinicas y unidades de apoyo de los diferentes establecimientos y dispositivos de la Red del Servicio de Salud Osorno, dando así continuidad a las prestaciones de salud de la provincia."/>
    <x v="7"/>
    <x v="156"/>
    <n v="4"/>
    <n v="1"/>
    <x v="179"/>
    <x v="182"/>
    <x v="4"/>
    <x v="25"/>
    <x v="60"/>
    <x v="15"/>
    <s v="64-2337431-"/>
    <s v="khris.silva@redsalud.gob.cl"/>
    <x v="15"/>
    <m/>
    <n v="0"/>
    <m/>
    <n v="0"/>
    <n v="0"/>
    <m/>
    <x v="1"/>
  </r>
  <r>
    <s v="SERVICIO DE SALUD OSORNO"/>
    <x v="0"/>
    <x v="176"/>
    <s v="Proyecto operacional"/>
    <s v="Enviado"/>
    <s v="22.06"/>
    <x v="177"/>
    <s v="Dar cobertura a las necesidades de calibración y mantención de equipos médicos e industriales de los establecimientos de la Red del Servicio de Salud Osorno. Corresponde a diferentes servicios a ejecutarse en dichos equipos los años 2026 y 2027, para mantener su buen, continuo y seguro funcionamiento asociados a la atención en unidades clinicas y unidades de apoyo de los diferentes establecimientos y dispositivos de la Red del Servicio de Salud Osorno, dando así continuidad a las prestaciones de salud de la provincia."/>
    <x v="7"/>
    <x v="157"/>
    <n v="4"/>
    <n v="1"/>
    <x v="221"/>
    <x v="252"/>
    <x v="4"/>
    <x v="25"/>
    <x v="60"/>
    <x v="15"/>
    <s v="64-2337431-"/>
    <s v="khris.silva@redsalud.gob.cl"/>
    <x v="15"/>
    <m/>
    <n v="0"/>
    <m/>
    <n v="0"/>
    <n v="0"/>
    <m/>
    <x v="1"/>
  </r>
  <r>
    <s v="SERVICIO DE SALUD OSORNO"/>
    <x v="0"/>
    <x v="177"/>
    <s v="Proyecto operacional"/>
    <s v="Enviado"/>
    <s v="22.04.999"/>
    <x v="178"/>
    <s v="Dar cobertura a las necesidades de accesorios y consumibles asociados al funcionamiento de equipos médicos criticos de ambulancias de emergencia de Base SAMU (enero a diciembre 2027)"/>
    <x v="1"/>
    <x v="44"/>
    <n v="4"/>
    <n v="346"/>
    <x v="222"/>
    <x v="221"/>
    <x v="11"/>
    <x v="43"/>
    <x v="60"/>
    <x v="15"/>
    <s v="64-2337431-"/>
    <s v="khris.silva@redsalud.gob.cl"/>
    <x v="16"/>
    <m/>
    <n v="0"/>
    <m/>
    <n v="0"/>
    <n v="0"/>
    <m/>
    <x v="1"/>
  </r>
  <r>
    <s v="SERVICIO DE SALUD OSORNO"/>
    <x v="1"/>
    <x v="178"/>
    <s v="Proyecto operacional"/>
    <s v="Enviado"/>
    <s v="22.04.002"/>
    <x v="179"/>
    <s v="Insumos para aumentar la lactancia materna exclusiva, mes de julio. Fantoma mamario/Pechera de Lactancia Insumos de lactancia."/>
    <x v="6"/>
    <x v="116"/>
    <n v="4"/>
    <n v="1"/>
    <x v="223"/>
    <x v="253"/>
    <x v="4"/>
    <x v="25"/>
    <x v="59"/>
    <x v="65"/>
    <s v="64-2335829-"/>
    <s v="estrella.azocarv@redsalud.gob.cl"/>
    <x v="15"/>
    <m/>
    <n v="0"/>
    <m/>
    <n v="0"/>
    <n v="0"/>
    <m/>
    <x v="1"/>
  </r>
  <r>
    <s v="SERVICIO DE SALUD OSORNO"/>
    <x v="1"/>
    <x v="178"/>
    <s v="Proyecto operacional"/>
    <s v="Enviado"/>
    <s v="22.04.002"/>
    <x v="179"/>
    <s v="Insumos para aumentar la lactancia materna exclusiva, mes de julio. Fantoma mamario/Pechera de Lactancia Insumos de lactancia."/>
    <x v="6"/>
    <x v="158"/>
    <n v="4"/>
    <n v="98"/>
    <x v="224"/>
    <x v="254"/>
    <x v="4"/>
    <x v="25"/>
    <x v="59"/>
    <x v="65"/>
    <s v="64-2335829-"/>
    <s v="estrella.azocarv@redsalud.gob.cl"/>
    <x v="15"/>
    <m/>
    <n v="0"/>
    <m/>
    <n v="0"/>
    <n v="0"/>
    <m/>
    <x v="1"/>
  </r>
  <r>
    <s v="SERVICIO DE SALUD OSORNO"/>
    <x v="1"/>
    <x v="178"/>
    <s v="Proyecto operacional"/>
    <s v="Enviado"/>
    <s v="22.04.002"/>
    <x v="179"/>
    <s v="Insumos para aumentar la lactancia materna exclusiva, mes de julio. Fantoma mamario/Pechera de Lactancia Insumos de lactancia."/>
    <x v="6"/>
    <x v="92"/>
    <n v="4"/>
    <n v="5"/>
    <x v="225"/>
    <x v="231"/>
    <x v="4"/>
    <x v="25"/>
    <x v="59"/>
    <x v="65"/>
    <s v="64-2335829-"/>
    <s v="estrella.azocarv@redsalud.gob.cl"/>
    <x v="15"/>
    <m/>
    <n v="0"/>
    <m/>
    <n v="0"/>
    <n v="0"/>
    <m/>
    <x v="1"/>
  </r>
  <r>
    <s v="SERVICIO DE SALUD OSORNO"/>
    <x v="1"/>
    <x v="178"/>
    <s v="Proyecto operacional"/>
    <s v="Enviado"/>
    <s v="22.04.002"/>
    <x v="179"/>
    <s v="Insumos para aumentar la lactancia materna exclusiva, mes de julio. Fantoma mamario/Pechera de Lactancia Insumos de lactancia."/>
    <x v="6"/>
    <x v="159"/>
    <n v="4"/>
    <n v="1"/>
    <x v="226"/>
    <x v="255"/>
    <x v="4"/>
    <x v="25"/>
    <x v="59"/>
    <x v="65"/>
    <s v="64-2335829-"/>
    <s v="estrella.azocarv@redsalud.gob.cl"/>
    <x v="15"/>
    <m/>
    <n v="0"/>
    <m/>
    <n v="0"/>
    <n v="0"/>
    <m/>
    <x v="1"/>
  </r>
  <r>
    <s v="SERVICIO DE SALUD OSORNO"/>
    <x v="0"/>
    <x v="179"/>
    <s v="Proyecto operacional"/>
    <s v="Enviado"/>
    <s v="22.04.999"/>
    <x v="180"/>
    <s v="La adquisición de implementos kinésicos para el box es fundamental para garantizar la calidad y la eficacia de los servicios de rehabilitación y tratamiento hacia los funcionarios del servicio y el Hospital (marzo- abril)"/>
    <x v="1"/>
    <x v="160"/>
    <n v="4"/>
    <n v="15"/>
    <x v="227"/>
    <x v="256"/>
    <x v="4"/>
    <x v="32"/>
    <x v="61"/>
    <x v="66"/>
    <s v="64-2337034-"/>
    <s v="felipe.barriga@redsalud.gob.cl"/>
    <x v="21"/>
    <m/>
    <n v="0"/>
    <m/>
    <n v="0"/>
    <n v="0"/>
    <m/>
    <x v="1"/>
  </r>
  <r>
    <s v="SERVICIO DE SALUD OSORNO"/>
    <x v="0"/>
    <x v="180"/>
    <s v="Proyecto operacional"/>
    <s v="Enviado"/>
    <s v="22.12.003"/>
    <x v="181"/>
    <s v="Compra de Servicio de cafetería, artículos de librería y arriendo de pantalla led con atril para una asistencia promedio de 300 personas."/>
    <x v="1"/>
    <x v="161"/>
    <n v="4"/>
    <n v="1505"/>
    <x v="228"/>
    <x v="257"/>
    <x v="4"/>
    <x v="31"/>
    <x v="45"/>
    <x v="49"/>
    <s v="64-2335775-"/>
    <s v="daniela.barriaa@redsalud.gob.cl"/>
    <x v="20"/>
    <m/>
    <n v="0"/>
    <m/>
    <n v="0"/>
    <n v="0"/>
    <m/>
    <x v="1"/>
  </r>
  <r>
    <s v="SERVICIO DE SALUD OSORNO"/>
    <x v="0"/>
    <x v="181"/>
    <s v="Proyecto operacional"/>
    <s v="Enviado"/>
    <s v="22.01.001"/>
    <x v="182"/>
    <s v="Compra de servicio de cafetería para comunidad asistente y autoridades asistentes a la actividad, compra de artículos de librería que se ocuparan en dinámicas de trabajo, además de carpetas y lápices. También se necesita adquirir 300 vasos de polipapel y 300 yogurt."/>
    <x v="7"/>
    <x v="63"/>
    <n v="4"/>
    <n v="1"/>
    <x v="153"/>
    <x v="60"/>
    <x v="4"/>
    <x v="27"/>
    <x v="45"/>
    <x v="49"/>
    <s v="64-2335775-"/>
    <s v="daniela.barriaa@redsalud.gob.cl"/>
    <x v="17"/>
    <m/>
    <n v="0"/>
    <m/>
    <n v="0"/>
    <n v="0"/>
    <m/>
    <x v="1"/>
  </r>
  <r>
    <s v="SERVICIO DE SALUD OSORNO"/>
    <x v="0"/>
    <x v="181"/>
    <s v="Proyecto operacional"/>
    <s v="Enviado"/>
    <s v="22.01.001"/>
    <x v="182"/>
    <s v="Compra de servicio de cafetería para comunidad asistente y autoridades asistentes a la actividad, compra de artículos de librería que se ocuparan en dinámicas de trabajo, además de carpetas y lápices. También se necesita adquirir 300 vasos de polipapel y 300 yogurt."/>
    <x v="7"/>
    <x v="162"/>
    <n v="4"/>
    <n v="1"/>
    <x v="64"/>
    <x v="95"/>
    <x v="4"/>
    <x v="27"/>
    <x v="45"/>
    <x v="49"/>
    <s v="64-2335775-"/>
    <s v="daniela.barriaa@redsalud.gob.cl"/>
    <x v="17"/>
    <m/>
    <n v="0"/>
    <m/>
    <n v="0"/>
    <n v="0"/>
    <m/>
    <x v="1"/>
  </r>
  <r>
    <s v="SERVICIO DE SALUD OSORNO"/>
    <x v="0"/>
    <x v="181"/>
    <s v="Proyecto operacional"/>
    <s v="Enviado"/>
    <s v="22.01.001"/>
    <x v="182"/>
    <s v="Compra de servicio de cafetería para comunidad asistente y autoridades asistentes a la actividad, compra de artículos de librería que se ocuparan en dinámicas de trabajo, además de carpetas y lápices. También se necesita adquirir 300 vasos de polipapel y 300 yogurt."/>
    <x v="7"/>
    <x v="43"/>
    <n v="4"/>
    <n v="600"/>
    <x v="217"/>
    <x v="112"/>
    <x v="4"/>
    <x v="27"/>
    <x v="45"/>
    <x v="49"/>
    <s v="64-2335775-"/>
    <s v="daniela.barriaa@redsalud.gob.cl"/>
    <x v="17"/>
    <m/>
    <n v="0"/>
    <m/>
    <n v="0"/>
    <n v="0"/>
    <m/>
    <x v="1"/>
  </r>
  <r>
    <s v="SERVICIO DE SALUD OSORNO"/>
    <x v="0"/>
    <x v="181"/>
    <s v="Proyecto operacional"/>
    <s v="Enviado"/>
    <s v="22.01.001"/>
    <x v="182"/>
    <s v="Compra de servicio de cafetería para comunidad asistente y autoridades asistentes a la actividad, compra de artículos de librería que se ocuparan en dinámicas de trabajo, además de carpetas y lápices. También se necesita adquirir 300 vasos de polipapel y 300 yogurt."/>
    <x v="7"/>
    <x v="113"/>
    <n v="4"/>
    <n v="303"/>
    <x v="229"/>
    <x v="258"/>
    <x v="4"/>
    <x v="27"/>
    <x v="45"/>
    <x v="49"/>
    <s v="64-2335775-"/>
    <s v="daniela.barriaa@redsalud.gob.cl"/>
    <x v="17"/>
    <m/>
    <n v="0"/>
    <m/>
    <n v="0"/>
    <n v="0"/>
    <m/>
    <x v="1"/>
  </r>
  <r>
    <s v="SERVICIO DE SALUD OSORNO"/>
    <x v="0"/>
    <x v="181"/>
    <s v="Proyecto operacional"/>
    <s v="Enviado"/>
    <s v="22.01.001"/>
    <x v="182"/>
    <s v="Compra de servicio de cafetería para comunidad asistente y autoridades asistentes a la actividad, compra de artículos de librería que se ocuparan en dinámicas de trabajo, además de carpetas y lápices. También se necesita adquirir 300 vasos de polipapel y 300 yogurt."/>
    <x v="7"/>
    <x v="163"/>
    <n v="4"/>
    <n v="300"/>
    <x v="217"/>
    <x v="130"/>
    <x v="4"/>
    <x v="27"/>
    <x v="45"/>
    <x v="49"/>
    <s v="64-2335775-"/>
    <s v="daniela.barriaa@redsalud.gob.cl"/>
    <x v="17"/>
    <m/>
    <n v="0"/>
    <m/>
    <n v="0"/>
    <n v="0"/>
    <m/>
    <x v="1"/>
  </r>
  <r>
    <s v="SERVICIO DE SALUD OSORNO"/>
    <x v="1"/>
    <x v="182"/>
    <s v="Proyecto operacional"/>
    <s v="Enviado"/>
    <s v="22.12.999.015"/>
    <x v="183"/>
    <s v="Compra de servicio de cafetería para 200 personas en total. La actividad contempla 02 jornadas de día completo y se realizaran una en julio y la segunda en octubre."/>
    <x v="0"/>
    <x v="63"/>
    <n v="4"/>
    <n v="1"/>
    <x v="124"/>
    <x v="259"/>
    <x v="4"/>
    <x v="33"/>
    <x v="42"/>
    <x v="47"/>
    <s v="64-2335814-"/>
    <s v="pedro.huito@redsalud.gob.cl"/>
    <x v="22"/>
    <m/>
    <n v="0"/>
    <m/>
    <n v="0"/>
    <n v="0"/>
    <m/>
    <x v="1"/>
  </r>
  <r>
    <s v="SERVICIO DE SALUD OSORNO"/>
    <x v="1"/>
    <x v="182"/>
    <s v="Proyecto operacional"/>
    <s v="Enviado"/>
    <s v="22.12.999.015"/>
    <x v="183"/>
    <s v="Compra de servicio de cafetería para 200 personas en total. La actividad contempla 02 jornadas de día completo y se realizaran una en julio y la segunda en octubre."/>
    <x v="0"/>
    <x v="63"/>
    <n v="4"/>
    <n v="1"/>
    <x v="124"/>
    <x v="259"/>
    <x v="4"/>
    <x v="27"/>
    <x v="42"/>
    <x v="47"/>
    <s v="64-2335814-"/>
    <s v="pedro.huito@redsalud.gob.cl"/>
    <x v="17"/>
    <m/>
    <n v="0"/>
    <m/>
    <n v="0"/>
    <n v="0"/>
    <m/>
    <x v="1"/>
  </r>
  <r>
    <s v="SERVICIO DE SALUD OSORNO"/>
    <x v="3"/>
    <x v="183"/>
    <s v="Proyecto operacional"/>
    <s v="Enviado"/>
    <s v="31.02.002"/>
    <x v="184"/>
    <s v="SE REQUIERE CONTRATAR LAS VISITAS DE LOS SIGUIENTES PROYECTISTAS PARA EL MES DE DICIEMBRE DE 2026 DEL PROYECTO MEJORAMIENTO ELECTRICIDAD Y CORRIENTES DEBILES DEL HOSPITAL DE RIO NEGRO; 3 VISITAS DEL PROYECTISTA, VALOR POR VISITA 14 UF IVA INCLUIDO. Y MEJORAMIENTO CLIMATIZACION DEL HOSPITAL DE RIO NEGRO; 3 VISITAS DEL PROYECTISTA, VALOR POR VISITA 14 UF IVA INCLUIDO. NOTA: EL VALOR DE LA UF SERA DEL DÍA DE LA VISITA"/>
    <x v="1"/>
    <x v="164"/>
    <n v="4"/>
    <n v="6"/>
    <x v="230"/>
    <x v="260"/>
    <x v="4"/>
    <x v="29"/>
    <x v="62"/>
    <x v="36"/>
    <s v="64-2337385-"/>
    <s v="gustavo.marin@redsalud.gob.cl"/>
    <x v="23"/>
    <m/>
    <n v="0"/>
    <m/>
    <n v="0"/>
    <n v="0"/>
    <m/>
    <x v="1"/>
  </r>
  <r>
    <s v="SERVICIO DE SALUD OSORNO"/>
    <x v="3"/>
    <x v="184"/>
    <s v="Proyecto operacional"/>
    <s v="Enviado"/>
    <s v="31.02.002"/>
    <x v="185"/>
    <s v="Desarrollar las adecuaciones a los proyectos de arquitectura y especialidades del diseño de la PSR tipo para el sector de Hueyusca, comuna de Purranque."/>
    <x v="1"/>
    <x v="97"/>
    <n v="4"/>
    <n v="1"/>
    <x v="120"/>
    <x v="161"/>
    <x v="4"/>
    <x v="28"/>
    <x v="39"/>
    <x v="44"/>
    <s v="64-2335843-"/>
    <s v="mario.barrientos@redsalud.gob.cl"/>
    <x v="18"/>
    <m/>
    <n v="0"/>
    <m/>
    <n v="0"/>
    <n v="0"/>
    <m/>
    <x v="1"/>
  </r>
  <r>
    <s v="SERVICIO DE SALUD OSORNO"/>
    <x v="0"/>
    <x v="185"/>
    <s v="Proyecto operacional"/>
    <s v="Enviado"/>
    <s v="22.04.007"/>
    <x v="186"/>
    <s v="Se requiere la adquisición de insumos de limpieza y artículos de higiene, destinados al mantenimiento y sanitización de las dependencias del Dispositivo Comunitario, asegurando condiciones adecuadas de funcionamiento e higiene para usuarios y personal, a partir de marzo de 2026."/>
    <x v="1"/>
    <x v="165"/>
    <n v="4"/>
    <n v="41"/>
    <x v="231"/>
    <x v="261"/>
    <x v="4"/>
    <x v="24"/>
    <x v="63"/>
    <x v="19"/>
    <s v="64-2337366-"/>
    <s v="luis.floresme@redsalud.gob.cl"/>
    <x v="21"/>
    <m/>
    <n v="0"/>
    <m/>
    <n v="0"/>
    <n v="0"/>
    <m/>
    <x v="1"/>
  </r>
  <r>
    <s v="SERVICIO DE SALUD OSORNO"/>
    <x v="0"/>
    <x v="186"/>
    <s v="Proyecto operacional"/>
    <s v="Enviado"/>
    <s v="22.01.001"/>
    <x v="187"/>
    <s v="Adquisición de insumos destinados al desarrollo de taller socio recreativo que se realizara con usuarios/as de UID Newen a contar del mes de enero de 2026."/>
    <x v="1"/>
    <x v="166"/>
    <n v="4"/>
    <n v="91"/>
    <x v="232"/>
    <x v="262"/>
    <x v="4"/>
    <x v="35"/>
    <x v="22"/>
    <x v="67"/>
    <s v="64-2337766-"/>
    <s v="camila.roa@redsalud.gob.cl"/>
    <x v="13"/>
    <m/>
    <n v="0"/>
    <m/>
    <n v="0"/>
    <n v="0"/>
    <m/>
    <x v="1"/>
  </r>
  <r>
    <s v="SERVICIO DE SALUD OSORNO"/>
    <x v="0"/>
    <x v="187"/>
    <s v="Proyecto operacional"/>
    <s v="Enviado"/>
    <s v="22.04.999"/>
    <x v="188"/>
    <s v="Adquisición de insumos orientados al desarrollo de actividades de promoción, prevención e intervenciones que se realizaran con usuarios/as y familiares de UID Newen a contar del mes de enero del 2026."/>
    <x v="0"/>
    <x v="167"/>
    <n v="4"/>
    <n v="4"/>
    <x v="233"/>
    <x v="263"/>
    <x v="4"/>
    <x v="35"/>
    <x v="22"/>
    <x v="67"/>
    <s v="64-2337766-"/>
    <s v="camila.roa@redsalud.gob.cl"/>
    <x v="13"/>
    <m/>
    <n v="0"/>
    <m/>
    <n v="0"/>
    <n v="0"/>
    <m/>
    <x v="1"/>
  </r>
  <r>
    <s v="SERVICIO DE SALUD OSORNO"/>
    <x v="0"/>
    <x v="187"/>
    <s v="Proyecto operacional"/>
    <s v="Enviado"/>
    <s v="22.04.999"/>
    <x v="188"/>
    <s v="Adquisición de insumos orientados al desarrollo de actividades de promoción, prevención e intervenciones que se realizaran con usuarios/as y familiares de UID Newen a contar del mes de enero del 2026."/>
    <x v="0"/>
    <x v="168"/>
    <n v="4"/>
    <n v="1"/>
    <x v="234"/>
    <x v="173"/>
    <x v="4"/>
    <x v="35"/>
    <x v="22"/>
    <x v="67"/>
    <s v="64-2337766-"/>
    <s v="camila.roa@redsalud.gob.cl"/>
    <x v="13"/>
    <m/>
    <n v="0"/>
    <m/>
    <n v="0"/>
    <n v="0"/>
    <m/>
    <x v="1"/>
  </r>
  <r>
    <s v="SERVICIO DE SALUD OSORNO"/>
    <x v="0"/>
    <x v="188"/>
    <s v="Proyecto operacional"/>
    <s v="Enviado"/>
    <s v="22.04.001"/>
    <x v="189"/>
    <s v="La presente adquisición corresponde a la compra de materiales de papelería y oficina destinados al funcionamiento operativo del Centro Comunitario de Apoyo a Personas con Demencia Kümelen. Los insumos serán utilizados para el desarrollo de talleres grupales, atenciones individuales, actividades comunitarias y labores administrativas internas, permitiendo asegurar la continuidad de las prestaciones clínicas y comunitarias que realiza el equipo multidisciplinario del centro. el mes de ejecución es para Abril del 2026"/>
    <x v="0"/>
    <x v="43"/>
    <n v="4"/>
    <n v="29"/>
    <x v="235"/>
    <x v="264"/>
    <x v="4"/>
    <x v="24"/>
    <x v="63"/>
    <x v="19"/>
    <s v="64-2337366-"/>
    <s v="luis.floresme@redsalud.gob.cl"/>
    <x v="14"/>
    <m/>
    <n v="0"/>
    <m/>
    <n v="0"/>
    <n v="0"/>
    <m/>
    <x v="1"/>
  </r>
  <r>
    <s v="SERVICIO DE SALUD OSORNO"/>
    <x v="0"/>
    <x v="188"/>
    <s v="Proyecto operacional"/>
    <s v="Enviado"/>
    <s v="22.04.001"/>
    <x v="189"/>
    <s v="La presente adquisición corresponde a la compra de materiales de papelería y oficina destinados al funcionamiento operativo del Centro Comunitario de Apoyo a Personas con Demencia Kümelen. Los insumos serán utilizados para el desarrollo de talleres grupales, atenciones individuales, actividades comunitarias y labores administrativas internas, permitiendo asegurar la continuidad de las prestaciones clínicas y comunitarias que realiza el equipo multidisciplinario del centro. el mes de ejecución es para Abril del 2026"/>
    <x v="0"/>
    <x v="169"/>
    <n v="4"/>
    <n v="1"/>
    <x v="77"/>
    <x v="265"/>
    <x v="4"/>
    <x v="24"/>
    <x v="63"/>
    <x v="19"/>
    <s v="64-2337366-"/>
    <s v="luis.floresme@redsalud.gob.cl"/>
    <x v="14"/>
    <m/>
    <n v="0"/>
    <m/>
    <n v="0"/>
    <n v="0"/>
    <m/>
    <x v="1"/>
  </r>
  <r>
    <s v="SERVICIO DE SALUD OSORNO"/>
    <x v="0"/>
    <x v="189"/>
    <s v="Proyecto operacional"/>
    <s v="Enviado"/>
    <s v="22.04.001"/>
    <x v="190"/>
    <s v="Contar con 2 mochilas acordes a funcionamiento en terreno de EMT y herramientas manuales básicas necesarias para despliegues en emergencias. mes ejecucion: enero"/>
    <x v="0"/>
    <x v="93"/>
    <n v="4"/>
    <n v="1"/>
    <x v="89"/>
    <x v="266"/>
    <x v="4"/>
    <x v="35"/>
    <x v="2"/>
    <x v="3"/>
    <s v="64-2337728-"/>
    <s v="CATALINA.VERAC@REDSALUD.GOB.CL"/>
    <x v="13"/>
    <m/>
    <n v="0"/>
    <m/>
    <n v="0"/>
    <n v="0"/>
    <m/>
    <x v="1"/>
  </r>
  <r>
    <s v="SERVICIO DE SALUD OSORNO"/>
    <x v="0"/>
    <x v="189"/>
    <s v="Proyecto operacional"/>
    <s v="Enviado"/>
    <s v="22.04.001"/>
    <x v="190"/>
    <s v="Contar con 2 mochilas acordes a funcionamiento en terreno de EMT y herramientas manuales básicas necesarias para despliegues en emergencias. mes ejecucion: enero"/>
    <x v="0"/>
    <x v="170"/>
    <n v="4"/>
    <n v="2"/>
    <x v="236"/>
    <x v="187"/>
    <x v="4"/>
    <x v="35"/>
    <x v="2"/>
    <x v="3"/>
    <s v="64-2337728-"/>
    <s v="CATALINA.VERAC@REDSALUD.GOB.CL"/>
    <x v="13"/>
    <m/>
    <n v="0"/>
    <m/>
    <n v="0"/>
    <n v="0"/>
    <m/>
    <x v="1"/>
  </r>
  <r>
    <s v="SERVICIO DE SALUD OSORNO"/>
    <x v="0"/>
    <x v="190"/>
    <s v="Proyecto operacional"/>
    <s v="Enviado"/>
    <s v="22.11.003"/>
    <x v="191"/>
    <s v="Contar con licencia de software de cartografía web, para la creación de mapas territoriales y análisis de amenazas 12 meses. Desde mes de enero"/>
    <x v="1"/>
    <x v="171"/>
    <n v="4"/>
    <n v="1"/>
    <x v="237"/>
    <x v="267"/>
    <x v="4"/>
    <x v="38"/>
    <x v="2"/>
    <x v="3"/>
    <s v="64-2337728-"/>
    <s v="CATALINA.VERAC@REDSALUD.GOB.CL"/>
    <x v="13"/>
    <m/>
    <n v="0"/>
    <m/>
    <n v="0"/>
    <n v="0"/>
    <m/>
    <x v="1"/>
  </r>
  <r>
    <s v="SERVICIO DE SALUD OSORNO"/>
    <x v="4"/>
    <x v="191"/>
    <s v="Proyecto operacional"/>
    <s v="Enviado"/>
    <s v="29.03"/>
    <x v="192"/>
    <s v="COMPRA DE AMBULANCIA PARA CESFAM CON SAR DE RAHUE ALTO // MES DE FEBRERO 2026."/>
    <x v="1"/>
    <x v="172"/>
    <n v="4"/>
    <n v="1"/>
    <x v="238"/>
    <x v="268"/>
    <x v="4"/>
    <x v="24"/>
    <x v="5"/>
    <x v="39"/>
    <s v="64-2335654-"/>
    <s v="felipe.salvob@redsalud.gob.cl"/>
    <x v="14"/>
    <m/>
    <n v="0"/>
    <m/>
    <n v="0"/>
    <n v="0"/>
    <m/>
    <x v="1"/>
  </r>
  <r>
    <s v="SERVICIO DE SALUD OSORNO"/>
    <x v="0"/>
    <x v="192"/>
    <s v="Proyecto operacional"/>
    <s v="Enviado"/>
    <s v="22.02"/>
    <x v="193"/>
    <s v="COMPRA DE EPP PARA PERSONAL DE LA SECCION DE MANTENIMIENTO DE VEHICULOS DEL SSO"/>
    <x v="5"/>
    <x v="173"/>
    <n v="4"/>
    <n v="2"/>
    <x v="239"/>
    <x v="269"/>
    <x v="4"/>
    <x v="38"/>
    <x v="5"/>
    <x v="39"/>
    <s v="64-2335654-"/>
    <s v="felipe.salvob@redsalud.gob.cl"/>
    <x v="19"/>
    <m/>
    <n v="0"/>
    <m/>
    <n v="0"/>
    <n v="0"/>
    <m/>
    <x v="1"/>
  </r>
  <r>
    <s v="SERVICIO DE SALUD OSORNO"/>
    <x v="0"/>
    <x v="192"/>
    <s v="Proyecto operacional"/>
    <s v="Enviado"/>
    <s v="22.02"/>
    <x v="193"/>
    <s v="COMPRA DE EPP PARA PERSONAL DE LA SECCION DE MANTENIMIENTO DE VEHICULOS DEL SSO"/>
    <x v="5"/>
    <x v="174"/>
    <n v="4"/>
    <n v="26"/>
    <x v="98"/>
    <x v="270"/>
    <x v="4"/>
    <x v="38"/>
    <x v="5"/>
    <x v="39"/>
    <s v="64-2335654-"/>
    <s v="felipe.salvob@redsalud.gob.cl"/>
    <x v="19"/>
    <m/>
    <n v="0"/>
    <m/>
    <n v="0"/>
    <n v="0"/>
    <m/>
    <x v="1"/>
  </r>
  <r>
    <s v="SERVICIO DE SALUD OSORNO"/>
    <x v="0"/>
    <x v="192"/>
    <s v="Proyecto operacional"/>
    <s v="Enviado"/>
    <s v="22.02"/>
    <x v="193"/>
    <s v="COMPRA DE EPP PARA PERSONAL DE LA SECCION DE MANTENIMIENTO DE VEHICULOS DEL SSO"/>
    <x v="5"/>
    <x v="175"/>
    <n v="4"/>
    <n v="2"/>
    <x v="89"/>
    <x v="216"/>
    <x v="4"/>
    <x v="38"/>
    <x v="5"/>
    <x v="39"/>
    <s v="64-2335654-"/>
    <s v="felipe.salvob@redsalud.gob.cl"/>
    <x v="19"/>
    <m/>
    <n v="0"/>
    <m/>
    <n v="0"/>
    <n v="0"/>
    <m/>
    <x v="1"/>
  </r>
  <r>
    <s v="SERVICIO DE SALUD OSORNO"/>
    <x v="0"/>
    <x v="193"/>
    <s v="Proyecto operacional"/>
    <s v="Enviado"/>
    <s v="22.04.001"/>
    <x v="194"/>
    <s v="MES DE EJECUCION DE LA COMPRA DE TARJETAS BLANCAS PARA CREDENCIALES SE REALIZARA EN EL MES DE FEBRERO DE 2026."/>
    <x v="1"/>
    <x v="8"/>
    <n v="4"/>
    <n v="400"/>
    <x v="240"/>
    <x v="145"/>
    <x v="4"/>
    <x v="38"/>
    <x v="64"/>
    <x v="68"/>
    <s v="64-2335819-"/>
    <s v="gustavo.aravena@redsalud.gob.cl"/>
    <x v="19"/>
    <m/>
    <n v="0"/>
    <m/>
    <n v="0"/>
    <n v="0"/>
    <m/>
    <x v="1"/>
  </r>
  <r>
    <s v="SERVICIO DE SALUD OSORNO"/>
    <x v="0"/>
    <x v="194"/>
    <s v="Proyecto operacional"/>
    <s v="Enviado"/>
    <s v="22.04"/>
    <x v="195"/>
    <s v="Brindar una atención integral, segura y oportuna a los usuarios/as de UID Newen, a contar de enero y durante el año 2026."/>
    <x v="0"/>
    <x v="89"/>
    <n v="4"/>
    <n v="1700"/>
    <x v="241"/>
    <x v="271"/>
    <x v="4"/>
    <x v="35"/>
    <x v="22"/>
    <x v="67"/>
    <s v="64-2337766-"/>
    <s v="camila.roa@redsalud.gob.cl"/>
    <x v="13"/>
    <m/>
    <n v="0"/>
    <m/>
    <n v="0"/>
    <n v="0"/>
    <m/>
    <x v="1"/>
  </r>
  <r>
    <s v="SERVICIO DE SALUD OSORNO"/>
    <x v="0"/>
    <x v="194"/>
    <s v="Proyecto operacional"/>
    <s v="Enviado"/>
    <s v="22.04"/>
    <x v="195"/>
    <s v="Brindar una atención integral, segura y oportuna a los usuarios/as de UID Newen, a contar de enero y durante el año 2026."/>
    <x v="0"/>
    <x v="176"/>
    <n v="4"/>
    <n v="125"/>
    <x v="242"/>
    <x v="272"/>
    <x v="4"/>
    <x v="35"/>
    <x v="22"/>
    <x v="67"/>
    <s v="64-2337766-"/>
    <s v="camila.roa@redsalud.gob.cl"/>
    <x v="13"/>
    <m/>
    <n v="0"/>
    <m/>
    <n v="0"/>
    <n v="0"/>
    <m/>
    <x v="1"/>
  </r>
  <r>
    <s v="SERVICIO DE SALUD OSORNO"/>
    <x v="1"/>
    <x v="195"/>
    <s v="Proyecto operacional"/>
    <s v="Enviado"/>
    <s v="22.04-22-01"/>
    <x v="196"/>
    <s v="Se espera adquisición para el mes de enero y/o febrero del 2026 para dar inicio a intervenciones desde abril."/>
    <x v="5"/>
    <x v="94"/>
    <n v="4"/>
    <n v="187"/>
    <x v="243"/>
    <x v="273"/>
    <x v="4"/>
    <x v="32"/>
    <x v="44"/>
    <x v="24"/>
    <s v="64-2335610-"/>
    <s v="pedro.fritz@redsalud.gob.cl"/>
    <x v="21"/>
    <m/>
    <n v="0"/>
    <m/>
    <n v="0"/>
    <n v="0"/>
    <m/>
    <x v="1"/>
  </r>
  <r>
    <s v="SERVICIO DE SALUD OSORNO"/>
    <x v="1"/>
    <x v="195"/>
    <s v="Proyecto operacional"/>
    <s v="Enviado"/>
    <s v="22.04-22-01"/>
    <x v="196"/>
    <s v="Se espera adquisición para el mes de enero y/o febrero del 2026 para dar inicio a intervenciones desde abril."/>
    <x v="5"/>
    <x v="177"/>
    <n v="4"/>
    <n v="6"/>
    <x v="183"/>
    <x v="274"/>
    <x v="4"/>
    <x v="32"/>
    <x v="44"/>
    <x v="24"/>
    <s v="64-2335610-"/>
    <s v="pedro.fritz@redsalud.gob.cl"/>
    <x v="21"/>
    <m/>
    <n v="0"/>
    <m/>
    <n v="0"/>
    <n v="0"/>
    <m/>
    <x v="1"/>
  </r>
  <r>
    <s v="SERVICIO DE SALUD OSORNO"/>
    <x v="1"/>
    <x v="195"/>
    <s v="Proyecto operacional"/>
    <s v="Enviado"/>
    <s v="22.04-22-01"/>
    <x v="196"/>
    <s v="Se espera adquisición para el mes de enero y/o febrero del 2026 para dar inicio a intervenciones desde abril."/>
    <x v="5"/>
    <x v="87"/>
    <n v="4"/>
    <n v="4"/>
    <x v="121"/>
    <x v="275"/>
    <x v="4"/>
    <x v="32"/>
    <x v="44"/>
    <x v="24"/>
    <s v="64-2335610-"/>
    <s v="pedro.fritz@redsalud.gob.cl"/>
    <x v="21"/>
    <m/>
    <n v="0"/>
    <m/>
    <n v="0"/>
    <n v="0"/>
    <m/>
    <x v="1"/>
  </r>
  <r>
    <s v="SERVICIO DE SALUD OSORNO"/>
    <x v="0"/>
    <x v="196"/>
    <s v="Proyecto operacional"/>
    <s v="Enviado"/>
    <s v="22.04.001"/>
    <x v="197"/>
    <s v="TRIMESTRAL, SEGUN NECESIDAD DEL STOCK"/>
    <x v="7"/>
    <x v="178"/>
    <n v="4"/>
    <n v="200"/>
    <x v="244"/>
    <x v="276"/>
    <x v="4"/>
    <x v="35"/>
    <x v="65"/>
    <x v="36"/>
    <s v="64-2335712-"/>
    <s v="karen.silva@redsalud.gob.cl"/>
    <x v="13"/>
    <m/>
    <n v="0"/>
    <m/>
    <n v="0"/>
    <n v="0"/>
    <m/>
    <x v="1"/>
  </r>
  <r>
    <s v="SERVICIO DE SALUD OSORNO"/>
    <x v="0"/>
    <x v="196"/>
    <s v="Proyecto operacional"/>
    <s v="Enviado"/>
    <s v="22.04.001"/>
    <x v="197"/>
    <s v="TRIMESTRAL, SEGUN NECESIDAD DEL STOCK"/>
    <x v="7"/>
    <x v="179"/>
    <n v="4"/>
    <n v="200"/>
    <x v="245"/>
    <x v="277"/>
    <x v="4"/>
    <x v="35"/>
    <x v="65"/>
    <x v="36"/>
    <s v="64-2335712-"/>
    <s v="karen.silva@redsalud.gob.cl"/>
    <x v="13"/>
    <m/>
    <n v="0"/>
    <m/>
    <n v="0"/>
    <n v="0"/>
    <m/>
    <x v="1"/>
  </r>
  <r>
    <s v="SERVICIO DE SALUD OSORNO"/>
    <x v="0"/>
    <x v="196"/>
    <s v="Proyecto operacional"/>
    <s v="Enviado"/>
    <s v="22.04.001"/>
    <x v="197"/>
    <s v="TRIMESTRAL, SEGUN NECESIDAD DEL STOCK"/>
    <x v="7"/>
    <x v="180"/>
    <n v="4"/>
    <n v="4"/>
    <x v="75"/>
    <x v="278"/>
    <x v="4"/>
    <x v="32"/>
    <x v="65"/>
    <x v="36"/>
    <s v="64-2335712-"/>
    <s v="karen.silva@redsalud.gob.cl"/>
    <x v="21"/>
    <m/>
    <n v="0"/>
    <m/>
    <n v="0"/>
    <n v="0"/>
    <m/>
    <x v="1"/>
  </r>
  <r>
    <s v="SERVICIO DE SALUD OSORNO"/>
    <x v="0"/>
    <x v="196"/>
    <s v="Proyecto operacional"/>
    <s v="Enviado"/>
    <s v="22.04.001"/>
    <x v="197"/>
    <s v="TRIMESTRAL, SEGUN NECESIDAD DEL STOCK"/>
    <x v="7"/>
    <x v="181"/>
    <n v="4"/>
    <n v="500"/>
    <x v="246"/>
    <x v="216"/>
    <x v="4"/>
    <x v="32"/>
    <x v="65"/>
    <x v="36"/>
    <s v="64-2335712-"/>
    <s v="karen.silva@redsalud.gob.cl"/>
    <x v="21"/>
    <m/>
    <n v="0"/>
    <m/>
    <n v="0"/>
    <n v="0"/>
    <m/>
    <x v="1"/>
  </r>
  <r>
    <s v="SERVICIO DE SALUD OSORNO"/>
    <x v="0"/>
    <x v="196"/>
    <s v="Proyecto operacional"/>
    <s v="Enviado"/>
    <s v="22.04.001"/>
    <x v="197"/>
    <s v="TRIMESTRAL, SEGUN NECESIDAD DEL STOCK"/>
    <x v="7"/>
    <x v="182"/>
    <n v="5"/>
    <n v="3"/>
    <x v="110"/>
    <x v="279"/>
    <x v="4"/>
    <x v="32"/>
    <x v="65"/>
    <x v="36"/>
    <s v="64-2335712-"/>
    <s v="karen.silva@redsalud.gob.cl"/>
    <x v="21"/>
    <m/>
    <n v="0"/>
    <m/>
    <n v="0"/>
    <n v="0"/>
    <m/>
    <x v="1"/>
  </r>
  <r>
    <s v="SERVICIO DE SALUD OSORNO"/>
    <x v="3"/>
    <x v="197"/>
    <s v="Proyecto operacional"/>
    <s v="Enviado"/>
    <s v="31.02.002"/>
    <x v="198"/>
    <s v="Ejecutar un Pozo profundo para la PSR Forrahue, comuna de Osorno."/>
    <x v="1"/>
    <x v="97"/>
    <n v="4"/>
    <n v="1"/>
    <x v="65"/>
    <x v="97"/>
    <x v="4"/>
    <x v="27"/>
    <x v="39"/>
    <x v="44"/>
    <s v="64-2335843-"/>
    <s v="mario.barrientos@redsalud.gob.cl"/>
    <x v="17"/>
    <m/>
    <n v="0"/>
    <m/>
    <n v="0"/>
    <n v="0"/>
    <m/>
    <x v="1"/>
  </r>
  <r>
    <s v="SERVICIO DE SALUD OSORNO"/>
    <x v="3"/>
    <x v="198"/>
    <s v="Proyecto operacional"/>
    <s v="Enviado"/>
    <s v="31.02.002"/>
    <x v="199"/>
    <s v="Desarrollar las adecuaciones a los proyectos de arquitectura y especialidades del diseño del la PSR tipo para el sector de Forrahue, comuna de Osorno."/>
    <x v="1"/>
    <x v="97"/>
    <n v="4"/>
    <n v="1"/>
    <x v="120"/>
    <x v="161"/>
    <x v="4"/>
    <x v="28"/>
    <x v="39"/>
    <x v="44"/>
    <s v="64-2335843-"/>
    <s v="mario.barrientos@redsalud.gob.cl"/>
    <x v="18"/>
    <m/>
    <n v="0"/>
    <m/>
    <n v="0"/>
    <n v="0"/>
    <m/>
    <x v="1"/>
  </r>
  <r>
    <s v="SERVICIO DE SALUD OSORNO"/>
    <x v="3"/>
    <x v="199"/>
    <s v="Proyecto operacional"/>
    <s v="Enviado"/>
    <s v="31.02.002"/>
    <x v="200"/>
    <s v="Consultoría para el desarrollo de los proyectos de arquitectura, estructuras y especialidades concurrentes para el diseño del Servicio de Alta Resolutividad (SAR), comuna de Puyehue"/>
    <x v="1"/>
    <x v="97"/>
    <n v="4"/>
    <n v="1"/>
    <x v="190"/>
    <x v="225"/>
    <x v="4"/>
    <x v="36"/>
    <x v="39"/>
    <x v="44"/>
    <s v="64-2335843-"/>
    <s v="mario.barrientos@redsalud.gob.cl"/>
    <x v="24"/>
    <m/>
    <n v="0"/>
    <m/>
    <n v="0"/>
    <n v="0"/>
    <m/>
    <x v="1"/>
  </r>
  <r>
    <s v="SERVICIO DE SALUD OSORNO"/>
    <x v="4"/>
    <x v="200"/>
    <s v="Proyecto operacional"/>
    <s v="Enviado"/>
    <s v="29.04"/>
    <x v="201"/>
    <s v="Se requieren para enero 2026"/>
    <x v="1"/>
    <x v="183"/>
    <n v="4"/>
    <n v="15"/>
    <x v="247"/>
    <x v="280"/>
    <x v="4"/>
    <x v="35"/>
    <x v="44"/>
    <x v="24"/>
    <s v="64-2336510-"/>
    <s v="pedro.fritz@redsalud.gob.cl"/>
    <x v="13"/>
    <m/>
    <n v="0"/>
    <m/>
    <n v="0"/>
    <n v="0"/>
    <m/>
    <x v="1"/>
  </r>
  <r>
    <s v="SERVICIO DE SALUD OSORNO"/>
    <x v="4"/>
    <x v="201"/>
    <s v="Proyecto operacional"/>
    <s v="Enviado"/>
    <s v="31.02.005"/>
    <x v="202"/>
    <s v="Proyecto con fuente de financiamiento sectorial. Ejecución proyectada para abril 2026."/>
    <x v="0"/>
    <x v="159"/>
    <n v="4"/>
    <n v="1"/>
    <x v="248"/>
    <x v="281"/>
    <x v="4"/>
    <x v="24"/>
    <x v="66"/>
    <x v="69"/>
    <s v="64-2337386-"/>
    <s v="maria.munozp@redsalud.gob.cl"/>
    <x v="14"/>
    <m/>
    <n v="0"/>
    <m/>
    <n v="0"/>
    <n v="0"/>
    <m/>
    <x v="1"/>
  </r>
  <r>
    <s v="SERVICIO DE SALUD OSORNO"/>
    <x v="4"/>
    <x v="201"/>
    <s v="Proyecto operacional"/>
    <s v="Enviado"/>
    <s v="31.02.005"/>
    <x v="202"/>
    <s v="Proyecto con fuente de financiamiento sectorial. Ejecución proyectada para abril 2026."/>
    <x v="0"/>
    <x v="184"/>
    <n v="4"/>
    <n v="1"/>
    <x v="249"/>
    <x v="282"/>
    <x v="4"/>
    <x v="24"/>
    <x v="66"/>
    <x v="69"/>
    <s v="64-2337386-"/>
    <s v="maria.munozp@redsalud.gob.cl"/>
    <x v="14"/>
    <m/>
    <n v="0"/>
    <m/>
    <n v="0"/>
    <n v="0"/>
    <m/>
    <x v="1"/>
  </r>
  <r>
    <s v="SERVICIO DE SALUD OSORNO"/>
    <x v="5"/>
    <x v="202"/>
    <s v="Proyecto operacional"/>
    <s v="Enviado"/>
    <n v="31"/>
    <x v="203"/>
    <s v="Desarrollar los proyectos de arquitectura, estructuras, especialidades y estudios concurrentes del diseño del nuevo Hospital de Purranque."/>
    <x v="1"/>
    <x v="97"/>
    <n v="4"/>
    <n v="1"/>
    <x v="250"/>
    <x v="283"/>
    <x v="4"/>
    <x v="28"/>
    <x v="39"/>
    <x v="44"/>
    <s v="64-2335843-"/>
    <s v="mario.barrientos@redsalud.gob.cl"/>
    <x v="16"/>
    <m/>
    <n v="0"/>
    <m/>
    <n v="0"/>
    <n v="0"/>
    <m/>
    <x v="1"/>
  </r>
  <r>
    <s v="SERVICIO DE SALUD OSORNO"/>
    <x v="5"/>
    <x v="203"/>
    <s v="Proyecto operacional"/>
    <s v="Enviado"/>
    <s v="31.02.002"/>
    <x v="204"/>
    <s v="Desarrollar los proyectos de arquitectura, estructura y especialidades para la habilitación de un centro de diálisis municipal, el que se ubicara en el ex edificio de la PDI de Osorno."/>
    <x v="1"/>
    <x v="97"/>
    <n v="4"/>
    <n v="1"/>
    <x v="36"/>
    <x v="284"/>
    <x v="4"/>
    <x v="28"/>
    <x v="39"/>
    <x v="44"/>
    <s v="64-2335843-"/>
    <s v="mario.barrientos@redsalud.gob.cl"/>
    <x v="18"/>
    <m/>
    <n v="0"/>
    <m/>
    <n v="0"/>
    <n v="0"/>
    <m/>
    <x v="1"/>
  </r>
  <r>
    <s v="SERVICIO DE SALUD OSORNO"/>
    <x v="5"/>
    <x v="204"/>
    <s v="Proyecto operacional"/>
    <s v="Enviado"/>
    <s v="31.02.003"/>
    <x v="205"/>
    <s v="Contratación del estudio de preinversión hospitalario para el proyecto de reposición del Hospital de alta complejidad de la provincia, el cual contempla los módulos de producción, recursos humanos, TICs, equipos y equipamiento, infraestructura y sustentabilidad financiera. Subtitulo 31"/>
    <x v="1"/>
    <x v="97"/>
    <n v="4"/>
    <n v="1"/>
    <x v="251"/>
    <x v="285"/>
    <x v="4"/>
    <x v="28"/>
    <x v="67"/>
    <x v="70"/>
    <s v="64-2335823-"/>
    <s v="sandra.cardenass@redsalud.gob.cl"/>
    <x v="16"/>
    <m/>
    <n v="0"/>
    <m/>
    <n v="0"/>
    <n v="0"/>
    <m/>
    <x v="1"/>
  </r>
  <r>
    <s v="SERVICIO DE SALUD OSORNO"/>
    <x v="5"/>
    <x v="205"/>
    <s v="Proyecto operacional"/>
    <s v="Enviado"/>
    <s v="31.02.002"/>
    <x v="206"/>
    <s v="Desarrollar los proyectos de arquitectura, estructuras y especialidades concurrentes para la nueva Base SAMU Provincial y Centro de Despacho."/>
    <x v="1"/>
    <x v="97"/>
    <n v="4"/>
    <n v="1"/>
    <x v="252"/>
    <x v="286"/>
    <x v="4"/>
    <x v="26"/>
    <x v="39"/>
    <x v="44"/>
    <s v="64-2335843-"/>
    <s v="mario.barrientos@redsalud.gob.cl"/>
    <x v="24"/>
    <m/>
    <n v="0"/>
    <m/>
    <n v="0"/>
    <n v="0"/>
    <m/>
    <x v="1"/>
  </r>
  <r>
    <s v="SERVICIO DE SALUD OSORNO"/>
    <x v="5"/>
    <x v="206"/>
    <s v="Proyecto operacional"/>
    <s v="Enviado"/>
    <s v="31.02.002"/>
    <x v="207"/>
    <s v="Contratación del estudio de preinversión hospitalario para el proyecto de reposición del Hospital de baja complejidad de Río Negro, el cual contempla los módulos de producción, recursos humanos, TICs, equipo y equipamiento, infraestructura y sustentabilidad financiera. Subtítulo 31"/>
    <x v="1"/>
    <x v="97"/>
    <n v="4"/>
    <n v="1"/>
    <x v="36"/>
    <x v="284"/>
    <x v="4"/>
    <x v="27"/>
    <x v="68"/>
    <x v="71"/>
    <s v="64-2335764-"/>
    <s v="JAVIER.DONOSO@REDSALUD.GOB.CL"/>
    <x v="17"/>
    <m/>
    <n v="0"/>
    <m/>
    <n v="0"/>
    <n v="0"/>
    <m/>
    <x v="1"/>
  </r>
  <r>
    <s v="SERVICIO DE SALUD OSORNO"/>
    <x v="5"/>
    <x v="207"/>
    <s v="Proyecto operacional"/>
    <s v="Enviado"/>
    <s v="31.02.002"/>
    <x v="208"/>
    <s v="Contratación del estudio de preinversión hospitalario para el proyecto de reposición del Hospital de baja complejidad de Puerto Octay, el cual contempla los módulos de producción, recursos humanos, TICs, equipo y equipamiento, infraestructura y sustentabilidad financiera. Subtítulo 31"/>
    <x v="1"/>
    <x v="97"/>
    <n v="4"/>
    <n v="1"/>
    <x v="36"/>
    <x v="284"/>
    <x v="4"/>
    <x v="27"/>
    <x v="68"/>
    <x v="71"/>
    <s v="64-2335663-"/>
    <s v="JAVIER.DONOSO@REDSALUD.GOB.CL"/>
    <x v="17"/>
    <m/>
    <n v="0"/>
    <m/>
    <n v="0"/>
    <n v="0"/>
    <m/>
    <x v="1"/>
  </r>
  <r>
    <s v="SERVICIO DE SALUD OSORNO"/>
    <x v="5"/>
    <x v="208"/>
    <s v="Proyecto operacional"/>
    <s v="Enviado"/>
    <s v="31.02.002"/>
    <x v="209"/>
    <s v="Desarrollar los diseños de Arquitectura, Estructuras y Especialidades concurrentes para el nuevo CESFAM de la comuna de Puerto Octay."/>
    <x v="1"/>
    <x v="97"/>
    <n v="4"/>
    <n v="1"/>
    <x v="0"/>
    <x v="287"/>
    <x v="4"/>
    <x v="27"/>
    <x v="39"/>
    <x v="44"/>
    <s v="64-2335843-"/>
    <s v="mario.barrientos@redsalud.gob.cl"/>
    <x v="17"/>
    <m/>
    <n v="0"/>
    <m/>
    <n v="0"/>
    <n v="0"/>
    <m/>
    <x v="1"/>
  </r>
  <r>
    <s v="SERVICIO DE SALUD OSORNO"/>
    <x v="5"/>
    <x v="209"/>
    <s v="Proyecto operacional"/>
    <s v="Enviado"/>
    <s v="31.02.002"/>
    <x v="210"/>
    <s v="Contratar visitas para diciembre de 2026 de: *02 visita Estructural por 20 UF *02 visita Electricidad por 14 UF *02 visita Clima por 14 UF *01 visita Gas por 14 UF *01 visita Seguridad por 14 UF *01 visita Gases Clínicos por 14 UF *02 visita Pav. y AA.LL por 20UF *02 visita A.P y Alcantarillado por 15 UF * 01 Visita Revisor Independiente de Arquitectura Nota: el valor de la UF será calculado el día de la visita del especialista."/>
    <x v="1"/>
    <x v="97"/>
    <n v="4"/>
    <n v="14"/>
    <x v="253"/>
    <x v="288"/>
    <x v="4"/>
    <x v="29"/>
    <x v="69"/>
    <x v="63"/>
    <s v="64-2337385-"/>
    <s v="rodrigo.neirar@redsalud.gob.cl"/>
    <x v="23"/>
    <m/>
    <n v="0"/>
    <m/>
    <n v="0"/>
    <n v="0"/>
    <m/>
    <x v="1"/>
  </r>
  <r>
    <s v="SERVICIO DE SALUD OSORNO"/>
    <x v="5"/>
    <x v="210"/>
    <s v="Proyecto operacional"/>
    <s v="Enviado"/>
    <s v="31.02.002"/>
    <x v="211"/>
    <s v="SE REQUIETE 1 VISITA DE ESPECIALIDAD DE ARQUITECTURA PARA LA OBRA CONSTRUCCION CESFAM CON SAR CHUYACA OSORNO PARA EL MES DE JUNIO DE 2026. EL COSTO DE LA VISITA ES DE 14 UF IVA INCLUIDO. NOTA: EL VALOR DE LA UF SERA DEL DIA DE LA VISITA."/>
    <x v="1"/>
    <x v="97"/>
    <n v="4"/>
    <n v="1"/>
    <x v="254"/>
    <x v="289"/>
    <x v="4"/>
    <x v="25"/>
    <x v="70"/>
    <x v="72"/>
    <s v="64-2337385-"/>
    <s v="fernando.wulf@redsalud.gob.cl"/>
    <x v="15"/>
    <m/>
    <n v="0"/>
    <m/>
    <n v="0"/>
    <n v="0"/>
    <m/>
    <x v="1"/>
  </r>
  <r>
    <s v="SERVICIO DE SALUD OSORNO"/>
    <x v="0"/>
    <x v="211"/>
    <s v="Proyecto operacional"/>
    <s v="Enviado"/>
    <s v="22..02.002"/>
    <x v="212"/>
    <s v="Fuente de financiamiento con recursos propios del Servicio de Salud Osorno. Ejecución proyectada para abril 2026"/>
    <x v="1"/>
    <x v="147"/>
    <n v="4"/>
    <n v="1"/>
    <x v="144"/>
    <x v="130"/>
    <x v="4"/>
    <x v="24"/>
    <x v="66"/>
    <x v="69"/>
    <s v="64-2337386-"/>
    <s v="maria.munozp@redsalud.gob.cl"/>
    <x v="14"/>
    <m/>
    <n v="0"/>
    <m/>
    <n v="0"/>
    <n v="0"/>
    <m/>
    <x v="1"/>
  </r>
  <r>
    <s v="SERVICIO DE SALUD OSORNO"/>
    <x v="4"/>
    <x v="212"/>
    <s v="Proyecto operacional"/>
    <s v="Enviado"/>
    <s v="29.05.002"/>
    <x v="213"/>
    <s v="Proyecto con fuente de financiamiento sectorial. Ejecución proyectada para abril 2026"/>
    <x v="0"/>
    <x v="159"/>
    <n v="4"/>
    <n v="1"/>
    <x v="255"/>
    <x v="290"/>
    <x v="4"/>
    <x v="24"/>
    <x v="66"/>
    <x v="69"/>
    <s v="64-2337386-"/>
    <s v="maria.munozp@redsalud.gob.cl"/>
    <x v="14"/>
    <m/>
    <n v="0"/>
    <m/>
    <n v="0"/>
    <n v="0"/>
    <m/>
    <x v="1"/>
  </r>
  <r>
    <s v="SERVICIO DE SALUD OSORNO"/>
    <x v="4"/>
    <x v="212"/>
    <s v="Proyecto operacional"/>
    <s v="Enviado"/>
    <s v="29.05.002"/>
    <x v="213"/>
    <s v="Proyecto con fuente de financiamiento sectorial. Ejecución proyectada para abril 2026"/>
    <x v="0"/>
    <x v="184"/>
    <n v="4"/>
    <n v="1"/>
    <x v="256"/>
    <x v="291"/>
    <x v="4"/>
    <x v="24"/>
    <x v="66"/>
    <x v="69"/>
    <s v="64-2337386-"/>
    <s v="maria.munozp@redsalud.gob.cl"/>
    <x v="14"/>
    <m/>
    <n v="0"/>
    <m/>
    <n v="0"/>
    <n v="0"/>
    <m/>
    <x v="1"/>
  </r>
  <r>
    <s v="SERVICIO DE SALUD OSORNO"/>
    <x v="4"/>
    <x v="213"/>
    <s v="Proyecto operacional"/>
    <s v="Enviado"/>
    <s v="31.02.005"/>
    <x v="214"/>
    <s v="Proyecto con fuente de financiamiento F.N.D.R. Ejecución proyectada para julio 2026"/>
    <x v="0"/>
    <x v="159"/>
    <n v="4"/>
    <n v="1"/>
    <x v="257"/>
    <x v="292"/>
    <x v="4"/>
    <x v="33"/>
    <x v="66"/>
    <x v="69"/>
    <s v="64-2337386-"/>
    <s v="maria.munozp@redsalud.gob.cl"/>
    <x v="22"/>
    <m/>
    <n v="0"/>
    <m/>
    <n v="0"/>
    <n v="0"/>
    <m/>
    <x v="1"/>
  </r>
  <r>
    <s v="SERVICIO DE SALUD OSORNO"/>
    <x v="4"/>
    <x v="213"/>
    <s v="Proyecto operacional"/>
    <s v="Enviado"/>
    <s v="31.02.005"/>
    <x v="214"/>
    <s v="Proyecto con fuente de financiamiento F.N.D.R. Ejecución proyectada para julio 2026"/>
    <x v="0"/>
    <x v="184"/>
    <n v="4"/>
    <n v="1"/>
    <x v="258"/>
    <x v="293"/>
    <x v="4"/>
    <x v="33"/>
    <x v="66"/>
    <x v="69"/>
    <s v="64-2337386-"/>
    <s v="maria.munozp@redsalud.gob.cl"/>
    <x v="22"/>
    <m/>
    <n v="0"/>
    <m/>
    <n v="0"/>
    <n v="0"/>
    <m/>
    <x v="1"/>
  </r>
  <r>
    <s v="SERVICIO DE SALUD OSORNO"/>
    <x v="3"/>
    <x v="214"/>
    <s v="Proyecto operacional"/>
    <s v="Enviado"/>
    <s v="31.02.005"/>
    <x v="215"/>
    <s v="Proyecto con fuente de financiamiento F.N.D.R. Ejecución proyectada para julio 2026"/>
    <x v="0"/>
    <x v="159"/>
    <n v="4"/>
    <n v="1"/>
    <x v="259"/>
    <x v="294"/>
    <x v="4"/>
    <x v="33"/>
    <x v="66"/>
    <x v="69"/>
    <s v="64-2337386-"/>
    <s v="maria.munozp@redsalud.gob.cl"/>
    <x v="22"/>
    <m/>
    <n v="0"/>
    <m/>
    <n v="0"/>
    <n v="0"/>
    <m/>
    <x v="1"/>
  </r>
  <r>
    <s v="SERVICIO DE SALUD OSORNO"/>
    <x v="3"/>
    <x v="214"/>
    <s v="Proyecto operacional"/>
    <s v="Enviado"/>
    <s v="31.02.005"/>
    <x v="215"/>
    <s v="Proyecto con fuente de financiamiento F.N.D.R. Ejecución proyectada para julio 2026"/>
    <x v="0"/>
    <x v="184"/>
    <n v="4"/>
    <n v="1"/>
    <x v="260"/>
    <x v="295"/>
    <x v="4"/>
    <x v="33"/>
    <x v="66"/>
    <x v="69"/>
    <s v="64-2337386-"/>
    <s v="maria.munozp@redsalud.gob.cl"/>
    <x v="22"/>
    <m/>
    <n v="0"/>
    <m/>
    <n v="0"/>
    <n v="0"/>
    <m/>
    <x v="1"/>
  </r>
  <r>
    <s v="SERVICIO DE SALUD OSORNO"/>
    <x v="3"/>
    <x v="215"/>
    <s v="Proyecto operacional"/>
    <s v="Enviado"/>
    <s v="31.02.005"/>
    <x v="216"/>
    <s v="Proyecto con fuente de financiamiento F.N.D.R. Ejecución proyectada para junio 2026"/>
    <x v="0"/>
    <x v="159"/>
    <n v="4"/>
    <n v="1"/>
    <x v="261"/>
    <x v="296"/>
    <x v="4"/>
    <x v="25"/>
    <x v="66"/>
    <x v="69"/>
    <s v="64-2337386-"/>
    <s v="maria.munozp@redsalud.gob.cl"/>
    <x v="15"/>
    <m/>
    <n v="0"/>
    <m/>
    <n v="0"/>
    <n v="0"/>
    <m/>
    <x v="1"/>
  </r>
  <r>
    <s v="SERVICIO DE SALUD OSORNO"/>
    <x v="3"/>
    <x v="215"/>
    <s v="Proyecto operacional"/>
    <s v="Enviado"/>
    <s v="31.02.005"/>
    <x v="216"/>
    <s v="Proyecto con fuente de financiamiento F.N.D.R. Ejecución proyectada para junio 2026"/>
    <x v="0"/>
    <x v="184"/>
    <n v="4"/>
    <n v="1"/>
    <x v="262"/>
    <x v="297"/>
    <x v="4"/>
    <x v="25"/>
    <x v="66"/>
    <x v="69"/>
    <s v="64-2337386-"/>
    <s v="maria.munozp@redsalud.gob.cl"/>
    <x v="15"/>
    <m/>
    <n v="0"/>
    <m/>
    <n v="0"/>
    <n v="0"/>
    <m/>
    <x v="1"/>
  </r>
  <r>
    <s v="SERVICIO DE SALUD OSORNO"/>
    <x v="3"/>
    <x v="216"/>
    <s v="Proyecto operacional"/>
    <s v="Enviado"/>
    <s v="31.02.002"/>
    <x v="217"/>
    <s v="Desarrollar las adecuaciones a los proyectos de arquitectura y especialidades del diseño de la PSR tipo para el sector de Cuinco, comuna de San Juan de La Costa."/>
    <x v="1"/>
    <x v="97"/>
    <n v="4"/>
    <n v="1"/>
    <x v="120"/>
    <x v="161"/>
    <x v="4"/>
    <x v="26"/>
    <x v="39"/>
    <x v="44"/>
    <s v="64-2335843-"/>
    <s v="mario.barrientos@redsalud.gob.cl"/>
    <x v="16"/>
    <m/>
    <n v="0"/>
    <m/>
    <n v="0"/>
    <n v="0"/>
    <m/>
    <x v="1"/>
  </r>
  <r>
    <s v="SERVICIO DE SALUD OSORNO"/>
    <x v="3"/>
    <x v="217"/>
    <s v="Proyecto operacional"/>
    <s v="Enviado"/>
    <s v="31.02.005"/>
    <x v="218"/>
    <s v="Proyecto con fuente de financiamiento F.N.D.R. Ejecución proyectada para mayo 2026"/>
    <x v="0"/>
    <x v="159"/>
    <n v="4"/>
    <n v="1"/>
    <x v="263"/>
    <x v="298"/>
    <x v="4"/>
    <x v="31"/>
    <x v="66"/>
    <x v="69"/>
    <s v="64-2337386-"/>
    <s v="maria.munozp@redsalud.gob.cl"/>
    <x v="20"/>
    <m/>
    <n v="0"/>
    <m/>
    <n v="0"/>
    <n v="0"/>
    <m/>
    <x v="1"/>
  </r>
  <r>
    <s v="SERVICIO DE SALUD OSORNO"/>
    <x v="3"/>
    <x v="217"/>
    <s v="Proyecto operacional"/>
    <s v="Enviado"/>
    <s v="31.02.005"/>
    <x v="218"/>
    <s v="Proyecto con fuente de financiamiento F.N.D.R. Ejecución proyectada para mayo 2026"/>
    <x v="0"/>
    <x v="184"/>
    <n v="4"/>
    <n v="1"/>
    <x v="264"/>
    <x v="299"/>
    <x v="4"/>
    <x v="31"/>
    <x v="66"/>
    <x v="69"/>
    <s v="64-2337386-"/>
    <s v="maria.munozp@redsalud.gob.cl"/>
    <x v="20"/>
    <m/>
    <n v="0"/>
    <m/>
    <n v="0"/>
    <n v="0"/>
    <m/>
    <x v="1"/>
  </r>
  <r>
    <s v="SERVICIO DE SALUD OSORNO"/>
    <x v="3"/>
    <x v="218"/>
    <s v="Proyecto operacional"/>
    <s v="Enviado"/>
    <s v="31.02.002"/>
    <x v="219"/>
    <s v="Desarrollar el diseño de arquitectura, estructuras y especialidades para la ampliación y normalización del actual CESFAM de San Pablo."/>
    <x v="1"/>
    <x v="97"/>
    <n v="4"/>
    <n v="1"/>
    <x v="265"/>
    <x v="300"/>
    <x v="4"/>
    <x v="26"/>
    <x v="39"/>
    <x v="44"/>
    <s v="64-2335843-"/>
    <s v="mario.barrientos@redsalud.gob.cl"/>
    <x v="16"/>
    <m/>
    <n v="0"/>
    <m/>
    <n v="0"/>
    <n v="0"/>
    <m/>
    <x v="1"/>
  </r>
  <r>
    <s v="SERVICIO DE SALUD OSORNO"/>
    <x v="4"/>
    <x v="219"/>
    <s v="Proyecto operacional"/>
    <s v="Enviado"/>
    <s v="31.02.005"/>
    <x v="220"/>
    <s v="Proyecto con fuente de financiamiento sectorial. Ejecución proyectada para abril 2026"/>
    <x v="0"/>
    <x v="159"/>
    <n v="4"/>
    <n v="1"/>
    <x v="266"/>
    <x v="301"/>
    <x v="4"/>
    <x v="24"/>
    <x v="66"/>
    <x v="69"/>
    <s v="64-2337386-"/>
    <s v="maria.munozp@redsalud.gob.cl"/>
    <x v="14"/>
    <m/>
    <n v="0"/>
    <m/>
    <n v="0"/>
    <n v="0"/>
    <m/>
    <x v="1"/>
  </r>
  <r>
    <s v="SERVICIO DE SALUD OSORNO"/>
    <x v="4"/>
    <x v="219"/>
    <s v="Proyecto operacional"/>
    <s v="Enviado"/>
    <s v="31.02.005"/>
    <x v="220"/>
    <s v="Proyecto con fuente de financiamiento sectorial. Ejecución proyectada para abril 2026"/>
    <x v="0"/>
    <x v="184"/>
    <n v="4"/>
    <n v="1"/>
    <x v="267"/>
    <x v="302"/>
    <x v="4"/>
    <x v="24"/>
    <x v="66"/>
    <x v="69"/>
    <s v="64-2337386-"/>
    <s v="maria.munozp@redsalud.gob.cl"/>
    <x v="14"/>
    <m/>
    <n v="0"/>
    <m/>
    <n v="0"/>
    <n v="0"/>
    <m/>
    <x v="1"/>
  </r>
  <r>
    <s v="SERVICIO DE SALUD OSORNO"/>
    <x v="5"/>
    <x v="220"/>
    <s v="Proyecto estratégico"/>
    <s v="Enviado"/>
    <s v="31.02.004"/>
    <x v="221"/>
    <s v="SE REQUIERE LICITAR PARA EL MES DE ABRIL DE 2026 EL SERVICIO DE CONSTRUCCION DE POSTA DE SALUD RURAL EL PONCHO."/>
    <x v="1"/>
    <x v="185"/>
    <n v="4"/>
    <n v="1"/>
    <x v="268"/>
    <x v="303"/>
    <x v="4"/>
    <x v="25"/>
    <x v="62"/>
    <x v="36"/>
    <s v="64-2337385-"/>
    <s v="gustavo.marin@redsalud.gob.cl"/>
    <x v="14"/>
    <m/>
    <n v="0"/>
    <m/>
    <n v="0"/>
    <n v="0"/>
    <m/>
    <x v="1"/>
  </r>
  <r>
    <s v="SERVICIO DE SALUD OSORNO"/>
    <x v="5"/>
    <x v="221"/>
    <s v="Proyecto operacional"/>
    <s v="Enviado"/>
    <s v="31.02.004"/>
    <x v="222"/>
    <s v="SE REQUIERE CONTRATAR EL SERCIVIO DE CONSTRUCCION DE POSTA DE SALUD RURAL DE HUILMA, UBICADO EN EL CRUCE HUILMA COMUNA DE RIO NEGRO ENTRE LA RUTA U-72 Y LA RUTA U-506. SE CONTEMPLA LA CONSTRUCCION DE UNA INFRAESTRUCTURA DE 225,6 M2 MAS UNA CASA DE PARAMEDICO DE 55 M2 EN UN TERRENO DE 11.000 M2. COMPUESTA DE MATERIALIDAD DE ACERO GALVANIZADO, CUBIERTA DE ZINC ALUM, REVESTIMIENTO EXTERIOR AISLADO, FUNDACIONES DE HORMIGON ARMADO, REVESTIMIENTO INTERIOR DE YESO CARTON . EL SERVICIO DEBERA ESTAR DISPONIBLE PARA ABRIL DEL 2026."/>
    <x v="1"/>
    <x v="185"/>
    <n v="4"/>
    <n v="1"/>
    <x v="269"/>
    <x v="304"/>
    <x v="4"/>
    <x v="25"/>
    <x v="62"/>
    <x v="36"/>
    <s v="64-2337385-"/>
    <s v="gustavo.marin@redsalud.gob.cl"/>
    <x v="14"/>
    <m/>
    <n v="0"/>
    <m/>
    <n v="0"/>
    <n v="0"/>
    <m/>
    <x v="1"/>
  </r>
  <r>
    <s v="SERVICIO DE SALUD OSORNO"/>
    <x v="5"/>
    <x v="222"/>
    <s v="Proyecto estratégico"/>
    <s v="Enviado"/>
    <s v="31.02.004"/>
    <x v="223"/>
    <s v="SE REQUIERE CONTRATAR PARA EL MES DE ABRIL DE 2026, EL SERVICIO DE CONSTRUCCION DE POSTA DE SALUD RURAL DE RUPANCO, COMUNA DE PUERTO OCTAY UBICADO EN EL KM 60,3 LADO DERECHO DE LA RUTA U911,COMUNA DE DE PUERTO OCTAY ( SECTOR ADMINISTRACION HACIENDA RUPANCO) CONTEMPLA UNA CONSTRUCCION DE 295 M2 PARA LA POSTA Y UNA VIVIENDA DE PARAMEDICO DE 55 M2 AMBAS EN ESTRUCTURA DE ACERO GALVANIZADO,RADIER DE HORMIGON ARMADO, REVESTIMIENTO EXTERIOR CON AISLACION, CUBIERTA DE ZIN ALUM Y REVESTIMIENTO INTERIOR DE YESO-CARTON"/>
    <x v="1"/>
    <x v="185"/>
    <n v="4"/>
    <n v="1"/>
    <x v="270"/>
    <x v="305"/>
    <x v="4"/>
    <x v="24"/>
    <x v="62"/>
    <x v="36"/>
    <s v="64-2337385-"/>
    <s v="gustavo.marin@redsalud.gob.cl"/>
    <x v="14"/>
    <m/>
    <n v="0"/>
    <m/>
    <n v="0"/>
    <n v="0"/>
    <m/>
    <x v="1"/>
  </r>
  <r>
    <s v="SERVICIO DE SALUD OSORNO"/>
    <x v="3"/>
    <x v="223"/>
    <s v="Proyecto operacional"/>
    <s v="Enviado"/>
    <s v="31.02.005"/>
    <x v="224"/>
    <s v="Proyecto con fuente de financiamiento F.N.D.R. Ejecución proyectada para abril 2026"/>
    <x v="1"/>
    <x v="159"/>
    <n v="4"/>
    <n v="1"/>
    <x v="271"/>
    <x v="306"/>
    <x v="4"/>
    <x v="24"/>
    <x v="66"/>
    <x v="69"/>
    <s v="64-2337386-"/>
    <s v="maria.munozp@redsalud.gob.cl"/>
    <x v="14"/>
    <m/>
    <n v="0"/>
    <m/>
    <n v="0"/>
    <n v="0"/>
    <m/>
    <x v="1"/>
  </r>
  <r>
    <s v="SERVICIO DE SALUD OSORNO"/>
    <x v="4"/>
    <x v="224"/>
    <s v="Proyecto operacional"/>
    <s v="Enviado"/>
    <s v="31.02.005"/>
    <x v="225"/>
    <s v="Proyecto con fuente de financiamiento sectorial. Ejecución proyectada para abril 2026"/>
    <x v="0"/>
    <x v="159"/>
    <n v="4"/>
    <n v="1"/>
    <x v="272"/>
    <x v="307"/>
    <x v="4"/>
    <x v="24"/>
    <x v="66"/>
    <x v="69"/>
    <s v="64-2337386-"/>
    <s v="maria.munozp@redsalud.gob.cl"/>
    <x v="14"/>
    <m/>
    <n v="0"/>
    <m/>
    <n v="0"/>
    <n v="0"/>
    <m/>
    <x v="1"/>
  </r>
  <r>
    <s v="SERVICIO DE SALUD OSORNO"/>
    <x v="4"/>
    <x v="224"/>
    <s v="Proyecto operacional"/>
    <s v="Enviado"/>
    <s v="31.02.005"/>
    <x v="225"/>
    <s v="Proyecto con fuente de financiamiento sectorial. Ejecución proyectada para abril 2026"/>
    <x v="0"/>
    <x v="184"/>
    <n v="4"/>
    <n v="1"/>
    <x v="273"/>
    <x v="308"/>
    <x v="4"/>
    <x v="24"/>
    <x v="66"/>
    <x v="69"/>
    <s v="64-2337386-"/>
    <s v="maria.munozp@redsalud.gob.cl"/>
    <x v="14"/>
    <m/>
    <n v="0"/>
    <m/>
    <n v="0"/>
    <n v="0"/>
    <m/>
    <x v="1"/>
  </r>
  <r>
    <s v="SERVICIO DE SALUD OSORNO"/>
    <x v="4"/>
    <x v="225"/>
    <s v="Proyecto estratégico"/>
    <s v="Enviado"/>
    <s v="31.02.005"/>
    <x v="226"/>
    <s v="Proyecto con fuente de financiamiento sectorial. Ejecución proyectada para abril 2026"/>
    <x v="0"/>
    <x v="159"/>
    <n v="4"/>
    <n v="1"/>
    <x v="274"/>
    <x v="309"/>
    <x v="4"/>
    <x v="24"/>
    <x v="66"/>
    <x v="69"/>
    <s v="64-2337386-"/>
    <s v="maria.munozp@redsalud.gob.cl"/>
    <x v="14"/>
    <m/>
    <n v="0"/>
    <m/>
    <n v="0"/>
    <n v="0"/>
    <m/>
    <x v="1"/>
  </r>
  <r>
    <s v="SERVICIO DE SALUD OSORNO"/>
    <x v="4"/>
    <x v="225"/>
    <s v="Proyecto estratégico"/>
    <s v="Enviado"/>
    <s v="31.02.005"/>
    <x v="226"/>
    <s v="Proyecto con fuente de financiamiento sectorial. Ejecución proyectada para abril 2026"/>
    <x v="0"/>
    <x v="184"/>
    <n v="4"/>
    <n v="1"/>
    <x v="275"/>
    <x v="310"/>
    <x v="4"/>
    <x v="24"/>
    <x v="66"/>
    <x v="69"/>
    <s v="64-2337386-"/>
    <s v="maria.munozp@redsalud.gob.cl"/>
    <x v="14"/>
    <m/>
    <n v="0"/>
    <m/>
    <n v="0"/>
    <n v="0"/>
    <m/>
    <x v="1"/>
  </r>
  <r>
    <s v="SERVICIO DE SALUD OSORNO"/>
    <x v="5"/>
    <x v="226"/>
    <s v="Proyecto estratégico"/>
    <s v="Enviado"/>
    <s v="31.02.002"/>
    <x v="227"/>
    <s v="SE REQUIERE LA CONTRATACION DE 01 VISITA DE ESPECIALIDAD DE ARQUITECTURA PARA LA OBRA REPOSICIÓN CESFAM CON SAR RAHUE ALTO OSORNO PARA EL MES DE JUNIO DE 2026. EL COSTO DE LA VISITA ES DE 16 UF IVA INCLUIDO. NOTA EL VALOR DE LA UF SERA CALCULADO DEL DIA DE LA VISITA. INSPECCION DE PROYECTISTA DE ESPECIALIDAD DE ARQUITECTURA PARA INFORME FAVORABLE DE RECEPCION DE OBRA."/>
    <x v="1"/>
    <x v="97"/>
    <n v="4"/>
    <n v="1"/>
    <x v="276"/>
    <x v="122"/>
    <x v="4"/>
    <x v="25"/>
    <x v="70"/>
    <x v="73"/>
    <s v="64-2337385-"/>
    <s v="fernando.wulf@redsalud.gob.cl"/>
    <x v="15"/>
    <m/>
    <n v="0"/>
    <m/>
    <n v="0"/>
    <n v="0"/>
    <m/>
    <x v="1"/>
  </r>
  <r>
    <s v="SERVICIO DE SALUD OSORNO"/>
    <x v="4"/>
    <x v="227"/>
    <s v="Proyecto operacional"/>
    <s v="Enviado"/>
    <s v="29.05.002"/>
    <x v="228"/>
    <s v="Proyecto con fuente de financiamiento sectorial. Ejecución proyectada para abril 2026"/>
    <x v="0"/>
    <x v="159"/>
    <n v="4"/>
    <n v="1"/>
    <x v="62"/>
    <x v="109"/>
    <x v="4"/>
    <x v="24"/>
    <x v="66"/>
    <x v="69"/>
    <s v="64-2337386-"/>
    <s v="maria.munozp@redsalud.gob.cl"/>
    <x v="14"/>
    <m/>
    <n v="0"/>
    <m/>
    <n v="0"/>
    <n v="0"/>
    <m/>
    <x v="1"/>
  </r>
  <r>
    <s v="SERVICIO DE SALUD OSORNO"/>
    <x v="4"/>
    <x v="227"/>
    <s v="Proyecto operacional"/>
    <s v="Enviado"/>
    <s v="29.05.002"/>
    <x v="228"/>
    <s v="Proyecto con fuente de financiamiento sectorial. Ejecución proyectada para abril 2026"/>
    <x v="0"/>
    <x v="184"/>
    <n v="4"/>
    <n v="1"/>
    <x v="251"/>
    <x v="285"/>
    <x v="4"/>
    <x v="24"/>
    <x v="66"/>
    <x v="69"/>
    <s v="64-2337386-"/>
    <s v="maria.munozp@redsalud.gob.cl"/>
    <x v="14"/>
    <m/>
    <n v="0"/>
    <m/>
    <n v="0"/>
    <n v="0"/>
    <m/>
    <x v="1"/>
  </r>
  <r>
    <s v="SERVICIO DE SALUD OSORNO"/>
    <x v="0"/>
    <x v="228"/>
    <s v="Proyecto operacional"/>
    <s v="Enviado"/>
    <s v="22.02"/>
    <x v="229"/>
    <s v="elementos de protección personal y vestuario institucional para actividades en terreno de nuevo funcionario de Sub Depto. Fecha ejecucion: febrero"/>
    <x v="1"/>
    <x v="147"/>
    <n v="4"/>
    <n v="6"/>
    <x v="277"/>
    <x v="311"/>
    <x v="4"/>
    <x v="38"/>
    <x v="2"/>
    <x v="3"/>
    <s v="64-2337728-"/>
    <s v="CATALINA.VERAC@REDSALUD.GOB.CL"/>
    <x v="19"/>
    <m/>
    <n v="0"/>
    <m/>
    <n v="0"/>
    <n v="0"/>
    <m/>
    <x v="1"/>
  </r>
  <r>
    <s v="SERVICIO DE SALUD OSORNO"/>
    <x v="4"/>
    <x v="229"/>
    <s v="Proyecto operacional"/>
    <s v="Enviado"/>
    <s v="29.05.002"/>
    <x v="230"/>
    <s v="Fuente de financiamiento con recursos propios del Servicio de Salud Osorno. Ejecución proyectada para mayo 2026"/>
    <x v="0"/>
    <x v="159"/>
    <n v="4"/>
    <n v="1"/>
    <x v="221"/>
    <x v="252"/>
    <x v="4"/>
    <x v="31"/>
    <x v="66"/>
    <x v="69"/>
    <s v="64-2337386-"/>
    <s v="maria.munozp@redsalud.gob.cl"/>
    <x v="20"/>
    <m/>
    <n v="0"/>
    <m/>
    <n v="0"/>
    <n v="0"/>
    <m/>
    <x v="1"/>
  </r>
  <r>
    <s v="SERVICIO DE SALUD OSORNO"/>
    <x v="4"/>
    <x v="229"/>
    <s v="Proyecto operacional"/>
    <s v="Enviado"/>
    <s v="29.05.002"/>
    <x v="230"/>
    <s v="Fuente de financiamiento con recursos propios del Servicio de Salud Osorno. Ejecución proyectada para mayo 2026"/>
    <x v="0"/>
    <x v="184"/>
    <n v="4"/>
    <n v="1"/>
    <x v="252"/>
    <x v="286"/>
    <x v="4"/>
    <x v="31"/>
    <x v="66"/>
    <x v="69"/>
    <s v="64-2337386-"/>
    <s v="maria.munozp@redsalud.gob.cl"/>
    <x v="20"/>
    <m/>
    <n v="0"/>
    <m/>
    <n v="0"/>
    <n v="0"/>
    <m/>
    <x v="1"/>
  </r>
  <r>
    <s v="SERVICIO DE SALUD OSORNO"/>
    <x v="3"/>
    <x v="230"/>
    <s v="Proyecto estratégico"/>
    <s v="Enviado"/>
    <s v="31.02.005"/>
    <x v="231"/>
    <s v="Proyecto con fuente de financiamiento F.N.D.R. Ejecución proyectada para mayo 2026"/>
    <x v="0"/>
    <x v="159"/>
    <n v="4"/>
    <n v="1"/>
    <x v="278"/>
    <x v="312"/>
    <x v="4"/>
    <x v="31"/>
    <x v="66"/>
    <x v="69"/>
    <s v="64-2337386-"/>
    <s v="maria.munozp@redsalud.gob.cl"/>
    <x v="20"/>
    <m/>
    <n v="0"/>
    <m/>
    <n v="0"/>
    <n v="0"/>
    <m/>
    <x v="1"/>
  </r>
  <r>
    <s v="SERVICIO DE SALUD OSORNO"/>
    <x v="3"/>
    <x v="230"/>
    <s v="Proyecto estratégico"/>
    <s v="Enviado"/>
    <s v="31.02.005"/>
    <x v="231"/>
    <s v="Proyecto con fuente de financiamiento F.N.D.R. Ejecución proyectada para mayo 2026"/>
    <x v="0"/>
    <x v="184"/>
    <n v="4"/>
    <n v="1"/>
    <x v="279"/>
    <x v="313"/>
    <x v="4"/>
    <x v="31"/>
    <x v="66"/>
    <x v="69"/>
    <s v="64-2337386-"/>
    <s v="maria.munozp@redsalud.gob.cl"/>
    <x v="20"/>
    <m/>
    <n v="0"/>
    <m/>
    <n v="0"/>
    <n v="0"/>
    <m/>
    <x v="1"/>
  </r>
  <r>
    <s v="SERVICIO DE SALUD OSORNO"/>
    <x v="0"/>
    <x v="231"/>
    <s v="Proyecto operacional"/>
    <s v="Enviado"/>
    <s v="22.01.001"/>
    <x v="232"/>
    <s v="Se requiere productos para la elaboracion de un Coffe para jornada de conmemoración del día internacional de la eliminación de la violencia contra la mujer."/>
    <x v="5"/>
    <x v="31"/>
    <n v="4"/>
    <n v="74"/>
    <x v="280"/>
    <x v="314"/>
    <x v="4"/>
    <x v="28"/>
    <x v="54"/>
    <x v="59"/>
    <s v="64-2336339-"/>
    <s v="kassandra.fernandez@redsalud.gob.cl"/>
    <x v="18"/>
    <m/>
    <n v="0"/>
    <m/>
    <n v="0"/>
    <n v="0"/>
    <m/>
    <x v="1"/>
  </r>
  <r>
    <s v="SERVICIO DE SALUD OSORNO"/>
    <x v="0"/>
    <x v="231"/>
    <s v="Proyecto operacional"/>
    <s v="Enviado"/>
    <s v="22.01.001"/>
    <x v="232"/>
    <s v="Se requiere productos para la elaboracion de un Coffe para jornada de conmemoración del día internacional de la eliminación de la violencia contra la mujer."/>
    <x v="5"/>
    <x v="113"/>
    <n v="4"/>
    <n v="100"/>
    <x v="210"/>
    <x v="315"/>
    <x v="4"/>
    <x v="28"/>
    <x v="54"/>
    <x v="59"/>
    <s v="64-2336339-"/>
    <s v="kassandra.fernandez@redsalud.gob.cl"/>
    <x v="18"/>
    <m/>
    <n v="0"/>
    <m/>
    <n v="0"/>
    <n v="0"/>
    <m/>
    <x v="1"/>
  </r>
  <r>
    <s v="SERVICIO DE SALUD OSORNO"/>
    <x v="0"/>
    <x v="231"/>
    <s v="Proyecto operacional"/>
    <s v="Enviado"/>
    <s v="22.01.001"/>
    <x v="232"/>
    <s v="Se requiere productos para la elaboracion de un Coffe para jornada de conmemoración del día internacional de la eliminación de la violencia contra la mujer."/>
    <x v="5"/>
    <x v="186"/>
    <n v="4"/>
    <n v="2"/>
    <x v="139"/>
    <x v="316"/>
    <x v="4"/>
    <x v="28"/>
    <x v="54"/>
    <x v="59"/>
    <s v="64-2336339-"/>
    <s v="kassandra.fernandez@redsalud.gob.cl"/>
    <x v="18"/>
    <m/>
    <n v="0"/>
    <m/>
    <n v="0"/>
    <n v="0"/>
    <m/>
    <x v="1"/>
  </r>
  <r>
    <s v="SERVICIO DE SALUD OSORNO"/>
    <x v="0"/>
    <x v="232"/>
    <s v="Proyecto operacional"/>
    <s v="Enviado"/>
    <s v="22.04.002"/>
    <x v="233"/>
    <s v="Compra para realizar rehabilitación Terapia Ocupacional (confección de Ortesis) bajo la estrategia de rehabilitación del equipo Rural de la Dirección de Servicio. La población beneficiaria serán aquellos usuarios(as) de todo el ciclo vital y de localidades rurales de la Provincia. se espera lograr una mejora o mantención de sus participación de la comunidad a través del desarrollo de la rehabilitación, logrando la participación en la comunidad"/>
    <x v="1"/>
    <x v="187"/>
    <n v="4"/>
    <n v="1"/>
    <x v="239"/>
    <x v="317"/>
    <x v="4"/>
    <x v="32"/>
    <x v="37"/>
    <x v="42"/>
    <s v="64-2335807-"/>
    <s v="karin.avila@redsalud.gob.cl"/>
    <x v="21"/>
    <m/>
    <n v="0"/>
    <m/>
    <n v="0"/>
    <n v="0"/>
    <m/>
    <x v="1"/>
  </r>
  <r>
    <s v="SERVICIO DE SALUD OSORNO"/>
    <x v="0"/>
    <x v="233"/>
    <s v="Proyecto operacional"/>
    <s v="Enviado"/>
    <s v="22.06.006"/>
    <x v="234"/>
    <s v="CONTRATAR LOS TRABAJOS DE MANTENCIMIENTO DEL SISTEMA DE ALMACENAMIENTO E IMPULSIÓN DE AGUA POTABLE DE LA BASE SAMU OSORNO. EJECUCCIÓN PARA EL MES DE JUNIO"/>
    <x v="1"/>
    <x v="118"/>
    <n v="4"/>
    <n v="1"/>
    <x v="58"/>
    <x v="96"/>
    <x v="4"/>
    <x v="25"/>
    <x v="71"/>
    <x v="36"/>
    <s v="64-2335596-"/>
    <s v="GARIBE.GALLARDO@REDSALUD.GOB.CL"/>
    <x v="15"/>
    <m/>
    <n v="0"/>
    <m/>
    <n v="0"/>
    <n v="0"/>
    <m/>
    <x v="1"/>
  </r>
  <r>
    <s v="SERVICIO DE SALUD OSORNO"/>
    <x v="0"/>
    <x v="234"/>
    <s v="Proyecto operacional"/>
    <s v="Enviado"/>
    <s v="22.06.001"/>
    <x v="235"/>
    <s v="REALIZAR MANTENCIONES EMERGENTES EN CUALQUIERA DE LOS ESTABLECIMIENTOS DEPENDIENTES DEL SERVICIO DE SALUD OSORNO. EJECUCCIÓN DICIEMBRE."/>
    <x v="1"/>
    <x v="68"/>
    <n v="4"/>
    <n v="1"/>
    <x v="221"/>
    <x v="252"/>
    <x v="4"/>
    <x v="29"/>
    <x v="71"/>
    <x v="36"/>
    <s v="64-2335596-"/>
    <s v="GARIBE.GALLARDO@REDSALUD.GOB.CL"/>
    <x v="23"/>
    <m/>
    <n v="0"/>
    <m/>
    <n v="0"/>
    <n v="0"/>
    <m/>
    <x v="1"/>
  </r>
  <r>
    <s v="SERVICIO DE SALUD OSORNO"/>
    <x v="0"/>
    <x v="235"/>
    <s v="Proyecto operacional"/>
    <s v="Enviado"/>
    <s v="22.06.001"/>
    <x v="236"/>
    <s v="MANTENIMIENTO Y/O REPARACIONES DE LA INFRAESTRUCTURA COMO MUROS, TABIQUES, TECHUMBRES, CIELOS INTERIORES, PISOS, CARPINTERIA, PUERTAS, VENTANAS, PINTURA, CIERRES, CERCOS, CERRAJERIA, ARTEFACTOS ELECTRICOS (INTERRUPTORES, ENCHUFES, EQUIPOS DE ILUMINACIÓN, ACCIONAMIENTOS Y CENTROS DE DERIVACIÓN, ETC), ARTEFACTOS SANITARIOS, REDES, EQUIPOS A GAS Y MOBILIARIO EN GENERAL, DESDE ENERO A DICIEMBRE 2027. MES DE EJECUCIÓN DEL CONVENIO DICIEMBRE 2026"/>
    <x v="1"/>
    <x v="118"/>
    <n v="4"/>
    <n v="1"/>
    <x v="36"/>
    <x v="221"/>
    <x v="11"/>
    <x v="43"/>
    <x v="71"/>
    <x v="36"/>
    <s v="64-2335596-"/>
    <s v="GARIBE.GALLARDO@REDSALUD.GOB.CL"/>
    <x v="23"/>
    <m/>
    <n v="0"/>
    <m/>
    <n v="0"/>
    <n v="0"/>
    <m/>
    <x v="1"/>
  </r>
  <r>
    <s v="SERVICIO DE SALUD OSORNO"/>
    <x v="0"/>
    <x v="236"/>
    <s v="Proyecto operacional"/>
    <s v="Enviado"/>
    <s v="22.06.001"/>
    <x v="237"/>
    <s v="Realizar la mantención de cubierta de los Edificios y dispositivos dependientes del Servicio de Salud Osorno, para mantener su infraestructura en buenas condiciones y evitar filtraciones al interior de los dispositivos . EJECUCCIÓN NOVIEMBRE 2026."/>
    <x v="1"/>
    <x v="188"/>
    <n v="4"/>
    <n v="1"/>
    <x v="65"/>
    <x v="97"/>
    <x v="4"/>
    <x v="28"/>
    <x v="71"/>
    <x v="36"/>
    <s v="64-2335596-"/>
    <s v="GARIBE.GALLARDO@REDSALUD.GOB.CL"/>
    <x v="18"/>
    <m/>
    <n v="0"/>
    <m/>
    <n v="0"/>
    <n v="0"/>
    <m/>
    <x v="1"/>
  </r>
  <r>
    <s v="SERVICIO DE SALUD OSORNO"/>
    <x v="0"/>
    <x v="237"/>
    <s v="Proyecto operacional"/>
    <s v="Enviado"/>
    <s v="22.06.001"/>
    <x v="238"/>
    <s v="Mejoramiento de Oficina 2do piso correspondiente a trabajos eléctricos y datos, en Edificio Institucional de Manuel Rodríguez. NOVIEMBRE 2026."/>
    <x v="1"/>
    <x v="68"/>
    <n v="4"/>
    <n v="1"/>
    <x v="255"/>
    <x v="290"/>
    <x v="4"/>
    <x v="28"/>
    <x v="71"/>
    <x v="36"/>
    <s v="64-2335596-"/>
    <s v="GARIBE.GALLARDO@REDSALUD.GOB.CL"/>
    <x v="18"/>
    <m/>
    <n v="0"/>
    <m/>
    <n v="0"/>
    <n v="0"/>
    <m/>
    <x v="1"/>
  </r>
  <r>
    <s v="SERVICIO DE SALUD OSORNO"/>
    <x v="0"/>
    <x v="238"/>
    <s v="Proyecto operacional"/>
    <s v="Enviado"/>
    <s v="22.06.001"/>
    <x v="239"/>
    <s v="Mantenimiento preventivo a protecciones termomagnéticas, dispositivos de fuerza y control, en conjunto con diversos sistemas y componentes que conforman los tableros de distribución de energía eléctrica en el Hospital Intercultural Futa Sruka Lawenche Kunko Mapu Mo. Igualmente en los Hospitales de Purranque y Puerto Octay. Establecimiento COSAM Oriente y dispositivos de la red. Ejecución mes octubre 2026."/>
    <x v="1"/>
    <x v="68"/>
    <n v="4"/>
    <n v="112"/>
    <x v="281"/>
    <x v="318"/>
    <x v="4"/>
    <x v="27"/>
    <x v="72"/>
    <x v="74"/>
    <s v="64-2335653-"/>
    <s v="diego.saldivia@redsalud.gob.cl"/>
    <x v="17"/>
    <m/>
    <n v="0"/>
    <m/>
    <n v="0"/>
    <n v="0"/>
    <m/>
    <x v="1"/>
  </r>
  <r>
    <s v="SERVICIO DE SALUD OSORNO"/>
    <x v="0"/>
    <x v="239"/>
    <s v="Proyecto operacional"/>
    <s v="Enviado"/>
    <s v="22.04-22.02"/>
    <x v="240"/>
    <s v="Adquirir materiales para la caracterización de victimas de los simulacros con tecnica moulage, aumentando el realismo de las lesiones. mes de ejecucion de la compra: agosto."/>
    <x v="5"/>
    <x v="179"/>
    <n v="4"/>
    <n v="30"/>
    <x v="154"/>
    <x v="266"/>
    <x v="4"/>
    <x v="36"/>
    <x v="2"/>
    <x v="3"/>
    <s v="64-2337728-"/>
    <s v="CATALINA.VERAC@REDSALUD.GOB.CL"/>
    <x v="24"/>
    <m/>
    <n v="0"/>
    <m/>
    <n v="0"/>
    <n v="0"/>
    <m/>
    <x v="1"/>
  </r>
  <r>
    <s v="SERVICIO DE SALUD OSORNO"/>
    <x v="0"/>
    <x v="239"/>
    <s v="Proyecto operacional"/>
    <s v="Enviado"/>
    <s v="22.04-22.02"/>
    <x v="240"/>
    <s v="Adquirir materiales para la caracterización de victimas de los simulacros con tecnica moulage, aumentando el realismo de las lesiones. mes de ejecucion de la compra: agosto."/>
    <x v="5"/>
    <x v="189"/>
    <n v="4"/>
    <n v="10"/>
    <x v="197"/>
    <x v="231"/>
    <x v="4"/>
    <x v="36"/>
    <x v="2"/>
    <x v="3"/>
    <s v="64-2337728-"/>
    <s v="CATALINA.VERAC@REDSALUD.GOB.CL"/>
    <x v="24"/>
    <m/>
    <n v="0"/>
    <m/>
    <n v="0"/>
    <n v="0"/>
    <m/>
    <x v="1"/>
  </r>
  <r>
    <s v="SERVICIO DE SALUD OSORNO"/>
    <x v="0"/>
    <x v="239"/>
    <s v="Proyecto operacional"/>
    <s v="Enviado"/>
    <s v="22.04-22.02"/>
    <x v="240"/>
    <s v="Adquirir materiales para la caracterización de victimas de los simulacros con tecnica moulage, aumentando el realismo de las lesiones. mes de ejecucion de la compra: agosto."/>
    <x v="5"/>
    <x v="190"/>
    <n v="4"/>
    <n v="1"/>
    <x v="282"/>
    <x v="319"/>
    <x v="4"/>
    <x v="36"/>
    <x v="2"/>
    <x v="3"/>
    <s v="64-2337728-"/>
    <s v="CATALINA.VERAC@REDSALUD.GOB.CL"/>
    <x v="24"/>
    <m/>
    <n v="0"/>
    <m/>
    <n v="0"/>
    <n v="0"/>
    <m/>
    <x v="1"/>
  </r>
  <r>
    <s v="SERVICIO DE SALUD OSORNO"/>
    <x v="0"/>
    <x v="240"/>
    <s v="Proyecto operacional"/>
    <s v="Enviado"/>
    <s v="22.04.002"/>
    <x v="241"/>
    <s v="La compra se realizará en el mes de Febrero 2026 por una única vez. La vigencia será solamente por Febrero 2026."/>
    <x v="1"/>
    <x v="94"/>
    <n v="4"/>
    <n v="6"/>
    <x v="283"/>
    <x v="320"/>
    <x v="4"/>
    <x v="38"/>
    <x v="73"/>
    <x v="75"/>
    <s v="64-2335806-"/>
    <s v="francisca.contreras.c@redsalud.gob.cl"/>
    <x v="19"/>
    <m/>
    <n v="0"/>
    <m/>
    <n v="0"/>
    <n v="0"/>
    <m/>
    <x v="1"/>
  </r>
  <r>
    <s v="SERVICIO DE SALUD OSORNO"/>
    <x v="0"/>
    <x v="241"/>
    <s v="Proyecto operacional"/>
    <s v="Enviado"/>
    <s v="22.02"/>
    <x v="242"/>
    <s v="Elementos de proteccion personal para funcionarios del del subdepto. prevencion de riesgos del SSO."/>
    <x v="0"/>
    <x v="147"/>
    <n v="4"/>
    <n v="16"/>
    <x v="284"/>
    <x v="321"/>
    <x v="4"/>
    <x v="32"/>
    <x v="55"/>
    <x v="61"/>
    <s v="64-2336130-"/>
    <s v="venecia.recabarren@redsalud.gob.cl"/>
    <x v="21"/>
    <m/>
    <n v="0"/>
    <m/>
    <n v="0"/>
    <n v="0"/>
    <m/>
    <x v="1"/>
  </r>
  <r>
    <s v="SERVICIO DE SALUD OSORNO"/>
    <x v="0"/>
    <x v="241"/>
    <s v="Proyecto operacional"/>
    <s v="Enviado"/>
    <s v="22.02"/>
    <x v="242"/>
    <s v="Elementos de proteccion personal para funcionarios del del subdepto. prevencion de riesgos del SSO."/>
    <x v="0"/>
    <x v="191"/>
    <n v="4"/>
    <n v="2"/>
    <x v="239"/>
    <x v="269"/>
    <x v="4"/>
    <x v="35"/>
    <x v="55"/>
    <x v="61"/>
    <s v="64-2336130-"/>
    <s v="venecia.recabarren@redsalud.gob.cl"/>
    <x v="13"/>
    <m/>
    <n v="0"/>
    <m/>
    <n v="0"/>
    <n v="0"/>
    <m/>
    <x v="1"/>
  </r>
  <r>
    <s v="SERVICIO DE SALUD OSORNO"/>
    <x v="0"/>
    <x v="242"/>
    <s v="Proyecto operacional"/>
    <s v="Enviado"/>
    <s v="22.01.001"/>
    <x v="243"/>
    <s v="Ejecución en el mes de Abril 2026. Compra una única vez."/>
    <x v="1"/>
    <x v="63"/>
    <n v="4"/>
    <n v="2"/>
    <x v="285"/>
    <x v="322"/>
    <x v="4"/>
    <x v="24"/>
    <x v="73"/>
    <x v="75"/>
    <s v="64-2335806-"/>
    <s v="francisca.contreras.c@redsalud.gob.cl"/>
    <x v="14"/>
    <m/>
    <n v="0"/>
    <m/>
    <n v="0"/>
    <n v="0"/>
    <m/>
    <x v="1"/>
  </r>
  <r>
    <s v="SERVICIO DE SALUD OSORNO"/>
    <x v="0"/>
    <x v="243"/>
    <s v="Proyecto operacional"/>
    <s v="Enviado"/>
    <s v="22.04.012"/>
    <x v="244"/>
    <s v="Se requiere la adquisición de herramientas básicas y elementos de mantención (como taladro, destornilladores, martillos ,alicates ,set de llaves, entre otros) destinados a l mantenimiento de centro Kümelen , estas herramientas permitan realizar reparaciones menores, ajustes y mejoras en infraestructura y mobiliario, asegurando condiciones adecuadas para la atención y desarrollo de actividades comunitarias. la compra se ejecuta en febrero 2026."/>
    <x v="1"/>
    <x v="192"/>
    <n v="4"/>
    <n v="9"/>
    <x v="286"/>
    <x v="323"/>
    <x v="4"/>
    <x v="38"/>
    <x v="63"/>
    <x v="19"/>
    <s v="64-2337366-"/>
    <s v="luis.floresme@redsalud.gob.cl"/>
    <x v="19"/>
    <m/>
    <n v="0"/>
    <m/>
    <n v="0"/>
    <n v="0"/>
    <m/>
    <x v="1"/>
  </r>
  <r>
    <s v="SERVICIO DE SALUD OSORNO"/>
    <x v="0"/>
    <x v="244"/>
    <s v="Proyecto operacional"/>
    <s v="Enviado"/>
    <s v="22.04.999"/>
    <x v="245"/>
    <s v="Elementos y dispositivos ergonómicos para funcionarios de la DSSO."/>
    <x v="1"/>
    <x v="193"/>
    <n v="4"/>
    <n v="189"/>
    <x v="287"/>
    <x v="324"/>
    <x v="4"/>
    <x v="35"/>
    <x v="55"/>
    <x v="61"/>
    <s v="64-2336130-"/>
    <s v="venecia.recabarren@redsalud.gob.cl"/>
    <x v="13"/>
    <m/>
    <n v="0"/>
    <m/>
    <n v="0"/>
    <n v="0"/>
    <m/>
    <x v="1"/>
  </r>
  <r>
    <s v="SERVICIO DE SALUD OSORNO"/>
    <x v="4"/>
    <x v="245"/>
    <s v="Proyecto operacional"/>
    <s v="Actualizado"/>
    <s v="29.04"/>
    <x v="246"/>
    <s v="Elementos y dispositivos ergonómicos para funcionarios de la DSSO."/>
    <x v="1"/>
    <x v="183"/>
    <n v="4"/>
    <n v="10"/>
    <x v="147"/>
    <x v="95"/>
    <x v="4"/>
    <x v="35"/>
    <x v="55"/>
    <x v="61"/>
    <s v="64-2336130-"/>
    <s v="venecia.recabarren@redsalud.gob.cl"/>
    <x v="13"/>
    <m/>
    <n v="0"/>
    <m/>
    <n v="0"/>
    <n v="0"/>
    <m/>
    <x v="1"/>
  </r>
  <r>
    <s v="SERVICIO DE SALUD OSORNO"/>
    <x v="0"/>
    <x v="246"/>
    <s v="Proyecto operacional"/>
    <s v="Enviado"/>
    <s v="22.04.001"/>
    <x v="247"/>
    <s v="EL MES DE EJECUCION DE LA COMPRA DE TEST PSICOLOGICOS SE REALIZARA EN FEBRERO DE 2026."/>
    <x v="1"/>
    <x v="85"/>
    <n v="4"/>
    <n v="47"/>
    <x v="288"/>
    <x v="325"/>
    <x v="4"/>
    <x v="38"/>
    <x v="74"/>
    <x v="76"/>
    <s v="64-2335640-"/>
    <s v="guisella.franco@redsalud.gob.cl"/>
    <x v="19"/>
    <m/>
    <n v="0"/>
    <m/>
    <n v="0"/>
    <n v="0"/>
    <m/>
    <x v="1"/>
  </r>
  <r>
    <s v="SERVICIO DE SALUD OSORNO"/>
    <x v="0"/>
    <x v="247"/>
    <s v="Proyecto operacional"/>
    <s v="Enviado"/>
    <s v="22.04.012"/>
    <x v="248"/>
    <s v="ADQUISICION INSUMOS MANTENCION RED DE RADIOCOMUNICACIONES EN EMERGERNCIAS SERVICIO DE SALUD OSORNO (COMPRA ENERO A MARZO DE 2026)"/>
    <x v="1"/>
    <x v="194"/>
    <n v="4"/>
    <n v="63"/>
    <x v="289"/>
    <x v="326"/>
    <x v="4"/>
    <x v="35"/>
    <x v="75"/>
    <x v="13"/>
    <s v="64-2335606-"/>
    <s v="ESTEBAN.ALARCONB@REDSALUD.GOB.CL"/>
    <x v="13"/>
    <m/>
    <n v="0"/>
    <m/>
    <n v="0"/>
    <n v="0"/>
    <m/>
    <x v="1"/>
  </r>
  <r>
    <s v="SERVICIO DE SALUD OSORNO"/>
    <x v="0"/>
    <x v="248"/>
    <s v="Proyecto operacional"/>
    <s v="Actualizado"/>
    <s v="22.01.001.003"/>
    <x v="249"/>
    <s v="Ejecución en Abril 2026. Compra única."/>
    <x v="1"/>
    <x v="63"/>
    <n v="4"/>
    <n v="1"/>
    <x v="290"/>
    <x v="208"/>
    <x v="4"/>
    <x v="31"/>
    <x v="73"/>
    <x v="75"/>
    <s v="64-2335806-"/>
    <s v="francisca.contreras.c@redsalud.gob.cl"/>
    <x v="14"/>
    <m/>
    <n v="0"/>
    <m/>
    <n v="0"/>
    <n v="0"/>
    <m/>
    <x v="1"/>
  </r>
  <r>
    <s v="SERVICIO DE SALUD OSORNO"/>
    <x v="0"/>
    <x v="249"/>
    <s v="Proyecto operacional"/>
    <s v="Enviado"/>
    <s v="22.04.012"/>
    <x v="250"/>
    <s v="ADQUISICION DE INSUMOS RADIALES PARA REPOSICION Y MANTENIMIENTO PORTATILES VHF DE DIRECCION DEL SERVICIO DE SALUD OSORNO (COMPRA ENERO A MARZO 2026)"/>
    <x v="1"/>
    <x v="192"/>
    <n v="4"/>
    <n v="26"/>
    <x v="291"/>
    <x v="327"/>
    <x v="4"/>
    <x v="35"/>
    <x v="75"/>
    <x v="13"/>
    <s v="64-2335606-"/>
    <s v="ESTEBAN.ALARCONB@REDSALUD.GOB.CL"/>
    <x v="13"/>
    <m/>
    <n v="0"/>
    <m/>
    <n v="0"/>
    <n v="0"/>
    <m/>
    <x v="1"/>
  </r>
  <r>
    <s v="SERVICIO DE SALUD OSORNO"/>
    <x v="4"/>
    <x v="250"/>
    <s v="Proyecto operacional"/>
    <s v="Enviado"/>
    <s v="29.05.001"/>
    <x v="251"/>
    <s v="Se requiere adquisición de un micrófono de escritorio con reducción de ruido y una cámara web de alta definición, ambos con conexión USB, destinados a mejorar la calidad de sonido e imagen durante videoconferencias, reuniones técnicas y consejerías familiares virtuales realizadas por el equipo clínico-comunitario. La compra se ejecutará en el mes de Febrero del 2026, asegurando la continuidad y calidad de la atención remota y la participación en actividades interinstitucionales."/>
    <x v="1"/>
    <x v="195"/>
    <n v="4"/>
    <n v="1"/>
    <x v="83"/>
    <x v="164"/>
    <x v="4"/>
    <x v="38"/>
    <x v="63"/>
    <x v="19"/>
    <s v="64-2337366-"/>
    <s v="luis.floresme@redsalud.gob.cl"/>
    <x v="19"/>
    <m/>
    <n v="0"/>
    <m/>
    <n v="0"/>
    <n v="0"/>
    <m/>
    <x v="1"/>
  </r>
  <r>
    <s v="SERVICIO DE SALUD OSORNO"/>
    <x v="0"/>
    <x v="251"/>
    <s v="Proyecto operacional"/>
    <s v="Enviado"/>
    <s v="22.01.001"/>
    <x v="252"/>
    <s v="Se requiere de insumos alimenticios para apoyo en jornada PM de Curso de Monitores realizado desde Abril a Diciembre 2026 (mes de ejecución Abril 2026)."/>
    <x v="1"/>
    <x v="31"/>
    <n v="4"/>
    <n v="220"/>
    <x v="292"/>
    <x v="328"/>
    <x v="4"/>
    <x v="24"/>
    <x v="63"/>
    <x v="19"/>
    <s v="64-2337366-"/>
    <s v="luis.floresme@redsalud.gob.cl"/>
    <x v="14"/>
    <m/>
    <n v="0"/>
    <m/>
    <n v="0"/>
    <n v="0"/>
    <m/>
    <x v="1"/>
  </r>
  <r>
    <s v="SERVICIO DE SALUD OSORNO"/>
    <x v="0"/>
    <x v="252"/>
    <s v="Proyecto operacional"/>
    <s v="Enviado"/>
    <s v="22.04.990"/>
    <x v="253"/>
    <s v="Compra de Equipo de Terapia para rehabilitación fonoaudiologica a través de estrategia Equipo Rural de Rehabilitación. Equipo de Rehabilitación Fonoaudiologica Kit esta compuesto por: Batería Flex Cervical Estándar (Flex estándar, 50 etiquetas protectoras, 50 alcohol pads y bolso protector) Balón Terapéutico Tubo Terapéutico Bandas de goma marcadora; Estimulador Térmico Oral"/>
    <x v="1"/>
    <x v="187"/>
    <n v="4"/>
    <n v="1"/>
    <x v="147"/>
    <x v="233"/>
    <x v="4"/>
    <x v="32"/>
    <x v="37"/>
    <x v="42"/>
    <s v="23-35807-"/>
    <s v="karin.avila@redsalud.gob.cl"/>
    <x v="21"/>
    <m/>
    <n v="0"/>
    <m/>
    <n v="0"/>
    <n v="0"/>
    <m/>
    <x v="1"/>
  </r>
  <r>
    <s v="SERVICIO DE SALUD OSORNO"/>
    <x v="0"/>
    <x v="253"/>
    <s v="Proyecto operacional"/>
    <s v="Enviado"/>
    <s v="22.04.001"/>
    <x v="254"/>
    <s v="Cintas de seguridad para demarcación e instalación de señaletica en zonas de peligro en lugares de trabajo."/>
    <x v="1"/>
    <x v="196"/>
    <n v="4"/>
    <n v="11"/>
    <x v="293"/>
    <x v="329"/>
    <x v="4"/>
    <x v="32"/>
    <x v="55"/>
    <x v="61"/>
    <s v="64-2336130-"/>
    <s v="venecia.recabarren@redsalud.gob.cl"/>
    <x v="21"/>
    <m/>
    <n v="0"/>
    <m/>
    <n v="0"/>
    <n v="0"/>
    <m/>
    <x v="1"/>
  </r>
  <r>
    <s v="SERVICIO DE SALUD OSORNO"/>
    <x v="0"/>
    <x v="254"/>
    <s v="Proyecto operacional"/>
    <s v="Enviado"/>
    <s v="22.08.001"/>
    <x v="255"/>
    <s v="Retiro y traslado de residuos valorizables desde edificio plaza sur. Enero 2026"/>
    <x v="1"/>
    <x v="197"/>
    <n v="4"/>
    <n v="1"/>
    <x v="294"/>
    <x v="330"/>
    <x v="11"/>
    <x v="20"/>
    <x v="76"/>
    <x v="27"/>
    <s v="64-2337030-"/>
    <s v="carloslopez.amb@gmail.com"/>
    <x v="13"/>
    <m/>
    <n v="0"/>
    <m/>
    <n v="0"/>
    <n v="0"/>
    <m/>
    <x v="1"/>
  </r>
  <r>
    <s v="SERVICIO DE SALUD OSORNO"/>
    <x v="0"/>
    <x v="255"/>
    <s v="Proyecto operacional"/>
    <s v="Enviado"/>
    <s v="22.04"/>
    <x v="256"/>
    <s v="Adquisición de Elementos de rehabilitación fonoaudiologica a través de la estrategia de equipo Rural de Rehabilitación"/>
    <x v="0"/>
    <x v="198"/>
    <n v="4"/>
    <n v="18"/>
    <x v="295"/>
    <x v="331"/>
    <x v="4"/>
    <x v="24"/>
    <x v="37"/>
    <x v="42"/>
    <s v="64-2335807-"/>
    <s v="karin.avila@redsalud.gob.cl"/>
    <x v="14"/>
    <m/>
    <n v="0"/>
    <m/>
    <n v="0"/>
    <n v="0"/>
    <m/>
    <x v="1"/>
  </r>
  <r>
    <s v="SERVICIO DE SALUD OSORNO"/>
    <x v="0"/>
    <x v="255"/>
    <s v="Proyecto operacional"/>
    <s v="Enviado"/>
    <s v="22.04"/>
    <x v="256"/>
    <s v="Adquisición de Elementos de rehabilitación fonoaudiologica a través de la estrategia de equipo Rural de Rehabilitación"/>
    <x v="0"/>
    <x v="199"/>
    <n v="4"/>
    <n v="6"/>
    <x v="296"/>
    <x v="332"/>
    <x v="4"/>
    <x v="24"/>
    <x v="37"/>
    <x v="42"/>
    <s v="64-2335807-"/>
    <s v="karin.avila@redsalud.gob.cl"/>
    <x v="14"/>
    <m/>
    <n v="0"/>
    <m/>
    <n v="0"/>
    <n v="0"/>
    <m/>
    <x v="1"/>
  </r>
  <r>
    <s v="SERVICIO DE SALUD OSORNO"/>
    <x v="0"/>
    <x v="256"/>
    <s v="Proyecto operacional"/>
    <s v="Actualizado"/>
    <s v="22.04.999"/>
    <x v="257"/>
    <s v="Bloqueador Solar para proteccion de radiacion UV de funcionarios (as) que se exponen habitualmente."/>
    <x v="1"/>
    <x v="175"/>
    <n v="4"/>
    <n v="6"/>
    <x v="110"/>
    <x v="130"/>
    <x v="4"/>
    <x v="26"/>
    <x v="55"/>
    <x v="61"/>
    <s v="64-2336130-"/>
    <s v="venecia.recabarren@redsalud.gob.cl"/>
    <x v="24"/>
    <m/>
    <n v="0"/>
    <m/>
    <n v="0"/>
    <n v="0"/>
    <m/>
    <x v="1"/>
  </r>
  <r>
    <s v="SERVICIO DE SALUD OSORNO"/>
    <x v="0"/>
    <x v="257"/>
    <s v="Proyecto operacional"/>
    <s v="Enviado"/>
    <s v="22.02-22.04"/>
    <x v="258"/>
    <s v="Se requiere la reposición de insumos y equipamiento destinados a la unidad ambulatoria, con materiales de alta calidad, debido a que su uso es intenso y constante. Esta adquisición tiene como finalidad garantizar la seguridad, funcionalidad y durabilidad de los insumos y equipos utilizados en las distintas áreas de la unidad, contribuyendo al correcto desarrollo de las actividades diarias y la protección de los usuarios y el personal."/>
    <x v="5"/>
    <x v="200"/>
    <n v="4"/>
    <n v="96"/>
    <x v="225"/>
    <x v="333"/>
    <x v="4"/>
    <x v="31"/>
    <x v="43"/>
    <x v="48"/>
    <s v="64-2335492-"/>
    <s v="CAROLINA.SILVALL@REDSALUD.GOB.CL"/>
    <x v="20"/>
    <m/>
    <n v="0"/>
    <m/>
    <n v="0"/>
    <n v="0"/>
    <m/>
    <x v="1"/>
  </r>
  <r>
    <s v="SERVICIO DE SALUD OSORNO"/>
    <x v="0"/>
    <x v="257"/>
    <s v="Proyecto operacional"/>
    <s v="Enviado"/>
    <s v="22.02-22.04"/>
    <x v="258"/>
    <s v="Se requiere la reposición de insumos y equipamiento destinados a la unidad ambulatoria, con materiales de alta calidad, debido a que su uso es intenso y constante. Esta adquisición tiene como finalidad garantizar la seguridad, funcionalidad y durabilidad de los insumos y equipos utilizados en las distintas áreas de la unidad, contribuyendo al correcto desarrollo de las actividades diarias y la protección de los usuarios y el personal."/>
    <x v="5"/>
    <x v="201"/>
    <n v="4"/>
    <n v="12"/>
    <x v="297"/>
    <x v="235"/>
    <x v="4"/>
    <x v="31"/>
    <x v="43"/>
    <x v="48"/>
    <s v="64-2335492-"/>
    <s v="CAROLINA.SILVALL@REDSALUD.GOB.CL"/>
    <x v="20"/>
    <m/>
    <n v="0"/>
    <m/>
    <n v="0"/>
    <n v="0"/>
    <m/>
    <x v="1"/>
  </r>
  <r>
    <s v="SERVICIO DE SALUD OSORNO"/>
    <x v="0"/>
    <x v="257"/>
    <s v="Proyecto operacional"/>
    <s v="Enviado"/>
    <s v="22.02-22.04"/>
    <x v="258"/>
    <s v="Se requiere la reposición de insumos y equipamiento destinados a la unidad ambulatoria, con materiales de alta calidad, debido a que su uso es intenso y constante. Esta adquisición tiene como finalidad garantizar la seguridad, funcionalidad y durabilidad de los insumos y equipos utilizados en las distintas áreas de la unidad, contribuyendo al correcto desarrollo de las actividades diarias y la protección de los usuarios y el personal."/>
    <x v="5"/>
    <x v="202"/>
    <n v="4"/>
    <n v="52"/>
    <x v="298"/>
    <x v="334"/>
    <x v="4"/>
    <x v="31"/>
    <x v="43"/>
    <x v="48"/>
    <s v="64-2335492-"/>
    <s v="CAROLINA.SILVALL@REDSALUD.GOB.CL"/>
    <x v="20"/>
    <m/>
    <n v="0"/>
    <m/>
    <n v="0"/>
    <n v="0"/>
    <m/>
    <x v="1"/>
  </r>
  <r>
    <s v="SERVICIO DE SALUD OSORNO"/>
    <x v="0"/>
    <x v="258"/>
    <s v="Proyecto operacional"/>
    <s v="Enviado"/>
    <s v="22.04.007"/>
    <x v="255"/>
    <s v="Contenedores para segregación de residuos valorizables. La idea es reciclar residuos que permitan disminuir la huella de carbono del edificio plaza sur. ENERO 2026"/>
    <x v="1"/>
    <x v="203"/>
    <n v="4"/>
    <n v="36"/>
    <x v="299"/>
    <x v="335"/>
    <x v="4"/>
    <x v="35"/>
    <x v="76"/>
    <x v="27"/>
    <s v="64-2337030-"/>
    <s v="carloslopez.amb@gmail.com"/>
    <x v="13"/>
    <m/>
    <n v="0"/>
    <m/>
    <n v="0"/>
    <n v="0"/>
    <m/>
    <x v="1"/>
  </r>
  <r>
    <s v="SERVICIO DE SALUD OSORNO"/>
    <x v="0"/>
    <x v="259"/>
    <s v="Proyecto operacional"/>
    <s v="Enviado"/>
    <s v="22.04.009"/>
    <x v="259"/>
    <s v="Equipamiento informático."/>
    <x v="0"/>
    <x v="124"/>
    <n v="4"/>
    <n v="2"/>
    <x v="225"/>
    <x v="265"/>
    <x v="4"/>
    <x v="31"/>
    <x v="55"/>
    <x v="61"/>
    <s v="64-2336130-"/>
    <s v="venecia.recabarren@redsalud.gob.cl"/>
    <x v="20"/>
    <m/>
    <n v="0"/>
    <m/>
    <n v="0"/>
    <n v="0"/>
    <m/>
    <x v="1"/>
  </r>
  <r>
    <s v="SERVICIO DE SALUD OSORNO"/>
    <x v="0"/>
    <x v="259"/>
    <s v="Proyecto operacional"/>
    <s v="Enviado"/>
    <s v="22.04.009"/>
    <x v="259"/>
    <s v="Equipamiento informático."/>
    <x v="0"/>
    <x v="204"/>
    <n v="4"/>
    <n v="1"/>
    <x v="300"/>
    <x v="275"/>
    <x v="4"/>
    <x v="31"/>
    <x v="55"/>
    <x v="61"/>
    <s v="64-2336130-"/>
    <s v="venecia.recabarren@redsalud.gob.cl"/>
    <x v="20"/>
    <m/>
    <n v="0"/>
    <m/>
    <n v="0"/>
    <n v="0"/>
    <m/>
    <x v="1"/>
  </r>
  <r>
    <s v="SERVICIO DE SALUD OSORNO"/>
    <x v="0"/>
    <x v="260"/>
    <s v="Proyecto operacional"/>
    <s v="Enviado"/>
    <s v="22.04-22.02"/>
    <x v="260"/>
    <s v="Se requiere la reposición de insumos y equipamiento destinados a la unidad ambulatoria, con materiales de alta calidad, debido a que su uso es intenso y constante. Esta adquisición tiene como finalidad garantizar la seguridad, funcionalidad y durabilidad de los insumos y equipos utilizados en las distintas áreas de la unidad, contribuyendo al correcto desarrollo de las actividades diarias y la protección de los usuarios y el personal."/>
    <x v="7"/>
    <x v="205"/>
    <n v="4"/>
    <n v="49"/>
    <x v="301"/>
    <x v="336"/>
    <x v="4"/>
    <x v="31"/>
    <x v="43"/>
    <x v="48"/>
    <s v="64-2335492-"/>
    <s v="CAROLINA.SILVALL@REDSALUD.GOB.CL"/>
    <x v="20"/>
    <m/>
    <n v="0"/>
    <m/>
    <n v="0"/>
    <n v="0"/>
    <m/>
    <x v="1"/>
  </r>
  <r>
    <s v="SERVICIO DE SALUD OSORNO"/>
    <x v="0"/>
    <x v="260"/>
    <s v="Proyecto operacional"/>
    <s v="Enviado"/>
    <s v="22.04-22.02"/>
    <x v="260"/>
    <s v="Se requiere la reposición de insumos y equipamiento destinados a la unidad ambulatoria, con materiales de alta calidad, debido a que su uso es intenso y constante. Esta adquisición tiene como finalidad garantizar la seguridad, funcionalidad y durabilidad de los insumos y equipos utilizados en las distintas áreas de la unidad, contribuyendo al correcto desarrollo de las actividades diarias y la protección de los usuarios y el personal."/>
    <x v="7"/>
    <x v="206"/>
    <n v="4"/>
    <n v="115"/>
    <x v="302"/>
    <x v="337"/>
    <x v="4"/>
    <x v="31"/>
    <x v="43"/>
    <x v="48"/>
    <s v="64-2335492-"/>
    <s v="CAROLINA.SILVALL@REDSALUD.GOB.CL"/>
    <x v="20"/>
    <m/>
    <n v="0"/>
    <m/>
    <n v="0"/>
    <n v="0"/>
    <m/>
    <x v="1"/>
  </r>
  <r>
    <s v="SERVICIO DE SALUD OSORNO"/>
    <x v="0"/>
    <x v="260"/>
    <s v="Proyecto operacional"/>
    <s v="Enviado"/>
    <s v="22.04-22.02"/>
    <x v="260"/>
    <s v="Se requiere la reposición de insumos y equipamiento destinados a la unidad ambulatoria, con materiales de alta calidad, debido a que su uso es intenso y constante. Esta adquisición tiene como finalidad garantizar la seguridad, funcionalidad y durabilidad de los insumos y equipos utilizados en las distintas áreas de la unidad, contribuyendo al correcto desarrollo de las actividades diarias y la protección de los usuarios y el personal."/>
    <x v="7"/>
    <x v="207"/>
    <n v="4"/>
    <n v="4"/>
    <x v="89"/>
    <x v="192"/>
    <x v="4"/>
    <x v="31"/>
    <x v="43"/>
    <x v="48"/>
    <s v="64-2335492-"/>
    <s v="CAROLINA.SILVALL@REDSALUD.GOB.CL"/>
    <x v="20"/>
    <m/>
    <n v="0"/>
    <m/>
    <n v="0"/>
    <n v="0"/>
    <m/>
    <x v="1"/>
  </r>
  <r>
    <s v="SERVICIO DE SALUD OSORNO"/>
    <x v="0"/>
    <x v="260"/>
    <s v="Proyecto operacional"/>
    <s v="Enviado"/>
    <s v="22.04-22.02"/>
    <x v="260"/>
    <s v="Se requiere la reposición de insumos y equipamiento destinados a la unidad ambulatoria, con materiales de alta calidad, debido a que su uso es intenso y constante. Esta adquisición tiene como finalidad garantizar la seguridad, funcionalidad y durabilidad de los insumos y equipos utilizados en las distintas áreas de la unidad, contribuyendo al correcto desarrollo de las actividades diarias y la protección de los usuarios y el personal."/>
    <x v="7"/>
    <x v="208"/>
    <n v="4"/>
    <n v="2"/>
    <x v="98"/>
    <x v="266"/>
    <x v="4"/>
    <x v="31"/>
    <x v="43"/>
    <x v="48"/>
    <s v="64-2335492-"/>
    <s v="CAROLINA.SILVALL@REDSALUD.GOB.CL"/>
    <x v="20"/>
    <m/>
    <n v="0"/>
    <m/>
    <n v="0"/>
    <n v="0"/>
    <m/>
    <x v="1"/>
  </r>
  <r>
    <s v="SERVICIO DE SALUD OSORNO"/>
    <x v="0"/>
    <x v="260"/>
    <s v="Proyecto operacional"/>
    <s v="Enviado"/>
    <s v="22.04-22.02"/>
    <x v="260"/>
    <s v="Se requiere la reposición de insumos y equipamiento destinados a la unidad ambulatoria, con materiales de alta calidad, debido a que su uso es intenso y constante. Esta adquisición tiene como finalidad garantizar la seguridad, funcionalidad y durabilidad de los insumos y equipos utilizados en las distintas áreas de la unidad, contribuyendo al correcto desarrollo de las actividades diarias y la protección de los usuarios y el personal."/>
    <x v="7"/>
    <x v="209"/>
    <n v="4"/>
    <n v="25"/>
    <x v="303"/>
    <x v="270"/>
    <x v="4"/>
    <x v="31"/>
    <x v="43"/>
    <x v="48"/>
    <s v="64-2335492-"/>
    <s v="CAROLINA.SILVALL@REDSALUD.GOB.CL"/>
    <x v="20"/>
    <m/>
    <n v="0"/>
    <m/>
    <n v="0"/>
    <n v="0"/>
    <m/>
    <x v="1"/>
  </r>
  <r>
    <s v="SERVICIO DE SALUD OSORNO"/>
    <x v="0"/>
    <x v="261"/>
    <s v="Proyecto operacional"/>
    <s v="Enviado"/>
    <s v="22.01.001"/>
    <x v="261"/>
    <s v="La presente adquisición tiene como finalidad contar con los insumos y servicios necesarios para la realización de la ceremonia de egreso del curso de formación de monitores al cuidado de personas con demencia. La actividad esta dirigida a reconocer el proceso formación y el compromiso comunitario de las participantes que completaron la capacitación, quienes se integran como agente de apoyo y sensibilización en sus comunidades. Noviembre 2026."/>
    <x v="1"/>
    <x v="162"/>
    <n v="4"/>
    <n v="1"/>
    <x v="304"/>
    <x v="162"/>
    <x v="4"/>
    <x v="28"/>
    <x v="63"/>
    <x v="19"/>
    <s v="64-2337366-"/>
    <s v="luis.floresme@redsalud.gob.cl"/>
    <x v="18"/>
    <m/>
    <n v="0"/>
    <m/>
    <n v="0"/>
    <n v="0"/>
    <m/>
    <x v="1"/>
  </r>
  <r>
    <s v="SERVICIO DE SALUD OSORNO"/>
    <x v="0"/>
    <x v="262"/>
    <s v="Proyecto operacional"/>
    <s v="Actualizado"/>
    <s v="22.02.002"/>
    <x v="262"/>
    <s v="Lentes de seguridad con proteccion UV para conducción de vehículos."/>
    <x v="1"/>
    <x v="210"/>
    <n v="4"/>
    <n v="100"/>
    <x v="101"/>
    <x v="141"/>
    <x v="4"/>
    <x v="33"/>
    <x v="55"/>
    <x v="61"/>
    <s v="64-2336130-"/>
    <s v="venecia.recabarren@redsalud.gob.cl"/>
    <x v="22"/>
    <m/>
    <n v="0"/>
    <m/>
    <n v="0"/>
    <n v="0"/>
    <m/>
    <x v="1"/>
  </r>
  <r>
    <s v="SERVICIO DE SALUD OSORNO"/>
    <x v="0"/>
    <x v="263"/>
    <s v="Proyecto operacional"/>
    <s v="Enviado"/>
    <s v="22.04.008"/>
    <x v="263"/>
    <s v="Se requiere la reposición de insumos y equipamiento destinados a la unidad ambulatoria, con materiales de alta calidad, debido a que su uso es intenso y constante. Esta adquisición tiene como finalidad garantizar la seguridad, funcionalidad y durabilidad de los insumos y equipos utilizados en las distintas áreas de la unidad, contribuyendo al correcto desarrollo de las actividades diarias y la protección de los usuarios y el personal."/>
    <x v="5"/>
    <x v="211"/>
    <n v="4"/>
    <n v="243"/>
    <x v="305"/>
    <x v="338"/>
    <x v="4"/>
    <x v="31"/>
    <x v="43"/>
    <x v="48"/>
    <s v="64-2335492-"/>
    <s v="CAROLINA.SILVALL@REDSALUD.GOB.CL"/>
    <x v="20"/>
    <m/>
    <n v="0"/>
    <m/>
    <n v="0"/>
    <n v="0"/>
    <m/>
    <x v="1"/>
  </r>
  <r>
    <s v="SERVICIO DE SALUD OSORNO"/>
    <x v="0"/>
    <x v="263"/>
    <s v="Proyecto operacional"/>
    <s v="Enviado"/>
    <s v="22.04.008"/>
    <x v="263"/>
    <s v="Se requiere la reposición de insumos y equipamiento destinados a la unidad ambulatoria, con materiales de alta calidad, debido a que su uso es intenso y constante. Esta adquisición tiene como finalidad garantizar la seguridad, funcionalidad y durabilidad de los insumos y equipos utilizados en las distintas áreas de la unidad, contribuyendo al correcto desarrollo de las actividades diarias y la protección de los usuarios y el personal."/>
    <x v="5"/>
    <x v="169"/>
    <n v="4"/>
    <n v="12"/>
    <x v="101"/>
    <x v="339"/>
    <x v="4"/>
    <x v="31"/>
    <x v="43"/>
    <x v="48"/>
    <s v="64-2335492-"/>
    <s v="CAROLINA.SILVALL@REDSALUD.GOB.CL"/>
    <x v="20"/>
    <m/>
    <n v="0"/>
    <m/>
    <n v="0"/>
    <n v="0"/>
    <m/>
    <x v="1"/>
  </r>
  <r>
    <s v="SERVICIO DE SALUD OSORNO"/>
    <x v="0"/>
    <x v="263"/>
    <s v="Proyecto operacional"/>
    <s v="Enviado"/>
    <s v="22.04.008"/>
    <x v="263"/>
    <s v="Se requiere la reposición de insumos y equipamiento destinados a la unidad ambulatoria, con materiales de alta calidad, debido a que su uso es intenso y constante. Esta adquisición tiene como finalidad garantizar la seguridad, funcionalidad y durabilidad de los insumos y equipos utilizados en las distintas áreas de la unidad, contribuyendo al correcto desarrollo de las actividades diarias y la protección de los usuarios y el personal."/>
    <x v="5"/>
    <x v="212"/>
    <n v="4"/>
    <n v="56"/>
    <x v="306"/>
    <x v="340"/>
    <x v="4"/>
    <x v="31"/>
    <x v="43"/>
    <x v="48"/>
    <s v="64-2335492-"/>
    <s v="CAROLINA.SILVALL@REDSALUD.GOB.CL"/>
    <x v="20"/>
    <m/>
    <n v="0"/>
    <m/>
    <n v="0"/>
    <n v="0"/>
    <m/>
    <x v="1"/>
  </r>
  <r>
    <s v="SERVICIO DE SALUD OSORNO"/>
    <x v="0"/>
    <x v="264"/>
    <s v="Proyecto operacional"/>
    <s v="Enviado"/>
    <s v="22.08.003"/>
    <x v="264"/>
    <s v="Se requiere la reposición de insumos y equipamiento destinados a la unidad ambulatoria, con materiales de alta calidad, debido a que su uso es intenso y constante. Esta adquisición tiene como finalidad garantizar la seguridad, funcionalidad y durabilidad de los insumos y equipos utilizados en las distintas áreas de la unidad, contribuyendo al correcto desarrollo de las actividades diarias y la protección de los usuarios y el personal."/>
    <x v="1"/>
    <x v="213"/>
    <n v="4"/>
    <n v="91"/>
    <x v="307"/>
    <x v="341"/>
    <x v="4"/>
    <x v="31"/>
    <x v="43"/>
    <x v="48"/>
    <s v="64-2335492-"/>
    <s v="CAROLINA.SILVALL@REDSALUD.GOB.CL"/>
    <x v="20"/>
    <m/>
    <n v="0"/>
    <m/>
    <n v="0"/>
    <n v="0"/>
    <m/>
    <x v="1"/>
  </r>
  <r>
    <s v="SERVICIO DE SALUD OSORNO"/>
    <x v="0"/>
    <x v="265"/>
    <s v="Proyecto operacional"/>
    <s v="Enviado"/>
    <s v="22.12.999"/>
    <x v="265"/>
    <s v="Adquisición de 120 Endoscopias Digestivas Altas para Establecimientos de la red Asistencial del Servicio de Salud Osorno, a partir del mes de marzo 2026."/>
    <x v="1"/>
    <x v="214"/>
    <n v="4"/>
    <n v="1"/>
    <x v="308"/>
    <x v="342"/>
    <x v="4"/>
    <x v="24"/>
    <x v="77"/>
    <x v="77"/>
    <s v="64-2335805-"/>
    <s v="omar.contreras@redsalud.gob.cl"/>
    <x v="21"/>
    <m/>
    <n v="0"/>
    <m/>
    <n v="0"/>
    <n v="0"/>
    <m/>
    <x v="1"/>
  </r>
  <r>
    <s v="SERVICIO DE SALUD OSORNO"/>
    <x v="0"/>
    <x v="266"/>
    <s v="Proyecto operacional"/>
    <s v="Enviado"/>
    <s v="22.07.002"/>
    <x v="232"/>
    <s v="Se requiere impresion de folletería (diseño realizado por diseñedor del SSO), y monitora de yoga para jornada de conmemoración del día internacional de la eliminación de la violencia contra la mujer. Objetivo de la Adquisición: Crear un espacio de conmemoración y reflexión sobre el Día Internacional de la Eliminación de la Violencia contra la Mujer. Monitora de yoga para desarrollar 10 de sesiones, durante los meses de noviembre y diciembre, inscripcion sera dirigida para todas las mujeres de la comunidad funcionaria con una capacidad de 40 cup"/>
    <x v="0"/>
    <x v="98"/>
    <n v="4"/>
    <n v="1"/>
    <x v="156"/>
    <x v="216"/>
    <x v="4"/>
    <x v="28"/>
    <x v="54"/>
    <x v="59"/>
    <s v="64-2336339-"/>
    <s v="kassandra.fernandez@redsalud.gob.cl"/>
    <x v="18"/>
    <m/>
    <n v="0"/>
    <m/>
    <n v="0"/>
    <n v="0"/>
    <m/>
    <x v="1"/>
  </r>
  <r>
    <s v="SERVICIO DE SALUD OSORNO"/>
    <x v="0"/>
    <x v="266"/>
    <s v="Proyecto operacional"/>
    <s v="Enviado"/>
    <s v="22.07.002"/>
    <x v="232"/>
    <s v="Se requiere impresion de folletería (diseño realizado por diseñedor del SSO), y monitora de yoga para jornada de conmemoración del día internacional de la eliminación de la violencia contra la mujer. Objetivo de la Adquisición: Crear un espacio de conmemoración y reflexión sobre el Día Internacional de la Eliminación de la Violencia contra la Mujer. Monitora de yoga para desarrollar 10 de sesiones, durante los meses de noviembre y diciembre, inscripcion sera dirigida para todas las mujeres de la comunidad funcionaria con una capacidad de 40 cup"/>
    <x v="0"/>
    <x v="134"/>
    <n v="4"/>
    <n v="1"/>
    <x v="304"/>
    <x v="162"/>
    <x v="4"/>
    <x v="28"/>
    <x v="54"/>
    <x v="59"/>
    <s v="64-2336339-"/>
    <s v="kassandra.fernandez@redsalud.gob.cl"/>
    <x v="18"/>
    <m/>
    <n v="0"/>
    <m/>
    <n v="0"/>
    <n v="0"/>
    <m/>
    <x v="1"/>
  </r>
  <r>
    <s v="SERVICIO DE SALUD OSORNO"/>
    <x v="0"/>
    <x v="267"/>
    <s v="Proyecto operacional"/>
    <s v="Enviado"/>
    <s v="22.04.012"/>
    <x v="266"/>
    <s v="La presente adquisición tiene como finalidad dotar al centro de apoyo comunitario para personas con demencia Kümelen un carro de carga plegable destinado al traslado seguro y eficiente de materiales, equipos e insumos clínicos y comunitarios utilizados en actividades tanto dentro del recinto como en terreno, el carro debe contar con una estructura resistente, sistema plegable para fácil almacenamiento y mayor durabilidad, permitiendo optimizar el transporte de elementos durante jornadas, ceremonias y acciones comunitarias. Febrero 2026."/>
    <x v="1"/>
    <x v="145"/>
    <n v="4"/>
    <n v="1"/>
    <x v="309"/>
    <x v="192"/>
    <x v="4"/>
    <x v="38"/>
    <x v="63"/>
    <x v="19"/>
    <s v="64-2337366-"/>
    <s v="luis.floresme@redsalud.gob.cl"/>
    <x v="19"/>
    <m/>
    <n v="0"/>
    <m/>
    <n v="0"/>
    <n v="0"/>
    <m/>
    <x v="1"/>
  </r>
  <r>
    <s v="SERVICIO DE SALUD OSORNO"/>
    <x v="0"/>
    <x v="268"/>
    <s v="Proyecto operacional"/>
    <s v="Enviado"/>
    <s v="22.08.007"/>
    <x v="267"/>
    <s v="Contratación de servicio de movilización con conductor consistente en 1 móvil por periodo de 2 meses, para traslado de equipos de salud de la atención primaria y sus insumos y ejecutar actividades de vacunación de campaña de invierno, escolar y programática en área urbana y rural de las comunas de la provincia. Inicio del servicio durante el mes de marzo 2026 hasta mes de mayo de 2026."/>
    <x v="1"/>
    <x v="60"/>
    <n v="4"/>
    <n v="1"/>
    <x v="310"/>
    <x v="36"/>
    <x v="4"/>
    <x v="32"/>
    <x v="78"/>
    <x v="78"/>
    <s v="64-2335829-"/>
    <s v="carolina.lagos@redsalud.gob.cl"/>
    <x v="21"/>
    <m/>
    <n v="0"/>
    <m/>
    <n v="0"/>
    <n v="0"/>
    <m/>
    <x v="1"/>
  </r>
  <r>
    <s v="SERVICIO DE SALUD OSORNO"/>
    <x v="1"/>
    <x v="269"/>
    <s v="Proyecto operacional"/>
    <s v="Enviado"/>
    <s v="22.04.008"/>
    <x v="268"/>
    <s v="Se requiere la adquisición de equipos electrónicos de alto rendimiento, aparatos domésticos de última generación Y muebles firmes. La compra busca garantizar eficiencia, seguridad, durabilidad y funcionalidad, permitiendo el óptimo desarrollo de actividades tecnológicas, educativas y residenciales, incluso ante eventualidades que afecten la operación de la unidad."/>
    <x v="8"/>
    <x v="215"/>
    <n v="4"/>
    <n v="2"/>
    <x v="156"/>
    <x v="192"/>
    <x v="4"/>
    <x v="31"/>
    <x v="43"/>
    <x v="48"/>
    <s v="64-2335492-"/>
    <s v="CAROLINA.SILVALL@REDSALUD.GOB.CL"/>
    <x v="19"/>
    <m/>
    <n v="0"/>
    <m/>
    <n v="0"/>
    <n v="0"/>
    <m/>
    <x v="1"/>
  </r>
  <r>
    <s v="SERVICIO DE SALUD OSORNO"/>
    <x v="1"/>
    <x v="269"/>
    <s v="Proyecto operacional"/>
    <s v="Enviado"/>
    <s v="22.04.008"/>
    <x v="268"/>
    <s v="Se requiere la adquisición de equipos electrónicos de alto rendimiento, aparatos domésticos de última generación Y muebles firmes. La compra busca garantizar eficiencia, seguridad, durabilidad y funcionalidad, permitiendo el óptimo desarrollo de actividades tecnológicas, educativas y residenciales, incluso ante eventualidades que afecten la operación de la unidad."/>
    <x v="8"/>
    <x v="216"/>
    <n v="4"/>
    <n v="4"/>
    <x v="311"/>
    <x v="121"/>
    <x v="4"/>
    <x v="38"/>
    <x v="43"/>
    <x v="48"/>
    <s v="64-2335492-"/>
    <s v="CAROLINA.SILVALL@REDSALUD.GOB.CL"/>
    <x v="19"/>
    <m/>
    <n v="0"/>
    <m/>
    <n v="0"/>
    <n v="0"/>
    <m/>
    <x v="1"/>
  </r>
  <r>
    <s v="SERVICIO DE SALUD OSORNO"/>
    <x v="1"/>
    <x v="269"/>
    <s v="Proyecto operacional"/>
    <s v="Enviado"/>
    <s v="22.04.008"/>
    <x v="268"/>
    <s v="Se requiere la adquisición de equipos electrónicos de alto rendimiento, aparatos domésticos de última generación Y muebles firmes. La compra busca garantizar eficiencia, seguridad, durabilidad y funcionalidad, permitiendo el óptimo desarrollo de actividades tecnológicas, educativas y residenciales, incluso ante eventualidades que afecten la operación de la unidad."/>
    <x v="8"/>
    <x v="217"/>
    <n v="4"/>
    <n v="8"/>
    <x v="312"/>
    <x v="343"/>
    <x v="4"/>
    <x v="38"/>
    <x v="43"/>
    <x v="48"/>
    <s v="64-2335492-"/>
    <s v="CAROLINA.SILVALL@REDSALUD.GOB.CL"/>
    <x v="19"/>
    <m/>
    <n v="0"/>
    <m/>
    <n v="0"/>
    <n v="0"/>
    <m/>
    <x v="1"/>
  </r>
  <r>
    <s v="SERVICIO DE SALUD OSORNO"/>
    <x v="1"/>
    <x v="269"/>
    <s v="Proyecto operacional"/>
    <s v="Enviado"/>
    <s v="22.04.008"/>
    <x v="268"/>
    <s v="Se requiere la adquisición de equipos electrónicos de alto rendimiento, aparatos domésticos de última generación Y muebles firmes. La compra busca garantizar eficiencia, seguridad, durabilidad y funcionalidad, permitiendo el óptimo desarrollo de actividades tecnológicas, educativas y residenciales, incluso ante eventualidades que afecten la operación de la unidad."/>
    <x v="8"/>
    <x v="218"/>
    <n v="4"/>
    <n v="7"/>
    <x v="313"/>
    <x v="344"/>
    <x v="4"/>
    <x v="38"/>
    <x v="43"/>
    <x v="48"/>
    <s v="64-2335492-"/>
    <s v="CAROLINA.SILVALL@REDSALUD.GOB.CL"/>
    <x v="19"/>
    <m/>
    <n v="0"/>
    <m/>
    <n v="0"/>
    <n v="0"/>
    <m/>
    <x v="1"/>
  </r>
  <r>
    <s v="SERVICIO DE SALUD OSORNO"/>
    <x v="1"/>
    <x v="269"/>
    <s v="Proyecto operacional"/>
    <s v="Enviado"/>
    <s v="22.04.008"/>
    <x v="268"/>
    <s v="Se requiere la adquisición de equipos electrónicos de alto rendimiento, aparatos domésticos de última generación Y muebles firmes. La compra busca garantizar eficiencia, seguridad, durabilidad y funcionalidad, permitiendo el óptimo desarrollo de actividades tecnológicas, educativas y residenciales, incluso ante eventualidades que afecten la operación de la unidad."/>
    <x v="8"/>
    <x v="219"/>
    <n v="4"/>
    <n v="2"/>
    <x v="304"/>
    <x v="141"/>
    <x v="4"/>
    <x v="38"/>
    <x v="43"/>
    <x v="48"/>
    <s v="64-2335492-"/>
    <s v="CAROLINA.SILVALL@REDSALUD.GOB.CL"/>
    <x v="19"/>
    <m/>
    <n v="0"/>
    <m/>
    <n v="0"/>
    <n v="0"/>
    <m/>
    <x v="1"/>
  </r>
  <r>
    <s v="SERVICIO DE SALUD OSORNO"/>
    <x v="1"/>
    <x v="269"/>
    <s v="Proyecto operacional"/>
    <s v="Enviado"/>
    <s v="22.04.008"/>
    <x v="268"/>
    <s v="Se requiere la adquisición de equipos electrónicos de alto rendimiento, aparatos domésticos de última generación Y muebles firmes. La compra busca garantizar eficiencia, seguridad, durabilidad y funcionalidad, permitiendo el óptimo desarrollo de actividades tecnológicas, educativas y residenciales, incluso ante eventualidades que afecten la operación de la unidad."/>
    <x v="8"/>
    <x v="220"/>
    <n v="4"/>
    <n v="6"/>
    <x v="149"/>
    <x v="345"/>
    <x v="4"/>
    <x v="38"/>
    <x v="43"/>
    <x v="48"/>
    <s v="64-2335492-"/>
    <s v="CAROLINA.SILVALL@REDSALUD.GOB.CL"/>
    <x v="19"/>
    <m/>
    <n v="0"/>
    <m/>
    <n v="0"/>
    <n v="0"/>
    <m/>
    <x v="1"/>
  </r>
  <r>
    <s v="SERVICIO DE SALUD OSORNO"/>
    <x v="1"/>
    <x v="269"/>
    <s v="Proyecto operacional"/>
    <s v="Enviado"/>
    <s v="22.04.008"/>
    <x v="268"/>
    <s v="Se requiere la adquisición de equipos electrónicos de alto rendimiento, aparatos domésticos de última generación Y muebles firmes. La compra busca garantizar eficiencia, seguridad, durabilidad y funcionalidad, permitiendo el óptimo desarrollo de actividades tecnológicas, educativas y residenciales, incluso ante eventualidades que afecten la operación de la unidad."/>
    <x v="8"/>
    <x v="221"/>
    <n v="4"/>
    <n v="1"/>
    <x v="89"/>
    <x v="266"/>
    <x v="4"/>
    <x v="38"/>
    <x v="43"/>
    <x v="48"/>
    <s v="64-2335492-"/>
    <s v="CAROLINA.SILVALL@REDSALUD.GOB.CL"/>
    <x v="19"/>
    <m/>
    <n v="0"/>
    <m/>
    <n v="0"/>
    <n v="0"/>
    <m/>
    <x v="1"/>
  </r>
  <r>
    <s v="SERVICIO DE SALUD OSORNO"/>
    <x v="0"/>
    <x v="270"/>
    <s v="Proyecto operacional"/>
    <s v="Enviado"/>
    <s v="22.07.001"/>
    <x v="269"/>
    <s v="Se requiere contratación de servicio de grabación y emisión en emisora radial local, de 4 avisos radiales promocionales de vacunación influenza, COVID, Pneumo 23 y Nirsevimab, durante los meses de marzo y abril de 2026, en radio de alcance provincial, banda FM, que incluya de manera obligatoria a las comunas de Osorno, Purranque, Río Negro y San Pablo e idealmente a todas las comunas de la provinica de Osorno. Difusión de be realizarse de lunes a domingo al menos 7 veces al día."/>
    <x v="1"/>
    <x v="222"/>
    <n v="4"/>
    <n v="4"/>
    <x v="314"/>
    <x v="346"/>
    <x v="4"/>
    <x v="32"/>
    <x v="78"/>
    <x v="78"/>
    <s v="64-2335829-"/>
    <s v="carolina.lagos@redsalud.gob.cl"/>
    <x v="21"/>
    <m/>
    <n v="0"/>
    <m/>
    <n v="0"/>
    <n v="0"/>
    <m/>
    <x v="1"/>
  </r>
  <r>
    <s v="SERVICIO DE SALUD OSORNO"/>
    <x v="1"/>
    <x v="271"/>
    <s v="Proyecto operacional"/>
    <s v="Enviado"/>
    <s v="22.04.012"/>
    <x v="270"/>
    <s v="Se requiere la adquisición de equipos electrónicos de alto rendimiento, aparatos domésticos de última generación Y muebles firmes. La compra busca garantizar eficiencia, seguridad, durabilidad y funcionalidad, permitiendo el óptimo desarrollo de actividades tecnológicas, educativas y residenciales, incluso ante eventualidades que afecten la operación de la unidad."/>
    <x v="5"/>
    <x v="223"/>
    <n v="4"/>
    <n v="1"/>
    <x v="144"/>
    <x v="130"/>
    <x v="4"/>
    <x v="31"/>
    <x v="43"/>
    <x v="48"/>
    <s v="64-2335492-"/>
    <s v="CAROLINA.SILVALL@REDSALUD.GOB.CL"/>
    <x v="20"/>
    <m/>
    <n v="0"/>
    <m/>
    <n v="0"/>
    <n v="0"/>
    <m/>
    <x v="1"/>
  </r>
  <r>
    <s v="SERVICIO DE SALUD OSORNO"/>
    <x v="1"/>
    <x v="271"/>
    <s v="Proyecto operacional"/>
    <s v="Enviado"/>
    <s v="22.04.012"/>
    <x v="270"/>
    <s v="Se requiere la adquisición de equipos electrónicos de alto rendimiento, aparatos domésticos de última generación Y muebles firmes. La compra busca garantizar eficiencia, seguridad, durabilidad y funcionalidad, permitiendo el óptimo desarrollo de actividades tecnológicas, educativas y residenciales, incluso ante eventualidades que afecten la operación de la unidad."/>
    <x v="5"/>
    <x v="224"/>
    <n v="4"/>
    <n v="1"/>
    <x v="99"/>
    <x v="149"/>
    <x v="4"/>
    <x v="31"/>
    <x v="43"/>
    <x v="48"/>
    <s v="64-2335492-"/>
    <s v="CAROLINA.SILVALL@REDSALUD.GOB.CL"/>
    <x v="20"/>
    <m/>
    <n v="0"/>
    <m/>
    <n v="0"/>
    <n v="0"/>
    <m/>
    <x v="1"/>
  </r>
  <r>
    <s v="SERVICIO DE SALUD OSORNO"/>
    <x v="1"/>
    <x v="271"/>
    <s v="Proyecto operacional"/>
    <s v="Enviado"/>
    <s v="22.04.012"/>
    <x v="270"/>
    <s v="Se requiere la adquisición de equipos electrónicos de alto rendimiento, aparatos domésticos de última generación Y muebles firmes. La compra busca garantizar eficiencia, seguridad, durabilidad y funcionalidad, permitiendo el óptimo desarrollo de actividades tecnológicas, educativas y residenciales, incluso ante eventualidades que afecten la operación de la unidad."/>
    <x v="5"/>
    <x v="225"/>
    <n v="4"/>
    <n v="5"/>
    <x v="98"/>
    <x v="279"/>
    <x v="4"/>
    <x v="31"/>
    <x v="43"/>
    <x v="48"/>
    <s v="64-2335492-"/>
    <s v="CAROLINA.SILVALL@REDSALUD.GOB.CL"/>
    <x v="20"/>
    <m/>
    <n v="0"/>
    <m/>
    <n v="0"/>
    <n v="0"/>
    <m/>
    <x v="1"/>
  </r>
  <r>
    <s v="SERVICIO DE SALUD OSORNO"/>
    <x v="1"/>
    <x v="272"/>
    <s v="Proyecto operacional"/>
    <s v="Enviado"/>
    <s v="29.06.001"/>
    <x v="271"/>
    <s v="Se requiere la adquisición de una impresora en reemplazo de la actualmente existente, la cual presenta deterioro y no se encuentra en condiciones óptimas de funcionamiento. Esta reposición es necesaria para asegurar la continuidad operativa y el adecuado desempeño de las labores de la unidad."/>
    <x v="1"/>
    <x v="226"/>
    <n v="4"/>
    <n v="1"/>
    <x v="285"/>
    <x v="347"/>
    <x v="4"/>
    <x v="38"/>
    <x v="43"/>
    <x v="48"/>
    <s v="64-2335492-"/>
    <s v="CAROLINA.SILVALL@REDSALUD.GOB.CL"/>
    <x v="19"/>
    <m/>
    <n v="0"/>
    <m/>
    <n v="0"/>
    <n v="0"/>
    <m/>
    <x v="1"/>
  </r>
  <r>
    <s v="SERVICIO DE SALUD OSORNO"/>
    <x v="0"/>
    <x v="273"/>
    <s v="Proyecto operacional"/>
    <s v="Enviado"/>
    <s v="22.07.001"/>
    <x v="272"/>
    <s v="Se requiere servicio de grabación y emisión de 4 avisos radiales promocionales de vacunación escolar y otras vacunas del calendario programatico (4 mensajes totales), en radioemisora de alcance provincial y que tenga alcance obligatorio en las comunas de Osorno, Purranque, Río Negro y San Pablo. Emisión de lunes a domingo 7 veces al día por 2 meses, iniciando el mes de agosto hasta fines del mes de septiembre de 2026."/>
    <x v="1"/>
    <x v="227"/>
    <n v="4"/>
    <n v="4"/>
    <x v="314"/>
    <x v="346"/>
    <x v="4"/>
    <x v="36"/>
    <x v="78"/>
    <x v="78"/>
    <s v="64-2335829-"/>
    <s v="carolina.lagos@redsalud.gob.cl"/>
    <x v="24"/>
    <m/>
    <n v="0"/>
    <m/>
    <n v="0"/>
    <n v="0"/>
    <m/>
    <x v="1"/>
  </r>
  <r>
    <s v="SERVICIO DE SALUD OSORNO"/>
    <x v="0"/>
    <x v="274"/>
    <s v="Proyecto operacional"/>
    <s v="Enviado"/>
    <s v="22.04.001"/>
    <x v="273"/>
    <s v="Etiquetas y rollos de papel para la dispensación de los medicamentos para el tratamiento farmacológico de los usuarios, y rollos de papel para la impresión de las citaciones agendada a usuarios."/>
    <x v="0"/>
    <x v="228"/>
    <n v="4"/>
    <n v="60"/>
    <x v="315"/>
    <x v="347"/>
    <x v="4"/>
    <x v="35"/>
    <x v="79"/>
    <x v="22"/>
    <s v="64-2335608-"/>
    <s v="yuvit.garciachacur@redsalud.gob.cl"/>
    <x v="13"/>
    <m/>
    <n v="0"/>
    <m/>
    <n v="0"/>
    <n v="0"/>
    <m/>
    <x v="1"/>
  </r>
  <r>
    <s v="SERVICIO DE SALUD OSORNO"/>
    <x v="0"/>
    <x v="274"/>
    <s v="Proyecto operacional"/>
    <s v="Enviado"/>
    <s v="22.04.001"/>
    <x v="273"/>
    <s v="Etiquetas y rollos de papel para la dispensación de los medicamentos para el tratamiento farmacológico de los usuarios, y rollos de papel para la impresión de las citaciones agendada a usuarios."/>
    <x v="0"/>
    <x v="229"/>
    <n v="4"/>
    <n v="200"/>
    <x v="121"/>
    <x v="141"/>
    <x v="4"/>
    <x v="35"/>
    <x v="79"/>
    <x v="22"/>
    <s v="64-2335608-"/>
    <s v="yuvit.garciachacur@redsalud.gob.cl"/>
    <x v="13"/>
    <m/>
    <n v="0"/>
    <m/>
    <n v="0"/>
    <n v="0"/>
    <m/>
    <x v="1"/>
  </r>
  <r>
    <s v="SERVICIO DE SALUD OSORNO"/>
    <x v="0"/>
    <x v="275"/>
    <s v="Proyecto operacional"/>
    <s v="Enviado"/>
    <s v="22.01.001"/>
    <x v="274"/>
    <s v="MATERIAL PARA DIFUSIÓN, PROMOCIÓN Y PARA LAS ACCIONES PREVENTIVAS DEL PROGRAMA DE CÁNCERES MÁS PREVALENTES EN LAS MUJERES DE LA PROVINCIA, CON EL FIN DE LOGRAR SU COMETIDO, SE COMENZARÁ A EJECUTAR DESDE ENERO DEL 2026 HASTA DICIEMBRE DEL 2026."/>
    <x v="6"/>
    <x v="63"/>
    <n v="4"/>
    <n v="4"/>
    <x v="316"/>
    <x v="60"/>
    <x v="4"/>
    <x v="38"/>
    <x v="80"/>
    <x v="79"/>
    <s v="64-2335873-"/>
    <s v="franco.fuentes@redsalud.gob.cl"/>
    <x v="19"/>
    <m/>
    <n v="0"/>
    <m/>
    <n v="0"/>
    <n v="0"/>
    <m/>
    <x v="1"/>
  </r>
  <r>
    <s v="SERVICIO DE SALUD OSORNO"/>
    <x v="0"/>
    <x v="275"/>
    <s v="Proyecto operacional"/>
    <s v="Enviado"/>
    <s v="22.01.001"/>
    <x v="274"/>
    <s v="MATERIAL PARA DIFUSIÓN, PROMOCIÓN Y PARA LAS ACCIONES PREVENTIVAS DEL PROGRAMA DE CÁNCERES MÁS PREVALENTES EN LAS MUJERES DE LA PROVINCIA, CON EL FIN DE LOGRAR SU COMETIDO, SE COMENZARÁ A EJECUTAR DESDE ENERO DEL 2026 HASTA DICIEMBRE DEL 2026."/>
    <x v="6"/>
    <x v="230"/>
    <n v="4"/>
    <n v="3"/>
    <x v="317"/>
    <x v="325"/>
    <x v="4"/>
    <x v="32"/>
    <x v="80"/>
    <x v="79"/>
    <s v="64-2335873-"/>
    <s v="franco.fuentes@redsalud.gob.cl"/>
    <x v="21"/>
    <m/>
    <n v="0"/>
    <m/>
    <n v="0"/>
    <n v="0"/>
    <m/>
    <x v="1"/>
  </r>
  <r>
    <s v="SERVICIO DE SALUD OSORNO"/>
    <x v="0"/>
    <x v="275"/>
    <s v="Proyecto operacional"/>
    <s v="Enviado"/>
    <s v="22.01.001"/>
    <x v="274"/>
    <s v="MATERIAL PARA DIFUSIÓN, PROMOCIÓN Y PARA LAS ACCIONES PREVENTIVAS DEL PROGRAMA DE CÁNCERES MÁS PREVALENTES EN LAS MUJERES DE LA PROVINCIA, CON EL FIN DE LOGRAR SU COMETIDO, SE COMENZARÁ A EJECUTAR DESDE ENERO DEL 2026 HASTA DICIEMBRE DEL 2026."/>
    <x v="6"/>
    <x v="231"/>
    <n v="4"/>
    <n v="3"/>
    <x v="317"/>
    <x v="325"/>
    <x v="4"/>
    <x v="38"/>
    <x v="80"/>
    <x v="79"/>
    <s v="64-2335873-"/>
    <s v="franco.fuentes@redsalud.gob.cl"/>
    <x v="19"/>
    <m/>
    <n v="0"/>
    <m/>
    <n v="0"/>
    <n v="0"/>
    <m/>
    <x v="1"/>
  </r>
  <r>
    <s v="SERVICIO DE SALUD OSORNO"/>
    <x v="0"/>
    <x v="275"/>
    <s v="Proyecto operacional"/>
    <s v="Enviado"/>
    <s v="22.01.001"/>
    <x v="274"/>
    <s v="MATERIAL PARA DIFUSIÓN, PROMOCIÓN Y PARA LAS ACCIONES PREVENTIVAS DEL PROGRAMA DE CÁNCERES MÁS PREVALENTES EN LAS MUJERES DE LA PROVINCIA, CON EL FIN DE LOGRAR SU COMETIDO, SE COMENZARÁ A EJECUTAR DESDE ENERO DEL 2026 HASTA DICIEMBRE DEL 2026."/>
    <x v="6"/>
    <x v="232"/>
    <n v="4"/>
    <n v="4000"/>
    <x v="318"/>
    <x v="348"/>
    <x v="4"/>
    <x v="35"/>
    <x v="80"/>
    <x v="79"/>
    <s v="64-2335873-"/>
    <s v="franco.fuentes@redsalud.gob.cl"/>
    <x v="13"/>
    <m/>
    <n v="0"/>
    <m/>
    <n v="0"/>
    <n v="0"/>
    <m/>
    <x v="1"/>
  </r>
  <r>
    <s v="SERVICIO DE SALUD OSORNO"/>
    <x v="0"/>
    <x v="276"/>
    <s v="Proyecto operacional"/>
    <s v="Enviado"/>
    <s v="22.04.999"/>
    <x v="275"/>
    <s v="Se requiere la adquisición de 4 megáfonos y 6 gabinetes para la comunicación en emergencias, gestión de riesgos y protección de equipos, que serán instalados en las 6 vías de evacuación con que cuentan las nuevas instalaciones de COSAM Rahue, ubicadas en calle Guatemala 1402."/>
    <x v="1"/>
    <x v="233"/>
    <n v="4"/>
    <n v="4"/>
    <x v="144"/>
    <x v="182"/>
    <x v="4"/>
    <x v="35"/>
    <x v="79"/>
    <x v="22"/>
    <s v="64-2335608-"/>
    <s v="yuvit.garciachacur@redsalud.gob.cl"/>
    <x v="13"/>
    <m/>
    <n v="0"/>
    <m/>
    <n v="0"/>
    <n v="0"/>
    <m/>
    <x v="1"/>
  </r>
  <r>
    <s v="SERVICIO DE SALUD OSORNO"/>
    <x v="4"/>
    <x v="277"/>
    <s v="Proyecto operacional"/>
    <s v="Enviado"/>
    <s v="29.04"/>
    <x v="275"/>
    <s v="Se requiere la adquisición de 4 megáfonos y 6 gabinetes para la comunicación en emergencias, gestión de riesgos y protección de equipos, que serán instalados en las 6 vías de evacuación con que cuentan las nuevas instalaciones de COSAM Rahue, ubicadas en calle Guatemala 1402."/>
    <x v="1"/>
    <x v="234"/>
    <n v="4"/>
    <n v="6"/>
    <x v="134"/>
    <x v="349"/>
    <x v="4"/>
    <x v="35"/>
    <x v="79"/>
    <x v="22"/>
    <s v="64-2335608-"/>
    <s v="yuvit.garciachacur@redsalud.gob.cl"/>
    <x v="13"/>
    <m/>
    <n v="0"/>
    <m/>
    <n v="0"/>
    <n v="0"/>
    <m/>
    <x v="1"/>
  </r>
  <r>
    <s v="SERVICIO DE SALUD OSORNO"/>
    <x v="0"/>
    <x v="278"/>
    <s v="Proyecto operacional"/>
    <s v="Enviado"/>
    <s v="22.04"/>
    <x v="276"/>
    <s v="Adquisisón de insumos relacionados con la mantención adecuada de la cadena de frío de los productos biológicos que los centros de salud mantienen en custodia en los vacunatorios de la provincia, según normativa del Programa Nacional de Inmunizaciones. Se requiere compra de este material durante el mes de abril de 2026."/>
    <x v="5"/>
    <x v="235"/>
    <n v="4"/>
    <n v="60"/>
    <x v="319"/>
    <x v="350"/>
    <x v="4"/>
    <x v="24"/>
    <x v="78"/>
    <x v="78"/>
    <s v="64-2335829-"/>
    <s v="carolina.lagos@redsalud.gob.cl"/>
    <x v="14"/>
    <m/>
    <n v="0"/>
    <m/>
    <n v="0"/>
    <n v="0"/>
    <m/>
    <x v="1"/>
  </r>
  <r>
    <s v="SERVICIO DE SALUD OSORNO"/>
    <x v="0"/>
    <x v="278"/>
    <s v="Proyecto operacional"/>
    <s v="Enviado"/>
    <s v="22.04"/>
    <x v="276"/>
    <s v="Adquisisón de insumos relacionados con la mantención adecuada de la cadena de frío de los productos biológicos que los centros de salud mantienen en custodia en los vacunatorios de la provincia, según normativa del Programa Nacional de Inmunizaciones. Se requiere compra de este material durante el mes de abril de 2026."/>
    <x v="5"/>
    <x v="236"/>
    <n v="4"/>
    <n v="60"/>
    <x v="320"/>
    <x v="351"/>
    <x v="4"/>
    <x v="24"/>
    <x v="78"/>
    <x v="78"/>
    <s v="64-2335829-"/>
    <s v="carolina.lagos@redsalud.gob.cl"/>
    <x v="14"/>
    <m/>
    <n v="0"/>
    <m/>
    <n v="0"/>
    <n v="0"/>
    <m/>
    <x v="1"/>
  </r>
  <r>
    <s v="SERVICIO DE SALUD OSORNO"/>
    <x v="0"/>
    <x v="278"/>
    <s v="Proyecto operacional"/>
    <s v="Enviado"/>
    <s v="22.04"/>
    <x v="276"/>
    <s v="Adquisisón de insumos relacionados con la mantención adecuada de la cadena de frío de los productos biológicos que los centros de salud mantienen en custodia en los vacunatorios de la provincia, según normativa del Programa Nacional de Inmunizaciones. Se requiere compra de este material durante el mes de abril de 2026."/>
    <x v="5"/>
    <x v="237"/>
    <n v="4"/>
    <n v="44"/>
    <x v="321"/>
    <x v="352"/>
    <x v="4"/>
    <x v="24"/>
    <x v="78"/>
    <x v="78"/>
    <s v="64-2335829-"/>
    <s v="carolina.lagos@redsalud.gob.cl"/>
    <x v="14"/>
    <m/>
    <n v="0"/>
    <m/>
    <n v="0"/>
    <n v="0"/>
    <m/>
    <x v="1"/>
  </r>
  <r>
    <s v="SERVICIO DE SALUD OSORNO"/>
    <x v="0"/>
    <x v="279"/>
    <s v="Proyecto operacional"/>
    <s v="Enviado"/>
    <s v="22.01.001"/>
    <x v="277"/>
    <s v="Se requiere adquirir recursos para conmemorar el Día del Autocuidado en la comunidad funcionaria el 24 de julio de 2026, donde se realizará una feria de salud durante la jornada de mañana y tarde. En esta feria, se invitará a funcionarios/as con emprendimientos relacionados al autocuidado a tener un stand para mostrar y vender sus productos. También, se contará con una profesora de yoga que realizará una actividad por jornada, y una instructora que ofrecerá masajes durante el día."/>
    <x v="0"/>
    <x v="238"/>
    <n v="4"/>
    <n v="2"/>
    <x v="322"/>
    <x v="347"/>
    <x v="4"/>
    <x v="33"/>
    <x v="50"/>
    <x v="54"/>
    <s v="64-2337034-"/>
    <s v="lhya.kortmann@redsalud.gob.cl"/>
    <x v="22"/>
    <m/>
    <n v="0"/>
    <m/>
    <n v="0"/>
    <n v="0"/>
    <m/>
    <x v="1"/>
  </r>
  <r>
    <s v="SERVICIO DE SALUD OSORNO"/>
    <x v="0"/>
    <x v="279"/>
    <s v="Proyecto operacional"/>
    <s v="Enviado"/>
    <s v="22.01.001"/>
    <x v="277"/>
    <s v="Se requiere adquirir recursos para conmemorar el Día del Autocuidado en la comunidad funcionaria el 24 de julio de 2026, donde se realizará una feria de salud durante la jornada de mañana y tarde. En esta feria, se invitará a funcionarios/as con emprendimientos relacionados al autocuidado a tener un stand para mostrar y vender sus productos. También, se contará con una profesora de yoga que realizará una actividad por jornada, y una instructora que ofrecerá masajes durante el día."/>
    <x v="0"/>
    <x v="239"/>
    <n v="4"/>
    <n v="80"/>
    <x v="154"/>
    <x v="317"/>
    <x v="4"/>
    <x v="33"/>
    <x v="50"/>
    <x v="54"/>
    <s v="64-2337034-"/>
    <s v="lhya.kortmann@redsalud.gob.cl"/>
    <x v="22"/>
    <m/>
    <n v="0"/>
    <m/>
    <n v="0"/>
    <n v="0"/>
    <m/>
    <x v="1"/>
  </r>
  <r>
    <s v="SERVICIO DE SALUD OSORNO"/>
    <x v="0"/>
    <x v="280"/>
    <s v="Proyecto operacional"/>
    <s v="Enviado"/>
    <s v="22.04.999"/>
    <x v="180"/>
    <s v="La adquisición de implementos kinésicos para el box es fundamental para garantizar la calidad y la eficacia de los servicios de rehabilitación y tratamiento hacia los funcionarios del servicio y el Hospital (marzo- abril)"/>
    <x v="1"/>
    <x v="160"/>
    <n v="4"/>
    <n v="7"/>
    <x v="323"/>
    <x v="353"/>
    <x v="4"/>
    <x v="32"/>
    <x v="61"/>
    <x v="66"/>
    <s v="64-2337034-"/>
    <s v="felipe.barriga@redsalud.gob.cl"/>
    <x v="21"/>
    <m/>
    <n v="0"/>
    <m/>
    <n v="0"/>
    <n v="0"/>
    <m/>
    <x v="1"/>
  </r>
  <r>
    <s v="SERVICIO DE SALUD OSORNO"/>
    <x v="0"/>
    <x v="281"/>
    <s v="Proyecto operacional"/>
    <s v="Enviado"/>
    <s v="22.04.001"/>
    <x v="278"/>
    <s v="Se solicita adquirir articulos de oficina para box de atención, salas de taller y oficinas administrativas de edificio Matta."/>
    <x v="1"/>
    <x v="240"/>
    <n v="4"/>
    <n v="45"/>
    <x v="104"/>
    <x v="120"/>
    <x v="4"/>
    <x v="32"/>
    <x v="81"/>
    <x v="80"/>
    <s v="64-2337363-"/>
    <s v="ximena.campos@redsalud.gob.cl"/>
    <x v="21"/>
    <m/>
    <n v="0"/>
    <m/>
    <n v="0"/>
    <n v="0"/>
    <m/>
    <x v="1"/>
  </r>
  <r>
    <s v="SERVICIO DE SALUD OSORNO"/>
    <x v="1"/>
    <x v="282"/>
    <s v="Proyecto operacional"/>
    <s v="Enviado"/>
    <s v="29.06.001"/>
    <x v="279"/>
    <s v="Se requiere la adquisición de insumos computacionales destinados a la Unidad Ambulatoria, con el objetivo de mantener el correcto funcionamiento de los equipos y asegurar el desarrollo eficiente de las labores administrativas y técnicas del servicio."/>
    <x v="1"/>
    <x v="241"/>
    <n v="4"/>
    <n v="6"/>
    <x v="324"/>
    <x v="354"/>
    <x v="4"/>
    <x v="36"/>
    <x v="82"/>
    <x v="48"/>
    <s v="64-2335492-"/>
    <s v="CAROLINA.SILVALL@REDSALUD.GOB.CL"/>
    <x v="24"/>
    <m/>
    <n v="0"/>
    <m/>
    <n v="0"/>
    <n v="0"/>
    <m/>
    <x v="1"/>
  </r>
  <r>
    <s v="SERVICIO DE SALUD OSORNO"/>
    <x v="1"/>
    <x v="283"/>
    <s v="Proyecto operacional"/>
    <s v="Enviado"/>
    <s v="22.04.008"/>
    <x v="280"/>
    <s v="Se requiere la adquisición de equipos electrónicos y mobiliario de alto rendimiento, con el propósito de garantizar eficiencia, seguridad, durabilidad y funcionalidad en el desarrollo de las actividades de la unidad. Esta adquisición busca asegurar un funcionamiento óptimo en los ámbitos tecnológicos, educativos y residenciales, incluso frente a eventualidades u otras contingencias operativas."/>
    <x v="1"/>
    <x v="242"/>
    <n v="4"/>
    <n v="7"/>
    <x v="325"/>
    <x v="355"/>
    <x v="4"/>
    <x v="31"/>
    <x v="43"/>
    <x v="48"/>
    <s v="64-2335492-"/>
    <s v="CAROLINA.SILVALL@REDSALUD.GOB.CL"/>
    <x v="20"/>
    <m/>
    <n v="0"/>
    <m/>
    <n v="0"/>
    <n v="0"/>
    <m/>
    <x v="1"/>
  </r>
  <r>
    <s v="SERVICIO DE SALUD OSORNO"/>
    <x v="1"/>
    <x v="284"/>
    <s v="Proyecto operacional"/>
    <s v="Enviado"/>
    <s v="22.04.012"/>
    <x v="281"/>
    <s v="Se requiere la adquisición de equipos electrónicos y mobiliario de alto rendimiento, con el propósito de garantizar eficiencia, seguridad, durabilidad y funcionalidad en el desarrollo de las actividades de la unidad. Esta adquisición busca asegurar un funcionamiento óptimo en los ámbitos tecnológicos, educativos y residenciales, incluso frente a eventualidades u otras contingencias operativas."/>
    <x v="5"/>
    <x v="223"/>
    <n v="4"/>
    <n v="1"/>
    <x v="144"/>
    <x v="130"/>
    <x v="4"/>
    <x v="31"/>
    <x v="43"/>
    <x v="48"/>
    <s v="64-2335492-"/>
    <s v="CAROLINA.SILVALL@REDSALUD.GOB.CL"/>
    <x v="20"/>
    <m/>
    <n v="0"/>
    <m/>
    <n v="0"/>
    <n v="0"/>
    <m/>
    <x v="1"/>
  </r>
  <r>
    <s v="SERVICIO DE SALUD OSORNO"/>
    <x v="1"/>
    <x v="284"/>
    <s v="Proyecto operacional"/>
    <s v="Enviado"/>
    <s v="22.04.012"/>
    <x v="281"/>
    <s v="Se requiere la adquisición de equipos electrónicos y mobiliario de alto rendimiento, con el propósito de garantizar eficiencia, seguridad, durabilidad y funcionalidad en el desarrollo de las actividades de la unidad. Esta adquisición busca asegurar un funcionamiento óptimo en los ámbitos tecnológicos, educativos y residenciales, incluso frente a eventualidades u otras contingencias operativas."/>
    <x v="5"/>
    <x v="224"/>
    <n v="4"/>
    <n v="1"/>
    <x v="99"/>
    <x v="149"/>
    <x v="4"/>
    <x v="31"/>
    <x v="43"/>
    <x v="48"/>
    <s v="64-2335492-"/>
    <s v="CAROLINA.SILVALL@REDSALUD.GOB.CL"/>
    <x v="20"/>
    <m/>
    <n v="0"/>
    <m/>
    <n v="0"/>
    <n v="0"/>
    <m/>
    <x v="1"/>
  </r>
  <r>
    <s v="SERVICIO DE SALUD OSORNO"/>
    <x v="1"/>
    <x v="284"/>
    <s v="Proyecto operacional"/>
    <s v="Enviado"/>
    <s v="22.04.012"/>
    <x v="281"/>
    <s v="Se requiere la adquisición de equipos electrónicos y mobiliario de alto rendimiento, con el propósito de garantizar eficiencia, seguridad, durabilidad y funcionalidad en el desarrollo de las actividades de la unidad. Esta adquisición busca asegurar un funcionamiento óptimo en los ámbitos tecnológicos, educativos y residenciales, incluso frente a eventualidades u otras contingencias operativas."/>
    <x v="5"/>
    <x v="243"/>
    <n v="4"/>
    <n v="4"/>
    <x v="98"/>
    <x v="216"/>
    <x v="4"/>
    <x v="31"/>
    <x v="43"/>
    <x v="48"/>
    <s v="64-2335492-"/>
    <s v="CAROLINA.SILVALL@REDSALUD.GOB.CL"/>
    <x v="20"/>
    <m/>
    <n v="0"/>
    <m/>
    <n v="0"/>
    <n v="0"/>
    <m/>
    <x v="1"/>
  </r>
  <r>
    <s v="SERVICIO DE SALUD OSORNO"/>
    <x v="1"/>
    <x v="285"/>
    <s v="Proyecto operacional"/>
    <s v="Enviado"/>
    <s v="22.01.001"/>
    <x v="282"/>
    <s v="Adquisicion de productos e insumos para la prevencion, promocion, localizacion de casos, diagnostico y adherencia al tratamiento de usuarios/as con Tuberculosis."/>
    <x v="4"/>
    <x v="63"/>
    <n v="4"/>
    <n v="1"/>
    <x v="326"/>
    <x v="356"/>
    <x v="4"/>
    <x v="36"/>
    <x v="83"/>
    <x v="81"/>
    <s v="64-2335465-"/>
    <s v="mariapaz.gomez.n@redsalud.gob.cl"/>
    <x v="24"/>
    <m/>
    <n v="0"/>
    <m/>
    <n v="0"/>
    <n v="0"/>
    <m/>
    <x v="1"/>
  </r>
  <r>
    <s v="SERVICIO DE SALUD OSORNO"/>
    <x v="1"/>
    <x v="285"/>
    <s v="Proyecto operacional"/>
    <s v="Enviado"/>
    <s v="22.01.001"/>
    <x v="282"/>
    <s v="Adquisicion de productos e insumos para la prevencion, promocion, localizacion de casos, diagnostico y adherencia al tratamiento de usuarios/as con Tuberculosis."/>
    <x v="4"/>
    <x v="31"/>
    <n v="4"/>
    <n v="76"/>
    <x v="327"/>
    <x v="357"/>
    <x v="4"/>
    <x v="26"/>
    <x v="83"/>
    <x v="81"/>
    <s v="64-2335465-"/>
    <s v="mariapaz.gomez.n@redsalud.gob.cl"/>
    <x v="24"/>
    <m/>
    <n v="0"/>
    <m/>
    <n v="0"/>
    <n v="0"/>
    <m/>
    <x v="1"/>
  </r>
  <r>
    <s v="SERVICIO DE SALUD OSORNO"/>
    <x v="1"/>
    <x v="285"/>
    <s v="Proyecto operacional"/>
    <s v="Enviado"/>
    <s v="22.01.001"/>
    <x v="282"/>
    <s v="Adquisicion de productos e insumos para la prevencion, promocion, localizacion de casos, diagnostico y adherencia al tratamiento de usuarios/as con Tuberculosis."/>
    <x v="4"/>
    <x v="113"/>
    <n v="4"/>
    <n v="3"/>
    <x v="106"/>
    <x v="358"/>
    <x v="4"/>
    <x v="26"/>
    <x v="83"/>
    <x v="81"/>
    <s v="64-2335465-"/>
    <s v="mariapaz.gomez.n@redsalud.gob.cl"/>
    <x v="24"/>
    <m/>
    <n v="0"/>
    <m/>
    <n v="0"/>
    <n v="0"/>
    <m/>
    <x v="1"/>
  </r>
  <r>
    <s v="SERVICIO DE SALUD OSORNO"/>
    <x v="1"/>
    <x v="285"/>
    <s v="Proyecto operacional"/>
    <s v="Enviado"/>
    <s v="22.01.001"/>
    <x v="282"/>
    <s v="Adquisicion de productos e insumos para la prevencion, promocion, localizacion de casos, diagnostico y adherencia al tratamiento de usuarios/as con Tuberculosis."/>
    <x v="4"/>
    <x v="244"/>
    <n v="4"/>
    <n v="60"/>
    <x v="77"/>
    <x v="219"/>
    <x v="4"/>
    <x v="26"/>
    <x v="83"/>
    <x v="81"/>
    <s v="64-2335465-"/>
    <s v="mariapaz.gomez.n@redsalud.gob.cl"/>
    <x v="24"/>
    <m/>
    <n v="0"/>
    <m/>
    <n v="0"/>
    <n v="0"/>
    <m/>
    <x v="1"/>
  </r>
  <r>
    <s v="SERVICIO DE SALUD OSORNO"/>
    <x v="1"/>
    <x v="285"/>
    <s v="Proyecto operacional"/>
    <s v="Enviado"/>
    <s v="22.01.001"/>
    <x v="282"/>
    <s v="Adquisicion de productos e insumos para la prevencion, promocion, localizacion de casos, diagnostico y adherencia al tratamiento de usuarios/as con Tuberculosis."/>
    <x v="4"/>
    <x v="245"/>
    <n v="4"/>
    <n v="1"/>
    <x v="180"/>
    <x v="214"/>
    <x v="4"/>
    <x v="26"/>
    <x v="83"/>
    <x v="81"/>
    <s v="64-2335465-"/>
    <s v="mariapaz.gomez.n@redsalud.gob.cl"/>
    <x v="24"/>
    <m/>
    <n v="0"/>
    <m/>
    <n v="0"/>
    <n v="0"/>
    <m/>
    <x v="1"/>
  </r>
  <r>
    <s v="SERVICIO DE SALUD OSORNO"/>
    <x v="1"/>
    <x v="285"/>
    <s v="Proyecto operacional"/>
    <s v="Enviado"/>
    <s v="22.01.001"/>
    <x v="282"/>
    <s v="Adquisicion de productos e insumos para la prevencion, promocion, localizacion de casos, diagnostico y adherencia al tratamiento de usuarios/as con Tuberculosis."/>
    <x v="4"/>
    <x v="246"/>
    <n v="4"/>
    <n v="1"/>
    <x v="328"/>
    <x v="0"/>
    <x v="4"/>
    <x v="26"/>
    <x v="83"/>
    <x v="81"/>
    <s v="64-2335465-"/>
    <s v="mariapaz.gomez.n@redsalud.gob.cl"/>
    <x v="24"/>
    <m/>
    <n v="0"/>
    <m/>
    <n v="0"/>
    <n v="0"/>
    <m/>
    <x v="1"/>
  </r>
  <r>
    <s v="SERVICIO DE SALUD OSORNO"/>
    <x v="0"/>
    <x v="286"/>
    <s v="Proyecto operacional"/>
    <s v="Enviado"/>
    <s v="22.01.001"/>
    <x v="283"/>
    <s v="Apoyo logístico (materiales de trabajo, libreria, insumos de cafeteria,etc.) para 4 convocatorias a capacitaciones, talleres, jornadas y reuniones de trabajo con la red de coordinadores de emergencia de la red. meses de ejecucion febrero - marzo - junio-septiembre-diciembre"/>
    <x v="5"/>
    <x v="247"/>
    <n v="4"/>
    <n v="30"/>
    <x v="197"/>
    <x v="130"/>
    <x v="4"/>
    <x v="38"/>
    <x v="2"/>
    <x v="3"/>
    <s v="64-2337728-"/>
    <s v="CATALINA.VERAC@REDSALUD.GOB.CL"/>
    <x v="19"/>
    <m/>
    <n v="0"/>
    <m/>
    <n v="0"/>
    <n v="0"/>
    <m/>
    <x v="1"/>
  </r>
  <r>
    <s v="SERVICIO DE SALUD OSORNO"/>
    <x v="0"/>
    <x v="286"/>
    <s v="Proyecto operacional"/>
    <s v="Enviado"/>
    <s v="22.01.001"/>
    <x v="283"/>
    <s v="Apoyo logístico (materiales de trabajo, libreria, insumos de cafeteria,etc.) para 4 convocatorias a capacitaciones, talleres, jornadas y reuniones de trabajo con la red de coordinadores de emergencia de la red. meses de ejecucion febrero - marzo - junio-septiembre-diciembre"/>
    <x v="5"/>
    <x v="248"/>
    <n v="4"/>
    <n v="31"/>
    <x v="329"/>
    <x v="359"/>
    <x v="4"/>
    <x v="38"/>
    <x v="2"/>
    <x v="3"/>
    <s v="64-2337728-"/>
    <s v="CATALINA.VERAC@REDSALUD.GOB.CL"/>
    <x v="19"/>
    <m/>
    <n v="0"/>
    <m/>
    <n v="0"/>
    <n v="0"/>
    <m/>
    <x v="1"/>
  </r>
  <r>
    <s v="SERVICIO DE SALUD OSORNO"/>
    <x v="0"/>
    <x v="286"/>
    <s v="Proyecto operacional"/>
    <s v="Enviado"/>
    <s v="22.01.001"/>
    <x v="283"/>
    <s v="Apoyo logístico (materiales de trabajo, libreria, insumos de cafeteria,etc.) para 4 convocatorias a capacitaciones, talleres, jornadas y reuniones de trabajo con la red de coordinadores de emergencia de la red. meses de ejecucion febrero - marzo - junio-septiembre-diciembre"/>
    <x v="5"/>
    <x v="31"/>
    <n v="4"/>
    <n v="308"/>
    <x v="330"/>
    <x v="360"/>
    <x v="7"/>
    <x v="46"/>
    <x v="2"/>
    <x v="3"/>
    <s v="64-2337728-"/>
    <s v="CATALINA.VERAC@REDSALUD.GOB.CL"/>
    <x v="21"/>
    <m/>
    <n v="0"/>
    <m/>
    <n v="0"/>
    <n v="0"/>
    <m/>
    <x v="1"/>
  </r>
  <r>
    <s v="SERVICIO DE SALUD OSORNO"/>
    <x v="4"/>
    <x v="287"/>
    <s v="Proyecto operacional"/>
    <s v="Enviado"/>
    <s v="31.02.005"/>
    <x v="284"/>
    <s v="Proyecto con fuente de financiamiento sectorial. Ejecución proyectada para abril 2026"/>
    <x v="0"/>
    <x v="159"/>
    <n v="4"/>
    <n v="1"/>
    <x v="331"/>
    <x v="361"/>
    <x v="4"/>
    <x v="24"/>
    <x v="66"/>
    <x v="69"/>
    <s v="64-2337386-"/>
    <s v="maria.munozp@redsalud.gob.cl"/>
    <x v="14"/>
    <m/>
    <n v="0"/>
    <m/>
    <n v="0"/>
    <n v="0"/>
    <m/>
    <x v="1"/>
  </r>
  <r>
    <s v="SERVICIO DE SALUD OSORNO"/>
    <x v="4"/>
    <x v="287"/>
    <s v="Proyecto operacional"/>
    <s v="Enviado"/>
    <s v="31.02.005"/>
    <x v="284"/>
    <s v="Proyecto con fuente de financiamiento sectorial. Ejecución proyectada para abril 2026"/>
    <x v="0"/>
    <x v="184"/>
    <n v="4"/>
    <n v="1"/>
    <x v="332"/>
    <x v="362"/>
    <x v="4"/>
    <x v="24"/>
    <x v="66"/>
    <x v="69"/>
    <s v="64-2337386-"/>
    <s v="maria.munozp@redsalud.gob.cl"/>
    <x v="14"/>
    <m/>
    <n v="0"/>
    <m/>
    <n v="0"/>
    <n v="0"/>
    <m/>
    <x v="1"/>
  </r>
  <r>
    <s v="SERVICIO DE SALUD OSORNO"/>
    <x v="0"/>
    <x v="288"/>
    <s v="Proyecto operacional"/>
    <s v="Enviado"/>
    <s v="22.07.999"/>
    <x v="282"/>
    <s v="Adquisición de productos e insumos para la prevención, promoción, localización de casos, diagnostico y adherencia al tratamiento de usuarios/as con Tuberculosis."/>
    <x v="0"/>
    <x v="249"/>
    <n v="4"/>
    <n v="20"/>
    <x v="156"/>
    <x v="219"/>
    <x v="4"/>
    <x v="25"/>
    <x v="83"/>
    <x v="81"/>
    <s v="64-2335465-"/>
    <s v="mariapaz.gomez.n@redsalud.gob.cl"/>
    <x v="15"/>
    <m/>
    <n v="0"/>
    <m/>
    <n v="0"/>
    <n v="0"/>
    <m/>
    <x v="1"/>
  </r>
  <r>
    <s v="SERVICIO DE SALUD OSORNO"/>
    <x v="0"/>
    <x v="288"/>
    <s v="Proyecto operacional"/>
    <s v="Enviado"/>
    <s v="22.07.999"/>
    <x v="282"/>
    <s v="Adquisición de productos e insumos para la prevención, promoción, localización de casos, diagnostico y adherencia al tratamiento de usuarios/as con Tuberculosis."/>
    <x v="0"/>
    <x v="230"/>
    <n v="4"/>
    <n v="10020"/>
    <x v="240"/>
    <x v="363"/>
    <x v="4"/>
    <x v="25"/>
    <x v="83"/>
    <x v="81"/>
    <s v="64-2335465-"/>
    <s v="mariapaz.gomez.n@redsalud.gob.cl"/>
    <x v="15"/>
    <m/>
    <n v="0"/>
    <m/>
    <n v="0"/>
    <n v="0"/>
    <m/>
    <x v="1"/>
  </r>
  <r>
    <s v="SERVICIO DE SALUD OSORNO"/>
    <x v="0"/>
    <x v="289"/>
    <s v="Proyecto operacional"/>
    <s v="Enviado"/>
    <n v="2496"/>
    <x v="285"/>
    <s v="Adquisición de artículos de oficina y materiales para el desarrollo de funciones administrativas y actividades programadas por las distintas unidades del Departamento de Calidad de Vida."/>
    <x v="5"/>
    <x v="43"/>
    <n v="4"/>
    <n v="18"/>
    <x v="333"/>
    <x v="364"/>
    <x v="4"/>
    <x v="35"/>
    <x v="27"/>
    <x v="82"/>
    <s v="64-2337096-"/>
    <s v="claudia.munozga@redsalud.gob.cl"/>
    <x v="13"/>
    <m/>
    <n v="0"/>
    <m/>
    <n v="0"/>
    <n v="0"/>
    <m/>
    <x v="1"/>
  </r>
  <r>
    <s v="SERVICIO DE SALUD OSORNO"/>
    <x v="0"/>
    <x v="289"/>
    <s v="Proyecto operacional"/>
    <s v="Enviado"/>
    <n v="2496"/>
    <x v="285"/>
    <s v="Adquisición de artículos de oficina y materiales para el desarrollo de funciones administrativas y actividades programadas por las distintas unidades del Departamento de Calidad de Vida."/>
    <x v="5"/>
    <x v="250"/>
    <n v="4"/>
    <n v="2"/>
    <x v="225"/>
    <x v="265"/>
    <x v="4"/>
    <x v="35"/>
    <x v="27"/>
    <x v="82"/>
    <s v="64-2337096-"/>
    <s v="claudia.munozga@redsalud.gob.cl"/>
    <x v="13"/>
    <m/>
    <n v="0"/>
    <m/>
    <n v="0"/>
    <n v="0"/>
    <m/>
    <x v="1"/>
  </r>
  <r>
    <s v="SERVICIO DE SALUD OSORNO"/>
    <x v="0"/>
    <x v="289"/>
    <s v="Proyecto operacional"/>
    <s v="Enviado"/>
    <n v="2496"/>
    <x v="285"/>
    <s v="Adquisición de artículos de oficina y materiales para el desarrollo de funciones administrativas y actividades programadas por las distintas unidades del Departamento de Calidad de Vida."/>
    <x v="5"/>
    <x v="212"/>
    <n v="4"/>
    <n v="2"/>
    <x v="104"/>
    <x v="365"/>
    <x v="4"/>
    <x v="35"/>
    <x v="27"/>
    <x v="82"/>
    <s v="64-2337096-"/>
    <s v="claudia.munozga@redsalud.gob.cl"/>
    <x v="13"/>
    <m/>
    <n v="0"/>
    <m/>
    <n v="0"/>
    <n v="0"/>
    <m/>
    <x v="1"/>
  </r>
  <r>
    <s v="SERVICIO DE SALUD OSORNO"/>
    <x v="0"/>
    <x v="290"/>
    <s v="Proyecto operacional"/>
    <s v="Enviado"/>
    <n v="2497"/>
    <x v="286"/>
    <s v="Adquirir talonarios de recetas médicas y ordenes de examenes propias de los dispositivos (psiconeurogeriatria) para dispensación de fármacos y toma de examenes en HBSJO. (realizadas de acuerdo a protocolos de referencia y contrareferencias de los dispositivos de Ayekan y Kumelen)."/>
    <x v="1"/>
    <x v="71"/>
    <n v="4"/>
    <n v="100"/>
    <x v="334"/>
    <x v="185"/>
    <x v="4"/>
    <x v="38"/>
    <x v="81"/>
    <x v="80"/>
    <s v="64-2337363-"/>
    <s v="ximena.campos@redsalud.gob.cl"/>
    <x v="19"/>
    <m/>
    <n v="0"/>
    <m/>
    <n v="0"/>
    <n v="0"/>
    <m/>
    <x v="1"/>
  </r>
  <r>
    <s v="SERVICIO DE SALUD OSORNO"/>
    <x v="0"/>
    <x v="291"/>
    <s v="Proyecto operacional"/>
    <s v="Enviado"/>
    <n v="2498"/>
    <x v="287"/>
    <s v="SE REQUIERE LA COMPRA DE LOS INSUMOS DE OFICINA PARA EL DEPARTAMENTO DE OBRAS, EN EL MES DE MARZO 2026"/>
    <x v="0"/>
    <x v="43"/>
    <n v="4"/>
    <n v="13"/>
    <x v="335"/>
    <x v="366"/>
    <x v="4"/>
    <x v="32"/>
    <x v="84"/>
    <x v="50"/>
    <s v="64-2337382-"/>
    <s v="marta.borquez@redsalud.gob.cl"/>
    <x v="21"/>
    <m/>
    <n v="0"/>
    <m/>
    <n v="0"/>
    <n v="0"/>
    <m/>
    <x v="1"/>
  </r>
  <r>
    <s v="SERVICIO DE SALUD OSORNO"/>
    <x v="0"/>
    <x v="291"/>
    <s v="Proyecto operacional"/>
    <s v="Enviado"/>
    <n v="2498"/>
    <x v="287"/>
    <s v="SE REQUIERE LA COMPRA DE LOS INSUMOS DE OFICINA PARA EL DEPARTAMENTO DE OBRAS, EN EL MES DE MARZO 2026"/>
    <x v="0"/>
    <x v="251"/>
    <n v="4"/>
    <n v="16"/>
    <x v="336"/>
    <x v="367"/>
    <x v="4"/>
    <x v="32"/>
    <x v="84"/>
    <x v="50"/>
    <s v="64-2337382-"/>
    <s v="marta.borquez@redsalud.gob.cl"/>
    <x v="21"/>
    <m/>
    <n v="0"/>
    <m/>
    <n v="0"/>
    <n v="0"/>
    <m/>
    <x v="1"/>
  </r>
  <r>
    <s v="SERVICIO DE SALUD OSORNO"/>
    <x v="0"/>
    <x v="292"/>
    <s v="Proyecto operacional"/>
    <s v="Enviado"/>
    <s v="22.07.002"/>
    <x v="288"/>
    <s v="Impresión de material educativo visual y didáctico reutilizable para fortalecer las actividades de educación alimentaria en la red APS de la provincia de Osorno. La compra se ejecutará en mayo de 2025, financiada con recursos del Programa de Salud Cardiovascular."/>
    <x v="1"/>
    <x v="98"/>
    <n v="4"/>
    <n v="23"/>
    <x v="337"/>
    <x v="368"/>
    <x v="4"/>
    <x v="31"/>
    <x v="24"/>
    <x v="83"/>
    <s v="64-2335808-"/>
    <s v="consuelo.cordova@redsalud.gob.cl"/>
    <x v="20"/>
    <m/>
    <n v="0"/>
    <m/>
    <n v="0"/>
    <n v="0"/>
    <m/>
    <x v="1"/>
  </r>
  <r>
    <s v="SERVICIO DE SALUD OSORNO"/>
    <x v="0"/>
    <x v="293"/>
    <s v="Proyecto operacional"/>
    <s v="Enviado"/>
    <s v="22.04.001"/>
    <x v="282"/>
    <s v="Adquisición de productos e insumos para la prevención, promoción, localización de casos, diagnostico y adherencia al tratamiento de usuarios/as con Tuberculosis."/>
    <x v="1"/>
    <x v="43"/>
    <n v="4"/>
    <n v="165"/>
    <x v="338"/>
    <x v="369"/>
    <x v="4"/>
    <x v="25"/>
    <x v="83"/>
    <x v="81"/>
    <s v="64-2335465-"/>
    <s v="mariapaz.gomez.n@redsalud.gob.cl"/>
    <x v="15"/>
    <m/>
    <n v="0"/>
    <m/>
    <n v="0"/>
    <n v="0"/>
    <m/>
    <x v="1"/>
  </r>
  <r>
    <s v="SERVICIO DE SALUD OSORNO"/>
    <x v="0"/>
    <x v="294"/>
    <s v="Proyecto operacional"/>
    <s v="Enviado"/>
    <n v="2403"/>
    <x v="289"/>
    <s v="Solicita la compra en el mes de mayo 2026 por única vez en el año de insumos de higiene oral que consiste en: cepillo dental adulto, cepillo interproximal, pasta dental adulto 1450ppm flúor, cepillo para prótesis dental, cepillo dental eléctrico recargable y repuestos para cepillo dental eléctrico recargable."/>
    <x v="1"/>
    <x v="252"/>
    <n v="4"/>
    <n v="555"/>
    <x v="339"/>
    <x v="370"/>
    <x v="4"/>
    <x v="31"/>
    <x v="85"/>
    <x v="84"/>
    <s v="64-2335810-"/>
    <s v="gonzalo.schulz@redsalud.gob.cl"/>
    <x v="20"/>
    <m/>
    <n v="0"/>
    <m/>
    <n v="0"/>
    <n v="0"/>
    <m/>
    <x v="1"/>
  </r>
  <r>
    <s v="SERVICIO DE SALUD OSORNO"/>
    <x v="0"/>
    <x v="295"/>
    <s v="Proyecto operacional"/>
    <s v="Enviado"/>
    <n v="2502"/>
    <x v="290"/>
    <s v="Adquirir pilas para equipos clínicos de la unidad SAFU, tales como pesa portátil, hemoglucotest y equipo de electroterapia."/>
    <x v="1"/>
    <x v="253"/>
    <n v="4"/>
    <n v="10"/>
    <x v="340"/>
    <x v="371"/>
    <x v="4"/>
    <x v="35"/>
    <x v="53"/>
    <x v="57"/>
    <s v="64-2337032-"/>
    <s v="daniela.cancino01@redsalud.gob.cl"/>
    <x v="13"/>
    <m/>
    <n v="0"/>
    <m/>
    <n v="0"/>
    <n v="0"/>
    <m/>
    <x v="1"/>
  </r>
  <r>
    <s v="SERVICIO DE SALUD OSORNO"/>
    <x v="0"/>
    <x v="296"/>
    <s v="Proyecto operacional"/>
    <s v="Enviado"/>
    <s v="22.01.001"/>
    <x v="291"/>
    <s v="Jornada de capacitación de Salud Repiratoria para 110 personas, enfocado en la Prevención, Diagnóstico y tratamiento de patologías respiratorias agudas y crónicas en el ciclo vital, destinada a profesionales médicos, enfermeras, kinesiólogos y otros que realicen atenciones de esta población, en la atención primaria."/>
    <x v="1"/>
    <x v="63"/>
    <n v="4"/>
    <n v="110"/>
    <x v="341"/>
    <x v="372"/>
    <x v="4"/>
    <x v="32"/>
    <x v="78"/>
    <x v="78"/>
    <s v="64-2335829-"/>
    <s v="carolina.lagos@redsalud.gob.cl"/>
    <x v="21"/>
    <m/>
    <n v="0"/>
    <m/>
    <n v="0"/>
    <n v="0"/>
    <m/>
    <x v="1"/>
  </r>
  <r>
    <s v="SERVICIO DE SALUD OSORNO"/>
    <x v="0"/>
    <x v="297"/>
    <s v="Proyecto operacional"/>
    <s v="Enviado"/>
    <n v="2504"/>
    <x v="292"/>
    <s v="Jornada de capacitación de Salud Repiratoria para 110 personas, enfocado en la Prevención, Diagnóstico y tratamiento de patologías respiratorias agudas y crónicas en el ciclo vital, destinada a profesionales médicos, enfermeras, kinesiólogos y otros que realicen atenciones de esta población, en la atención primaria. Se requiere adquirir escalera para acceder a repisas de bodega de insumos, en el mes de Enero 2026."/>
    <x v="1"/>
    <x v="223"/>
    <n v="4"/>
    <n v="1"/>
    <x v="156"/>
    <x v="216"/>
    <x v="4"/>
    <x v="35"/>
    <x v="53"/>
    <x v="57"/>
    <s v="64-2337032-"/>
    <s v="daniela.cancino01@redsalud.gob.cl"/>
    <x v="13"/>
    <m/>
    <n v="0"/>
    <m/>
    <n v="0"/>
    <n v="0"/>
    <m/>
    <x v="1"/>
  </r>
  <r>
    <s v="SERVICIO DE SALUD OSORNO"/>
    <x v="0"/>
    <x v="298"/>
    <s v="Proyecto operacional"/>
    <s v="Enviado"/>
    <n v="2510"/>
    <x v="293"/>
    <s v="Contrato suministro de oxígeno medicinal para la Red de Hospitales de Baja y Mediana Complejidad así como para Base SAMU y Cosam dependientes del Servicio Salud Osorno, en formato de cilindros de 0,4 m3 - 0,7 m3 - 6 m3 y 10 m3, el cual debe comenzar vigencia a partir de enero 2027, con duración de 2 años."/>
    <x v="1"/>
    <x v="254"/>
    <n v="4"/>
    <n v="1"/>
    <x v="342"/>
    <x v="221"/>
    <x v="1"/>
    <x v="47"/>
    <x v="86"/>
    <x v="10"/>
    <s v="64-2335809-"/>
    <s v="mario.aburto@redsalud.gov.cl"/>
    <x v="15"/>
    <m/>
    <n v="0"/>
    <m/>
    <n v="0"/>
    <n v="0"/>
    <m/>
    <x v="1"/>
  </r>
  <r>
    <s v="SERVICIO DE SALUD OSORNO"/>
    <x v="0"/>
    <x v="299"/>
    <s v="Proyecto operacional"/>
    <s v="Enviado"/>
    <n v="2511"/>
    <x v="294"/>
    <s v="Se solicita la contratación de servicios de mantención integral del edificio, considerando limpieza y retiro de hojas en techumbres , limpieza de canaletas y bajadas de agua, reparación de vidrios o marcos de ventanas, . mes mayo 2026"/>
    <x v="1"/>
    <x v="68"/>
    <n v="4"/>
    <n v="1"/>
    <x v="343"/>
    <x v="187"/>
    <x v="4"/>
    <x v="31"/>
    <x v="63"/>
    <x v="19"/>
    <s v="64-2337366-"/>
    <s v="luis.floresme@redsalud.gob.cl"/>
    <x v="20"/>
    <m/>
    <n v="0"/>
    <m/>
    <n v="0"/>
    <n v="0"/>
    <m/>
    <x v="1"/>
  </r>
  <r>
    <s v="SERVICIO DE SALUD OSORNO"/>
    <x v="0"/>
    <x v="300"/>
    <s v="Proyecto operacional"/>
    <s v="Enviado"/>
    <n v="2512"/>
    <x v="295"/>
    <s v="Se solicita la contratación de servicios de mantención integral del edificio, reparación de filtraciones de techo y canaletas, revisión y reposición de enchufes e iluminarias, reparación de pisos flotantes levantados o dañados, tratamiento y pintura de paredes afectadas por humedad y hongos, mantención de cerraduras y manillas, revisión de sistema eléctrico y tableros. Mes de Diciembre 2026."/>
    <x v="1"/>
    <x v="118"/>
    <n v="4"/>
    <n v="1"/>
    <x v="153"/>
    <x v="60"/>
    <x v="4"/>
    <x v="29"/>
    <x v="63"/>
    <x v="19"/>
    <s v="64-2337366-"/>
    <s v="luis.floresme@redsalud.gob.cl"/>
    <x v="23"/>
    <m/>
    <n v="0"/>
    <m/>
    <n v="0"/>
    <n v="0"/>
    <m/>
    <x v="1"/>
  </r>
  <r>
    <s v="SERVICIO DE SALUD OSORNO"/>
    <x v="0"/>
    <x v="301"/>
    <s v="Proyecto operacional"/>
    <s v="Enviado"/>
    <s v="22.04.001"/>
    <x v="296"/>
    <s v="Adquisición de material de librería necesario para realizar las actividades diarias de registro en los vacunatorios y material necesario para ejecutar las capacitaciones y certificaciones programadas por el Servicio de Salud a los equipos de salud de la red asistencial, respesto del Programa Nacional de Inmunizaciones y Salud Respiratoria. Se requiere adquisisción a inicios de mes de marzo para ejecutar 1° capacitación a fines de marzo."/>
    <x v="1"/>
    <x v="240"/>
    <n v="4"/>
    <n v="1450"/>
    <x v="344"/>
    <x v="373"/>
    <x v="4"/>
    <x v="32"/>
    <x v="78"/>
    <x v="78"/>
    <s v="64-2335829-"/>
    <s v="carolina.lagos@redsalud.gob.cl"/>
    <x v="21"/>
    <m/>
    <n v="0"/>
    <m/>
    <n v="0"/>
    <n v="0"/>
    <m/>
    <x v="1"/>
  </r>
  <r>
    <s v="SERVICIO DE SALUD OSORNO"/>
    <x v="0"/>
    <x v="302"/>
    <s v="Proyecto operacional"/>
    <s v="Enviado"/>
    <s v="22.11.001"/>
    <x v="297"/>
    <s v="Desarrollar la consultoría de análisis estructural del Ex - edificio de la PDI, que incluye: testigos de losas y muros, modelamiento estructural y recomendaciones que permitan determinar el estado actual de la construcción y determinar las consideraciones técnicas para habilitar un Centro de Diálisis para la comuna de Osorno."/>
    <x v="1"/>
    <x v="97"/>
    <n v="4"/>
    <n v="1"/>
    <x v="345"/>
    <x v="374"/>
    <x v="4"/>
    <x v="31"/>
    <x v="39"/>
    <x v="44"/>
    <s v="64-2335843-"/>
    <s v="mario.barrientos@redsalud.gob.cl"/>
    <x v="20"/>
    <m/>
    <n v="0"/>
    <m/>
    <n v="0"/>
    <n v="0"/>
    <m/>
    <x v="1"/>
  </r>
  <r>
    <s v="SERVICIO DE SALUD OSORNO"/>
    <x v="0"/>
    <x v="303"/>
    <s v="Proyecto operacional"/>
    <s v="Enviado"/>
    <s v="22.01.001"/>
    <x v="298"/>
    <s v="Adquisición servicio de cafetería para 100 asistentes a actividad de capacitación dirigida a profesionales de salud en contexto de preparación para Campaña de Invierno 2026. Considera Jornada de mañana y tarde. Esta actividad se ejecutará en abril."/>
    <x v="1"/>
    <x v="63"/>
    <n v="4"/>
    <n v="100"/>
    <x v="197"/>
    <x v="177"/>
    <x v="4"/>
    <x v="24"/>
    <x v="86"/>
    <x v="10"/>
    <s v="64-2335809-"/>
    <s v="mario.aburto@redsalud.gov.cl"/>
    <x v="14"/>
    <m/>
    <n v="0"/>
    <m/>
    <n v="0"/>
    <n v="0"/>
    <m/>
    <x v="1"/>
  </r>
  <r>
    <s v="SERVICIO DE SALUD OSORNO"/>
    <x v="0"/>
    <x v="304"/>
    <s v="Proyecto operacional"/>
    <s v="Enviado"/>
    <n v="2519"/>
    <x v="299"/>
    <s v="Contar en marzo 2026 con artículos de librería para realizar jornadas de planificación con la red"/>
    <x v="1"/>
    <x v="43"/>
    <n v="4"/>
    <n v="493"/>
    <x v="346"/>
    <x v="375"/>
    <x v="4"/>
    <x v="32"/>
    <x v="87"/>
    <x v="85"/>
    <s v="64-2335661-"/>
    <s v="munirih.soto@redsalud.gob.cl"/>
    <x v="21"/>
    <m/>
    <n v="0"/>
    <m/>
    <n v="0"/>
    <n v="0"/>
    <m/>
    <x v="1"/>
  </r>
  <r>
    <s v="SERVICIO DE SALUD OSORNO"/>
    <x v="0"/>
    <x v="305"/>
    <s v="Proyecto operacional"/>
    <s v="Enviado"/>
    <n v="2521"/>
    <x v="300"/>
    <s v="Compra de insumos odontológicos para dos nuevos boxes dentales SAFU. Año 2026 88 horas de atención clínica."/>
    <x v="1"/>
    <x v="255"/>
    <n v="4"/>
    <n v="1"/>
    <x v="255"/>
    <x v="290"/>
    <x v="4"/>
    <x v="35"/>
    <x v="88"/>
    <x v="86"/>
    <s v="64-2332563-"/>
    <s v="luis.oyarzun@redesalud.gob.cl"/>
    <x v="13"/>
    <m/>
    <n v="0"/>
    <m/>
    <n v="0"/>
    <n v="0"/>
    <m/>
    <x v="1"/>
  </r>
  <r>
    <s v="SERVICIO DE SALUD OSORNO"/>
    <x v="0"/>
    <x v="306"/>
    <s v="Proyecto operacional"/>
    <s v="Enviado"/>
    <n v="2524"/>
    <x v="301"/>
    <s v="Adquisición Licencias de Software GstarCAD por 24 meses, Junio 2026"/>
    <x v="1"/>
    <x v="171"/>
    <n v="4"/>
    <n v="29"/>
    <x v="347"/>
    <x v="376"/>
    <x v="4"/>
    <x v="26"/>
    <x v="89"/>
    <x v="87"/>
    <s v="64-2335685-"/>
    <s v="alejandro.nunez01@redsalud.gob.cl"/>
    <x v="15"/>
    <m/>
    <n v="0"/>
    <m/>
    <n v="0"/>
    <n v="0"/>
    <m/>
    <x v="1"/>
  </r>
  <r>
    <s v="SERVICIO DE SALUD OSORNO"/>
    <x v="0"/>
    <x v="307"/>
    <s v="Proyecto operacional"/>
    <s v="Enviado"/>
    <n v="2525"/>
    <x v="302"/>
    <s v="Adquisición Licencias de Software ArchiCAD por 24 meses, para apoyar los proyectos de diseño y construcción del Servicio de Salud Osorno. Junio 2026"/>
    <x v="1"/>
    <x v="256"/>
    <n v="4"/>
    <n v="5"/>
    <x v="221"/>
    <x v="109"/>
    <x v="4"/>
    <x v="33"/>
    <x v="89"/>
    <x v="87"/>
    <s v="64-2335685-"/>
    <s v="alejandro.nunez01@redsalud.gob.cl"/>
    <x v="15"/>
    <m/>
    <n v="0"/>
    <m/>
    <n v="0"/>
    <n v="0"/>
    <m/>
    <x v="1"/>
  </r>
  <r>
    <s v="SERVICIO DE SALUD OSORNO"/>
    <x v="0"/>
    <x v="308"/>
    <s v="Proyecto operacional"/>
    <s v="Enviado"/>
    <n v="2526"/>
    <x v="303"/>
    <s v="La compra de impresoras térmicas para el SOME de la Unidad de Memoria Ayekan, se fundamenta en la necesidad de modernizar y optimizar los procesos de citación y registro de atenciones, mejorando la eficiencia del equipo administrativo y la calidad del servicio que se entrega a las personas mayores, sus familiares y cuidadores. La compra de impresoras térmicas representa una inversión costo-efectiva que permitirá fortalecer los procesos administrativos y ofrecer un servicio más eficiente, humanizado y centrado en las personas."/>
    <x v="0"/>
    <x v="226"/>
    <n v="4"/>
    <n v="2"/>
    <x v="348"/>
    <x v="171"/>
    <x v="4"/>
    <x v="32"/>
    <x v="81"/>
    <x v="80"/>
    <s v="64-2337363-"/>
    <s v="ximena.campos@redsalud.gob.cl"/>
    <x v="21"/>
    <m/>
    <n v="0"/>
    <m/>
    <n v="0"/>
    <n v="0"/>
    <m/>
    <x v="1"/>
  </r>
  <r>
    <s v="SERVICIO DE SALUD OSORNO"/>
    <x v="0"/>
    <x v="308"/>
    <s v="Proyecto operacional"/>
    <s v="Enviado"/>
    <n v="2526"/>
    <x v="303"/>
    <s v="La compra de impresoras térmicas para el SOME de la Unidad de Memoria Ayekan, se fundamenta en la necesidad de modernizar y optimizar los procesos de citación y registro de atenciones, mejorando la eficiencia del equipo administrativo y la calidad del servicio que se entrega a las personas mayores, sus familiares y cuidadores. La compra de impresoras térmicas representa una inversión costo-efectiva que permitirá fortalecer los procesos administrativos y ofrecer un servicio más eficiente, humanizado y centrado en las personas."/>
    <x v="0"/>
    <x v="69"/>
    <n v="4"/>
    <n v="100"/>
    <x v="139"/>
    <x v="130"/>
    <x v="4"/>
    <x v="32"/>
    <x v="81"/>
    <x v="80"/>
    <s v="64-2337363-"/>
    <s v="ximena.campos@redsalud.gob.cl"/>
    <x v="21"/>
    <m/>
    <n v="0"/>
    <m/>
    <n v="0"/>
    <n v="0"/>
    <m/>
    <x v="1"/>
  </r>
  <r>
    <s v="SERVICIO DE SALUD OSORNO"/>
    <x v="0"/>
    <x v="309"/>
    <s v="Proyecto operacional"/>
    <s v="Actualizado"/>
    <n v="2527"/>
    <x v="304"/>
    <s v="SERVICIO ANUAL DE SOPORTE TÉCNICO SOFTWARE DESDE EL MES DE ABRIL 2026"/>
    <x v="1"/>
    <x v="171"/>
    <n v="4"/>
    <n v="1"/>
    <x v="310"/>
    <x v="36"/>
    <x v="4"/>
    <x v="24"/>
    <x v="90"/>
    <x v="88"/>
    <s v="64-2335599-"/>
    <s v="pablo.mirandaa@redsalud.gob.cl"/>
    <x v="14"/>
    <m/>
    <n v="0"/>
    <m/>
    <n v="0"/>
    <n v="0"/>
    <m/>
    <x v="1"/>
  </r>
  <r>
    <s v="SERVICIO DE SALUD OSORNO"/>
    <x v="0"/>
    <x v="310"/>
    <s v="Proyecto operacional"/>
    <s v="Enviado"/>
    <n v="2528"/>
    <x v="305"/>
    <s v="Adquisición 2 coffee break para Jornada de Plan de Salud Comunal y Priorización como planes de monitoreo de las estrategias desarrolladas durante el 2024, la idea es que se ejecuten en abril - junio 2026"/>
    <x v="1"/>
    <x v="63"/>
    <n v="4"/>
    <n v="2"/>
    <x v="179"/>
    <x v="219"/>
    <x v="4"/>
    <x v="31"/>
    <x v="87"/>
    <x v="85"/>
    <s v="64-2335661-"/>
    <s v="munirih.soto@redsalud.gob.cl"/>
    <x v="20"/>
    <m/>
    <n v="0"/>
    <m/>
    <n v="0"/>
    <n v="0"/>
    <m/>
    <x v="1"/>
  </r>
  <r>
    <s v="SERVICIO DE SALUD OSORNO"/>
    <x v="0"/>
    <x v="311"/>
    <s v="Proyecto operacional"/>
    <s v="Enviado"/>
    <n v="2529"/>
    <x v="306"/>
    <s v="Contar en marzo 2026 con artículos de cafetería para realizar jornadas de planificación y procesos con la red asistencial."/>
    <x v="1"/>
    <x v="31"/>
    <n v="4"/>
    <n v="1"/>
    <x v="349"/>
    <x v="377"/>
    <x v="4"/>
    <x v="32"/>
    <x v="87"/>
    <x v="85"/>
    <s v="64-2335661-"/>
    <s v="munirih.soto@redsalud.gob.cl"/>
    <x v="21"/>
    <m/>
    <n v="0"/>
    <m/>
    <n v="0"/>
    <n v="0"/>
    <m/>
    <x v="1"/>
  </r>
  <r>
    <s v="SERVICIO DE SALUD OSORNO"/>
    <x v="0"/>
    <x v="312"/>
    <s v="Proyecto operacional"/>
    <s v="Enviado"/>
    <s v="22.06.001"/>
    <x v="307"/>
    <s v="COMPRA DE MATERIALES PARA CONSTRUCCIÓN DE REPISAS PARA MEJORAR LA UTILIZACIÓN DEL ESPACIO EN LA BODEGA"/>
    <x v="1"/>
    <x v="257"/>
    <n v="4"/>
    <n v="5"/>
    <x v="212"/>
    <x v="60"/>
    <x v="4"/>
    <x v="32"/>
    <x v="90"/>
    <x v="88"/>
    <s v="64-2335599-"/>
    <s v="pablo.mirandaa@redsalud.gob.cl"/>
    <x v="21"/>
    <m/>
    <n v="0"/>
    <m/>
    <n v="0"/>
    <n v="0"/>
    <m/>
    <x v="1"/>
  </r>
  <r>
    <s v="SERVICIO DE SALUD OSORNO"/>
    <x v="0"/>
    <x v="313"/>
    <s v="Proyecto operacional"/>
    <s v="Enviado"/>
    <n v="2531"/>
    <x v="308"/>
    <s v="La tercera Jornada para cuidadores, es una actividad comunitaria abierta a todas las personas que que ejercen el rol de cuidador/a. Está centrada en la celebración del Dia internacional de las Personas Cuidadoras, que se celebra el 05 de noviembre de cada año. Esta es la 3°version proyectada a 100 participantes y se desarrolla en el mes de noviembre."/>
    <x v="5"/>
    <x v="43"/>
    <n v="4"/>
    <n v="102"/>
    <x v="350"/>
    <x v="378"/>
    <x v="4"/>
    <x v="26"/>
    <x v="81"/>
    <x v="80"/>
    <s v="64-2337363-"/>
    <s v="ximena.campos@redsalud.gob.cl"/>
    <x v="16"/>
    <m/>
    <n v="0"/>
    <m/>
    <n v="0"/>
    <n v="0"/>
    <m/>
    <x v="1"/>
  </r>
  <r>
    <s v="SERVICIO DE SALUD OSORNO"/>
    <x v="0"/>
    <x v="313"/>
    <s v="Proyecto operacional"/>
    <s v="Enviado"/>
    <n v="2531"/>
    <x v="308"/>
    <s v="La tercera Jornada para cuidadores, es una actividad comunitaria abierta a todas las personas que que ejercen el rol de cuidador/a. Está centrada en la celebración del Dia internacional de las Personas Cuidadoras, que se celebra el 05 de noviembre de cada año. Esta es la 3°version proyectada a 100 participantes y se desarrolla en el mes de noviembre."/>
    <x v="5"/>
    <x v="113"/>
    <n v="4"/>
    <n v="200"/>
    <x v="351"/>
    <x v="379"/>
    <x v="4"/>
    <x v="26"/>
    <x v="81"/>
    <x v="80"/>
    <s v="64-2337363-"/>
    <s v="ximena.campos@redsalud.gob.cl"/>
    <x v="16"/>
    <m/>
    <n v="0"/>
    <m/>
    <n v="0"/>
    <n v="0"/>
    <m/>
    <x v="1"/>
  </r>
  <r>
    <s v="SERVICIO DE SALUD OSORNO"/>
    <x v="0"/>
    <x v="313"/>
    <s v="Proyecto operacional"/>
    <s v="Enviado"/>
    <n v="2531"/>
    <x v="308"/>
    <s v="La tercera Jornada para cuidadores, es una actividad comunitaria abierta a todas las personas que que ejercen el rol de cuidador/a. Está centrada en la celebración del Dia internacional de las Personas Cuidadoras, que se celebra el 05 de noviembre de cada año. Esta es la 3°version proyectada a 100 participantes y se desarrolla en el mes de noviembre."/>
    <x v="5"/>
    <x v="31"/>
    <n v="4"/>
    <n v="4"/>
    <x v="352"/>
    <x v="380"/>
    <x v="4"/>
    <x v="26"/>
    <x v="81"/>
    <x v="80"/>
    <s v="64-2337363-"/>
    <s v="ximena.campos@redsalud.gob.cl"/>
    <x v="16"/>
    <m/>
    <n v="0"/>
    <m/>
    <n v="0"/>
    <n v="0"/>
    <m/>
    <x v="1"/>
  </r>
  <r>
    <s v="SERVICIO DE SALUD OSORNO"/>
    <x v="0"/>
    <x v="314"/>
    <s v="Proyecto operacional"/>
    <s v="Enviado"/>
    <n v="2532"/>
    <x v="309"/>
    <s v="SERVICIO DE TRASLADO DE MOBILIARIO, TRASLADO DE OFICINAS"/>
    <x v="1"/>
    <x v="123"/>
    <n v="4"/>
    <n v="1"/>
    <x v="64"/>
    <x v="95"/>
    <x v="4"/>
    <x v="38"/>
    <x v="90"/>
    <x v="88"/>
    <s v="64-2335599-"/>
    <s v="pablo.mirandaa@redsalud.gob.cl"/>
    <x v="19"/>
    <m/>
    <n v="0"/>
    <m/>
    <n v="0"/>
    <n v="0"/>
    <m/>
    <x v="1"/>
  </r>
  <r>
    <s v="SERVICIO DE SALUD OSORNO"/>
    <x v="0"/>
    <x v="315"/>
    <s v="Proyecto operacional"/>
    <s v="Enviado"/>
    <n v="2534"/>
    <x v="310"/>
    <s v="Adquirir equipamiento de telecomunicaciones para los profesionales clínicos del departamento de calidad de vida, con el fin de desarrollar actividades de promoción y prevención en salud mental vía digital y redes sociales (instagram sso.conectados). Iniciativa que pretende educar a funcionarios/as y que puedan tener acceso libre a la información a través de la plataforma social. Médicos y psicólogos realizan videos y transmisiones en vivo para informar sobre diversas patologías y aclarar consultas a la comunidad funcionaria."/>
    <x v="0"/>
    <x v="258"/>
    <n v="4"/>
    <n v="4"/>
    <x v="353"/>
    <x v="381"/>
    <x v="4"/>
    <x v="35"/>
    <x v="91"/>
    <x v="89"/>
    <s v="64-2337033-"/>
    <s v="constanza.garcia.j@redsalud.gob.cl"/>
    <x v="13"/>
    <m/>
    <n v="0"/>
    <m/>
    <n v="0"/>
    <n v="0"/>
    <m/>
    <x v="1"/>
  </r>
  <r>
    <s v="SERVICIO DE SALUD OSORNO"/>
    <x v="0"/>
    <x v="315"/>
    <s v="Proyecto operacional"/>
    <s v="Enviado"/>
    <n v="2534"/>
    <x v="310"/>
    <s v="Adquirir equipamiento de telecomunicaciones para los profesionales clínicos del departamento de calidad de vida, con el fin de desarrollar actividades de promoción y prevención en salud mental vía digital y redes sociales (instagram sso.conectados). Iniciativa que pretende educar a funcionarios/as y que puedan tener acceso libre a la información a través de la plataforma social. Médicos y psicólogos realizan videos y transmisiones en vivo para informar sobre diversas patologías y aclarar consultas a la comunidad funcionaria."/>
    <x v="0"/>
    <x v="259"/>
    <n v="4"/>
    <n v="1"/>
    <x v="234"/>
    <x v="173"/>
    <x v="4"/>
    <x v="35"/>
    <x v="91"/>
    <x v="89"/>
    <s v="64-2337033-"/>
    <s v="constanza.garcia.j@redsalud.gob.cl"/>
    <x v="13"/>
    <m/>
    <n v="0"/>
    <m/>
    <n v="0"/>
    <n v="0"/>
    <m/>
    <x v="1"/>
  </r>
  <r>
    <s v="SERVICIO DE SALUD OSORNO"/>
    <x v="0"/>
    <x v="316"/>
    <s v="Proyecto operacional"/>
    <s v="Enviado"/>
    <s v="22.04.001"/>
    <x v="311"/>
    <s v="Se requiere adquisición 200 Carpetas impresion 4/0 color, couche 350 gr con polimate, bolsillo troquel de imprenta con logo CPU institucional a ejecutarse el mes de febrero 2026"/>
    <x v="1"/>
    <x v="43"/>
    <n v="4"/>
    <n v="200"/>
    <x v="198"/>
    <x v="182"/>
    <x v="4"/>
    <x v="38"/>
    <x v="92"/>
    <x v="37"/>
    <s v="64-2335809-"/>
    <s v="maria.jaramillov@redsalud.gob.cl"/>
    <x v="19"/>
    <m/>
    <n v="0"/>
    <m/>
    <n v="0"/>
    <n v="0"/>
    <m/>
    <x v="1"/>
  </r>
  <r>
    <s v="SERVICIO DE SALUD OSORNO"/>
    <x v="0"/>
    <x v="317"/>
    <s v="Proyecto operacional"/>
    <s v="Enviado"/>
    <n v="2537"/>
    <x v="312"/>
    <s v="Insumos Odontológicos para dar atención clínica dental a funcionarios de la Red del SSO. Enero a diciembre 2026"/>
    <x v="1"/>
    <x v="260"/>
    <n v="4"/>
    <n v="1"/>
    <x v="255"/>
    <x v="290"/>
    <x v="4"/>
    <x v="35"/>
    <x v="88"/>
    <x v="86"/>
    <s v="64-2332563-"/>
    <s v="luis.oyarzun@redesalud.gob.cl"/>
    <x v="13"/>
    <m/>
    <n v="0"/>
    <m/>
    <n v="0"/>
    <n v="0"/>
    <m/>
    <x v="1"/>
  </r>
  <r>
    <s v="SERVICIO DE SALUD OSORNO"/>
    <x v="0"/>
    <x v="318"/>
    <s v="Proyecto operacional"/>
    <s v="Enviado"/>
    <s v="22.04.002"/>
    <x v="313"/>
    <s v="El proceso psicoterapéutico requiere de múltiples herramientas que faciliten la comprensión, trabajo emocional, autorreflexión, autoobservación y el cambio conductual en los pacientes. En este contexto, el material terapéutico y bibliografía se convierte en un recurso esencial que complementa la intervención psicológica y potencia los resultados del tratamiento. Esta adquisición, busca argumentar la necesidad de contar con material terapéutico estructurado, actualizado y adaptado a las distintas modalidades de atención y sus grupos etarios."/>
    <x v="1"/>
    <x v="261"/>
    <n v="4"/>
    <n v="20"/>
    <x v="110"/>
    <x v="177"/>
    <x v="4"/>
    <x v="35"/>
    <x v="91"/>
    <x v="89"/>
    <s v="64-2337033-"/>
    <s v="constanza.garcia.j@redsalud.gob.cl"/>
    <x v="13"/>
    <m/>
    <n v="0"/>
    <m/>
    <n v="0"/>
    <n v="0"/>
    <m/>
    <x v="1"/>
  </r>
  <r>
    <s v="SERVICIO DE SALUD OSORNO"/>
    <x v="0"/>
    <x v="319"/>
    <s v="Proyecto operacional"/>
    <s v="Enviado"/>
    <n v="2542"/>
    <x v="314"/>
    <s v="El aumento de consultas de personas mayores con mayor funcionalidad y la necesidad de evaluar usuarios con patología de graduación leve para el diagnóstico de deterioro cognitivo hace necesario implementar talleres y atenciones individuales con implementos con los que actualmente no contamos y otros que requiren renovación por desgaste en su uso."/>
    <x v="1"/>
    <x v="160"/>
    <n v="4"/>
    <n v="13"/>
    <x v="354"/>
    <x v="382"/>
    <x v="4"/>
    <x v="24"/>
    <x v="81"/>
    <x v="80"/>
    <s v="64-2337363-"/>
    <s v="ximena.campos@redsalud.gob.cl"/>
    <x v="14"/>
    <m/>
    <n v="0"/>
    <m/>
    <n v="0"/>
    <n v="0"/>
    <m/>
    <x v="1"/>
  </r>
  <r>
    <s v="SERVICIO DE SALUD OSORNO"/>
    <x v="0"/>
    <x v="320"/>
    <s v="Proyecto operacional"/>
    <s v="Enviado"/>
    <n v="2545"/>
    <x v="315"/>
    <s v="Adquisición de 1.000 boquillas espiratorias desechables para flujometría, con válvula unidireccional. Compra a ejecutar en Junio."/>
    <x v="1"/>
    <x v="158"/>
    <n v="4"/>
    <n v="1000"/>
    <x v="355"/>
    <x v="199"/>
    <x v="4"/>
    <x v="25"/>
    <x v="86"/>
    <x v="10"/>
    <s v="64-2335809-"/>
    <s v="mario.aburto@redsalud.gov.cl"/>
    <x v="15"/>
    <m/>
    <n v="0"/>
    <m/>
    <n v="0"/>
    <n v="0"/>
    <m/>
    <x v="1"/>
  </r>
  <r>
    <s v="SERVICIO DE SALUD OSORNO"/>
    <x v="0"/>
    <x v="321"/>
    <s v="Proyecto operacional"/>
    <s v="Enviado"/>
    <n v="2547"/>
    <x v="316"/>
    <s v="Adquisición de 720 turbinas desechables para espirometrías con equipos actualmente en uso en la red asistencial, a ejecutar en Abril."/>
    <x v="1"/>
    <x v="89"/>
    <n v="4"/>
    <n v="720"/>
    <x v="356"/>
    <x v="383"/>
    <x v="4"/>
    <x v="24"/>
    <x v="86"/>
    <x v="10"/>
    <s v="64-2335809-"/>
    <s v="mario.aburto@redsalud.gov.cl"/>
    <x v="14"/>
    <m/>
    <n v="0"/>
    <m/>
    <n v="0"/>
    <n v="0"/>
    <m/>
    <x v="1"/>
  </r>
  <r>
    <s v="SERVICIO DE SALUD OSORNO"/>
    <x v="0"/>
    <x v="322"/>
    <s v="Proyecto operacional"/>
    <s v="Enviado"/>
    <n v="2548"/>
    <x v="317"/>
    <s v="Servicio de cafetería Jornada de capacitación CPU a ejecutarse el mes de abril 2026"/>
    <x v="1"/>
    <x v="63"/>
    <n v="4"/>
    <n v="1"/>
    <x v="282"/>
    <x v="319"/>
    <x v="4"/>
    <x v="24"/>
    <x v="92"/>
    <x v="37"/>
    <s v="64-2335809-"/>
    <s v="maria.jaramillov@redsalud.gob.cl"/>
    <x v="14"/>
    <m/>
    <n v="0"/>
    <m/>
    <n v="0"/>
    <n v="0"/>
    <m/>
    <x v="1"/>
  </r>
  <r>
    <s v="SERVICIO DE SALUD OSORNO"/>
    <x v="3"/>
    <x v="323"/>
    <s v="Proyecto estratégico"/>
    <s v="Enviado"/>
    <n v="2549"/>
    <x v="318"/>
    <s v="Adquisición de 12 Equipos para evaluación de saturación oxigeno (oxímetros) en pacientes de Piloto Cesación Tabáquica que ingresan a un Programa de Rehabilitación Respiratoria, en el marco de la estrategia. Compra a ejecutar en Enero."/>
    <x v="1"/>
    <x v="262"/>
    <n v="4"/>
    <n v="12"/>
    <x v="179"/>
    <x v="384"/>
    <x v="4"/>
    <x v="35"/>
    <x v="86"/>
    <x v="90"/>
    <s v="64-2335809-"/>
    <s v="mario.aburto@redsalud.gov.cl"/>
    <x v="13"/>
    <m/>
    <n v="0"/>
    <m/>
    <n v="0"/>
    <n v="0"/>
    <m/>
    <x v="1"/>
  </r>
  <r>
    <s v="SERVICIO DE SALUD OSORNO"/>
    <x v="0"/>
    <x v="324"/>
    <s v="Proyecto operacional"/>
    <s v="Enviado"/>
    <n v="2552"/>
    <x v="319"/>
    <s v="La Unidad de Memoria Ayekan requiere material de folleteria para actividades de difusión, implementación de punto lector, ferias y exposiciones a la comunidad y también de material de estimulación cognitiva que permita a los usuarios trabajar en sala de espera o en domicilios."/>
    <x v="0"/>
    <x v="43"/>
    <n v="4"/>
    <n v="1000"/>
    <x v="357"/>
    <x v="162"/>
    <x v="4"/>
    <x v="25"/>
    <x v="81"/>
    <x v="80"/>
    <s v="64-2337363-"/>
    <s v="ximena.campos@redsalud.gob.cl"/>
    <x v="15"/>
    <m/>
    <n v="0"/>
    <m/>
    <n v="0"/>
    <n v="0"/>
    <m/>
    <x v="1"/>
  </r>
  <r>
    <s v="SERVICIO DE SALUD OSORNO"/>
    <x v="0"/>
    <x v="324"/>
    <s v="Proyecto operacional"/>
    <s v="Enviado"/>
    <n v="2552"/>
    <x v="319"/>
    <s v="La Unidad de Memoria Ayekan requiere material de folleteria para actividades de difusión, implementación de punto lector, ferias y exposiciones a la comunidad y también de material de estimulación cognitiva que permita a los usuarios trabajar en sala de espera o en domicilios."/>
    <x v="0"/>
    <x v="98"/>
    <n v="4"/>
    <n v="3000"/>
    <x v="358"/>
    <x v="182"/>
    <x v="4"/>
    <x v="25"/>
    <x v="81"/>
    <x v="80"/>
    <s v="64-2337363-"/>
    <s v="ximena.campos@redsalud.gob.cl"/>
    <x v="15"/>
    <m/>
    <n v="0"/>
    <m/>
    <n v="0"/>
    <n v="0"/>
    <m/>
    <x v="1"/>
  </r>
  <r>
    <s v="SERVICIO DE SALUD OSORNO"/>
    <x v="0"/>
    <x v="325"/>
    <s v="Proyecto operacional"/>
    <s v="Enviado"/>
    <n v="2554"/>
    <x v="320"/>
    <s v="Los talleres para cuidadores/as de usuarios de Unidad de Memoria se realizaran todos los días martes desde el mes de marzo a diciembre 2026, se trata de mantener un espacio tanto de esparcimiento como educativo para las cuidadores con alto grado de sobrecarga por su rol de cuidador. Durante 2025 se han desarrollado con muy buena evaluación y adherencia por parte de familiares de usuarios. Favorece el autocuidado tanto físico como emocional."/>
    <x v="1"/>
    <x v="263"/>
    <n v="4"/>
    <n v="380"/>
    <x v="359"/>
    <x v="385"/>
    <x v="4"/>
    <x v="36"/>
    <x v="81"/>
    <x v="80"/>
    <s v="64-2337363-"/>
    <s v="ximena.campos@redsalud.gob.cl"/>
    <x v="24"/>
    <m/>
    <n v="0"/>
    <m/>
    <n v="0"/>
    <n v="0"/>
    <m/>
    <x v="1"/>
  </r>
  <r>
    <s v="SERVICIO DE SALUD OSORNO"/>
    <x v="0"/>
    <x v="326"/>
    <s v="Proyecto operacional"/>
    <s v="Enviado"/>
    <s v="22.04.005"/>
    <x v="321"/>
    <s v="Compra de insumos clínicos para realizar vacunación de los usuarios en campaña de invierno, vacunación escolar y vacunas programáticas. Compra para el mes de abril de 2026."/>
    <x v="1"/>
    <x v="89"/>
    <n v="4"/>
    <n v="1000"/>
    <x v="360"/>
    <x v="386"/>
    <x v="4"/>
    <x v="24"/>
    <x v="78"/>
    <x v="78"/>
    <s v="64-2335829-"/>
    <s v="carolina.lagos@redsalud.gob.cl"/>
    <x v="14"/>
    <m/>
    <n v="0"/>
    <m/>
    <n v="0"/>
    <n v="0"/>
    <m/>
    <x v="1"/>
  </r>
  <r>
    <s v="SERVICIO DE SALUD OSORNO"/>
    <x v="0"/>
    <x v="327"/>
    <s v="Proyecto operacional"/>
    <s v="Enviado"/>
    <n v="2556"/>
    <x v="322"/>
    <s v="Adquisición de Neumáticos para vehículos de la Dirección Servicio de Salud Osorno y Base SAMU Osorno año 2026"/>
    <x v="1"/>
    <x v="264"/>
    <n v="4"/>
    <n v="12"/>
    <x v="83"/>
    <x v="180"/>
    <x v="4"/>
    <x v="31"/>
    <x v="5"/>
    <x v="39"/>
    <s v="64-2335654-"/>
    <s v="felipe.salvob@redsalud.gob.cl"/>
    <x v="20"/>
    <m/>
    <n v="0"/>
    <m/>
    <n v="0"/>
    <n v="0"/>
    <m/>
    <x v="1"/>
  </r>
  <r>
    <s v="SERVICIO DE SALUD OSORNO"/>
    <x v="0"/>
    <x v="328"/>
    <s v="Proyecto operacional"/>
    <s v="Enviado"/>
    <s v="22.01.001"/>
    <x v="323"/>
    <s v="1 Servicio de coffe para 115 personas aproximadamente, por 2 días en jornada AM, para los asistentes a la Jornada Anual de Capacitación del Programa Nacional de Inmunizaciones a realizar durante el segundo semestre de 2026. A ejecutar el mes de septiembre de 2025."/>
    <x v="1"/>
    <x v="63"/>
    <n v="4"/>
    <n v="1"/>
    <x v="361"/>
    <x v="346"/>
    <x v="4"/>
    <x v="26"/>
    <x v="78"/>
    <x v="78"/>
    <s v="64-2335829-"/>
    <s v="carolina.lagos@redsalud.gob.cl"/>
    <x v="16"/>
    <m/>
    <n v="0"/>
    <m/>
    <n v="0"/>
    <n v="0"/>
    <m/>
    <x v="1"/>
  </r>
  <r>
    <s v="SERVICIO DE SALUD OSORNO"/>
    <x v="0"/>
    <x v="329"/>
    <s v="Proyecto operacional"/>
    <s v="Enviado"/>
    <n v="2558"/>
    <x v="324"/>
    <s v="Impresión de 6.000 unid. de carnet de control integral para la Red de APS. Tamaño 13.5 x 21.5 cms, impresión a color 4/4, tapas dúplex de 300 gramos emplacado, termolaminado por tiro, anillado continuo (plástico), interior Bond 90 gramos. Número de páginas totales 50 (incluye 5 separaciones en couché 170 gramos, 100 por lado y lado). Compra planificada para el mes de marzo."/>
    <x v="1"/>
    <x v="265"/>
    <n v="4"/>
    <n v="6000"/>
    <x v="139"/>
    <x v="387"/>
    <x v="4"/>
    <x v="32"/>
    <x v="24"/>
    <x v="91"/>
    <s v="64-2335810-"/>
    <s v="consuelo.cordova@redsalud.gob.cl"/>
    <x v="21"/>
    <m/>
    <n v="0"/>
    <m/>
    <n v="0"/>
    <n v="0"/>
    <m/>
    <x v="1"/>
  </r>
  <r>
    <s v="SERVICIO DE SALUD OSORNO"/>
    <x v="0"/>
    <x v="330"/>
    <s v="Proyecto operacional"/>
    <s v="Enviado"/>
    <n v="2558"/>
    <x v="325"/>
    <s v="Compra única en el mes de Febrero 2026"/>
    <x v="1"/>
    <x v="159"/>
    <n v="4"/>
    <n v="240"/>
    <x v="298"/>
    <x v="180"/>
    <x v="4"/>
    <x v="38"/>
    <x v="73"/>
    <x v="75"/>
    <s v="64-2335806-"/>
    <s v="francisca.contreras.c@redsalud.gob.cl"/>
    <x v="19"/>
    <m/>
    <n v="0"/>
    <m/>
    <n v="0"/>
    <n v="0"/>
    <m/>
    <x v="1"/>
  </r>
  <r>
    <s v="SERVICIO DE SALUD OSORNO"/>
    <x v="0"/>
    <x v="331"/>
    <s v="Proyecto operacional"/>
    <s v="Enviado"/>
    <n v="2562"/>
    <x v="326"/>
    <s v="Adquirir test que nos permitan Evalúa para orientar la personalidad desde orientación vocacional y diagnóstico de la personalidad. Adquirir un test proyectivo que consta de 13 láminas que se dividen en tres series que reciben los nombres de A, B y C en las que se emplean figuras humanas para representar situaciones típicas de relación de objeto con el objetivo de que la persona a la que se le administra pueda proyectar sus relaciones objétales."/>
    <x v="1"/>
    <x v="85"/>
    <n v="4"/>
    <n v="2"/>
    <x v="362"/>
    <x v="111"/>
    <x v="4"/>
    <x v="25"/>
    <x v="43"/>
    <x v="48"/>
    <s v="64-2335492-"/>
    <s v="CAROLINA.SILVALL@REDSALUD.GOB.CL"/>
    <x v="15"/>
    <m/>
    <n v="0"/>
    <m/>
    <n v="0"/>
    <n v="0"/>
    <m/>
    <x v="1"/>
  </r>
  <r>
    <s v="SERVICIO DE SALUD OSORNO"/>
    <x v="0"/>
    <x v="332"/>
    <s v="Proyecto operacional"/>
    <s v="Enviado"/>
    <n v="2563"/>
    <x v="327"/>
    <s v="Realizar actividades de sensibilización y promoción del cuidado de la salud mental (desde ENERO). Además, se realizará una jornada especial el día 10 de Octubre de 2026 para conmemorar el día mundial de la Salud Mental, iniciativa que pretende cuidar la dimensión psicológica y emocional de los funcionarios/as procurando su autocuidado y salud integral, para lo cual se invitara a diversos actores de la comunidad de salud mental a presentar sus programas."/>
    <x v="5"/>
    <x v="43"/>
    <n v="4"/>
    <n v="172"/>
    <x v="363"/>
    <x v="388"/>
    <x v="4"/>
    <x v="38"/>
    <x v="91"/>
    <x v="89"/>
    <s v="64-2337033-"/>
    <s v="constanza.garcia.j@redsalud.gob.cl"/>
    <x v="13"/>
    <m/>
    <n v="0"/>
    <m/>
    <n v="0"/>
    <n v="0"/>
    <m/>
    <x v="1"/>
  </r>
  <r>
    <s v="SERVICIO DE SALUD OSORNO"/>
    <x v="0"/>
    <x v="332"/>
    <s v="Proyecto operacional"/>
    <s v="Enviado"/>
    <n v="2563"/>
    <x v="327"/>
    <s v="Realizar actividades de sensibilización y promoción del cuidado de la salud mental (desde ENERO). Además, se realizará una jornada especial el día 10 de Octubre de 2026 para conmemorar el día mundial de la Salud Mental, iniciativa que pretende cuidar la dimensión psicológica y emocional de los funcionarios/as procurando su autocuidado y salud integral, para lo cual se invitara a diversos actores de la comunidad de salud mental a presentar sus programas."/>
    <x v="5"/>
    <x v="266"/>
    <n v="4"/>
    <n v="6"/>
    <x v="77"/>
    <x v="192"/>
    <x v="4"/>
    <x v="38"/>
    <x v="91"/>
    <x v="89"/>
    <s v="64-2337033-"/>
    <s v="constanza.garcia.j@redsalud.gob.cl"/>
    <x v="13"/>
    <m/>
    <n v="0"/>
    <m/>
    <n v="0"/>
    <n v="0"/>
    <m/>
    <x v="1"/>
  </r>
  <r>
    <s v="SERVICIO DE SALUD OSORNO"/>
    <x v="0"/>
    <x v="332"/>
    <s v="Proyecto operacional"/>
    <s v="Enviado"/>
    <n v="2563"/>
    <x v="327"/>
    <s v="Realizar actividades de sensibilización y promoción del cuidado de la salud mental (desde ENERO). Además, se realizará una jornada especial el día 10 de Octubre de 2026 para conmemorar el día mundial de la Salud Mental, iniciativa que pretende cuidar la dimensión psicológica y emocional de los funcionarios/as procurando su autocuidado y salud integral, para lo cual se invitara a diversos actores de la comunidad de salud mental a presentar sus programas."/>
    <x v="5"/>
    <x v="267"/>
    <n v="4"/>
    <n v="18"/>
    <x v="364"/>
    <x v="389"/>
    <x v="4"/>
    <x v="38"/>
    <x v="91"/>
    <x v="89"/>
    <s v="64-2337033-"/>
    <s v="constanza.garcia.j@redsalud.gob.cl"/>
    <x v="13"/>
    <m/>
    <n v="0"/>
    <m/>
    <n v="0"/>
    <n v="0"/>
    <m/>
    <x v="1"/>
  </r>
  <r>
    <s v="SERVICIO DE SALUD OSORNO"/>
    <x v="0"/>
    <x v="333"/>
    <s v="Proyecto operacional"/>
    <s v="Enviado"/>
    <s v="22.01.001"/>
    <x v="328"/>
    <s v="Se requiere la compra de insumos de cafetería para las reuniones mensuales (12) de CIRA, de la Subdirección de Gestión Asistencial."/>
    <x v="0"/>
    <x v="31"/>
    <n v="4"/>
    <n v="85"/>
    <x v="365"/>
    <x v="390"/>
    <x v="4"/>
    <x v="35"/>
    <x v="93"/>
    <x v="92"/>
    <s v="64-2335754-"/>
    <s v="esteban.oyarzo.a@redsalud.gob.cl"/>
    <x v="13"/>
    <m/>
    <n v="0"/>
    <m/>
    <n v="0"/>
    <n v="0"/>
    <m/>
    <x v="1"/>
  </r>
  <r>
    <s v="SERVICIO DE SALUD OSORNO"/>
    <x v="0"/>
    <x v="333"/>
    <s v="Proyecto operacional"/>
    <s v="Enviado"/>
    <s v="22.01.001"/>
    <x v="328"/>
    <s v="Se requiere la compra de insumos de cafetería para las reuniones mensuales (12) de CIRA, de la Subdirección de Gestión Asistencial."/>
    <x v="0"/>
    <x v="113"/>
    <n v="4"/>
    <n v="2030"/>
    <x v="366"/>
    <x v="391"/>
    <x v="4"/>
    <x v="35"/>
    <x v="93"/>
    <x v="92"/>
    <s v="64-2335754-"/>
    <s v="esteban.oyarzo.a@redsalud.gob.cl"/>
    <x v="13"/>
    <m/>
    <n v="0"/>
    <m/>
    <n v="0"/>
    <n v="0"/>
    <m/>
    <x v="1"/>
  </r>
  <r>
    <s v="SERVICIO DE SALUD OSORNO"/>
    <x v="0"/>
    <x v="334"/>
    <s v="Proyecto operacional"/>
    <s v="Enviado"/>
    <n v="2565"/>
    <x v="329"/>
    <s v="El Festival de la Voz de las Mujeres es una actividad que se realiza la primera semana de marzo con la finalidad de conmemorar el Día internacional de la Mujer. El propósito del Festival es fomentar la participación y recreación de la comunidad funcionaria ofreciendo un espectáculo de calidad que promueva y estimule las habilidades artísticas musicales de las funcionarias de los distintos Hospitales y Dispositivos de la red del Servicio de Salud de Osorno, a la vez que se concientiza sobre la importancia de conmemorar el día internacional d"/>
    <x v="5"/>
    <x v="43"/>
    <n v="4"/>
    <n v="137"/>
    <x v="367"/>
    <x v="392"/>
    <x v="4"/>
    <x v="32"/>
    <x v="94"/>
    <x v="93"/>
    <s v="64-2337033-"/>
    <s v="ignacio.sotomayor@redsalud.gob.cl"/>
    <x v="21"/>
    <m/>
    <n v="0"/>
    <m/>
    <n v="0"/>
    <n v="0"/>
    <m/>
    <x v="1"/>
  </r>
  <r>
    <s v="SERVICIO DE SALUD OSORNO"/>
    <x v="0"/>
    <x v="334"/>
    <s v="Proyecto operacional"/>
    <s v="Enviado"/>
    <n v="2565"/>
    <x v="329"/>
    <s v="El Festival de la Voz de las Mujeres es una actividad que se realiza la primera semana de marzo con la finalidad de conmemorar el Día internacional de la Mujer. El propósito del Festival es fomentar la participación y recreación de la comunidad funcionaria ofreciendo un espectáculo de calidad que promueva y estimule las habilidades artísticas musicales de las funcionarias de los distintos Hospitales y Dispositivos de la red del Servicio de Salud de Osorno, a la vez que se concientiza sobre la importancia de conmemorar el día internacional d"/>
    <x v="5"/>
    <x v="268"/>
    <n v="4"/>
    <n v="40"/>
    <x v="368"/>
    <x v="393"/>
    <x v="4"/>
    <x v="32"/>
    <x v="94"/>
    <x v="93"/>
    <s v="64-2337033-"/>
    <s v="ignacio.sotomayor@redsalud.gob.cl"/>
    <x v="21"/>
    <m/>
    <n v="0"/>
    <m/>
    <n v="0"/>
    <n v="0"/>
    <m/>
    <x v="1"/>
  </r>
  <r>
    <s v="SERVICIO DE SALUD OSORNO"/>
    <x v="0"/>
    <x v="334"/>
    <s v="Proyecto operacional"/>
    <s v="Enviado"/>
    <n v="2565"/>
    <x v="329"/>
    <s v="El Festival de la Voz de las Mujeres es una actividad que se realiza la primera semana de marzo con la finalidad de conmemorar el Día internacional de la Mujer. El propósito del Festival es fomentar la participación y recreación de la comunidad funcionaria ofreciendo un espectáculo de calidad que promueva y estimule las habilidades artísticas musicales de las funcionarias de los distintos Hospitales y Dispositivos de la red del Servicio de Salud de Osorno, a la vez que se concientiza sobre la importancia de conmemorar el día internacional d"/>
    <x v="5"/>
    <x v="31"/>
    <n v="4"/>
    <n v="4"/>
    <x v="369"/>
    <x v="394"/>
    <x v="4"/>
    <x v="32"/>
    <x v="94"/>
    <x v="93"/>
    <s v="64-2337033-"/>
    <s v="ignacio.sotomayor@redsalud.gob.cl"/>
    <x v="21"/>
    <m/>
    <n v="0"/>
    <m/>
    <n v="0"/>
    <n v="0"/>
    <m/>
    <x v="1"/>
  </r>
  <r>
    <s v="SERVICIO DE SALUD OSORNO"/>
    <x v="0"/>
    <x v="335"/>
    <s v="Proyecto operacional"/>
    <s v="Enviado"/>
    <s v="22.06.001"/>
    <x v="330"/>
    <s v="Obras civiles para montaje de 2 futuros contenedores de largo 20 pies. Construcción de vereda de hormigón de dimensiones 25mx2,5m para acceso de funcionarios, construcción de losa de hormigón de dimensiones 12x10m, construcción de techo para los contenedores."/>
    <x v="1"/>
    <x v="185"/>
    <n v="4"/>
    <n v="1"/>
    <x v="370"/>
    <x v="47"/>
    <x v="4"/>
    <x v="36"/>
    <x v="44"/>
    <x v="58"/>
    <s v="64-2335588-"/>
    <s v="robertonunez123@gmail.com"/>
    <x v="24"/>
    <m/>
    <n v="0"/>
    <m/>
    <n v="0"/>
    <n v="0"/>
    <m/>
    <x v="1"/>
  </r>
  <r>
    <s v="SERVICIO DE SALUD OSORNO"/>
    <x v="0"/>
    <x v="336"/>
    <s v="Proyecto operacional"/>
    <s v="Enviado"/>
    <s v="22.04.009"/>
    <x v="331"/>
    <s v="Dado el proceso de recambio de Equipamiento PC MINSAL, los equipos pertenecientes a Empresa UPGRADE (Aprox. 40) quedarán en calidad de donación al Servicio de Salud Osorno, pero sin discos de almacenamiento. Por esta razón se requiere adquirir 40 Discos SSD y así dejar operativos 40 PC para uso de los establecimientos de nuestra Red."/>
    <x v="1"/>
    <x v="269"/>
    <n v="4"/>
    <n v="40"/>
    <x v="371"/>
    <x v="395"/>
    <x v="4"/>
    <x v="32"/>
    <x v="89"/>
    <x v="87"/>
    <s v="64-2335685-"/>
    <s v="alejandro.nunez01@redsalud.gob.cl"/>
    <x v="21"/>
    <m/>
    <n v="0"/>
    <m/>
    <n v="0"/>
    <n v="0"/>
    <m/>
    <x v="1"/>
  </r>
  <r>
    <s v="SERVICIO DE SALUD OSORNO"/>
    <x v="5"/>
    <x v="337"/>
    <s v="Proyecto operacional"/>
    <s v="Enviado"/>
    <n v="2220"/>
    <x v="332"/>
    <s v="Se requiere licitar para el mes de mayo año 2025, Mejoramiento Hospital de Rio Negro (4 LICITACIONES)"/>
    <x v="6"/>
    <x v="164"/>
    <n v="4"/>
    <n v="1"/>
    <x v="372"/>
    <x v="396"/>
    <x v="4"/>
    <x v="29"/>
    <x v="62"/>
    <x v="36"/>
    <s v="64-2337385-"/>
    <s v="gustavo.marin@redsalud.gob.cl"/>
    <x v="23"/>
    <m/>
    <n v="0"/>
    <m/>
    <n v="0"/>
    <n v="0"/>
    <m/>
    <x v="1"/>
  </r>
  <r>
    <s v="SERVICIO DE SALUD OSORNO"/>
    <x v="5"/>
    <x v="337"/>
    <s v="Proyecto operacional"/>
    <s v="Enviado"/>
    <n v="2220"/>
    <x v="332"/>
    <s v="Se requiere licitar para el mes de mayo año 2025, Mejoramiento Hospital de Rio Negro (4 LICITACIONES)"/>
    <x v="6"/>
    <x v="164"/>
    <n v="4"/>
    <n v="1"/>
    <x v="373"/>
    <x v="397"/>
    <x v="4"/>
    <x v="29"/>
    <x v="62"/>
    <x v="36"/>
    <s v="64-2337385-"/>
    <s v="gustavo.marin@redsalud.gob.cl"/>
    <x v="23"/>
    <m/>
    <n v="0"/>
    <m/>
    <n v="0"/>
    <n v="0"/>
    <m/>
    <x v="1"/>
  </r>
  <r>
    <s v="SERVICIO DE SALUD OSORNO"/>
    <x v="5"/>
    <x v="337"/>
    <s v="Proyecto operacional"/>
    <s v="Enviado"/>
    <n v="2220"/>
    <x v="332"/>
    <s v="Se requiere licitar para el mes de mayo año 2025, Mejoramiento Hospital de Rio Negro (4 LICITACIONES)"/>
    <x v="6"/>
    <x v="164"/>
    <n v="4"/>
    <n v="1"/>
    <x v="374"/>
    <x v="398"/>
    <x v="4"/>
    <x v="32"/>
    <x v="62"/>
    <x v="36"/>
    <s v="64-2337385-"/>
    <s v="gustavo.marin@redsalud.gob.cl"/>
    <x v="21"/>
    <m/>
    <n v="0"/>
    <m/>
    <n v="0"/>
    <n v="0"/>
    <m/>
    <x v="1"/>
  </r>
  <r>
    <s v="SERVICIO DE SALUD OSORNO"/>
    <x v="5"/>
    <x v="337"/>
    <s v="Proyecto operacional"/>
    <s v="Enviado"/>
    <n v="2220"/>
    <x v="332"/>
    <s v="Se requiere licitar para el mes de mayo año 2025, Mejoramiento Hospital de Rio Negro (4 LICITACIONES)"/>
    <x v="6"/>
    <x v="164"/>
    <n v="4"/>
    <n v="1"/>
    <x v="375"/>
    <x v="399"/>
    <x v="4"/>
    <x v="24"/>
    <x v="62"/>
    <x v="36"/>
    <s v="64-2337385-"/>
    <s v="gustavo.marin@redsalud.gob.cl"/>
    <x v="14"/>
    <m/>
    <n v="0"/>
    <m/>
    <n v="0"/>
    <n v="0"/>
    <m/>
    <x v="1"/>
  </r>
  <r>
    <s v="SERVICIO DE SALUD OSORNO"/>
    <x v="0"/>
    <x v="338"/>
    <s v="Proyecto operacional"/>
    <s v="Enviado"/>
    <n v="2771"/>
    <x v="333"/>
    <s v="4 CONTENEDORES DE PAPEL CON LAS SIGUIENTES MEDIDAS Alto 70 Cm Ancho 40 Cm Profundidad 39 Cm Peso 2,3 Kg Capacidad 60 Litros"/>
    <x v="1"/>
    <x v="203"/>
    <n v="4"/>
    <n v="4"/>
    <x v="376"/>
    <x v="149"/>
    <x v="4"/>
    <x v="35"/>
    <x v="95"/>
    <x v="94"/>
    <s v="64-2335752-"/>
    <s v="CRISTINA.COLLINAO@REDSALUD.GOB.CL"/>
    <x v="13"/>
    <m/>
    <n v="0"/>
    <m/>
    <n v="0"/>
    <n v="0"/>
    <m/>
    <x v="1"/>
  </r>
  <r>
    <s v="SERVICIO DE SALUD OSORNO"/>
    <x v="0"/>
    <x v="339"/>
    <s v="Proyecto estratégico"/>
    <s v="Enviado"/>
    <s v="Constanza García"/>
    <x v="334"/>
    <s v="Adquirir material necesario para el desarrollo de las atenciones de salud mental, favoreciendo una atención digna y de buena calidad, buscando brindar un estándar de comodidad medio para las y los pacientes, favoreciendo su apertura a la experiencia"/>
    <x v="5"/>
    <x v="212"/>
    <n v="4"/>
    <n v="2"/>
    <x v="376"/>
    <x v="400"/>
    <x v="4"/>
    <x v="35"/>
    <x v="91"/>
    <x v="89"/>
    <s v="64-2337033-"/>
    <s v="constanza.gj@gmail.com"/>
    <x v="13"/>
    <m/>
    <n v="0"/>
    <m/>
    <n v="0"/>
    <n v="0"/>
    <m/>
    <x v="1"/>
  </r>
  <r>
    <s v="SERVICIO DE SALUD OSORNO"/>
    <x v="0"/>
    <x v="339"/>
    <s v="Proyecto estratégico"/>
    <s v="Enviado"/>
    <s v="Constanza García"/>
    <x v="334"/>
    <s v="Adquirir material necesario para el desarrollo de las atenciones de salud mental, favoreciendo una atención digna y de buena calidad, buscando brindar un estándar de comodidad medio para las y los pacientes, favoreciendo su apertura a la experiencia"/>
    <x v="5"/>
    <x v="43"/>
    <n v="4"/>
    <n v="3"/>
    <x v="149"/>
    <x v="192"/>
    <x v="4"/>
    <x v="35"/>
    <x v="91"/>
    <x v="89"/>
    <s v="64-2337033-"/>
    <s v="constanza.gj@gmail.com"/>
    <x v="13"/>
    <m/>
    <n v="0"/>
    <m/>
    <n v="0"/>
    <n v="0"/>
    <m/>
    <x v="1"/>
  </r>
  <r>
    <s v="SERVICIO DE SALUD OSORNO"/>
    <x v="0"/>
    <x v="339"/>
    <s v="Proyecto estratégico"/>
    <s v="Enviado"/>
    <s v="Constanza García"/>
    <x v="334"/>
    <s v="Adquirir material necesario para el desarrollo de las atenciones de salud mental, favoreciendo una atención digna y de buena calidad, buscando brindar un estándar de comodidad medio para las y los pacientes, favoreciendo su apertura a la experiencia"/>
    <x v="5"/>
    <x v="140"/>
    <n v="4"/>
    <n v="1"/>
    <x v="322"/>
    <x v="401"/>
    <x v="4"/>
    <x v="35"/>
    <x v="91"/>
    <x v="89"/>
    <s v="64-2337033-"/>
    <s v="constanza.gj@gmail.com"/>
    <x v="13"/>
    <m/>
    <n v="0"/>
    <m/>
    <n v="0"/>
    <n v="0"/>
    <m/>
    <x v="1"/>
  </r>
  <r>
    <s v="SERVICIO DE SALUD OSORNO"/>
    <x v="0"/>
    <x v="340"/>
    <s v="Proyecto operacional"/>
    <s v="Enviado"/>
    <s v="22.01-22.04"/>
    <x v="335"/>
    <s v="Fortalecer los procesos terapéuticos y comunitarios de las personas en tratamiento, mediante espacios mensuales de resignificación que promuevan la integración familiar, la reconstrucción de vínculos y la participación activa en actividades que refuercen el sentido de pertenencia, la autoestima y la continuidad del proceso de rehabilitación."/>
    <x v="5"/>
    <x v="31"/>
    <n v="4"/>
    <n v="4626"/>
    <x v="377"/>
    <x v="402"/>
    <x v="4"/>
    <x v="38"/>
    <x v="43"/>
    <x v="48"/>
    <s v="64-2565492-"/>
    <s v="carolina.silvall@redsalud.gob.cl"/>
    <x v="13"/>
    <m/>
    <n v="0"/>
    <m/>
    <n v="0"/>
    <n v="0"/>
    <m/>
    <x v="1"/>
  </r>
  <r>
    <s v="SERVICIO DE SALUD OSORNO"/>
    <x v="0"/>
    <x v="340"/>
    <s v="Proyecto operacional"/>
    <s v="Enviado"/>
    <s v="22.01-22.04"/>
    <x v="335"/>
    <s v="Fortalecer los procesos terapéuticos y comunitarios de las personas en tratamiento, mediante espacios mensuales de resignificación que promuevan la integración familiar, la reconstrucción de vínculos y la participación activa en actividades que refuercen el sentido de pertenencia, la autoestima y la continuidad del proceso de rehabilitación."/>
    <x v="5"/>
    <x v="270"/>
    <n v="4"/>
    <n v="2406"/>
    <x v="378"/>
    <x v="403"/>
    <x v="4"/>
    <x v="38"/>
    <x v="43"/>
    <x v="48"/>
    <s v="64-2565492-"/>
    <s v="carolina.silvall@redsalud.gob.cl"/>
    <x v="13"/>
    <m/>
    <n v="0"/>
    <m/>
    <n v="0"/>
    <n v="0"/>
    <m/>
    <x v="1"/>
  </r>
  <r>
    <s v="SERVICIO DE SALUD OSORNO"/>
    <x v="0"/>
    <x v="340"/>
    <s v="Proyecto operacional"/>
    <s v="Enviado"/>
    <s v="22.01-22.04"/>
    <x v="335"/>
    <s v="Fortalecer los procesos terapéuticos y comunitarios de las personas en tratamiento, mediante espacios mensuales de resignificación que promuevan la integración familiar, la reconstrucción de vínculos y la participación activa en actividades que refuercen el sentido de pertenencia, la autoestima y la continuidad del proceso de rehabilitación."/>
    <x v="5"/>
    <x v="270"/>
    <n v="4"/>
    <n v="1224"/>
    <x v="379"/>
    <x v="404"/>
    <x v="4"/>
    <x v="38"/>
    <x v="43"/>
    <x v="48"/>
    <s v="64-2565492-"/>
    <s v="carolina.silvall@redsalud.gob.cl"/>
    <x v="13"/>
    <m/>
    <n v="0"/>
    <m/>
    <n v="0"/>
    <n v="0"/>
    <m/>
    <x v="1"/>
  </r>
  <r>
    <s v="SERVICIO DE SALUD OSORNO"/>
    <x v="0"/>
    <x v="341"/>
    <s v="Proyecto operacional"/>
    <s v="Enviado"/>
    <s v="22.01.001"/>
    <x v="336"/>
    <s v="ADQUISICIÓN DE INSUMOS DE ALIMENTACIÓN NECESARIOS PARA MANTENER LA CALIDAD DE ACTIVIDADES IMPORTANTES COMO REUNIONES CON EL INTERSECTOR , TALLERES Y CAPACITACIONES"/>
    <x v="1"/>
    <x v="82"/>
    <n v="4"/>
    <n v="40"/>
    <x v="380"/>
    <x v="405"/>
    <x v="4"/>
    <x v="35"/>
    <x v="91"/>
    <x v="89"/>
    <s v="64-2337033-"/>
    <s v="constanza.gj@gmail.com"/>
    <x v="13"/>
    <m/>
    <n v="0"/>
    <m/>
    <n v="0"/>
    <n v="0"/>
    <m/>
    <x v="1"/>
  </r>
  <r>
    <s v="SERVICIO DE SALUD OSORNO"/>
    <x v="0"/>
    <x v="342"/>
    <s v="Proyecto operacional"/>
    <s v="Enviado"/>
    <n v="2577"/>
    <x v="337"/>
    <s v="MUEBLE REPISERO PARA DOCUMENTOS DE MELAMINA"/>
    <x v="1"/>
    <x v="108"/>
    <n v="4"/>
    <n v="1"/>
    <x v="147"/>
    <x v="233"/>
    <x v="4"/>
    <x v="35"/>
    <x v="95"/>
    <x v="94"/>
    <s v="64-2335752-"/>
    <s v="CRISTINA.COLLINAO@REDSALUD.GOB.CL"/>
    <x v="13"/>
    <m/>
    <n v="0"/>
    <m/>
    <n v="0"/>
    <n v="0"/>
    <m/>
    <x v="1"/>
  </r>
  <r>
    <s v="SERVICIO DE SALUD OSORNO"/>
    <x v="0"/>
    <x v="343"/>
    <s v="Proyecto operacional"/>
    <s v="Enviado"/>
    <s v="22.02.001"/>
    <x v="338"/>
    <s v="Ejecución de las olimpiadas del adolescente a realizar en contexto de prevención de la obesidad."/>
    <x v="0"/>
    <x v="271"/>
    <n v="4"/>
    <n v="20"/>
    <x v="381"/>
    <x v="149"/>
    <x v="4"/>
    <x v="32"/>
    <x v="73"/>
    <x v="75"/>
    <s v="64-25806-"/>
    <s v="francisca.contreras.c@redsalud.gob.cl"/>
    <x v="19"/>
    <m/>
    <n v="0"/>
    <m/>
    <n v="0"/>
    <n v="0"/>
    <m/>
    <x v="1"/>
  </r>
  <r>
    <s v="SERVICIO DE SALUD OSORNO"/>
    <x v="0"/>
    <x v="343"/>
    <s v="Proyecto operacional"/>
    <s v="Enviado"/>
    <s v="22.02.001"/>
    <x v="338"/>
    <s v="Ejecución de las olimpiadas del adolescente a realizar en contexto de prevención de la obesidad."/>
    <x v="0"/>
    <x v="272"/>
    <n v="4"/>
    <n v="100"/>
    <x v="139"/>
    <x v="130"/>
    <x v="4"/>
    <x v="32"/>
    <x v="73"/>
    <x v="75"/>
    <s v="64-25806-"/>
    <s v="francisca.contreras.c@redsalud.gob.cl"/>
    <x v="19"/>
    <m/>
    <n v="0"/>
    <m/>
    <n v="0"/>
    <n v="0"/>
    <m/>
    <x v="1"/>
  </r>
  <r>
    <s v="SERVICIO DE SALUD OSORNO"/>
    <x v="0"/>
    <x v="344"/>
    <s v="Proyecto operacional"/>
    <s v="Enviado"/>
    <n v="2588"/>
    <x v="339"/>
    <s v="Tener stock para reuniones del Director durante el año y recepción parcializada en 4 meses."/>
    <x v="0"/>
    <x v="31"/>
    <n v="4"/>
    <n v="118"/>
    <x v="382"/>
    <x v="406"/>
    <x v="4"/>
    <x v="35"/>
    <x v="96"/>
    <x v="92"/>
    <s v="64-2335750-"/>
    <s v="claudia.veraa@redsalud.gob.cl"/>
    <x v="13"/>
    <m/>
    <n v="0"/>
    <m/>
    <n v="0"/>
    <n v="0"/>
    <m/>
    <x v="1"/>
  </r>
  <r>
    <s v="SERVICIO DE SALUD OSORNO"/>
    <x v="0"/>
    <x v="344"/>
    <s v="Proyecto operacional"/>
    <s v="Enviado"/>
    <n v="2588"/>
    <x v="339"/>
    <s v="Tener stock para reuniones del Director durante el año y recepción parcializada en 4 meses."/>
    <x v="0"/>
    <x v="113"/>
    <n v="4"/>
    <n v="2022"/>
    <x v="383"/>
    <x v="407"/>
    <x v="4"/>
    <x v="35"/>
    <x v="96"/>
    <x v="92"/>
    <s v="64-2335750-"/>
    <s v="claudia.veraa@redsalud.gob.cl"/>
    <x v="13"/>
    <m/>
    <n v="0"/>
    <m/>
    <n v="0"/>
    <n v="0"/>
    <m/>
    <x v="1"/>
  </r>
  <r>
    <s v="SERVICIO DE SALUD OSORNO"/>
    <x v="0"/>
    <x v="345"/>
    <s v="Proyecto operacional"/>
    <s v="Enviado"/>
    <n v="2513"/>
    <x v="340"/>
    <s v="Contratar mediante Licitaciones, Compra Ágil, Trato Directo, Convenio Marco (Consultorías, Pasajes) o según sea la necesidad, servicios de docencia/relatoría, consultoría, alimentación y compra de Artículos de librería, pasajes y hospedaje a relatores y otros servicios complementarios, para ejecutar los Programas Anuales de Capacitación de los diferentes establecimientos de la Red Asistencial, incluido APS, con excepción del Hospital Base San José Osorno dado que es establecimiento autogestionado. Compra durante Primer Semestre 2026 y 3er Trim"/>
    <x v="9"/>
    <x v="273"/>
    <n v="4"/>
    <n v="60"/>
    <x v="384"/>
    <x v="408"/>
    <x v="4"/>
    <x v="33"/>
    <x v="97"/>
    <x v="95"/>
    <s v="64-2335849-"/>
    <s v="angela.montesinos@redsalud.gob.cl"/>
    <x v="15"/>
    <m/>
    <n v="0"/>
    <m/>
    <n v="0"/>
    <n v="0"/>
    <m/>
    <x v="1"/>
  </r>
  <r>
    <s v="SERVICIO DE SALUD OSORNO"/>
    <x v="0"/>
    <x v="345"/>
    <s v="Proyecto operacional"/>
    <s v="Enviado"/>
    <n v="2513"/>
    <x v="340"/>
    <s v="Contratar mediante Licitaciones, Compra Ágil, Trato Directo, Convenio Marco (Consultorías, Pasajes) o según sea la necesidad, servicios de docencia/relatoría, consultoría, alimentación y compra de Artículos de librería, pasajes y hospedaje a relatores y otros servicios complementarios, para ejecutar los Programas Anuales de Capacitación de los diferentes establecimientos de la Red Asistencial, incluido APS, con excepción del Hospital Base San José Osorno dado que es establecimiento autogestionado. Compra durante Primer Semestre 2026 y 3er Trim"/>
    <x v="9"/>
    <x v="274"/>
    <n v="4"/>
    <n v="300"/>
    <x v="315"/>
    <x v="409"/>
    <x v="4"/>
    <x v="33"/>
    <x v="97"/>
    <x v="95"/>
    <s v="64-2335849-"/>
    <s v="angela.montesinos@redsalud.gob.cl"/>
    <x v="15"/>
    <m/>
    <n v="0"/>
    <m/>
    <n v="0"/>
    <n v="0"/>
    <m/>
    <x v="1"/>
  </r>
  <r>
    <s v="SERVICIO DE SALUD OSORNO"/>
    <x v="0"/>
    <x v="345"/>
    <s v="Proyecto operacional"/>
    <s v="Enviado"/>
    <n v="2513"/>
    <x v="340"/>
    <s v="Contratar mediante Licitaciones, Compra Ágil, Trato Directo, Convenio Marco (Consultorías, Pasajes) o según sea la necesidad, servicios de docencia/relatoría, consultoría, alimentación y compra de Artículos de librería, pasajes y hospedaje a relatores y otros servicios complementarios, para ejecutar los Programas Anuales de Capacitación de los diferentes establecimientos de la Red Asistencial, incluido APS, con excepción del Hospital Base San José Osorno dado que es establecimiento autogestionado. Compra durante Primer Semestre 2026 y 3er Trim"/>
    <x v="9"/>
    <x v="275"/>
    <n v="4"/>
    <n v="1200"/>
    <x v="28"/>
    <x v="410"/>
    <x v="4"/>
    <x v="26"/>
    <x v="97"/>
    <x v="95"/>
    <s v="64-2335849-"/>
    <s v="angela.montesinos@redsalud.gob.cl"/>
    <x v="24"/>
    <m/>
    <n v="0"/>
    <m/>
    <n v="0"/>
    <n v="0"/>
    <m/>
    <x v="1"/>
  </r>
  <r>
    <s v="SERVICIO DE SALUD OSORNO"/>
    <x v="0"/>
    <x v="345"/>
    <s v="Proyecto operacional"/>
    <s v="Enviado"/>
    <n v="2513"/>
    <x v="340"/>
    <s v="Contratar mediante Licitaciones, Compra Ágil, Trato Directo, Convenio Marco (Consultorías, Pasajes) o según sea la necesidad, servicios de docencia/relatoría, consultoría, alimentación y compra de Artículos de librería, pasajes y hospedaje a relatores y otros servicios complementarios, para ejecutar los Programas Anuales de Capacitación de los diferentes establecimientos de la Red Asistencial, incluido APS, con excepción del Hospital Base San José Osorno dado que es establecimiento autogestionado. Compra durante Primer Semestre 2026 y 3er Trim"/>
    <x v="9"/>
    <x v="31"/>
    <n v="4"/>
    <n v="880"/>
    <x v="385"/>
    <x v="411"/>
    <x v="4"/>
    <x v="33"/>
    <x v="97"/>
    <x v="95"/>
    <s v="64-2335849-"/>
    <s v="angela.montesinos@redsalud.gob.cl"/>
    <x v="15"/>
    <m/>
    <n v="0"/>
    <m/>
    <n v="0"/>
    <n v="0"/>
    <m/>
    <x v="1"/>
  </r>
  <r>
    <s v="SERVICIO DE SALUD OSORNO"/>
    <x v="0"/>
    <x v="345"/>
    <s v="Proyecto operacional"/>
    <s v="Enviado"/>
    <n v="2513"/>
    <x v="340"/>
    <s v="Contratar mediante Licitaciones, Compra Ágil, Trato Directo, Convenio Marco (Consultorías, Pasajes) o según sea la necesidad, servicios de docencia/relatoría, consultoría, alimentación y compra de Artículos de librería, pasajes y hospedaje a relatores y otros servicios complementarios, para ejecutar los Programas Anuales de Capacitación de los diferentes establecimientos de la Red Asistencial, incluido APS, con excepción del Hospital Base San José Osorno dado que es establecimiento autogestionado. Compra durante Primer Semestre 2026 y 3er Trim"/>
    <x v="9"/>
    <x v="270"/>
    <n v="4"/>
    <n v="80"/>
    <x v="386"/>
    <x v="412"/>
    <x v="4"/>
    <x v="33"/>
    <x v="97"/>
    <x v="95"/>
    <s v="64-2335849-"/>
    <s v="angela.montesinos@redsalud.gob.cl"/>
    <x v="15"/>
    <m/>
    <n v="0"/>
    <m/>
    <n v="0"/>
    <n v="0"/>
    <m/>
    <x v="1"/>
  </r>
  <r>
    <s v="SERVICIO DE SALUD OSORNO"/>
    <x v="0"/>
    <x v="345"/>
    <s v="Proyecto operacional"/>
    <s v="Enviado"/>
    <n v="2513"/>
    <x v="340"/>
    <s v="Contratar mediante Licitaciones, Compra Ágil, Trato Directo, Convenio Marco (Consultorías, Pasajes) o según sea la necesidad, servicios de docencia/relatoría, consultoría, alimentación y compra de Artículos de librería, pasajes y hospedaje a relatores y otros servicios complementarios, para ejecutar los Programas Anuales de Capacitación de los diferentes establecimientos de la Red Asistencial, incluido APS, con excepción del Hospital Base San José Osorno dado que es establecimiento autogestionado. Compra durante Primer Semestre 2026 y 3er Trim"/>
    <x v="9"/>
    <x v="276"/>
    <n v="4"/>
    <n v="3200"/>
    <x v="387"/>
    <x v="413"/>
    <x v="4"/>
    <x v="33"/>
    <x v="97"/>
    <x v="95"/>
    <s v="64-2335849-"/>
    <s v="angela.montesinos@redsalud.gob.cl"/>
    <x v="15"/>
    <m/>
    <n v="0"/>
    <m/>
    <n v="0"/>
    <n v="0"/>
    <m/>
    <x v="1"/>
  </r>
  <r>
    <s v="SERVICIO DE SALUD OSORNO"/>
    <x v="0"/>
    <x v="345"/>
    <s v="Proyecto operacional"/>
    <s v="Enviado"/>
    <n v="2513"/>
    <x v="340"/>
    <s v="Contratar mediante Licitaciones, Compra Ágil, Trato Directo, Convenio Marco (Consultorías, Pasajes) o según sea la necesidad, servicios de docencia/relatoría, consultoría, alimentación y compra de Artículos de librería, pasajes y hospedaje a relatores y otros servicios complementarios, para ejecutar los Programas Anuales de Capacitación de los diferentes establecimientos de la Red Asistencial, incluido APS, con excepción del Hospital Base San José Osorno dado que es establecimiento autogestionado. Compra durante Primer Semestre 2026 y 3er Trim"/>
    <x v="9"/>
    <x v="277"/>
    <n v="4"/>
    <n v="40"/>
    <x v="388"/>
    <x v="231"/>
    <x v="4"/>
    <x v="33"/>
    <x v="97"/>
    <x v="95"/>
    <s v="64-2335849-"/>
    <s v="angela.montesinos@redsalud.gob.cl"/>
    <x v="15"/>
    <m/>
    <n v="0"/>
    <m/>
    <n v="0"/>
    <n v="0"/>
    <m/>
    <x v="1"/>
  </r>
  <r>
    <s v="SERVICIO DE SALUD OSORNO"/>
    <x v="0"/>
    <x v="345"/>
    <s v="Proyecto operacional"/>
    <s v="Enviado"/>
    <n v="2513"/>
    <x v="340"/>
    <s v="Contratar mediante Licitaciones, Compra Ágil, Trato Directo, Convenio Marco (Consultorías, Pasajes) o según sea la necesidad, servicios de docencia/relatoría, consultoría, alimentación y compra de Artículos de librería, pasajes y hospedaje a relatores y otros servicios complementarios, para ejecutar los Programas Anuales de Capacitación de los diferentes establecimientos de la Red Asistencial, incluido APS, con excepción del Hospital Base San José Osorno dado que es establecimiento autogestionado. Compra durante Primer Semestre 2026 y 3er Trim"/>
    <x v="9"/>
    <x v="278"/>
    <n v="4"/>
    <n v="5"/>
    <x v="225"/>
    <x v="231"/>
    <x v="4"/>
    <x v="33"/>
    <x v="97"/>
    <x v="95"/>
    <s v="64-2335849-"/>
    <s v="angela.montesinos@redsalud.gob.cl"/>
    <x v="15"/>
    <m/>
    <n v="0"/>
    <m/>
    <n v="0"/>
    <n v="0"/>
    <m/>
    <x v="1"/>
  </r>
  <r>
    <s v="SERVICIO DE SALUD OSORNO"/>
    <x v="0"/>
    <x v="345"/>
    <s v="Proyecto operacional"/>
    <s v="Enviado"/>
    <n v="2513"/>
    <x v="340"/>
    <s v="Contratar mediante Licitaciones, Compra Ágil, Trato Directo, Convenio Marco (Consultorías, Pasajes) o según sea la necesidad, servicios de docencia/relatoría, consultoría, alimentación y compra de Artículos de librería, pasajes y hospedaje a relatores y otros servicios complementarios, para ejecutar los Programas Anuales de Capacitación de los diferentes establecimientos de la Red Asistencial, incluido APS, con excepción del Hospital Base San José Osorno dado que es establecimiento autogestionado. Compra durante Primer Semestre 2026 y 3er Trim"/>
    <x v="9"/>
    <x v="279"/>
    <n v="4"/>
    <n v="5"/>
    <x v="212"/>
    <x v="60"/>
    <x v="4"/>
    <x v="26"/>
    <x v="97"/>
    <x v="95"/>
    <s v="64-2335849-"/>
    <s v="angela.montesinos@redsalud.gob.cl"/>
    <x v="24"/>
    <m/>
    <n v="0"/>
    <m/>
    <n v="0"/>
    <n v="0"/>
    <m/>
    <x v="1"/>
  </r>
  <r>
    <s v="SERVICIO DE SALUD OSORNO"/>
    <x v="0"/>
    <x v="346"/>
    <s v="Proyecto operacional"/>
    <s v="Enviado"/>
    <s v="22.04"/>
    <x v="341"/>
    <s v="Se requiere la reposición y adquisición de insumos médicos para los botiquines de las Unidades Residencial y Ambulatoria de la Comunidad Terapéutica. Con personal compuestos por enfermeros, técnicos paramédicos y médicos, se busca atender emergencias, aliviar el dolor, realizar curaciones y manejar patologías menores. Contar con botiquines equipados permite brindar atención primaria oportuna ante eventos ocurridos durante la estadía o actividades de la unidad."/>
    <x v="5"/>
    <x v="280"/>
    <n v="4"/>
    <n v="23"/>
    <x v="389"/>
    <x v="414"/>
    <x v="4"/>
    <x v="33"/>
    <x v="43"/>
    <x v="48"/>
    <s v="64-2565492-"/>
    <s v="carolina.silvall@redsalud.gob.cl"/>
    <x v="15"/>
    <m/>
    <n v="0"/>
    <m/>
    <n v="0"/>
    <n v="0"/>
    <m/>
    <x v="1"/>
  </r>
  <r>
    <s v="SERVICIO DE SALUD OSORNO"/>
    <x v="0"/>
    <x v="346"/>
    <s v="Proyecto operacional"/>
    <s v="Enviado"/>
    <s v="22.04"/>
    <x v="341"/>
    <s v="Se requiere la reposición y adquisición de insumos médicos para los botiquines de las Unidades Residencial y Ambulatoria de la Comunidad Terapéutica. Con personal compuestos por enfermeros, técnicos paramédicos y médicos, se busca atender emergencias, aliviar el dolor, realizar curaciones y manejar patologías menores. Contar con botiquines equipados permite brindar atención primaria oportuna ante eventos ocurridos durante la estadía o actividades de la unidad."/>
    <x v="5"/>
    <x v="281"/>
    <n v="4"/>
    <n v="431"/>
    <x v="390"/>
    <x v="415"/>
    <x v="4"/>
    <x v="33"/>
    <x v="43"/>
    <x v="48"/>
    <s v="64-2565492-"/>
    <s v="carolina.silvall@redsalud.gob.cl"/>
    <x v="15"/>
    <m/>
    <n v="0"/>
    <m/>
    <n v="0"/>
    <n v="0"/>
    <m/>
    <x v="1"/>
  </r>
  <r>
    <s v="SERVICIO DE SALUD OSORNO"/>
    <x v="0"/>
    <x v="346"/>
    <s v="Proyecto operacional"/>
    <s v="Enviado"/>
    <s v="22.04"/>
    <x v="341"/>
    <s v="Se requiere la reposición y adquisición de insumos médicos para los botiquines de las Unidades Residencial y Ambulatoria de la Comunidad Terapéutica. Con personal compuestos por enfermeros, técnicos paramédicos y médicos, se busca atender emergencias, aliviar el dolor, realizar curaciones y manejar patologías menores. Contar con botiquines equipados permite brindar atención primaria oportuna ante eventos ocurridos durante la estadía o actividades de la unidad."/>
    <x v="5"/>
    <x v="282"/>
    <n v="4"/>
    <n v="3002"/>
    <x v="391"/>
    <x v="416"/>
    <x v="4"/>
    <x v="33"/>
    <x v="43"/>
    <x v="48"/>
    <s v="64-2565492-"/>
    <s v="carolina.silvall@redsalud.gob.cl"/>
    <x v="15"/>
    <m/>
    <n v="0"/>
    <m/>
    <n v="0"/>
    <n v="0"/>
    <m/>
    <x v="1"/>
  </r>
  <r>
    <s v="SERVICIO DE SALUD OSORNO"/>
    <x v="0"/>
    <x v="347"/>
    <s v="Proyecto operacional"/>
    <s v="Enviado"/>
    <n v="2592"/>
    <x v="342"/>
    <s v="Adquisición de insumos médicos para el control cardiovascular/integral en APS. 1) EQUIPO DE CURACION DESECHABLE: 2.000 UNIDADES. 2) CURETAS FOX (3 mm o 4 mm): 500 UNIDADES (19 cajas c/25 unidades). 3) MONOFILAMENTO SEMMES WEINSTEIN: 250 UNIDADES. 4) CINTA MÉTRICA RETRÁCTIL: 150 UNIDADES. Compra para marzo 2025."/>
    <x v="1"/>
    <x v="89"/>
    <n v="4"/>
    <n v="2900"/>
    <x v="392"/>
    <x v="417"/>
    <x v="4"/>
    <x v="32"/>
    <x v="24"/>
    <x v="91"/>
    <s v="64-2335810-"/>
    <s v="consuelo.cordova@redsalud.gob.cl"/>
    <x v="21"/>
    <m/>
    <n v="0"/>
    <m/>
    <n v="0"/>
    <n v="0"/>
    <m/>
    <x v="1"/>
  </r>
  <r>
    <s v="SERVICIO DE SALUD OSORNO"/>
    <x v="0"/>
    <x v="348"/>
    <s v="Proyecto operacional"/>
    <s v="Enviado"/>
    <s v="22.04"/>
    <x v="343"/>
    <s v="Mantener stock de recursos para el desarrollo de actividades psicopedagógicas y desde el abordaje cognitivo conductual de todos los terapeutas, todas dirigidas a que las personas en tratamientos y familiares logren a través de actividades grupales dirigidas, adquirir conocimientos de forma lúdica con estrategias que permitan el desarrollo de creatividad, estimulación y discriminación visual."/>
    <x v="0"/>
    <x v="267"/>
    <n v="4"/>
    <n v="731"/>
    <x v="393"/>
    <x v="418"/>
    <x v="4"/>
    <x v="24"/>
    <x v="43"/>
    <x v="48"/>
    <s v="64-2565492-"/>
    <s v="carolina.silvall@redsalud.gob.cl"/>
    <x v="21"/>
    <m/>
    <n v="0"/>
    <m/>
    <n v="0"/>
    <n v="0"/>
    <m/>
    <x v="1"/>
  </r>
  <r>
    <s v="SERVICIO DE SALUD OSORNO"/>
    <x v="0"/>
    <x v="348"/>
    <s v="Proyecto operacional"/>
    <s v="Enviado"/>
    <s v="22.04"/>
    <x v="343"/>
    <s v="Mantener stock de recursos para el desarrollo de actividades psicopedagógicas y desde el abordaje cognitivo conductual de todos los terapeutas, todas dirigidas a que las personas en tratamientos y familiares logren a través de actividades grupales dirigidas, adquirir conocimientos de forma lúdica con estrategias que permitan el desarrollo de creatividad, estimulación y discriminación visual."/>
    <x v="0"/>
    <x v="276"/>
    <n v="4"/>
    <n v="70"/>
    <x v="394"/>
    <x v="419"/>
    <x v="4"/>
    <x v="24"/>
    <x v="43"/>
    <x v="48"/>
    <s v="64-2565492-"/>
    <s v="carolina.silvall@redsalud.gob.cl"/>
    <x v="21"/>
    <m/>
    <n v="0"/>
    <m/>
    <n v="0"/>
    <n v="0"/>
    <m/>
    <x v="1"/>
  </r>
  <r>
    <s v="SERVICIO DE SALUD OSORNO"/>
    <x v="0"/>
    <x v="349"/>
    <s v="Proyecto operacional"/>
    <s v="Enviado"/>
    <s v="22.04"/>
    <x v="344"/>
    <s v="Adquisición de insumos para la atención y educación en salud, a personas bajo control en distintos programas de la atención primaria: - 100 cajas Apositos - 10 linternas frontales - 10 diapazón - 10 tijera corta yeso dentada Bruns - 10 fonendoscopios pediátricos - 14 Podoscopio"/>
    <x v="5"/>
    <x v="184"/>
    <n v="4"/>
    <n v="44"/>
    <x v="395"/>
    <x v="420"/>
    <x v="4"/>
    <x v="32"/>
    <x v="24"/>
    <x v="91"/>
    <s v="64-2335810-"/>
    <s v="consuelo.cordova@redsalud.gob.cl"/>
    <x v="21"/>
    <m/>
    <n v="0"/>
    <m/>
    <n v="0"/>
    <n v="0"/>
    <m/>
    <x v="1"/>
  </r>
  <r>
    <s v="SERVICIO DE SALUD OSORNO"/>
    <x v="0"/>
    <x v="349"/>
    <s v="Proyecto operacional"/>
    <s v="Enviado"/>
    <s v="22.04"/>
    <x v="344"/>
    <s v="Adquisición de insumos para la atención y educación en salud, a personas bajo control en distintos programas de la atención primaria: - 100 cajas Apositos - 10 linternas frontales - 10 diapazón - 10 tijera corta yeso dentada Bruns - 10 fonendoscopios pediátricos - 14 Podoscopio"/>
    <x v="5"/>
    <x v="283"/>
    <n v="4"/>
    <n v="10"/>
    <x v="156"/>
    <x v="182"/>
    <x v="4"/>
    <x v="32"/>
    <x v="24"/>
    <x v="91"/>
    <s v="64-2335810-"/>
    <s v="consuelo.cordova@redsalud.gob.cl"/>
    <x v="21"/>
    <m/>
    <n v="0"/>
    <m/>
    <n v="0"/>
    <n v="0"/>
    <m/>
    <x v="1"/>
  </r>
  <r>
    <s v="SERVICIO DE SALUD OSORNO"/>
    <x v="0"/>
    <x v="349"/>
    <s v="Proyecto operacional"/>
    <s v="Enviado"/>
    <s v="22.04"/>
    <x v="344"/>
    <s v="Adquisición de insumos para la atención y educación en salud, a personas bajo control en distintos programas de la atención primaria: - 100 cajas Apositos - 10 linternas frontales - 10 diapazón - 10 tijera corta yeso dentada Bruns - 10 fonendoscopios pediátricos - 14 Podoscopio"/>
    <x v="5"/>
    <x v="284"/>
    <n v="4"/>
    <n v="100"/>
    <x v="225"/>
    <x v="95"/>
    <x v="4"/>
    <x v="32"/>
    <x v="24"/>
    <x v="91"/>
    <s v="64-2335810-"/>
    <s v="consuelo.cordova@redsalud.gob.cl"/>
    <x v="21"/>
    <m/>
    <n v="0"/>
    <m/>
    <n v="0"/>
    <n v="0"/>
    <m/>
    <x v="1"/>
  </r>
  <r>
    <s v="SERVICIO DE SALUD OSORNO"/>
    <x v="0"/>
    <x v="350"/>
    <s v="Proyecto operacional"/>
    <s v="Enviado"/>
    <n v="2590"/>
    <x v="345"/>
    <s v="Realizar actividad conmemorativa enmarcada en el cumplimiento de los 10 años de antigüedad del centro kümelen en septiembre 2026."/>
    <x v="5"/>
    <x v="63"/>
    <n v="4"/>
    <n v="100"/>
    <x v="182"/>
    <x v="199"/>
    <x v="4"/>
    <x v="26"/>
    <x v="98"/>
    <x v="96"/>
    <s v="64-2337366-"/>
    <s v="carlos.utreras@redsalud.gob.cl"/>
    <x v="16"/>
    <m/>
    <n v="0"/>
    <m/>
    <n v="0"/>
    <n v="0"/>
    <m/>
    <x v="1"/>
  </r>
  <r>
    <s v="SERVICIO DE SALUD OSORNO"/>
    <x v="0"/>
    <x v="350"/>
    <s v="Proyecto operacional"/>
    <s v="Enviado"/>
    <n v="2590"/>
    <x v="345"/>
    <s v="Realizar actividad conmemorativa enmarcada en el cumplimiento de los 10 años de antigüedad del centro kümelen en septiembre 2026."/>
    <x v="5"/>
    <x v="285"/>
    <n v="4"/>
    <n v="200"/>
    <x v="396"/>
    <x v="401"/>
    <x v="4"/>
    <x v="26"/>
    <x v="98"/>
    <x v="96"/>
    <s v="64-2337366-"/>
    <s v="carlos.utreras@redsalud.gob.cl"/>
    <x v="16"/>
    <m/>
    <n v="0"/>
    <m/>
    <n v="0"/>
    <n v="0"/>
    <m/>
    <x v="1"/>
  </r>
  <r>
    <s v="SERVICIO DE SALUD OSORNO"/>
    <x v="0"/>
    <x v="350"/>
    <s v="Proyecto operacional"/>
    <s v="Enviado"/>
    <n v="2590"/>
    <x v="345"/>
    <s v="Realizar actividad conmemorativa enmarcada en el cumplimiento de los 10 años de antigüedad del centro kümelen en septiembre 2026."/>
    <x v="5"/>
    <x v="135"/>
    <n v="4"/>
    <n v="100"/>
    <x v="357"/>
    <x v="421"/>
    <x v="4"/>
    <x v="26"/>
    <x v="98"/>
    <x v="96"/>
    <s v="64-2337366-"/>
    <s v="carlos.utreras@redsalud.gob.cl"/>
    <x v="16"/>
    <m/>
    <n v="0"/>
    <m/>
    <n v="0"/>
    <n v="0"/>
    <m/>
    <x v="1"/>
  </r>
  <r>
    <s v="SERVICIO DE SALUD OSORNO"/>
    <x v="1"/>
    <x v="351"/>
    <s v="Proyecto estratégico"/>
    <s v="Enviado"/>
    <s v="22.01-22.04-22.02"/>
    <x v="346"/>
    <s v="Consiste en enseñar a los usuarios de forma teórico-práctica habilidades para lograr la máxima independencia de los usuarios de salud mental. Fomentar máxima autonomía posible de los participantes según su nivel de funcionalidad, identificar las fortalezas y necesidades individuales de cada participante, desarrollar habilidades para la vida diaria en AVD básicas, instrumentales, en interacción y comunicación, explorar los recursos disponibles en la comunidad para brindar apoyo adicional."/>
    <x v="7"/>
    <x v="286"/>
    <n v="4"/>
    <n v="17"/>
    <x v="397"/>
    <x v="422"/>
    <x v="4"/>
    <x v="38"/>
    <x v="44"/>
    <x v="97"/>
    <s v="64-2565610-"/>
    <s v="pedro.fritz@redsalud.gob.cl"/>
    <x v="13"/>
    <m/>
    <n v="0"/>
    <m/>
    <n v="0"/>
    <n v="0"/>
    <m/>
    <x v="1"/>
  </r>
  <r>
    <s v="SERVICIO DE SALUD OSORNO"/>
    <x v="1"/>
    <x v="351"/>
    <s v="Proyecto estratégico"/>
    <s v="Enviado"/>
    <s v="22.01-22.04-22.02"/>
    <x v="346"/>
    <s v="Consiste en enseñar a los usuarios de forma teórico-práctica habilidades para lograr la máxima independencia de los usuarios de salud mental. Fomentar máxima autonomía posible de los participantes según su nivel de funcionalidad, identificar las fortalezas y necesidades individuales de cada participante, desarrollar habilidades para la vida diaria en AVD básicas, instrumentales, en interacción y comunicación, explorar los recursos disponibles en la comunidad para brindar apoyo adicional."/>
    <x v="7"/>
    <x v="31"/>
    <n v="4"/>
    <n v="24"/>
    <x v="398"/>
    <x v="423"/>
    <x v="4"/>
    <x v="38"/>
    <x v="44"/>
    <x v="97"/>
    <s v="64-2565610-"/>
    <s v="pedro.fritz@redsalud.gob.cl"/>
    <x v="13"/>
    <m/>
    <n v="0"/>
    <m/>
    <n v="0"/>
    <n v="0"/>
    <m/>
    <x v="1"/>
  </r>
  <r>
    <s v="SERVICIO DE SALUD OSORNO"/>
    <x v="1"/>
    <x v="351"/>
    <s v="Proyecto estratégico"/>
    <s v="Enviado"/>
    <s v="22.01-22.04-22.02"/>
    <x v="346"/>
    <s v="Consiste en enseñar a los usuarios de forma teórico-práctica habilidades para lograr la máxima independencia de los usuarios de salud mental. Fomentar máxima autonomía posible de los participantes según su nivel de funcionalidad, identificar las fortalezas y necesidades individuales de cada participante, desarrollar habilidades para la vida diaria en AVD básicas, instrumentales, en interacción y comunicación, explorar los recursos disponibles en la comunidad para brindar apoyo adicional."/>
    <x v="7"/>
    <x v="287"/>
    <n v="4"/>
    <n v="18"/>
    <x v="399"/>
    <x v="424"/>
    <x v="4"/>
    <x v="38"/>
    <x v="44"/>
    <x v="97"/>
    <s v="64-2565610-"/>
    <s v="pedro.fritz@redsalud.gob.cl"/>
    <x v="13"/>
    <m/>
    <n v="0"/>
    <m/>
    <n v="0"/>
    <n v="0"/>
    <m/>
    <x v="1"/>
  </r>
  <r>
    <s v="SERVICIO DE SALUD OSORNO"/>
    <x v="1"/>
    <x v="351"/>
    <s v="Proyecto estratégico"/>
    <s v="Enviado"/>
    <s v="22.01-22.04-22.02"/>
    <x v="346"/>
    <s v="Consiste en enseñar a los usuarios de forma teórico-práctica habilidades para lograr la máxima independencia de los usuarios de salud mental. Fomentar máxima autonomía posible de los participantes según su nivel de funcionalidad, identificar las fortalezas y necesidades individuales de cada participante, desarrollar habilidades para la vida diaria en AVD básicas, instrumentales, en interacción y comunicación, explorar los recursos disponibles en la comunidad para brindar apoyo adicional."/>
    <x v="7"/>
    <x v="288"/>
    <n v="4"/>
    <n v="4"/>
    <x v="87"/>
    <x v="150"/>
    <x v="4"/>
    <x v="38"/>
    <x v="44"/>
    <x v="97"/>
    <s v="64-2565610-"/>
    <s v="pedro.fritz@redsalud.gob.cl"/>
    <x v="13"/>
    <m/>
    <n v="0"/>
    <m/>
    <n v="0"/>
    <n v="0"/>
    <m/>
    <x v="1"/>
  </r>
  <r>
    <s v="SERVICIO DE SALUD OSORNO"/>
    <x v="1"/>
    <x v="351"/>
    <s v="Proyecto estratégico"/>
    <s v="Enviado"/>
    <s v="22.01-22.04-22.02"/>
    <x v="346"/>
    <s v="Consiste en enseñar a los usuarios de forma teórico-práctica habilidades para lograr la máxima independencia de los usuarios de salud mental. Fomentar máxima autonomía posible de los participantes según su nivel de funcionalidad, identificar las fortalezas y necesidades individuales de cada participante, desarrollar habilidades para la vida diaria en AVD básicas, instrumentales, en interacción y comunicación, explorar los recursos disponibles en la comunidad para brindar apoyo adicional."/>
    <x v="7"/>
    <x v="289"/>
    <n v="4"/>
    <n v="1"/>
    <x v="400"/>
    <x v="425"/>
    <x v="4"/>
    <x v="38"/>
    <x v="44"/>
    <x v="97"/>
    <s v="64-2565610-"/>
    <s v="pedro.fritz@redsalud.gob.cl"/>
    <x v="13"/>
    <m/>
    <n v="0"/>
    <m/>
    <n v="0"/>
    <n v="0"/>
    <m/>
    <x v="1"/>
  </r>
  <r>
    <s v="SERVICIO DE SALUD OSORNO"/>
    <x v="0"/>
    <x v="352"/>
    <s v="Proyecto operacional"/>
    <s v="Enviado"/>
    <n v="2591"/>
    <x v="347"/>
    <s v="Adquisición de ciclo de capacitaciones para la red asistencial en ECICEP, considerando capacitaciones transversales para el equipo de salud, capacitaciones para Médicos, Capacitaciones para Enfermeras y TENS."/>
    <x v="1"/>
    <x v="290"/>
    <n v="4"/>
    <n v="4"/>
    <x v="401"/>
    <x v="426"/>
    <x v="4"/>
    <x v="24"/>
    <x v="83"/>
    <x v="98"/>
    <s v="64-2335465-"/>
    <s v="mariapaz.gomez.n@redsalud.gob.cl"/>
    <x v="14"/>
    <m/>
    <n v="0"/>
    <m/>
    <n v="0"/>
    <n v="0"/>
    <m/>
    <x v="1"/>
  </r>
  <r>
    <s v="SERVICIO DE SALUD OSORNO"/>
    <x v="0"/>
    <x v="353"/>
    <s v="Proyecto operacional"/>
    <s v="Enviado"/>
    <s v="22.04.003"/>
    <x v="348"/>
    <s v="Adquisición de insumos clínicos necesarios para la atención de usuarias en un entorno limpio e higiénico."/>
    <x v="0"/>
    <x v="291"/>
    <n v="4"/>
    <n v="412"/>
    <x v="402"/>
    <x v="427"/>
    <x v="4"/>
    <x v="35"/>
    <x v="99"/>
    <x v="99"/>
    <s v="64-2331026-"/>
    <s v="barbara.mendez@redsalud.gob.cl"/>
    <x v="13"/>
    <m/>
    <n v="0"/>
    <m/>
    <n v="0"/>
    <n v="0"/>
    <m/>
    <x v="1"/>
  </r>
  <r>
    <s v="SERVICIO DE SALUD OSORNO"/>
    <x v="0"/>
    <x v="353"/>
    <s v="Proyecto operacional"/>
    <s v="Enviado"/>
    <s v="22.04.003"/>
    <x v="348"/>
    <s v="Adquisición de insumos clínicos necesarios para la atención de usuarias en un entorno limpio e higiénico."/>
    <x v="0"/>
    <x v="292"/>
    <n v="4"/>
    <n v="1200"/>
    <x v="403"/>
    <x v="428"/>
    <x v="4"/>
    <x v="35"/>
    <x v="99"/>
    <x v="99"/>
    <s v="64-2331026-"/>
    <s v="barbara.mendez@redsalud.gob.cl"/>
    <x v="13"/>
    <m/>
    <n v="0"/>
    <m/>
    <n v="0"/>
    <n v="0"/>
    <m/>
    <x v="1"/>
  </r>
  <r>
    <s v="SERVICIO DE SALUD OSORNO"/>
    <x v="0"/>
    <x v="354"/>
    <s v="Proyecto operacional"/>
    <s v="Enviado"/>
    <n v="2594"/>
    <x v="349"/>
    <s v="1) 10 Set de brazaletes tensiómetros reusables para la medición de la presión arterial. Cada Set viene brazaletes de 4 tamaños: Pediátrico (15-21 cms), Adulto pequeño/Adolescente (20-26 cms), Adulto mediano (25-34 cms), Adulto grande/Obeso (32-43 cms). Garantía técnica mínima 18 meses. 2) 10 unidades esfigmomanómetro automatizado, diseñado para la medición de la presión arterial y la frecuencia cardíaca en personas con edades superiores a los 3 años. Validado para Chile y autorizado por Minsal para uso profesional. Compra Marzo 2026."/>
    <x v="1"/>
    <x v="184"/>
    <n v="4"/>
    <n v="20"/>
    <x v="404"/>
    <x v="106"/>
    <x v="4"/>
    <x v="24"/>
    <x v="24"/>
    <x v="91"/>
    <s v="64-2335810-"/>
    <s v="consuelo.cordova@redsalud.gob.cl"/>
    <x v="21"/>
    <m/>
    <n v="0"/>
    <m/>
    <n v="0"/>
    <n v="0"/>
    <m/>
    <x v="1"/>
  </r>
  <r>
    <s v="SERVICIO DE SALUD OSORNO"/>
    <x v="0"/>
    <x v="355"/>
    <s v="Proyecto operacional"/>
    <s v="Enviado"/>
    <s v="22.04.004"/>
    <x v="350"/>
    <s v="Adquisición de dispositivos médicos para el apoyo a la gestión de curaciones avanzadas en usuarios portadores de úlcera venosa y úlcera del pie diabético a ejecutarse en marzo 2026."/>
    <x v="1"/>
    <x v="284"/>
    <n v="4"/>
    <n v="870"/>
    <x v="405"/>
    <x v="429"/>
    <x v="4"/>
    <x v="32"/>
    <x v="24"/>
    <x v="100"/>
    <s v="64-2335810-"/>
    <s v="consuelo.cordova@redsalud.gob.cl"/>
    <x v="21"/>
    <m/>
    <n v="0"/>
    <m/>
    <n v="0"/>
    <n v="0"/>
    <m/>
    <x v="1"/>
  </r>
  <r>
    <s v="SERVICIO DE SALUD OSORNO"/>
    <x v="0"/>
    <x v="356"/>
    <s v="Proyecto operacional"/>
    <s v="Enviado"/>
    <n v="2597"/>
    <x v="351"/>
    <s v="Proveer de servicios de catering para jornada de capacitación Médicos Generales Imágenes Diagnósticas."/>
    <x v="1"/>
    <x v="63"/>
    <n v="4"/>
    <n v="8"/>
    <x v="144"/>
    <x v="219"/>
    <x v="4"/>
    <x v="24"/>
    <x v="99"/>
    <x v="99"/>
    <s v="64-2331026-"/>
    <s v="barbara.mendez@redsalud.gob.cl"/>
    <x v="14"/>
    <m/>
    <n v="0"/>
    <m/>
    <n v="0"/>
    <n v="0"/>
    <m/>
    <x v="1"/>
  </r>
  <r>
    <s v="SERVICIO DE SALUD OSORNO"/>
    <x v="0"/>
    <x v="357"/>
    <s v="Proyecto estratégico"/>
    <s v="Enviado"/>
    <n v="2598"/>
    <x v="352"/>
    <s v="Adquisición de exámenes con informe radiológico de ecotomografía abdominal y mamaria para los hospitales acreditados dependientes del Servicio de Salud Osorno."/>
    <x v="0"/>
    <x v="293"/>
    <n v="4"/>
    <n v="1000"/>
    <x v="225"/>
    <x v="290"/>
    <x v="11"/>
    <x v="20"/>
    <x v="99"/>
    <x v="99"/>
    <s v="64-2331026-"/>
    <s v="barbara.mendez@redsalud.gob.cl"/>
    <x v="13"/>
    <m/>
    <n v="0"/>
    <m/>
    <n v="0"/>
    <n v="0"/>
    <m/>
    <x v="1"/>
  </r>
  <r>
    <s v="SERVICIO DE SALUD OSORNO"/>
    <x v="0"/>
    <x v="357"/>
    <s v="Proyecto estratégico"/>
    <s v="Enviado"/>
    <n v="2598"/>
    <x v="352"/>
    <s v="Adquisición de exámenes con informe radiológico de ecotomografía abdominal y mamaria para los hospitales acreditados dependientes del Servicio de Salud Osorno."/>
    <x v="0"/>
    <x v="294"/>
    <n v="4"/>
    <n v="1000"/>
    <x v="225"/>
    <x v="290"/>
    <x v="11"/>
    <x v="20"/>
    <x v="99"/>
    <x v="99"/>
    <s v="64-2331026-"/>
    <s v="barbara.mendez@redsalud.gob.cl"/>
    <x v="13"/>
    <m/>
    <n v="0"/>
    <m/>
    <n v="0"/>
    <n v="0"/>
    <m/>
    <x v="1"/>
  </r>
  <r>
    <s v="SERVICIO DE SALUD OSORNO"/>
    <x v="0"/>
    <x v="358"/>
    <s v="Proyecto operacional"/>
    <s v="Enviado"/>
    <s v="22.01-22.04"/>
    <x v="353"/>
    <s v="Contar con insumos de cafetería para ser utilizados dentro de talleres y charlas mencionadas que están dirigidos a la comunidad usuaria del servicio. Los artículos de oficina son para hacer cuadernillos de manuales y orientaciones técnicas de la unidad, también para folletería que será entregada a la comunidad funcionaria y usuaria en talleres, charlas y ferias laborales de la provincia."/>
    <x v="6"/>
    <x v="31"/>
    <n v="4"/>
    <n v="685"/>
    <x v="406"/>
    <x v="430"/>
    <x v="4"/>
    <x v="24"/>
    <x v="74"/>
    <x v="101"/>
    <s v="64-2565640-"/>
    <s v="guisella.franco@redsalud.gob.cl"/>
    <x v="21"/>
    <m/>
    <n v="0"/>
    <m/>
    <n v="0"/>
    <n v="0"/>
    <m/>
    <x v="1"/>
  </r>
  <r>
    <s v="SERVICIO DE SALUD OSORNO"/>
    <x v="0"/>
    <x v="358"/>
    <s v="Proyecto operacional"/>
    <s v="Enviado"/>
    <s v="22.01-22.04"/>
    <x v="353"/>
    <s v="Contar con insumos de cafetería para ser utilizados dentro de talleres y charlas mencionadas que están dirigidos a la comunidad usuaria del servicio. Los artículos de oficina son para hacer cuadernillos de manuales y orientaciones técnicas de la unidad, también para folletería que será entregada a la comunidad funcionaria y usuaria en talleres, charlas y ferias laborales de la provincia."/>
    <x v="6"/>
    <x v="295"/>
    <n v="4"/>
    <n v="200"/>
    <x v="407"/>
    <x v="265"/>
    <x v="4"/>
    <x v="25"/>
    <x v="74"/>
    <x v="101"/>
    <s v="64-2565640-"/>
    <s v="guisella.franco@redsalud.gob.cl"/>
    <x v="20"/>
    <m/>
    <n v="0"/>
    <m/>
    <n v="0"/>
    <n v="0"/>
    <m/>
    <x v="1"/>
  </r>
  <r>
    <s v="SERVICIO DE SALUD OSORNO"/>
    <x v="0"/>
    <x v="358"/>
    <s v="Proyecto operacional"/>
    <s v="Enviado"/>
    <s v="22.01-22.04"/>
    <x v="353"/>
    <s v="Contar con insumos de cafetería para ser utilizados dentro de talleres y charlas mencionadas que están dirigidos a la comunidad usuaria del servicio. Los artículos de oficina son para hacer cuadernillos de manuales y orientaciones técnicas de la unidad, también para folletería que será entregada a la comunidad funcionaria y usuaria en talleres, charlas y ferias laborales de la provincia."/>
    <x v="6"/>
    <x v="186"/>
    <n v="4"/>
    <n v="4"/>
    <x v="154"/>
    <x v="431"/>
    <x v="4"/>
    <x v="25"/>
    <x v="74"/>
    <x v="101"/>
    <s v="64-2565640-"/>
    <s v="guisella.franco@redsalud.gob.cl"/>
    <x v="20"/>
    <m/>
    <n v="0"/>
    <m/>
    <n v="0"/>
    <n v="0"/>
    <m/>
    <x v="1"/>
  </r>
  <r>
    <s v="SERVICIO DE SALUD OSORNO"/>
    <x v="0"/>
    <x v="358"/>
    <s v="Proyecto operacional"/>
    <s v="Enviado"/>
    <s v="22.01-22.04"/>
    <x v="353"/>
    <s v="Contar con insumos de cafetería para ser utilizados dentro de talleres y charlas mencionadas que están dirigidos a la comunidad usuaria del servicio. Los artículos de oficina son para hacer cuadernillos de manuales y orientaciones técnicas de la unidad, también para folletería que será entregada a la comunidad funcionaria y usuaria en talleres, charlas y ferias laborales de la provincia."/>
    <x v="6"/>
    <x v="276"/>
    <n v="4"/>
    <n v="452"/>
    <x v="408"/>
    <x v="432"/>
    <x v="4"/>
    <x v="32"/>
    <x v="74"/>
    <x v="101"/>
    <s v="64-2565640-"/>
    <s v="guisella.franco@redsalud.gob.cl"/>
    <x v="19"/>
    <m/>
    <n v="0"/>
    <m/>
    <n v="0"/>
    <n v="0"/>
    <m/>
    <x v="1"/>
  </r>
  <r>
    <s v="SERVICIO DE SALUD OSORNO"/>
    <x v="0"/>
    <x v="359"/>
    <s v="Proyecto operacional"/>
    <s v="Enviado"/>
    <n v="2599"/>
    <x v="354"/>
    <s v="Convenio de informes radiológicos simples y mamografia, en calidad de ambulatorios y urgentes, para los Establecimientos dependientes del Servicio de Salud Osorno."/>
    <x v="0"/>
    <x v="296"/>
    <n v="4"/>
    <n v="1000"/>
    <x v="225"/>
    <x v="290"/>
    <x v="11"/>
    <x v="20"/>
    <x v="99"/>
    <x v="99"/>
    <s v="64-2331026-"/>
    <s v="barbara.mendez@redsalud.gob.cl"/>
    <x v="13"/>
    <m/>
    <n v="0"/>
    <m/>
    <n v="0"/>
    <n v="0"/>
    <m/>
    <x v="1"/>
  </r>
  <r>
    <s v="SERVICIO DE SALUD OSORNO"/>
    <x v="0"/>
    <x v="359"/>
    <s v="Proyecto operacional"/>
    <s v="Enviado"/>
    <n v="2599"/>
    <x v="354"/>
    <s v="Convenio de informes radiológicos simples y mamografia, en calidad de ambulatorios y urgentes, para los Establecimientos dependientes del Servicio de Salud Osorno."/>
    <x v="0"/>
    <x v="297"/>
    <n v="4"/>
    <n v="12000"/>
    <x v="409"/>
    <x v="433"/>
    <x v="11"/>
    <x v="20"/>
    <x v="99"/>
    <x v="99"/>
    <s v="64-2331026-"/>
    <s v="barbara.mendez@redsalud.gob.cl"/>
    <x v="13"/>
    <m/>
    <n v="0"/>
    <m/>
    <n v="0"/>
    <n v="0"/>
    <m/>
    <x v="1"/>
  </r>
  <r>
    <s v="SERVICIO DE SALUD OSORNO"/>
    <x v="0"/>
    <x v="360"/>
    <s v="Proyecto operacional"/>
    <s v="Enviado"/>
    <s v="22.01.001"/>
    <x v="355"/>
    <s v="La presente adquisición tiene como finalidad contar con los insumos y servicios necesarios para la conmemoración del día mundial de la mujer, esta jornada esta dirigida y reconocer y visibilizar el rol de las mujeres en el ámbito laboral y las personas con demencias, cuidadoras y familiares, promoviendo la equidad de genero, bienestar y participación comunitaria. Se contempla material de difusión, ambientación y alimentación. Marzo 2026."/>
    <x v="5"/>
    <x v="82"/>
    <n v="4"/>
    <n v="22"/>
    <x v="410"/>
    <x v="434"/>
    <x v="4"/>
    <x v="32"/>
    <x v="98"/>
    <x v="96"/>
    <s v="64-2337366-"/>
    <s v="carlos.utreras@redsalud.gob.cl"/>
    <x v="21"/>
    <m/>
    <n v="0"/>
    <m/>
    <n v="0"/>
    <n v="0"/>
    <m/>
    <x v="1"/>
  </r>
  <r>
    <s v="SERVICIO DE SALUD OSORNO"/>
    <x v="0"/>
    <x v="360"/>
    <s v="Proyecto operacional"/>
    <s v="Enviado"/>
    <s v="22.01.001"/>
    <x v="355"/>
    <s v="La presente adquisición tiene como finalidad contar con los insumos y servicios necesarios para la conmemoración del día mundial de la mujer, esta jornada esta dirigida y reconocer y visibilizar el rol de las mujeres en el ámbito laboral y las personas con demencias, cuidadoras y familiares, promoviendo la equidad de genero, bienestar y participación comunitaria. Se contempla material de difusión, ambientación y alimentación. Marzo 2026."/>
    <x v="5"/>
    <x v="298"/>
    <n v="4"/>
    <n v="22"/>
    <x v="411"/>
    <x v="435"/>
    <x v="4"/>
    <x v="32"/>
    <x v="98"/>
    <x v="96"/>
    <s v="64-2337366-"/>
    <s v="carlos.utreras@redsalud.gob.cl"/>
    <x v="21"/>
    <m/>
    <n v="0"/>
    <m/>
    <n v="0"/>
    <n v="0"/>
    <m/>
    <x v="1"/>
  </r>
  <r>
    <s v="SERVICIO DE SALUD OSORNO"/>
    <x v="0"/>
    <x v="360"/>
    <s v="Proyecto operacional"/>
    <s v="Enviado"/>
    <s v="22.01.001"/>
    <x v="355"/>
    <s v="La presente adquisición tiene como finalidad contar con los insumos y servicios necesarios para la conmemoración del día mundial de la mujer, esta jornada esta dirigida y reconocer y visibilizar el rol de las mujeres en el ámbito laboral y las personas con demencias, cuidadoras y familiares, promoviendo la equidad de genero, bienestar y participación comunitaria. Se contempla material de difusión, ambientación y alimentación. Marzo 2026."/>
    <x v="5"/>
    <x v="135"/>
    <n v="4"/>
    <n v="22"/>
    <x v="412"/>
    <x v="436"/>
    <x v="4"/>
    <x v="32"/>
    <x v="98"/>
    <x v="96"/>
    <s v="64-2337366-"/>
    <s v="carlos.utreras@redsalud.gob.cl"/>
    <x v="21"/>
    <m/>
    <n v="0"/>
    <m/>
    <n v="0"/>
    <n v="0"/>
    <m/>
    <x v="1"/>
  </r>
  <r>
    <s v="SERVICIO DE SALUD OSORNO"/>
    <x v="0"/>
    <x v="361"/>
    <s v="Proyecto operacional"/>
    <s v="Enviado"/>
    <n v="2601"/>
    <x v="356"/>
    <s v="Mantener suministro de servicio de dosimetría, para Trabajadores Ocupacionalmente Expuestos a radiaciones Ionizantes, para los 4 trimestres del año 2026"/>
    <x v="1"/>
    <x v="299"/>
    <n v="4"/>
    <n v="15"/>
    <x v="413"/>
    <x v="437"/>
    <x v="4"/>
    <x v="35"/>
    <x v="99"/>
    <x v="99"/>
    <s v="64-2331026-"/>
    <s v="barbara.mendez@redsalud.gob.cl"/>
    <x v="13"/>
    <m/>
    <n v="0"/>
    <m/>
    <n v="0"/>
    <n v="0"/>
    <m/>
    <x v="1"/>
  </r>
  <r>
    <s v="SERVICIO DE SALUD OSORNO"/>
    <x v="0"/>
    <x v="362"/>
    <s v="Proyecto operacional"/>
    <s v="Enviado"/>
    <s v="22.08.007"/>
    <x v="357"/>
    <s v="Servicio de movilización sin conductor, para el traslado de funcionarios mamógrafo móvil del servicio de salud Osorno."/>
    <x v="1"/>
    <x v="300"/>
    <n v="4"/>
    <n v="1"/>
    <x v="255"/>
    <x v="290"/>
    <x v="11"/>
    <x v="20"/>
    <x v="99"/>
    <x v="99"/>
    <s v="64-2331026-"/>
    <s v="barbara.mendez@redsalud.gob.cl"/>
    <x v="13"/>
    <m/>
    <n v="0"/>
    <m/>
    <n v="0"/>
    <n v="0"/>
    <m/>
    <x v="1"/>
  </r>
  <r>
    <s v="SERVICIO DE SALUD OSORNO"/>
    <x v="1"/>
    <x v="363"/>
    <s v="Proyecto operacional"/>
    <s v="Enviado"/>
    <n v="2603"/>
    <x v="358"/>
    <s v="Material e insumos de Promoción, prevención y tratamiento en ADM para NNA en el marco del Programa de Resolución de Ortodoncia - Construyendo Nuevas Sonrisas Ejecución entre los meses de marzo y abril, para cierre de programa."/>
    <x v="3"/>
    <x v="301"/>
    <n v="4"/>
    <n v="500"/>
    <x v="414"/>
    <x v="182"/>
    <x v="4"/>
    <x v="32"/>
    <x v="100"/>
    <x v="102"/>
    <s v="64-2335687-"/>
    <s v="marco.gonzalezf@redsalud.gob.cl"/>
    <x v="21"/>
    <m/>
    <n v="0"/>
    <m/>
    <n v="0"/>
    <n v="0"/>
    <m/>
    <x v="1"/>
  </r>
  <r>
    <s v="SERVICIO DE SALUD OSORNO"/>
    <x v="1"/>
    <x v="363"/>
    <s v="Proyecto operacional"/>
    <s v="Enviado"/>
    <n v="2603"/>
    <x v="358"/>
    <s v="Material e insumos de Promoción, prevención y tratamiento en ADM para NNA en el marco del Programa de Resolución de Ortodoncia - Construyendo Nuevas Sonrisas Ejecución entre los meses de marzo y abril, para cierre de programa."/>
    <x v="3"/>
    <x v="249"/>
    <n v="4"/>
    <n v="2"/>
    <x v="415"/>
    <x v="438"/>
    <x v="4"/>
    <x v="32"/>
    <x v="100"/>
    <x v="102"/>
    <s v="64-2335687-"/>
    <s v="marco.gonzalezf@redsalud.gob.cl"/>
    <x v="21"/>
    <m/>
    <n v="0"/>
    <m/>
    <n v="0"/>
    <n v="0"/>
    <m/>
    <x v="1"/>
  </r>
  <r>
    <s v="SERVICIO DE SALUD OSORNO"/>
    <x v="1"/>
    <x v="363"/>
    <s v="Proyecto operacional"/>
    <s v="Enviado"/>
    <n v="2603"/>
    <x v="358"/>
    <s v="Material e insumos de Promoción, prevención y tratamiento en ADM para NNA en el marco del Programa de Resolución de Ortodoncia - Construyendo Nuevas Sonrisas Ejecución entre los meses de marzo y abril, para cierre de programa."/>
    <x v="3"/>
    <x v="32"/>
    <n v="4"/>
    <n v="1"/>
    <x v="83"/>
    <x v="164"/>
    <x v="4"/>
    <x v="32"/>
    <x v="100"/>
    <x v="102"/>
    <s v="64-2335687-"/>
    <s v="marco.gonzalezf@redsalud.gob.cl"/>
    <x v="21"/>
    <m/>
    <n v="0"/>
    <m/>
    <n v="0"/>
    <n v="0"/>
    <m/>
    <x v="1"/>
  </r>
  <r>
    <s v="SERVICIO DE SALUD OSORNO"/>
    <x v="1"/>
    <x v="363"/>
    <s v="Proyecto operacional"/>
    <s v="Enviado"/>
    <n v="2603"/>
    <x v="358"/>
    <s v="Material e insumos de Promoción, prevención y tratamiento en ADM para NNA en el marco del Programa de Resolución de Ortodoncia - Construyendo Nuevas Sonrisas Ejecución entre los meses de marzo y abril, para cierre de programa."/>
    <x v="3"/>
    <x v="105"/>
    <n v="4"/>
    <n v="1000"/>
    <x v="416"/>
    <x v="439"/>
    <x v="4"/>
    <x v="32"/>
    <x v="100"/>
    <x v="102"/>
    <s v="64-2335687-"/>
    <s v="marco.gonzalezf@redsalud.gob.cl"/>
    <x v="21"/>
    <m/>
    <n v="0"/>
    <m/>
    <n v="0"/>
    <n v="0"/>
    <m/>
    <x v="1"/>
  </r>
  <r>
    <s v="SERVICIO DE SALUD OSORNO"/>
    <x v="1"/>
    <x v="363"/>
    <s v="Proyecto operacional"/>
    <s v="Enviado"/>
    <n v="2603"/>
    <x v="358"/>
    <s v="Material e insumos de Promoción, prevención y tratamiento en ADM para NNA en el marco del Programa de Resolución de Ortodoncia - Construyendo Nuevas Sonrisas Ejecución entre los meses de marzo y abril, para cierre de programa."/>
    <x v="3"/>
    <x v="302"/>
    <n v="4"/>
    <n v="1"/>
    <x v="417"/>
    <x v="219"/>
    <x v="4"/>
    <x v="32"/>
    <x v="100"/>
    <x v="102"/>
    <s v="64-2335687-"/>
    <s v="marco.gonzalezf@redsalud.gob.cl"/>
    <x v="21"/>
    <m/>
    <n v="0"/>
    <m/>
    <n v="0"/>
    <n v="0"/>
    <m/>
    <x v="1"/>
  </r>
  <r>
    <s v="SERVICIO DE SALUD OSORNO"/>
    <x v="1"/>
    <x v="363"/>
    <s v="Proyecto operacional"/>
    <s v="Enviado"/>
    <n v="2603"/>
    <x v="358"/>
    <s v="Material e insumos de Promoción, prevención y tratamiento en ADM para NNA en el marco del Programa de Resolución de Ortodoncia - Construyendo Nuevas Sonrisas Ejecución entre los meses de marzo y abril, para cierre de programa."/>
    <x v="3"/>
    <x v="43"/>
    <n v="4"/>
    <n v="1000"/>
    <x v="418"/>
    <x v="440"/>
    <x v="4"/>
    <x v="32"/>
    <x v="100"/>
    <x v="102"/>
    <s v="64-2335687-"/>
    <s v="marco.gonzalezf@redsalud.gob.cl"/>
    <x v="21"/>
    <m/>
    <n v="0"/>
    <m/>
    <n v="0"/>
    <n v="0"/>
    <m/>
    <x v="1"/>
  </r>
  <r>
    <s v="SERVICIO DE SALUD OSORNO"/>
    <x v="1"/>
    <x v="363"/>
    <s v="Proyecto operacional"/>
    <s v="Enviado"/>
    <n v="2603"/>
    <x v="358"/>
    <s v="Material e insumos de Promoción, prevención y tratamiento en ADM para NNA en el marco del Programa de Resolución de Ortodoncia - Construyendo Nuevas Sonrisas Ejecución entre los meses de marzo y abril, para cierre de programa."/>
    <x v="3"/>
    <x v="158"/>
    <n v="4"/>
    <n v="1000"/>
    <x v="419"/>
    <x v="441"/>
    <x v="4"/>
    <x v="32"/>
    <x v="100"/>
    <x v="102"/>
    <s v="64-2335687-"/>
    <s v="marco.gonzalezf@redsalud.gob.cl"/>
    <x v="21"/>
    <m/>
    <n v="0"/>
    <m/>
    <n v="0"/>
    <n v="0"/>
    <m/>
    <x v="1"/>
  </r>
  <r>
    <s v="SERVICIO DE SALUD OSORNO"/>
    <x v="1"/>
    <x v="363"/>
    <s v="Proyecto operacional"/>
    <s v="Enviado"/>
    <n v="2603"/>
    <x v="358"/>
    <s v="Material e insumos de Promoción, prevención y tratamiento en ADM para NNA en el marco del Programa de Resolución de Ortodoncia - Construyendo Nuevas Sonrisas Ejecución entre los meses de marzo y abril, para cierre de programa."/>
    <x v="3"/>
    <x v="182"/>
    <n v="4"/>
    <n v="500"/>
    <x v="420"/>
    <x v="442"/>
    <x v="4"/>
    <x v="32"/>
    <x v="100"/>
    <x v="102"/>
    <s v="64-2335687-"/>
    <s v="marco.gonzalezf@redsalud.gob.cl"/>
    <x v="21"/>
    <m/>
    <n v="0"/>
    <m/>
    <n v="0"/>
    <n v="0"/>
    <m/>
    <x v="1"/>
  </r>
  <r>
    <s v="SERVICIO DE SALUD OSORNO"/>
    <x v="4"/>
    <x v="364"/>
    <s v="Proyecto operacional"/>
    <s v="Enviado"/>
    <n v="2505"/>
    <x v="282"/>
    <s v="Adquisición de productos e insumos para la prevención, promoción, localización de casos, diagnostico y adherencia al tratamiento de usuarios/as con Tuberculosis."/>
    <x v="0"/>
    <x v="303"/>
    <n v="4"/>
    <n v="15"/>
    <x v="417"/>
    <x v="101"/>
    <x v="4"/>
    <x v="25"/>
    <x v="101"/>
    <x v="81"/>
    <s v="64-2335465-"/>
    <s v="mariapaz.gomez.n@redsalud.gob.cl"/>
    <x v="15"/>
    <m/>
    <n v="0"/>
    <m/>
    <n v="0"/>
    <n v="0"/>
    <m/>
    <x v="1"/>
  </r>
  <r>
    <s v="SERVICIO DE SALUD OSORNO"/>
    <x v="4"/>
    <x v="364"/>
    <s v="Proyecto operacional"/>
    <s v="Enviado"/>
    <n v="2505"/>
    <x v="282"/>
    <s v="Adquisición de productos e insumos para la prevención, promoción, localización de casos, diagnostico y adherencia al tratamiento de usuarios/as con Tuberculosis."/>
    <x v="0"/>
    <x v="304"/>
    <n v="4"/>
    <n v="1"/>
    <x v="64"/>
    <x v="95"/>
    <x v="4"/>
    <x v="25"/>
    <x v="101"/>
    <x v="81"/>
    <s v="64-2335465-"/>
    <s v="mariapaz.gomez.n@redsalud.gob.cl"/>
    <x v="15"/>
    <m/>
    <n v="0"/>
    <m/>
    <n v="0"/>
    <n v="0"/>
    <m/>
    <x v="1"/>
  </r>
  <r>
    <s v="SERVICIO DE SALUD OSORNO"/>
    <x v="0"/>
    <x v="365"/>
    <s v="Proyecto operacional"/>
    <s v="Enviado"/>
    <n v="2169"/>
    <x v="359"/>
    <s v="En el contexto de atención clínica a los usuarios del dispositivo COSAM Rahue, se mantiene presente la necesidad de contar con insumos clínicos y no clínicos para la realización procedimientos de enfermería los cuales son parte importante del tratamiento establecido para el cumplimiento de los objetivos terapéuticos del usuario durante su proceso de salud-enfermedad. Esto debido a que las cantidades que se requieren para hacer pedido en CENABAST son mucho mayores a las que se utilizan en el dispositivo. Además, se requieren ciertos insumos para"/>
    <x v="4"/>
    <x v="101"/>
    <n v="4"/>
    <n v="5"/>
    <x v="170"/>
    <x v="216"/>
    <x v="4"/>
    <x v="35"/>
    <x v="41"/>
    <x v="46"/>
    <s v="64-2335608-"/>
    <s v="camilo.martinez@redsalud.gob.cl"/>
    <x v="13"/>
    <m/>
    <n v="0"/>
    <m/>
    <n v="0"/>
    <n v="0"/>
    <m/>
    <x v="1"/>
  </r>
  <r>
    <s v="SERVICIO DE SALUD OSORNO"/>
    <x v="0"/>
    <x v="365"/>
    <s v="Proyecto operacional"/>
    <s v="Enviado"/>
    <n v="2169"/>
    <x v="359"/>
    <s v="En el contexto de atención clínica a los usuarios del dispositivo COSAM Rahue, se mantiene presente la necesidad de contar con insumos clínicos y no clínicos para la realización procedimientos de enfermería los cuales son parte importante del tratamiento establecido para el cumplimiento de los objetivos terapéuticos del usuario durante su proceso de salud-enfermedad. Esto debido a que las cantidades que se requieren para hacer pedido en CENABAST son mucho mayores a las que se utilizan en el dispositivo. Además, se requieren ciertos insumos para"/>
    <x v="4"/>
    <x v="89"/>
    <n v="4"/>
    <n v="100"/>
    <x v="421"/>
    <x v="443"/>
    <x v="4"/>
    <x v="35"/>
    <x v="41"/>
    <x v="46"/>
    <s v="64-2335608-"/>
    <s v="camilo.martinez@redsalud.gob.cl"/>
    <x v="13"/>
    <m/>
    <n v="0"/>
    <m/>
    <n v="0"/>
    <n v="0"/>
    <m/>
    <x v="1"/>
  </r>
  <r>
    <s v="SERVICIO DE SALUD OSORNO"/>
    <x v="0"/>
    <x v="365"/>
    <s v="Proyecto operacional"/>
    <s v="Enviado"/>
    <n v="2169"/>
    <x v="359"/>
    <s v="En el contexto de atención clínica a los usuarios del dispositivo COSAM Rahue, se mantiene presente la necesidad de contar con insumos clínicos y no clínicos para la realización procedimientos de enfermería los cuales son parte importante del tratamiento establecido para el cumplimiento de los objetivos terapéuticos del usuario durante su proceso de salud-enfermedad. Esto debido a que las cantidades que se requieren para hacer pedido en CENABAST son mucho mayores a las que se utilizan en el dispositivo. Además, se requieren ciertos insumos para"/>
    <x v="4"/>
    <x v="305"/>
    <n v="4"/>
    <n v="20"/>
    <x v="422"/>
    <x v="444"/>
    <x v="4"/>
    <x v="35"/>
    <x v="41"/>
    <x v="46"/>
    <s v="64-2335608-"/>
    <s v="camilo.martinez@redsalud.gob.cl"/>
    <x v="13"/>
    <m/>
    <n v="0"/>
    <m/>
    <n v="0"/>
    <n v="0"/>
    <m/>
    <x v="1"/>
  </r>
  <r>
    <s v="SERVICIO DE SALUD OSORNO"/>
    <x v="0"/>
    <x v="365"/>
    <s v="Proyecto operacional"/>
    <s v="Enviado"/>
    <n v="2169"/>
    <x v="359"/>
    <s v="En el contexto de atención clínica a los usuarios del dispositivo COSAM Rahue, se mantiene presente la necesidad de contar con insumos clínicos y no clínicos para la realización procedimientos de enfermería los cuales son parte importante del tratamiento establecido para el cumplimiento de los objetivos terapéuticos del usuario durante su proceso de salud-enfermedad. Esto debido a que las cantidades que se requieren para hacer pedido en CENABAST son mucho mayores a las que se utilizan en el dispositivo. Además, se requieren ciertos insumos para"/>
    <x v="4"/>
    <x v="85"/>
    <n v="4"/>
    <n v="6"/>
    <x v="423"/>
    <x v="445"/>
    <x v="4"/>
    <x v="35"/>
    <x v="41"/>
    <x v="46"/>
    <s v="64-2335608-"/>
    <s v="camilo.martinez@redsalud.gob.cl"/>
    <x v="13"/>
    <m/>
    <n v="0"/>
    <m/>
    <n v="0"/>
    <n v="0"/>
    <m/>
    <x v="1"/>
  </r>
  <r>
    <s v="SERVICIO DE SALUD OSORNO"/>
    <x v="0"/>
    <x v="365"/>
    <s v="Proyecto operacional"/>
    <s v="Enviado"/>
    <n v="2169"/>
    <x v="359"/>
    <s v="En el contexto de atención clínica a los usuarios del dispositivo COSAM Rahue, se mantiene presente la necesidad de contar con insumos clínicos y no clínicos para la realización procedimientos de enfermería los cuales son parte importante del tratamiento establecido para el cumplimiento de los objetivos terapéuticos del usuario durante su proceso de salud-enfermedad. Esto debido a que las cantidades que se requieren para hacer pedido en CENABAST son mucho mayores a las que se utilizan en el dispositivo. Además, se requieren ciertos insumos para"/>
    <x v="4"/>
    <x v="306"/>
    <n v="4"/>
    <n v="24"/>
    <x v="424"/>
    <x v="446"/>
    <x v="4"/>
    <x v="35"/>
    <x v="41"/>
    <x v="46"/>
    <s v="64-2335608-"/>
    <s v="camilo.martinez@redsalud.gob.cl"/>
    <x v="13"/>
    <m/>
    <n v="0"/>
    <m/>
    <n v="0"/>
    <n v="0"/>
    <m/>
    <x v="1"/>
  </r>
  <r>
    <s v="SERVICIO DE SALUD OSORNO"/>
    <x v="0"/>
    <x v="365"/>
    <s v="Proyecto operacional"/>
    <s v="Enviado"/>
    <n v="2169"/>
    <x v="359"/>
    <s v="En el contexto de atención clínica a los usuarios del dispositivo COSAM Rahue, se mantiene presente la necesidad de contar con insumos clínicos y no clínicos para la realización procedimientos de enfermería los cuales son parte importante del tratamiento establecido para el cumplimiento de los objetivos terapéuticos del usuario durante su proceso de salud-enfermedad. Esto debido a que las cantidades que se requieren para hacer pedido en CENABAST son mucho mayores a las que se utilizan en el dispositivo. Además, se requieren ciertos insumos para"/>
    <x v="4"/>
    <x v="307"/>
    <n v="4"/>
    <n v="4"/>
    <x v="110"/>
    <x v="233"/>
    <x v="4"/>
    <x v="35"/>
    <x v="41"/>
    <x v="46"/>
    <s v="64-2335608-"/>
    <s v="camilo.martinez@redsalud.gob.cl"/>
    <x v="13"/>
    <m/>
    <n v="0"/>
    <m/>
    <n v="0"/>
    <n v="0"/>
    <m/>
    <x v="1"/>
  </r>
  <r>
    <s v="SERVICIO DE SALUD OSORNO"/>
    <x v="0"/>
    <x v="366"/>
    <s v="Proyecto estratégico"/>
    <s v="Enviado"/>
    <s v="22.01-22.04"/>
    <x v="360"/>
    <s v="Realizar capacitación en formación de facilitadores taller de habilidades parentales Nadie es Perfecto a profesionales de la red asistencial."/>
    <x v="5"/>
    <x v="275"/>
    <n v="4"/>
    <n v="15"/>
    <x v="425"/>
    <x v="347"/>
    <x v="4"/>
    <x v="25"/>
    <x v="102"/>
    <x v="103"/>
    <s v="64-2565829-"/>
    <s v="estrella.azocarv@redsalud.gob.cl"/>
    <x v="20"/>
    <m/>
    <n v="0"/>
    <m/>
    <n v="0"/>
    <n v="0"/>
    <m/>
    <x v="1"/>
  </r>
  <r>
    <s v="SERVICIO DE SALUD OSORNO"/>
    <x v="0"/>
    <x v="366"/>
    <s v="Proyecto estratégico"/>
    <s v="Enviado"/>
    <s v="22.01-22.04"/>
    <x v="360"/>
    <s v="Realizar capacitación en formación de facilitadores taller de habilidades parentales Nadie es Perfecto a profesionales de la red asistencial."/>
    <x v="5"/>
    <x v="308"/>
    <n v="4"/>
    <n v="955"/>
    <x v="426"/>
    <x v="447"/>
    <x v="4"/>
    <x v="25"/>
    <x v="102"/>
    <x v="103"/>
    <s v="64-2565829-"/>
    <s v="estrella.azocarv@redsalud.gob.cl"/>
    <x v="20"/>
    <m/>
    <n v="0"/>
    <m/>
    <n v="0"/>
    <n v="0"/>
    <m/>
    <x v="1"/>
  </r>
  <r>
    <s v="SERVICIO DE SALUD OSORNO"/>
    <x v="0"/>
    <x v="366"/>
    <s v="Proyecto estratégico"/>
    <s v="Enviado"/>
    <s v="22.01-22.04"/>
    <x v="360"/>
    <s v="Realizar capacitación en formación de facilitadores taller de habilidades parentales Nadie es Perfecto a profesionales de la red asistencial."/>
    <x v="5"/>
    <x v="309"/>
    <n v="4"/>
    <n v="157"/>
    <x v="427"/>
    <x v="448"/>
    <x v="4"/>
    <x v="25"/>
    <x v="102"/>
    <x v="103"/>
    <s v="64-2565829-"/>
    <s v="estrella.azocarv@redsalud.gob.cl"/>
    <x v="20"/>
    <m/>
    <n v="0"/>
    <m/>
    <n v="0"/>
    <n v="0"/>
    <m/>
    <x v="1"/>
  </r>
  <r>
    <s v="SERVICIO DE SALUD OSORNO"/>
    <x v="0"/>
    <x v="367"/>
    <s v="Proyecto operacional"/>
    <s v="Enviado"/>
    <s v="22.04"/>
    <x v="361"/>
    <s v="Proveer de insumos de higiene, limpieza para mantención de Edificio Matta."/>
    <x v="7"/>
    <x v="310"/>
    <n v="4"/>
    <n v="30"/>
    <x v="139"/>
    <x v="173"/>
    <x v="4"/>
    <x v="24"/>
    <x v="81"/>
    <x v="80"/>
    <s v="64-2567363-"/>
    <s v="ximena.campos@redsalud.gob.cl"/>
    <x v="21"/>
    <m/>
    <n v="0"/>
    <m/>
    <n v="0"/>
    <n v="0"/>
    <m/>
    <x v="1"/>
  </r>
  <r>
    <s v="SERVICIO DE SALUD OSORNO"/>
    <x v="0"/>
    <x v="367"/>
    <s v="Proyecto operacional"/>
    <s v="Enviado"/>
    <s v="22.04"/>
    <x v="361"/>
    <s v="Proveer de insumos de higiene, limpieza para mantención de Edificio Matta."/>
    <x v="7"/>
    <x v="311"/>
    <n v="4"/>
    <n v="30"/>
    <x v="428"/>
    <x v="449"/>
    <x v="4"/>
    <x v="24"/>
    <x v="81"/>
    <x v="80"/>
    <s v="64-2567363-"/>
    <s v="ximena.campos@redsalud.gob.cl"/>
    <x v="21"/>
    <m/>
    <n v="0"/>
    <m/>
    <n v="0"/>
    <n v="0"/>
    <m/>
    <x v="1"/>
  </r>
  <r>
    <s v="SERVICIO DE SALUD OSORNO"/>
    <x v="0"/>
    <x v="367"/>
    <s v="Proyecto operacional"/>
    <s v="Enviado"/>
    <s v="22.04"/>
    <x v="361"/>
    <s v="Proveer de insumos de higiene, limpieza para mantención de Edificio Matta."/>
    <x v="7"/>
    <x v="287"/>
    <n v="4"/>
    <n v="56"/>
    <x v="429"/>
    <x v="450"/>
    <x v="4"/>
    <x v="24"/>
    <x v="81"/>
    <x v="80"/>
    <s v="64-2567363-"/>
    <s v="ximena.campos@redsalud.gob.cl"/>
    <x v="21"/>
    <m/>
    <n v="0"/>
    <m/>
    <n v="0"/>
    <n v="0"/>
    <m/>
    <x v="1"/>
  </r>
  <r>
    <s v="SERVICIO DE SALUD OSORNO"/>
    <x v="0"/>
    <x v="367"/>
    <s v="Proyecto operacional"/>
    <s v="Enviado"/>
    <s v="22.04"/>
    <x v="361"/>
    <s v="Proveer de insumos de higiene, limpieza para mantención de Edificio Matta."/>
    <x v="7"/>
    <x v="312"/>
    <n v="4"/>
    <n v="21"/>
    <x v="201"/>
    <x v="451"/>
    <x v="4"/>
    <x v="33"/>
    <x v="81"/>
    <x v="80"/>
    <s v="64-2567363-"/>
    <s v="ximena.campos@redsalud.gob.cl"/>
    <x v="15"/>
    <m/>
    <n v="0"/>
    <m/>
    <n v="0"/>
    <n v="0"/>
    <m/>
    <x v="1"/>
  </r>
  <r>
    <s v="SERVICIO DE SALUD OSORNO"/>
    <x v="0"/>
    <x v="367"/>
    <s v="Proyecto operacional"/>
    <s v="Enviado"/>
    <s v="22.04"/>
    <x v="361"/>
    <s v="Proveer de insumos de higiene, limpieza para mantención de Edificio Matta."/>
    <x v="7"/>
    <x v="148"/>
    <n v="4"/>
    <n v="1"/>
    <x v="149"/>
    <x v="421"/>
    <x v="4"/>
    <x v="24"/>
    <x v="81"/>
    <x v="80"/>
    <s v="64-2567363-"/>
    <s v="ximena.campos@redsalud.gob.cl"/>
    <x v="21"/>
    <m/>
    <n v="0"/>
    <m/>
    <n v="0"/>
    <n v="0"/>
    <m/>
    <x v="1"/>
  </r>
  <r>
    <s v="SERVICIO DE SALUD OSORNO"/>
    <x v="4"/>
    <x v="368"/>
    <s v="Proyecto operacional"/>
    <s v="Enviado"/>
    <n v="2579"/>
    <x v="362"/>
    <s v="Adquisición de taladro percutor inalambrico con mandril 13mm y taladro atornillador inalambrico con mandril de 13mm"/>
    <x v="1"/>
    <x v="313"/>
    <n v="4"/>
    <n v="1"/>
    <x v="212"/>
    <x v="112"/>
    <x v="4"/>
    <x v="35"/>
    <x v="44"/>
    <x v="58"/>
    <s v="64-2335588-"/>
    <s v="roberto.nunez@redsalud.gob.cl"/>
    <x v="13"/>
    <m/>
    <n v="0"/>
    <m/>
    <n v="0"/>
    <n v="0"/>
    <m/>
    <x v="1"/>
  </r>
  <r>
    <s v="SERVICIO DE SALUD OSORNO"/>
    <x v="0"/>
    <x v="369"/>
    <s v="Proyecto operacional"/>
    <s v="Enviado"/>
    <n v="2185"/>
    <x v="363"/>
    <s v="Compra de articulos de escritorio para el funiconamiento del Equipo Rural de Rehabilitación (marzo 2026)"/>
    <x v="1"/>
    <x v="43"/>
    <n v="4"/>
    <n v="340"/>
    <x v="430"/>
    <x v="452"/>
    <x v="4"/>
    <x v="32"/>
    <x v="37"/>
    <x v="42"/>
    <s v="64-2335807-"/>
    <s v="karin.avila@redsalud.gob.cl"/>
    <x v="21"/>
    <m/>
    <n v="0"/>
    <m/>
    <n v="0"/>
    <n v="0"/>
    <m/>
    <x v="1"/>
  </r>
  <r>
    <s v="SERVICIO DE SALUD OSORNO"/>
    <x v="0"/>
    <x v="370"/>
    <s v="Proyecto estratégico"/>
    <s v="Enviado"/>
    <n v="2583"/>
    <x v="364"/>
    <s v="Renovación de toma de presión de brazo digital para control de pacientes cuando acuden a controles presenciales como también para la implementación del bolso de Visitas domiciliarias en la provincia de Osorno. Lo anterior para adquirirlo durante el mes de abril 2026."/>
    <x v="1"/>
    <x v="314"/>
    <n v="4"/>
    <n v="2"/>
    <x v="431"/>
    <x v="149"/>
    <x v="4"/>
    <x v="31"/>
    <x v="81"/>
    <x v="80"/>
    <s v="64-2337363-"/>
    <s v="ximena.campos@redsalud.gob.cl"/>
    <x v="14"/>
    <m/>
    <n v="0"/>
    <m/>
    <n v="0"/>
    <n v="0"/>
    <m/>
    <x v="1"/>
  </r>
  <r>
    <s v="SERVICIO DE SALUD OSORNO"/>
    <x v="0"/>
    <x v="371"/>
    <s v="Proyecto operacional"/>
    <s v="Enviado"/>
    <n v="2203"/>
    <x v="100"/>
    <s v="Compra de Insumos de cafetería para atención a los asistentes a las reuniones teniendo en cuenta que el desplazamiento desde las comunas a Osorno debe ser temprano por un tema de frecuencia de los buses. Esto contempla un aproximado de 34 reuniones que van desde marzo a diciembre, con un promedio de 970 personas."/>
    <x v="0"/>
    <x v="31"/>
    <n v="4"/>
    <n v="16890"/>
    <x v="432"/>
    <x v="453"/>
    <x v="4"/>
    <x v="32"/>
    <x v="103"/>
    <x v="104"/>
    <s v="64-2335836-"/>
    <s v="daniel.pereira.v@redsalud.gob.cl"/>
    <x v="21"/>
    <m/>
    <n v="0"/>
    <m/>
    <n v="0"/>
    <n v="0"/>
    <m/>
    <x v="1"/>
  </r>
  <r>
    <s v="SERVICIO DE SALUD OSORNO"/>
    <x v="0"/>
    <x v="371"/>
    <s v="Proyecto operacional"/>
    <s v="Enviado"/>
    <n v="2203"/>
    <x v="100"/>
    <s v="Compra de Insumos de cafetería para atención a los asistentes a las reuniones teniendo en cuenta que el desplazamiento desde las comunas a Osorno debe ser temprano por un tema de frecuencia de los buses. Esto contempla un aproximado de 34 reuniones que van desde marzo a diciembre, con un promedio de 970 personas."/>
    <x v="0"/>
    <x v="113"/>
    <n v="4"/>
    <n v="1120"/>
    <x v="433"/>
    <x v="454"/>
    <x v="4"/>
    <x v="32"/>
    <x v="103"/>
    <x v="104"/>
    <s v="64-2335836-"/>
    <s v="daniel.pereira.v@redsalud.gob.cl"/>
    <x v="21"/>
    <m/>
    <n v="0"/>
    <m/>
    <n v="0"/>
    <n v="0"/>
    <m/>
    <x v="1"/>
  </r>
  <r>
    <s v="SERVICIO DE SALUD OSORNO"/>
    <x v="1"/>
    <x v="372"/>
    <s v="Proyecto operacional"/>
    <s v="Enviado"/>
    <n v="2207"/>
    <x v="365"/>
    <s v="Ambos talleres serán realizados desde marzo a diciembre de 2026, por lo que se solicita realizar la compra en febrero de 2026."/>
    <x v="1"/>
    <x v="94"/>
    <n v="4"/>
    <n v="120"/>
    <x v="434"/>
    <x v="455"/>
    <x v="4"/>
    <x v="32"/>
    <x v="44"/>
    <x v="24"/>
    <s v="64-2335610-"/>
    <s v="pedro.fritz@redsalud.gob.cl"/>
    <x v="21"/>
    <m/>
    <n v="0"/>
    <m/>
    <n v="0"/>
    <n v="0"/>
    <m/>
    <x v="1"/>
  </r>
  <r>
    <s v="SERVICIO DE SALUD OSORNO"/>
    <x v="0"/>
    <x v="373"/>
    <s v="Proyecto operacional"/>
    <s v="Enviado"/>
    <n v="2582"/>
    <x v="338"/>
    <s v="Realizar olimpiadas del adolescente en contexto de prevención de obesidad"/>
    <x v="1"/>
    <x v="315"/>
    <n v="4"/>
    <n v="4"/>
    <x v="140"/>
    <x v="185"/>
    <x v="4"/>
    <x v="32"/>
    <x v="73"/>
    <x v="75"/>
    <s v="64-2335806-"/>
    <s v="francisca.contreras.c@redsalud.gob.cl"/>
    <x v="19"/>
    <m/>
    <n v="0"/>
    <m/>
    <n v="0"/>
    <n v="0"/>
    <m/>
    <x v="1"/>
  </r>
  <r>
    <s v="SERVICIO DE SALUD OSORNO"/>
    <x v="1"/>
    <x v="374"/>
    <s v="Proyecto operacional"/>
    <s v="Enviado"/>
    <n v="2210"/>
    <x v="366"/>
    <s v="Taller se ejecuta durante todo el año, mes de enero en pausa, para comenzar en febrero, por lo que se necesitan los materiales en mes de febrero."/>
    <x v="1"/>
    <x v="94"/>
    <n v="4"/>
    <n v="360"/>
    <x v="435"/>
    <x v="456"/>
    <x v="4"/>
    <x v="32"/>
    <x v="44"/>
    <x v="24"/>
    <s v="64-2335610-"/>
    <s v="pedro.fritz@redsalud.gob.cl"/>
    <x v="19"/>
    <m/>
    <n v="0"/>
    <m/>
    <n v="0"/>
    <n v="0"/>
    <m/>
    <x v="1"/>
  </r>
  <r>
    <s v="SERVICIO DE SALUD OSORNO"/>
    <x v="0"/>
    <x v="375"/>
    <s v="Proyecto operacional"/>
    <s v="Enviado"/>
    <n v="2266"/>
    <x v="367"/>
    <s v="Adquirir diversos materiales de escritorio y papelería, materiales de buena calidad, en variedad de colores, con características de resistencia y que por su calidad y variedad permitan desarrollar actividades creativas y diversas. Se habilita el stock de insumos del taller de manualidades de acuerdo con las actividades manuales que se han programado para el presente año. Tanto para la Unidad Ambulatoria y Residencial de la Comunidad Terapéutica Peulla."/>
    <x v="4"/>
    <x v="316"/>
    <n v="4"/>
    <n v="620"/>
    <x v="436"/>
    <x v="457"/>
    <x v="4"/>
    <x v="31"/>
    <x v="43"/>
    <x v="48"/>
    <s v="64-2335492-"/>
    <s v="CAROLINA.SILVALL@REDSALUD.GOB.CL"/>
    <x v="14"/>
    <m/>
    <n v="0"/>
    <m/>
    <n v="0"/>
    <n v="0"/>
    <m/>
    <x v="1"/>
  </r>
  <r>
    <s v="SERVICIO DE SALUD OSORNO"/>
    <x v="0"/>
    <x v="375"/>
    <s v="Proyecto operacional"/>
    <s v="Enviado"/>
    <n v="2266"/>
    <x v="367"/>
    <s v="Adquirir diversos materiales de escritorio y papelería, materiales de buena calidad, en variedad de colores, con características de resistencia y que por su calidad y variedad permitan desarrollar actividades creativas y diversas. Se habilita el stock de insumos del taller de manualidades de acuerdo con las actividades manuales que se han programado para el presente año. Tanto para la Unidad Ambulatoria y Residencial de la Comunidad Terapéutica Peulla."/>
    <x v="4"/>
    <x v="317"/>
    <n v="4"/>
    <n v="5"/>
    <x v="77"/>
    <x v="233"/>
    <x v="4"/>
    <x v="31"/>
    <x v="43"/>
    <x v="48"/>
    <s v="64-2335492-"/>
    <s v="CAROLINA.SILVALL@REDSALUD.GOB.CL"/>
    <x v="14"/>
    <m/>
    <n v="0"/>
    <m/>
    <n v="0"/>
    <n v="0"/>
    <m/>
    <x v="1"/>
  </r>
  <r>
    <s v="SERVICIO DE SALUD OSORNO"/>
    <x v="0"/>
    <x v="375"/>
    <s v="Proyecto operacional"/>
    <s v="Enviado"/>
    <n v="2266"/>
    <x v="367"/>
    <s v="Adquirir diversos materiales de escritorio y papelería, materiales de buena calidad, en variedad de colores, con características de resistencia y que por su calidad y variedad permitan desarrollar actividades creativas y diversas. Se habilita el stock de insumos del taller de manualidades de acuerdo con las actividades manuales que se han programado para el presente año. Tanto para la Unidad Ambulatoria y Residencial de la Comunidad Terapéutica Peulla."/>
    <x v="4"/>
    <x v="267"/>
    <n v="4"/>
    <n v="180"/>
    <x v="437"/>
    <x v="458"/>
    <x v="4"/>
    <x v="31"/>
    <x v="43"/>
    <x v="48"/>
    <s v="64-2335492-"/>
    <s v="CAROLINA.SILVALL@REDSALUD.GOB.CL"/>
    <x v="14"/>
    <m/>
    <n v="0"/>
    <m/>
    <n v="0"/>
    <n v="0"/>
    <m/>
    <x v="1"/>
  </r>
  <r>
    <s v="SERVICIO DE SALUD OSORNO"/>
    <x v="0"/>
    <x v="375"/>
    <s v="Proyecto operacional"/>
    <s v="Enviado"/>
    <n v="2266"/>
    <x v="367"/>
    <s v="Adquirir diversos materiales de escritorio y papelería, materiales de buena calidad, en variedad de colores, con características de resistencia y que por su calidad y variedad permitan desarrollar actividades creativas y diversas. Se habilita el stock de insumos del taller de manualidades de acuerdo con las actividades manuales que se han programado para el presente año. Tanto para la Unidad Ambulatoria y Residencial de la Comunidad Terapéutica Peulla."/>
    <x v="4"/>
    <x v="318"/>
    <n v="4"/>
    <n v="300"/>
    <x v="438"/>
    <x v="459"/>
    <x v="4"/>
    <x v="31"/>
    <x v="43"/>
    <x v="48"/>
    <s v="64-2335492-"/>
    <s v="CAROLINA.SILVALL@REDSALUD.GOB.CL"/>
    <x v="14"/>
    <m/>
    <n v="0"/>
    <m/>
    <n v="0"/>
    <n v="0"/>
    <m/>
    <x v="1"/>
  </r>
  <r>
    <s v="SERVICIO DE SALUD OSORNO"/>
    <x v="0"/>
    <x v="375"/>
    <s v="Proyecto operacional"/>
    <s v="Enviado"/>
    <n v="2266"/>
    <x v="367"/>
    <s v="Adquirir diversos materiales de escritorio y papelería, materiales de buena calidad, en variedad de colores, con características de resistencia y que por su calidad y variedad permitan desarrollar actividades creativas y diversas. Se habilita el stock de insumos del taller de manualidades de acuerdo con las actividades manuales que se han programado para el presente año. Tanto para la Unidad Ambulatoria y Residencial de la Comunidad Terapéutica Peulla."/>
    <x v="4"/>
    <x v="276"/>
    <n v="4"/>
    <n v="115"/>
    <x v="439"/>
    <x v="460"/>
    <x v="4"/>
    <x v="31"/>
    <x v="43"/>
    <x v="48"/>
    <s v="64-2335492-"/>
    <s v="CAROLINA.SILVALL@REDSALUD.GOB.CL"/>
    <x v="14"/>
    <m/>
    <n v="0"/>
    <m/>
    <n v="0"/>
    <n v="0"/>
    <m/>
    <x v="1"/>
  </r>
  <r>
    <s v="SERVICIO DE SALUD OSORNO"/>
    <x v="0"/>
    <x v="375"/>
    <s v="Proyecto operacional"/>
    <s v="Enviado"/>
    <n v="2266"/>
    <x v="367"/>
    <s v="Adquirir diversos materiales de escritorio y papelería, materiales de buena calidad, en variedad de colores, con características de resistencia y que por su calidad y variedad permitan desarrollar actividades creativas y diversas. Se habilita el stock de insumos del taller de manualidades de acuerdo con las actividades manuales que se han programado para el presente año. Tanto para la Unidad Ambulatoria y Residencial de la Comunidad Terapéutica Peulla."/>
    <x v="4"/>
    <x v="319"/>
    <n v="4"/>
    <n v="1"/>
    <x v="89"/>
    <x v="266"/>
    <x v="4"/>
    <x v="31"/>
    <x v="43"/>
    <x v="48"/>
    <s v="64-2335492-"/>
    <s v="CAROLINA.SILVALL@REDSALUD.GOB.CL"/>
    <x v="14"/>
    <m/>
    <n v="0"/>
    <m/>
    <n v="0"/>
    <n v="0"/>
    <m/>
    <x v="1"/>
  </r>
  <r>
    <s v="SERVICIO DE SALUD OSORNO"/>
    <x v="0"/>
    <x v="376"/>
    <s v="Proyecto operacional"/>
    <s v="Enviado"/>
    <s v="22.04"/>
    <x v="368"/>
    <s v="Adquisición de elementos de rehabilitación rural para terapeuta y kinesióloga con equipamiento médico y artículos clínicos."/>
    <x v="5"/>
    <x v="309"/>
    <n v="4"/>
    <n v="13"/>
    <x v="440"/>
    <x v="461"/>
    <x v="4"/>
    <x v="24"/>
    <x v="37"/>
    <x v="42"/>
    <s v="64-2565807-"/>
    <s v="karin.avila@redsalud.gob.cl"/>
    <x v="21"/>
    <m/>
    <n v="0"/>
    <m/>
    <n v="0"/>
    <n v="0"/>
    <m/>
    <x v="1"/>
  </r>
  <r>
    <s v="SERVICIO DE SALUD OSORNO"/>
    <x v="0"/>
    <x v="376"/>
    <s v="Proyecto operacional"/>
    <s v="Enviado"/>
    <s v="22.04"/>
    <x v="368"/>
    <s v="Adquisición de elementos de rehabilitación rural para terapeuta y kinesióloga con equipamiento médico y artículos clínicos."/>
    <x v="5"/>
    <x v="278"/>
    <n v="4"/>
    <n v="15"/>
    <x v="225"/>
    <x v="130"/>
    <x v="4"/>
    <x v="31"/>
    <x v="37"/>
    <x v="42"/>
    <s v="64-2565807-"/>
    <s v="karin.avila@redsalud.gob.cl"/>
    <x v="14"/>
    <m/>
    <n v="0"/>
    <m/>
    <n v="0"/>
    <n v="0"/>
    <m/>
    <x v="1"/>
  </r>
  <r>
    <s v="SERVICIO DE SALUD OSORNO"/>
    <x v="0"/>
    <x v="376"/>
    <s v="Proyecto operacional"/>
    <s v="Enviado"/>
    <s v="22.04"/>
    <x v="368"/>
    <s v="Adquisición de elementos de rehabilitación rural para terapeuta y kinesióloga con equipamiento médico y artículos clínicos."/>
    <x v="5"/>
    <x v="320"/>
    <n v="4"/>
    <n v="107"/>
    <x v="441"/>
    <x v="462"/>
    <x v="4"/>
    <x v="31"/>
    <x v="37"/>
    <x v="42"/>
    <s v="64-2565807-"/>
    <s v="karin.avila@redsalud.gob.cl"/>
    <x v="14"/>
    <m/>
    <n v="0"/>
    <m/>
    <n v="0"/>
    <n v="0"/>
    <m/>
    <x v="1"/>
  </r>
  <r>
    <s v="SERVICIO DE SALUD OSORNO"/>
    <x v="4"/>
    <x v="377"/>
    <s v="Proyecto operacional"/>
    <s v="Enviado"/>
    <n v="2518"/>
    <x v="369"/>
    <s v="Renovar equipo informático servidor NAS actual, el cual está llegando al límite de vida útil, este debe incluir discos duros instalados y además sumar otros para llegar a un total de 40TB de almacenamiento. Marzo 2026"/>
    <x v="0"/>
    <x v="321"/>
    <n v="4"/>
    <n v="1"/>
    <x v="67"/>
    <x v="99"/>
    <x v="4"/>
    <x v="32"/>
    <x v="89"/>
    <x v="87"/>
    <s v="64-2335685-"/>
    <s v="alejandro.nunez01@redsalud.gob.cl"/>
    <x v="21"/>
    <m/>
    <n v="0"/>
    <m/>
    <n v="0"/>
    <n v="0"/>
    <m/>
    <x v="1"/>
  </r>
  <r>
    <s v="SERVICIO DE SALUD OSORNO"/>
    <x v="4"/>
    <x v="377"/>
    <s v="Proyecto operacional"/>
    <s v="Enviado"/>
    <n v="2518"/>
    <x v="369"/>
    <s v="Renovar equipo informático servidor NAS actual, el cual está llegando al límite de vida útil, este debe incluir discos duros instalados y además sumar otros para llegar a un total de 40TB de almacenamiento. Marzo 2026"/>
    <x v="0"/>
    <x v="322"/>
    <n v="4"/>
    <n v="2"/>
    <x v="72"/>
    <x v="95"/>
    <x v="4"/>
    <x v="32"/>
    <x v="89"/>
    <x v="87"/>
    <s v="64-2335685-"/>
    <s v="alejandro.nunez01@redsalud.gob.cl"/>
    <x v="21"/>
    <m/>
    <n v="0"/>
    <m/>
    <n v="0"/>
    <n v="0"/>
    <m/>
    <x v="1"/>
  </r>
  <r>
    <s v="SERVICIO DE SALUD OSORNO"/>
    <x v="0"/>
    <x v="378"/>
    <s v="Proyecto operacional"/>
    <s v="Enviado"/>
    <n v="2233"/>
    <x v="370"/>
    <s v="Se requiere la adquisición de artículos de escritorio de buena calidad, en la cantidad necesaria para garantizar el desarrollo adecuado de las actividades administrativas y didácticas realizadas con las personas en tratamiento de la unidad. Los insumos deben permitir un funcionamiento eficiente de los procesos internos y apoyar la ejecución de las acciones planificadas, asegurando que el equipo cuente con los recursos necesarios para cumplir sus funciones de manera efectiva y ordenada."/>
    <x v="5"/>
    <x v="133"/>
    <n v="4"/>
    <n v="12"/>
    <x v="442"/>
    <x v="311"/>
    <x v="4"/>
    <x v="38"/>
    <x v="43"/>
    <x v="48"/>
    <s v="64-2335492-"/>
    <s v="CAROLINA.SILVALL@REDSALUD.GOB.CL"/>
    <x v="19"/>
    <m/>
    <n v="0"/>
    <m/>
    <n v="0"/>
    <n v="0"/>
    <m/>
    <x v="1"/>
  </r>
  <r>
    <s v="SERVICIO DE SALUD OSORNO"/>
    <x v="0"/>
    <x v="378"/>
    <s v="Proyecto operacional"/>
    <s v="Enviado"/>
    <n v="2233"/>
    <x v="370"/>
    <s v="Se requiere la adquisición de artículos de escritorio de buena calidad, en la cantidad necesaria para garantizar el desarrollo adecuado de las actividades administrativas y didácticas realizadas con las personas en tratamiento de la unidad. Los insumos deben permitir un funcionamiento eficiente de los procesos internos y apoyar la ejecución de las acciones planificadas, asegurando que el equipo cuente con los recursos necesarios para cumplir sus funciones de manera efectiva y ordenada."/>
    <x v="5"/>
    <x v="43"/>
    <n v="4"/>
    <n v="1000"/>
    <x v="443"/>
    <x v="463"/>
    <x v="4"/>
    <x v="38"/>
    <x v="43"/>
    <x v="48"/>
    <s v="64-2335492-"/>
    <s v="CAROLINA.SILVALL@REDSALUD.GOB.CL"/>
    <x v="19"/>
    <m/>
    <n v="0"/>
    <m/>
    <n v="0"/>
    <n v="0"/>
    <m/>
    <x v="1"/>
  </r>
  <r>
    <s v="SERVICIO DE SALUD OSORNO"/>
    <x v="0"/>
    <x v="378"/>
    <s v="Proyecto operacional"/>
    <s v="Enviado"/>
    <n v="2233"/>
    <x v="370"/>
    <s v="Se requiere la adquisición de artículos de escritorio de buena calidad, en la cantidad necesaria para garantizar el desarrollo adecuado de las actividades administrativas y didácticas realizadas con las personas en tratamiento de la unidad. Los insumos deben permitir un funcionamiento eficiente de los procesos internos y apoyar la ejecución de las acciones planificadas, asegurando que el equipo cuente con los recursos necesarios para cumplir sus funciones de manera efectiva y ordenada."/>
    <x v="5"/>
    <x v="250"/>
    <n v="4"/>
    <n v="10"/>
    <x v="197"/>
    <x v="231"/>
    <x v="4"/>
    <x v="38"/>
    <x v="43"/>
    <x v="48"/>
    <s v="64-2335492-"/>
    <s v="CAROLINA.SILVALL@REDSALUD.GOB.CL"/>
    <x v="19"/>
    <m/>
    <n v="0"/>
    <m/>
    <n v="0"/>
    <n v="0"/>
    <m/>
    <x v="1"/>
  </r>
  <r>
    <s v="SERVICIO DE SALUD OSORNO"/>
    <x v="1"/>
    <x v="379"/>
    <s v="Proyecto operacional"/>
    <s v="Enviado"/>
    <n v="2240"/>
    <x v="371"/>
    <s v="Las actividades comunitarias se desarrollan a lo largo de todo el año, las compras se utilizan para complementar las actividades dirigidas y/o festividades específicas, pero también para actividades de gestión, coordinación de estas mismas, y reuniones extraprogramáticas con la comunidad o instituciones con los que colaboramos para el desarrollo de lo programado anualmente."/>
    <x v="7"/>
    <x v="31"/>
    <n v="4"/>
    <n v="260"/>
    <x v="400"/>
    <x v="464"/>
    <x v="4"/>
    <x v="35"/>
    <x v="44"/>
    <x v="24"/>
    <s v="64-2335610-"/>
    <s v="pedro.fritz@redsalud.gob.cl"/>
    <x v="13"/>
    <m/>
    <n v="0"/>
    <m/>
    <n v="0"/>
    <n v="0"/>
    <m/>
    <x v="1"/>
  </r>
  <r>
    <s v="SERVICIO DE SALUD OSORNO"/>
    <x v="1"/>
    <x v="379"/>
    <s v="Proyecto operacional"/>
    <s v="Enviado"/>
    <n v="2240"/>
    <x v="371"/>
    <s v="Las actividades comunitarias se desarrollan a lo largo de todo el año, las compras se utilizan para complementar las actividades dirigidas y/o festividades específicas, pero también para actividades de gestión, coordinación de estas mismas, y reuniones extraprogramáticas con la comunidad o instituciones con los que colaboramos para el desarrollo de lo programado anualmente."/>
    <x v="7"/>
    <x v="43"/>
    <n v="4"/>
    <n v="510"/>
    <x v="444"/>
    <x v="465"/>
    <x v="4"/>
    <x v="35"/>
    <x v="44"/>
    <x v="24"/>
    <s v="64-2335610-"/>
    <s v="pedro.fritz@redsalud.gob.cl"/>
    <x v="13"/>
    <m/>
    <n v="0"/>
    <m/>
    <n v="0"/>
    <n v="0"/>
    <m/>
    <x v="1"/>
  </r>
  <r>
    <s v="SERVICIO DE SALUD OSORNO"/>
    <x v="1"/>
    <x v="379"/>
    <s v="Proyecto operacional"/>
    <s v="Enviado"/>
    <n v="2240"/>
    <x v="371"/>
    <s v="Las actividades comunitarias se desarrollan a lo largo de todo el año, las compras se utilizan para complementar las actividades dirigidas y/o festividades específicas, pero también para actividades de gestión, coordinación de estas mismas, y reuniones extraprogramáticas con la comunidad o instituciones con los que colaboramos para el desarrollo de lo programado anualmente."/>
    <x v="7"/>
    <x v="113"/>
    <n v="4"/>
    <n v="700"/>
    <x v="445"/>
    <x v="466"/>
    <x v="4"/>
    <x v="35"/>
    <x v="44"/>
    <x v="24"/>
    <s v="64-2335610-"/>
    <s v="pedro.fritz@redsalud.gob.cl"/>
    <x v="13"/>
    <m/>
    <n v="0"/>
    <m/>
    <n v="0"/>
    <n v="0"/>
    <m/>
    <x v="1"/>
  </r>
  <r>
    <s v="SERVICIO DE SALUD OSORNO"/>
    <x v="1"/>
    <x v="379"/>
    <s v="Proyecto operacional"/>
    <s v="Enviado"/>
    <n v="2240"/>
    <x v="371"/>
    <s v="Las actividades comunitarias se desarrollan a lo largo de todo el año, las compras se utilizan para complementar las actividades dirigidas y/o festividades específicas, pero también para actividades de gestión, coordinación de estas mismas, y reuniones extraprogramáticas con la comunidad o instituciones con los que colaboramos para el desarrollo de lo programado anualmente."/>
    <x v="7"/>
    <x v="323"/>
    <n v="4"/>
    <n v="2"/>
    <x v="309"/>
    <x v="345"/>
    <x v="4"/>
    <x v="35"/>
    <x v="44"/>
    <x v="24"/>
    <s v="64-2335610-"/>
    <s v="pedro.fritz@redsalud.gob.cl"/>
    <x v="13"/>
    <m/>
    <n v="0"/>
    <m/>
    <n v="0"/>
    <n v="0"/>
    <m/>
    <x v="1"/>
  </r>
  <r>
    <s v="SERVICIO DE SALUD OSORNO"/>
    <x v="1"/>
    <x v="379"/>
    <s v="Proyecto operacional"/>
    <s v="Enviado"/>
    <n v="2240"/>
    <x v="371"/>
    <s v="Las actividades comunitarias se desarrollan a lo largo de todo el año, las compras se utilizan para complementar las actividades dirigidas y/o festividades específicas, pero también para actividades de gestión, coordinación de estas mismas, y reuniones extraprogramáticas con la comunidad o instituciones con los que colaboramos para el desarrollo de lo programado anualmente."/>
    <x v="7"/>
    <x v="324"/>
    <n v="4"/>
    <n v="2"/>
    <x v="431"/>
    <x v="149"/>
    <x v="4"/>
    <x v="35"/>
    <x v="44"/>
    <x v="24"/>
    <s v="64-2335610-"/>
    <s v="pedro.fritz@redsalud.gob.cl"/>
    <x v="13"/>
    <m/>
    <n v="0"/>
    <m/>
    <n v="0"/>
    <n v="0"/>
    <m/>
    <x v="1"/>
  </r>
  <r>
    <s v="SERVICIO DE SALUD OSORNO"/>
    <x v="0"/>
    <x v="380"/>
    <s v="Proyecto operacional"/>
    <s v="Enviado"/>
    <n v="2254"/>
    <x v="372"/>
    <s v="Se requiere adquirir servicios de amplificación y colaciones para todos los participantes de la actividad ?En Movimiento y a Una Sola Voz?, en su versión N°15, con el fin de asegurar condiciones adecuadas de participación y contribuir a una presentación de calidad que favorezca los procesos de educación y sensibilización comunitaria en torno a la salud mental, promoviendo acciones de promoción, prevención y autocuidado."/>
    <x v="6"/>
    <x v="325"/>
    <n v="4"/>
    <n v="1"/>
    <x v="64"/>
    <x v="95"/>
    <x v="4"/>
    <x v="26"/>
    <x v="43"/>
    <x v="48"/>
    <s v="64-2335492-"/>
    <s v="CAROLINA.SILVALL@REDSALUD.GOB.CL"/>
    <x v="16"/>
    <m/>
    <n v="0"/>
    <m/>
    <n v="0"/>
    <n v="0"/>
    <m/>
    <x v="1"/>
  </r>
  <r>
    <s v="SERVICIO DE SALUD OSORNO"/>
    <x v="0"/>
    <x v="380"/>
    <s v="Proyecto operacional"/>
    <s v="Enviado"/>
    <n v="2254"/>
    <x v="372"/>
    <s v="Se requiere adquirir servicios de amplificación y colaciones para todos los participantes de la actividad ?En Movimiento y a Una Sola Voz?, en su versión N°15, con el fin de asegurar condiciones adecuadas de participación y contribuir a una presentación de calidad que favorezca los procesos de educación y sensibilización comunitaria en torno a la salud mental, promoviendo acciones de promoción, prevención y autocuidado."/>
    <x v="6"/>
    <x v="326"/>
    <n v="4"/>
    <n v="48"/>
    <x v="196"/>
    <x v="347"/>
    <x v="4"/>
    <x v="26"/>
    <x v="43"/>
    <x v="48"/>
    <s v="64-2335492-"/>
    <s v="CAROLINA.SILVALL@REDSALUD.GOB.CL"/>
    <x v="16"/>
    <m/>
    <n v="0"/>
    <m/>
    <n v="0"/>
    <n v="0"/>
    <m/>
    <x v="1"/>
  </r>
  <r>
    <s v="SERVICIO DE SALUD OSORNO"/>
    <x v="0"/>
    <x v="380"/>
    <s v="Proyecto operacional"/>
    <s v="Enviado"/>
    <n v="2254"/>
    <x v="372"/>
    <s v="Se requiere adquirir servicios de amplificación y colaciones para todos los participantes de la actividad ?En Movimiento y a Una Sola Voz?, en su versión N°15, con el fin de asegurar condiciones adecuadas de participación y contribuir a una presentación de calidad que favorezca los procesos de educación y sensibilización comunitaria en torno a la salud mental, promoviendo acciones de promoción, prevención y autocuidado."/>
    <x v="6"/>
    <x v="327"/>
    <n v="4"/>
    <n v="400"/>
    <x v="446"/>
    <x v="467"/>
    <x v="4"/>
    <x v="26"/>
    <x v="43"/>
    <x v="48"/>
    <s v="64-2335492-"/>
    <s v="CAROLINA.SILVALL@REDSALUD.GOB.CL"/>
    <x v="16"/>
    <m/>
    <n v="0"/>
    <m/>
    <n v="0"/>
    <n v="0"/>
    <m/>
    <x v="1"/>
  </r>
  <r>
    <s v="SERVICIO DE SALUD OSORNO"/>
    <x v="0"/>
    <x v="380"/>
    <s v="Proyecto operacional"/>
    <s v="Enviado"/>
    <n v="2254"/>
    <x v="372"/>
    <s v="Se requiere adquirir servicios de amplificación y colaciones para todos los participantes de la actividad ?En Movimiento y a Una Sola Voz?, en su versión N°15, con el fin de asegurar condiciones adecuadas de participación y contribuir a una presentación de calidad que favorezca los procesos de educación y sensibilización comunitaria en torno a la salud mental, promoviendo acciones de promoción, prevención y autocuidado."/>
    <x v="6"/>
    <x v="31"/>
    <n v="4"/>
    <n v="3238"/>
    <x v="447"/>
    <x v="468"/>
    <x v="4"/>
    <x v="26"/>
    <x v="43"/>
    <x v="48"/>
    <s v="64-2335492-"/>
    <s v="CAROLINA.SILVALL@REDSALUD.GOB.CL"/>
    <x v="16"/>
    <m/>
    <n v="0"/>
    <m/>
    <n v="0"/>
    <n v="0"/>
    <m/>
    <x v="1"/>
  </r>
  <r>
    <s v="SERVICIO DE SALUD OSORNO"/>
    <x v="0"/>
    <x v="381"/>
    <s v="Proyecto operacional"/>
    <s v="Enviado"/>
    <n v="2281"/>
    <x v="373"/>
    <s v="Responder adecuadamente a las necesidades de salud de las personas beneficiarias del programa PRAIS, considerando su historial de vulneración de derechos.Enfoque aplicado:Biopsicosocial, es decir, integrando dimensiones biológicas, psicológicas y sociales de la atención en salud. Componentes de la adquisición: Prestaciones sanitarias.Insumos clínicos y no clínicos.Recursos para el funcionamiento operativo del programa. Materiales e insumos para actividades de promoción de Derechos Humanos .Apoyo para el dllo de hitos y actividads del programa"/>
    <x v="10"/>
    <x v="318"/>
    <n v="4"/>
    <n v="70"/>
    <x v="448"/>
    <x v="469"/>
    <x v="4"/>
    <x v="24"/>
    <x v="104"/>
    <x v="67"/>
    <s v="64-2336694-"/>
    <s v="anamaria.diaz@redsalud.gob.cl"/>
    <x v="21"/>
    <m/>
    <n v="0"/>
    <m/>
    <n v="0"/>
    <n v="0"/>
    <m/>
    <x v="1"/>
  </r>
  <r>
    <s v="SERVICIO DE SALUD OSORNO"/>
    <x v="0"/>
    <x v="381"/>
    <s v="Proyecto operacional"/>
    <s v="Enviado"/>
    <n v="2281"/>
    <x v="373"/>
    <s v="Responder adecuadamente a las necesidades de salud de las personas beneficiarias del programa PRAIS, considerando su historial de vulneración de derechos.Enfoque aplicado:Biopsicosocial, es decir, integrando dimensiones biológicas, psicológicas y sociales de la atención en salud. Componentes de la adquisición: Prestaciones sanitarias.Insumos clínicos y no clínicos.Recursos para el funcionamiento operativo del programa. Materiales e insumos para actividades de promoción de Derechos Humanos .Apoyo para el dllo de hitos y actividads del programa"/>
    <x v="10"/>
    <x v="267"/>
    <n v="4"/>
    <n v="80"/>
    <x v="449"/>
    <x v="470"/>
    <x v="4"/>
    <x v="24"/>
    <x v="104"/>
    <x v="67"/>
    <s v="64-2336694-"/>
    <s v="anamaria.diaz@redsalud.gob.cl"/>
    <x v="21"/>
    <m/>
    <n v="0"/>
    <m/>
    <n v="0"/>
    <n v="0"/>
    <m/>
    <x v="1"/>
  </r>
  <r>
    <s v="SERVICIO DE SALUD OSORNO"/>
    <x v="0"/>
    <x v="381"/>
    <s v="Proyecto operacional"/>
    <s v="Enviado"/>
    <n v="2281"/>
    <x v="373"/>
    <s v="Responder adecuadamente a las necesidades de salud de las personas beneficiarias del programa PRAIS, considerando su historial de vulneración de derechos.Enfoque aplicado:Biopsicosocial, es decir, integrando dimensiones biológicas, psicológicas y sociales de la atención en salud. Componentes de la adquisición: Prestaciones sanitarias.Insumos clínicos y no clínicos.Recursos para el funcionamiento operativo del programa. Materiales e insumos para actividades de promoción de Derechos Humanos .Apoyo para el dllo de hitos y actividads del programa"/>
    <x v="10"/>
    <x v="276"/>
    <n v="4"/>
    <n v="70"/>
    <x v="450"/>
    <x v="471"/>
    <x v="4"/>
    <x v="24"/>
    <x v="104"/>
    <x v="67"/>
    <s v="64-2336694-"/>
    <s v="anamaria.diaz@redsalud.gob.cl"/>
    <x v="21"/>
    <m/>
    <n v="0"/>
    <m/>
    <n v="0"/>
    <n v="0"/>
    <m/>
    <x v="1"/>
  </r>
  <r>
    <s v="SERVICIO DE SALUD OSORNO"/>
    <x v="0"/>
    <x v="381"/>
    <s v="Proyecto operacional"/>
    <s v="Enviado"/>
    <n v="2281"/>
    <x v="373"/>
    <s v="Responder adecuadamente a las necesidades de salud de las personas beneficiarias del programa PRAIS, considerando su historial de vulneración de derechos.Enfoque aplicado:Biopsicosocial, es decir, integrando dimensiones biológicas, psicológicas y sociales de la atención en salud. Componentes de la adquisición: Prestaciones sanitarias.Insumos clínicos y no clínicos.Recursos para el funcionamiento operativo del programa. Materiales e insumos para actividades de promoción de Derechos Humanos .Apoyo para el dllo de hitos y actividads del programa"/>
    <x v="10"/>
    <x v="125"/>
    <n v="4"/>
    <n v="100"/>
    <x v="449"/>
    <x v="472"/>
    <x v="4"/>
    <x v="24"/>
    <x v="104"/>
    <x v="67"/>
    <s v="64-2336694-"/>
    <s v="anamaria.diaz@redsalud.gob.cl"/>
    <x v="21"/>
    <m/>
    <n v="0"/>
    <m/>
    <n v="0"/>
    <n v="0"/>
    <m/>
    <x v="1"/>
  </r>
  <r>
    <s v="SERVICIO DE SALUD OSORNO"/>
    <x v="0"/>
    <x v="381"/>
    <s v="Proyecto operacional"/>
    <s v="Enviado"/>
    <n v="2281"/>
    <x v="373"/>
    <s v="Responder adecuadamente a las necesidades de salud de las personas beneficiarias del programa PRAIS, considerando su historial de vulneración de derechos.Enfoque aplicado:Biopsicosocial, es decir, integrando dimensiones biológicas, psicológicas y sociales de la atención en salud. Componentes de la adquisición: Prestaciones sanitarias.Insumos clínicos y no clínicos.Recursos para el funcionamiento operativo del programa. Materiales e insumos para actividades de promoción de Derechos Humanos .Apoyo para el dllo de hitos y actividads del programa"/>
    <x v="10"/>
    <x v="277"/>
    <n v="4"/>
    <n v="8"/>
    <x v="451"/>
    <x v="149"/>
    <x v="4"/>
    <x v="24"/>
    <x v="104"/>
    <x v="67"/>
    <s v="64-2336694-"/>
    <s v="anamaria.diaz@redsalud.gob.cl"/>
    <x v="21"/>
    <m/>
    <n v="0"/>
    <m/>
    <n v="0"/>
    <n v="0"/>
    <m/>
    <x v="1"/>
  </r>
  <r>
    <s v="SERVICIO DE SALUD OSORNO"/>
    <x v="0"/>
    <x v="381"/>
    <s v="Proyecto operacional"/>
    <s v="Enviado"/>
    <n v="2281"/>
    <x v="373"/>
    <s v="Responder adecuadamente a las necesidades de salud de las personas beneficiarias del programa PRAIS, considerando su historial de vulneración de derechos.Enfoque aplicado:Biopsicosocial, es decir, integrando dimensiones biológicas, psicológicas y sociales de la atención en salud. Componentes de la adquisición: Prestaciones sanitarias.Insumos clínicos y no clínicos.Recursos para el funcionamiento operativo del programa. Materiales e insumos para actividades de promoción de Derechos Humanos .Apoyo para el dllo de hitos y actividads del programa"/>
    <x v="10"/>
    <x v="310"/>
    <n v="4"/>
    <n v="1"/>
    <x v="431"/>
    <x v="400"/>
    <x v="4"/>
    <x v="24"/>
    <x v="104"/>
    <x v="67"/>
    <s v="64-2336694-"/>
    <s v="anamaria.diaz@redsalud.gob.cl"/>
    <x v="21"/>
    <m/>
    <n v="0"/>
    <m/>
    <n v="0"/>
    <n v="0"/>
    <m/>
    <x v="1"/>
  </r>
  <r>
    <s v="SERVICIO DE SALUD OSORNO"/>
    <x v="0"/>
    <x v="381"/>
    <s v="Proyecto operacional"/>
    <s v="Enviado"/>
    <n v="2281"/>
    <x v="373"/>
    <s v="Responder adecuadamente a las necesidades de salud de las personas beneficiarias del programa PRAIS, considerando su historial de vulneración de derechos.Enfoque aplicado:Biopsicosocial, es decir, integrando dimensiones biológicas, psicológicas y sociales de la atención en salud. Componentes de la adquisición: Prestaciones sanitarias.Insumos clínicos y no clínicos.Recursos para el funcionamiento operativo del programa. Materiales e insumos para actividades de promoción de Derechos Humanos .Apoyo para el dllo de hitos y actividads del programa"/>
    <x v="10"/>
    <x v="328"/>
    <n v="4"/>
    <n v="160"/>
    <x v="452"/>
    <x v="473"/>
    <x v="4"/>
    <x v="24"/>
    <x v="104"/>
    <x v="67"/>
    <s v="64-2336694-"/>
    <s v="anamaria.diaz@redsalud.gob.cl"/>
    <x v="21"/>
    <m/>
    <n v="0"/>
    <m/>
    <n v="0"/>
    <n v="0"/>
    <m/>
    <x v="1"/>
  </r>
  <r>
    <s v="SERVICIO DE SALUD OSORNO"/>
    <x v="0"/>
    <x v="381"/>
    <s v="Proyecto operacional"/>
    <s v="Enviado"/>
    <n v="2281"/>
    <x v="373"/>
    <s v="Responder adecuadamente a las necesidades de salud de las personas beneficiarias del programa PRAIS, considerando su historial de vulneración de derechos.Enfoque aplicado:Biopsicosocial, es decir, integrando dimensiones biológicas, psicológicas y sociales de la atención en salud. Componentes de la adquisición: Prestaciones sanitarias.Insumos clínicos y no clínicos.Recursos para el funcionamiento operativo del programa. Materiales e insumos para actividades de promoción de Derechos Humanos .Apoyo para el dllo de hitos y actividads del programa"/>
    <x v="10"/>
    <x v="329"/>
    <n v="4"/>
    <n v="5"/>
    <x v="101"/>
    <x v="421"/>
    <x v="4"/>
    <x v="24"/>
    <x v="104"/>
    <x v="67"/>
    <s v="64-2336694-"/>
    <s v="anamaria.diaz@redsalud.gob.cl"/>
    <x v="21"/>
    <m/>
    <n v="0"/>
    <m/>
    <n v="0"/>
    <n v="0"/>
    <m/>
    <x v="1"/>
  </r>
  <r>
    <s v="SERVICIO DE SALUD OSORNO"/>
    <x v="0"/>
    <x v="381"/>
    <s v="Proyecto operacional"/>
    <s v="Enviado"/>
    <n v="2281"/>
    <x v="373"/>
    <s v="Responder adecuadamente a las necesidades de salud de las personas beneficiarias del programa PRAIS, considerando su historial de vulneración de derechos.Enfoque aplicado:Biopsicosocial, es decir, integrando dimensiones biológicas, psicológicas y sociales de la atención en salud. Componentes de la adquisición: Prestaciones sanitarias.Insumos clínicos y no clínicos.Recursos para el funcionamiento operativo del programa. Materiales e insumos para actividades de promoción de Derechos Humanos .Apoyo para el dllo de hitos y actividads del programa"/>
    <x v="10"/>
    <x v="46"/>
    <n v="4"/>
    <n v="1"/>
    <x v="345"/>
    <x v="374"/>
    <x v="15"/>
    <x v="48"/>
    <x v="104"/>
    <x v="67"/>
    <s v="64-2336694-"/>
    <s v="anamaria.diaz@redsalud.gob.cl"/>
    <x v="14"/>
    <m/>
    <n v="0"/>
    <m/>
    <n v="0"/>
    <n v="0"/>
    <m/>
    <x v="1"/>
  </r>
  <r>
    <s v="SERVICIO DE SALUD OSORNO"/>
    <x v="0"/>
    <x v="381"/>
    <s v="Proyecto operacional"/>
    <s v="Enviado"/>
    <n v="2281"/>
    <x v="373"/>
    <s v="Responder adecuadamente a las necesidades de salud de las personas beneficiarias del programa PRAIS, considerando su historial de vulneración de derechos.Enfoque aplicado:Biopsicosocial, es decir, integrando dimensiones biológicas, psicológicas y sociales de la atención en salud. Componentes de la adquisición: Prestaciones sanitarias.Insumos clínicos y no clínicos.Recursos para el funcionamiento operativo del programa. Materiales e insumos para actividades de promoción de Derechos Humanos .Apoyo para el dllo de hitos y actividads del programa"/>
    <x v="10"/>
    <x v="275"/>
    <n v="4"/>
    <n v="1"/>
    <x v="72"/>
    <x v="177"/>
    <x v="4"/>
    <x v="25"/>
    <x v="104"/>
    <x v="67"/>
    <s v="64-2336694-"/>
    <s v="anamaria.diaz@redsalud.gob.cl"/>
    <x v="20"/>
    <m/>
    <n v="0"/>
    <m/>
    <n v="0"/>
    <n v="0"/>
    <m/>
    <x v="1"/>
  </r>
  <r>
    <s v="SERVICIO DE SALUD OSORNO"/>
    <x v="0"/>
    <x v="381"/>
    <s v="Proyecto operacional"/>
    <s v="Enviado"/>
    <n v="2281"/>
    <x v="373"/>
    <s v="Responder adecuadamente a las necesidades de salud de las personas beneficiarias del programa PRAIS, considerando su historial de vulneración de derechos.Enfoque aplicado:Biopsicosocial, es decir, integrando dimensiones biológicas, psicológicas y sociales de la atención en salud. Componentes de la adquisición: Prestaciones sanitarias.Insumos clínicos y no clínicos.Recursos para el funcionamiento operativo del programa. Materiales e insumos para actividades de promoción de Derechos Humanos .Apoyo para el dllo de hitos y actividads del programa"/>
    <x v="10"/>
    <x v="330"/>
    <n v="4"/>
    <n v="1"/>
    <x v="328"/>
    <x v="0"/>
    <x v="4"/>
    <x v="25"/>
    <x v="104"/>
    <x v="67"/>
    <s v="64-2336694-"/>
    <s v="anamaria.diaz@redsalud.gob.cl"/>
    <x v="20"/>
    <m/>
    <n v="0"/>
    <m/>
    <n v="0"/>
    <n v="0"/>
    <m/>
    <x v="1"/>
  </r>
  <r>
    <s v="SERVICIO DE SALUD OSORNO"/>
    <x v="0"/>
    <x v="381"/>
    <s v="Proyecto operacional"/>
    <s v="Enviado"/>
    <n v="2281"/>
    <x v="373"/>
    <s v="Responder adecuadamente a las necesidades de salud de las personas beneficiarias del programa PRAIS, considerando su historial de vulneración de derechos.Enfoque aplicado:Biopsicosocial, es decir, integrando dimensiones biológicas, psicológicas y sociales de la atención en salud. Componentes de la adquisición: Prestaciones sanitarias.Insumos clínicos y no clínicos.Recursos para el funcionamiento operativo del programa. Materiales e insumos para actividades de promoción de Derechos Humanos .Apoyo para el dllo de hitos y actividads del programa"/>
    <x v="10"/>
    <x v="230"/>
    <n v="4"/>
    <n v="2"/>
    <x v="72"/>
    <x v="95"/>
    <x v="4"/>
    <x v="25"/>
    <x v="104"/>
    <x v="67"/>
    <s v="64-2336694-"/>
    <s v="anamaria.diaz@redsalud.gob.cl"/>
    <x v="20"/>
    <m/>
    <n v="0"/>
    <m/>
    <n v="0"/>
    <n v="0"/>
    <m/>
    <x v="1"/>
  </r>
  <r>
    <s v="SERVICIO DE SALUD OSORNO"/>
    <x v="0"/>
    <x v="381"/>
    <s v="Proyecto operacional"/>
    <s v="Enviado"/>
    <n v="2281"/>
    <x v="373"/>
    <s v="Responder adecuadamente a las necesidades de salud de las personas beneficiarias del programa PRAIS, considerando su historial de vulneración de derechos.Enfoque aplicado:Biopsicosocial, es decir, integrando dimensiones biológicas, psicológicas y sociales de la atención en salud. Componentes de la adquisición: Prestaciones sanitarias.Insumos clínicos y no clínicos.Recursos para el funcionamiento operativo del programa. Materiales e insumos para actividades de promoción de Derechos Humanos .Apoyo para el dllo de hitos y actividads del programa"/>
    <x v="10"/>
    <x v="331"/>
    <n v="4"/>
    <n v="1"/>
    <x v="179"/>
    <x v="182"/>
    <x v="7"/>
    <x v="49"/>
    <x v="104"/>
    <x v="67"/>
    <s v="64-2336694-"/>
    <s v="anamaria.diaz@redsalud.gob.cl"/>
    <x v="20"/>
    <m/>
    <n v="0"/>
    <m/>
    <n v="0"/>
    <n v="0"/>
    <m/>
    <x v="1"/>
  </r>
  <r>
    <s v="SERVICIO DE SALUD OSORNO"/>
    <x v="0"/>
    <x v="381"/>
    <s v="Proyecto operacional"/>
    <s v="Enviado"/>
    <n v="2281"/>
    <x v="373"/>
    <s v="Responder adecuadamente a las necesidades de salud de las personas beneficiarias del programa PRAIS, considerando su historial de vulneración de derechos.Enfoque aplicado:Biopsicosocial, es decir, integrando dimensiones biológicas, psicológicas y sociales de la atención en salud. Componentes de la adquisición: Prestaciones sanitarias.Insumos clínicos y no clínicos.Recursos para el funcionamiento operativo del programa. Materiales e insumos para actividades de promoción de Derechos Humanos .Apoyo para el dllo de hitos y actividads del programa"/>
    <x v="10"/>
    <x v="273"/>
    <n v="4"/>
    <n v="1"/>
    <x v="64"/>
    <x v="95"/>
    <x v="4"/>
    <x v="31"/>
    <x v="104"/>
    <x v="67"/>
    <s v="64-2336694-"/>
    <s v="anamaria.diaz@redsalud.gob.cl"/>
    <x v="14"/>
    <m/>
    <n v="0"/>
    <m/>
    <n v="0"/>
    <n v="0"/>
    <m/>
    <x v="1"/>
  </r>
  <r>
    <s v="SERVICIO DE SALUD OSORNO"/>
    <x v="0"/>
    <x v="381"/>
    <s v="Proyecto operacional"/>
    <s v="Enviado"/>
    <n v="2281"/>
    <x v="373"/>
    <s v="Responder adecuadamente a las necesidades de salud de las personas beneficiarias del programa PRAIS, considerando su historial de vulneración de derechos.Enfoque aplicado:Biopsicosocial, es decir, integrando dimensiones biológicas, psicológicas y sociales de la atención en salud. Componentes de la adquisición: Prestaciones sanitarias.Insumos clínicos y no clínicos.Recursos para el funcionamiento operativo del programa. Materiales e insumos para actividades de promoción de Derechos Humanos .Apoyo para el dllo de hitos y actividads del programa"/>
    <x v="10"/>
    <x v="332"/>
    <n v="4"/>
    <n v="1"/>
    <x v="64"/>
    <x v="95"/>
    <x v="4"/>
    <x v="25"/>
    <x v="104"/>
    <x v="67"/>
    <s v="64-2336694-"/>
    <s v="anamaria.diaz@redsalud.gob.cl"/>
    <x v="20"/>
    <m/>
    <n v="0"/>
    <m/>
    <n v="0"/>
    <n v="0"/>
    <m/>
    <x v="1"/>
  </r>
  <r>
    <s v="SERVICIO DE SALUD OSORNO"/>
    <x v="0"/>
    <x v="381"/>
    <s v="Proyecto operacional"/>
    <s v="Enviado"/>
    <n v="2281"/>
    <x v="373"/>
    <s v="Responder adecuadamente a las necesidades de salud de las personas beneficiarias del programa PRAIS, considerando su historial de vulneración de derechos.Enfoque aplicado:Biopsicosocial, es decir, integrando dimensiones biológicas, psicológicas y sociales de la atención en salud. Componentes de la adquisición: Prestaciones sanitarias.Insumos clínicos y no clínicos.Recursos para el funcionamiento operativo del programa. Materiales e insumos para actividades de promoción de Derechos Humanos .Apoyo para el dllo de hitos y actividads del programa"/>
    <x v="10"/>
    <x v="31"/>
    <n v="4"/>
    <n v="100"/>
    <x v="453"/>
    <x v="474"/>
    <x v="4"/>
    <x v="24"/>
    <x v="104"/>
    <x v="67"/>
    <s v="64-2336694-"/>
    <s v="anamaria.diaz@redsalud.gob.cl"/>
    <x v="21"/>
    <m/>
    <n v="0"/>
    <m/>
    <n v="0"/>
    <n v="0"/>
    <m/>
    <x v="1"/>
  </r>
  <r>
    <s v="SERVICIO DE SALUD OSORNO"/>
    <x v="0"/>
    <x v="381"/>
    <s v="Proyecto operacional"/>
    <s v="Enviado"/>
    <n v="2281"/>
    <x v="373"/>
    <s v="Responder adecuadamente a las necesidades de salud de las personas beneficiarias del programa PRAIS, considerando su historial de vulneración de derechos.Enfoque aplicado:Biopsicosocial, es decir, integrando dimensiones biológicas, psicológicas y sociales de la atención en salud. Componentes de la adquisición: Prestaciones sanitarias.Insumos clínicos y no clínicos.Recursos para el funcionamiento operativo del programa. Materiales e insumos para actividades de promoción de Derechos Humanos .Apoyo para el dllo de hitos y actividads del programa"/>
    <x v="10"/>
    <x v="333"/>
    <n v="4"/>
    <n v="1"/>
    <x v="58"/>
    <x v="96"/>
    <x v="4"/>
    <x v="24"/>
    <x v="104"/>
    <x v="67"/>
    <s v="64-2336694-"/>
    <s v="anamaria.diaz@redsalud.gob.cl"/>
    <x v="21"/>
    <m/>
    <n v="0"/>
    <m/>
    <n v="0"/>
    <n v="0"/>
    <m/>
    <x v="1"/>
  </r>
  <r>
    <s v="SERVICIO DE SALUD OSORNO"/>
    <x v="0"/>
    <x v="381"/>
    <s v="Proyecto operacional"/>
    <s v="Enviado"/>
    <n v="2281"/>
    <x v="373"/>
    <s v="Responder adecuadamente a las necesidades de salud de las personas beneficiarias del programa PRAIS, considerando su historial de vulneración de derechos.Enfoque aplicado:Biopsicosocial, es decir, integrando dimensiones biológicas, psicológicas y sociales de la atención en salud. Componentes de la adquisición: Prestaciones sanitarias.Insumos clínicos y no clínicos.Recursos para el funcionamiento operativo del programa. Materiales e insumos para actividades de promoción de Derechos Humanos .Apoyo para el dllo de hitos y actividads del programa"/>
    <x v="10"/>
    <x v="334"/>
    <n v="4"/>
    <n v="1"/>
    <x v="180"/>
    <x v="214"/>
    <x v="4"/>
    <x v="25"/>
    <x v="104"/>
    <x v="67"/>
    <s v="64-2336694-"/>
    <s v="anamaria.diaz@redsalud.gob.cl"/>
    <x v="20"/>
    <m/>
    <n v="0"/>
    <m/>
    <n v="0"/>
    <n v="0"/>
    <m/>
    <x v="1"/>
  </r>
  <r>
    <s v="SERVICIO DE SALUD OSORNO"/>
    <x v="0"/>
    <x v="381"/>
    <s v="Proyecto operacional"/>
    <s v="Enviado"/>
    <n v="2281"/>
    <x v="373"/>
    <s v="Responder adecuadamente a las necesidades de salud de las personas beneficiarias del programa PRAIS, considerando su historial de vulneración de derechos.Enfoque aplicado:Biopsicosocial, es decir, integrando dimensiones biológicas, psicológicas y sociales de la atención en salud. Componentes de la adquisición: Prestaciones sanitarias.Insumos clínicos y no clínicos.Recursos para el funcionamiento operativo del programa. Materiales e insumos para actividades de promoción de Derechos Humanos .Apoyo para el dllo de hitos y actividads del programa"/>
    <x v="10"/>
    <x v="25"/>
    <n v="4"/>
    <n v="1"/>
    <x v="221"/>
    <x v="252"/>
    <x v="4"/>
    <x v="31"/>
    <x v="104"/>
    <x v="67"/>
    <s v="64-2336694-"/>
    <s v="anamaria.diaz@redsalud.gob.cl"/>
    <x v="14"/>
    <m/>
    <n v="0"/>
    <m/>
    <n v="0"/>
    <n v="0"/>
    <m/>
    <x v="1"/>
  </r>
  <r>
    <s v="SERVICIO DE SALUD OSORNO"/>
    <x v="0"/>
    <x v="381"/>
    <s v="Proyecto operacional"/>
    <s v="Enviado"/>
    <n v="2281"/>
    <x v="373"/>
    <s v="Responder adecuadamente a las necesidades de salud de las personas beneficiarias del programa PRAIS, considerando su historial de vulneración de derechos.Enfoque aplicado:Biopsicosocial, es decir, integrando dimensiones biológicas, psicológicas y sociales de la atención en salud. Componentes de la adquisición: Prestaciones sanitarias.Insumos clínicos y no clínicos.Recursos para el funcionamiento operativo del programa. Materiales e insumos para actividades de promoción de Derechos Humanos .Apoyo para el dllo de hitos y actividads del programa"/>
    <x v="10"/>
    <x v="335"/>
    <n v="4"/>
    <n v="1"/>
    <x v="58"/>
    <x v="96"/>
    <x v="4"/>
    <x v="31"/>
    <x v="104"/>
    <x v="67"/>
    <s v="64-2336694-"/>
    <s v="anamaria.diaz@redsalud.gob.cl"/>
    <x v="14"/>
    <m/>
    <n v="0"/>
    <m/>
    <n v="0"/>
    <n v="0"/>
    <m/>
    <x v="1"/>
  </r>
  <r>
    <s v="SERVICIO DE SALUD OSORNO"/>
    <x v="0"/>
    <x v="381"/>
    <s v="Proyecto operacional"/>
    <s v="Enviado"/>
    <n v="2281"/>
    <x v="373"/>
    <s v="Responder adecuadamente a las necesidades de salud de las personas beneficiarias del programa PRAIS, considerando su historial de vulneración de derechos.Enfoque aplicado:Biopsicosocial, es decir, integrando dimensiones biológicas, psicológicas y sociales de la atención en salud. Componentes de la adquisición: Prestaciones sanitarias.Insumos clínicos y no clínicos.Recursos para el funcionamiento operativo del programa. Materiales e insumos para actividades de promoción de Derechos Humanos .Apoyo para el dllo de hitos y actividads del programa"/>
    <x v="10"/>
    <x v="336"/>
    <n v="4"/>
    <n v="2"/>
    <x v="77"/>
    <x v="421"/>
    <x v="4"/>
    <x v="24"/>
    <x v="104"/>
    <x v="67"/>
    <s v="64-2336694-"/>
    <s v="anamaria.diaz@redsalud.gob.cl"/>
    <x v="21"/>
    <m/>
    <n v="0"/>
    <m/>
    <n v="0"/>
    <n v="0"/>
    <m/>
    <x v="1"/>
  </r>
  <r>
    <s v="SERVICIO DE SALUD OSORNO"/>
    <x v="0"/>
    <x v="381"/>
    <s v="Proyecto operacional"/>
    <s v="Enviado"/>
    <n v="2281"/>
    <x v="373"/>
    <s v="Responder adecuadamente a las necesidades de salud de las personas beneficiarias del programa PRAIS, considerando su historial de vulneración de derechos.Enfoque aplicado:Biopsicosocial, es decir, integrando dimensiones biológicas, psicológicas y sociales de la atención en salud. Componentes de la adquisición: Prestaciones sanitarias.Insumos clínicos y no clínicos.Recursos para el funcionamiento operativo del programa. Materiales e insumos para actividades de promoción de Derechos Humanos .Apoyo para el dllo de hitos y actividads del programa"/>
    <x v="10"/>
    <x v="175"/>
    <n v="4"/>
    <n v="1"/>
    <x v="431"/>
    <x v="400"/>
    <x v="4"/>
    <x v="24"/>
    <x v="104"/>
    <x v="67"/>
    <s v="64-2336694-"/>
    <s v="anamaria.diaz@redsalud.gob.cl"/>
    <x v="21"/>
    <m/>
    <n v="0"/>
    <m/>
    <n v="0"/>
    <n v="0"/>
    <m/>
    <x v="1"/>
  </r>
  <r>
    <s v="SERVICIO DE SALUD OSORNO"/>
    <x v="0"/>
    <x v="381"/>
    <s v="Proyecto operacional"/>
    <s v="Enviado"/>
    <n v="2281"/>
    <x v="373"/>
    <s v="Responder adecuadamente a las necesidades de salud de las personas beneficiarias del programa PRAIS, considerando su historial de vulneración de derechos.Enfoque aplicado:Biopsicosocial, es decir, integrando dimensiones biológicas, psicológicas y sociales de la atención en salud. Componentes de la adquisición: Prestaciones sanitarias.Insumos clínicos y no clínicos.Recursos para el funcionamiento operativo del programa. Materiales e insumos para actividades de promoción de Derechos Humanos .Apoyo para el dllo de hitos y actividads del programa"/>
    <x v="10"/>
    <x v="337"/>
    <n v="4"/>
    <n v="24"/>
    <x v="454"/>
    <x v="475"/>
    <x v="4"/>
    <x v="24"/>
    <x v="104"/>
    <x v="67"/>
    <s v="64-2336694-"/>
    <s v="anamaria.diaz@redsalud.gob.cl"/>
    <x v="21"/>
    <m/>
    <n v="0"/>
    <m/>
    <n v="0"/>
    <n v="0"/>
    <m/>
    <x v="1"/>
  </r>
  <r>
    <s v="SERVICIO DE SALUD OSORNO"/>
    <x v="4"/>
    <x v="382"/>
    <s v="Proyecto operacional"/>
    <s v="Enviado"/>
    <n v="2584"/>
    <x v="374"/>
    <s v="Se requiere Hidrolavadora para poder limpiar accesos de vehiculos que se llenan de pasto y musgos, limpiar muros y ventanas del establecimiento con personal propio."/>
    <x v="1"/>
    <x v="338"/>
    <n v="4"/>
    <n v="1"/>
    <x v="83"/>
    <x v="164"/>
    <x v="4"/>
    <x v="38"/>
    <x v="44"/>
    <x v="58"/>
    <s v="64-2335588-"/>
    <s v="roberto.nunez@redsalud.gob.cl"/>
    <x v="13"/>
    <m/>
    <n v="0"/>
    <m/>
    <n v="0"/>
    <n v="0"/>
    <m/>
    <x v="1"/>
  </r>
  <r>
    <s v="SERVICIO DE SALUD OSORNO"/>
    <x v="0"/>
    <x v="383"/>
    <s v="Proyecto operacional"/>
    <s v="Enviado"/>
    <n v="2380"/>
    <x v="375"/>
    <s v="Contar con servicio de cafetería (2 días) en horario am y snack frio para jornada pm, para asistentes y relatores externos, además de insumos de Liberia para el desarrollo de actividades practicas. mes ejecucion de la compra: Abril"/>
    <x v="6"/>
    <x v="339"/>
    <n v="4"/>
    <n v="62"/>
    <x v="455"/>
    <x v="476"/>
    <x v="4"/>
    <x v="24"/>
    <x v="2"/>
    <x v="3"/>
    <s v="64-2337728-"/>
    <s v="CATALINA.VERAC@REDSALUD.GOB.CL"/>
    <x v="14"/>
    <m/>
    <n v="0"/>
    <m/>
    <n v="0"/>
    <n v="0"/>
    <m/>
    <x v="1"/>
  </r>
  <r>
    <s v="SERVICIO DE SALUD OSORNO"/>
    <x v="0"/>
    <x v="383"/>
    <s v="Proyecto operacional"/>
    <s v="Enviado"/>
    <n v="2380"/>
    <x v="375"/>
    <s v="Contar con servicio de cafetería (2 días) en horario am y snack frio para jornada pm, para asistentes y relatores externos, además de insumos de Liberia para el desarrollo de actividades practicas. mes ejecucion de la compra: Abril"/>
    <x v="6"/>
    <x v="340"/>
    <n v="4"/>
    <n v="200"/>
    <x v="456"/>
    <x v="253"/>
    <x v="4"/>
    <x v="24"/>
    <x v="2"/>
    <x v="3"/>
    <s v="64-2337728-"/>
    <s v="CATALINA.VERAC@REDSALUD.GOB.CL"/>
    <x v="14"/>
    <m/>
    <n v="0"/>
    <m/>
    <n v="0"/>
    <n v="0"/>
    <m/>
    <x v="1"/>
  </r>
  <r>
    <s v="SERVICIO DE SALUD OSORNO"/>
    <x v="0"/>
    <x v="383"/>
    <s v="Proyecto operacional"/>
    <s v="Enviado"/>
    <n v="2380"/>
    <x v="375"/>
    <s v="Contar con servicio de cafetería (2 días) en horario am y snack frio para jornada pm, para asistentes y relatores externos, además de insumos de Liberia para el desarrollo de actividades practicas. mes ejecucion de la compra: Abril"/>
    <x v="6"/>
    <x v="113"/>
    <n v="4"/>
    <n v="656"/>
    <x v="457"/>
    <x v="477"/>
    <x v="4"/>
    <x v="24"/>
    <x v="2"/>
    <x v="3"/>
    <s v="64-2337728-"/>
    <s v="CATALINA.VERAC@REDSALUD.GOB.CL"/>
    <x v="14"/>
    <m/>
    <n v="0"/>
    <m/>
    <n v="0"/>
    <n v="0"/>
    <m/>
    <x v="1"/>
  </r>
  <r>
    <s v="SERVICIO DE SALUD OSORNO"/>
    <x v="0"/>
    <x v="383"/>
    <s v="Proyecto operacional"/>
    <s v="Enviado"/>
    <n v="2380"/>
    <x v="375"/>
    <s v="Contar con servicio de cafetería (2 días) en horario am y snack frio para jornada pm, para asistentes y relatores externos, además de insumos de Liberia para el desarrollo de actividades practicas. mes ejecucion de la compra: Abril"/>
    <x v="6"/>
    <x v="31"/>
    <n v="4"/>
    <n v="1"/>
    <x v="458"/>
    <x v="478"/>
    <x v="4"/>
    <x v="24"/>
    <x v="2"/>
    <x v="3"/>
    <s v="64-2337728-"/>
    <s v="CATALINA.VERAC@REDSALUD.GOB.CL"/>
    <x v="14"/>
    <m/>
    <n v="0"/>
    <m/>
    <n v="0"/>
    <n v="0"/>
    <m/>
    <x v="1"/>
  </r>
  <r>
    <s v="SERVICIO DE SALUD OSORNO"/>
    <x v="0"/>
    <x v="384"/>
    <s v="Proyecto operacional"/>
    <s v="Enviado"/>
    <s v="22.04.002"/>
    <x v="376"/>
    <s v="MES DE EJECUCION DE LA COMPRA DE MATERIALES DE ESCRITORIO, DIDACTICOS E INSUMOS DE CAFETERIA SE REALIZARA EN EL MES DE FEBRERO DE 2026."/>
    <x v="7"/>
    <x v="113"/>
    <n v="4"/>
    <n v="2160"/>
    <x v="459"/>
    <x v="479"/>
    <x v="4"/>
    <x v="38"/>
    <x v="105"/>
    <x v="105"/>
    <s v="64-2335819-"/>
    <s v="sandra.rodriguez@redsalud.gob.cl"/>
    <x v="19"/>
    <m/>
    <n v="0"/>
    <m/>
    <n v="0"/>
    <n v="0"/>
    <m/>
    <x v="1"/>
  </r>
  <r>
    <s v="SERVICIO DE SALUD OSORNO"/>
    <x v="0"/>
    <x v="384"/>
    <s v="Proyecto operacional"/>
    <s v="Enviado"/>
    <s v="22.04.002"/>
    <x v="376"/>
    <s v="MES DE EJECUCION DE LA COMPRA DE MATERIALES DE ESCRITORIO, DIDACTICOS E INSUMOS DE CAFETERIA SE REALIZARA EN EL MES DE FEBRERO DE 2026."/>
    <x v="7"/>
    <x v="31"/>
    <n v="4"/>
    <n v="1405"/>
    <x v="460"/>
    <x v="480"/>
    <x v="4"/>
    <x v="38"/>
    <x v="105"/>
    <x v="105"/>
    <s v="64-2335819-"/>
    <s v="sandra.rodriguez@redsalud.gob.cl"/>
    <x v="19"/>
    <m/>
    <n v="0"/>
    <m/>
    <n v="0"/>
    <n v="0"/>
    <m/>
    <x v="1"/>
  </r>
  <r>
    <s v="SERVICIO DE SALUD OSORNO"/>
    <x v="0"/>
    <x v="384"/>
    <s v="Proyecto operacional"/>
    <s v="Enviado"/>
    <s v="22.04.002"/>
    <x v="376"/>
    <s v="MES DE EJECUCION DE LA COMPRA DE MATERIALES DE ESCRITORIO, DIDACTICOS E INSUMOS DE CAFETERIA SE REALIZARA EN EL MES DE FEBRERO DE 2026."/>
    <x v="7"/>
    <x v="43"/>
    <n v="4"/>
    <n v="803"/>
    <x v="461"/>
    <x v="481"/>
    <x v="4"/>
    <x v="38"/>
    <x v="105"/>
    <x v="105"/>
    <s v="64-2335819-"/>
    <s v="sandra.rodriguez@redsalud.gob.cl"/>
    <x v="19"/>
    <m/>
    <n v="0"/>
    <m/>
    <n v="0"/>
    <n v="0"/>
    <m/>
    <x v="1"/>
  </r>
  <r>
    <s v="SERVICIO DE SALUD OSORNO"/>
    <x v="0"/>
    <x v="384"/>
    <s v="Proyecto operacional"/>
    <s v="Enviado"/>
    <s v="22.04.002"/>
    <x v="376"/>
    <s v="MES DE EJECUCION DE LA COMPRA DE MATERIALES DE ESCRITORIO, DIDACTICOS E INSUMOS DE CAFETERIA SE REALIZARA EN EL MES DE FEBRERO DE 2026."/>
    <x v="7"/>
    <x v="341"/>
    <n v="4"/>
    <n v="566"/>
    <x v="462"/>
    <x v="482"/>
    <x v="4"/>
    <x v="38"/>
    <x v="105"/>
    <x v="105"/>
    <s v="64-2335819-"/>
    <s v="sandra.rodriguez@redsalud.gob.cl"/>
    <x v="19"/>
    <m/>
    <n v="0"/>
    <m/>
    <n v="0"/>
    <n v="0"/>
    <m/>
    <x v="1"/>
  </r>
  <r>
    <s v="SERVICIO DE SALUD OSORNO"/>
    <x v="0"/>
    <x v="384"/>
    <s v="Proyecto operacional"/>
    <s v="Enviado"/>
    <s v="22.04.002"/>
    <x v="376"/>
    <s v="MES DE EJECUCION DE LA COMPRA DE MATERIALES DE ESCRITORIO, DIDACTICOS E INSUMOS DE CAFETERIA SE REALIZARA EN EL MES DE FEBRERO DE 2026."/>
    <x v="7"/>
    <x v="94"/>
    <n v="4"/>
    <n v="1170"/>
    <x v="463"/>
    <x v="483"/>
    <x v="4"/>
    <x v="38"/>
    <x v="105"/>
    <x v="105"/>
    <s v="64-2335819-"/>
    <s v="sandra.rodriguez@redsalud.gob.cl"/>
    <x v="19"/>
    <m/>
    <n v="0"/>
    <m/>
    <n v="0"/>
    <n v="0"/>
    <m/>
    <x v="1"/>
  </r>
  <r>
    <s v="SERVICIO DE SALUD OSORNO"/>
    <x v="0"/>
    <x v="385"/>
    <s v="Proyecto operacional"/>
    <s v="Enviado"/>
    <s v="22.04.007"/>
    <x v="377"/>
    <s v="Adquisición de insumos para actividades programadas con usuarios/as de UID Newen a contar del mes de enero del 2026."/>
    <x v="0"/>
    <x v="94"/>
    <n v="4"/>
    <n v="396"/>
    <x v="464"/>
    <x v="484"/>
    <x v="4"/>
    <x v="35"/>
    <x v="22"/>
    <x v="67"/>
    <s v="64-2337766-"/>
    <s v="camila.roa@redsalud.gob.cl"/>
    <x v="13"/>
    <m/>
    <n v="0"/>
    <m/>
    <n v="0"/>
    <n v="0"/>
    <m/>
    <x v="1"/>
  </r>
  <r>
    <s v="SERVICIO DE SALUD OSORNO"/>
    <x v="0"/>
    <x v="385"/>
    <s v="Proyecto operacional"/>
    <s v="Enviado"/>
    <s v="22.04.007"/>
    <x v="377"/>
    <s v="Adquisición de insumos para actividades programadas con usuarios/as de UID Newen a contar del mes de enero del 2026."/>
    <x v="0"/>
    <x v="292"/>
    <n v="4"/>
    <n v="12"/>
    <x v="465"/>
    <x v="266"/>
    <x v="4"/>
    <x v="35"/>
    <x v="22"/>
    <x v="67"/>
    <s v="64-2337766-"/>
    <s v="camila.roa@redsalud.gob.cl"/>
    <x v="13"/>
    <m/>
    <n v="0"/>
    <m/>
    <n v="0"/>
    <n v="0"/>
    <m/>
    <x v="1"/>
  </r>
  <r>
    <s v="SERVICIO DE SALUD OSORNO"/>
    <x v="1"/>
    <x v="386"/>
    <s v="Proyecto operacional"/>
    <s v="Enviado"/>
    <s v="22.04"/>
    <x v="378"/>
    <s v="Se requiere la adquisición de equipos electrónicos y mobiliario de alto rendimiento, con el propósito de garantizar eficiencia, seguridad, durabilidad y funcionalidad en el desarrollo de las actividades de la unidad. Esta adquisición busca asegurar un funcionamiento óptimo en los ámbitos tecnológicos, educativos y residenciales, incluso frente a eventualidades u otras contingencias operativas."/>
    <x v="8"/>
    <x v="342"/>
    <n v="4"/>
    <n v="44"/>
    <x v="466"/>
    <x v="485"/>
    <x v="4"/>
    <x v="38"/>
    <x v="43"/>
    <x v="48"/>
    <s v="64-2335492-"/>
    <s v="CAROLINA.SILVALL@REDSALUD.GOB.CL"/>
    <x v="19"/>
    <m/>
    <n v="0"/>
    <m/>
    <n v="0"/>
    <n v="0"/>
    <m/>
    <x v="1"/>
  </r>
  <r>
    <s v="SERVICIO DE SALUD OSORNO"/>
    <x v="1"/>
    <x v="386"/>
    <s v="Proyecto operacional"/>
    <s v="Enviado"/>
    <s v="22.04"/>
    <x v="378"/>
    <s v="Se requiere la adquisición de equipos electrónicos y mobiliario de alto rendimiento, con el propósito de garantizar eficiencia, seguridad, durabilidad y funcionalidad en el desarrollo de las actividades de la unidad. Esta adquisición busca asegurar un funcionamiento óptimo en los ámbitos tecnológicos, educativos y residenciales, incluso frente a eventualidades u otras contingencias operativas."/>
    <x v="8"/>
    <x v="343"/>
    <n v="4"/>
    <n v="4"/>
    <x v="467"/>
    <x v="486"/>
    <x v="4"/>
    <x v="38"/>
    <x v="43"/>
    <x v="48"/>
    <s v="64-2335492-"/>
    <s v="CAROLINA.SILVALL@REDSALUD.GOB.CL"/>
    <x v="19"/>
    <m/>
    <n v="0"/>
    <m/>
    <n v="0"/>
    <n v="0"/>
    <m/>
    <x v="1"/>
  </r>
  <r>
    <s v="SERVICIO DE SALUD OSORNO"/>
    <x v="1"/>
    <x v="386"/>
    <s v="Proyecto operacional"/>
    <s v="Enviado"/>
    <s v="22.04"/>
    <x v="378"/>
    <s v="Se requiere la adquisición de equipos electrónicos y mobiliario de alto rendimiento, con el propósito de garantizar eficiencia, seguridad, durabilidad y funcionalidad en el desarrollo de las actividades de la unidad. Esta adquisición busca asegurar un funcionamiento óptimo en los ámbitos tecnológicos, educativos y residenciales, incluso frente a eventualidades u otras contingencias operativas."/>
    <x v="8"/>
    <x v="344"/>
    <n v="4"/>
    <n v="7"/>
    <x v="468"/>
    <x v="487"/>
    <x v="4"/>
    <x v="25"/>
    <x v="43"/>
    <x v="48"/>
    <s v="64-2335492-"/>
    <s v="CAROLINA.SILVALL@REDSALUD.GOB.CL"/>
    <x v="15"/>
    <m/>
    <n v="0"/>
    <m/>
    <n v="0"/>
    <n v="0"/>
    <m/>
    <x v="1"/>
  </r>
  <r>
    <s v="SERVICIO DE SALUD OSORNO"/>
    <x v="1"/>
    <x v="386"/>
    <s v="Proyecto operacional"/>
    <s v="Enviado"/>
    <s v="22.04"/>
    <x v="378"/>
    <s v="Se requiere la adquisición de equipos electrónicos y mobiliario de alto rendimiento, con el propósito de garantizar eficiencia, seguridad, durabilidad y funcionalidad en el desarrollo de las actividades de la unidad. Esta adquisición busca asegurar un funcionamiento óptimo en los ámbitos tecnológicos, educativos y residenciales, incluso frente a eventualidades u otras contingencias operativas."/>
    <x v="8"/>
    <x v="345"/>
    <n v="4"/>
    <n v="9"/>
    <x v="469"/>
    <x v="488"/>
    <x v="4"/>
    <x v="25"/>
    <x v="43"/>
    <x v="48"/>
    <s v="64-2335492-"/>
    <s v="CAROLINA.SILVALL@REDSALUD.GOB.CL"/>
    <x v="19"/>
    <m/>
    <n v="0"/>
    <m/>
    <n v="0"/>
    <n v="0"/>
    <m/>
    <x v="1"/>
  </r>
  <r>
    <s v="SERVICIO DE SALUD OSORNO"/>
    <x v="1"/>
    <x v="386"/>
    <s v="Proyecto operacional"/>
    <s v="Enviado"/>
    <s v="22.04"/>
    <x v="378"/>
    <s v="Se requiere la adquisición de equipos electrónicos y mobiliario de alto rendimiento, con el propósito de garantizar eficiencia, seguridad, durabilidad y funcionalidad en el desarrollo de las actividades de la unidad. Esta adquisición busca asegurar un funcionamiento óptimo en los ámbitos tecnológicos, educativos y residenciales, incluso frente a eventualidades u otras contingencias operativas."/>
    <x v="8"/>
    <x v="100"/>
    <n v="4"/>
    <n v="2"/>
    <x v="162"/>
    <x v="199"/>
    <x v="4"/>
    <x v="25"/>
    <x v="43"/>
    <x v="48"/>
    <s v="64-2335492-"/>
    <s v="CAROLINA.SILVALL@REDSALUD.GOB.CL"/>
    <x v="15"/>
    <m/>
    <n v="0"/>
    <m/>
    <n v="0"/>
    <n v="0"/>
    <m/>
    <x v="1"/>
  </r>
  <r>
    <s v="SERVICIO DE SALUD OSORNO"/>
    <x v="1"/>
    <x v="386"/>
    <s v="Proyecto operacional"/>
    <s v="Enviado"/>
    <s v="22.04"/>
    <x v="378"/>
    <s v="Se requiere la adquisición de equipos electrónicos y mobiliario de alto rendimiento, con el propósito de garantizar eficiencia, seguridad, durabilidad y funcionalidad en el desarrollo de las actividades de la unidad. Esta adquisición busca asegurar un funcionamiento óptimo en los ámbitos tecnológicos, educativos y residenciales, incluso frente a eventualidades u otras contingencias operativas."/>
    <x v="8"/>
    <x v="215"/>
    <n v="4"/>
    <n v="2"/>
    <x v="156"/>
    <x v="192"/>
    <x v="4"/>
    <x v="25"/>
    <x v="43"/>
    <x v="48"/>
    <s v="64-2335492-"/>
    <s v="CAROLINA.SILVALL@REDSALUD.GOB.CL"/>
    <x v="15"/>
    <m/>
    <n v="0"/>
    <m/>
    <n v="0"/>
    <n v="0"/>
    <m/>
    <x v="1"/>
  </r>
  <r>
    <s v="SERVICIO DE SALUD OSORNO"/>
    <x v="1"/>
    <x v="386"/>
    <s v="Proyecto operacional"/>
    <s v="Enviado"/>
    <s v="22.04"/>
    <x v="378"/>
    <s v="Se requiere la adquisición de equipos electrónicos y mobiliario de alto rendimiento, con el propósito de garantizar eficiencia, seguridad, durabilidad y funcionalidad en el desarrollo de las actividades de la unidad. Esta adquisición busca asegurar un funcionamiento óptimo en los ámbitos tecnológicos, educativos y residenciales, incluso frente a eventualidades u otras contingencias operativas."/>
    <x v="8"/>
    <x v="346"/>
    <n v="4"/>
    <n v="1"/>
    <x v="72"/>
    <x v="177"/>
    <x v="4"/>
    <x v="25"/>
    <x v="43"/>
    <x v="48"/>
    <s v="64-2335492-"/>
    <s v="CAROLINA.SILVALL@REDSALUD.GOB.CL"/>
    <x v="19"/>
    <m/>
    <n v="0"/>
    <m/>
    <n v="0"/>
    <n v="0"/>
    <m/>
    <x v="1"/>
  </r>
  <r>
    <s v="SERVICIO DE SALUD OSORNO"/>
    <x v="0"/>
    <x v="387"/>
    <s v="Proyecto operacional"/>
    <s v="Enviado"/>
    <s v="22.04.001"/>
    <x v="379"/>
    <s v="Suministrar materiales y herramientas de oficina, tales como tijeras, corcheteras, lapices, pendon, timbres, hojas, etc. para funcionarios para facilitar su funcionamiento de trabajo."/>
    <x v="5"/>
    <x v="43"/>
    <n v="4"/>
    <n v="5298"/>
    <x v="470"/>
    <x v="489"/>
    <x v="4"/>
    <x v="38"/>
    <x v="2"/>
    <x v="3"/>
    <s v="64-2337728-"/>
    <s v="CATALINA.VERAC@REDSALUD.GOB.CL"/>
    <x v="19"/>
    <m/>
    <n v="0"/>
    <m/>
    <n v="0"/>
    <n v="0"/>
    <m/>
    <x v="1"/>
  </r>
  <r>
    <s v="SERVICIO DE SALUD OSORNO"/>
    <x v="0"/>
    <x v="387"/>
    <s v="Proyecto operacional"/>
    <s v="Enviado"/>
    <s v="22.04.001"/>
    <x v="379"/>
    <s v="Suministrar materiales y herramientas de oficina, tales como tijeras, corcheteras, lapices, pendon, timbres, hojas, etc. para funcionarios para facilitar su funcionamiento de trabajo."/>
    <x v="5"/>
    <x v="106"/>
    <n v="4"/>
    <n v="1"/>
    <x v="239"/>
    <x v="317"/>
    <x v="4"/>
    <x v="38"/>
    <x v="2"/>
    <x v="3"/>
    <s v="64-2337728-"/>
    <s v="CATALINA.VERAC@REDSALUD.GOB.CL"/>
    <x v="19"/>
    <m/>
    <n v="0"/>
    <m/>
    <n v="0"/>
    <n v="0"/>
    <m/>
    <x v="1"/>
  </r>
  <r>
    <s v="SERVICIO DE SALUD OSORNO"/>
    <x v="0"/>
    <x v="387"/>
    <s v="Proyecto operacional"/>
    <s v="Enviado"/>
    <s v="22.04.001"/>
    <x v="379"/>
    <s v="Suministrar materiales y herramientas de oficina, tales como tijeras, corcheteras, lapices, pendon, timbres, hojas, etc. para funcionarios para facilitar su funcionamiento de trabajo."/>
    <x v="5"/>
    <x v="212"/>
    <n v="4"/>
    <n v="4"/>
    <x v="225"/>
    <x v="421"/>
    <x v="4"/>
    <x v="38"/>
    <x v="2"/>
    <x v="3"/>
    <s v="64-2337728-"/>
    <s v="CATALINA.VERAC@REDSALUD.GOB.CL"/>
    <x v="19"/>
    <m/>
    <n v="0"/>
    <m/>
    <n v="0"/>
    <n v="0"/>
    <m/>
    <x v="1"/>
  </r>
  <r>
    <s v="SERVICIO DE SALUD OSORNO"/>
    <x v="0"/>
    <x v="388"/>
    <s v="Proyecto operacional"/>
    <s v="Enviado"/>
    <s v="22.04.002"/>
    <x v="380"/>
    <s v="MES DE EJECUCION DE LA COMPRA DE MATERIALES DE ESCRITORIO, DIDACTICOS E INSUMOS DE CAFETERIA SE REALIZARA EN EL MES DE FEBRERO DE 2026."/>
    <x v="5"/>
    <x v="31"/>
    <n v="4"/>
    <n v="1348"/>
    <x v="471"/>
    <x v="490"/>
    <x v="4"/>
    <x v="38"/>
    <x v="106"/>
    <x v="106"/>
    <s v="64-2335819-"/>
    <s v="waleska.monsalvez@redsalud.gob.cl"/>
    <x v="19"/>
    <m/>
    <n v="0"/>
    <m/>
    <n v="0"/>
    <n v="0"/>
    <m/>
    <x v="1"/>
  </r>
  <r>
    <s v="SERVICIO DE SALUD OSORNO"/>
    <x v="0"/>
    <x v="388"/>
    <s v="Proyecto operacional"/>
    <s v="Enviado"/>
    <s v="22.04.002"/>
    <x v="380"/>
    <s v="MES DE EJECUCION DE LA COMPRA DE MATERIALES DE ESCRITORIO, DIDACTICOS E INSUMOS DE CAFETERIA SE REALIZARA EN EL MES DE FEBRERO DE 2026."/>
    <x v="5"/>
    <x v="113"/>
    <n v="4"/>
    <n v="2210"/>
    <x v="472"/>
    <x v="491"/>
    <x v="4"/>
    <x v="38"/>
    <x v="106"/>
    <x v="106"/>
    <s v="64-2335819-"/>
    <s v="waleska.monsalvez@redsalud.gob.cl"/>
    <x v="19"/>
    <m/>
    <n v="0"/>
    <m/>
    <n v="0"/>
    <n v="0"/>
    <m/>
    <x v="1"/>
  </r>
  <r>
    <s v="SERVICIO DE SALUD OSORNO"/>
    <x v="0"/>
    <x v="388"/>
    <s v="Proyecto operacional"/>
    <s v="Enviado"/>
    <s v="22.04.002"/>
    <x v="380"/>
    <s v="MES DE EJECUCION DE LA COMPRA DE MATERIALES DE ESCRITORIO, DIDACTICOS E INSUMOS DE CAFETERIA SE REALIZARA EN EL MES DE FEBRERO DE 2026."/>
    <x v="5"/>
    <x v="94"/>
    <n v="4"/>
    <n v="2554"/>
    <x v="473"/>
    <x v="492"/>
    <x v="4"/>
    <x v="38"/>
    <x v="106"/>
    <x v="106"/>
    <s v="64-2335819-"/>
    <s v="waleska.monsalvez@redsalud.gob.cl"/>
    <x v="19"/>
    <m/>
    <n v="0"/>
    <m/>
    <n v="0"/>
    <n v="0"/>
    <m/>
    <x v="1"/>
  </r>
  <r>
    <s v="SERVICIO DE SALUD OSORNO"/>
    <x v="0"/>
    <x v="389"/>
    <s v="Proyecto operacional"/>
    <s v="Enviado"/>
    <s v="22.04"/>
    <x v="381"/>
    <s v="Pizarra de Corcho (50x30) Pizarra de Corcho (50x60) Pizarra mitad Corcho y mitad Blanca (50x60) Corchetera Isofit CM70 Regla acero 30 cm Tijeras chicas Disco Duro Externo 2TB BANDEJA DE ESCRITORIO TRIPLE DE MADERA, LAS MEDIDAS SON 38X35 (RESPETAR MEDIDAS)"/>
    <x v="0"/>
    <x v="43"/>
    <n v="4"/>
    <n v="20"/>
    <x v="474"/>
    <x v="493"/>
    <x v="4"/>
    <x v="35"/>
    <x v="95"/>
    <x v="107"/>
    <s v="64-2335752-"/>
    <s v="CRISTINA.COLLINAO@REDSALUD.GOB.CL"/>
    <x v="13"/>
    <m/>
    <n v="0"/>
    <m/>
    <n v="0"/>
    <n v="0"/>
    <m/>
    <x v="1"/>
  </r>
  <r>
    <s v="SERVICIO DE SALUD OSORNO"/>
    <x v="0"/>
    <x v="389"/>
    <s v="Proyecto operacional"/>
    <s v="Enviado"/>
    <s v="22.04"/>
    <x v="381"/>
    <s v="Pizarra de Corcho (50x30) Pizarra de Corcho (50x60) Pizarra mitad Corcho y mitad Blanca (50x60) Corchetera Isofit CM70 Regla acero 30 cm Tijeras chicas Disco Duro Externo 2TB BANDEJA DE ESCRITORIO TRIPLE DE MADERA, LAS MEDIDAS SON 38X35 (RESPETAR MEDIDAS)"/>
    <x v="0"/>
    <x v="322"/>
    <n v="4"/>
    <n v="4"/>
    <x v="123"/>
    <x v="164"/>
    <x v="4"/>
    <x v="35"/>
    <x v="95"/>
    <x v="107"/>
    <s v="64-2335752-"/>
    <s v="CRISTINA.COLLINAO@REDSALUD.GOB.CL"/>
    <x v="13"/>
    <m/>
    <n v="0"/>
    <m/>
    <n v="0"/>
    <n v="0"/>
    <m/>
    <x v="1"/>
  </r>
  <r>
    <s v="SERVICIO DE SALUD OSORNO"/>
    <x v="0"/>
    <x v="390"/>
    <s v="Proyecto operacional"/>
    <s v="Enviado"/>
    <s v="22.04.003"/>
    <x v="382"/>
    <s v="Se adquieren cintas de glicemia y glucómetros en comodato"/>
    <x v="1"/>
    <x v="85"/>
    <n v="4"/>
    <n v="250000"/>
    <x v="475"/>
    <x v="494"/>
    <x v="4"/>
    <x v="24"/>
    <x v="52"/>
    <x v="56"/>
    <s v="64-2335811-"/>
    <s v="eleuterio.roman@redsalud.gob.cl"/>
    <x v="14"/>
    <m/>
    <n v="0"/>
    <m/>
    <n v="0"/>
    <n v="0"/>
    <m/>
    <x v="1"/>
  </r>
  <r>
    <s v="SERVICIO DE SALUD OSORNO"/>
    <x v="1"/>
    <x v="391"/>
    <s v="Proyecto operacional"/>
    <s v="Enviado"/>
    <s v="22.04"/>
    <x v="383"/>
    <s v="Se requiere la adquisición de equipos electrónicos de alto rendimiento, aparatos domésticos de última generación Y muebles firmes. La compra busca garantizar eficiencia, seguridad, durabilidad y funcionalidad, permitiendo el óptimo desarrollo de actividades tecnológicas, educativas y residenciales, incluso ante eventualidades que afecten la operación de la unidad."/>
    <x v="1"/>
    <x v="242"/>
    <n v="4"/>
    <n v="9"/>
    <x v="476"/>
    <x v="446"/>
    <x v="4"/>
    <x v="31"/>
    <x v="43"/>
    <x v="48"/>
    <s v="64-2335492-"/>
    <s v="CAROLINA.SILVALL@REDSALUD.GOB.CL"/>
    <x v="20"/>
    <m/>
    <n v="0"/>
    <m/>
    <n v="0"/>
    <n v="0"/>
    <m/>
    <x v="1"/>
  </r>
  <r>
    <s v="SERVICIO DE SALUD OSORNO"/>
    <x v="0"/>
    <x v="392"/>
    <s v="Proyecto operacional"/>
    <s v="Enviado"/>
    <s v="22.04"/>
    <x v="384"/>
    <s v="Se requiere la reposición de insumos y equipamiento destinados a la unidad residencial, con materiales de alta calidad, debido a que su uso es intenso y constante. Esta adquisición tiene como finalidad garantizar la seguridad, funcionalidad y durabilidad de los insumos y equipos utilizados en las distintas áreas de la unidad, contribuyendo al correcto desarrollo de las actividades diarias y la protección de los usuarios y el personal."/>
    <x v="11"/>
    <x v="113"/>
    <n v="4"/>
    <n v="660"/>
    <x v="477"/>
    <x v="495"/>
    <x v="4"/>
    <x v="31"/>
    <x v="43"/>
    <x v="48"/>
    <s v="64-2335492-"/>
    <s v="CAROLINA.SILVALL@REDSALUD.GOB.CL"/>
    <x v="20"/>
    <m/>
    <n v="0"/>
    <m/>
    <n v="0"/>
    <n v="0"/>
    <m/>
    <x v="1"/>
  </r>
  <r>
    <s v="SERVICIO DE SALUD OSORNO"/>
    <x v="0"/>
    <x v="392"/>
    <s v="Proyecto operacional"/>
    <s v="Enviado"/>
    <s v="22.04"/>
    <x v="384"/>
    <s v="Se requiere la reposición de insumos y equipamiento destinados a la unidad residencial, con materiales de alta calidad, debido a que su uso es intenso y constante. Esta adquisición tiene como finalidad garantizar la seguridad, funcionalidad y durabilidad de los insumos y equipos utilizados en las distintas áreas de la unidad, contribuyendo al correcto desarrollo de las actividades diarias y la protección de los usuarios y el personal."/>
    <x v="11"/>
    <x v="347"/>
    <n v="4"/>
    <n v="535"/>
    <x v="478"/>
    <x v="496"/>
    <x v="4"/>
    <x v="31"/>
    <x v="43"/>
    <x v="48"/>
    <s v="64-2335492-"/>
    <s v="CAROLINA.SILVALL@REDSALUD.GOB.CL"/>
    <x v="20"/>
    <m/>
    <n v="0"/>
    <m/>
    <n v="0"/>
    <n v="0"/>
    <m/>
    <x v="1"/>
  </r>
  <r>
    <s v="SERVICIO DE SALUD OSORNO"/>
    <x v="0"/>
    <x v="392"/>
    <s v="Proyecto operacional"/>
    <s v="Enviado"/>
    <s v="22.04"/>
    <x v="384"/>
    <s v="Se requiere la reposición de insumos y equipamiento destinados a la unidad residencial, con materiales de alta calidad, debido a que su uso es intenso y constante. Esta adquisición tiene como finalidad garantizar la seguridad, funcionalidad y durabilidad de los insumos y equipos utilizados en las distintas áreas de la unidad, contribuyendo al correcto desarrollo de las actividades diarias y la protección de los usuarios y el personal."/>
    <x v="11"/>
    <x v="348"/>
    <n v="4"/>
    <n v="77"/>
    <x v="479"/>
    <x v="497"/>
    <x v="4"/>
    <x v="31"/>
    <x v="43"/>
    <x v="48"/>
    <s v="64-2335492-"/>
    <s v="CAROLINA.SILVALL@REDSALUD.GOB.CL"/>
    <x v="20"/>
    <m/>
    <n v="0"/>
    <m/>
    <n v="0"/>
    <n v="0"/>
    <m/>
    <x v="1"/>
  </r>
  <r>
    <s v="SERVICIO DE SALUD OSORNO"/>
    <x v="0"/>
    <x v="392"/>
    <s v="Proyecto operacional"/>
    <s v="Enviado"/>
    <s v="22.04"/>
    <x v="384"/>
    <s v="Se requiere la reposición de insumos y equipamiento destinados a la unidad residencial, con materiales de alta calidad, debido a que su uso es intenso y constante. Esta adquisición tiene como finalidad garantizar la seguridad, funcionalidad y durabilidad de los insumos y equipos utilizados en las distintas áreas de la unidad, contribuyendo al correcto desarrollo de las actividades diarias y la protección de los usuarios y el personal."/>
    <x v="11"/>
    <x v="349"/>
    <n v="4"/>
    <n v="12"/>
    <x v="239"/>
    <x v="333"/>
    <x v="4"/>
    <x v="31"/>
    <x v="43"/>
    <x v="48"/>
    <s v="64-2335492-"/>
    <s v="CAROLINA.SILVALL@REDSALUD.GOB.CL"/>
    <x v="20"/>
    <m/>
    <n v="0"/>
    <m/>
    <n v="0"/>
    <n v="0"/>
    <m/>
    <x v="1"/>
  </r>
  <r>
    <s v="SERVICIO DE SALUD OSORNO"/>
    <x v="0"/>
    <x v="392"/>
    <s v="Proyecto operacional"/>
    <s v="Enviado"/>
    <s v="22.04"/>
    <x v="384"/>
    <s v="Se requiere la reposición de insumos y equipamiento destinados a la unidad residencial, con materiales de alta calidad, debido a que su uso es intenso y constante. Esta adquisición tiene como finalidad garantizar la seguridad, funcionalidad y durabilidad de los insumos y equipos utilizados en las distintas áreas de la unidad, contribuyendo al correcto desarrollo de las actividades diarias y la protección de los usuarios y el personal."/>
    <x v="11"/>
    <x v="350"/>
    <n v="4"/>
    <n v="131"/>
    <x v="480"/>
    <x v="498"/>
    <x v="4"/>
    <x v="31"/>
    <x v="43"/>
    <x v="48"/>
    <s v="64-2335492-"/>
    <s v="CAROLINA.SILVALL@REDSALUD.GOB.CL"/>
    <x v="20"/>
    <m/>
    <n v="0"/>
    <m/>
    <n v="0"/>
    <n v="0"/>
    <m/>
    <x v="1"/>
  </r>
  <r>
    <s v="SERVICIO DE SALUD OSORNO"/>
    <x v="0"/>
    <x v="392"/>
    <s v="Proyecto operacional"/>
    <s v="Enviado"/>
    <s v="22.04"/>
    <x v="384"/>
    <s v="Se requiere la reposición de insumos y equipamiento destinados a la unidad residencial, con materiales de alta calidad, debido a que su uso es intenso y constante. Esta adquisición tiene como finalidad garantizar la seguridad, funcionalidad y durabilidad de los insumos y equipos utilizados en las distintas áreas de la unidad, contribuyendo al correcto desarrollo de las actividades diarias y la protección de los usuarios y el personal."/>
    <x v="11"/>
    <x v="351"/>
    <n v="4"/>
    <n v="61"/>
    <x v="104"/>
    <x v="499"/>
    <x v="4"/>
    <x v="31"/>
    <x v="43"/>
    <x v="48"/>
    <s v="64-2335492-"/>
    <s v="CAROLINA.SILVALL@REDSALUD.GOB.CL"/>
    <x v="20"/>
    <m/>
    <n v="0"/>
    <m/>
    <n v="0"/>
    <n v="0"/>
    <m/>
    <x v="1"/>
  </r>
  <r>
    <s v="SERVICIO DE SALUD OSORNO"/>
    <x v="0"/>
    <x v="392"/>
    <s v="Proyecto operacional"/>
    <s v="Enviado"/>
    <s v="22.04"/>
    <x v="384"/>
    <s v="Se requiere la reposición de insumos y equipamiento destinados a la unidad residencial, con materiales de alta calidad, debido a que su uso es intenso y constante. Esta adquisición tiene como finalidad garantizar la seguridad, funcionalidad y durabilidad de los insumos y equipos utilizados en las distintas áreas de la unidad, contribuyendo al correcto desarrollo de las actividades diarias y la protección de los usuarios y el personal."/>
    <x v="11"/>
    <x v="352"/>
    <n v="4"/>
    <n v="12"/>
    <x v="442"/>
    <x v="311"/>
    <x v="4"/>
    <x v="31"/>
    <x v="43"/>
    <x v="48"/>
    <s v="64-2335492-"/>
    <s v="CAROLINA.SILVALL@REDSALUD.GOB.CL"/>
    <x v="20"/>
    <m/>
    <n v="0"/>
    <m/>
    <n v="0"/>
    <n v="0"/>
    <m/>
    <x v="1"/>
  </r>
  <r>
    <s v="SERVICIO DE SALUD OSORNO"/>
    <x v="0"/>
    <x v="392"/>
    <s v="Proyecto operacional"/>
    <s v="Enviado"/>
    <s v="22.04"/>
    <x v="384"/>
    <s v="Se requiere la reposición de insumos y equipamiento destinados a la unidad residencial, con materiales de alta calidad, debido a que su uso es intenso y constante. Esta adquisición tiene como finalidad garantizar la seguridad, funcionalidad y durabilidad de los insumos y equipos utilizados en las distintas áreas de la unidad, contribuyendo al correcto desarrollo de las actividades diarias y la protección de los usuarios y el personal."/>
    <x v="11"/>
    <x v="353"/>
    <n v="4"/>
    <n v="91"/>
    <x v="481"/>
    <x v="500"/>
    <x v="4"/>
    <x v="31"/>
    <x v="43"/>
    <x v="48"/>
    <s v="64-2335492-"/>
    <s v="CAROLINA.SILVALL@REDSALUD.GOB.CL"/>
    <x v="20"/>
    <m/>
    <n v="0"/>
    <m/>
    <n v="0"/>
    <n v="0"/>
    <m/>
    <x v="1"/>
  </r>
  <r>
    <s v="SERVICIO DE SALUD OSORNO"/>
    <x v="0"/>
    <x v="392"/>
    <s v="Proyecto operacional"/>
    <s v="Enviado"/>
    <s v="22.04"/>
    <x v="384"/>
    <s v="Se requiere la reposición de insumos y equipamiento destinados a la unidad residencial, con materiales de alta calidad, debido a que su uso es intenso y constante. Esta adquisición tiene como finalidad garantizar la seguridad, funcionalidad y durabilidad de los insumos y equipos utilizados en las distintas áreas de la unidad, contribuyendo al correcto desarrollo de las actividades diarias y la protección de los usuarios y el personal."/>
    <x v="11"/>
    <x v="354"/>
    <n v="4"/>
    <n v="4"/>
    <x v="89"/>
    <x v="192"/>
    <x v="4"/>
    <x v="31"/>
    <x v="43"/>
    <x v="48"/>
    <s v="64-2335492-"/>
    <s v="CAROLINA.SILVALL@REDSALUD.GOB.CL"/>
    <x v="20"/>
    <m/>
    <n v="0"/>
    <m/>
    <n v="0"/>
    <n v="0"/>
    <m/>
    <x v="1"/>
  </r>
  <r>
    <s v="SERVICIO DE SALUD OSORNO"/>
    <x v="0"/>
    <x v="392"/>
    <s v="Proyecto operacional"/>
    <s v="Enviado"/>
    <s v="22.04"/>
    <x v="384"/>
    <s v="Se requiere la reposición de insumos y equipamiento destinados a la unidad residencial, con materiales de alta calidad, debido a que su uso es intenso y constante. Esta adquisición tiene como finalidad garantizar la seguridad, funcionalidad y durabilidad de los insumos y equipos utilizados en las distintas áreas de la unidad, contribuyendo al correcto desarrollo de las actividades diarias y la protección de los usuarios y el personal."/>
    <x v="11"/>
    <x v="355"/>
    <n v="4"/>
    <n v="12"/>
    <x v="482"/>
    <x v="501"/>
    <x v="4"/>
    <x v="31"/>
    <x v="43"/>
    <x v="48"/>
    <s v="64-2335492-"/>
    <s v="CAROLINA.SILVALL@REDSALUD.GOB.CL"/>
    <x v="20"/>
    <m/>
    <n v="0"/>
    <m/>
    <n v="0"/>
    <n v="0"/>
    <m/>
    <x v="1"/>
  </r>
  <r>
    <s v="SERVICIO DE SALUD OSORNO"/>
    <x v="0"/>
    <x v="392"/>
    <s v="Proyecto operacional"/>
    <s v="Enviado"/>
    <s v="22.04"/>
    <x v="384"/>
    <s v="Se requiere la reposición de insumos y equipamiento destinados a la unidad residencial, con materiales de alta calidad, debido a que su uso es intenso y constante. Esta adquisición tiene como finalidad garantizar la seguridad, funcionalidad y durabilidad de los insumos y equipos utilizados en las distintas áreas de la unidad, contribuyendo al correcto desarrollo de las actividades diarias y la protección de los usuarios y el personal."/>
    <x v="11"/>
    <x v="356"/>
    <n v="4"/>
    <n v="20"/>
    <x v="139"/>
    <x v="266"/>
    <x v="4"/>
    <x v="31"/>
    <x v="43"/>
    <x v="48"/>
    <s v="64-2335492-"/>
    <s v="CAROLINA.SILVALL@REDSALUD.GOB.CL"/>
    <x v="20"/>
    <m/>
    <n v="0"/>
    <m/>
    <n v="0"/>
    <n v="0"/>
    <m/>
    <x v="1"/>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359">
  <r>
    <s v="SERVICIO DE SALUD OSORNO"/>
    <s v="Bienes y Servicios"/>
    <x v="0"/>
    <s v="Proyecto operacional"/>
    <s v="Publicado"/>
    <s v="22.11.003"/>
    <x v="0"/>
    <s v="El presente proyecto tiene por objeto la contratación de un servicio de software y equipamiento de reloj control para todos los establecimientos dependientes de la Dirección del Servicio de Salud Osorno, por un período de 36 meses."/>
    <n v="2"/>
    <s v="Servicio Control Asistencia"/>
    <n v="1"/>
    <n v="1"/>
    <n v="90000000"/>
    <n v="2500000"/>
    <x v="0"/>
    <x v="0"/>
    <x v="0"/>
    <x v="0"/>
    <s v="64-2335840-"/>
    <s v="bruno.ojeda@redsalud.gov.cl"/>
    <x v="0"/>
    <d v="2024-07-05T00:00:00"/>
    <n v="54"/>
    <s v="1057532-268-SE25"/>
    <n v="1"/>
    <n v="2500000"/>
    <d v="2026-02-01T00:00:00"/>
    <x v="0"/>
    <x v="0"/>
  </r>
  <r>
    <s v="SERVICIO DE SALUD OSORNO"/>
    <s v="Bienes y Servicios"/>
    <x v="0"/>
    <s v="Proyecto operacional"/>
    <s v="Publicado"/>
    <s v="22.11.003"/>
    <x v="0"/>
    <s v="El presente proyecto tiene por objeto la contratación de un servicio de software y equipamiento de reloj control para todos los establecimientos dependientes de la Dirección del Servicio de Salud Osorno, por un período de 36 meses."/>
    <n v="2"/>
    <s v="Servicio Control Asistencia"/>
    <n v="1"/>
    <n v="1"/>
    <n v="90000000"/>
    <n v="2500000"/>
    <x v="0"/>
    <x v="0"/>
    <x v="0"/>
    <x v="0"/>
    <s v="64-2335840-"/>
    <s v="bruno.ojeda@redsalud.gov.cl"/>
    <x v="0"/>
    <d v="2024-07-05T00:00:00"/>
    <n v="54"/>
    <s v="1057532-268-SE25"/>
    <n v="1"/>
    <n v="2500000"/>
    <d v="2026-04-01T00:00:00"/>
    <x v="0"/>
    <x v="0"/>
  </r>
  <r>
    <s v="SERVICIO DE SALUD OSORNO"/>
    <s v="Bienes y Servicios"/>
    <x v="0"/>
    <s v="Proyecto operacional"/>
    <s v="Publicado"/>
    <s v="22.11.003"/>
    <x v="0"/>
    <s v="El presente proyecto tiene por objeto la contratación de un servicio de software y equipamiento de reloj control para todos los establecimientos dependientes de la Dirección del Servicio de Salud Osorno, por un período de 36 meses."/>
    <n v="2"/>
    <s v="Servicio Control Asistencia"/>
    <n v="1"/>
    <n v="1"/>
    <n v="90000000"/>
    <n v="2500000"/>
    <x v="0"/>
    <x v="0"/>
    <x v="0"/>
    <x v="0"/>
    <s v="64-2335840-"/>
    <s v="bruno.ojeda@redsalud.gov.cl"/>
    <x v="0"/>
    <d v="2024-07-05T00:00:00"/>
    <n v="54"/>
    <s v="1057532-266-SE25"/>
    <n v="1"/>
    <n v="2500000"/>
    <d v="2026-02-01T00:00:00"/>
    <x v="0"/>
    <x v="0"/>
  </r>
  <r>
    <s v="SERVICIO DE SALUD OSORNO"/>
    <s v="Bienes y Servicios"/>
    <x v="0"/>
    <s v="Proyecto operacional"/>
    <s v="Publicado"/>
    <s v="22.11.003"/>
    <x v="0"/>
    <s v="El presente proyecto tiene por objeto la contratación de un servicio de software y equipamiento de reloj control para todos los establecimientos dependientes de la Dirección del Servicio de Salud Osorno, por un período de 36 meses."/>
    <n v="2"/>
    <s v="Servicio Control Asistencia"/>
    <n v="1"/>
    <n v="1"/>
    <n v="90000000"/>
    <n v="2500000"/>
    <x v="0"/>
    <x v="0"/>
    <x v="0"/>
    <x v="0"/>
    <s v="64-2335840-"/>
    <s v="bruno.ojeda@redsalud.gov.cl"/>
    <x v="0"/>
    <d v="2024-07-05T00:00:00"/>
    <n v="54"/>
    <s v="1057532-266-SE25"/>
    <n v="1"/>
    <n v="2500000"/>
    <d v="2026-12-01T00:00:00"/>
    <x v="0"/>
    <x v="0"/>
  </r>
  <r>
    <s v="SERVICIO DE SALUD OSORNO"/>
    <s v="Bienes y Servicios"/>
    <x v="0"/>
    <s v="Proyecto operacional"/>
    <s v="Publicado"/>
    <s v="22.11.003"/>
    <x v="0"/>
    <s v="El presente proyecto tiene por objeto la contratación de un servicio de software y equipamiento de reloj control para todos los establecimientos dependientes de la Dirección del Servicio de Salud Osorno, por un período de 36 meses."/>
    <n v="2"/>
    <s v="Servicio Control Asistencia"/>
    <n v="1"/>
    <n v="1"/>
    <n v="90000000"/>
    <n v="2500000"/>
    <x v="0"/>
    <x v="0"/>
    <x v="0"/>
    <x v="0"/>
    <s v="64-2335840-"/>
    <s v="bruno.ojeda@redsalud.gov.cl"/>
    <x v="0"/>
    <d v="2024-07-05T00:00:00"/>
    <n v="54"/>
    <s v="1057532-267-SE25"/>
    <n v="1"/>
    <n v="2500000"/>
    <d v="2026-11-01T00:00:00"/>
    <x v="0"/>
    <x v="0"/>
  </r>
  <r>
    <s v="SERVICIO DE SALUD OSORNO"/>
    <s v="Bienes y Servicios"/>
    <x v="0"/>
    <s v="Proyecto operacional"/>
    <s v="Publicado"/>
    <s v="22.11.003"/>
    <x v="0"/>
    <s v="El presente proyecto tiene por objeto la contratación de un servicio de software y equipamiento de reloj control para todos los establecimientos dependientes de la Dirección del Servicio de Salud Osorno, por un período de 36 meses."/>
    <n v="2"/>
    <s v="Servicio Control Asistencia"/>
    <n v="1"/>
    <n v="1"/>
    <n v="90000000"/>
    <n v="2500000"/>
    <x v="0"/>
    <x v="0"/>
    <x v="0"/>
    <x v="0"/>
    <s v="64-2335840-"/>
    <s v="bruno.ojeda@redsalud.gov.cl"/>
    <x v="0"/>
    <d v="2024-07-05T00:00:00"/>
    <n v="54"/>
    <s v="1057532-268-SE25"/>
    <n v="1"/>
    <n v="2500000"/>
    <d v="2026-06-01T00:00:00"/>
    <x v="0"/>
    <x v="0"/>
  </r>
  <r>
    <s v="SERVICIO DE SALUD OSORNO"/>
    <s v="Bienes y Servicios"/>
    <x v="0"/>
    <s v="Proyecto operacional"/>
    <s v="Publicado"/>
    <s v="22.11.003"/>
    <x v="0"/>
    <s v="El presente proyecto tiene por objeto la contratación de un servicio de software y equipamiento de reloj control para todos los establecimientos dependientes de la Dirección del Servicio de Salud Osorno, por un período de 36 meses."/>
    <n v="2"/>
    <s v="Servicio Control Asistencia"/>
    <n v="1"/>
    <n v="1"/>
    <n v="90000000"/>
    <n v="2500000"/>
    <x v="0"/>
    <x v="0"/>
    <x v="0"/>
    <x v="0"/>
    <s v="64-2335840-"/>
    <s v="bruno.ojeda@redsalud.gov.cl"/>
    <x v="0"/>
    <d v="2024-07-05T00:00:00"/>
    <n v="54"/>
    <s v="1057532-268-SE25"/>
    <n v="1"/>
    <n v="2500000"/>
    <d v="2026-11-01T00:00:00"/>
    <x v="0"/>
    <x v="0"/>
  </r>
  <r>
    <s v="SERVICIO DE SALUD OSORNO"/>
    <s v="Bienes y Servicios"/>
    <x v="0"/>
    <s v="Proyecto operacional"/>
    <s v="Publicado"/>
    <s v="22.11.003"/>
    <x v="0"/>
    <s v="El presente proyecto tiene por objeto la contratación de un servicio de software y equipamiento de reloj control para todos los establecimientos dependientes de la Dirección del Servicio de Salud Osorno, por un período de 36 meses."/>
    <n v="2"/>
    <s v="Servicio Control Asistencia"/>
    <n v="1"/>
    <n v="1"/>
    <n v="90000000"/>
    <n v="2500000"/>
    <x v="0"/>
    <x v="0"/>
    <x v="0"/>
    <x v="0"/>
    <s v="64-2335840-"/>
    <s v="bruno.ojeda@redsalud.gov.cl"/>
    <x v="0"/>
    <d v="2024-07-05T00:00:00"/>
    <n v="54"/>
    <s v="1057532-266-SE25"/>
    <n v="1"/>
    <n v="2500000"/>
    <d v="2026-07-01T00:00:00"/>
    <x v="0"/>
    <x v="0"/>
  </r>
  <r>
    <s v="SERVICIO DE SALUD OSORNO"/>
    <s v="Bienes y Servicios"/>
    <x v="0"/>
    <s v="Proyecto operacional"/>
    <s v="Publicado"/>
    <s v="22.11.003"/>
    <x v="0"/>
    <s v="El presente proyecto tiene por objeto la contratación de un servicio de software y equipamiento de reloj control para todos los establecimientos dependientes de la Dirección del Servicio de Salud Osorno, por un período de 36 meses."/>
    <n v="2"/>
    <s v="Servicio Control Asistencia"/>
    <n v="1"/>
    <n v="1"/>
    <n v="90000000"/>
    <n v="2500000"/>
    <x v="0"/>
    <x v="0"/>
    <x v="0"/>
    <x v="0"/>
    <s v="64-2335840-"/>
    <s v="bruno.ojeda@redsalud.gov.cl"/>
    <x v="0"/>
    <d v="2024-07-05T00:00:00"/>
    <n v="54"/>
    <s v="1057532-266-SE25"/>
    <n v="1"/>
    <n v="2500000"/>
    <d v="2026-01-01T00:00:00"/>
    <x v="0"/>
    <x v="0"/>
  </r>
  <r>
    <s v="SERVICIO DE SALUD OSORNO"/>
    <s v="Bienes y Servicios"/>
    <x v="0"/>
    <s v="Proyecto operacional"/>
    <s v="Publicado"/>
    <s v="22.11.003"/>
    <x v="0"/>
    <s v="El presente proyecto tiene por objeto la contratación de un servicio de software y equipamiento de reloj control para todos los establecimientos dependientes de la Dirección del Servicio de Salud Osorno, por un período de 36 meses."/>
    <n v="2"/>
    <s v="Servicio Control Asistencia"/>
    <n v="1"/>
    <n v="1"/>
    <n v="90000000"/>
    <n v="2500000"/>
    <x v="0"/>
    <x v="0"/>
    <x v="0"/>
    <x v="0"/>
    <s v="64-2335840-"/>
    <s v="bruno.ojeda@redsalud.gov.cl"/>
    <x v="0"/>
    <d v="2024-07-05T00:00:00"/>
    <n v="54"/>
    <s v="1057532-266-SE25"/>
    <n v="1"/>
    <n v="2500000"/>
    <d v="2026-06-01T00:00:00"/>
    <x v="0"/>
    <x v="0"/>
  </r>
  <r>
    <s v="SERVICIO DE SALUD OSORNO"/>
    <s v="Bienes y Servicios"/>
    <x v="0"/>
    <s v="Proyecto operacional"/>
    <s v="Publicado"/>
    <s v="22.11.003"/>
    <x v="0"/>
    <s v="El presente proyecto tiene por objeto la contratación de un servicio de software y equipamiento de reloj control para todos los establecimientos dependientes de la Dirección del Servicio de Salud Osorno, por un período de 36 meses."/>
    <n v="2"/>
    <s v="Servicio Control Asistencia"/>
    <n v="1"/>
    <n v="1"/>
    <n v="90000000"/>
    <n v="2500000"/>
    <x v="0"/>
    <x v="0"/>
    <x v="0"/>
    <x v="0"/>
    <s v="64-2335840-"/>
    <s v="bruno.ojeda@redsalud.gov.cl"/>
    <x v="0"/>
    <d v="2024-07-05T00:00:00"/>
    <n v="54"/>
    <s v="1057532-267-SE25"/>
    <n v="1"/>
    <n v="2500000"/>
    <d v="2026-04-01T00:00:00"/>
    <x v="0"/>
    <x v="0"/>
  </r>
  <r>
    <s v="SERVICIO DE SALUD OSORNO"/>
    <s v="Bienes y Servicios"/>
    <x v="0"/>
    <s v="Proyecto operacional"/>
    <s v="Publicado"/>
    <s v="22.11.003"/>
    <x v="0"/>
    <s v="El presente proyecto tiene por objeto la contratación de un servicio de software y equipamiento de reloj control para todos los establecimientos dependientes de la Dirección del Servicio de Salud Osorno, por un período de 36 meses."/>
    <n v="2"/>
    <s v="Servicio Control Asistencia"/>
    <n v="1"/>
    <n v="1"/>
    <n v="90000000"/>
    <n v="2500000"/>
    <x v="0"/>
    <x v="0"/>
    <x v="0"/>
    <x v="0"/>
    <s v="64-2335840-"/>
    <s v="bruno.ojeda@redsalud.gov.cl"/>
    <x v="0"/>
    <d v="2024-07-05T00:00:00"/>
    <n v="54"/>
    <s v="1057532-266-SE25"/>
    <n v="1"/>
    <n v="2500000"/>
    <d v="2026-03-01T00:00:00"/>
    <x v="0"/>
    <x v="0"/>
  </r>
  <r>
    <s v="SERVICIO DE SALUD OSORNO"/>
    <s v="Bienes y Servicios"/>
    <x v="1"/>
    <s v="Proyecto estratégico"/>
    <s v="Publicado"/>
    <s v="22.11.003"/>
    <x v="1"/>
    <s v="&quot;Se requiere contar con sistema de control satelital (GPS) para la flota de vehículos motorizados (ambulancias, minibuses, camionetas, entre otros) correspondiente a los establecimientos de la Red del Servicio de Salud Osorno (Hospitales y Base SAMU), con la finalidad de realizar un adecuado control y gestión de flota, aumentando la eficiencia en la operación.&quot;"/>
    <n v="2"/>
    <s v="Control Flota"/>
    <n v="1"/>
    <n v="1"/>
    <n v="20136000"/>
    <n v="559333"/>
    <x v="0"/>
    <x v="0"/>
    <x v="0"/>
    <x v="1"/>
    <s v="64-2335840-"/>
    <s v="bruno.ojeda@redsalud.gov.cl"/>
    <x v="1"/>
    <d v="2024-07-05T00:00:00"/>
    <n v="1"/>
    <s v="1057532-1544-SE24"/>
    <n v="1"/>
    <n v="559333"/>
    <d v="2026-01-01T00:00:00"/>
    <x v="0"/>
    <x v="0"/>
  </r>
  <r>
    <s v="SERVICIO DE SALUD OSORNO"/>
    <s v="Bienes y Servicios"/>
    <x v="1"/>
    <s v="Proyecto estratégico"/>
    <s v="Publicado"/>
    <s v="22.11.003"/>
    <x v="1"/>
    <s v="&quot;Se requiere contar con sistema de control satelital (GPS) para la flota de vehículos motorizados (ambulancias, minibuses, camionetas, entre otros) correspondiente a los establecimientos de la Red del Servicio de Salud Osorno (Hospitales y Base SAMU), con la finalidad de realizar un adecuado control y gestión de flota, aumentando la eficiencia en la operación.&quot;"/>
    <n v="2"/>
    <s v="Control Flota"/>
    <n v="1"/>
    <n v="1"/>
    <n v="20136000"/>
    <n v="559333"/>
    <x v="0"/>
    <x v="0"/>
    <x v="0"/>
    <x v="1"/>
    <s v="64-2335840-"/>
    <s v="bruno.ojeda@redsalud.gov.cl"/>
    <x v="1"/>
    <d v="2024-07-05T00:00:00"/>
    <n v="1"/>
    <s v="1057532-1544-SE24"/>
    <n v="1"/>
    <n v="559333"/>
    <d v="2026-07-01T00:00:00"/>
    <x v="0"/>
    <x v="0"/>
  </r>
  <r>
    <s v="SERVICIO DE SALUD OSORNO"/>
    <s v="Bienes y Servicios"/>
    <x v="1"/>
    <s v="Proyecto estratégico"/>
    <s v="Publicado"/>
    <s v="22.11.003"/>
    <x v="1"/>
    <s v="&quot;Se requiere contar con sistema de control satelital (GPS) para la flota de vehículos motorizados (ambulancias, minibuses, camionetas, entre otros) correspondiente a los establecimientos de la Red del Servicio de Salud Osorno (Hospitales y Base SAMU), con la finalidad de realizar un adecuado control y gestión de flota, aumentando la eficiencia en la operación.&quot;"/>
    <n v="2"/>
    <s v="Control Flota"/>
    <n v="1"/>
    <n v="1"/>
    <n v="20136000"/>
    <n v="559333"/>
    <x v="0"/>
    <x v="0"/>
    <x v="0"/>
    <x v="1"/>
    <s v="64-2335840-"/>
    <s v="bruno.ojeda@redsalud.gov.cl"/>
    <x v="1"/>
    <d v="2024-07-05T00:00:00"/>
    <n v="1"/>
    <s v="1057532-1544-SE24"/>
    <n v="1"/>
    <n v="559333"/>
    <d v="2026-05-01T00:00:00"/>
    <x v="0"/>
    <x v="0"/>
  </r>
  <r>
    <s v="SERVICIO DE SALUD OSORNO"/>
    <s v="Bienes y Servicios"/>
    <x v="1"/>
    <s v="Proyecto estratégico"/>
    <s v="Publicado"/>
    <s v="22.11.003"/>
    <x v="1"/>
    <s v="&quot;Se requiere contar con sistema de control satelital (GPS) para la flota de vehículos motorizados (ambulancias, minibuses, camionetas, entre otros) correspondiente a los establecimientos de la Red del Servicio de Salud Osorno (Hospitales y Base SAMU), con la finalidad de realizar un adecuado control y gestión de flota, aumentando la eficiencia en la operación.&quot;"/>
    <n v="2"/>
    <s v="Control Flota"/>
    <n v="1"/>
    <n v="1"/>
    <n v="20136000"/>
    <n v="559333"/>
    <x v="0"/>
    <x v="0"/>
    <x v="0"/>
    <x v="1"/>
    <s v="64-2335840-"/>
    <s v="bruno.ojeda@redsalud.gov.cl"/>
    <x v="1"/>
    <d v="2024-07-05T00:00:00"/>
    <n v="1"/>
    <s v="1057532-1544-SE24"/>
    <n v="1"/>
    <n v="559333"/>
    <d v="2026-02-01T00:00:00"/>
    <x v="0"/>
    <x v="0"/>
  </r>
  <r>
    <s v="SERVICIO DE SALUD OSORNO"/>
    <s v="Bienes y Servicios"/>
    <x v="1"/>
    <s v="Proyecto estratégico"/>
    <s v="Publicado"/>
    <s v="22.11.003"/>
    <x v="1"/>
    <s v="&quot;Se requiere contar con sistema de control satelital (GPS) para la flota de vehículos motorizados (ambulancias, minibuses, camionetas, entre otros) correspondiente a los establecimientos de la Red del Servicio de Salud Osorno (Hospitales y Base SAMU), con la finalidad de realizar un adecuado control y gestión de flota, aumentando la eficiencia en la operación.&quot;"/>
    <n v="2"/>
    <s v="Control Flota"/>
    <n v="1"/>
    <n v="1"/>
    <n v="20136000"/>
    <n v="559333"/>
    <x v="0"/>
    <x v="0"/>
    <x v="0"/>
    <x v="1"/>
    <s v="64-2335840-"/>
    <s v="bruno.ojeda@redsalud.gov.cl"/>
    <x v="1"/>
    <d v="2024-07-05T00:00:00"/>
    <n v="1"/>
    <s v="1057532-1544-SE24"/>
    <n v="1"/>
    <n v="559333"/>
    <d v="2026-08-01T00:00:00"/>
    <x v="0"/>
    <x v="0"/>
  </r>
  <r>
    <s v="SERVICIO DE SALUD OSORNO"/>
    <s v="Bienes y Servicios"/>
    <x v="1"/>
    <s v="Proyecto estratégico"/>
    <s v="Publicado"/>
    <s v="22.11.003"/>
    <x v="1"/>
    <s v="&quot;Se requiere contar con sistema de control satelital (GPS) para la flota de vehículos motorizados (ambulancias, minibuses, camionetas, entre otros) correspondiente a los establecimientos de la Red del Servicio de Salud Osorno (Hospitales y Base SAMU), con la finalidad de realizar un adecuado control y gestión de flota, aumentando la eficiencia en la operación.&quot;"/>
    <n v="2"/>
    <s v="Control Flota"/>
    <n v="1"/>
    <n v="1"/>
    <n v="20136000"/>
    <n v="559333"/>
    <x v="0"/>
    <x v="0"/>
    <x v="0"/>
    <x v="1"/>
    <s v="64-2335840-"/>
    <s v="bruno.ojeda@redsalud.gov.cl"/>
    <x v="1"/>
    <d v="2024-07-05T00:00:00"/>
    <n v="1"/>
    <s v="1057532-1544-SE24"/>
    <n v="1"/>
    <n v="559333"/>
    <d v="2026-03-01T00:00:00"/>
    <x v="0"/>
    <x v="0"/>
  </r>
  <r>
    <s v="SERVICIO DE SALUD OSORNO"/>
    <s v="Bienes y Servicios"/>
    <x v="1"/>
    <s v="Proyecto estratégico"/>
    <s v="Publicado"/>
    <s v="22.11.003"/>
    <x v="1"/>
    <s v="&quot;Se requiere contar con sistema de control satelital (GPS) para la flota de vehículos motorizados (ambulancias, minibuses, camionetas, entre otros) correspondiente a los establecimientos de la Red del Servicio de Salud Osorno (Hospitales y Base SAMU), con la finalidad de realizar un adecuado control y gestión de flota, aumentando la eficiencia en la operación.&quot;"/>
    <n v="2"/>
    <s v="Control Flota"/>
    <n v="1"/>
    <n v="1"/>
    <n v="20136000"/>
    <n v="559333"/>
    <x v="0"/>
    <x v="0"/>
    <x v="0"/>
    <x v="1"/>
    <s v="64-2335840-"/>
    <s v="bruno.ojeda@redsalud.gov.cl"/>
    <x v="1"/>
    <d v="2024-07-05T00:00:00"/>
    <n v="1"/>
    <s v="1057532-1544-SE24"/>
    <n v="1"/>
    <n v="559333"/>
    <d v="2026-06-01T00:00:00"/>
    <x v="0"/>
    <x v="0"/>
  </r>
  <r>
    <s v="SERVICIO DE SALUD OSORNO"/>
    <s v="Bienes y Servicios"/>
    <x v="1"/>
    <s v="Proyecto estratégico"/>
    <s v="Publicado"/>
    <s v="22.11.003"/>
    <x v="1"/>
    <s v="&quot;Se requiere contar con sistema de control satelital (GPS) para la flota de vehículos motorizados (ambulancias, minibuses, camionetas, entre otros) correspondiente a los establecimientos de la Red del Servicio de Salud Osorno (Hospitales y Base SAMU), con la finalidad de realizar un adecuado control y gestión de flota, aumentando la eficiencia en la operación.&quot;"/>
    <n v="2"/>
    <s v="Control Flota"/>
    <n v="1"/>
    <n v="1"/>
    <n v="20136000"/>
    <n v="559333"/>
    <x v="0"/>
    <x v="0"/>
    <x v="0"/>
    <x v="1"/>
    <s v="64-2335840-"/>
    <s v="bruno.ojeda@redsalud.gov.cl"/>
    <x v="1"/>
    <d v="2024-07-05T00:00:00"/>
    <n v="1"/>
    <s v="1057532-1544-SE24"/>
    <n v="1"/>
    <n v="559333"/>
    <d v="2026-04-01T00:00:00"/>
    <x v="0"/>
    <x v="0"/>
  </r>
  <r>
    <s v="SERVICIO DE SALUD OSORNO"/>
    <s v="Bienes y Servicios"/>
    <x v="1"/>
    <s v="Proyecto estratégico"/>
    <s v="Publicado"/>
    <s v="22.11.003"/>
    <x v="1"/>
    <s v="&quot;Se requiere contar con sistema de control satelital (GPS) para la flota de vehículos motorizados (ambulancias, minibuses, camionetas, entre otros) correspondiente a los establecimientos de la Red del Servicio de Salud Osorno (Hospitales y Base SAMU), con la finalidad de realizar un adecuado control y gestión de flota, aumentando la eficiencia en la operación.&quot;"/>
    <n v="2"/>
    <s v="Control Flota"/>
    <n v="1"/>
    <n v="1"/>
    <n v="20136000"/>
    <n v="559333"/>
    <x v="0"/>
    <x v="0"/>
    <x v="0"/>
    <x v="1"/>
    <s v="64-2335840-"/>
    <s v="bruno.ojeda@redsalud.gov.cl"/>
    <x v="1"/>
    <d v="2024-07-05T00:00:00"/>
    <n v="1"/>
    <s v="1057532-1544-SE24"/>
    <n v="1"/>
    <n v="559333"/>
    <d v="2026-09-01T00:00:00"/>
    <x v="0"/>
    <x v="0"/>
  </r>
  <r>
    <s v="SERVICIO DE SALUD OSORNO"/>
    <s v="Bienes y Servicios"/>
    <x v="1"/>
    <s v="Proyecto estratégico"/>
    <s v="Publicado"/>
    <s v="22.11.003"/>
    <x v="1"/>
    <s v="&quot;Se requiere contar con sistema de control satelital (GPS) para la flota de vehículos motorizados (ambulancias, minibuses, camionetas, entre otros) correspondiente a los establecimientos de la Red del Servicio de Salud Osorno (Hospitales y Base SAMU), con la finalidad de realizar un adecuado control y gestión de flota, aumentando la eficiencia en la operación.&quot;"/>
    <n v="2"/>
    <s v="Control Flota"/>
    <n v="1"/>
    <n v="1"/>
    <n v="20136000"/>
    <n v="559333"/>
    <x v="0"/>
    <x v="0"/>
    <x v="0"/>
    <x v="1"/>
    <s v="64-2335840-"/>
    <s v="bruno.ojeda@redsalud.gov.cl"/>
    <x v="1"/>
    <d v="2024-07-05T00:00:00"/>
    <n v="1"/>
    <s v="1057532-1544-SE24"/>
    <n v="1"/>
    <n v="559333"/>
    <d v="2026-10-01T00:00:00"/>
    <x v="0"/>
    <x v="0"/>
  </r>
  <r>
    <s v="SERVICIO DE SALUD OSORNO"/>
    <s v="Bienes y Servicios"/>
    <x v="1"/>
    <s v="Proyecto estratégico"/>
    <s v="Publicado"/>
    <s v="22.11.003"/>
    <x v="1"/>
    <s v="&quot;Se requiere contar con sistema de control satelital (GPS) para la flota de vehículos motorizados (ambulancias, minibuses, camionetas, entre otros) correspondiente a los establecimientos de la Red del Servicio de Salud Osorno (Hospitales y Base SAMU), con la finalidad de realizar un adecuado control y gestión de flota, aumentando la eficiencia en la operación.&quot;"/>
    <n v="2"/>
    <s v="Control Flota"/>
    <n v="1"/>
    <n v="1"/>
    <n v="20136000"/>
    <n v="559333"/>
    <x v="0"/>
    <x v="0"/>
    <x v="0"/>
    <x v="1"/>
    <s v="64-2335840-"/>
    <s v="bruno.ojeda@redsalud.gov.cl"/>
    <x v="1"/>
    <d v="2024-07-05T00:00:00"/>
    <n v="1"/>
    <s v="1057532-1544-SE24"/>
    <n v="1"/>
    <n v="559333"/>
    <d v="2026-11-01T00:00:00"/>
    <x v="0"/>
    <x v="0"/>
  </r>
  <r>
    <s v="SERVICIO DE SALUD OSORNO"/>
    <s v="Bienes y Servicios"/>
    <x v="1"/>
    <s v="Proyecto estratégico"/>
    <s v="Publicado"/>
    <s v="22.11.003"/>
    <x v="1"/>
    <s v="&quot;Se requiere contar con sistema de control satelital (GPS) para la flota de vehículos motorizados (ambulancias, minibuses, camionetas, entre otros) correspondiente a los establecimientos de la Red del Servicio de Salud Osorno (Hospitales y Base SAMU), con la finalidad de realizar un adecuado control y gestión de flota, aumentando la eficiencia en la operación.&quot;"/>
    <n v="2"/>
    <s v="Control Flota"/>
    <n v="1"/>
    <n v="1"/>
    <n v="20136000"/>
    <n v="559333"/>
    <x v="0"/>
    <x v="0"/>
    <x v="0"/>
    <x v="1"/>
    <s v="64-2335840-"/>
    <s v="bruno.ojeda@redsalud.gov.cl"/>
    <x v="1"/>
    <d v="2024-07-05T00:00:00"/>
    <n v="1"/>
    <s v="1057532-1544-SE24"/>
    <n v="1"/>
    <n v="559333"/>
    <d v="2026-12-01T00:00:00"/>
    <x v="0"/>
    <x v="0"/>
  </r>
  <r>
    <s v="SERVICIO DE SALUD OSORNO"/>
    <s v="Bienes y Servicios"/>
    <x v="2"/>
    <s v="Proyecto operacional"/>
    <s v="Publicado"/>
    <s v="22.11.003"/>
    <x v="2"/>
    <s v="Tiene como finalidad realizar un adecuado control y gestión de flota de vehículos, aumentando la eficiencia en lo operacional, como también disminuyendo el riesgo de accidentes de tránsito."/>
    <n v="1"/>
    <s v="Sistema de control de flota"/>
    <n v="1"/>
    <n v="1"/>
    <n v="20136000"/>
    <n v="559345"/>
    <x v="0"/>
    <x v="0"/>
    <x v="1"/>
    <x v="2"/>
    <s v="64-2565654-"/>
    <s v="felipe.salvob@redsalud.gob.cl"/>
    <x v="0"/>
    <d v="2024-07-05T00:00:00"/>
    <n v="0"/>
    <m/>
    <n v="1"/>
    <n v="559345"/>
    <d v="2026-12-01T00:00:00"/>
    <x v="0"/>
    <x v="0"/>
  </r>
  <r>
    <s v="SERVICIO DE SALUD OSORNO"/>
    <s v="Bienes y Servicios"/>
    <x v="2"/>
    <s v="Proyecto operacional"/>
    <s v="Publicado"/>
    <s v="22.11.003"/>
    <x v="2"/>
    <s v="Tiene como finalidad realizar un adecuado control y gestión de flota de vehículos, aumentando la eficiencia en lo operacional, como también disminuyendo el riesgo de accidentes de tránsito."/>
    <n v="1"/>
    <s v="Sistema de control de flota"/>
    <n v="1"/>
    <n v="1"/>
    <n v="20136000"/>
    <n v="559333"/>
    <x v="0"/>
    <x v="0"/>
    <x v="1"/>
    <x v="2"/>
    <s v="64-2565654-"/>
    <s v="felipe.salvob@redsalud.gob.cl"/>
    <x v="0"/>
    <d v="2024-07-05T00:00:00"/>
    <n v="0"/>
    <m/>
    <n v="1"/>
    <n v="559333"/>
    <d v="2026-05-01T00:00:00"/>
    <x v="0"/>
    <x v="0"/>
  </r>
  <r>
    <s v="SERVICIO DE SALUD OSORNO"/>
    <s v="Bienes y Servicios"/>
    <x v="2"/>
    <s v="Proyecto operacional"/>
    <s v="Publicado"/>
    <s v="22.11.003"/>
    <x v="2"/>
    <s v="Tiene como finalidad realizar un adecuado control y gestión de flota de vehículos, aumentando la eficiencia en lo operacional, como también disminuyendo el riesgo de accidentes de tránsito."/>
    <n v="1"/>
    <s v="Sistema de control de flota"/>
    <n v="1"/>
    <n v="1"/>
    <n v="20136000"/>
    <n v="559333"/>
    <x v="0"/>
    <x v="0"/>
    <x v="1"/>
    <x v="2"/>
    <s v="64-2565654-"/>
    <s v="felipe.salvob@redsalud.gob.cl"/>
    <x v="0"/>
    <d v="2024-07-05T00:00:00"/>
    <n v="0"/>
    <m/>
    <n v="1"/>
    <n v="559333"/>
    <d v="2026-03-01T00:00:00"/>
    <x v="0"/>
    <x v="0"/>
  </r>
  <r>
    <s v="SERVICIO DE SALUD OSORNO"/>
    <s v="Bienes y Servicios"/>
    <x v="2"/>
    <s v="Proyecto operacional"/>
    <s v="Publicado"/>
    <s v="22.11.003"/>
    <x v="2"/>
    <s v="Tiene como finalidad realizar un adecuado control y gestión de flota de vehículos, aumentando la eficiencia en lo operacional, como también disminuyendo el riesgo de accidentes de tránsito."/>
    <n v="1"/>
    <s v="Sistema de control de flota"/>
    <n v="1"/>
    <n v="1"/>
    <n v="20136000"/>
    <n v="559333"/>
    <x v="0"/>
    <x v="0"/>
    <x v="1"/>
    <x v="2"/>
    <s v="64-2565654-"/>
    <s v="felipe.salvob@redsalud.gob.cl"/>
    <x v="0"/>
    <d v="2024-07-05T00:00:00"/>
    <n v="0"/>
    <m/>
    <n v="1"/>
    <n v="559333"/>
    <d v="2026-02-01T00:00:00"/>
    <x v="0"/>
    <x v="0"/>
  </r>
  <r>
    <s v="SERVICIO DE SALUD OSORNO"/>
    <s v="Bienes y Servicios"/>
    <x v="2"/>
    <s v="Proyecto operacional"/>
    <s v="Publicado"/>
    <s v="22.11.003"/>
    <x v="2"/>
    <s v="Tiene como finalidad realizar un adecuado control y gestión de flota de vehículos, aumentando la eficiencia en lo operacional, como también disminuyendo el riesgo de accidentes de tránsito."/>
    <n v="1"/>
    <s v="Sistema de control de flota"/>
    <n v="1"/>
    <n v="1"/>
    <n v="20136000"/>
    <n v="559333"/>
    <x v="0"/>
    <x v="0"/>
    <x v="1"/>
    <x v="2"/>
    <s v="64-2565654-"/>
    <s v="felipe.salvob@redsalud.gob.cl"/>
    <x v="0"/>
    <d v="2024-07-05T00:00:00"/>
    <n v="0"/>
    <m/>
    <n v="1"/>
    <n v="559333"/>
    <d v="2026-06-01T00:00:00"/>
    <x v="0"/>
    <x v="0"/>
  </r>
  <r>
    <s v="SERVICIO DE SALUD OSORNO"/>
    <s v="Bienes y Servicios"/>
    <x v="2"/>
    <s v="Proyecto operacional"/>
    <s v="Publicado"/>
    <s v="22.11.003"/>
    <x v="2"/>
    <s v="Tiene como finalidad realizar un adecuado control y gestión de flota de vehículos, aumentando la eficiencia en lo operacional, como también disminuyendo el riesgo de accidentes de tránsito."/>
    <n v="1"/>
    <s v="Sistema de control de flota"/>
    <n v="1"/>
    <n v="1"/>
    <n v="20136000"/>
    <n v="559333"/>
    <x v="0"/>
    <x v="0"/>
    <x v="1"/>
    <x v="2"/>
    <s v="64-2565654-"/>
    <s v="felipe.salvob@redsalud.gob.cl"/>
    <x v="0"/>
    <d v="2024-07-05T00:00:00"/>
    <n v="0"/>
    <m/>
    <n v="1"/>
    <n v="559333"/>
    <d v="2026-01-01T00:00:00"/>
    <x v="0"/>
    <x v="0"/>
  </r>
  <r>
    <s v="SERVICIO DE SALUD OSORNO"/>
    <s v="Bienes y Servicios"/>
    <x v="2"/>
    <s v="Proyecto operacional"/>
    <s v="Publicado"/>
    <s v="22.11.003"/>
    <x v="2"/>
    <s v="Tiene como finalidad realizar un adecuado control y gestión de flota de vehículos, aumentando la eficiencia en lo operacional, como también disminuyendo el riesgo de accidentes de tránsito."/>
    <n v="1"/>
    <s v="Sistema de control de flota"/>
    <n v="1"/>
    <n v="1"/>
    <n v="20136000"/>
    <n v="559333"/>
    <x v="0"/>
    <x v="0"/>
    <x v="1"/>
    <x v="2"/>
    <s v="64-2565654-"/>
    <s v="felipe.salvob@redsalud.gob.cl"/>
    <x v="0"/>
    <d v="2024-07-05T00:00:00"/>
    <n v="0"/>
    <m/>
    <n v="1"/>
    <n v="559333"/>
    <d v="2026-07-01T00:00:00"/>
    <x v="0"/>
    <x v="0"/>
  </r>
  <r>
    <s v="SERVICIO DE SALUD OSORNO"/>
    <s v="Bienes y Servicios"/>
    <x v="2"/>
    <s v="Proyecto operacional"/>
    <s v="Publicado"/>
    <s v="22.11.003"/>
    <x v="2"/>
    <s v="Tiene como finalidad realizar un adecuado control y gestión de flota de vehículos, aumentando la eficiencia en lo operacional, como también disminuyendo el riesgo de accidentes de tránsito."/>
    <n v="1"/>
    <s v="Sistema de control de flota"/>
    <n v="1"/>
    <n v="1"/>
    <n v="20136000"/>
    <n v="559333"/>
    <x v="0"/>
    <x v="0"/>
    <x v="1"/>
    <x v="2"/>
    <s v="64-2565654-"/>
    <s v="felipe.salvob@redsalud.gob.cl"/>
    <x v="0"/>
    <d v="2024-07-05T00:00:00"/>
    <n v="0"/>
    <m/>
    <n v="1"/>
    <n v="559333"/>
    <d v="2026-04-01T00:00:00"/>
    <x v="0"/>
    <x v="0"/>
  </r>
  <r>
    <s v="SERVICIO DE SALUD OSORNO"/>
    <s v="Bienes y Servicios"/>
    <x v="2"/>
    <s v="Proyecto operacional"/>
    <s v="Publicado"/>
    <s v="22.11.003"/>
    <x v="2"/>
    <s v="Tiene como finalidad realizar un adecuado control y gestión de flota de vehículos, aumentando la eficiencia en lo operacional, como también disminuyendo el riesgo de accidentes de tránsito."/>
    <n v="1"/>
    <s v="Sistema de control de flota"/>
    <n v="1"/>
    <n v="1"/>
    <n v="20136000"/>
    <n v="559333"/>
    <x v="0"/>
    <x v="0"/>
    <x v="1"/>
    <x v="2"/>
    <s v="64-2565654-"/>
    <s v="felipe.salvob@redsalud.gob.cl"/>
    <x v="0"/>
    <d v="2024-07-05T00:00:00"/>
    <n v="0"/>
    <m/>
    <n v="1"/>
    <n v="559333"/>
    <d v="2026-08-01T00:00:00"/>
    <x v="0"/>
    <x v="0"/>
  </r>
  <r>
    <s v="SERVICIO DE SALUD OSORNO"/>
    <s v="Bienes y Servicios"/>
    <x v="2"/>
    <s v="Proyecto operacional"/>
    <s v="Publicado"/>
    <s v="22.11.003"/>
    <x v="2"/>
    <s v="Tiene como finalidad realizar un adecuado control y gestión de flota de vehículos, aumentando la eficiencia en lo operacional, como también disminuyendo el riesgo de accidentes de tránsito."/>
    <n v="1"/>
    <s v="Sistema de control de flota"/>
    <n v="1"/>
    <n v="1"/>
    <n v="20136000"/>
    <n v="559333"/>
    <x v="0"/>
    <x v="0"/>
    <x v="1"/>
    <x v="2"/>
    <s v="64-2565654-"/>
    <s v="felipe.salvob@redsalud.gob.cl"/>
    <x v="0"/>
    <d v="2024-07-05T00:00:00"/>
    <n v="0"/>
    <m/>
    <n v="1"/>
    <n v="559333"/>
    <d v="2026-10-01T00:00:00"/>
    <x v="0"/>
    <x v="0"/>
  </r>
  <r>
    <s v="SERVICIO DE SALUD OSORNO"/>
    <s v="Bienes y Servicios"/>
    <x v="2"/>
    <s v="Proyecto operacional"/>
    <s v="Publicado"/>
    <s v="22.11.003"/>
    <x v="2"/>
    <s v="Tiene como finalidad realizar un adecuado control y gestión de flota de vehículos, aumentando la eficiencia en lo operacional, como también disminuyendo el riesgo de accidentes de tránsito."/>
    <n v="1"/>
    <s v="Sistema de control de flota"/>
    <n v="1"/>
    <n v="1"/>
    <n v="20136000"/>
    <n v="559333"/>
    <x v="0"/>
    <x v="0"/>
    <x v="1"/>
    <x v="2"/>
    <s v="64-2565654-"/>
    <s v="felipe.salvob@redsalud.gob.cl"/>
    <x v="0"/>
    <d v="2024-07-05T00:00:00"/>
    <n v="0"/>
    <m/>
    <n v="1"/>
    <n v="559333"/>
    <d v="2026-09-01T00:00:00"/>
    <x v="0"/>
    <x v="0"/>
  </r>
  <r>
    <s v="SERVICIO DE SALUD OSORNO"/>
    <s v="Bienes y Servicios"/>
    <x v="2"/>
    <s v="Proyecto operacional"/>
    <s v="Publicado"/>
    <s v="22.11.003"/>
    <x v="2"/>
    <s v="Tiene como finalidad realizar un adecuado control y gestión de flota de vehículos, aumentando la eficiencia en lo operacional, como también disminuyendo el riesgo de accidentes de tránsito."/>
    <n v="1"/>
    <s v="Sistema de control de flota"/>
    <n v="1"/>
    <n v="1"/>
    <n v="20136000"/>
    <n v="559333"/>
    <x v="0"/>
    <x v="0"/>
    <x v="1"/>
    <x v="2"/>
    <s v="64-2565654-"/>
    <s v="felipe.salvob@redsalud.gob.cl"/>
    <x v="0"/>
    <d v="2024-07-05T00:00:00"/>
    <n v="0"/>
    <m/>
    <n v="1"/>
    <n v="559333"/>
    <d v="2026-11-01T00:00:00"/>
    <x v="0"/>
    <x v="0"/>
  </r>
  <r>
    <s v="SERVICIO DE SALUD OSORNO"/>
    <s v="Bienes y Servicios"/>
    <x v="3"/>
    <s v="Proyecto estratégico"/>
    <s v="Publicado"/>
    <s v="22.11.003"/>
    <x v="3"/>
    <s v="SERVICIO DE SUSCRIPCION WAVE PTX, INCLUYE INTERPERABILIDAD CON SISTEMA VHF, GATEWAY, INSTALACION, LICENCIAS, GPS EN LOS EQUIPOS WAVE PTX."/>
    <n v="1"/>
    <s v="Servicio"/>
    <n v="1"/>
    <n v="1"/>
    <n v="130000000"/>
    <n v="3611111"/>
    <x v="0"/>
    <x v="1"/>
    <x v="2"/>
    <x v="3"/>
    <s v="64-337728-"/>
    <s v="CATALINA.VERAC@REDSALUD.GOB.CL"/>
    <x v="2"/>
    <d v="2024-07-05T00:00:00"/>
    <n v="0"/>
    <m/>
    <n v="1"/>
    <n v="3611111"/>
    <d v="2026-07-01T00:00:00"/>
    <x v="0"/>
    <x v="0"/>
  </r>
  <r>
    <s v="SERVICIO DE SALUD OSORNO"/>
    <s v="Bienes y Servicios"/>
    <x v="3"/>
    <s v="Proyecto estratégico"/>
    <s v="Publicado"/>
    <s v="22.11.003"/>
    <x v="3"/>
    <s v="SERVICIO DE SUSCRIPCION WAVE PTX, INCLUYE INTERPERABILIDAD CON SISTEMA VHF, GATEWAY, INSTALACION, LICENCIAS, GPS EN LOS EQUIPOS WAVE PTX."/>
    <n v="1"/>
    <s v="Servicio"/>
    <n v="1"/>
    <n v="1"/>
    <n v="130000000"/>
    <n v="3611111"/>
    <x v="0"/>
    <x v="1"/>
    <x v="2"/>
    <x v="3"/>
    <s v="64-337728-"/>
    <s v="CATALINA.VERAC@REDSALUD.GOB.CL"/>
    <x v="2"/>
    <d v="2024-07-05T00:00:00"/>
    <n v="0"/>
    <m/>
    <n v="1"/>
    <n v="3611111"/>
    <d v="2026-01-01T00:00:00"/>
    <x v="0"/>
    <x v="0"/>
  </r>
  <r>
    <s v="SERVICIO DE SALUD OSORNO"/>
    <s v="Bienes y Servicios"/>
    <x v="3"/>
    <s v="Proyecto estratégico"/>
    <s v="Publicado"/>
    <s v="22.11.003"/>
    <x v="3"/>
    <s v="SERVICIO DE SUSCRIPCION WAVE PTX, INCLUYE INTERPERABILIDAD CON SISTEMA VHF, GATEWAY, INSTALACION, LICENCIAS, GPS EN LOS EQUIPOS WAVE PTX."/>
    <n v="1"/>
    <s v="Servicio"/>
    <n v="1"/>
    <n v="1"/>
    <n v="130000000"/>
    <n v="3611111"/>
    <x v="0"/>
    <x v="1"/>
    <x v="2"/>
    <x v="3"/>
    <s v="64-337728-"/>
    <s v="CATALINA.VERAC@REDSALUD.GOB.CL"/>
    <x v="2"/>
    <d v="2024-07-05T00:00:00"/>
    <n v="0"/>
    <m/>
    <n v="1"/>
    <n v="3611111"/>
    <d v="2026-12-01T00:00:00"/>
    <x v="0"/>
    <x v="0"/>
  </r>
  <r>
    <s v="SERVICIO DE SALUD OSORNO"/>
    <s v="Bienes y Servicios"/>
    <x v="3"/>
    <s v="Proyecto estratégico"/>
    <s v="Publicado"/>
    <s v="22.11.003"/>
    <x v="3"/>
    <s v="SERVICIO DE SUSCRIPCION WAVE PTX, INCLUYE INTERPERABILIDAD CON SISTEMA VHF, GATEWAY, INSTALACION, LICENCIAS, GPS EN LOS EQUIPOS WAVE PTX."/>
    <n v="1"/>
    <s v="Servicio"/>
    <n v="1"/>
    <n v="1"/>
    <n v="130000000"/>
    <n v="3611111"/>
    <x v="0"/>
    <x v="1"/>
    <x v="2"/>
    <x v="3"/>
    <s v="64-337728-"/>
    <s v="CATALINA.VERAC@REDSALUD.GOB.CL"/>
    <x v="2"/>
    <d v="2024-07-05T00:00:00"/>
    <n v="0"/>
    <m/>
    <n v="1"/>
    <n v="3611111"/>
    <d v="2026-06-01T00:00:00"/>
    <x v="0"/>
    <x v="0"/>
  </r>
  <r>
    <s v="SERVICIO DE SALUD OSORNO"/>
    <s v="Bienes y Servicios"/>
    <x v="3"/>
    <s v="Proyecto estratégico"/>
    <s v="Publicado"/>
    <s v="22.11.003"/>
    <x v="3"/>
    <s v="SERVICIO DE SUSCRIPCION WAVE PTX, INCLUYE INTERPERABILIDAD CON SISTEMA VHF, GATEWAY, INSTALACION, LICENCIAS, GPS EN LOS EQUIPOS WAVE PTX."/>
    <n v="1"/>
    <s v="Servicio"/>
    <n v="1"/>
    <n v="1"/>
    <n v="130000000"/>
    <n v="3611111"/>
    <x v="0"/>
    <x v="1"/>
    <x v="2"/>
    <x v="3"/>
    <s v="64-337728-"/>
    <s v="CATALINA.VERAC@REDSALUD.GOB.CL"/>
    <x v="2"/>
    <d v="2024-07-05T00:00:00"/>
    <n v="0"/>
    <m/>
    <n v="1"/>
    <n v="3611111"/>
    <d v="2026-09-01T00:00:00"/>
    <x v="0"/>
    <x v="0"/>
  </r>
  <r>
    <s v="SERVICIO DE SALUD OSORNO"/>
    <s v="Bienes y Servicios"/>
    <x v="3"/>
    <s v="Proyecto estratégico"/>
    <s v="Publicado"/>
    <s v="22.11.003"/>
    <x v="3"/>
    <s v="SERVICIO DE SUSCRIPCION WAVE PTX, INCLUYE INTERPERABILIDAD CON SISTEMA VHF, GATEWAY, INSTALACION, LICENCIAS, GPS EN LOS EQUIPOS WAVE PTX."/>
    <n v="1"/>
    <s v="Servicio"/>
    <n v="1"/>
    <n v="1"/>
    <n v="130000000"/>
    <n v="3611111"/>
    <x v="0"/>
    <x v="1"/>
    <x v="2"/>
    <x v="3"/>
    <s v="64-337728-"/>
    <s v="CATALINA.VERAC@REDSALUD.GOB.CL"/>
    <x v="2"/>
    <d v="2024-07-05T00:00:00"/>
    <n v="0"/>
    <m/>
    <n v="1"/>
    <n v="3611111"/>
    <d v="2026-08-01T00:00:00"/>
    <x v="0"/>
    <x v="0"/>
  </r>
  <r>
    <s v="SERVICIO DE SALUD OSORNO"/>
    <s v="Bienes y Servicios"/>
    <x v="3"/>
    <s v="Proyecto estratégico"/>
    <s v="Publicado"/>
    <s v="22.11.003"/>
    <x v="3"/>
    <s v="SERVICIO DE SUSCRIPCION WAVE PTX, INCLUYE INTERPERABILIDAD CON SISTEMA VHF, GATEWAY, INSTALACION, LICENCIAS, GPS EN LOS EQUIPOS WAVE PTX."/>
    <n v="1"/>
    <s v="Servicio"/>
    <n v="1"/>
    <n v="1"/>
    <n v="130000000"/>
    <n v="3611111"/>
    <x v="0"/>
    <x v="1"/>
    <x v="2"/>
    <x v="3"/>
    <s v="64-337728-"/>
    <s v="CATALINA.VERAC@REDSALUD.GOB.CL"/>
    <x v="2"/>
    <d v="2024-07-05T00:00:00"/>
    <n v="0"/>
    <m/>
    <n v="1"/>
    <n v="3611111"/>
    <d v="2026-02-01T00:00:00"/>
    <x v="0"/>
    <x v="0"/>
  </r>
  <r>
    <s v="SERVICIO DE SALUD OSORNO"/>
    <s v="Bienes y Servicios"/>
    <x v="3"/>
    <s v="Proyecto estratégico"/>
    <s v="Publicado"/>
    <s v="22.11.003"/>
    <x v="3"/>
    <s v="SERVICIO DE SUSCRIPCION WAVE PTX, INCLUYE INTERPERABILIDAD CON SISTEMA VHF, GATEWAY, INSTALACION, LICENCIAS, GPS EN LOS EQUIPOS WAVE PTX."/>
    <n v="1"/>
    <s v="Servicio"/>
    <n v="1"/>
    <n v="1"/>
    <n v="130000000"/>
    <n v="3611111"/>
    <x v="0"/>
    <x v="1"/>
    <x v="2"/>
    <x v="3"/>
    <s v="64-337728-"/>
    <s v="CATALINA.VERAC@REDSALUD.GOB.CL"/>
    <x v="2"/>
    <d v="2024-07-05T00:00:00"/>
    <n v="0"/>
    <m/>
    <n v="1"/>
    <n v="3611111"/>
    <d v="2026-11-01T00:00:00"/>
    <x v="0"/>
    <x v="0"/>
  </r>
  <r>
    <s v="SERVICIO DE SALUD OSORNO"/>
    <s v="Bienes y Servicios"/>
    <x v="3"/>
    <s v="Proyecto estratégico"/>
    <s v="Publicado"/>
    <s v="22.11.003"/>
    <x v="3"/>
    <s v="SERVICIO DE SUSCRIPCION WAVE PTX, INCLUYE INTERPERABILIDAD CON SISTEMA VHF, GATEWAY, INSTALACION, LICENCIAS, GPS EN LOS EQUIPOS WAVE PTX."/>
    <n v="1"/>
    <s v="Servicio"/>
    <n v="1"/>
    <n v="1"/>
    <n v="130000000"/>
    <n v="3611111"/>
    <x v="0"/>
    <x v="1"/>
    <x v="2"/>
    <x v="3"/>
    <s v="64-337728-"/>
    <s v="CATALINA.VERAC@REDSALUD.GOB.CL"/>
    <x v="2"/>
    <d v="2024-07-05T00:00:00"/>
    <n v="0"/>
    <m/>
    <n v="1"/>
    <n v="3611111"/>
    <d v="2026-04-01T00:00:00"/>
    <x v="0"/>
    <x v="0"/>
  </r>
  <r>
    <s v="SERVICIO DE SALUD OSORNO"/>
    <s v="Bienes y Servicios"/>
    <x v="3"/>
    <s v="Proyecto estratégico"/>
    <s v="Publicado"/>
    <s v="22.11.003"/>
    <x v="3"/>
    <s v="SERVICIO DE SUSCRIPCION WAVE PTX, INCLUYE INTERPERABILIDAD CON SISTEMA VHF, GATEWAY, INSTALACION, LICENCIAS, GPS EN LOS EQUIPOS WAVE PTX."/>
    <n v="1"/>
    <s v="Servicio"/>
    <n v="1"/>
    <n v="1"/>
    <n v="130000000"/>
    <n v="3611111"/>
    <x v="0"/>
    <x v="1"/>
    <x v="2"/>
    <x v="3"/>
    <s v="64-337728-"/>
    <s v="CATALINA.VERAC@REDSALUD.GOB.CL"/>
    <x v="2"/>
    <d v="2024-07-05T00:00:00"/>
    <n v="0"/>
    <m/>
    <n v="1"/>
    <n v="3611111"/>
    <d v="2026-05-01T00:00:00"/>
    <x v="0"/>
    <x v="0"/>
  </r>
  <r>
    <s v="SERVICIO DE SALUD OSORNO"/>
    <s v="Bienes y Servicios"/>
    <x v="3"/>
    <s v="Proyecto estratégico"/>
    <s v="Publicado"/>
    <s v="22.11.003"/>
    <x v="3"/>
    <s v="SERVICIO DE SUSCRIPCION WAVE PTX, INCLUYE INTERPERABILIDAD CON SISTEMA VHF, GATEWAY, INSTALACION, LICENCIAS, GPS EN LOS EQUIPOS WAVE PTX."/>
    <n v="1"/>
    <s v="Servicio"/>
    <n v="1"/>
    <n v="1"/>
    <n v="130000000"/>
    <n v="3611111"/>
    <x v="0"/>
    <x v="1"/>
    <x v="2"/>
    <x v="3"/>
    <s v="64-337728-"/>
    <s v="CATALINA.VERAC@REDSALUD.GOB.CL"/>
    <x v="2"/>
    <d v="2024-07-05T00:00:00"/>
    <n v="0"/>
    <m/>
    <n v="1"/>
    <n v="3611111"/>
    <d v="2026-03-01T00:00:00"/>
    <x v="0"/>
    <x v="0"/>
  </r>
  <r>
    <s v="SERVICIO DE SALUD OSORNO"/>
    <s v="Bienes y Servicios"/>
    <x v="3"/>
    <s v="Proyecto estratégico"/>
    <s v="Publicado"/>
    <s v="22.11.003"/>
    <x v="3"/>
    <s v="SERVICIO DE SUSCRIPCION WAVE PTX, INCLUYE INTERPERABILIDAD CON SISTEMA VHF, GATEWAY, INSTALACION, LICENCIAS, GPS EN LOS EQUIPOS WAVE PTX."/>
    <n v="1"/>
    <s v="Servicio"/>
    <n v="1"/>
    <n v="1"/>
    <n v="130000000"/>
    <n v="3611111"/>
    <x v="0"/>
    <x v="1"/>
    <x v="2"/>
    <x v="3"/>
    <s v="64-337728-"/>
    <s v="CATALINA.VERAC@REDSALUD.GOB.CL"/>
    <x v="2"/>
    <d v="2024-07-05T00:00:00"/>
    <n v="0"/>
    <m/>
    <n v="1"/>
    <n v="3611111"/>
    <d v="2026-10-01T00:00:00"/>
    <x v="0"/>
    <x v="0"/>
  </r>
  <r>
    <s v="SERVICIO DE SALUD OSORNO"/>
    <s v="Bienes y Servicios"/>
    <x v="4"/>
    <s v="Proyecto operacional"/>
    <s v="Publicado"/>
    <s v="22.12.999.022"/>
    <x v="4"/>
    <s v="3 cupos Residencia Protegida por 24 meses, en la Región Metropolitana, por un total de 2190 días de residencia protegida."/>
    <n v="1"/>
    <s v="Residencia"/>
    <n v="1"/>
    <n v="1"/>
    <n v="80865750"/>
    <n v="3369406"/>
    <x v="1"/>
    <x v="2"/>
    <x v="3"/>
    <x v="4"/>
    <s v="64-335813-"/>
    <s v="antonia.caifil@redsalud.gob.cl"/>
    <x v="3"/>
    <d v="2024-07-05T00:00:00"/>
    <n v="12"/>
    <s v="1057532-1987-SE24"/>
    <n v="1"/>
    <n v="3369406"/>
    <d v="2026-02-01T00:00:00"/>
    <x v="0"/>
    <x v="0"/>
  </r>
  <r>
    <s v="SERVICIO DE SALUD OSORNO"/>
    <s v="Bienes y Servicios"/>
    <x v="4"/>
    <s v="Proyecto operacional"/>
    <s v="Publicado"/>
    <s v="22.12.999.022"/>
    <x v="4"/>
    <s v="3 cupos Residencia Protegida por 24 meses, en la Región Metropolitana, por un total de 2190 días de residencia protegida."/>
    <n v="1"/>
    <s v="Residencia"/>
    <n v="1"/>
    <n v="1"/>
    <n v="80865750"/>
    <n v="3369406"/>
    <x v="1"/>
    <x v="2"/>
    <x v="3"/>
    <x v="4"/>
    <s v="64-335813-"/>
    <s v="antonia.caifil@redsalud.gob.cl"/>
    <x v="3"/>
    <d v="2024-07-05T00:00:00"/>
    <n v="12"/>
    <s v="1057532-1299-SE24"/>
    <n v="1"/>
    <n v="3369406"/>
    <d v="2026-03-01T00:00:00"/>
    <x v="0"/>
    <x v="0"/>
  </r>
  <r>
    <s v="SERVICIO DE SALUD OSORNO"/>
    <s v="Bienes y Servicios"/>
    <x v="4"/>
    <s v="Proyecto operacional"/>
    <s v="Publicado"/>
    <s v="22.12.999.022"/>
    <x v="4"/>
    <s v="3 cupos Residencia Protegida por 24 meses, en la Región Metropolitana, por un total de 2190 días de residencia protegida."/>
    <n v="1"/>
    <s v="Residencia"/>
    <n v="1"/>
    <n v="1"/>
    <n v="80865750"/>
    <n v="3369406"/>
    <x v="1"/>
    <x v="2"/>
    <x v="3"/>
    <x v="4"/>
    <s v="64-335813-"/>
    <s v="antonia.caifil@redsalud.gob.cl"/>
    <x v="3"/>
    <d v="2024-07-05T00:00:00"/>
    <n v="12"/>
    <s v="1057532-1987-SE24"/>
    <n v="1"/>
    <n v="3369406"/>
    <d v="2026-07-01T00:00:00"/>
    <x v="0"/>
    <x v="0"/>
  </r>
  <r>
    <s v="SERVICIO DE SALUD OSORNO"/>
    <s v="Bienes y Servicios"/>
    <x v="4"/>
    <s v="Proyecto operacional"/>
    <s v="Publicado"/>
    <s v="22.12.999.022"/>
    <x v="4"/>
    <s v="3 cupos Residencia Protegida por 24 meses, en la Región Metropolitana, por un total de 2190 días de residencia protegida."/>
    <n v="1"/>
    <s v="Residencia"/>
    <n v="1"/>
    <n v="1"/>
    <n v="80865750"/>
    <n v="3369406"/>
    <x v="1"/>
    <x v="2"/>
    <x v="3"/>
    <x v="4"/>
    <s v="64-335813-"/>
    <s v="antonia.caifil@redsalud.gob.cl"/>
    <x v="3"/>
    <d v="2024-07-05T00:00:00"/>
    <n v="12"/>
    <s v="1057532-1299-SE24"/>
    <n v="1"/>
    <n v="3369406"/>
    <d v="2026-06-01T00:00:00"/>
    <x v="0"/>
    <x v="0"/>
  </r>
  <r>
    <s v="SERVICIO DE SALUD OSORNO"/>
    <s v="Bienes y Servicios"/>
    <x v="4"/>
    <s v="Proyecto operacional"/>
    <s v="Publicado"/>
    <s v="22.12.999.022"/>
    <x v="4"/>
    <s v="3 cupos Residencia Protegida por 24 meses, en la Región Metropolitana, por un total de 2190 días de residencia protegida."/>
    <n v="1"/>
    <s v="Residencia"/>
    <n v="1"/>
    <n v="1"/>
    <n v="80865750"/>
    <n v="3369406"/>
    <x v="1"/>
    <x v="2"/>
    <x v="3"/>
    <x v="4"/>
    <s v="64-335813-"/>
    <s v="antonia.caifil@redsalud.gob.cl"/>
    <x v="3"/>
    <d v="2024-07-05T00:00:00"/>
    <n v="12"/>
    <s v="1057532-1831-SE24"/>
    <n v="1"/>
    <n v="3369406"/>
    <d v="2026-06-01T00:00:00"/>
    <x v="0"/>
    <x v="0"/>
  </r>
  <r>
    <s v="SERVICIO DE SALUD OSORNO"/>
    <s v="Bienes y Servicios"/>
    <x v="4"/>
    <s v="Proyecto operacional"/>
    <s v="Publicado"/>
    <s v="22.12.999.022"/>
    <x v="4"/>
    <s v="3 cupos Residencia Protegida por 24 meses, en la Región Metropolitana, por un total de 2190 días de residencia protegida."/>
    <n v="1"/>
    <s v="Residencia"/>
    <n v="1"/>
    <n v="1"/>
    <n v="80865750"/>
    <n v="3369406"/>
    <x v="1"/>
    <x v="2"/>
    <x v="3"/>
    <x v="4"/>
    <s v="64-335813-"/>
    <s v="antonia.caifil@redsalud.gob.cl"/>
    <x v="3"/>
    <d v="2024-07-05T00:00:00"/>
    <n v="12"/>
    <s v="1057532-1987-SE24"/>
    <n v="1"/>
    <n v="3369406"/>
    <d v="2026-11-01T00:00:00"/>
    <x v="0"/>
    <x v="0"/>
  </r>
  <r>
    <s v="SERVICIO DE SALUD OSORNO"/>
    <s v="Bienes y Servicios"/>
    <x v="4"/>
    <s v="Proyecto operacional"/>
    <s v="Publicado"/>
    <s v="22.12.999.022"/>
    <x v="4"/>
    <s v="3 cupos Residencia Protegida por 24 meses, en la Región Metropolitana, por un total de 2190 días de residencia protegida."/>
    <n v="1"/>
    <s v="Residencia"/>
    <n v="1"/>
    <n v="1"/>
    <n v="80865750"/>
    <n v="3369406"/>
    <x v="1"/>
    <x v="2"/>
    <x v="3"/>
    <x v="4"/>
    <s v="64-335813-"/>
    <s v="antonia.caifil@redsalud.gob.cl"/>
    <x v="3"/>
    <d v="2024-07-05T00:00:00"/>
    <n v="12"/>
    <s v="1057532-1831-SE24"/>
    <n v="1"/>
    <n v="3369406"/>
    <d v="2026-07-01T00:00:00"/>
    <x v="0"/>
    <x v="0"/>
  </r>
  <r>
    <s v="SERVICIO DE SALUD OSORNO"/>
    <s v="Bienes y Servicios"/>
    <x v="4"/>
    <s v="Proyecto operacional"/>
    <s v="Publicado"/>
    <s v="22.12.999.022"/>
    <x v="4"/>
    <s v="3 cupos Residencia Protegida por 24 meses, en la Región Metropolitana, por un total de 2190 días de residencia protegida."/>
    <n v="1"/>
    <s v="Residencia"/>
    <n v="1"/>
    <n v="1"/>
    <n v="80865750"/>
    <n v="3369406"/>
    <x v="1"/>
    <x v="2"/>
    <x v="3"/>
    <x v="4"/>
    <s v="64-335813-"/>
    <s v="antonia.caifil@redsalud.gob.cl"/>
    <x v="3"/>
    <d v="2024-07-05T00:00:00"/>
    <n v="12"/>
    <s v="1057532-4506-SE25"/>
    <n v="1"/>
    <n v="3369406"/>
    <d v="2026-02-01T00:00:00"/>
    <x v="0"/>
    <x v="0"/>
  </r>
  <r>
    <s v="SERVICIO DE SALUD OSORNO"/>
    <s v="Bienes y Servicios"/>
    <x v="4"/>
    <s v="Proyecto operacional"/>
    <s v="Publicado"/>
    <s v="22.12.999.022"/>
    <x v="4"/>
    <s v="3 cupos Residencia Protegida por 24 meses, en la Región Metropolitana, por un total de 2190 días de residencia protegida."/>
    <n v="1"/>
    <s v="Residencia"/>
    <n v="1"/>
    <n v="1"/>
    <n v="80865750"/>
    <n v="3369406"/>
    <x v="1"/>
    <x v="2"/>
    <x v="3"/>
    <x v="4"/>
    <s v="64-335813-"/>
    <s v="antonia.caifil@redsalud.gob.cl"/>
    <x v="3"/>
    <d v="2024-07-05T00:00:00"/>
    <n v="12"/>
    <s v="1057532-1299-SE24"/>
    <n v="1"/>
    <n v="3369406"/>
    <d v="2026-02-01T00:00:00"/>
    <x v="0"/>
    <x v="0"/>
  </r>
  <r>
    <s v="SERVICIO DE SALUD OSORNO"/>
    <s v="Bienes y Servicios"/>
    <x v="4"/>
    <s v="Proyecto operacional"/>
    <s v="Publicado"/>
    <s v="22.12.999.022"/>
    <x v="4"/>
    <s v="3 cupos Residencia Protegida por 24 meses, en la Región Metropolitana, por un total de 2190 días de residencia protegida."/>
    <n v="1"/>
    <s v="Residencia"/>
    <n v="1"/>
    <n v="1"/>
    <n v="80865750"/>
    <n v="3369408"/>
    <x v="1"/>
    <x v="2"/>
    <x v="3"/>
    <x v="4"/>
    <s v="64-335813-"/>
    <s v="antonia.caifil@redsalud.gob.cl"/>
    <x v="3"/>
    <d v="2024-07-05T00:00:00"/>
    <n v="12"/>
    <s v="1057532-1831-SE24"/>
    <n v="1"/>
    <n v="3369406"/>
    <d v="2026-08-01T00:00:00"/>
    <x v="0"/>
    <x v="0"/>
  </r>
  <r>
    <s v="SERVICIO DE SALUD OSORNO"/>
    <s v="Bienes y Servicios"/>
    <x v="4"/>
    <s v="Proyecto operacional"/>
    <s v="Publicado"/>
    <s v="22.12.999.022"/>
    <x v="4"/>
    <s v="3 cupos Residencia Protegida por 24 meses, en la Región Metropolitana, por un total de 2190 días de residencia protegida."/>
    <n v="1"/>
    <s v="Residencia"/>
    <n v="1"/>
    <n v="1"/>
    <n v="80865750"/>
    <n v="3369408"/>
    <x v="1"/>
    <x v="2"/>
    <x v="3"/>
    <x v="4"/>
    <s v="64-335813-"/>
    <s v="antonia.caifil@redsalud.gob.cl"/>
    <x v="3"/>
    <d v="2024-07-05T00:00:00"/>
    <n v="12"/>
    <s v="1057532-1299-SE24"/>
    <n v="1"/>
    <n v="3369406"/>
    <d v="2026-11-01T00:00:00"/>
    <x v="0"/>
    <x v="0"/>
  </r>
  <r>
    <s v="SERVICIO DE SALUD OSORNO"/>
    <s v="Bienes y Servicios"/>
    <x v="4"/>
    <s v="Proyecto operacional"/>
    <s v="Publicado"/>
    <s v="22.12.999.022"/>
    <x v="4"/>
    <s v="3 cupos Residencia Protegida por 24 meses, en la Región Metropolitana, por un total de 2190 días de residencia protegida."/>
    <n v="1"/>
    <s v="Residencia"/>
    <n v="1"/>
    <n v="1"/>
    <n v="80865750"/>
    <n v="3369408"/>
    <x v="1"/>
    <x v="2"/>
    <x v="3"/>
    <x v="4"/>
    <s v="64-335813-"/>
    <s v="antonia.caifil@redsalud.gob.cl"/>
    <x v="3"/>
    <d v="2024-07-05T00:00:00"/>
    <n v="12"/>
    <s v="1057532-1299-SE24"/>
    <n v="1"/>
    <n v="3369406"/>
    <d v="2026-05-01T00:00:00"/>
    <x v="0"/>
    <x v="0"/>
  </r>
  <r>
    <s v="SERVICIO DE SALUD OSORNO"/>
    <s v="Bienes y Servicios"/>
    <x v="5"/>
    <s v="Proyecto estratégico"/>
    <s v="Publicado"/>
    <s v="22.12.999.022"/>
    <x v="5"/>
    <s v="08 cupos Hogar Protegido Varones para el SSO en la ciudad de Osorno, por un periodo de 24 meses."/>
    <n v="1"/>
    <s v="Residencia"/>
    <n v="1"/>
    <n v="1"/>
    <n v="156722240"/>
    <n v="6530093"/>
    <x v="1"/>
    <x v="2"/>
    <x v="3"/>
    <x v="5"/>
    <s v="64-335813-"/>
    <s v="caifil.antonia@redsalud.gob.cl"/>
    <x v="4"/>
    <d v="2024-07-05T00:00:00"/>
    <n v="5"/>
    <s v="1057532-1988-SE24"/>
    <n v="1"/>
    <n v="6530093"/>
    <d v="2026-02-01T00:00:00"/>
    <x v="0"/>
    <x v="0"/>
  </r>
  <r>
    <s v="SERVICIO DE SALUD OSORNO"/>
    <s v="Bienes y Servicios"/>
    <x v="5"/>
    <s v="Proyecto estratégico"/>
    <s v="Publicado"/>
    <s v="22.12.999.022"/>
    <x v="5"/>
    <s v="08 cupos Hogar Protegido Varones para el SSO en la ciudad de Osorno, por un periodo de 24 meses."/>
    <n v="1"/>
    <s v="Residencia"/>
    <n v="1"/>
    <n v="1"/>
    <n v="156722240"/>
    <n v="6530093"/>
    <x v="1"/>
    <x v="2"/>
    <x v="3"/>
    <x v="5"/>
    <s v="64-335813-"/>
    <s v="caifil.antonia@redsalud.gob.cl"/>
    <x v="4"/>
    <d v="2024-07-05T00:00:00"/>
    <n v="5"/>
    <s v="1057532-1988-SE24"/>
    <n v="1"/>
    <n v="6530093"/>
    <d v="2026-01-01T00:00:00"/>
    <x v="0"/>
    <x v="0"/>
  </r>
  <r>
    <s v="SERVICIO DE SALUD OSORNO"/>
    <s v="Bienes y Servicios"/>
    <x v="5"/>
    <s v="Proyecto estratégico"/>
    <s v="Publicado"/>
    <s v="22.12.999.022"/>
    <x v="5"/>
    <s v="08 cupos Hogar Protegido Varones para el SSO en la ciudad de Osorno, por un periodo de 24 meses."/>
    <n v="1"/>
    <s v="Residencia"/>
    <n v="1"/>
    <n v="1"/>
    <n v="156722240"/>
    <n v="6530093"/>
    <x v="1"/>
    <x v="2"/>
    <x v="3"/>
    <x v="5"/>
    <s v="64-335813-"/>
    <s v="caifil.antonia@redsalud.gob.cl"/>
    <x v="4"/>
    <d v="2024-07-05T00:00:00"/>
    <n v="5"/>
    <s v="1057532-1758-SE24"/>
    <n v="1"/>
    <n v="6530093"/>
    <d v="2026-01-01T00:00:00"/>
    <x v="0"/>
    <x v="0"/>
  </r>
  <r>
    <s v="SERVICIO DE SALUD OSORNO"/>
    <s v="Bienes y Servicios"/>
    <x v="5"/>
    <s v="Proyecto estratégico"/>
    <s v="Publicado"/>
    <s v="22.12.999.022"/>
    <x v="5"/>
    <s v="08 cupos Hogar Protegido Varones para el SSO en la ciudad de Osorno, por un periodo de 24 meses."/>
    <n v="1"/>
    <s v="Residencia"/>
    <n v="1"/>
    <n v="1"/>
    <n v="156722240"/>
    <n v="6530093"/>
    <x v="1"/>
    <x v="2"/>
    <x v="3"/>
    <x v="5"/>
    <s v="64-335813-"/>
    <s v="caifil.antonia@redsalud.gob.cl"/>
    <x v="4"/>
    <d v="2024-07-05T00:00:00"/>
    <n v="5"/>
    <s v="1057532-2054-SE24"/>
    <n v="1"/>
    <n v="6530093"/>
    <d v="2026-05-01T00:00:00"/>
    <x v="0"/>
    <x v="0"/>
  </r>
  <r>
    <s v="SERVICIO DE SALUD OSORNO"/>
    <s v="Bienes y Servicios"/>
    <x v="5"/>
    <s v="Proyecto estratégico"/>
    <s v="Publicado"/>
    <s v="22.12.999.022"/>
    <x v="5"/>
    <s v="08 cupos Hogar Protegido Varones para el SSO en la ciudad de Osorno, por un periodo de 24 meses."/>
    <n v="1"/>
    <s v="Residencia"/>
    <n v="1"/>
    <n v="1"/>
    <n v="156722240"/>
    <n v="6530093"/>
    <x v="1"/>
    <x v="2"/>
    <x v="3"/>
    <x v="5"/>
    <s v="64-335813-"/>
    <s v="caifil.antonia@redsalud.gob.cl"/>
    <x v="4"/>
    <d v="2024-07-05T00:00:00"/>
    <n v="5"/>
    <s v="1057532-2053-SE24"/>
    <n v="1"/>
    <n v="6530093"/>
    <d v="2026-08-01T00:00:00"/>
    <x v="0"/>
    <x v="0"/>
  </r>
  <r>
    <s v="SERVICIO DE SALUD OSORNO"/>
    <s v="Bienes y Servicios"/>
    <x v="5"/>
    <s v="Proyecto estratégico"/>
    <s v="Publicado"/>
    <s v="22.12.999.022"/>
    <x v="5"/>
    <s v="08 cupos Hogar Protegido Varones para el SSO en la ciudad de Osorno, por un periodo de 24 meses."/>
    <n v="1"/>
    <s v="Residencia"/>
    <n v="1"/>
    <n v="1"/>
    <n v="156722240"/>
    <n v="6530093"/>
    <x v="1"/>
    <x v="2"/>
    <x v="3"/>
    <x v="5"/>
    <s v="64-335813-"/>
    <s v="caifil.antonia@redsalud.gob.cl"/>
    <x v="4"/>
    <d v="2024-07-05T00:00:00"/>
    <n v="5"/>
    <s v="1057532-1758-SE24"/>
    <n v="1"/>
    <n v="6530093"/>
    <d v="2026-05-01T00:00:00"/>
    <x v="0"/>
    <x v="0"/>
  </r>
  <r>
    <s v="SERVICIO DE SALUD OSORNO"/>
    <s v="Bienes y Servicios"/>
    <x v="5"/>
    <s v="Proyecto estratégico"/>
    <s v="Publicado"/>
    <s v="22.12.999.022"/>
    <x v="5"/>
    <s v="08 cupos Hogar Protegido Varones para el SSO en la ciudad de Osorno, por un periodo de 24 meses."/>
    <n v="1"/>
    <s v="Residencia"/>
    <n v="1"/>
    <n v="1"/>
    <n v="156722240"/>
    <n v="6530093"/>
    <x v="1"/>
    <x v="2"/>
    <x v="3"/>
    <x v="5"/>
    <s v="64-335813-"/>
    <s v="caifil.antonia@redsalud.gob.cl"/>
    <x v="4"/>
    <d v="2024-07-05T00:00:00"/>
    <n v="5"/>
    <s v="1057532-1988-SE24"/>
    <n v="1"/>
    <n v="6530093"/>
    <d v="2026-05-01T00:00:00"/>
    <x v="0"/>
    <x v="0"/>
  </r>
  <r>
    <s v="SERVICIO DE SALUD OSORNO"/>
    <s v="Bienes y Servicios"/>
    <x v="5"/>
    <s v="Proyecto estratégico"/>
    <s v="Publicado"/>
    <s v="22.12.999.022"/>
    <x v="5"/>
    <s v="08 cupos Hogar Protegido Varones para el SSO en la ciudad de Osorno, por un periodo de 24 meses."/>
    <n v="1"/>
    <s v="Residencia"/>
    <n v="1"/>
    <n v="1"/>
    <n v="156722240"/>
    <n v="6530093"/>
    <x v="1"/>
    <x v="2"/>
    <x v="3"/>
    <x v="5"/>
    <s v="64-335813-"/>
    <s v="caifil.antonia@redsalud.gob.cl"/>
    <x v="4"/>
    <d v="2024-07-05T00:00:00"/>
    <n v="5"/>
    <s v="1057532-2053-SE24"/>
    <n v="1"/>
    <n v="6530093"/>
    <d v="2026-01-01T00:00:00"/>
    <x v="0"/>
    <x v="0"/>
  </r>
  <r>
    <s v="SERVICIO DE SALUD OSORNO"/>
    <s v="Bienes y Servicios"/>
    <x v="5"/>
    <s v="Proyecto estratégico"/>
    <s v="Publicado"/>
    <s v="22.12.999.022"/>
    <x v="5"/>
    <s v="08 cupos Hogar Protegido Varones para el SSO en la ciudad de Osorno, por un periodo de 24 meses."/>
    <n v="1"/>
    <s v="Residencia"/>
    <n v="1"/>
    <n v="1"/>
    <n v="156722240"/>
    <n v="6530093"/>
    <x v="1"/>
    <x v="2"/>
    <x v="3"/>
    <x v="5"/>
    <s v="64-335813-"/>
    <s v="caifil.antonia@redsalud.gob.cl"/>
    <x v="4"/>
    <d v="2024-07-05T00:00:00"/>
    <n v="5"/>
    <s v="1057532-1758-SE24"/>
    <n v="1"/>
    <n v="6530093"/>
    <d v="2026-03-01T00:00:00"/>
    <x v="0"/>
    <x v="0"/>
  </r>
  <r>
    <s v="SERVICIO DE SALUD OSORNO"/>
    <s v="Bienes y Servicios"/>
    <x v="5"/>
    <s v="Proyecto estratégico"/>
    <s v="Publicado"/>
    <s v="22.12.999.022"/>
    <x v="5"/>
    <s v="08 cupos Hogar Protegido Varones para el SSO en la ciudad de Osorno, por un periodo de 24 meses."/>
    <n v="1"/>
    <s v="Residencia"/>
    <n v="1"/>
    <n v="1"/>
    <n v="156722240"/>
    <n v="6530099"/>
    <x v="1"/>
    <x v="2"/>
    <x v="3"/>
    <x v="5"/>
    <s v="64-335813-"/>
    <s v="caifil.antonia@redsalud.gob.cl"/>
    <x v="4"/>
    <d v="2024-07-05T00:00:00"/>
    <n v="5"/>
    <s v="1057532-2054-SE24"/>
    <n v="1"/>
    <n v="6530099"/>
    <d v="2026-12-01T00:00:00"/>
    <x v="0"/>
    <x v="0"/>
  </r>
  <r>
    <s v="SERVICIO DE SALUD OSORNO"/>
    <s v="Bienes y Servicios"/>
    <x v="5"/>
    <s v="Proyecto estratégico"/>
    <s v="Publicado"/>
    <s v="22.12.999.022"/>
    <x v="5"/>
    <s v="08 cupos Hogar Protegido Varones para el SSO en la ciudad de Osorno, por un periodo de 24 meses."/>
    <n v="1"/>
    <s v="Residencia"/>
    <n v="1"/>
    <n v="1"/>
    <n v="156722240"/>
    <n v="6530093"/>
    <x v="1"/>
    <x v="2"/>
    <x v="3"/>
    <x v="5"/>
    <s v="64-335813-"/>
    <s v="caifil.antonia@redsalud.gob.cl"/>
    <x v="4"/>
    <d v="2024-07-05T00:00:00"/>
    <n v="5"/>
    <s v="1057532-1758-SE24"/>
    <n v="1"/>
    <n v="6530093"/>
    <d v="2026-07-01T00:00:00"/>
    <x v="0"/>
    <x v="0"/>
  </r>
  <r>
    <s v="SERVICIO DE SALUD OSORNO"/>
    <s v="Bienes y Servicios"/>
    <x v="5"/>
    <s v="Proyecto estratégico"/>
    <s v="Publicado"/>
    <s v="22.12.999.022"/>
    <x v="5"/>
    <s v="08 cupos Hogar Protegido Varones para el SSO en la ciudad de Osorno, por un periodo de 24 meses."/>
    <n v="1"/>
    <s v="Residencia"/>
    <n v="1"/>
    <n v="1"/>
    <n v="156722240"/>
    <n v="6530095"/>
    <x v="1"/>
    <x v="2"/>
    <x v="3"/>
    <x v="5"/>
    <s v="64-335813-"/>
    <s v="caifil.antonia@redsalud.gob.cl"/>
    <x v="4"/>
    <d v="2024-07-05T00:00:00"/>
    <n v="5"/>
    <s v="1057532-1758-SE24"/>
    <n v="1"/>
    <n v="6530093"/>
    <d v="2026-08-01T00:00:00"/>
    <x v="0"/>
    <x v="0"/>
  </r>
  <r>
    <s v="SERVICIO DE SALUD OSORNO"/>
    <s v="Bienes y Servicios"/>
    <x v="6"/>
    <s v="Proyecto operacional"/>
    <s v="Publicado"/>
    <s v="22.12.999.022"/>
    <x v="6"/>
    <s v="Se requiere la contratación del servicio denominado Hogar Protegido (beneficiarios 08 usuarios/as), para un periodo de 24 meses, por un total de 5840 días hogar protegido."/>
    <n v="1"/>
    <s v="Residencia"/>
    <n v="1"/>
    <n v="1"/>
    <n v="156722240"/>
    <n v="6530093"/>
    <x v="1"/>
    <x v="2"/>
    <x v="3"/>
    <x v="5"/>
    <s v="64-334581-"/>
    <s v="antonia.caifil@redsalud.gob.cl"/>
    <x v="4"/>
    <d v="2024-07-05T00:00:00"/>
    <n v="11"/>
    <s v="1057532-4507-SE25"/>
    <n v="1"/>
    <n v="6530093"/>
    <d v="2026-04-01T00:00:00"/>
    <x v="0"/>
    <x v="0"/>
  </r>
  <r>
    <s v="SERVICIO DE SALUD OSORNO"/>
    <s v="Bienes y Servicios"/>
    <x v="6"/>
    <s v="Proyecto operacional"/>
    <s v="Publicado"/>
    <s v="22.12.999.022"/>
    <x v="6"/>
    <s v="Se requiere la contratación del servicio denominado Hogar Protegido (beneficiarios 08 usuarios/as), para un periodo de 24 meses, por un total de 5840 días hogar protegido."/>
    <n v="1"/>
    <s v="Residencia"/>
    <n v="1"/>
    <n v="1"/>
    <n v="156722240"/>
    <n v="6530093"/>
    <x v="1"/>
    <x v="2"/>
    <x v="3"/>
    <x v="5"/>
    <s v="64-334581-"/>
    <s v="antonia.caifil@redsalud.gob.cl"/>
    <x v="4"/>
    <d v="2024-07-05T00:00:00"/>
    <n v="11"/>
    <s v="1057532-4668-SE25"/>
    <n v="1"/>
    <n v="6530093"/>
    <d v="2026-06-01T00:00:00"/>
    <x v="0"/>
    <x v="0"/>
  </r>
  <r>
    <s v="SERVICIO DE SALUD OSORNO"/>
    <s v="Bienes y Servicios"/>
    <x v="6"/>
    <s v="Proyecto operacional"/>
    <s v="Publicado"/>
    <s v="22.12.999.022"/>
    <x v="6"/>
    <s v="Se requiere la contratación del servicio denominado Hogar Protegido (beneficiarios 08 usuarios/as), para un periodo de 24 meses, por un total de 5840 días hogar protegido."/>
    <n v="1"/>
    <s v="Residencia"/>
    <n v="1"/>
    <n v="1"/>
    <n v="156722240"/>
    <n v="6530093"/>
    <x v="1"/>
    <x v="2"/>
    <x v="3"/>
    <x v="5"/>
    <s v="64-334581-"/>
    <s v="antonia.caifil@redsalud.gob.cl"/>
    <x v="4"/>
    <d v="2024-07-05T00:00:00"/>
    <n v="11"/>
    <s v="1057532-5016-SE25"/>
    <n v="1"/>
    <n v="6530093"/>
    <d v="2026-10-01T00:00:00"/>
    <x v="0"/>
    <x v="0"/>
  </r>
  <r>
    <s v="SERVICIO DE SALUD OSORNO"/>
    <s v="Bienes y Servicios"/>
    <x v="6"/>
    <s v="Proyecto operacional"/>
    <s v="Publicado"/>
    <s v="22.12.999.022"/>
    <x v="6"/>
    <s v="Se requiere la contratación del servicio denominado Hogar Protegido (beneficiarios 08 usuarios/as), para un periodo de 24 meses, por un total de 5840 días hogar protegido."/>
    <n v="1"/>
    <s v="Residencia"/>
    <n v="1"/>
    <n v="1"/>
    <n v="156722240"/>
    <n v="6530093"/>
    <x v="1"/>
    <x v="2"/>
    <x v="3"/>
    <x v="5"/>
    <s v="64-334581-"/>
    <s v="antonia.caifil@redsalud.gob.cl"/>
    <x v="4"/>
    <d v="2024-07-05T00:00:00"/>
    <n v="11"/>
    <s v="1057532-4851-SE25"/>
    <n v="1"/>
    <n v="6530093"/>
    <d v="2026-01-01T00:00:00"/>
    <x v="0"/>
    <x v="0"/>
  </r>
  <r>
    <s v="SERVICIO DE SALUD OSORNO"/>
    <s v="Bienes y Servicios"/>
    <x v="6"/>
    <s v="Proyecto operacional"/>
    <s v="Publicado"/>
    <s v="22.12.999.022"/>
    <x v="6"/>
    <s v="Se requiere la contratación del servicio denominado Hogar Protegido (beneficiarios 08 usuarios/as), para un periodo de 24 meses, por un total de 5840 días hogar protegido."/>
    <n v="1"/>
    <s v="Residencia"/>
    <n v="1"/>
    <n v="1"/>
    <n v="156722240"/>
    <n v="6530093"/>
    <x v="1"/>
    <x v="2"/>
    <x v="3"/>
    <x v="5"/>
    <s v="64-334581-"/>
    <s v="antonia.caifil@redsalud.gob.cl"/>
    <x v="4"/>
    <d v="2024-07-05T00:00:00"/>
    <n v="11"/>
    <s v="1057532-4851-SE25"/>
    <n v="1"/>
    <n v="6530093"/>
    <d v="2026-07-01T00:00:00"/>
    <x v="0"/>
    <x v="0"/>
  </r>
  <r>
    <s v="SERVICIO DE SALUD OSORNO"/>
    <s v="Bienes y Servicios"/>
    <x v="6"/>
    <s v="Proyecto operacional"/>
    <s v="Publicado"/>
    <s v="22.12.999.022"/>
    <x v="6"/>
    <s v="Se requiere la contratación del servicio denominado Hogar Protegido (beneficiarios 08 usuarios/as), para un periodo de 24 meses, por un total de 5840 días hogar protegido."/>
    <n v="1"/>
    <s v="Residencia"/>
    <n v="1"/>
    <n v="1"/>
    <n v="156722240"/>
    <n v="6530095"/>
    <x v="1"/>
    <x v="2"/>
    <x v="3"/>
    <x v="5"/>
    <s v="64-334581-"/>
    <s v="antonia.caifil@redsalud.gob.cl"/>
    <x v="4"/>
    <d v="2024-07-05T00:00:00"/>
    <n v="11"/>
    <s v="1057532-5669-SE25"/>
    <n v="1"/>
    <n v="6530095"/>
    <d v="2026-11-01T00:00:00"/>
    <x v="0"/>
    <x v="0"/>
  </r>
  <r>
    <s v="SERVICIO DE SALUD OSORNO"/>
    <s v="Bienes y Servicios"/>
    <x v="6"/>
    <s v="Proyecto operacional"/>
    <s v="Publicado"/>
    <s v="22.12.999.022"/>
    <x v="6"/>
    <s v="Se requiere la contratación del servicio denominado Hogar Protegido (beneficiarios 08 usuarios/as), para un periodo de 24 meses, por un total de 5840 días hogar protegido."/>
    <n v="1"/>
    <s v="Residencia"/>
    <n v="1"/>
    <n v="1"/>
    <n v="156722240"/>
    <n v="6530093"/>
    <x v="1"/>
    <x v="2"/>
    <x v="3"/>
    <x v="5"/>
    <s v="64-334581-"/>
    <s v="antonia.caifil@redsalud.gob.cl"/>
    <x v="4"/>
    <d v="2024-07-05T00:00:00"/>
    <n v="11"/>
    <s v="1057532-5224-SE25"/>
    <n v="1"/>
    <n v="6530093"/>
    <d v="2026-08-01T00:00:00"/>
    <x v="0"/>
    <x v="0"/>
  </r>
  <r>
    <s v="SERVICIO DE SALUD OSORNO"/>
    <s v="Bienes y Servicios"/>
    <x v="6"/>
    <s v="Proyecto operacional"/>
    <s v="Publicado"/>
    <s v="22.12.999.022"/>
    <x v="6"/>
    <s v="Se requiere la contratación del servicio denominado Hogar Protegido (beneficiarios 08 usuarios/as), para un periodo de 24 meses, por un total de 5840 días hogar protegido."/>
    <n v="1"/>
    <s v="Residencia"/>
    <n v="1"/>
    <n v="1"/>
    <n v="156722240"/>
    <n v="6530093"/>
    <x v="1"/>
    <x v="2"/>
    <x v="3"/>
    <x v="5"/>
    <s v="64-334581-"/>
    <s v="antonia.caifil@redsalud.gob.cl"/>
    <x v="4"/>
    <d v="2024-07-05T00:00:00"/>
    <n v="11"/>
    <s v="1057532-5224-SE25"/>
    <n v="1"/>
    <n v="6530093"/>
    <d v="2026-04-01T00:00:00"/>
    <x v="0"/>
    <x v="0"/>
  </r>
  <r>
    <s v="SERVICIO DE SALUD OSORNO"/>
    <s v="Bienes y Servicios"/>
    <x v="6"/>
    <s v="Proyecto operacional"/>
    <s v="Publicado"/>
    <s v="22.12.999.022"/>
    <x v="6"/>
    <s v="Se requiere la contratación del servicio denominado Hogar Protegido (beneficiarios 08 usuarios/as), para un periodo de 24 meses, por un total de 5840 días hogar protegido."/>
    <n v="1"/>
    <s v="Residencia"/>
    <n v="1"/>
    <n v="1"/>
    <n v="156722240"/>
    <n v="6530095"/>
    <x v="1"/>
    <x v="2"/>
    <x v="3"/>
    <x v="5"/>
    <s v="64-334581-"/>
    <s v="antonia.caifil@redsalud.gob.cl"/>
    <x v="4"/>
    <d v="2024-07-05T00:00:00"/>
    <n v="11"/>
    <s v="1057532-16-SE25"/>
    <n v="1"/>
    <n v="6530095"/>
    <d v="2026-11-01T00:00:00"/>
    <x v="0"/>
    <x v="0"/>
  </r>
  <r>
    <s v="SERVICIO DE SALUD OSORNO"/>
    <s v="Bienes y Servicios"/>
    <x v="6"/>
    <s v="Proyecto operacional"/>
    <s v="Publicado"/>
    <s v="22.12.999.022"/>
    <x v="6"/>
    <s v="Se requiere la contratación del servicio denominado Hogar Protegido (beneficiarios 08 usuarios/as), para un periodo de 24 meses, por un total de 5840 días hogar protegido."/>
    <n v="1"/>
    <s v="Residencia"/>
    <n v="1"/>
    <n v="1"/>
    <n v="156722240"/>
    <n v="6530093"/>
    <x v="1"/>
    <x v="2"/>
    <x v="3"/>
    <x v="5"/>
    <s v="64-334581-"/>
    <s v="antonia.caifil@redsalud.gob.cl"/>
    <x v="4"/>
    <d v="2024-07-05T00:00:00"/>
    <n v="11"/>
    <s v="1057532-5514-SE25"/>
    <n v="1"/>
    <n v="6530093"/>
    <d v="2026-09-01T00:00:00"/>
    <x v="0"/>
    <x v="0"/>
  </r>
  <r>
    <s v="SERVICIO DE SALUD OSORNO"/>
    <s v="Bienes y Servicios"/>
    <x v="6"/>
    <s v="Proyecto operacional"/>
    <s v="Publicado"/>
    <s v="22.12.999.022"/>
    <x v="6"/>
    <s v="Se requiere la contratación del servicio denominado Hogar Protegido (beneficiarios 08 usuarios/as), para un periodo de 24 meses, por un total de 5840 días hogar protegido."/>
    <n v="1"/>
    <s v="Residencia"/>
    <n v="1"/>
    <n v="1"/>
    <n v="156722240"/>
    <n v="6530093"/>
    <x v="1"/>
    <x v="2"/>
    <x v="3"/>
    <x v="5"/>
    <s v="64-334581-"/>
    <s v="antonia.caifil@redsalud.gob.cl"/>
    <x v="4"/>
    <d v="2024-07-05T00:00:00"/>
    <n v="11"/>
    <s v="1057532-5016-SE25"/>
    <n v="1"/>
    <n v="6530093"/>
    <d v="2026-04-01T00:00:00"/>
    <x v="0"/>
    <x v="0"/>
  </r>
  <r>
    <s v="SERVICIO DE SALUD OSORNO"/>
    <s v="Bienes y Servicios"/>
    <x v="6"/>
    <s v="Proyecto operacional"/>
    <s v="Publicado"/>
    <s v="22.12.999.022"/>
    <x v="6"/>
    <s v="Se requiere la contratación del servicio denominado Hogar Protegido (beneficiarios 08 usuarios/as), para un periodo de 24 meses, por un total de 5840 días hogar protegido."/>
    <n v="1"/>
    <s v="Residencia"/>
    <n v="1"/>
    <n v="1"/>
    <n v="156722240"/>
    <n v="6530097"/>
    <x v="1"/>
    <x v="2"/>
    <x v="3"/>
    <x v="5"/>
    <s v="64-334581-"/>
    <s v="antonia.caifil@redsalud.gob.cl"/>
    <x v="4"/>
    <d v="2024-07-05T00:00:00"/>
    <n v="11"/>
    <s v="1057532-5669-SE25"/>
    <n v="1"/>
    <n v="6530093"/>
    <d v="2026-03-01T00:00:00"/>
    <x v="0"/>
    <x v="0"/>
  </r>
  <r>
    <s v="SERVICIO DE SALUD OSORNO"/>
    <s v="Bienes y Servicios"/>
    <x v="7"/>
    <s v="Proyecto operacional"/>
    <s v="Publicado"/>
    <s v="22.04.012"/>
    <x v="7"/>
    <s v="SERVICIO DE MANTENCIÓN, RECARGA E INSPECCION PREVENTIVA PARA RED HÚMEDA Y EXTINTORES DE LOS ESTABLECIMIENTOS PERTENECIENTES AL SERVICIO DE SALUD OSORNO, POR UN PERIODO DE 3 AÑOS."/>
    <n v="1"/>
    <s v="Recarga"/>
    <n v="1"/>
    <n v="1"/>
    <n v="45150000"/>
    <n v="1505000"/>
    <x v="2"/>
    <x v="3"/>
    <x v="4"/>
    <x v="6"/>
    <s v="64-337046-"/>
    <s v="karin.scholz@redsalud.gob.cl"/>
    <x v="4"/>
    <d v="2024-07-05T00:00:00"/>
    <n v="35"/>
    <s v="1057532-1505-SE24"/>
    <n v="1"/>
    <n v="1505000"/>
    <d v="2026-06-01T00:00:00"/>
    <x v="0"/>
    <x v="0"/>
  </r>
  <r>
    <s v="SERVICIO DE SALUD OSORNO"/>
    <s v="Bienes y Servicios"/>
    <x v="7"/>
    <s v="Proyecto operacional"/>
    <s v="Publicado"/>
    <s v="22.04.012"/>
    <x v="7"/>
    <s v="SERVICIO DE MANTENCIÓN, RECARGA E INSPECCION PREVENTIVA PARA RED HÚMEDA Y EXTINTORES DE LOS ESTABLECIMIENTOS PERTENECIENTES AL SERVICIO DE SALUD OSORNO, POR UN PERIODO DE 3 AÑOS."/>
    <n v="1"/>
    <s v="Recarga"/>
    <n v="1"/>
    <n v="1"/>
    <n v="45150000"/>
    <n v="1505000"/>
    <x v="2"/>
    <x v="3"/>
    <x v="4"/>
    <x v="6"/>
    <s v="64-337046-"/>
    <s v="karin.scholz@redsalud.gob.cl"/>
    <x v="4"/>
    <d v="2024-07-05T00:00:00"/>
    <n v="35"/>
    <s v="1057532-1505-SE24"/>
    <n v="1"/>
    <n v="1505000"/>
    <d v="2026-12-01T00:00:00"/>
    <x v="0"/>
    <x v="0"/>
  </r>
  <r>
    <s v="SERVICIO DE SALUD OSORNO"/>
    <s v="Bienes y Servicios"/>
    <x v="7"/>
    <s v="Proyecto operacional"/>
    <s v="Publicado"/>
    <s v="22.04.012"/>
    <x v="7"/>
    <s v="SERVICIO DE MANTENCIÓN, RECARGA E INSPECCION PREVENTIVA PARA RED HÚMEDA Y EXTINTORES DE LOS ESTABLECIMIENTOS PERTENECIENTES AL SERVICIO DE SALUD OSORNO, POR UN PERIODO DE 3 AÑOS."/>
    <n v="1"/>
    <s v="Recarga"/>
    <n v="1"/>
    <n v="1"/>
    <n v="45150000"/>
    <n v="1505000"/>
    <x v="2"/>
    <x v="3"/>
    <x v="4"/>
    <x v="6"/>
    <s v="64-337046-"/>
    <s v="karin.scholz@redsalud.gob.cl"/>
    <x v="4"/>
    <d v="2024-07-05T00:00:00"/>
    <n v="35"/>
    <s v="1057532-1505-SE24"/>
    <n v="1"/>
    <n v="1505000"/>
    <d v="2026-07-01T00:00:00"/>
    <x v="0"/>
    <x v="0"/>
  </r>
  <r>
    <s v="SERVICIO DE SALUD OSORNO"/>
    <s v="Bienes y Servicios"/>
    <x v="7"/>
    <s v="Proyecto operacional"/>
    <s v="Publicado"/>
    <s v="22.04.012"/>
    <x v="7"/>
    <s v="SERVICIO DE MANTENCIÓN, RECARGA E INSPECCION PREVENTIVA PARA RED HÚMEDA Y EXTINTORES DE LOS ESTABLECIMIENTOS PERTENECIENTES AL SERVICIO DE SALUD OSORNO, POR UN PERIODO DE 3 AÑOS."/>
    <n v="1"/>
    <s v="Recarga"/>
    <n v="1"/>
    <n v="1"/>
    <n v="45150000"/>
    <n v="1505000"/>
    <x v="2"/>
    <x v="3"/>
    <x v="4"/>
    <x v="6"/>
    <s v="64-337046-"/>
    <s v="karin.scholz@redsalud.gob.cl"/>
    <x v="4"/>
    <d v="2024-07-05T00:00:00"/>
    <n v="35"/>
    <s v="1057532-1505-SE24"/>
    <n v="1"/>
    <n v="1505000"/>
    <d v="2026-02-01T00:00:00"/>
    <x v="0"/>
    <x v="0"/>
  </r>
  <r>
    <s v="SERVICIO DE SALUD OSORNO"/>
    <s v="Bienes y Servicios"/>
    <x v="7"/>
    <s v="Proyecto operacional"/>
    <s v="Publicado"/>
    <s v="22.04.012"/>
    <x v="7"/>
    <s v="SERVICIO DE MANTENCIÓN, RECARGA E INSPECCION PREVENTIVA PARA RED HÚMEDA Y EXTINTORES DE LOS ESTABLECIMIENTOS PERTENECIENTES AL SERVICIO DE SALUD OSORNO, POR UN PERIODO DE 3 AÑOS."/>
    <n v="1"/>
    <s v="Recarga"/>
    <n v="1"/>
    <n v="1"/>
    <n v="45150000"/>
    <n v="1505000"/>
    <x v="2"/>
    <x v="3"/>
    <x v="4"/>
    <x v="6"/>
    <s v="64-337046-"/>
    <s v="karin.scholz@redsalud.gob.cl"/>
    <x v="4"/>
    <d v="2024-07-05T00:00:00"/>
    <n v="35"/>
    <s v="1057532-1505-SE24"/>
    <n v="1"/>
    <n v="1505000"/>
    <d v="2026-03-01T00:00:00"/>
    <x v="0"/>
    <x v="0"/>
  </r>
  <r>
    <s v="SERVICIO DE SALUD OSORNO"/>
    <s v="Bienes y Servicios"/>
    <x v="7"/>
    <s v="Proyecto operacional"/>
    <s v="Publicado"/>
    <s v="22.04.012"/>
    <x v="7"/>
    <s v="SERVICIO DE MANTENCIÓN, RECARGA E INSPECCION PREVENTIVA PARA RED HÚMEDA Y EXTINTORES DE LOS ESTABLECIMIENTOS PERTENECIENTES AL SERVICIO DE SALUD OSORNO, POR UN PERIODO DE 3 AÑOS."/>
    <n v="1"/>
    <s v="Recarga"/>
    <n v="1"/>
    <n v="1"/>
    <n v="45150000"/>
    <n v="1505000"/>
    <x v="2"/>
    <x v="3"/>
    <x v="4"/>
    <x v="6"/>
    <s v="64-337046-"/>
    <s v="karin.scholz@redsalud.gob.cl"/>
    <x v="4"/>
    <d v="2024-07-05T00:00:00"/>
    <n v="35"/>
    <s v="1057532-1505-SE24"/>
    <n v="1"/>
    <n v="1505000"/>
    <d v="2026-05-01T00:00:00"/>
    <x v="0"/>
    <x v="0"/>
  </r>
  <r>
    <s v="SERVICIO DE SALUD OSORNO"/>
    <s v="Bienes y Servicios"/>
    <x v="7"/>
    <s v="Proyecto operacional"/>
    <s v="Publicado"/>
    <s v="22.04.012"/>
    <x v="7"/>
    <s v="SERVICIO DE MANTENCIÓN, RECARGA E INSPECCION PREVENTIVA PARA RED HÚMEDA Y EXTINTORES DE LOS ESTABLECIMIENTOS PERTENECIENTES AL SERVICIO DE SALUD OSORNO, POR UN PERIODO DE 3 AÑOS."/>
    <n v="1"/>
    <s v="Recarga"/>
    <n v="1"/>
    <n v="1"/>
    <n v="45150000"/>
    <n v="1505000"/>
    <x v="2"/>
    <x v="3"/>
    <x v="4"/>
    <x v="6"/>
    <s v="64-337046-"/>
    <s v="karin.scholz@redsalud.gob.cl"/>
    <x v="4"/>
    <d v="2024-07-05T00:00:00"/>
    <n v="35"/>
    <s v="1057532-2252-SE24"/>
    <n v="1"/>
    <n v="1505000"/>
    <d v="2026-02-01T00:00:00"/>
    <x v="0"/>
    <x v="0"/>
  </r>
  <r>
    <s v="SERVICIO DE SALUD OSORNO"/>
    <s v="Bienes y Servicios"/>
    <x v="7"/>
    <s v="Proyecto operacional"/>
    <s v="Publicado"/>
    <s v="22.04.012"/>
    <x v="7"/>
    <s v="SERVICIO DE MANTENCIÓN, RECARGA E INSPECCION PREVENTIVA PARA RED HÚMEDA Y EXTINTORES DE LOS ESTABLECIMIENTOS PERTENECIENTES AL SERVICIO DE SALUD OSORNO, POR UN PERIODO DE 3 AÑOS."/>
    <n v="1"/>
    <s v="Recarga"/>
    <n v="1"/>
    <n v="1"/>
    <n v="45150000"/>
    <n v="1505000"/>
    <x v="2"/>
    <x v="3"/>
    <x v="4"/>
    <x v="6"/>
    <s v="64-337046-"/>
    <s v="karin.scholz@redsalud.gob.cl"/>
    <x v="4"/>
    <d v="2024-07-05T00:00:00"/>
    <n v="35"/>
    <s v="1057532-1505-SE24"/>
    <n v="1"/>
    <n v="1505000"/>
    <d v="2026-04-01T00:00:00"/>
    <x v="0"/>
    <x v="0"/>
  </r>
  <r>
    <s v="SERVICIO DE SALUD OSORNO"/>
    <s v="Bienes y Servicios"/>
    <x v="7"/>
    <s v="Proyecto operacional"/>
    <s v="Publicado"/>
    <s v="22.04.012"/>
    <x v="7"/>
    <s v="SERVICIO DE MANTENCIÓN, RECARGA E INSPECCION PREVENTIVA PARA RED HÚMEDA Y EXTINTORES DE LOS ESTABLECIMIENTOS PERTENECIENTES AL SERVICIO DE SALUD OSORNO, POR UN PERIODO DE 3 AÑOS."/>
    <n v="1"/>
    <s v="Recarga"/>
    <n v="1"/>
    <n v="1"/>
    <n v="45150000"/>
    <n v="1505000"/>
    <x v="2"/>
    <x v="3"/>
    <x v="4"/>
    <x v="6"/>
    <s v="64-337046-"/>
    <s v="karin.scholz@redsalud.gob.cl"/>
    <x v="4"/>
    <d v="2024-07-05T00:00:00"/>
    <n v="35"/>
    <s v="1057532-2255-SE24"/>
    <n v="1"/>
    <n v="1505000"/>
    <d v="2026-06-01T00:00:00"/>
    <x v="0"/>
    <x v="0"/>
  </r>
  <r>
    <s v="SERVICIO DE SALUD OSORNO"/>
    <s v="Bienes y Servicios"/>
    <x v="7"/>
    <s v="Proyecto operacional"/>
    <s v="Publicado"/>
    <s v="22.04.012"/>
    <x v="7"/>
    <s v="SERVICIO DE MANTENCIÓN, RECARGA E INSPECCION PREVENTIVA PARA RED HÚMEDA Y EXTINTORES DE LOS ESTABLECIMIENTOS PERTENECIENTES AL SERVICIO DE SALUD OSORNO, POR UN PERIODO DE 3 AÑOS."/>
    <n v="1"/>
    <s v="Recarga"/>
    <n v="1"/>
    <n v="1"/>
    <n v="45150000"/>
    <n v="1505000"/>
    <x v="2"/>
    <x v="3"/>
    <x v="4"/>
    <x v="6"/>
    <s v="64-337046-"/>
    <s v="karin.scholz@redsalud.gob.cl"/>
    <x v="4"/>
    <d v="2024-07-05T00:00:00"/>
    <n v="35"/>
    <s v="1057532-2252-SE24"/>
    <n v="1"/>
    <n v="1505000"/>
    <d v="2026-05-01T00:00:00"/>
    <x v="0"/>
    <x v="0"/>
  </r>
  <r>
    <s v="SERVICIO DE SALUD OSORNO"/>
    <s v="Bienes y Servicios"/>
    <x v="7"/>
    <s v="Proyecto operacional"/>
    <s v="Publicado"/>
    <s v="22.04.012"/>
    <x v="7"/>
    <s v="SERVICIO DE MANTENCIÓN, RECARGA E INSPECCION PREVENTIVA PARA RED HÚMEDA Y EXTINTORES DE LOS ESTABLECIMIENTOS PERTENECIENTES AL SERVICIO DE SALUD OSORNO, POR UN PERIODO DE 3 AÑOS."/>
    <n v="1"/>
    <s v="Recarga"/>
    <n v="1"/>
    <n v="1"/>
    <n v="45150000"/>
    <n v="1505000"/>
    <x v="2"/>
    <x v="3"/>
    <x v="4"/>
    <x v="6"/>
    <s v="64-337046-"/>
    <s v="karin.scholz@redsalud.gob.cl"/>
    <x v="4"/>
    <d v="2024-07-05T00:00:00"/>
    <n v="35"/>
    <s v="1057532-2251-SE24"/>
    <n v="1"/>
    <n v="1505000"/>
    <d v="2026-01-01T00:00:00"/>
    <x v="0"/>
    <x v="0"/>
  </r>
  <r>
    <s v="SERVICIO DE SALUD OSORNO"/>
    <s v="Bienes y Servicios"/>
    <x v="7"/>
    <s v="Proyecto operacional"/>
    <s v="Publicado"/>
    <s v="22.04.012"/>
    <x v="7"/>
    <s v="SERVICIO DE MANTENCIÓN, RECARGA E INSPECCION PREVENTIVA PARA RED HÚMEDA Y EXTINTORES DE LOS ESTABLECIMIENTOS PERTENECIENTES AL SERVICIO DE SALUD OSORNO, POR UN PERIODO DE 3 AÑOS."/>
    <n v="1"/>
    <s v="Recarga"/>
    <n v="1"/>
    <n v="1"/>
    <n v="45150000"/>
    <n v="1505000"/>
    <x v="2"/>
    <x v="3"/>
    <x v="4"/>
    <x v="6"/>
    <s v="64-337046-"/>
    <s v="karin.scholz@redsalud.gob.cl"/>
    <x v="4"/>
    <d v="2024-07-05T00:00:00"/>
    <n v="35"/>
    <s v="1057532-2251-SE24"/>
    <n v="1"/>
    <n v="1505000"/>
    <d v="2026-02-01T00:00:00"/>
    <x v="0"/>
    <x v="0"/>
  </r>
  <r>
    <s v="SERVICIO DE SALUD OSORNO"/>
    <s v="Bienes y Servicios"/>
    <x v="8"/>
    <s v="Proyecto operacional"/>
    <s v="Publicado"/>
    <s v="22.06.002.001"/>
    <x v="8"/>
    <s v="Mantenciones Preventivas, correctivas y/o reparativas de vehículos motorizados de la Red Asistencial del Servicio de Salud Osorno."/>
    <n v="1"/>
    <s v="Mantenimiento"/>
    <n v="1"/>
    <n v="1"/>
    <n v="300000000"/>
    <n v="12500000"/>
    <x v="1"/>
    <x v="2"/>
    <x v="5"/>
    <x v="7"/>
    <s v="64-2567046-"/>
    <s v="felipe.salvob@redsalud.gob.cl"/>
    <x v="3"/>
    <d v="2024-07-05T00:00:00"/>
    <n v="46"/>
    <s v="1057532-119-SE25"/>
    <n v="1"/>
    <n v="12500000"/>
    <d v="2026-08-01T00:00:00"/>
    <x v="0"/>
    <x v="0"/>
  </r>
  <r>
    <s v="SERVICIO DE SALUD OSORNO"/>
    <s v="Bienes y Servicios"/>
    <x v="8"/>
    <s v="Proyecto operacional"/>
    <s v="Publicado"/>
    <s v="22.06.002.001"/>
    <x v="8"/>
    <s v="Mantenciones Preventivas, correctivas y/o reparativas de vehículos motorizados de la Red Asistencial del Servicio de Salud Osorno."/>
    <n v="1"/>
    <s v="Mantenimiento"/>
    <n v="1"/>
    <n v="1"/>
    <n v="300000000"/>
    <n v="12500000"/>
    <x v="1"/>
    <x v="2"/>
    <x v="5"/>
    <x v="7"/>
    <s v="64-2567046-"/>
    <s v="felipe.salvob@redsalud.gob.cl"/>
    <x v="3"/>
    <d v="2024-07-05T00:00:00"/>
    <n v="46"/>
    <s v="1057532-127-SE25"/>
    <n v="1"/>
    <n v="12500000"/>
    <d v="2026-11-01T00:00:00"/>
    <x v="0"/>
    <x v="0"/>
  </r>
  <r>
    <s v="SERVICIO DE SALUD OSORNO"/>
    <s v="Bienes y Servicios"/>
    <x v="8"/>
    <s v="Proyecto operacional"/>
    <s v="Publicado"/>
    <s v="22.06.002.001"/>
    <x v="8"/>
    <s v="Mantenciones Preventivas, correctivas y/o reparativas de vehículos motorizados de la Red Asistencial del Servicio de Salud Osorno."/>
    <n v="1"/>
    <s v="Mantenimiento"/>
    <n v="1"/>
    <n v="1"/>
    <n v="300000000"/>
    <n v="12500000"/>
    <x v="1"/>
    <x v="2"/>
    <x v="5"/>
    <x v="7"/>
    <s v="64-2567046-"/>
    <s v="felipe.salvob@redsalud.gob.cl"/>
    <x v="3"/>
    <d v="2024-07-05T00:00:00"/>
    <n v="46"/>
    <s v="1057532-119-SE25"/>
    <n v="1"/>
    <n v="12500000"/>
    <d v="2026-04-01T00:00:00"/>
    <x v="0"/>
    <x v="0"/>
  </r>
  <r>
    <s v="SERVICIO DE SALUD OSORNO"/>
    <s v="Bienes y Servicios"/>
    <x v="8"/>
    <s v="Proyecto operacional"/>
    <s v="Publicado"/>
    <s v="22.06.002.001"/>
    <x v="8"/>
    <s v="Mantenciones Preventivas, correctivas y/o reparativas de vehículos motorizados de la Red Asistencial del Servicio de Salud Osorno."/>
    <n v="1"/>
    <s v="Mantenimiento"/>
    <n v="1"/>
    <n v="1"/>
    <n v="300000000"/>
    <n v="12500000"/>
    <x v="1"/>
    <x v="2"/>
    <x v="5"/>
    <x v="7"/>
    <s v="64-2567046-"/>
    <s v="felipe.salvob@redsalud.gob.cl"/>
    <x v="3"/>
    <d v="2024-07-05T00:00:00"/>
    <n v="46"/>
    <s v="1057532-119-SE25"/>
    <n v="1"/>
    <n v="12500000"/>
    <d v="2026-01-01T00:00:00"/>
    <x v="0"/>
    <x v="0"/>
  </r>
  <r>
    <s v="SERVICIO DE SALUD OSORNO"/>
    <s v="Bienes y Servicios"/>
    <x v="8"/>
    <s v="Proyecto operacional"/>
    <s v="Publicado"/>
    <s v="22.06.002.001"/>
    <x v="8"/>
    <s v="Mantenciones Preventivas, correctivas y/o reparativas de vehículos motorizados de la Red Asistencial del Servicio de Salud Osorno."/>
    <n v="1"/>
    <s v="Mantenimiento"/>
    <n v="1"/>
    <n v="1"/>
    <n v="300000000"/>
    <n v="12500000"/>
    <x v="1"/>
    <x v="2"/>
    <x v="5"/>
    <x v="7"/>
    <s v="64-2567046-"/>
    <s v="felipe.salvob@redsalud.gob.cl"/>
    <x v="3"/>
    <d v="2024-07-05T00:00:00"/>
    <n v="46"/>
    <s v="1057532-119-SE25"/>
    <n v="1"/>
    <n v="12500000"/>
    <d v="2026-02-01T00:00:00"/>
    <x v="0"/>
    <x v="0"/>
  </r>
  <r>
    <s v="SERVICIO DE SALUD OSORNO"/>
    <s v="Bienes y Servicios"/>
    <x v="8"/>
    <s v="Proyecto operacional"/>
    <s v="Publicado"/>
    <s v="22.06.002.001"/>
    <x v="8"/>
    <s v="Mantenciones Preventivas, correctivas y/o reparativas de vehículos motorizados de la Red Asistencial del Servicio de Salud Osorno."/>
    <n v="1"/>
    <s v="Mantenimiento"/>
    <n v="1"/>
    <n v="1"/>
    <n v="300000000"/>
    <n v="12500000"/>
    <x v="1"/>
    <x v="2"/>
    <x v="5"/>
    <x v="7"/>
    <s v="64-2567046-"/>
    <s v="felipe.salvob@redsalud.gob.cl"/>
    <x v="3"/>
    <d v="2024-07-05T00:00:00"/>
    <n v="46"/>
    <s v="1057532-119-SE25"/>
    <n v="1"/>
    <n v="12500000"/>
    <d v="2026-07-01T00:00:00"/>
    <x v="0"/>
    <x v="0"/>
  </r>
  <r>
    <s v="SERVICIO DE SALUD OSORNO"/>
    <s v="Bienes y Servicios"/>
    <x v="8"/>
    <s v="Proyecto operacional"/>
    <s v="Publicado"/>
    <s v="22.06.002.001"/>
    <x v="8"/>
    <s v="Mantenciones Preventivas, correctivas y/o reparativas de vehículos motorizados de la Red Asistencial del Servicio de Salud Osorno."/>
    <n v="1"/>
    <s v="Mantenimiento"/>
    <n v="1"/>
    <n v="1"/>
    <n v="300000000"/>
    <n v="12500000"/>
    <x v="1"/>
    <x v="2"/>
    <x v="5"/>
    <x v="7"/>
    <s v="64-2567046-"/>
    <s v="felipe.salvob@redsalud.gob.cl"/>
    <x v="3"/>
    <d v="2024-07-05T00:00:00"/>
    <n v="46"/>
    <s v="1057532-125-SE25"/>
    <n v="1"/>
    <n v="12500000"/>
    <d v="2026-07-01T00:00:00"/>
    <x v="0"/>
    <x v="0"/>
  </r>
  <r>
    <s v="SERVICIO DE SALUD OSORNO"/>
    <s v="Bienes y Servicios"/>
    <x v="8"/>
    <s v="Proyecto operacional"/>
    <s v="Publicado"/>
    <s v="22.06.002.001"/>
    <x v="8"/>
    <s v="Mantenciones Preventivas, correctivas y/o reparativas de vehículos motorizados de la Red Asistencial del Servicio de Salud Osorno."/>
    <n v="1"/>
    <s v="Mantenimiento"/>
    <n v="1"/>
    <n v="1"/>
    <n v="300000000"/>
    <n v="12500000"/>
    <x v="1"/>
    <x v="2"/>
    <x v="5"/>
    <x v="7"/>
    <s v="64-2567046-"/>
    <s v="felipe.salvob@redsalud.gob.cl"/>
    <x v="3"/>
    <d v="2024-07-05T00:00:00"/>
    <n v="46"/>
    <s v="1057532-125-SE25"/>
    <n v="1"/>
    <n v="12500000"/>
    <d v="2026-04-01T00:00:00"/>
    <x v="0"/>
    <x v="0"/>
  </r>
  <r>
    <s v="SERVICIO DE SALUD OSORNO"/>
    <s v="Bienes y Servicios"/>
    <x v="8"/>
    <s v="Proyecto operacional"/>
    <s v="Publicado"/>
    <s v="22.06.002.001"/>
    <x v="8"/>
    <s v="Mantenciones Preventivas, correctivas y/o reparativas de vehículos motorizados de la Red Asistencial del Servicio de Salud Osorno."/>
    <n v="1"/>
    <s v="Mantenimiento"/>
    <n v="1"/>
    <n v="1"/>
    <n v="300000000"/>
    <n v="12500000"/>
    <x v="1"/>
    <x v="2"/>
    <x v="5"/>
    <x v="7"/>
    <s v="64-2567046-"/>
    <s v="felipe.salvob@redsalud.gob.cl"/>
    <x v="3"/>
    <d v="2024-07-05T00:00:00"/>
    <n v="46"/>
    <s v="1057532-119-SE25"/>
    <n v="1"/>
    <n v="12500000"/>
    <d v="2026-12-01T00:00:00"/>
    <x v="0"/>
    <x v="0"/>
  </r>
  <r>
    <s v="SERVICIO DE SALUD OSORNO"/>
    <s v="Bienes y Servicios"/>
    <x v="8"/>
    <s v="Proyecto operacional"/>
    <s v="Publicado"/>
    <s v="22.06.002.001"/>
    <x v="8"/>
    <s v="Mantenciones Preventivas, correctivas y/o reparativas de vehículos motorizados de la Red Asistencial del Servicio de Salud Osorno."/>
    <n v="1"/>
    <s v="Mantenimiento"/>
    <n v="1"/>
    <n v="1"/>
    <n v="300000000"/>
    <n v="12500000"/>
    <x v="1"/>
    <x v="2"/>
    <x v="5"/>
    <x v="7"/>
    <s v="64-2567046-"/>
    <s v="felipe.salvob@redsalud.gob.cl"/>
    <x v="3"/>
    <d v="2024-07-05T00:00:00"/>
    <n v="46"/>
    <s v="1057532-119-SE25"/>
    <n v="1"/>
    <n v="12500000"/>
    <d v="2026-09-01T00:00:00"/>
    <x v="0"/>
    <x v="0"/>
  </r>
  <r>
    <s v="SERVICIO DE SALUD OSORNO"/>
    <s v="Bienes y Servicios"/>
    <x v="8"/>
    <s v="Proyecto operacional"/>
    <s v="Publicado"/>
    <s v="22.06.002.001"/>
    <x v="8"/>
    <s v="Mantenciones Preventivas, correctivas y/o reparativas de vehículos motorizados de la Red Asistencial del Servicio de Salud Osorno."/>
    <n v="1"/>
    <s v="Mantenimiento"/>
    <n v="1"/>
    <n v="1"/>
    <n v="300000000"/>
    <n v="12500000"/>
    <x v="1"/>
    <x v="2"/>
    <x v="5"/>
    <x v="7"/>
    <s v="64-2567046-"/>
    <s v="felipe.salvob@redsalud.gob.cl"/>
    <x v="3"/>
    <d v="2024-07-05T00:00:00"/>
    <n v="46"/>
    <s v="1057532-119-SE25"/>
    <n v="1"/>
    <n v="12500000"/>
    <d v="2026-03-01T00:00:00"/>
    <x v="0"/>
    <x v="0"/>
  </r>
  <r>
    <s v="SERVICIO DE SALUD OSORNO"/>
    <s v="Bienes y Servicios"/>
    <x v="8"/>
    <s v="Proyecto operacional"/>
    <s v="Publicado"/>
    <s v="22.06.002.001"/>
    <x v="8"/>
    <s v="Mantenciones Preventivas, correctivas y/o reparativas de vehículos motorizados de la Red Asistencial del Servicio de Salud Osorno."/>
    <n v="1"/>
    <s v="Mantenimiento"/>
    <n v="1"/>
    <n v="1"/>
    <n v="300000000"/>
    <n v="12500000"/>
    <x v="1"/>
    <x v="2"/>
    <x v="5"/>
    <x v="7"/>
    <s v="64-2567046-"/>
    <s v="felipe.salvob@redsalud.gob.cl"/>
    <x v="3"/>
    <d v="2024-07-05T00:00:00"/>
    <n v="46"/>
    <s v="1057532-119-SE25"/>
    <n v="1"/>
    <n v="12500000"/>
    <d v="2026-05-01T00:00:00"/>
    <x v="0"/>
    <x v="0"/>
  </r>
  <r>
    <s v="SERVICIO DE SALUD OSORNO"/>
    <s v="Bienes y Servicios"/>
    <x v="9"/>
    <s v="Proyecto operacional"/>
    <s v="Publicado"/>
    <s v="22.08.001"/>
    <x v="9"/>
    <s v="Especificaciones Técnicas: - ENTREGA DE INSUMOS, SEGÚN REQUERIMIENTO, EN CADA ESTABLECIMIENTO DE SALUD Y BASE SAMU. - SERVICIO DE RETIRO PERIÓDICO DESDE ESTABLECIMIENTOS DE SALUD SSO Y BASE SAMU. - DISPOSICIÓN FINAL O ELIMINACIÓN DE RESIDUOS EN UN ESTABLECIMIENTO QUE CUMPLA LA NORMATIVA AMBIENTAL Y SANITARIA."/>
    <n v="1"/>
    <s v="Servicio residuos"/>
    <n v="1"/>
    <n v="1"/>
    <n v="794718407"/>
    <n v="33113266"/>
    <x v="1"/>
    <x v="2"/>
    <x v="4"/>
    <x v="8"/>
    <s v="64-337046-"/>
    <s v="karin.scholz@redsalud.gob.cl"/>
    <x v="5"/>
    <d v="2024-07-05T00:00:00"/>
    <n v="2"/>
    <s v="1057532-3993-TD25"/>
    <n v="1"/>
    <n v="33113266"/>
    <d v="2026-01-01T00:00:00"/>
    <x v="0"/>
    <x v="0"/>
  </r>
  <r>
    <s v="SERVICIO DE SALUD OSORNO"/>
    <s v="Bienes y Servicios"/>
    <x v="9"/>
    <s v="Proyecto operacional"/>
    <s v="Publicado"/>
    <s v="22.08.001"/>
    <x v="9"/>
    <s v="Especificaciones Técnicas: - ENTREGA DE INSUMOS, SEGÚN REQUERIMIENTO, EN CADA ESTABLECIMIENTO DE SALUD Y BASE SAMU. - SERVICIO DE RETIRO PERIÓDICO DESDE ESTABLECIMIENTOS DE SALUD SSO Y BASE SAMU. - DISPOSICIÓN FINAL O ELIMINACIÓN DE RESIDUOS EN UN ESTABLECIMIENTO QUE CUMPLA LA NORMATIVA AMBIENTAL Y SANITARIA."/>
    <n v="1"/>
    <s v="Servicio residuos"/>
    <n v="1"/>
    <n v="1"/>
    <n v="794718407"/>
    <n v="33113266"/>
    <x v="1"/>
    <x v="2"/>
    <x v="4"/>
    <x v="8"/>
    <s v="64-337046-"/>
    <s v="karin.scholz@redsalud.gob.cl"/>
    <x v="5"/>
    <d v="2024-07-05T00:00:00"/>
    <n v="2"/>
    <s v="1057532-3992-TD25"/>
    <n v="1"/>
    <n v="33113266"/>
    <d v="2026-03-01T00:00:00"/>
    <x v="0"/>
    <x v="0"/>
  </r>
  <r>
    <s v="SERVICIO DE SALUD OSORNO"/>
    <s v="Bienes y Servicios"/>
    <x v="9"/>
    <s v="Proyecto operacional"/>
    <s v="Publicado"/>
    <s v="22.08.001"/>
    <x v="9"/>
    <s v="Especificaciones Técnicas: - ENTREGA DE INSUMOS, SEGÚN REQUERIMIENTO, EN CADA ESTABLECIMIENTO DE SALUD Y BASE SAMU. - SERVICIO DE RETIRO PERIÓDICO DESDE ESTABLECIMIENTOS DE SALUD SSO Y BASE SAMU. - DISPOSICIÓN FINAL O ELIMINACIÓN DE RESIDUOS EN UN ESTABLECIMIENTO QUE CUMPLA LA NORMATIVA AMBIENTAL Y SANITARIA."/>
    <n v="1"/>
    <s v="Servicio residuos"/>
    <n v="1"/>
    <n v="1"/>
    <n v="794718407"/>
    <n v="33113266"/>
    <x v="1"/>
    <x v="2"/>
    <x v="4"/>
    <x v="8"/>
    <s v="64-337046-"/>
    <s v="karin.scholz@redsalud.gob.cl"/>
    <x v="5"/>
    <d v="2024-07-05T00:00:00"/>
    <n v="2"/>
    <s v="1057532-3992-TD25"/>
    <n v="1"/>
    <n v="33113266"/>
    <d v="2026-01-01T00:00:00"/>
    <x v="0"/>
    <x v="0"/>
  </r>
  <r>
    <s v="SERVICIO DE SALUD OSORNO"/>
    <s v="Bienes y Servicios"/>
    <x v="9"/>
    <s v="Proyecto operacional"/>
    <s v="Publicado"/>
    <s v="22.08.001"/>
    <x v="9"/>
    <s v="Especificaciones Técnicas: - ENTREGA DE INSUMOS, SEGÚN REQUERIMIENTO, EN CADA ESTABLECIMIENTO DE SALUD Y BASE SAMU. - SERVICIO DE RETIRO PERIÓDICO DESDE ESTABLECIMIENTOS DE SALUD SSO Y BASE SAMU. - DISPOSICIÓN FINAL O ELIMINACIÓN DE RESIDUOS EN UN ESTABLECIMIENTO QUE CUMPLA LA NORMATIVA AMBIENTAL Y SANITARIA."/>
    <n v="1"/>
    <s v="Servicio residuos"/>
    <n v="1"/>
    <n v="1"/>
    <n v="794718407"/>
    <n v="33113266"/>
    <x v="1"/>
    <x v="2"/>
    <x v="4"/>
    <x v="8"/>
    <s v="64-337046-"/>
    <s v="karin.scholz@redsalud.gob.cl"/>
    <x v="5"/>
    <d v="2024-07-05T00:00:00"/>
    <n v="2"/>
    <s v="1057532-3992-TD25"/>
    <n v="1"/>
    <n v="33113266"/>
    <d v="2026-02-01T00:00:00"/>
    <x v="0"/>
    <x v="0"/>
  </r>
  <r>
    <s v="SERVICIO DE SALUD OSORNO"/>
    <s v="Bienes y Servicios"/>
    <x v="9"/>
    <s v="Proyecto operacional"/>
    <s v="Publicado"/>
    <s v="22.08.001"/>
    <x v="9"/>
    <s v="Especificaciones Técnicas: - ENTREGA DE INSUMOS, SEGÚN REQUERIMIENTO, EN CADA ESTABLECIMIENTO DE SALUD Y BASE SAMU. - SERVICIO DE RETIRO PERIÓDICO DESDE ESTABLECIMIENTOS DE SALUD SSO Y BASE SAMU. - DISPOSICIÓN FINAL O ELIMINACIÓN DE RESIDUOS EN UN ESTABLECIMIENTO QUE CUMPLA LA NORMATIVA AMBIENTAL Y SANITARIA."/>
    <n v="1"/>
    <s v="Servicio residuos"/>
    <n v="1"/>
    <n v="1"/>
    <n v="794718407"/>
    <n v="33113266"/>
    <x v="1"/>
    <x v="2"/>
    <x v="4"/>
    <x v="8"/>
    <s v="64-337046-"/>
    <s v="karin.scholz@redsalud.gob.cl"/>
    <x v="5"/>
    <d v="2024-07-05T00:00:00"/>
    <n v="2"/>
    <s v="1057532-3992-TD25"/>
    <n v="1"/>
    <n v="33113266"/>
    <d v="2026-04-01T00:00:00"/>
    <x v="0"/>
    <x v="0"/>
  </r>
  <r>
    <s v="SERVICIO DE SALUD OSORNO"/>
    <s v="Bienes y Servicios"/>
    <x v="9"/>
    <s v="Proyecto operacional"/>
    <s v="Publicado"/>
    <s v="22.08.001"/>
    <x v="9"/>
    <s v="Especificaciones Técnicas: - ENTREGA DE INSUMOS, SEGÚN REQUERIMIENTO, EN CADA ESTABLECIMIENTO DE SALUD Y BASE SAMU. - SERVICIO DE RETIRO PERIÓDICO DESDE ESTABLECIMIENTOS DE SALUD SSO Y BASE SAMU. - DISPOSICIÓN FINAL O ELIMINACIÓN DE RESIDUOS EN UN ESTABLECIMIENTO QUE CUMPLA LA NORMATIVA AMBIENTAL Y SANITARIA."/>
    <n v="1"/>
    <s v="Servicio residuos"/>
    <n v="1"/>
    <n v="1"/>
    <n v="794718407"/>
    <n v="33113266"/>
    <x v="1"/>
    <x v="2"/>
    <x v="4"/>
    <x v="8"/>
    <s v="64-337046-"/>
    <s v="karin.scholz@redsalud.gob.cl"/>
    <x v="5"/>
    <d v="2024-07-05T00:00:00"/>
    <n v="2"/>
    <s v="1057532-3992-TD25"/>
    <n v="1"/>
    <n v="33113266"/>
    <d v="2026-07-01T00:00:00"/>
    <x v="0"/>
    <x v="0"/>
  </r>
  <r>
    <s v="SERVICIO DE SALUD OSORNO"/>
    <s v="Bienes y Servicios"/>
    <x v="9"/>
    <s v="Proyecto operacional"/>
    <s v="Publicado"/>
    <s v="22.08.001"/>
    <x v="9"/>
    <s v="Especificaciones Técnicas: - ENTREGA DE INSUMOS, SEGÚN REQUERIMIENTO, EN CADA ESTABLECIMIENTO DE SALUD Y BASE SAMU. - SERVICIO DE RETIRO PERIÓDICO DESDE ESTABLECIMIENTOS DE SALUD SSO Y BASE SAMU. - DISPOSICIÓN FINAL O ELIMINACIÓN DE RESIDUOS EN UN ESTABLECIMIENTO QUE CUMPLA LA NORMATIVA AMBIENTAL Y SANITARIA."/>
    <n v="1"/>
    <s v="Servicio residuos"/>
    <n v="1"/>
    <n v="1"/>
    <n v="794718407"/>
    <n v="33113266"/>
    <x v="1"/>
    <x v="2"/>
    <x v="4"/>
    <x v="8"/>
    <s v="64-337046-"/>
    <s v="karin.scholz@redsalud.gob.cl"/>
    <x v="5"/>
    <d v="2024-07-05T00:00:00"/>
    <n v="2"/>
    <s v="1057532-3992-TD25"/>
    <n v="1"/>
    <n v="33113266"/>
    <d v="2026-06-01T00:00:00"/>
    <x v="0"/>
    <x v="0"/>
  </r>
  <r>
    <s v="SERVICIO DE SALUD OSORNO"/>
    <s v="Bienes y Servicios"/>
    <x v="9"/>
    <s v="Proyecto operacional"/>
    <s v="Publicado"/>
    <s v="22.08.001"/>
    <x v="9"/>
    <s v="Especificaciones Técnicas: - ENTREGA DE INSUMOS, SEGÚN REQUERIMIENTO, EN CADA ESTABLECIMIENTO DE SALUD Y BASE SAMU. - SERVICIO DE RETIRO PERIÓDICO DESDE ESTABLECIMIENTOS DE SALUD SSO Y BASE SAMU. - DISPOSICIÓN FINAL O ELIMINACIÓN DE RESIDUOS EN UN ESTABLECIMIENTO QUE CUMPLA LA NORMATIVA AMBIENTAL Y SANITARIA."/>
    <n v="1"/>
    <s v="Servicio residuos"/>
    <n v="1"/>
    <n v="1"/>
    <n v="794718407"/>
    <n v="33113266"/>
    <x v="1"/>
    <x v="2"/>
    <x v="4"/>
    <x v="8"/>
    <s v="64-337046-"/>
    <s v="karin.scholz@redsalud.gob.cl"/>
    <x v="5"/>
    <d v="2024-07-05T00:00:00"/>
    <n v="2"/>
    <s v="1057532-3992-TD25"/>
    <n v="1"/>
    <n v="33113266"/>
    <d v="2026-11-01T00:00:00"/>
    <x v="0"/>
    <x v="0"/>
  </r>
  <r>
    <s v="SERVICIO DE SALUD OSORNO"/>
    <s v="Bienes y Servicios"/>
    <x v="9"/>
    <s v="Proyecto operacional"/>
    <s v="Publicado"/>
    <s v="22.08.001"/>
    <x v="9"/>
    <s v="Especificaciones Técnicas: - ENTREGA DE INSUMOS, SEGÚN REQUERIMIENTO, EN CADA ESTABLECIMIENTO DE SALUD Y BASE SAMU. - SERVICIO DE RETIRO PERIÓDICO DESDE ESTABLECIMIENTOS DE SALUD SSO Y BASE SAMU. - DISPOSICIÓN FINAL O ELIMINACIÓN DE RESIDUOS EN UN ESTABLECIMIENTO QUE CUMPLA LA NORMATIVA AMBIENTAL Y SANITARIA."/>
    <n v="1"/>
    <s v="Servicio residuos"/>
    <n v="1"/>
    <n v="1"/>
    <n v="794718407"/>
    <n v="33113266"/>
    <x v="1"/>
    <x v="2"/>
    <x v="4"/>
    <x v="8"/>
    <s v="64-337046-"/>
    <s v="karin.scholz@redsalud.gob.cl"/>
    <x v="5"/>
    <d v="2024-07-05T00:00:00"/>
    <n v="2"/>
    <s v="1057532-3993-TD25"/>
    <n v="1"/>
    <n v="33113266"/>
    <d v="2026-08-01T00:00:00"/>
    <x v="0"/>
    <x v="0"/>
  </r>
  <r>
    <s v="SERVICIO DE SALUD OSORNO"/>
    <s v="Bienes y Servicios"/>
    <x v="9"/>
    <s v="Proyecto operacional"/>
    <s v="Publicado"/>
    <s v="22.08.001"/>
    <x v="9"/>
    <s v="Especificaciones Técnicas: - ENTREGA DE INSUMOS, SEGÚN REQUERIMIENTO, EN CADA ESTABLECIMIENTO DE SALUD Y BASE SAMU. - SERVICIO DE RETIRO PERIÓDICO DESDE ESTABLECIMIENTOS DE SALUD SSO Y BASE SAMU. - DISPOSICIÓN FINAL O ELIMINACIÓN DE RESIDUOS EN UN ESTABLECIMIENTO QUE CUMPLA LA NORMATIVA AMBIENTAL Y SANITARIA."/>
    <n v="1"/>
    <s v="Servicio residuos"/>
    <n v="1"/>
    <n v="1"/>
    <n v="794718407"/>
    <n v="33113266"/>
    <x v="1"/>
    <x v="2"/>
    <x v="4"/>
    <x v="8"/>
    <s v="64-337046-"/>
    <s v="karin.scholz@redsalud.gob.cl"/>
    <x v="5"/>
    <d v="2024-07-05T00:00:00"/>
    <n v="2"/>
    <s v="1057532-3992-TD25"/>
    <n v="1"/>
    <n v="33113266"/>
    <d v="2026-12-01T00:00:00"/>
    <x v="0"/>
    <x v="0"/>
  </r>
  <r>
    <s v="SERVICIO DE SALUD OSORNO"/>
    <s v="Bienes y Servicios"/>
    <x v="9"/>
    <s v="Proyecto operacional"/>
    <s v="Publicado"/>
    <s v="22.08.001"/>
    <x v="9"/>
    <s v="Especificaciones Técnicas: - ENTREGA DE INSUMOS, SEGÚN REQUERIMIENTO, EN CADA ESTABLECIMIENTO DE SALUD Y BASE SAMU. - SERVICIO DE RETIRO PERIÓDICO DESDE ESTABLECIMIENTOS DE SALUD SSO Y BASE SAMU. - DISPOSICIÓN FINAL O ELIMINACIÓN DE RESIDUOS EN UN ESTABLECIMIENTO QUE CUMPLA LA NORMATIVA AMBIENTAL Y SANITARIA."/>
    <n v="1"/>
    <s v="Servicio residuos"/>
    <n v="1"/>
    <n v="1"/>
    <n v="794718407"/>
    <n v="33113266"/>
    <x v="1"/>
    <x v="2"/>
    <x v="4"/>
    <x v="8"/>
    <s v="64-337046-"/>
    <s v="karin.scholz@redsalud.gob.cl"/>
    <x v="5"/>
    <d v="2024-07-05T00:00:00"/>
    <n v="2"/>
    <s v="1057532-3993-TD25"/>
    <n v="1"/>
    <n v="33113266"/>
    <d v="2026-04-01T00:00:00"/>
    <x v="0"/>
    <x v="0"/>
  </r>
  <r>
    <s v="SERVICIO DE SALUD OSORNO"/>
    <s v="Bienes y Servicios"/>
    <x v="9"/>
    <s v="Proyecto operacional"/>
    <s v="Publicado"/>
    <s v="22.08.001"/>
    <x v="9"/>
    <s v="Especificaciones Técnicas: - ENTREGA DE INSUMOS, SEGÚN REQUERIMIENTO, EN CADA ESTABLECIMIENTO DE SALUD Y BASE SAMU. - SERVICIO DE RETIRO PERIÓDICO DESDE ESTABLECIMIENTOS DE SALUD SSO Y BASE SAMU. - DISPOSICIÓN FINAL O ELIMINACIÓN DE RESIDUOS EN UN ESTABLECIMIENTO QUE CUMPLA LA NORMATIVA AMBIENTAL Y SANITARIA."/>
    <n v="1"/>
    <s v="Servicio residuos"/>
    <n v="1"/>
    <n v="1"/>
    <n v="794718407"/>
    <n v="33113289"/>
    <x v="1"/>
    <x v="2"/>
    <x v="4"/>
    <x v="8"/>
    <s v="64-337046-"/>
    <s v="karin.scholz@redsalud.gob.cl"/>
    <x v="5"/>
    <d v="2024-07-05T00:00:00"/>
    <n v="2"/>
    <s v="1057532-3992-TD25"/>
    <n v="1"/>
    <n v="33113289"/>
    <d v="2026-05-01T00:00:00"/>
    <x v="0"/>
    <x v="0"/>
  </r>
  <r>
    <s v="SERVICIO DE SALUD OSORNO"/>
    <s v="Bienes y Servicios"/>
    <x v="10"/>
    <s v="Proyecto operacional"/>
    <s v="Publicado"/>
    <s v="22.01.001.002"/>
    <x v="10"/>
    <s v="BENEFICIO DE ADMINISTRACION ENTREGA DE ALIMENTACION CONSIDERANDO UN PROMEDIO ESTIMADO DE 530 TARJETAS MENSUALES ENTRE MESES DE ENERO Y DICIEMBRE POR TRES AÑOS 2025, 2026 Y 2027 ADQUISICION TARJETAS DE ALIMENTACION PARA FUNCIONARIOS DE LA DIRECCION SERVICIO DE SALUD OSORNO, SE CONSIDERA REAJUSTE APROXIMADO POR TRES AÑOS AFECCTO A VARIACION DE NUMERO DE FUNCIONARIOS SECTOR PUBLICO SEGÚN RES EX N°165/2020 EN EL MONTO INFORMADO AÑO 2025 = $480.171.706 AÑO 2026 = 496.977.716 AÑO 2027 = 514.371.936"/>
    <n v="1"/>
    <s v="Tarjeta"/>
    <n v="1"/>
    <n v="1"/>
    <n v="1491521358"/>
    <n v="41414809"/>
    <x v="2"/>
    <x v="3"/>
    <x v="6"/>
    <x v="9"/>
    <s v="64-335780-"/>
    <s v="JORGE.OYARZUNS@REDSALUD.GOB.CL"/>
    <x v="4"/>
    <d v="2024-07-05T00:00:00"/>
    <n v="14"/>
    <s v="1057532-131-SE25"/>
    <n v="1"/>
    <n v="41414809"/>
    <d v="2026-03-01T00:00:00"/>
    <x v="0"/>
    <x v="0"/>
  </r>
  <r>
    <s v="SERVICIO DE SALUD OSORNO"/>
    <s v="Bienes y Servicios"/>
    <x v="10"/>
    <s v="Proyecto operacional"/>
    <s v="Publicado"/>
    <s v="22.01.001.002"/>
    <x v="10"/>
    <s v="BENEFICIO DE ADMINISTRACION ENTREGA DE ALIMENTACION CONSIDERANDO UN PROMEDIO ESTIMADO DE 530 TARJETAS MENSUALES ENTRE MESES DE ENERO Y DICIEMBRE POR TRES AÑOS 2025, 2026 Y 2027 ADQUISICION TARJETAS DE ALIMENTACION PARA FUNCIONARIOS DE LA DIRECCION SERVICIO DE SALUD OSORNO, SE CONSIDERA REAJUSTE APROXIMADO POR TRES AÑOS AFECCTO A VARIACION DE NUMERO DE FUNCIONARIOS SECTOR PUBLICO SEGÚN RES EX N°165/2020 EN EL MONTO INFORMADO AÑO 2025 = $480.171.706 AÑO 2026 = 496.977.716 AÑO 2027 = 514.371.936"/>
    <n v="1"/>
    <s v="Tarjeta"/>
    <n v="1"/>
    <n v="1"/>
    <n v="1491521358"/>
    <n v="41414809"/>
    <x v="2"/>
    <x v="3"/>
    <x v="6"/>
    <x v="9"/>
    <s v="64-335780-"/>
    <s v="JORGE.OYARZUNS@REDSALUD.GOB.CL"/>
    <x v="4"/>
    <d v="2024-07-05T00:00:00"/>
    <n v="14"/>
    <s v="1057532-1236-SE24"/>
    <n v="1"/>
    <n v="41414809"/>
    <d v="2026-03-01T00:00:00"/>
    <x v="0"/>
    <x v="0"/>
  </r>
  <r>
    <s v="SERVICIO DE SALUD OSORNO"/>
    <s v="Bienes y Servicios"/>
    <x v="10"/>
    <s v="Proyecto operacional"/>
    <s v="Publicado"/>
    <s v="22.01.001.002"/>
    <x v="10"/>
    <s v="BENEFICIO DE ADMINISTRACION ENTREGA DE ALIMENTACION CONSIDERANDO UN PROMEDIO ESTIMADO DE 530 TARJETAS MENSUALES ENTRE MESES DE ENERO Y DICIEMBRE POR TRES AÑOS 2025, 2026 Y 2027 ADQUISICION TARJETAS DE ALIMENTACION PARA FUNCIONARIOS DE LA DIRECCION SERVICIO DE SALUD OSORNO, SE CONSIDERA REAJUSTE APROXIMADO POR TRES AÑOS AFECCTO A VARIACION DE NUMERO DE FUNCIONARIOS SECTOR PUBLICO SEGÚN RES EX N°165/2020 EN EL MONTO INFORMADO AÑO 2025 = $480.171.706 AÑO 2026 = 496.977.716 AÑO 2027 = 514.371.936"/>
    <n v="1"/>
    <s v="Tarjeta"/>
    <n v="1"/>
    <n v="1"/>
    <n v="1491521358"/>
    <n v="41414809"/>
    <x v="2"/>
    <x v="3"/>
    <x v="6"/>
    <x v="9"/>
    <s v="64-335780-"/>
    <s v="JORGE.OYARZUNS@REDSALUD.GOB.CL"/>
    <x v="4"/>
    <d v="2024-07-05T00:00:00"/>
    <n v="14"/>
    <s v="1057532-1236-SE24"/>
    <n v="1"/>
    <n v="41414809"/>
    <d v="2026-11-01T00:00:00"/>
    <x v="0"/>
    <x v="0"/>
  </r>
  <r>
    <s v="SERVICIO DE SALUD OSORNO"/>
    <s v="Bienes y Servicios"/>
    <x v="10"/>
    <s v="Proyecto operacional"/>
    <s v="Publicado"/>
    <s v="22.01.001.002"/>
    <x v="10"/>
    <s v="BENEFICIO DE ADMINISTRACION ENTREGA DE ALIMENTACION CONSIDERANDO UN PROMEDIO ESTIMADO DE 530 TARJETAS MENSUALES ENTRE MESES DE ENERO Y DICIEMBRE POR TRES AÑOS 2025, 2026 Y 2027 ADQUISICION TARJETAS DE ALIMENTACION PARA FUNCIONARIOS DE LA DIRECCION SERVICIO DE SALUD OSORNO, SE CONSIDERA REAJUSTE APROXIMADO POR TRES AÑOS AFECCTO A VARIACION DE NUMERO DE FUNCIONARIOS SECTOR PUBLICO SEGÚN RES EX N°165/2020 EN EL MONTO INFORMADO AÑO 2025 = $480.171.706 AÑO 2026 = 496.977.716 AÑO 2027 = 514.371.936"/>
    <n v="1"/>
    <s v="Tarjeta"/>
    <n v="1"/>
    <n v="1"/>
    <n v="1491521358"/>
    <n v="41414809"/>
    <x v="2"/>
    <x v="3"/>
    <x v="6"/>
    <x v="9"/>
    <s v="64-335780-"/>
    <s v="JORGE.OYARZUNS@REDSALUD.GOB.CL"/>
    <x v="4"/>
    <d v="2024-07-05T00:00:00"/>
    <n v="14"/>
    <s v="1057532-4087-SE25"/>
    <n v="1"/>
    <n v="41414809"/>
    <d v="2026-01-01T00:00:00"/>
    <x v="0"/>
    <x v="0"/>
  </r>
  <r>
    <s v="SERVICIO DE SALUD OSORNO"/>
    <s v="Bienes y Servicios"/>
    <x v="10"/>
    <s v="Proyecto operacional"/>
    <s v="Publicado"/>
    <s v="22.01.001.002"/>
    <x v="10"/>
    <s v="BENEFICIO DE ADMINISTRACION ENTREGA DE ALIMENTACION CONSIDERANDO UN PROMEDIO ESTIMADO DE 530 TARJETAS MENSUALES ENTRE MESES DE ENERO Y DICIEMBRE POR TRES AÑOS 2025, 2026 Y 2027 ADQUISICION TARJETAS DE ALIMENTACION PARA FUNCIONARIOS DE LA DIRECCION SERVICIO DE SALUD OSORNO, SE CONSIDERA REAJUSTE APROXIMADO POR TRES AÑOS AFECCTO A VARIACION DE NUMERO DE FUNCIONARIOS SECTOR PUBLICO SEGÚN RES EX N°165/2020 EN EL MONTO INFORMADO AÑO 2025 = $480.171.706 AÑO 2026 = 496.977.716 AÑO 2027 = 514.371.936"/>
    <n v="1"/>
    <s v="Tarjeta"/>
    <n v="1"/>
    <n v="1"/>
    <n v="1491521358"/>
    <n v="41414809"/>
    <x v="2"/>
    <x v="3"/>
    <x v="6"/>
    <x v="9"/>
    <s v="64-335780-"/>
    <s v="JORGE.OYARZUNS@REDSALUD.GOB.CL"/>
    <x v="4"/>
    <d v="2024-07-05T00:00:00"/>
    <n v="14"/>
    <s v="1057532-131-SE25"/>
    <n v="1"/>
    <n v="41414809"/>
    <d v="2026-07-01T00:00:00"/>
    <x v="0"/>
    <x v="0"/>
  </r>
  <r>
    <s v="SERVICIO DE SALUD OSORNO"/>
    <s v="Bienes y Servicios"/>
    <x v="10"/>
    <s v="Proyecto operacional"/>
    <s v="Publicado"/>
    <s v="22.01.001.002"/>
    <x v="10"/>
    <s v="BENEFICIO DE ADMINISTRACION ENTREGA DE ALIMENTACION CONSIDERANDO UN PROMEDIO ESTIMADO DE 530 TARJETAS MENSUALES ENTRE MESES DE ENERO Y DICIEMBRE POR TRES AÑOS 2025, 2026 Y 2027 ADQUISICION TARJETAS DE ALIMENTACION PARA FUNCIONARIOS DE LA DIRECCION SERVICIO DE SALUD OSORNO, SE CONSIDERA REAJUSTE APROXIMADO POR TRES AÑOS AFECCTO A VARIACION DE NUMERO DE FUNCIONARIOS SECTOR PUBLICO SEGÚN RES EX N°165/2020 EN EL MONTO INFORMADO AÑO 2025 = $480.171.706 AÑO 2026 = 496.977.716 AÑO 2027 = 514.371.936"/>
    <n v="1"/>
    <s v="Tarjeta"/>
    <n v="1"/>
    <n v="1"/>
    <n v="1491521358"/>
    <n v="41414809"/>
    <x v="2"/>
    <x v="3"/>
    <x v="6"/>
    <x v="9"/>
    <s v="64-335780-"/>
    <s v="JORGE.OYARZUNS@REDSALUD.GOB.CL"/>
    <x v="4"/>
    <d v="2024-07-05T00:00:00"/>
    <n v="14"/>
    <s v="1057532-1236-SE24"/>
    <n v="1"/>
    <n v="41414809"/>
    <d v="2026-07-01T00:00:00"/>
    <x v="0"/>
    <x v="0"/>
  </r>
  <r>
    <s v="SERVICIO DE SALUD OSORNO"/>
    <s v="Bienes y Servicios"/>
    <x v="10"/>
    <s v="Proyecto operacional"/>
    <s v="Publicado"/>
    <s v="22.01.001.002"/>
    <x v="10"/>
    <s v="BENEFICIO DE ADMINISTRACION ENTREGA DE ALIMENTACION CONSIDERANDO UN PROMEDIO ESTIMADO DE 530 TARJETAS MENSUALES ENTRE MESES DE ENERO Y DICIEMBRE POR TRES AÑOS 2025, 2026 Y 2027 ADQUISICION TARJETAS DE ALIMENTACION PARA FUNCIONARIOS DE LA DIRECCION SERVICIO DE SALUD OSORNO, SE CONSIDERA REAJUSTE APROXIMADO POR TRES AÑOS AFECCTO A VARIACION DE NUMERO DE FUNCIONARIOS SECTOR PUBLICO SEGÚN RES EX N°165/2020 EN EL MONTO INFORMADO AÑO 2025 = $480.171.706 AÑO 2026 = 496.977.716 AÑO 2027 = 514.371.936"/>
    <n v="1"/>
    <s v="Tarjeta"/>
    <n v="1"/>
    <n v="1"/>
    <n v="1491521358"/>
    <n v="41414809"/>
    <x v="2"/>
    <x v="3"/>
    <x v="6"/>
    <x v="9"/>
    <s v="64-335780-"/>
    <s v="JORGE.OYARZUNS@REDSALUD.GOB.CL"/>
    <x v="4"/>
    <d v="2024-07-05T00:00:00"/>
    <n v="14"/>
    <s v="1057532-4087-SE25"/>
    <n v="1"/>
    <n v="41414809"/>
    <d v="2026-05-01T00:00:00"/>
    <x v="0"/>
    <x v="0"/>
  </r>
  <r>
    <s v="SERVICIO DE SALUD OSORNO"/>
    <s v="Bienes y Servicios"/>
    <x v="10"/>
    <s v="Proyecto operacional"/>
    <s v="Publicado"/>
    <s v="22.01.001.002"/>
    <x v="10"/>
    <s v="BENEFICIO DE ADMINISTRACION ENTREGA DE ALIMENTACION CONSIDERANDO UN PROMEDIO ESTIMADO DE 530 TARJETAS MENSUALES ENTRE MESES DE ENERO Y DICIEMBRE POR TRES AÑOS 2025, 2026 Y 2027 ADQUISICION TARJETAS DE ALIMENTACION PARA FUNCIONARIOS DE LA DIRECCION SERVICIO DE SALUD OSORNO, SE CONSIDERA REAJUSTE APROXIMADO POR TRES AÑOS AFECCTO A VARIACION DE NUMERO DE FUNCIONARIOS SECTOR PUBLICO SEGÚN RES EX N°165/2020 EN EL MONTO INFORMADO AÑO 2025 = $480.171.706 AÑO 2026 = 496.977.716 AÑO 2027 = 514.371.936"/>
    <n v="1"/>
    <s v="Tarjeta"/>
    <n v="1"/>
    <n v="1"/>
    <n v="1491521358"/>
    <n v="41414809"/>
    <x v="2"/>
    <x v="3"/>
    <x v="6"/>
    <x v="9"/>
    <s v="64-335780-"/>
    <s v="JORGE.OYARZUNS@REDSALUD.GOB.CL"/>
    <x v="4"/>
    <d v="2024-07-05T00:00:00"/>
    <n v="14"/>
    <s v="1057532-131-SE25"/>
    <n v="1"/>
    <n v="41414809"/>
    <d v="2026-04-01T00:00:00"/>
    <x v="0"/>
    <x v="0"/>
  </r>
  <r>
    <s v="SERVICIO DE SALUD OSORNO"/>
    <s v="Bienes y Servicios"/>
    <x v="10"/>
    <s v="Proyecto operacional"/>
    <s v="Publicado"/>
    <s v="22.01.001.002"/>
    <x v="10"/>
    <s v="BENEFICIO DE ADMINISTRACION ENTREGA DE ALIMENTACION CONSIDERANDO UN PROMEDIO ESTIMADO DE 530 TARJETAS MENSUALES ENTRE MESES DE ENERO Y DICIEMBRE POR TRES AÑOS 2025, 2026 Y 2027 ADQUISICION TARJETAS DE ALIMENTACION PARA FUNCIONARIOS DE LA DIRECCION SERVICIO DE SALUD OSORNO, SE CONSIDERA REAJUSTE APROXIMADO POR TRES AÑOS AFECCTO A VARIACION DE NUMERO DE FUNCIONARIOS SECTOR PUBLICO SEGÚN RES EX N°165/2020 EN EL MONTO INFORMADO AÑO 2025 = $480.171.706 AÑO 2026 = 496.977.716 AÑO 2027 = 514.371.936"/>
    <n v="1"/>
    <s v="Tarjeta"/>
    <n v="1"/>
    <n v="1"/>
    <n v="1491521358"/>
    <n v="41414809"/>
    <x v="2"/>
    <x v="3"/>
    <x v="6"/>
    <x v="9"/>
    <s v="64-335780-"/>
    <s v="JORGE.OYARZUNS@REDSALUD.GOB.CL"/>
    <x v="4"/>
    <d v="2024-07-05T00:00:00"/>
    <n v="14"/>
    <s v="1057532-1236-SE24"/>
    <n v="1"/>
    <n v="41414809"/>
    <d v="2026-05-01T00:00:00"/>
    <x v="0"/>
    <x v="0"/>
  </r>
  <r>
    <s v="SERVICIO DE SALUD OSORNO"/>
    <s v="Bienes y Servicios"/>
    <x v="10"/>
    <s v="Proyecto operacional"/>
    <s v="Publicado"/>
    <s v="22.01.001.002"/>
    <x v="10"/>
    <s v="BENEFICIO DE ADMINISTRACION ENTREGA DE ALIMENTACION CONSIDERANDO UN PROMEDIO ESTIMADO DE 530 TARJETAS MENSUALES ENTRE MESES DE ENERO Y DICIEMBRE POR TRES AÑOS 2025, 2026 Y 2027 ADQUISICION TARJETAS DE ALIMENTACION PARA FUNCIONARIOS DE LA DIRECCION SERVICIO DE SALUD OSORNO, SE CONSIDERA REAJUSTE APROXIMADO POR TRES AÑOS AFECCTO A VARIACION DE NUMERO DE FUNCIONARIOS SECTOR PUBLICO SEGÚN RES EX N°165/2020 EN EL MONTO INFORMADO AÑO 2025 = $480.171.706 AÑO 2026 = 496.977.716 AÑO 2027 = 514.371.936"/>
    <n v="1"/>
    <s v="Tarjeta"/>
    <n v="1"/>
    <n v="1"/>
    <n v="1491521358"/>
    <n v="41414809"/>
    <x v="2"/>
    <x v="3"/>
    <x v="6"/>
    <x v="9"/>
    <s v="64-335780-"/>
    <s v="JORGE.OYARZUNS@REDSALUD.GOB.CL"/>
    <x v="4"/>
    <d v="2024-07-05T00:00:00"/>
    <n v="14"/>
    <s v="1057532-1236-SE24"/>
    <n v="1"/>
    <n v="41414809"/>
    <d v="2026-04-01T00:00:00"/>
    <x v="0"/>
    <x v="0"/>
  </r>
  <r>
    <s v="SERVICIO DE SALUD OSORNO"/>
    <s v="Bienes y Servicios"/>
    <x v="10"/>
    <s v="Proyecto operacional"/>
    <s v="Publicado"/>
    <s v="22.01.001.002"/>
    <x v="10"/>
    <s v="BENEFICIO DE ADMINISTRACION ENTREGA DE ALIMENTACION CONSIDERANDO UN PROMEDIO ESTIMADO DE 530 TARJETAS MENSUALES ENTRE MESES DE ENERO Y DICIEMBRE POR TRES AÑOS 2025, 2026 Y 2027 ADQUISICION TARJETAS DE ALIMENTACION PARA FUNCIONARIOS DE LA DIRECCION SERVICIO DE SALUD OSORNO, SE CONSIDERA REAJUSTE APROXIMADO POR TRES AÑOS AFECCTO A VARIACION DE NUMERO DE FUNCIONARIOS SECTOR PUBLICO SEGÚN RES EX N°165/2020 EN EL MONTO INFORMADO AÑO 2025 = $480.171.706 AÑO 2026 = 496.977.716 AÑO 2027 = 514.371.936"/>
    <n v="1"/>
    <s v="Tarjeta"/>
    <n v="1"/>
    <n v="1"/>
    <n v="1491521358"/>
    <n v="41414809"/>
    <x v="2"/>
    <x v="3"/>
    <x v="6"/>
    <x v="9"/>
    <s v="64-335780-"/>
    <s v="JORGE.OYARZUNS@REDSALUD.GOB.CL"/>
    <x v="4"/>
    <d v="2024-07-05T00:00:00"/>
    <n v="14"/>
    <s v="1057532-131-SE25"/>
    <n v="1"/>
    <n v="41414809"/>
    <d v="2026-01-01T00:00:00"/>
    <x v="0"/>
    <x v="0"/>
  </r>
  <r>
    <s v="SERVICIO DE SALUD OSORNO"/>
    <s v="Bienes y Servicios"/>
    <x v="10"/>
    <s v="Proyecto operacional"/>
    <s v="Publicado"/>
    <s v="22.01.001.002"/>
    <x v="10"/>
    <s v="BENEFICIO DE ADMINISTRACION ENTREGA DE ALIMENTACION CONSIDERANDO UN PROMEDIO ESTIMADO DE 530 TARJETAS MENSUALES ENTRE MESES DE ENERO Y DICIEMBRE POR TRES AÑOS 2025, 2026 Y 2027 ADQUISICION TARJETAS DE ALIMENTACION PARA FUNCIONARIOS DE LA DIRECCION SERVICIO DE SALUD OSORNO, SE CONSIDERA REAJUSTE APROXIMADO POR TRES AÑOS AFECCTO A VARIACION DE NUMERO DE FUNCIONARIOS SECTOR PUBLICO SEGÚN RES EX N°165/2020 EN EL MONTO INFORMADO AÑO 2025 = $480.171.706 AÑO 2026 = 496.977.716 AÑO 2027 = 514.371.936"/>
    <n v="1"/>
    <s v="Tarjeta"/>
    <n v="1"/>
    <n v="1"/>
    <n v="1491521358"/>
    <n v="41414809"/>
    <x v="2"/>
    <x v="3"/>
    <x v="6"/>
    <x v="9"/>
    <s v="64-335780-"/>
    <s v="JORGE.OYARZUNS@REDSALUD.GOB.CL"/>
    <x v="4"/>
    <d v="2024-07-05T00:00:00"/>
    <n v="14"/>
    <s v="1057532-1236-SE24"/>
    <n v="1"/>
    <n v="41414809"/>
    <d v="2026-02-01T00:00:00"/>
    <x v="0"/>
    <x v="0"/>
  </r>
  <r>
    <s v="SERVICIO DE SALUD OSORNO"/>
    <s v="Bienes y Servicios"/>
    <x v="11"/>
    <s v="Proyecto operacional"/>
    <s v="Publicado"/>
    <s v="22.04.003.001"/>
    <x v="11"/>
    <s v="Contrato suministro de oxígeno medicinal para la Red de Hospitales de Baja y Mediana Complejidad así como para Base SAMU dependiente del Servicio Salud Osorno, en formato de cilindros de 0,4 m3 - 0,7 m3 - 6 m3 y 10 m3."/>
    <n v="1"/>
    <s v="Suministro Oxigeno"/>
    <n v="1"/>
    <n v="1"/>
    <n v="236000000"/>
    <n v="9833333"/>
    <x v="1"/>
    <x v="2"/>
    <x v="7"/>
    <x v="10"/>
    <s v="64-335809-"/>
    <s v="mario.aburto@redsalud.gov.cl"/>
    <x v="3"/>
    <d v="2024-07-05T00:00:00"/>
    <n v="23"/>
    <s v="1057532-5543-SE25"/>
    <n v="1"/>
    <n v="9833333"/>
    <d v="2026-06-01T00:00:00"/>
    <x v="0"/>
    <x v="0"/>
  </r>
  <r>
    <s v="SERVICIO DE SALUD OSORNO"/>
    <s v="Bienes y Servicios"/>
    <x v="11"/>
    <s v="Proyecto operacional"/>
    <s v="Publicado"/>
    <s v="22.04.003.001"/>
    <x v="11"/>
    <s v="Contrato suministro de oxígeno medicinal para la Red de Hospitales de Baja y Mediana Complejidad así como para Base SAMU dependiente del Servicio Salud Osorno, en formato de cilindros de 0,4 m3 - 0,7 m3 - 6 m3 y 10 m3."/>
    <n v="1"/>
    <s v="Suministro Oxigeno"/>
    <n v="1"/>
    <n v="1"/>
    <n v="236000000"/>
    <n v="9833333"/>
    <x v="1"/>
    <x v="2"/>
    <x v="7"/>
    <x v="10"/>
    <s v="64-335809-"/>
    <s v="mario.aburto@redsalud.gov.cl"/>
    <x v="3"/>
    <d v="2024-07-05T00:00:00"/>
    <n v="23"/>
    <s v="1057532-4736-SE25"/>
    <n v="1"/>
    <n v="9833333"/>
    <d v="2026-05-01T00:00:00"/>
    <x v="0"/>
    <x v="0"/>
  </r>
  <r>
    <s v="SERVICIO DE SALUD OSORNO"/>
    <s v="Bienes y Servicios"/>
    <x v="11"/>
    <s v="Proyecto operacional"/>
    <s v="Publicado"/>
    <s v="22.04.003.001"/>
    <x v="11"/>
    <s v="Contrato suministro de oxígeno medicinal para la Red de Hospitales de Baja y Mediana Complejidad así como para Base SAMU dependiente del Servicio Salud Osorno, en formato de cilindros de 0,4 m3 - 0,7 m3 - 6 m3 y 10 m3."/>
    <n v="1"/>
    <s v="Suministro Oxigeno"/>
    <n v="1"/>
    <n v="1"/>
    <n v="236000000"/>
    <n v="9833333"/>
    <x v="1"/>
    <x v="2"/>
    <x v="7"/>
    <x v="10"/>
    <s v="64-335809-"/>
    <s v="mario.aburto@redsalud.gov.cl"/>
    <x v="3"/>
    <d v="2024-07-05T00:00:00"/>
    <n v="23"/>
    <s v="1057532-5012-SE25"/>
    <n v="1"/>
    <n v="9833333"/>
    <d v="2026-11-01T00:00:00"/>
    <x v="0"/>
    <x v="0"/>
  </r>
  <r>
    <s v="SERVICIO DE SALUD OSORNO"/>
    <s v="Bienes y Servicios"/>
    <x v="11"/>
    <s v="Proyecto operacional"/>
    <s v="Publicado"/>
    <s v="22.04.003.001"/>
    <x v="11"/>
    <s v="Contrato suministro de oxígeno medicinal para la Red de Hospitales de Baja y Mediana Complejidad así como para Base SAMU dependiente del Servicio Salud Osorno, en formato de cilindros de 0,4 m3 - 0,7 m3 - 6 m3 y 10 m3."/>
    <n v="1"/>
    <s v="Suministro Oxigeno"/>
    <n v="1"/>
    <n v="1"/>
    <n v="236000000"/>
    <n v="9833334"/>
    <x v="1"/>
    <x v="2"/>
    <x v="7"/>
    <x v="10"/>
    <s v="64-335809-"/>
    <s v="mario.aburto@redsalud.gov.cl"/>
    <x v="3"/>
    <d v="2024-07-05T00:00:00"/>
    <n v="23"/>
    <s v="1057532-4671-SE25"/>
    <n v="1"/>
    <n v="9833341"/>
    <d v="2026-12-01T00:00:00"/>
    <x v="0"/>
    <x v="0"/>
  </r>
  <r>
    <s v="SERVICIO DE SALUD OSORNO"/>
    <s v="Bienes y Servicios"/>
    <x v="11"/>
    <s v="Proyecto operacional"/>
    <s v="Publicado"/>
    <s v="22.04.003.001"/>
    <x v="11"/>
    <s v="Contrato suministro de oxígeno medicinal para la Red de Hospitales de Baja y Mediana Complejidad así como para Base SAMU dependiente del Servicio Salud Osorno, en formato de cilindros de 0,4 m3 - 0,7 m3 - 6 m3 y 10 m3."/>
    <n v="1"/>
    <s v="Suministro Oxigeno"/>
    <n v="1"/>
    <n v="1"/>
    <n v="236000000"/>
    <n v="9833333"/>
    <x v="1"/>
    <x v="2"/>
    <x v="7"/>
    <x v="10"/>
    <s v="64-335809-"/>
    <s v="mario.aburto@redsalud.gov.cl"/>
    <x v="3"/>
    <d v="2024-07-05T00:00:00"/>
    <n v="23"/>
    <s v="1057532-4671-SE25"/>
    <n v="1"/>
    <n v="9833333"/>
    <d v="2026-08-01T00:00:00"/>
    <x v="0"/>
    <x v="0"/>
  </r>
  <r>
    <s v="SERVICIO DE SALUD OSORNO"/>
    <s v="Bienes y Servicios"/>
    <x v="11"/>
    <s v="Proyecto operacional"/>
    <s v="Publicado"/>
    <s v="22.04.003.001"/>
    <x v="11"/>
    <s v="Contrato suministro de oxígeno medicinal para la Red de Hospitales de Baja y Mediana Complejidad así como para Base SAMU dependiente del Servicio Salud Osorno, en formato de cilindros de 0,4 m3 - 0,7 m3 - 6 m3 y 10 m3."/>
    <n v="1"/>
    <s v="Suministro Oxigeno"/>
    <n v="1"/>
    <n v="1"/>
    <n v="236000000"/>
    <n v="9833333"/>
    <x v="1"/>
    <x v="2"/>
    <x v="7"/>
    <x v="10"/>
    <s v="64-335809-"/>
    <s v="mario.aburto@redsalud.gov.cl"/>
    <x v="3"/>
    <d v="2024-07-05T00:00:00"/>
    <n v="23"/>
    <s v="1057532-5098-SE25"/>
    <n v="1"/>
    <n v="9833333"/>
    <d v="2026-09-01T00:00:00"/>
    <x v="0"/>
    <x v="0"/>
  </r>
  <r>
    <s v="SERVICIO DE SALUD OSORNO"/>
    <s v="Bienes y Servicios"/>
    <x v="11"/>
    <s v="Proyecto operacional"/>
    <s v="Publicado"/>
    <s v="22.04.003.001"/>
    <x v="11"/>
    <s v="Contrato suministro de oxígeno medicinal para la Red de Hospitales de Baja y Mediana Complejidad así como para Base SAMU dependiente del Servicio Salud Osorno, en formato de cilindros de 0,4 m3 - 0,7 m3 - 6 m3 y 10 m3."/>
    <n v="1"/>
    <s v="Suministro Oxigeno"/>
    <n v="1"/>
    <n v="1"/>
    <n v="236000000"/>
    <n v="9833333"/>
    <x v="1"/>
    <x v="2"/>
    <x v="7"/>
    <x v="10"/>
    <s v="64-335809-"/>
    <s v="mario.aburto@redsalud.gov.cl"/>
    <x v="3"/>
    <d v="2024-07-05T00:00:00"/>
    <n v="23"/>
    <s v="1057532-5144-SE25"/>
    <n v="1"/>
    <n v="9833333"/>
    <d v="2026-01-01T00:00:00"/>
    <x v="0"/>
    <x v="0"/>
  </r>
  <r>
    <s v="SERVICIO DE SALUD OSORNO"/>
    <s v="Bienes y Servicios"/>
    <x v="11"/>
    <s v="Proyecto operacional"/>
    <s v="Publicado"/>
    <s v="22.04.003.001"/>
    <x v="11"/>
    <s v="Contrato suministro de oxígeno medicinal para la Red de Hospitales de Baja y Mediana Complejidad así como para Base SAMU dependiente del Servicio Salud Osorno, en formato de cilindros de 0,4 m3 - 0,7 m3 - 6 m3 y 10 m3."/>
    <n v="1"/>
    <s v="Suministro Oxigeno"/>
    <n v="1"/>
    <n v="1"/>
    <n v="236000000"/>
    <n v="9833333"/>
    <x v="1"/>
    <x v="2"/>
    <x v="7"/>
    <x v="10"/>
    <s v="64-335809-"/>
    <s v="mario.aburto@redsalud.gov.cl"/>
    <x v="3"/>
    <d v="2024-07-05T00:00:00"/>
    <n v="23"/>
    <s v="1057532-5655-SE25"/>
    <n v="1"/>
    <n v="9833333"/>
    <d v="2026-05-01T00:00:00"/>
    <x v="0"/>
    <x v="0"/>
  </r>
  <r>
    <s v="SERVICIO DE SALUD OSORNO"/>
    <s v="Bienes y Servicios"/>
    <x v="11"/>
    <s v="Proyecto operacional"/>
    <s v="Publicado"/>
    <s v="22.04.003.001"/>
    <x v="11"/>
    <s v="Contrato suministro de oxígeno medicinal para la Red de Hospitales de Baja y Mediana Complejidad así como para Base SAMU dependiente del Servicio Salud Osorno, en formato de cilindros de 0,4 m3 - 0,7 m3 - 6 m3 y 10 m3."/>
    <n v="1"/>
    <s v="Suministro Oxigeno"/>
    <n v="1"/>
    <n v="1"/>
    <n v="236000000"/>
    <n v="9833333"/>
    <x v="1"/>
    <x v="2"/>
    <x v="7"/>
    <x v="10"/>
    <s v="64-335809-"/>
    <s v="mario.aburto@redsalud.gov.cl"/>
    <x v="3"/>
    <d v="2024-07-05T00:00:00"/>
    <n v="23"/>
    <s v="1057532-5543-SE25"/>
    <n v="1"/>
    <n v="9833333"/>
    <d v="2026-07-01T00:00:00"/>
    <x v="0"/>
    <x v="0"/>
  </r>
  <r>
    <s v="SERVICIO DE SALUD OSORNO"/>
    <s v="Bienes y Servicios"/>
    <x v="11"/>
    <s v="Proyecto operacional"/>
    <s v="Publicado"/>
    <s v="22.04.003.001"/>
    <x v="11"/>
    <s v="Contrato suministro de oxígeno medicinal para la Red de Hospitales de Baja y Mediana Complejidad así como para Base SAMU dependiente del Servicio Salud Osorno, en formato de cilindros de 0,4 m3 - 0,7 m3 - 6 m3 y 10 m3."/>
    <n v="1"/>
    <s v="Suministro Oxigeno"/>
    <n v="1"/>
    <n v="1"/>
    <n v="236000000"/>
    <n v="9833333"/>
    <x v="1"/>
    <x v="2"/>
    <x v="7"/>
    <x v="10"/>
    <s v="64-335809-"/>
    <s v="mario.aburto@redsalud.gov.cl"/>
    <x v="3"/>
    <d v="2024-07-05T00:00:00"/>
    <n v="23"/>
    <s v="1057532-5098-SE25"/>
    <n v="1"/>
    <n v="9833333"/>
    <d v="2026-10-01T00:00:00"/>
    <x v="0"/>
    <x v="0"/>
  </r>
  <r>
    <s v="SERVICIO DE SALUD OSORNO"/>
    <s v="Bienes y Servicios"/>
    <x v="11"/>
    <s v="Proyecto operacional"/>
    <s v="Publicado"/>
    <s v="22.04.003.001"/>
    <x v="11"/>
    <s v="Contrato suministro de oxígeno medicinal para la Red de Hospitales de Baja y Mediana Complejidad así como para Base SAMU dependiente del Servicio Salud Osorno, en formato de cilindros de 0,4 m3 - 0,7 m3 - 6 m3 y 10 m3."/>
    <n v="1"/>
    <s v="Suministro Oxigeno"/>
    <n v="1"/>
    <n v="1"/>
    <n v="236000000"/>
    <n v="9833333"/>
    <x v="1"/>
    <x v="2"/>
    <x v="7"/>
    <x v="10"/>
    <s v="64-335809-"/>
    <s v="mario.aburto@redsalud.gov.cl"/>
    <x v="3"/>
    <d v="2024-07-05T00:00:00"/>
    <n v="23"/>
    <s v="1057532-5098-SE25"/>
    <n v="1"/>
    <n v="9833333"/>
    <d v="2026-02-01T00:00:00"/>
    <x v="0"/>
    <x v="0"/>
  </r>
  <r>
    <s v="SERVICIO DE SALUD OSORNO"/>
    <s v="Bienes y Servicios"/>
    <x v="11"/>
    <s v="Proyecto operacional"/>
    <s v="Publicado"/>
    <s v="22.04.003.001"/>
    <x v="11"/>
    <s v="Contrato suministro de oxígeno medicinal para la Red de Hospitales de Baja y Mediana Complejidad así como para Base SAMU dependiente del Servicio Salud Osorno, en formato de cilindros de 0,4 m3 - 0,7 m3 - 6 m3 y 10 m3."/>
    <n v="1"/>
    <s v="Suministro Oxigeno"/>
    <n v="1"/>
    <n v="1"/>
    <n v="236000000"/>
    <n v="9833340"/>
    <x v="1"/>
    <x v="2"/>
    <x v="7"/>
    <x v="10"/>
    <s v="64-335809-"/>
    <s v="mario.aburto@redsalud.gov.cl"/>
    <x v="3"/>
    <d v="2024-07-05T00:00:00"/>
    <n v="23"/>
    <s v="1057532-5207-SE25"/>
    <n v="1"/>
    <n v="9833341"/>
    <d v="2026-12-01T00:00:00"/>
    <x v="0"/>
    <x v="0"/>
  </r>
  <r>
    <s v="SERVICIO DE SALUD OSORNO"/>
    <s v="Bienes y Servicios"/>
    <x v="12"/>
    <s v="Proyecto operacional"/>
    <s v="Publicado"/>
    <s v="22.05.008"/>
    <x v="12"/>
    <s v="Aquisición de Soporte y mantenimiento de Sistema de repetición VHF del Servicio de Salud osorno, para el periodo 2025 - 2026."/>
    <n v="1"/>
    <s v="Servicio"/>
    <n v="1"/>
    <n v="1"/>
    <n v="20000000"/>
    <n v="833333"/>
    <x v="1"/>
    <x v="2"/>
    <x v="8"/>
    <x v="3"/>
    <s v="64-337728-"/>
    <s v="CATALINA.VERAC@REDSALUD.GOB.CL"/>
    <x v="4"/>
    <d v="2024-07-05T00:00:00"/>
    <n v="16"/>
    <s v="1057532-4665-TD25"/>
    <n v="1"/>
    <n v="833333"/>
    <d v="2026-07-01T00:00:00"/>
    <x v="0"/>
    <x v="0"/>
  </r>
  <r>
    <s v="SERVICIO DE SALUD OSORNO"/>
    <s v="Bienes y Servicios"/>
    <x v="12"/>
    <s v="Proyecto operacional"/>
    <s v="Publicado"/>
    <s v="22.05.008"/>
    <x v="12"/>
    <s v="Aquisición de Soporte y mantenimiento de Sistema de repetición VHF del Servicio de Salud osorno, para el periodo 2025 - 2026."/>
    <n v="1"/>
    <s v="Servicio"/>
    <n v="1"/>
    <n v="1"/>
    <n v="20000000"/>
    <n v="833333"/>
    <x v="1"/>
    <x v="2"/>
    <x v="8"/>
    <x v="3"/>
    <s v="64-337728-"/>
    <s v="CATALINA.VERAC@REDSALUD.GOB.CL"/>
    <x v="4"/>
    <d v="2024-07-05T00:00:00"/>
    <n v="16"/>
    <s v="1057532-5093-TD25"/>
    <n v="1"/>
    <n v="833333"/>
    <d v="2026-06-01T00:00:00"/>
    <x v="0"/>
    <x v="0"/>
  </r>
  <r>
    <s v="SERVICIO DE SALUD OSORNO"/>
    <s v="Bienes y Servicios"/>
    <x v="12"/>
    <s v="Proyecto operacional"/>
    <s v="Publicado"/>
    <s v="22.05.008"/>
    <x v="12"/>
    <s v="Aquisición de Soporte y mantenimiento de Sistema de repetición VHF del Servicio de Salud osorno, para el periodo 2025 - 2026."/>
    <n v="1"/>
    <s v="Servicio"/>
    <n v="1"/>
    <n v="1"/>
    <n v="20000000"/>
    <n v="833333"/>
    <x v="1"/>
    <x v="2"/>
    <x v="8"/>
    <x v="3"/>
    <s v="64-337728-"/>
    <s v="CATALINA.VERAC@REDSALUD.GOB.CL"/>
    <x v="4"/>
    <d v="2024-07-05T00:00:00"/>
    <n v="16"/>
    <s v="1057532-5273-TD25"/>
    <n v="1"/>
    <n v="833333"/>
    <d v="2026-03-01T00:00:00"/>
    <x v="0"/>
    <x v="0"/>
  </r>
  <r>
    <s v="SERVICIO DE SALUD OSORNO"/>
    <s v="Bienes y Servicios"/>
    <x v="12"/>
    <s v="Proyecto operacional"/>
    <s v="Publicado"/>
    <s v="22.05.008"/>
    <x v="12"/>
    <s v="Aquisición de Soporte y mantenimiento de Sistema de repetición VHF del Servicio de Salud osorno, para el periodo 2025 - 2026."/>
    <n v="1"/>
    <s v="Servicio"/>
    <n v="1"/>
    <n v="1"/>
    <n v="20000000"/>
    <n v="833333"/>
    <x v="1"/>
    <x v="2"/>
    <x v="8"/>
    <x v="3"/>
    <s v="64-337728-"/>
    <s v="CATALINA.VERAC@REDSALUD.GOB.CL"/>
    <x v="4"/>
    <d v="2024-07-05T00:00:00"/>
    <n v="16"/>
    <s v="1057532-4472-AG25"/>
    <n v="1"/>
    <n v="833333"/>
    <d v="2026-06-01T00:00:00"/>
    <x v="0"/>
    <x v="0"/>
  </r>
  <r>
    <s v="SERVICIO DE SALUD OSORNO"/>
    <s v="Bienes y Servicios"/>
    <x v="12"/>
    <s v="Proyecto operacional"/>
    <s v="Publicado"/>
    <s v="22.05.008"/>
    <x v="12"/>
    <s v="Aquisición de Soporte y mantenimiento de Sistema de repetición VHF del Servicio de Salud osorno, para el periodo 2025 - 2026."/>
    <n v="1"/>
    <s v="Servicio"/>
    <n v="1"/>
    <n v="1"/>
    <n v="20000000"/>
    <n v="833333"/>
    <x v="1"/>
    <x v="2"/>
    <x v="8"/>
    <x v="3"/>
    <s v="64-337728-"/>
    <s v="CATALINA.VERAC@REDSALUD.GOB.CL"/>
    <x v="4"/>
    <d v="2024-07-05T00:00:00"/>
    <n v="16"/>
    <s v="1057532-5045-TD25"/>
    <n v="1"/>
    <n v="833333"/>
    <d v="2026-09-01T00:00:00"/>
    <x v="0"/>
    <x v="0"/>
  </r>
  <r>
    <s v="SERVICIO DE SALUD OSORNO"/>
    <s v="Bienes y Servicios"/>
    <x v="12"/>
    <s v="Proyecto operacional"/>
    <s v="Publicado"/>
    <s v="22.05.008"/>
    <x v="12"/>
    <s v="Aquisición de Soporte y mantenimiento de Sistema de repetición VHF del Servicio de Salud osorno, para el periodo 2025 - 2026."/>
    <n v="1"/>
    <s v="Servicio"/>
    <n v="1"/>
    <n v="1"/>
    <n v="20000000"/>
    <n v="833334"/>
    <x v="1"/>
    <x v="2"/>
    <x v="8"/>
    <x v="3"/>
    <s v="64-337728-"/>
    <s v="CATALINA.VERAC@REDSALUD.GOB.CL"/>
    <x v="4"/>
    <d v="2024-07-05T00:00:00"/>
    <n v="16"/>
    <s v="1057532-5093-TD25"/>
    <n v="1"/>
    <n v="833341"/>
    <d v="2026-12-01T00:00:00"/>
    <x v="0"/>
    <x v="0"/>
  </r>
  <r>
    <s v="SERVICIO DE SALUD OSORNO"/>
    <s v="Bienes y Servicios"/>
    <x v="12"/>
    <s v="Proyecto operacional"/>
    <s v="Publicado"/>
    <s v="22.05.008"/>
    <x v="12"/>
    <s v="Aquisición de Soporte y mantenimiento de Sistema de repetición VHF del Servicio de Salud osorno, para el periodo 2025 - 2026."/>
    <n v="1"/>
    <s v="Servicio"/>
    <n v="1"/>
    <n v="1"/>
    <n v="20000000"/>
    <n v="833333"/>
    <x v="1"/>
    <x v="2"/>
    <x v="8"/>
    <x v="3"/>
    <s v="64-337728-"/>
    <s v="CATALINA.VERAC@REDSALUD.GOB.CL"/>
    <x v="4"/>
    <d v="2024-07-05T00:00:00"/>
    <n v="16"/>
    <s v="1057532-4618-TD25"/>
    <n v="1"/>
    <n v="833333"/>
    <d v="2026-01-01T00:00:00"/>
    <x v="0"/>
    <x v="0"/>
  </r>
  <r>
    <s v="SERVICIO DE SALUD OSORNO"/>
    <s v="Bienes y Servicios"/>
    <x v="12"/>
    <s v="Proyecto operacional"/>
    <s v="Publicado"/>
    <s v="22.05.008"/>
    <x v="12"/>
    <s v="Aquisición de Soporte y mantenimiento de Sistema de repetición VHF del Servicio de Salud osorno, para el periodo 2025 - 2026."/>
    <n v="1"/>
    <s v="Servicio"/>
    <n v="1"/>
    <n v="1"/>
    <n v="20000000"/>
    <n v="833333"/>
    <x v="1"/>
    <x v="2"/>
    <x v="8"/>
    <x v="3"/>
    <s v="64-337728-"/>
    <s v="CATALINA.VERAC@REDSALUD.GOB.CL"/>
    <x v="4"/>
    <d v="2024-07-05T00:00:00"/>
    <n v="16"/>
    <s v="1057532-4618-TD25"/>
    <n v="1"/>
    <n v="833333"/>
    <d v="2026-11-01T00:00:00"/>
    <x v="0"/>
    <x v="0"/>
  </r>
  <r>
    <s v="SERVICIO DE SALUD OSORNO"/>
    <s v="Bienes y Servicios"/>
    <x v="12"/>
    <s v="Proyecto operacional"/>
    <s v="Publicado"/>
    <s v="22.05.008"/>
    <x v="12"/>
    <s v="Aquisición de Soporte y mantenimiento de Sistema de repetición VHF del Servicio de Salud osorno, para el periodo 2025 - 2026."/>
    <n v="1"/>
    <s v="Servicio"/>
    <n v="1"/>
    <n v="1"/>
    <n v="20000000"/>
    <n v="833340"/>
    <x v="1"/>
    <x v="2"/>
    <x v="8"/>
    <x v="3"/>
    <s v="64-337728-"/>
    <s v="CATALINA.VERAC@REDSALUD.GOB.CL"/>
    <x v="4"/>
    <d v="2024-07-05T00:00:00"/>
    <n v="16"/>
    <s v="1057532-4472-AG25"/>
    <n v="1"/>
    <n v="833341"/>
    <d v="2026-12-01T00:00:00"/>
    <x v="0"/>
    <x v="0"/>
  </r>
  <r>
    <s v="SERVICIO DE SALUD OSORNO"/>
    <s v="Bienes y Servicios"/>
    <x v="12"/>
    <s v="Proyecto operacional"/>
    <s v="Publicado"/>
    <s v="22.05.008"/>
    <x v="12"/>
    <s v="Aquisición de Soporte y mantenimiento de Sistema de repetición VHF del Servicio de Salud osorno, para el periodo 2025 - 2026."/>
    <n v="1"/>
    <s v="Servicio"/>
    <n v="1"/>
    <n v="1"/>
    <n v="20000000"/>
    <n v="833333"/>
    <x v="1"/>
    <x v="2"/>
    <x v="8"/>
    <x v="3"/>
    <s v="64-337728-"/>
    <s v="CATALINA.VERAC@REDSALUD.GOB.CL"/>
    <x v="4"/>
    <d v="2024-07-05T00:00:00"/>
    <n v="16"/>
    <s v="1057532-4242-TD25"/>
    <n v="1"/>
    <n v="833333"/>
    <d v="2026-10-01T00:00:00"/>
    <x v="0"/>
    <x v="0"/>
  </r>
  <r>
    <s v="SERVICIO DE SALUD OSORNO"/>
    <s v="Bienes y Servicios"/>
    <x v="12"/>
    <s v="Proyecto operacional"/>
    <s v="Publicado"/>
    <s v="22.05.008"/>
    <x v="12"/>
    <s v="Aquisición de Soporte y mantenimiento de Sistema de repetición VHF del Servicio de Salud osorno, para el periodo 2025 - 2026."/>
    <n v="1"/>
    <s v="Servicio"/>
    <n v="1"/>
    <n v="1"/>
    <n v="20000000"/>
    <n v="833333"/>
    <x v="1"/>
    <x v="2"/>
    <x v="8"/>
    <x v="3"/>
    <s v="64-337728-"/>
    <s v="CATALINA.VERAC@REDSALUD.GOB.CL"/>
    <x v="4"/>
    <d v="2024-07-05T00:00:00"/>
    <n v="16"/>
    <s v="1057532-4242-TD25"/>
    <n v="1"/>
    <n v="833333"/>
    <d v="2026-05-01T00:00:00"/>
    <x v="0"/>
    <x v="0"/>
  </r>
  <r>
    <s v="SERVICIO DE SALUD OSORNO"/>
    <s v="Bienes y Servicios"/>
    <x v="12"/>
    <s v="Proyecto operacional"/>
    <s v="Publicado"/>
    <s v="22.05.008"/>
    <x v="12"/>
    <s v="Aquisición de Soporte y mantenimiento de Sistema de repetición VHF del Servicio de Salud osorno, para el periodo 2025 - 2026."/>
    <n v="1"/>
    <s v="Servicio"/>
    <n v="1"/>
    <n v="1"/>
    <n v="20000000"/>
    <n v="833333"/>
    <x v="1"/>
    <x v="2"/>
    <x v="8"/>
    <x v="3"/>
    <s v="64-337728-"/>
    <s v="CATALINA.VERAC@REDSALUD.GOB.CL"/>
    <x v="4"/>
    <d v="2024-07-05T00:00:00"/>
    <n v="16"/>
    <s v="1057532-4665-TD25"/>
    <n v="1"/>
    <n v="833333"/>
    <d v="2026-03-01T00:00:00"/>
    <x v="0"/>
    <x v="0"/>
  </r>
  <r>
    <s v="SERVICIO DE SALUD OSORNO"/>
    <s v="Bienes y Servicios"/>
    <x v="13"/>
    <s v="Proyecto operacional"/>
    <s v="Publicado"/>
    <s v="22.08"/>
    <x v="13"/>
    <s v="Se requiere la contratación de un convenio de servicio de guardias para la DSSO y sus establecimientos y dispositivos dependientes, cumpliendo los estándares requeridos en concordancia con las bases administrativas, especificaciones técnicas, por un período de 24 meses."/>
    <n v="1"/>
    <s v="Servicio de guardias"/>
    <n v="1"/>
    <n v="1"/>
    <n v="1810393810"/>
    <n v="75433075"/>
    <x v="1"/>
    <x v="2"/>
    <x v="9"/>
    <x v="11"/>
    <s v="64-2567381-"/>
    <s v="lorena.torresc@redsalud.gob.cl"/>
    <x v="4"/>
    <d v="2024-07-05T00:00:00"/>
    <n v="46"/>
    <s v="1057532-205-SE25"/>
    <n v="1"/>
    <n v="75433075"/>
    <d v="2026-08-01T00:00:00"/>
    <x v="0"/>
    <x v="0"/>
  </r>
  <r>
    <s v="SERVICIO DE SALUD OSORNO"/>
    <s v="Bienes y Servicios"/>
    <x v="13"/>
    <s v="Proyecto operacional"/>
    <s v="Publicado"/>
    <s v="22.08"/>
    <x v="13"/>
    <s v="Se requiere la contratación de un convenio de servicio de guardias para la DSSO y sus establecimientos y dispositivos dependientes, cumpliendo los estándares requeridos en concordancia con las bases administrativas, especificaciones técnicas, por un período de 24 meses."/>
    <n v="1"/>
    <s v="Servicio de guardias"/>
    <n v="1"/>
    <n v="1"/>
    <n v="1810393810"/>
    <n v="75433075"/>
    <x v="1"/>
    <x v="2"/>
    <x v="9"/>
    <x v="11"/>
    <s v="64-2567381-"/>
    <s v="lorena.torresc@redsalud.gob.cl"/>
    <x v="4"/>
    <d v="2024-07-05T00:00:00"/>
    <n v="46"/>
    <s v="1057532-205-SE25"/>
    <n v="1"/>
    <n v="75433075"/>
    <d v="2026-11-01T00:00:00"/>
    <x v="0"/>
    <x v="0"/>
  </r>
  <r>
    <s v="SERVICIO DE SALUD OSORNO"/>
    <s v="Bienes y Servicios"/>
    <x v="13"/>
    <s v="Proyecto operacional"/>
    <s v="Publicado"/>
    <s v="22.08"/>
    <x v="13"/>
    <s v="Se requiere la contratación de un convenio de servicio de guardias para la DSSO y sus establecimientos y dispositivos dependientes, cumpliendo los estándares requeridos en concordancia con las bases administrativas, especificaciones técnicas, por un período de 24 meses."/>
    <n v="1"/>
    <s v="Servicio de guardias"/>
    <n v="1"/>
    <n v="1"/>
    <n v="1810393810"/>
    <n v="75433075"/>
    <x v="1"/>
    <x v="2"/>
    <x v="9"/>
    <x v="11"/>
    <s v="64-2567381-"/>
    <s v="lorena.torresc@redsalud.gob.cl"/>
    <x v="4"/>
    <d v="2024-07-05T00:00:00"/>
    <n v="46"/>
    <s v="1057532-205-SE25"/>
    <n v="1"/>
    <n v="75433075"/>
    <d v="2026-03-01T00:00:00"/>
    <x v="0"/>
    <x v="0"/>
  </r>
  <r>
    <s v="SERVICIO DE SALUD OSORNO"/>
    <s v="Bienes y Servicios"/>
    <x v="13"/>
    <s v="Proyecto operacional"/>
    <s v="Publicado"/>
    <s v="22.08"/>
    <x v="13"/>
    <s v="Se requiere la contratación de un convenio de servicio de guardias para la DSSO y sus establecimientos y dispositivos dependientes, cumpliendo los estándares requeridos en concordancia con las bases administrativas, especificaciones técnicas, por un período de 24 meses."/>
    <n v="1"/>
    <s v="Servicio de guardias"/>
    <n v="1"/>
    <n v="1"/>
    <n v="1810393810"/>
    <n v="75433075"/>
    <x v="1"/>
    <x v="2"/>
    <x v="9"/>
    <x v="11"/>
    <s v="64-2567381-"/>
    <s v="lorena.torresc@redsalud.gob.cl"/>
    <x v="4"/>
    <d v="2024-07-05T00:00:00"/>
    <n v="46"/>
    <s v="1057532-205-SE25"/>
    <n v="1"/>
    <n v="75433075"/>
    <d v="2026-01-01T00:00:00"/>
    <x v="0"/>
    <x v="0"/>
  </r>
  <r>
    <s v="SERVICIO DE SALUD OSORNO"/>
    <s v="Bienes y Servicios"/>
    <x v="13"/>
    <s v="Proyecto operacional"/>
    <s v="Publicado"/>
    <s v="22.08"/>
    <x v="13"/>
    <s v="Se requiere la contratación de un convenio de servicio de guardias para la DSSO y sus establecimientos y dispositivos dependientes, cumpliendo los estándares requeridos en concordancia con las bases administrativas, especificaciones técnicas, por un período de 24 meses."/>
    <n v="1"/>
    <s v="Servicio de guardias"/>
    <n v="1"/>
    <n v="1"/>
    <n v="1810393810"/>
    <n v="75433075"/>
    <x v="1"/>
    <x v="2"/>
    <x v="9"/>
    <x v="11"/>
    <s v="64-2567381-"/>
    <s v="lorena.torresc@redsalud.gob.cl"/>
    <x v="4"/>
    <d v="2024-07-05T00:00:00"/>
    <n v="46"/>
    <s v="1057532-4654-TD25"/>
    <n v="1"/>
    <n v="75433075"/>
    <d v="2026-01-01T00:00:00"/>
    <x v="0"/>
    <x v="0"/>
  </r>
  <r>
    <s v="SERVICIO DE SALUD OSORNO"/>
    <s v="Bienes y Servicios"/>
    <x v="13"/>
    <s v="Proyecto operacional"/>
    <s v="Publicado"/>
    <s v="22.08"/>
    <x v="13"/>
    <s v="Se requiere la contratación de un convenio de servicio de guardias para la DSSO y sus establecimientos y dispositivos dependientes, cumpliendo los estándares requeridos en concordancia con las bases administrativas, especificaciones técnicas, por un período de 24 meses."/>
    <n v="1"/>
    <s v="Servicio de guardias"/>
    <n v="1"/>
    <n v="1"/>
    <n v="1810393810"/>
    <n v="75433075"/>
    <x v="1"/>
    <x v="2"/>
    <x v="9"/>
    <x v="11"/>
    <s v="64-2567381-"/>
    <s v="lorena.torresc@redsalud.gob.cl"/>
    <x v="4"/>
    <d v="2024-07-05T00:00:00"/>
    <n v="46"/>
    <s v="1057532-4651-TD25"/>
    <n v="1"/>
    <n v="75433075"/>
    <d v="2026-05-01T00:00:00"/>
    <x v="0"/>
    <x v="0"/>
  </r>
  <r>
    <s v="SERVICIO DE SALUD OSORNO"/>
    <s v="Bienes y Servicios"/>
    <x v="13"/>
    <s v="Proyecto operacional"/>
    <s v="Publicado"/>
    <s v="22.08"/>
    <x v="13"/>
    <s v="Se requiere la contratación de un convenio de servicio de guardias para la DSSO y sus establecimientos y dispositivos dependientes, cumpliendo los estándares requeridos en concordancia con las bases administrativas, especificaciones técnicas, por un período de 24 meses."/>
    <n v="1"/>
    <s v="Servicio de guardias"/>
    <n v="1"/>
    <n v="1"/>
    <n v="1810393810"/>
    <n v="75433075"/>
    <x v="1"/>
    <x v="2"/>
    <x v="9"/>
    <x v="11"/>
    <s v="64-2567381-"/>
    <s v="lorena.torresc@redsalud.gob.cl"/>
    <x v="4"/>
    <d v="2024-07-05T00:00:00"/>
    <n v="46"/>
    <s v="1057532-205-SE25"/>
    <n v="1"/>
    <n v="75433075"/>
    <d v="2026-07-01T00:00:00"/>
    <x v="0"/>
    <x v="0"/>
  </r>
  <r>
    <s v="SERVICIO DE SALUD OSORNO"/>
    <s v="Bienes y Servicios"/>
    <x v="13"/>
    <s v="Proyecto operacional"/>
    <s v="Publicado"/>
    <s v="22.08"/>
    <x v="13"/>
    <s v="Se requiere la contratación de un convenio de servicio de guardias para la DSSO y sus establecimientos y dispositivos dependientes, cumpliendo los estándares requeridos en concordancia con las bases administrativas, especificaciones técnicas, por un período de 24 meses."/>
    <n v="1"/>
    <s v="Servicio de guardias"/>
    <n v="1"/>
    <n v="1"/>
    <n v="1810393810"/>
    <n v="75433075"/>
    <x v="1"/>
    <x v="2"/>
    <x v="9"/>
    <x v="11"/>
    <s v="64-2567381-"/>
    <s v="lorena.torresc@redsalud.gob.cl"/>
    <x v="4"/>
    <d v="2024-07-05T00:00:00"/>
    <n v="46"/>
    <s v="1057532-4651-TD25"/>
    <n v="1"/>
    <n v="75433075"/>
    <d v="2026-11-01T00:00:00"/>
    <x v="0"/>
    <x v="0"/>
  </r>
  <r>
    <s v="SERVICIO DE SALUD OSORNO"/>
    <s v="Bienes y Servicios"/>
    <x v="13"/>
    <s v="Proyecto operacional"/>
    <s v="Publicado"/>
    <s v="22.08"/>
    <x v="13"/>
    <s v="Se requiere la contratación de un convenio de servicio de guardias para la DSSO y sus establecimientos y dispositivos dependientes, cumpliendo los estándares requeridos en concordancia con las bases administrativas, especificaciones técnicas, por un período de 24 meses."/>
    <n v="1"/>
    <s v="Servicio de guardias"/>
    <n v="1"/>
    <n v="1"/>
    <n v="1810393810"/>
    <n v="75433075"/>
    <x v="1"/>
    <x v="2"/>
    <x v="9"/>
    <x v="11"/>
    <s v="64-2567381-"/>
    <s v="lorena.torresc@redsalud.gob.cl"/>
    <x v="4"/>
    <d v="2024-07-05T00:00:00"/>
    <n v="46"/>
    <s v="1057532-4651-TD25"/>
    <n v="1"/>
    <n v="75433075"/>
    <d v="2026-06-01T00:00:00"/>
    <x v="0"/>
    <x v="0"/>
  </r>
  <r>
    <s v="SERVICIO DE SALUD OSORNO"/>
    <s v="Bienes y Servicios"/>
    <x v="13"/>
    <s v="Proyecto operacional"/>
    <s v="Publicado"/>
    <s v="22.08"/>
    <x v="13"/>
    <s v="Se requiere la contratación de un convenio de servicio de guardias para la DSSO y sus establecimientos y dispositivos dependientes, cumpliendo los estándares requeridos en concordancia con las bases administrativas, especificaciones técnicas, por un período de 24 meses."/>
    <n v="1"/>
    <s v="Servicio de guardias"/>
    <n v="1"/>
    <n v="1"/>
    <n v="1810393810"/>
    <n v="75433075"/>
    <x v="1"/>
    <x v="2"/>
    <x v="9"/>
    <x v="11"/>
    <s v="64-2567381-"/>
    <s v="lorena.torresc@redsalud.gob.cl"/>
    <x v="4"/>
    <d v="2024-07-05T00:00:00"/>
    <n v="46"/>
    <s v="1057532-4264-TD25"/>
    <n v="1"/>
    <n v="75433075"/>
    <d v="2026-06-01T00:00:00"/>
    <x v="0"/>
    <x v="0"/>
  </r>
  <r>
    <s v="SERVICIO DE SALUD OSORNO"/>
    <s v="Bienes y Servicios"/>
    <x v="13"/>
    <s v="Proyecto operacional"/>
    <s v="Publicado"/>
    <s v="22.08"/>
    <x v="13"/>
    <s v="Se requiere la contratación de un convenio de servicio de guardias para la DSSO y sus establecimientos y dispositivos dependientes, cumpliendo los estándares requeridos en concordancia con las bases administrativas, especificaciones técnicas, por un período de 24 meses."/>
    <n v="1"/>
    <s v="Servicio de guardias"/>
    <n v="1"/>
    <n v="1"/>
    <n v="1810393810"/>
    <n v="75433075"/>
    <x v="1"/>
    <x v="2"/>
    <x v="9"/>
    <x v="11"/>
    <s v="64-2567381-"/>
    <s v="lorena.torresc@redsalud.gob.cl"/>
    <x v="4"/>
    <d v="2024-07-05T00:00:00"/>
    <n v="46"/>
    <s v="1057532-205-SE25"/>
    <n v="1"/>
    <n v="75433075"/>
    <d v="2026-04-01T00:00:00"/>
    <x v="0"/>
    <x v="0"/>
  </r>
  <r>
    <s v="SERVICIO DE SALUD OSORNO"/>
    <s v="Bienes y Servicios"/>
    <x v="13"/>
    <s v="Proyecto operacional"/>
    <s v="Publicado"/>
    <s v="22.08"/>
    <x v="13"/>
    <s v="Se requiere la contratación de un convenio de servicio de guardias para la DSSO y sus establecimientos y dispositivos dependientes, cumpliendo los estándares requeridos en concordancia con las bases administrativas, especificaciones técnicas, por un período de 24 meses."/>
    <n v="1"/>
    <s v="Servicio de guardias"/>
    <n v="1"/>
    <n v="1"/>
    <n v="1810393810"/>
    <n v="75433085"/>
    <x v="1"/>
    <x v="2"/>
    <x v="9"/>
    <x v="11"/>
    <s v="64-2567381-"/>
    <s v="lorena.torresc@redsalud.gob.cl"/>
    <x v="4"/>
    <d v="2024-07-05T00:00:00"/>
    <n v="46"/>
    <s v="1057532-4652-TD25"/>
    <n v="1"/>
    <n v="75433075"/>
    <d v="2026-07-01T00:00:00"/>
    <x v="0"/>
    <x v="0"/>
  </r>
  <r>
    <s v="SERVICIO DE SALUD OSORNO"/>
    <s v="Bienes y Servicios"/>
    <x v="14"/>
    <s v="Proyecto operacional"/>
    <s v="Publicado"/>
    <s v="22.09.006"/>
    <x v="14"/>
    <s v="Licitar en modalidad el servicio de arriendo equipos computacionales PC AIO con licenciamiento de Sistema Operativo (Windows), Office 365 y antivirus."/>
    <n v="2"/>
    <s v="Insumos"/>
    <n v="4"/>
    <n v="159"/>
    <n v="2096280"/>
    <n v="9258570"/>
    <x v="3"/>
    <x v="4"/>
    <x v="10"/>
    <x v="12"/>
    <s v="64-2335838-"/>
    <s v="alvaro.montecinos@redsalud.gob.cl"/>
    <x v="6"/>
    <d v="2025-08-20T00:00:00"/>
    <n v="0"/>
    <m/>
    <n v="1"/>
    <n v="9258570"/>
    <d v="2026-08-01T00:00:00"/>
    <x v="0"/>
    <x v="0"/>
  </r>
  <r>
    <s v="SERVICIO DE SALUD OSORNO"/>
    <s v="Bienes y Servicios"/>
    <x v="14"/>
    <s v="Proyecto operacional"/>
    <s v="Publicado"/>
    <s v="22.09.006"/>
    <x v="15"/>
    <s v="Licitar en modalidad el servicio de arriendo equipos computacionales PC AIO con licenciamiento de Sistema Operativo (Windows), Office 365 y antivirus."/>
    <n v="2"/>
    <s v="Insumos"/>
    <n v="4"/>
    <n v="159"/>
    <n v="2096280"/>
    <n v="9258570"/>
    <x v="4"/>
    <x v="4"/>
    <x v="10"/>
    <x v="12"/>
    <s v="64-2335838-"/>
    <s v="alvaro.montecinos@redsalud.gob.cl"/>
    <x v="7"/>
    <d v="2025-08-20T00:00:00"/>
    <n v="0"/>
    <m/>
    <n v="1"/>
    <n v="9258570"/>
    <d v="2026-06-01T00:00:00"/>
    <x v="0"/>
    <x v="0"/>
  </r>
  <r>
    <s v="SERVICIO DE SALUD OSORNO"/>
    <s v="Bienes y Servicios"/>
    <x v="14"/>
    <s v="Proyecto operacional"/>
    <s v="Publicado"/>
    <s v="22.09.006"/>
    <x v="14"/>
    <s v="Licitar en modalidad el servicio de arriendo equipos computacionales PC AIO con licenciamiento de Sistema Operativo (Windows), Office 365 y antivirus."/>
    <n v="2"/>
    <s v="Insumos"/>
    <n v="4"/>
    <n v="159"/>
    <n v="2096280"/>
    <n v="9258570"/>
    <x v="3"/>
    <x v="4"/>
    <x v="10"/>
    <x v="12"/>
    <s v="64-2335838-"/>
    <s v="alvaro.montecinos@redsalud.gob.cl"/>
    <x v="6"/>
    <d v="2025-08-20T00:00:00"/>
    <n v="0"/>
    <m/>
    <n v="1"/>
    <n v="9258570"/>
    <d v="2026-07-01T00:00:00"/>
    <x v="0"/>
    <x v="0"/>
  </r>
  <r>
    <s v="SERVICIO DE SALUD OSORNO"/>
    <s v="Bienes y Servicios"/>
    <x v="14"/>
    <s v="Proyecto operacional"/>
    <s v="Publicado"/>
    <s v="22.09.006"/>
    <x v="14"/>
    <s v="Licitar en modalidad el servicio de arriendo equipos computacionales PC AIO con licenciamiento de Sistema Operativo (Windows), Office 365 y antivirus."/>
    <n v="2"/>
    <s v="Insumos"/>
    <n v="4"/>
    <n v="159"/>
    <n v="2096280"/>
    <n v="9258570"/>
    <x v="3"/>
    <x v="4"/>
    <x v="10"/>
    <x v="12"/>
    <s v="64-2335838-"/>
    <s v="alvaro.montecinos@redsalud.gob.cl"/>
    <x v="6"/>
    <d v="2025-08-20T00:00:00"/>
    <n v="0"/>
    <m/>
    <n v="1"/>
    <n v="9258570"/>
    <d v="2026-01-01T00:00:00"/>
    <x v="0"/>
    <x v="0"/>
  </r>
  <r>
    <s v="SERVICIO DE SALUD OSORNO"/>
    <s v="Bienes y Servicios"/>
    <x v="14"/>
    <s v="Proyecto operacional"/>
    <s v="Publicado"/>
    <s v="22.09.006"/>
    <x v="15"/>
    <s v="Licitar en modalidad el servicio de arriendo equipos computacionales PC AIO con licenciamiento de Sistema Operativo (Windows), Office 365 y antivirus."/>
    <n v="2"/>
    <s v="Insumos"/>
    <n v="4"/>
    <n v="159"/>
    <n v="2096280"/>
    <n v="9258570"/>
    <x v="4"/>
    <x v="4"/>
    <x v="10"/>
    <x v="12"/>
    <s v="64-2335838-"/>
    <s v="alvaro.montecinos@redsalud.gob.cl"/>
    <x v="7"/>
    <d v="2025-08-20T00:00:00"/>
    <n v="0"/>
    <m/>
    <n v="1"/>
    <n v="9258570"/>
    <d v="2026-01-01T00:00:00"/>
    <x v="0"/>
    <x v="0"/>
  </r>
  <r>
    <s v="SERVICIO DE SALUD OSORNO"/>
    <s v="Bienes y Servicios"/>
    <x v="14"/>
    <s v="Proyecto operacional"/>
    <s v="Publicado"/>
    <s v="22.09.006"/>
    <x v="15"/>
    <s v="Licitar en modalidad el servicio de arriendo equipos computacionales PC AIO con licenciamiento de Sistema Operativo (Windows), Office 365 y antivirus."/>
    <n v="2"/>
    <s v="Insumos"/>
    <n v="4"/>
    <n v="159"/>
    <n v="2096280"/>
    <n v="9258570"/>
    <x v="4"/>
    <x v="4"/>
    <x v="10"/>
    <x v="12"/>
    <s v="64-2335838-"/>
    <s v="alvaro.montecinos@redsalud.gob.cl"/>
    <x v="7"/>
    <d v="2025-08-20T00:00:00"/>
    <n v="0"/>
    <m/>
    <n v="1"/>
    <n v="9258570"/>
    <d v="2026-05-01T00:00:00"/>
    <x v="0"/>
    <x v="0"/>
  </r>
  <r>
    <s v="SERVICIO DE SALUD OSORNO"/>
    <s v="Bienes y Servicios"/>
    <x v="14"/>
    <s v="Proyecto operacional"/>
    <s v="Publicado"/>
    <s v="22.09.006"/>
    <x v="15"/>
    <s v="Licitar en modalidad el servicio de arriendo equipos computacionales PC AIO con licenciamiento de Sistema Operativo (Windows), Office 365 y antivirus."/>
    <n v="2"/>
    <s v="Insumos"/>
    <n v="4"/>
    <n v="159"/>
    <n v="2096280"/>
    <n v="9258570"/>
    <x v="4"/>
    <x v="4"/>
    <x v="10"/>
    <x v="12"/>
    <s v="64-2335838-"/>
    <s v="alvaro.montecinos@redsalud.gob.cl"/>
    <x v="7"/>
    <d v="2025-08-20T00:00:00"/>
    <n v="0"/>
    <m/>
    <n v="1"/>
    <n v="9258570"/>
    <d v="2026-04-01T00:00:00"/>
    <x v="0"/>
    <x v="0"/>
  </r>
  <r>
    <s v="SERVICIO DE SALUD OSORNO"/>
    <s v="Bienes y Servicios"/>
    <x v="14"/>
    <s v="Proyecto operacional"/>
    <s v="Publicado"/>
    <s v="22.09.006"/>
    <x v="15"/>
    <s v="Licitar en modalidad el servicio de arriendo equipos computacionales PC AIO con licenciamiento de Sistema Operativo (Windows), Office 365 y antivirus."/>
    <n v="2"/>
    <s v="Insumos"/>
    <n v="4"/>
    <n v="159"/>
    <n v="2096280"/>
    <n v="9258570"/>
    <x v="4"/>
    <x v="4"/>
    <x v="10"/>
    <x v="12"/>
    <s v="64-2335838-"/>
    <s v="alvaro.montecinos@redsalud.gob.cl"/>
    <x v="7"/>
    <d v="2025-08-20T00:00:00"/>
    <n v="0"/>
    <m/>
    <n v="1"/>
    <n v="9258570"/>
    <d v="2026-12-01T00:00:00"/>
    <x v="0"/>
    <x v="0"/>
  </r>
  <r>
    <s v="SERVICIO DE SALUD OSORNO"/>
    <s v="Bienes y Servicios"/>
    <x v="14"/>
    <s v="Proyecto operacional"/>
    <s v="Publicado"/>
    <s v="22.09.006"/>
    <x v="15"/>
    <s v="Licitar en modalidad el servicio de arriendo equipos computacionales PC AIO con licenciamiento de Sistema Operativo (Windows), Office 365 y antivirus."/>
    <n v="2"/>
    <s v="Insumos"/>
    <n v="4"/>
    <n v="159"/>
    <n v="2096280"/>
    <n v="9258570"/>
    <x v="4"/>
    <x v="4"/>
    <x v="10"/>
    <x v="12"/>
    <s v="64-2335838-"/>
    <s v="alvaro.montecinos@redsalud.gob.cl"/>
    <x v="7"/>
    <d v="2025-08-20T00:00:00"/>
    <n v="0"/>
    <m/>
    <n v="1"/>
    <n v="9258570"/>
    <d v="2026-03-01T00:00:00"/>
    <x v="0"/>
    <x v="0"/>
  </r>
  <r>
    <s v="SERVICIO DE SALUD OSORNO"/>
    <s v="Bienes y Servicios"/>
    <x v="14"/>
    <s v="Proyecto operacional"/>
    <s v="Publicado"/>
    <s v="22.09.006"/>
    <x v="15"/>
    <s v="Licitar en modalidad el servicio de arriendo equipos computacionales PC AIO con licenciamiento de Sistema Operativo (Windows), Office 365 y antivirus."/>
    <n v="2"/>
    <s v="Insumos"/>
    <n v="4"/>
    <n v="159"/>
    <n v="2096280"/>
    <n v="9258570"/>
    <x v="4"/>
    <x v="4"/>
    <x v="10"/>
    <x v="12"/>
    <s v="64-2335838-"/>
    <s v="alvaro.montecinos@redsalud.gob.cl"/>
    <x v="7"/>
    <d v="2025-08-20T00:00:00"/>
    <n v="0"/>
    <m/>
    <n v="1"/>
    <n v="9258570"/>
    <d v="2026-02-01T00:00:00"/>
    <x v="0"/>
    <x v="0"/>
  </r>
  <r>
    <s v="SERVICIO DE SALUD OSORNO"/>
    <s v="Bienes y Servicios"/>
    <x v="14"/>
    <s v="Proyecto operacional"/>
    <s v="Publicado"/>
    <s v="22.09.006"/>
    <x v="14"/>
    <s v="Licitar en modalidad el servicio de arriendo equipos computacionales PC AIO con licenciamiento de Sistema Operativo (Windows), Office 365 y antivirus."/>
    <n v="2"/>
    <s v="Insumos"/>
    <n v="4"/>
    <n v="159"/>
    <n v="2096280"/>
    <n v="9258570"/>
    <x v="3"/>
    <x v="4"/>
    <x v="10"/>
    <x v="12"/>
    <s v="64-2335838-"/>
    <s v="alvaro.montecinos@redsalud.gob.cl"/>
    <x v="6"/>
    <d v="2025-08-20T00:00:00"/>
    <n v="0"/>
    <m/>
    <n v="1"/>
    <n v="9258570"/>
    <d v="2026-09-01T00:00:00"/>
    <x v="0"/>
    <x v="0"/>
  </r>
  <r>
    <s v="SERVICIO DE SALUD OSORNO"/>
    <s v="Bienes y Servicios"/>
    <x v="14"/>
    <s v="Proyecto operacional"/>
    <s v="Publicado"/>
    <s v="22.09.006"/>
    <x v="15"/>
    <s v="Licitar en modalidad el servicio de arriendo equipos computacionales PC AIO con licenciamiento de Sistema Operativo (Windows), Office 365 y antivirus."/>
    <n v="2"/>
    <s v="Insumos"/>
    <n v="4"/>
    <n v="159"/>
    <n v="2096280"/>
    <n v="9258570"/>
    <x v="4"/>
    <x v="4"/>
    <x v="10"/>
    <x v="12"/>
    <s v="64-2335838-"/>
    <s v="alvaro.montecinos@redsalud.gob.cl"/>
    <x v="7"/>
    <d v="2025-08-20T00:00:00"/>
    <n v="0"/>
    <m/>
    <n v="1"/>
    <n v="9258570"/>
    <d v="2026-11-01T00:00:00"/>
    <x v="0"/>
    <x v="0"/>
  </r>
  <r>
    <s v="SERVICIO DE SALUD OSORNO"/>
    <s v="Bienes y Servicios"/>
    <x v="15"/>
    <s v="Proyecto operacional"/>
    <s v="Publicado"/>
    <s v="22.08.001"/>
    <x v="16"/>
    <s v="Se requiere contar con servicios de aseo en los Edificios Plaza Sur, Manuel Rodriguez y Base SAMU, dependientes de la Dirección del Servicio de Salud Osorno. Todo lo anterior, por un periodo de 18 meses (desde el 01 de julio 2025 hasta el 31 de diciembre del 2026)"/>
    <n v="2"/>
    <s v="Aseo"/>
    <n v="4"/>
    <n v="54"/>
    <n v="1953705"/>
    <n v="5861115"/>
    <x v="5"/>
    <x v="5"/>
    <x v="9"/>
    <x v="11"/>
    <s v="64-2337381-"/>
    <s v="lorena.torresc@redsalud.gob.cl"/>
    <x v="8"/>
    <d v="2025-08-20T00:00:00"/>
    <n v="16"/>
    <s v="1057532-4942-SE25"/>
    <n v="1"/>
    <n v="5861115"/>
    <d v="2026-01-01T00:00:00"/>
    <x v="0"/>
    <x v="0"/>
  </r>
  <r>
    <s v="SERVICIO DE SALUD OSORNO"/>
    <s v="Bienes y Servicios"/>
    <x v="15"/>
    <s v="Proyecto operacional"/>
    <s v="Publicado"/>
    <s v="22.08.001"/>
    <x v="16"/>
    <s v="Se requiere contar con servicios de aseo en los Edificios Plaza Sur, Manuel Rodriguez y Base SAMU, dependientes de la Dirección del Servicio de Salud Osorno. Todo lo anterior, por un periodo de 18 meses (desde el 01 de julio 2025 hasta el 31 de diciembre del 2026)"/>
    <n v="2"/>
    <s v="Aseo"/>
    <n v="4"/>
    <n v="54"/>
    <n v="1953705"/>
    <n v="5861115"/>
    <x v="5"/>
    <x v="5"/>
    <x v="9"/>
    <x v="11"/>
    <s v="64-2337381-"/>
    <s v="lorena.torresc@redsalud.gob.cl"/>
    <x v="8"/>
    <d v="2025-08-20T00:00:00"/>
    <n v="16"/>
    <s v="1057532-4948-SE25"/>
    <n v="1"/>
    <n v="5861115"/>
    <d v="2026-01-01T00:00:00"/>
    <x v="0"/>
    <x v="0"/>
  </r>
  <r>
    <s v="SERVICIO DE SALUD OSORNO"/>
    <s v="Bienes y Servicios"/>
    <x v="15"/>
    <s v="Proyecto operacional"/>
    <s v="Publicado"/>
    <s v="22.08.001"/>
    <x v="16"/>
    <s v="Se requiere contar con servicios de aseo en los Edificios Plaza Sur, Manuel Rodriguez y Base SAMU, dependientes de la Dirección del Servicio de Salud Osorno. Todo lo anterior, por un periodo de 18 meses (desde el 01 de julio 2025 hasta el 31 de diciembre del 2026)"/>
    <n v="2"/>
    <s v="Aseo"/>
    <n v="4"/>
    <n v="54"/>
    <n v="1953705"/>
    <n v="5861115"/>
    <x v="5"/>
    <x v="5"/>
    <x v="9"/>
    <x v="11"/>
    <s v="64-2337381-"/>
    <s v="lorena.torresc@redsalud.gob.cl"/>
    <x v="8"/>
    <d v="2025-08-20T00:00:00"/>
    <n v="16"/>
    <s v="1057532-4604-SE25"/>
    <n v="1"/>
    <n v="5861115"/>
    <d v="2026-01-01T00:00:00"/>
    <x v="0"/>
    <x v="0"/>
  </r>
  <r>
    <s v="SERVICIO DE SALUD OSORNO"/>
    <s v="Bienes y Servicios"/>
    <x v="15"/>
    <s v="Proyecto operacional"/>
    <s v="Publicado"/>
    <s v="22.08.001"/>
    <x v="16"/>
    <s v="Se requiere contar con servicios de aseo en los Edificios Plaza Sur, Manuel Rodriguez y Base SAMU, dependientes de la Dirección del Servicio de Salud Osorno. Todo lo anterior, por un periodo de 18 meses (desde el 01 de julio 2025 hasta el 31 de diciembre del 2026)"/>
    <n v="2"/>
    <s v="Aseo"/>
    <n v="4"/>
    <n v="54"/>
    <n v="1953705"/>
    <n v="5861115"/>
    <x v="5"/>
    <x v="5"/>
    <x v="9"/>
    <x v="11"/>
    <s v="64-2337381-"/>
    <s v="lorena.torresc@redsalud.gob.cl"/>
    <x v="8"/>
    <d v="2025-08-20T00:00:00"/>
    <n v="16"/>
    <s v="1057532-4942-SE25"/>
    <n v="1"/>
    <n v="5861115"/>
    <d v="2026-05-01T00:00:00"/>
    <x v="0"/>
    <x v="0"/>
  </r>
  <r>
    <s v="SERVICIO DE SALUD OSORNO"/>
    <s v="Bienes y Servicios"/>
    <x v="15"/>
    <s v="Proyecto operacional"/>
    <s v="Publicado"/>
    <s v="22.08.001"/>
    <x v="16"/>
    <s v="Se requiere contar con servicios de aseo en los Edificios Plaza Sur, Manuel Rodriguez y Base SAMU, dependientes de la Dirección del Servicio de Salud Osorno. Todo lo anterior, por un periodo de 18 meses (desde el 01 de julio 2025 hasta el 31 de diciembre del 2026)"/>
    <n v="2"/>
    <s v="Aseo"/>
    <n v="4"/>
    <n v="54"/>
    <n v="1953705"/>
    <n v="5861115"/>
    <x v="5"/>
    <x v="5"/>
    <x v="9"/>
    <x v="11"/>
    <s v="64-2337381-"/>
    <s v="lorena.torresc@redsalud.gob.cl"/>
    <x v="8"/>
    <d v="2025-08-20T00:00:00"/>
    <n v="16"/>
    <s v="1057532-4604-SE25"/>
    <n v="1"/>
    <n v="5861115"/>
    <d v="2026-02-01T00:00:00"/>
    <x v="0"/>
    <x v="0"/>
  </r>
  <r>
    <s v="SERVICIO DE SALUD OSORNO"/>
    <s v="Bienes y Servicios"/>
    <x v="15"/>
    <s v="Proyecto operacional"/>
    <s v="Publicado"/>
    <s v="22.08.001"/>
    <x v="16"/>
    <s v="Se requiere contar con servicios de aseo en los Edificios Plaza Sur, Manuel Rodriguez y Base SAMU, dependientes de la Dirección del Servicio de Salud Osorno. Todo lo anterior, por un periodo de 18 meses (desde el 01 de julio 2025 hasta el 31 de diciembre del 2026)"/>
    <n v="2"/>
    <s v="Aseo"/>
    <n v="4"/>
    <n v="54"/>
    <n v="1953705"/>
    <n v="5861115"/>
    <x v="5"/>
    <x v="5"/>
    <x v="9"/>
    <x v="11"/>
    <s v="64-2337381-"/>
    <s v="lorena.torresc@redsalud.gob.cl"/>
    <x v="8"/>
    <d v="2025-08-20T00:00:00"/>
    <n v="16"/>
    <s v="1057532-5193-SE25"/>
    <n v="1"/>
    <n v="5861115"/>
    <d v="2026-12-01T00:00:00"/>
    <x v="0"/>
    <x v="0"/>
  </r>
  <r>
    <s v="SERVICIO DE SALUD OSORNO"/>
    <s v="Bienes y Servicios"/>
    <x v="15"/>
    <s v="Proyecto operacional"/>
    <s v="Publicado"/>
    <s v="22.08.001"/>
    <x v="16"/>
    <s v="Se requiere contar con servicios de aseo en los Edificios Plaza Sur, Manuel Rodriguez y Base SAMU, dependientes de la Dirección del Servicio de Salud Osorno. Todo lo anterior, por un periodo de 18 meses (desde el 01 de julio 2025 hasta el 31 de diciembre del 2026)"/>
    <n v="2"/>
    <s v="Aseo"/>
    <n v="4"/>
    <n v="54"/>
    <n v="1953705"/>
    <n v="5861115"/>
    <x v="5"/>
    <x v="5"/>
    <x v="9"/>
    <x v="11"/>
    <s v="64-2337381-"/>
    <s v="lorena.torresc@redsalud.gob.cl"/>
    <x v="8"/>
    <d v="2025-08-20T00:00:00"/>
    <n v="16"/>
    <s v="1057532-4942-SE25"/>
    <n v="1"/>
    <n v="5861115"/>
    <d v="2026-04-01T00:00:00"/>
    <x v="0"/>
    <x v="0"/>
  </r>
  <r>
    <s v="SERVICIO DE SALUD OSORNO"/>
    <s v="Bienes y Servicios"/>
    <x v="15"/>
    <s v="Proyecto operacional"/>
    <s v="Publicado"/>
    <s v="22.08.001"/>
    <x v="16"/>
    <s v="Se requiere contar con servicios de aseo en los Edificios Plaza Sur, Manuel Rodriguez y Base SAMU, dependientes de la Dirección del Servicio de Salud Osorno. Todo lo anterior, por un periodo de 18 meses (desde el 01 de julio 2025 hasta el 31 de diciembre del 2026)"/>
    <n v="2"/>
    <s v="Aseo"/>
    <n v="4"/>
    <n v="54"/>
    <n v="1953705"/>
    <n v="5861115"/>
    <x v="5"/>
    <x v="5"/>
    <x v="9"/>
    <x v="11"/>
    <s v="64-2337381-"/>
    <s v="lorena.torresc@redsalud.gob.cl"/>
    <x v="8"/>
    <d v="2025-08-20T00:00:00"/>
    <n v="16"/>
    <s v="1057532-4942-SE25"/>
    <n v="1"/>
    <n v="5861115"/>
    <d v="2026-02-01T00:00:00"/>
    <x v="0"/>
    <x v="0"/>
  </r>
  <r>
    <s v="SERVICIO DE SALUD OSORNO"/>
    <s v="Bienes y Servicios"/>
    <x v="15"/>
    <s v="Proyecto operacional"/>
    <s v="Publicado"/>
    <s v="22.08.001"/>
    <x v="16"/>
    <s v="Se requiere contar con servicios de aseo en los Edificios Plaza Sur, Manuel Rodriguez y Base SAMU, dependientes de la Dirección del Servicio de Salud Osorno. Todo lo anterior, por un periodo de 18 meses (desde el 01 de julio 2025 hasta el 31 de diciembre del 2026)"/>
    <n v="2"/>
    <s v="Aseo"/>
    <n v="4"/>
    <n v="54"/>
    <n v="1953705"/>
    <n v="5861115"/>
    <x v="5"/>
    <x v="5"/>
    <x v="9"/>
    <x v="11"/>
    <s v="64-2337381-"/>
    <s v="lorena.torresc@redsalud.gob.cl"/>
    <x v="8"/>
    <d v="2025-08-20T00:00:00"/>
    <n v="16"/>
    <s v="1057532-5191-SE25"/>
    <n v="1"/>
    <n v="5861115"/>
    <d v="2026-02-01T00:00:00"/>
    <x v="0"/>
    <x v="0"/>
  </r>
  <r>
    <s v="SERVICIO DE SALUD OSORNO"/>
    <s v="Bienes y Servicios"/>
    <x v="15"/>
    <s v="Proyecto operacional"/>
    <s v="Publicado"/>
    <s v="22.08.001"/>
    <x v="16"/>
    <s v="Se requiere contar con servicios de aseo en los Edificios Plaza Sur, Manuel Rodriguez y Base SAMU, dependientes de la Dirección del Servicio de Salud Osorno. Todo lo anterior, por un periodo de 18 meses (desde el 01 de julio 2025 hasta el 31 de diciembre del 2026)"/>
    <n v="2"/>
    <s v="Aseo"/>
    <n v="4"/>
    <n v="54"/>
    <n v="1953705"/>
    <n v="5861115"/>
    <x v="5"/>
    <x v="5"/>
    <x v="9"/>
    <x v="11"/>
    <s v="64-2337381-"/>
    <s v="lorena.torresc@redsalud.gob.cl"/>
    <x v="8"/>
    <d v="2025-08-20T00:00:00"/>
    <n v="16"/>
    <s v="1057532-4604-SE25"/>
    <n v="1"/>
    <n v="5861115"/>
    <d v="2026-05-01T00:00:00"/>
    <x v="0"/>
    <x v="0"/>
  </r>
  <r>
    <s v="SERVICIO DE SALUD OSORNO"/>
    <s v="Bienes y Servicios"/>
    <x v="15"/>
    <s v="Proyecto operacional"/>
    <s v="Publicado"/>
    <s v="22.08.001"/>
    <x v="16"/>
    <s v="Se requiere contar con servicios de aseo en los Edificios Plaza Sur, Manuel Rodriguez y Base SAMU, dependientes de la Dirección del Servicio de Salud Osorno. Todo lo anterior, por un periodo de 18 meses (desde el 01 de julio 2025 hasta el 31 de diciembre del 2026)"/>
    <n v="2"/>
    <s v="Aseo"/>
    <n v="4"/>
    <n v="54"/>
    <n v="1953705"/>
    <n v="5861115"/>
    <x v="5"/>
    <x v="5"/>
    <x v="9"/>
    <x v="11"/>
    <s v="64-2337381-"/>
    <s v="lorena.torresc@redsalud.gob.cl"/>
    <x v="8"/>
    <d v="2025-08-20T00:00:00"/>
    <n v="16"/>
    <s v="1057532-4942-SE25"/>
    <n v="1"/>
    <n v="5861115"/>
    <d v="2026-06-01T00:00:00"/>
    <x v="0"/>
    <x v="0"/>
  </r>
  <r>
    <s v="SERVICIO DE SALUD OSORNO"/>
    <s v="Bienes y Servicios"/>
    <x v="15"/>
    <s v="Proyecto operacional"/>
    <s v="Publicado"/>
    <s v="22.08.001"/>
    <x v="16"/>
    <s v="Se requiere contar con servicios de aseo en los Edificios Plaza Sur, Manuel Rodriguez y Base SAMU, dependientes de la Dirección del Servicio de Salud Osorno. Todo lo anterior, por un periodo de 18 meses (desde el 01 de julio 2025 hasta el 31 de diciembre del 2026)"/>
    <n v="2"/>
    <s v="Aseo"/>
    <n v="4"/>
    <n v="54"/>
    <n v="1953705"/>
    <n v="5861115"/>
    <x v="5"/>
    <x v="5"/>
    <x v="9"/>
    <x v="11"/>
    <s v="64-2337381-"/>
    <s v="lorena.torresc@redsalud.gob.cl"/>
    <x v="8"/>
    <d v="2025-08-20T00:00:00"/>
    <n v="16"/>
    <s v="1057532-4604-SE25"/>
    <n v="1"/>
    <n v="5861115"/>
    <d v="2026-12-01T00:00:00"/>
    <x v="0"/>
    <x v="0"/>
  </r>
  <r>
    <s v="SERVICIO DE SALUD OSORNO"/>
    <s v="Bienes y Servicios"/>
    <x v="16"/>
    <s v="Proyecto operacional"/>
    <s v="Publicado"/>
    <s v="22.06.001"/>
    <x v="17"/>
    <s v="ADQUISICION SERVICIO DE SOPORTE Y MANTENIMIENTO DE LOS DOS SITIOS DE REPETICION VHF DE EMERGENCIAS, SERVICIO DE SALUD OSORNO (COMPRA ENERO A MARZO 2025)"/>
    <n v="2"/>
    <s v="Mantenimiento"/>
    <n v="4"/>
    <n v="1"/>
    <n v="12500000"/>
    <n v="520341"/>
    <x v="1"/>
    <x v="2"/>
    <x v="11"/>
    <x v="13"/>
    <s v="64-2335606-"/>
    <s v="ESTEBAN.ALARCONB@REDSALUD.GOB.CL"/>
    <x v="8"/>
    <d v="2025-08-20T00:00:00"/>
    <n v="0"/>
    <m/>
    <n v="1"/>
    <n v="520341"/>
    <d v="2026-08-01T00:00:00"/>
    <x v="0"/>
    <x v="0"/>
  </r>
  <r>
    <s v="SERVICIO DE SALUD OSORNO"/>
    <s v="Bienes y Servicios"/>
    <x v="16"/>
    <s v="Proyecto operacional"/>
    <s v="Publicado"/>
    <s v="22.06.001"/>
    <x v="17"/>
    <s v="ADQUISICION SERVICIO DE SOPORTE Y MANTENIMIENTO DE LOS DOS SITIOS DE REPETICION VHF DE EMERGENCIAS, SERVICIO DE SALUD OSORNO (COMPRA ENERO A MARZO 2025)"/>
    <n v="2"/>
    <s v="Mantenimiento"/>
    <n v="4"/>
    <n v="1"/>
    <n v="12500000"/>
    <n v="520333"/>
    <x v="1"/>
    <x v="2"/>
    <x v="11"/>
    <x v="13"/>
    <s v="64-2335606-"/>
    <s v="ESTEBAN.ALARCONB@REDSALUD.GOB.CL"/>
    <x v="8"/>
    <d v="2025-08-20T00:00:00"/>
    <n v="0"/>
    <m/>
    <n v="1"/>
    <n v="520333"/>
    <d v="2026-05-01T00:00:00"/>
    <x v="0"/>
    <x v="0"/>
  </r>
  <r>
    <s v="SERVICIO DE SALUD OSORNO"/>
    <s v="Bienes y Servicios"/>
    <x v="16"/>
    <s v="Proyecto operacional"/>
    <s v="Publicado"/>
    <s v="22.06.001"/>
    <x v="17"/>
    <s v="ADQUISICION SERVICIO DE SOPORTE Y MANTENIMIENTO DE LOS DOS SITIOS DE REPETICION VHF DE EMERGENCIAS, SERVICIO DE SALUD OSORNO (COMPRA ENERO A MARZO 2025)"/>
    <n v="2"/>
    <s v="Mantenimiento"/>
    <n v="4"/>
    <n v="1"/>
    <n v="12500000"/>
    <n v="530333"/>
    <x v="1"/>
    <x v="2"/>
    <x v="11"/>
    <x v="13"/>
    <s v="64-2335606-"/>
    <s v="ESTEBAN.ALARCONB@REDSALUD.GOB.CL"/>
    <x v="8"/>
    <d v="2025-08-20T00:00:00"/>
    <n v="0"/>
    <m/>
    <n v="1"/>
    <n v="530333"/>
    <d v="2026-12-01T00:00:00"/>
    <x v="0"/>
    <x v="0"/>
  </r>
  <r>
    <s v="SERVICIO DE SALUD OSORNO"/>
    <s v="Bienes y Servicios"/>
    <x v="16"/>
    <s v="Proyecto operacional"/>
    <s v="Publicado"/>
    <s v="22.06.001"/>
    <x v="17"/>
    <s v="ADQUISICION SERVICIO DE SOPORTE Y MANTENIMIENTO DE LOS DOS SITIOS DE REPETICION VHF DE EMERGENCIAS, SERVICIO DE SALUD OSORNO (COMPRA ENERO A MARZO 2025)"/>
    <n v="2"/>
    <s v="Mantenimiento"/>
    <n v="4"/>
    <n v="1"/>
    <n v="12500000"/>
    <n v="520333"/>
    <x v="1"/>
    <x v="2"/>
    <x v="11"/>
    <x v="13"/>
    <s v="64-2335606-"/>
    <s v="ESTEBAN.ALARCONB@REDSALUD.GOB.CL"/>
    <x v="8"/>
    <d v="2025-08-20T00:00:00"/>
    <n v="0"/>
    <m/>
    <n v="1"/>
    <n v="520333"/>
    <d v="2026-03-01T00:00:00"/>
    <x v="0"/>
    <x v="0"/>
  </r>
  <r>
    <s v="SERVICIO DE SALUD OSORNO"/>
    <s v="Bienes y Servicios"/>
    <x v="16"/>
    <s v="Proyecto operacional"/>
    <s v="Publicado"/>
    <s v="22.06.001"/>
    <x v="17"/>
    <s v="ADQUISICION SERVICIO DE SOPORTE Y MANTENIMIENTO DE LOS DOS SITIOS DE REPETICION VHF DE EMERGENCIAS, SERVICIO DE SALUD OSORNO (COMPRA ENERO A MARZO 2025)"/>
    <n v="2"/>
    <s v="Mantenimiento"/>
    <n v="4"/>
    <n v="1"/>
    <n v="12500000"/>
    <n v="520333"/>
    <x v="1"/>
    <x v="2"/>
    <x v="11"/>
    <x v="13"/>
    <s v="64-2335606-"/>
    <s v="ESTEBAN.ALARCONB@REDSALUD.GOB.CL"/>
    <x v="8"/>
    <d v="2025-08-20T00:00:00"/>
    <n v="0"/>
    <m/>
    <n v="1"/>
    <n v="520333"/>
    <d v="2026-02-01T00:00:00"/>
    <x v="0"/>
    <x v="0"/>
  </r>
  <r>
    <s v="SERVICIO DE SALUD OSORNO"/>
    <s v="Bienes y Servicios"/>
    <x v="16"/>
    <s v="Proyecto operacional"/>
    <s v="Publicado"/>
    <s v="22.06.001"/>
    <x v="17"/>
    <s v="ADQUISICION SERVICIO DE SOPORTE Y MANTENIMIENTO DE LOS DOS SITIOS DE REPETICION VHF DE EMERGENCIAS, SERVICIO DE SALUD OSORNO (COMPRA ENERO A MARZO 2025)"/>
    <n v="2"/>
    <s v="Mantenimiento"/>
    <n v="4"/>
    <n v="1"/>
    <n v="12500000"/>
    <n v="521333"/>
    <x v="1"/>
    <x v="2"/>
    <x v="11"/>
    <x v="13"/>
    <s v="64-2335606-"/>
    <s v="ESTEBAN.ALARCONB@REDSALUD.GOB.CL"/>
    <x v="8"/>
    <d v="2025-08-20T00:00:00"/>
    <n v="0"/>
    <m/>
    <n v="1"/>
    <n v="521333"/>
    <d v="2026-11-01T00:00:00"/>
    <x v="0"/>
    <x v="0"/>
  </r>
  <r>
    <s v="SERVICIO DE SALUD OSORNO"/>
    <s v="Bienes y Servicios"/>
    <x v="16"/>
    <s v="Proyecto operacional"/>
    <s v="Publicado"/>
    <s v="22.06.001"/>
    <x v="17"/>
    <s v="ADQUISICION SERVICIO DE SOPORTE Y MANTENIMIENTO DE LOS DOS SITIOS DE REPETICION VHF DE EMERGENCIAS, SERVICIO DE SALUD OSORNO (COMPRA ENERO A MARZO 2025)"/>
    <n v="2"/>
    <s v="Mantenimiento"/>
    <n v="4"/>
    <n v="1"/>
    <n v="12500000"/>
    <n v="520333"/>
    <x v="1"/>
    <x v="2"/>
    <x v="11"/>
    <x v="13"/>
    <s v="64-2335606-"/>
    <s v="ESTEBAN.ALARCONB@REDSALUD.GOB.CL"/>
    <x v="8"/>
    <d v="2025-08-20T00:00:00"/>
    <n v="0"/>
    <m/>
    <n v="1"/>
    <n v="520333"/>
    <d v="2026-01-01T00:00:00"/>
    <x v="0"/>
    <x v="0"/>
  </r>
  <r>
    <s v="SERVICIO DE SALUD OSORNO"/>
    <s v="Bienes y Servicios"/>
    <x v="16"/>
    <s v="Proyecto operacional"/>
    <s v="Publicado"/>
    <s v="22.06.001"/>
    <x v="17"/>
    <s v="ADQUISICION SERVICIO DE SOPORTE Y MANTENIMIENTO DE LOS DOS SITIOS DE REPETICION VHF DE EMERGENCIAS, SERVICIO DE SALUD OSORNO (COMPRA ENERO A MARZO 2025)"/>
    <n v="2"/>
    <s v="Mantenimiento"/>
    <n v="4"/>
    <n v="1"/>
    <n v="12500000"/>
    <n v="520333"/>
    <x v="1"/>
    <x v="2"/>
    <x v="11"/>
    <x v="13"/>
    <s v="64-2335606-"/>
    <s v="ESTEBAN.ALARCONB@REDSALUD.GOB.CL"/>
    <x v="8"/>
    <d v="2025-08-20T00:00:00"/>
    <n v="0"/>
    <m/>
    <n v="1"/>
    <n v="520333"/>
    <d v="2026-06-01T00:00:00"/>
    <x v="0"/>
    <x v="0"/>
  </r>
  <r>
    <s v="SERVICIO DE SALUD OSORNO"/>
    <s v="Bienes y Servicios"/>
    <x v="16"/>
    <s v="Proyecto operacional"/>
    <s v="Publicado"/>
    <s v="22.06.001"/>
    <x v="17"/>
    <s v="ADQUISICION SERVICIO DE SOPORTE Y MANTENIMIENTO DE LOS DOS SITIOS DE REPETICION VHF DE EMERGENCIAS, SERVICIO DE SALUD OSORNO (COMPRA ENERO A MARZO 2025)"/>
    <n v="2"/>
    <s v="Mantenimiento"/>
    <n v="4"/>
    <n v="1"/>
    <n v="12500000"/>
    <n v="520333"/>
    <x v="1"/>
    <x v="2"/>
    <x v="11"/>
    <x v="13"/>
    <s v="64-2335606-"/>
    <s v="ESTEBAN.ALARCONB@REDSALUD.GOB.CL"/>
    <x v="8"/>
    <d v="2025-08-20T00:00:00"/>
    <n v="0"/>
    <m/>
    <n v="1"/>
    <n v="520333"/>
    <d v="2026-04-01T00:00:00"/>
    <x v="0"/>
    <x v="0"/>
  </r>
  <r>
    <s v="SERVICIO DE SALUD OSORNO"/>
    <s v="Bienes y Servicios"/>
    <x v="16"/>
    <s v="Proyecto operacional"/>
    <s v="Publicado"/>
    <s v="22.06.001"/>
    <x v="17"/>
    <s v="ADQUISICION SERVICIO DE SOPORTE Y MANTENIMIENTO DE LOS DOS SITIOS DE REPETICION VHF DE EMERGENCIAS, SERVICIO DE SALUD OSORNO (COMPRA ENERO A MARZO 2025)"/>
    <n v="2"/>
    <s v="Mantenimiento"/>
    <n v="4"/>
    <n v="1"/>
    <n v="12500000"/>
    <n v="520333"/>
    <x v="1"/>
    <x v="2"/>
    <x v="11"/>
    <x v="13"/>
    <s v="64-2335606-"/>
    <s v="ESTEBAN.ALARCONB@REDSALUD.GOB.CL"/>
    <x v="8"/>
    <d v="2025-08-20T00:00:00"/>
    <n v="0"/>
    <m/>
    <n v="1"/>
    <n v="520333"/>
    <d v="2026-07-01T00:00:00"/>
    <x v="0"/>
    <x v="0"/>
  </r>
  <r>
    <s v="SERVICIO DE SALUD OSORNO"/>
    <s v="Bienes y Servicios"/>
    <x v="16"/>
    <s v="Proyecto operacional"/>
    <s v="Publicado"/>
    <s v="22.06.001"/>
    <x v="17"/>
    <s v="ADQUISICION SERVICIO DE SOPORTE Y MANTENIMIENTO DE LOS DOS SITIOS DE REPETICION VHF DE EMERGENCIAS, SERVICIO DE SALUD OSORNO (COMPRA ENERO A MARZO 2025)"/>
    <n v="2"/>
    <s v="Mantenimiento"/>
    <n v="4"/>
    <n v="1"/>
    <n v="12500000"/>
    <n v="520833"/>
    <x v="1"/>
    <x v="2"/>
    <x v="11"/>
    <x v="13"/>
    <s v="64-2335606-"/>
    <s v="ESTEBAN.ALARCONB@REDSALUD.GOB.CL"/>
    <x v="8"/>
    <d v="2025-08-20T00:00:00"/>
    <n v="0"/>
    <m/>
    <n v="1"/>
    <n v="520833"/>
    <d v="2026-09-01T00:00:00"/>
    <x v="0"/>
    <x v="0"/>
  </r>
  <r>
    <s v="SERVICIO DE SALUD OSORNO"/>
    <s v="Bienes y Servicios"/>
    <x v="16"/>
    <s v="Proyecto operacional"/>
    <s v="Publicado"/>
    <s v="22.06.001"/>
    <x v="17"/>
    <s v="ADQUISICION SERVICIO DE SOPORTE Y MANTENIMIENTO DE LOS DOS SITIOS DE REPETICION VHF DE EMERGENCIAS, SERVICIO DE SALUD OSORNO (COMPRA ENERO A MARZO 2025)"/>
    <n v="2"/>
    <s v="Mantenimiento"/>
    <n v="4"/>
    <n v="1"/>
    <n v="12500000"/>
    <n v="520333"/>
    <x v="1"/>
    <x v="2"/>
    <x v="11"/>
    <x v="13"/>
    <s v="64-2335606-"/>
    <s v="ESTEBAN.ALARCONB@REDSALUD.GOB.CL"/>
    <x v="8"/>
    <d v="2025-08-20T00:00:00"/>
    <n v="0"/>
    <m/>
    <n v="1"/>
    <n v="520333"/>
    <d v="2026-10-01T00:00:00"/>
    <x v="0"/>
    <x v="0"/>
  </r>
  <r>
    <s v="SERVICIO DE SALUD OSORNO"/>
    <s v="Bienes y Servicios"/>
    <x v="17"/>
    <s v="Proyecto operacional"/>
    <s v="Publicado"/>
    <s v="22.12.999"/>
    <x v="18"/>
    <s v="Se requiere la contratación del servicio denominado Residencia Protegida (beneficiarios 3 usuarios) para usuarios/as por un periodo de 24 meses. Modificando PAC ID: 1057532-188-PC23"/>
    <n v="2"/>
    <s v="Servicio Residencial"/>
    <n v="4"/>
    <n v="3"/>
    <n v="32076748"/>
    <n v="4009593"/>
    <x v="1"/>
    <x v="2"/>
    <x v="12"/>
    <x v="14"/>
    <s v="64-2335813-"/>
    <s v="angelo.palma@redsalud.gob.cl"/>
    <x v="8"/>
    <d v="2025-08-20T00:00:00"/>
    <n v="11"/>
    <s v="1057532-4191-SE25"/>
    <n v="1"/>
    <n v="4009593"/>
    <d v="2026-02-01T00:00:00"/>
    <x v="0"/>
    <x v="0"/>
  </r>
  <r>
    <s v="SERVICIO DE SALUD OSORNO"/>
    <s v="Bienes y Servicios"/>
    <x v="17"/>
    <s v="Proyecto operacional"/>
    <s v="Publicado"/>
    <s v="22.12.999"/>
    <x v="18"/>
    <s v="Se requiere la contratación del servicio denominado Residencia Protegida (beneficiarios 3 usuarios) para usuarios/as por un periodo de 24 meses. Modificando PAC ID: 1057532-188-PC23"/>
    <n v="2"/>
    <s v="Servicio Residencial"/>
    <n v="4"/>
    <n v="3"/>
    <n v="32076748"/>
    <n v="4009593"/>
    <x v="1"/>
    <x v="2"/>
    <x v="12"/>
    <x v="14"/>
    <s v="64-2335813-"/>
    <s v="angelo.palma@redsalud.gob.cl"/>
    <x v="8"/>
    <d v="2025-08-20T00:00:00"/>
    <n v="11"/>
    <s v="1057532-4191-SE25"/>
    <n v="1"/>
    <n v="4009593"/>
    <d v="2026-07-01T00:00:00"/>
    <x v="0"/>
    <x v="0"/>
  </r>
  <r>
    <s v="SERVICIO DE SALUD OSORNO"/>
    <s v="Bienes y Servicios"/>
    <x v="17"/>
    <s v="Proyecto operacional"/>
    <s v="Publicado"/>
    <s v="22.12.999"/>
    <x v="18"/>
    <s v="Se requiere la contratación del servicio denominado Residencia Protegida (beneficiarios 3 usuarios) para usuarios/as por un periodo de 24 meses. Modificando PAC ID: 1057532-188-PC23"/>
    <n v="2"/>
    <s v="Servicio Residencial"/>
    <n v="4"/>
    <n v="3"/>
    <n v="32076748"/>
    <n v="4009593"/>
    <x v="1"/>
    <x v="2"/>
    <x v="12"/>
    <x v="14"/>
    <s v="64-2335813-"/>
    <s v="angelo.palma@redsalud.gob.cl"/>
    <x v="8"/>
    <d v="2025-08-20T00:00:00"/>
    <n v="11"/>
    <s v="1057532-274-SE25"/>
    <n v="1"/>
    <n v="4009593"/>
    <d v="2026-07-01T00:00:00"/>
    <x v="0"/>
    <x v="0"/>
  </r>
  <r>
    <s v="SERVICIO DE SALUD OSORNO"/>
    <s v="Bienes y Servicios"/>
    <x v="17"/>
    <s v="Proyecto operacional"/>
    <s v="Publicado"/>
    <s v="22.12.999"/>
    <x v="18"/>
    <s v="Se requiere la contratación del servicio denominado Residencia Protegida (beneficiarios 3 usuarios) para usuarios/as por un periodo de 24 meses. Modificando PAC ID: 1057532-188-PC23"/>
    <n v="2"/>
    <s v="Servicio Residencial"/>
    <n v="4"/>
    <n v="3"/>
    <n v="32076748"/>
    <n v="4009593"/>
    <x v="1"/>
    <x v="2"/>
    <x v="12"/>
    <x v="14"/>
    <s v="64-2335813-"/>
    <s v="angelo.palma@redsalud.gob.cl"/>
    <x v="8"/>
    <d v="2025-08-20T00:00:00"/>
    <n v="11"/>
    <s v="1057532-4423-SE25"/>
    <n v="1"/>
    <n v="4009593"/>
    <d v="2026-05-01T00:00:00"/>
    <x v="0"/>
    <x v="0"/>
  </r>
  <r>
    <s v="SERVICIO DE SALUD OSORNO"/>
    <s v="Bienes y Servicios"/>
    <x v="17"/>
    <s v="Proyecto operacional"/>
    <s v="Publicado"/>
    <s v="22.12.999"/>
    <x v="18"/>
    <s v="Se requiere la contratación del servicio denominado Residencia Protegida (beneficiarios 3 usuarios) para usuarios/as por un periodo de 24 meses. Modificando PAC ID: 1057532-188-PC23"/>
    <n v="2"/>
    <s v="Servicio Residencial"/>
    <n v="4"/>
    <n v="3"/>
    <n v="32076748"/>
    <n v="4009593"/>
    <x v="1"/>
    <x v="2"/>
    <x v="12"/>
    <x v="14"/>
    <s v="64-2335813-"/>
    <s v="angelo.palma@redsalud.gob.cl"/>
    <x v="8"/>
    <d v="2025-08-20T00:00:00"/>
    <n v="11"/>
    <s v="1057532-4746-SE25"/>
    <n v="1"/>
    <n v="4009593"/>
    <d v="2026-10-01T00:00:00"/>
    <x v="0"/>
    <x v="0"/>
  </r>
  <r>
    <s v="SERVICIO DE SALUD OSORNO"/>
    <s v="Bienes y Servicios"/>
    <x v="17"/>
    <s v="Proyecto operacional"/>
    <s v="Publicado"/>
    <s v="22.12.999"/>
    <x v="18"/>
    <s v="Se requiere la contratación del servicio denominado Residencia Protegida (beneficiarios 3 usuarios) para usuarios/as por un periodo de 24 meses. Modificando PAC ID: 1057532-188-PC23"/>
    <n v="2"/>
    <s v="Servicio Residencial"/>
    <n v="4"/>
    <n v="3"/>
    <n v="32076748"/>
    <n v="4009593"/>
    <x v="1"/>
    <x v="2"/>
    <x v="12"/>
    <x v="14"/>
    <s v="64-2335813-"/>
    <s v="angelo.palma@redsalud.gob.cl"/>
    <x v="8"/>
    <d v="2025-08-20T00:00:00"/>
    <n v="11"/>
    <s v="1057532-3967-SE25"/>
    <n v="1"/>
    <n v="4009593"/>
    <d v="2026-09-01T00:00:00"/>
    <x v="0"/>
    <x v="0"/>
  </r>
  <r>
    <s v="SERVICIO DE SALUD OSORNO"/>
    <s v="Bienes y Servicios"/>
    <x v="17"/>
    <s v="Proyecto operacional"/>
    <s v="Publicado"/>
    <s v="22.12.999"/>
    <x v="18"/>
    <s v="Se requiere la contratación del servicio denominado Residencia Protegida (beneficiarios 3 usuarios) para usuarios/as por un periodo de 24 meses. Modificando PAC ID: 1057532-188-PC23"/>
    <n v="2"/>
    <s v="Servicio Residencial"/>
    <n v="4"/>
    <n v="3"/>
    <n v="32076748"/>
    <n v="4009593"/>
    <x v="1"/>
    <x v="2"/>
    <x v="12"/>
    <x v="14"/>
    <s v="64-2335813-"/>
    <s v="angelo.palma@redsalud.gob.cl"/>
    <x v="8"/>
    <d v="2025-08-20T00:00:00"/>
    <n v="11"/>
    <s v="1057532-4746-SE25"/>
    <n v="1"/>
    <n v="4009593"/>
    <d v="2026-05-01T00:00:00"/>
    <x v="0"/>
    <x v="0"/>
  </r>
  <r>
    <s v="SERVICIO DE SALUD OSORNO"/>
    <s v="Bienes y Servicios"/>
    <x v="17"/>
    <s v="Proyecto operacional"/>
    <s v="Publicado"/>
    <s v="22.12.999"/>
    <x v="18"/>
    <s v="Se requiere la contratación del servicio denominado Residencia Protegida (beneficiarios 3 usuarios) para usuarios/as por un periodo de 24 meses. Modificando PAC ID: 1057532-188-PC23"/>
    <n v="2"/>
    <s v="Servicio Residencial"/>
    <n v="4"/>
    <n v="3"/>
    <n v="32076748"/>
    <n v="4009593"/>
    <x v="1"/>
    <x v="2"/>
    <x v="12"/>
    <x v="14"/>
    <s v="64-2335813-"/>
    <s v="angelo.palma@redsalud.gob.cl"/>
    <x v="8"/>
    <d v="2025-08-20T00:00:00"/>
    <n v="11"/>
    <s v="1057532-4423-SE25"/>
    <n v="1"/>
    <n v="4009593"/>
    <d v="2026-07-01T00:00:00"/>
    <x v="0"/>
    <x v="0"/>
  </r>
  <r>
    <s v="SERVICIO DE SALUD OSORNO"/>
    <s v="Bienes y Servicios"/>
    <x v="17"/>
    <s v="Proyecto operacional"/>
    <s v="Publicado"/>
    <s v="22.12.999"/>
    <x v="18"/>
    <s v="Se requiere la contratación del servicio denominado Residencia Protegida (beneficiarios 3 usuarios) para usuarios/as por un periodo de 24 meses. Modificando PAC ID: 1057532-188-PC23"/>
    <n v="2"/>
    <s v="Servicio Residencial"/>
    <n v="4"/>
    <n v="3"/>
    <n v="32076748"/>
    <n v="4009593"/>
    <x v="1"/>
    <x v="2"/>
    <x v="12"/>
    <x v="14"/>
    <s v="64-2335813-"/>
    <s v="angelo.palma@redsalud.gob.cl"/>
    <x v="8"/>
    <d v="2025-08-20T00:00:00"/>
    <n v="11"/>
    <s v="1057532-4551-SE25"/>
    <n v="1"/>
    <n v="4009593"/>
    <d v="2026-11-01T00:00:00"/>
    <x v="0"/>
    <x v="0"/>
  </r>
  <r>
    <s v="SERVICIO DE SALUD OSORNO"/>
    <s v="Bienes y Servicios"/>
    <x v="17"/>
    <s v="Proyecto operacional"/>
    <s v="Publicado"/>
    <s v="22.12.999"/>
    <x v="18"/>
    <s v="Se requiere la contratación del servicio denominado Residencia Protegida (beneficiarios 3 usuarios) para usuarios/as por un periodo de 24 meses. Modificando PAC ID: 1057532-188-PC23"/>
    <n v="2"/>
    <s v="Servicio Residencial"/>
    <n v="4"/>
    <n v="3"/>
    <n v="32076748"/>
    <n v="4009593"/>
    <x v="1"/>
    <x v="2"/>
    <x v="12"/>
    <x v="14"/>
    <s v="64-2335813-"/>
    <s v="angelo.palma@redsalud.gob.cl"/>
    <x v="8"/>
    <d v="2025-08-20T00:00:00"/>
    <n v="11"/>
    <s v="1057532-5466-SE25"/>
    <n v="1"/>
    <n v="4009593"/>
    <d v="2026-06-01T00:00:00"/>
    <x v="0"/>
    <x v="0"/>
  </r>
  <r>
    <s v="SERVICIO DE SALUD OSORNO"/>
    <s v="Bienes y Servicios"/>
    <x v="17"/>
    <s v="Proyecto operacional"/>
    <s v="Publicado"/>
    <s v="22.12.999"/>
    <x v="18"/>
    <s v="Se requiere la contratación del servicio denominado Residencia Protegida (beneficiarios 3 usuarios) para usuarios/as por un periodo de 24 meses. Modificando PAC ID: 1057532-188-PC23"/>
    <n v="2"/>
    <s v="Servicio Residencial"/>
    <n v="4"/>
    <n v="3"/>
    <n v="32076748"/>
    <n v="4009593"/>
    <x v="1"/>
    <x v="2"/>
    <x v="12"/>
    <x v="14"/>
    <s v="64-2335813-"/>
    <s v="angelo.palma@redsalud.gob.cl"/>
    <x v="8"/>
    <d v="2025-08-20T00:00:00"/>
    <n v="11"/>
    <s v="1057532-3967-SE25"/>
    <n v="1"/>
    <n v="4009593"/>
    <d v="2026-01-01T00:00:00"/>
    <x v="0"/>
    <x v="0"/>
  </r>
  <r>
    <s v="SERVICIO DE SALUD OSORNO"/>
    <s v="Bienes y Servicios"/>
    <x v="17"/>
    <s v="Proyecto operacional"/>
    <s v="Publicado"/>
    <s v="22.12.999"/>
    <x v="18"/>
    <s v="Se requiere la contratación del servicio denominado Residencia Protegida (beneficiarios 3 usuarios) para usuarios/as por un periodo de 24 meses. Modificando PAC ID: 1057532-188-PC23"/>
    <n v="2"/>
    <s v="Servicio Residencial"/>
    <n v="4"/>
    <n v="3"/>
    <n v="32076748"/>
    <n v="4009605"/>
    <x v="1"/>
    <x v="2"/>
    <x v="12"/>
    <x v="14"/>
    <s v="64-2335813-"/>
    <s v="angelo.palma@redsalud.gob.cl"/>
    <x v="8"/>
    <d v="2025-08-20T00:00:00"/>
    <n v="11"/>
    <s v="1057532-4746-SE25"/>
    <n v="1"/>
    <n v="4009605"/>
    <d v="2026-12-01T00:00:00"/>
    <x v="0"/>
    <x v="0"/>
  </r>
  <r>
    <s v="SERVICIO DE SALUD OSORNO"/>
    <s v="Bienes y Servicios"/>
    <x v="18"/>
    <s v="Proyecto operacional"/>
    <s v="Publicado"/>
    <s v="22.12.999"/>
    <x v="19"/>
    <s v="Se requiere la contratación del servicio denominado Residencia Protegida (beneficiarios 12 usuarios) para usuarios/as por un periodo de 24 meses."/>
    <n v="2"/>
    <s v="Servicio Residencial"/>
    <n v="4"/>
    <n v="12"/>
    <n v="39525850"/>
    <n v="19762925"/>
    <x v="1"/>
    <x v="2"/>
    <x v="12"/>
    <x v="14"/>
    <s v="64-2335813-"/>
    <s v="angelo.palma@redsalud.gob.cl"/>
    <x v="8"/>
    <d v="2025-08-20T00:00:00"/>
    <n v="12"/>
    <s v="1057532-4430-SE25"/>
    <n v="1"/>
    <n v="19762925"/>
    <d v="2026-05-01T00:00:00"/>
    <x v="0"/>
    <x v="0"/>
  </r>
  <r>
    <s v="SERVICIO DE SALUD OSORNO"/>
    <s v="Bienes y Servicios"/>
    <x v="18"/>
    <s v="Proyecto operacional"/>
    <s v="Publicado"/>
    <s v="22.12.999"/>
    <x v="19"/>
    <s v="Se requiere la contratación del servicio denominado Residencia Protegida (beneficiarios 12 usuarios) para usuarios/as por un periodo de 24 meses."/>
    <n v="2"/>
    <s v="Servicio Residencial"/>
    <n v="4"/>
    <n v="12"/>
    <n v="39525850"/>
    <n v="19762925"/>
    <x v="1"/>
    <x v="2"/>
    <x v="12"/>
    <x v="14"/>
    <s v="64-2335813-"/>
    <s v="angelo.palma@redsalud.gob.cl"/>
    <x v="8"/>
    <d v="2025-08-20T00:00:00"/>
    <n v="12"/>
    <s v="1057532-4430-SE25"/>
    <n v="1"/>
    <n v="19762925"/>
    <d v="2026-04-01T00:00:00"/>
    <x v="0"/>
    <x v="0"/>
  </r>
  <r>
    <s v="SERVICIO DE SALUD OSORNO"/>
    <s v="Bienes y Servicios"/>
    <x v="18"/>
    <s v="Proyecto operacional"/>
    <s v="Publicado"/>
    <s v="22.12.999"/>
    <x v="19"/>
    <s v="Se requiere la contratación del servicio denominado Residencia Protegida (beneficiarios 12 usuarios) para usuarios/as por un periodo de 24 meses."/>
    <n v="2"/>
    <s v="Servicio Residencial"/>
    <n v="4"/>
    <n v="12"/>
    <n v="39525850"/>
    <n v="19762925"/>
    <x v="1"/>
    <x v="2"/>
    <x v="12"/>
    <x v="14"/>
    <s v="64-2335813-"/>
    <s v="angelo.palma@redsalud.gob.cl"/>
    <x v="8"/>
    <d v="2025-08-20T00:00:00"/>
    <n v="12"/>
    <s v="1057532-4137-TD25"/>
    <n v="1"/>
    <n v="19762925"/>
    <d v="2026-09-01T00:00:00"/>
    <x v="0"/>
    <x v="0"/>
  </r>
  <r>
    <s v="SERVICIO DE SALUD OSORNO"/>
    <s v="Bienes y Servicios"/>
    <x v="18"/>
    <s v="Proyecto operacional"/>
    <s v="Publicado"/>
    <s v="22.12.999"/>
    <x v="19"/>
    <s v="Se requiere la contratación del servicio denominado Residencia Protegida (beneficiarios 12 usuarios) para usuarios/as por un periodo de 24 meses."/>
    <n v="2"/>
    <s v="Servicio Residencial"/>
    <n v="4"/>
    <n v="12"/>
    <n v="39525850"/>
    <n v="19762925"/>
    <x v="1"/>
    <x v="2"/>
    <x v="12"/>
    <x v="14"/>
    <s v="64-2335813-"/>
    <s v="angelo.palma@redsalud.gob.cl"/>
    <x v="8"/>
    <d v="2025-08-20T00:00:00"/>
    <n v="12"/>
    <s v="1057532-4210-SE25"/>
    <n v="1"/>
    <n v="19762925"/>
    <d v="2026-04-01T00:00:00"/>
    <x v="0"/>
    <x v="0"/>
  </r>
  <r>
    <s v="SERVICIO DE SALUD OSORNO"/>
    <s v="Bienes y Servicios"/>
    <x v="18"/>
    <s v="Proyecto operacional"/>
    <s v="Publicado"/>
    <s v="22.12.999"/>
    <x v="19"/>
    <s v="Se requiere la contratación del servicio denominado Residencia Protegida (beneficiarios 12 usuarios) para usuarios/as por un periodo de 24 meses."/>
    <n v="2"/>
    <s v="Servicio Residencial"/>
    <n v="4"/>
    <n v="12"/>
    <n v="39525850"/>
    <n v="19762925"/>
    <x v="1"/>
    <x v="2"/>
    <x v="12"/>
    <x v="14"/>
    <s v="64-2335813-"/>
    <s v="angelo.palma@redsalud.gob.cl"/>
    <x v="8"/>
    <d v="2025-08-20T00:00:00"/>
    <n v="12"/>
    <s v="1057532-4137-TD25"/>
    <n v="1"/>
    <n v="19762925"/>
    <d v="2026-06-01T00:00:00"/>
    <x v="0"/>
    <x v="0"/>
  </r>
  <r>
    <s v="SERVICIO DE SALUD OSORNO"/>
    <s v="Bienes y Servicios"/>
    <x v="18"/>
    <s v="Proyecto operacional"/>
    <s v="Publicado"/>
    <s v="22.12.999"/>
    <x v="19"/>
    <s v="Se requiere la contratación del servicio denominado Residencia Protegida (beneficiarios 12 usuarios) para usuarios/as por un periodo de 24 meses."/>
    <n v="2"/>
    <s v="Servicio Residencial"/>
    <n v="4"/>
    <n v="12"/>
    <n v="39525850"/>
    <n v="19762925"/>
    <x v="1"/>
    <x v="2"/>
    <x v="12"/>
    <x v="14"/>
    <s v="64-2335813-"/>
    <s v="angelo.palma@redsalud.gob.cl"/>
    <x v="8"/>
    <d v="2025-08-20T00:00:00"/>
    <n v="12"/>
    <s v="1057532-4210-SE25"/>
    <n v="1"/>
    <n v="19762925"/>
    <d v="2026-12-01T00:00:00"/>
    <x v="0"/>
    <x v="0"/>
  </r>
  <r>
    <s v="SERVICIO DE SALUD OSORNO"/>
    <s v="Bienes y Servicios"/>
    <x v="18"/>
    <s v="Proyecto operacional"/>
    <s v="Publicado"/>
    <s v="22.12.999"/>
    <x v="19"/>
    <s v="Se requiere la contratación del servicio denominado Residencia Protegida (beneficiarios 12 usuarios) para usuarios/as por un periodo de 24 meses."/>
    <n v="2"/>
    <s v="Servicio Residencial"/>
    <n v="4"/>
    <n v="12"/>
    <n v="39525850"/>
    <n v="19762925"/>
    <x v="1"/>
    <x v="2"/>
    <x v="12"/>
    <x v="14"/>
    <s v="64-2335813-"/>
    <s v="angelo.palma@redsalud.gob.cl"/>
    <x v="8"/>
    <d v="2025-08-20T00:00:00"/>
    <n v="12"/>
    <s v="1057532-4137-TD25"/>
    <n v="1"/>
    <n v="19762925"/>
    <d v="2026-03-01T00:00:00"/>
    <x v="0"/>
    <x v="0"/>
  </r>
  <r>
    <s v="SERVICIO DE SALUD OSORNO"/>
    <s v="Bienes y Servicios"/>
    <x v="18"/>
    <s v="Proyecto operacional"/>
    <s v="Publicado"/>
    <s v="22.12.999"/>
    <x v="19"/>
    <s v="Se requiere la contratación del servicio denominado Residencia Protegida (beneficiarios 12 usuarios) para usuarios/as por un periodo de 24 meses."/>
    <n v="2"/>
    <s v="Servicio Residencial"/>
    <n v="4"/>
    <n v="12"/>
    <n v="39525850"/>
    <n v="19762925"/>
    <x v="1"/>
    <x v="2"/>
    <x v="12"/>
    <x v="14"/>
    <s v="64-2335813-"/>
    <s v="angelo.palma@redsalud.gob.cl"/>
    <x v="8"/>
    <d v="2025-08-20T00:00:00"/>
    <n v="12"/>
    <s v="1057532-4137-TD25"/>
    <n v="1"/>
    <n v="19762925"/>
    <d v="2026-12-01T00:00:00"/>
    <x v="0"/>
    <x v="0"/>
  </r>
  <r>
    <s v="SERVICIO DE SALUD OSORNO"/>
    <s v="Bienes y Servicios"/>
    <x v="18"/>
    <s v="Proyecto operacional"/>
    <s v="Publicado"/>
    <s v="22.12.999"/>
    <x v="19"/>
    <s v="Se requiere la contratación del servicio denominado Residencia Protegida (beneficiarios 12 usuarios) para usuarios/as por un periodo de 24 meses."/>
    <n v="2"/>
    <s v="Servicio Residencial"/>
    <n v="4"/>
    <n v="12"/>
    <n v="39525850"/>
    <n v="19762925"/>
    <x v="1"/>
    <x v="2"/>
    <x v="12"/>
    <x v="14"/>
    <s v="64-2335813-"/>
    <s v="angelo.palma@redsalud.gob.cl"/>
    <x v="8"/>
    <d v="2025-08-20T00:00:00"/>
    <n v="12"/>
    <s v="1057532-4137-TD25"/>
    <n v="1"/>
    <n v="19762925"/>
    <d v="2026-05-01T00:00:00"/>
    <x v="0"/>
    <x v="0"/>
  </r>
  <r>
    <s v="SERVICIO DE SALUD OSORNO"/>
    <s v="Bienes y Servicios"/>
    <x v="18"/>
    <s v="Proyecto operacional"/>
    <s v="Publicado"/>
    <s v="22.12.999"/>
    <x v="19"/>
    <s v="Se requiere la contratación del servicio denominado Residencia Protegida (beneficiarios 12 usuarios) para usuarios/as por un periodo de 24 meses."/>
    <n v="2"/>
    <s v="Servicio Residencial"/>
    <n v="4"/>
    <n v="12"/>
    <n v="39525850"/>
    <n v="19762925"/>
    <x v="1"/>
    <x v="2"/>
    <x v="12"/>
    <x v="14"/>
    <s v="64-2335813-"/>
    <s v="angelo.palma@redsalud.gob.cl"/>
    <x v="8"/>
    <d v="2025-08-20T00:00:00"/>
    <n v="12"/>
    <s v="1057532-4430-SE25"/>
    <n v="1"/>
    <n v="19762925"/>
    <d v="2026-03-01T00:00:00"/>
    <x v="0"/>
    <x v="0"/>
  </r>
  <r>
    <s v="SERVICIO DE SALUD OSORNO"/>
    <s v="Bienes y Servicios"/>
    <x v="18"/>
    <s v="Proyecto operacional"/>
    <s v="Publicado"/>
    <s v="22.12.999"/>
    <x v="19"/>
    <s v="Se requiere la contratación del servicio denominado Residencia Protegida (beneficiarios 12 usuarios) para usuarios/as por un periodo de 24 meses."/>
    <n v="2"/>
    <s v="Servicio Residencial"/>
    <n v="4"/>
    <n v="12"/>
    <n v="39525850"/>
    <n v="19762925"/>
    <x v="1"/>
    <x v="2"/>
    <x v="12"/>
    <x v="14"/>
    <s v="64-2335813-"/>
    <s v="angelo.palma@redsalud.gob.cl"/>
    <x v="8"/>
    <d v="2025-08-20T00:00:00"/>
    <n v="12"/>
    <s v="1057532-4137-TD25"/>
    <n v="1"/>
    <n v="19762925"/>
    <d v="2026-04-01T00:00:00"/>
    <x v="0"/>
    <x v="0"/>
  </r>
  <r>
    <s v="SERVICIO DE SALUD OSORNO"/>
    <s v="Bienes y Servicios"/>
    <x v="18"/>
    <s v="Proyecto operacional"/>
    <s v="Publicado"/>
    <s v="22.12.999"/>
    <x v="19"/>
    <s v="Se requiere la contratación del servicio denominado Residencia Protegida (beneficiarios 12 usuarios) para usuarios/as por un periodo de 24 meses."/>
    <n v="2"/>
    <s v="Servicio Residencial"/>
    <n v="4"/>
    <n v="12"/>
    <n v="39525850"/>
    <n v="19762925"/>
    <x v="1"/>
    <x v="2"/>
    <x v="12"/>
    <x v="14"/>
    <s v="64-2335813-"/>
    <s v="angelo.palma@redsalud.gob.cl"/>
    <x v="8"/>
    <d v="2025-08-20T00:00:00"/>
    <n v="12"/>
    <s v="1057532-4210-SE25"/>
    <n v="1"/>
    <n v="19762925"/>
    <d v="2026-07-01T00:00:00"/>
    <x v="0"/>
    <x v="0"/>
  </r>
  <r>
    <s v="SERVICIO DE SALUD OSORNO"/>
    <s v="Bienes y Servicios"/>
    <x v="19"/>
    <s v="Proyecto operacional"/>
    <s v="Publicado"/>
    <s v="22.12.999"/>
    <x v="20"/>
    <s v="Se requiere la contratación del servicio denominado Residencia Protegida alta complejidad (beneficiarios 10 usuarios) para usuarios/as por un periodo de 24 meses."/>
    <n v="2"/>
    <s v="Servicio Residencial"/>
    <n v="4"/>
    <n v="10"/>
    <n v="56940000"/>
    <n v="23725000"/>
    <x v="1"/>
    <x v="2"/>
    <x v="12"/>
    <x v="14"/>
    <s v="64-2335813-"/>
    <s v="angelo.palma@redsalud.gob.cl"/>
    <x v="8"/>
    <d v="2025-08-20T00:00:00"/>
    <n v="10"/>
    <s v="1057532-4192-SE25"/>
    <n v="1"/>
    <n v="23725000"/>
    <d v="2026-03-01T00:00:00"/>
    <x v="0"/>
    <x v="0"/>
  </r>
  <r>
    <s v="SERVICIO DE SALUD OSORNO"/>
    <s v="Bienes y Servicios"/>
    <x v="19"/>
    <s v="Proyecto operacional"/>
    <s v="Publicado"/>
    <s v="22.12.999"/>
    <x v="20"/>
    <s v="Se requiere la contratación del servicio denominado Residencia Protegida alta complejidad (beneficiarios 10 usuarios) para usuarios/as por un periodo de 24 meses."/>
    <n v="2"/>
    <s v="Servicio Residencial"/>
    <n v="4"/>
    <n v="10"/>
    <n v="56940000"/>
    <n v="23725000"/>
    <x v="1"/>
    <x v="2"/>
    <x v="12"/>
    <x v="14"/>
    <s v="64-2335813-"/>
    <s v="angelo.palma@redsalud.gob.cl"/>
    <x v="8"/>
    <d v="2025-08-20T00:00:00"/>
    <n v="10"/>
    <s v="1057532-4192-SE25"/>
    <n v="1"/>
    <n v="23725000"/>
    <d v="2026-11-01T00:00:00"/>
    <x v="0"/>
    <x v="0"/>
  </r>
  <r>
    <s v="SERVICIO DE SALUD OSORNO"/>
    <s v="Bienes y Servicios"/>
    <x v="19"/>
    <s v="Proyecto operacional"/>
    <s v="Publicado"/>
    <s v="22.12.999"/>
    <x v="20"/>
    <s v="Se requiere la contratación del servicio denominado Residencia Protegida alta complejidad (beneficiarios 10 usuarios) para usuarios/as por un periodo de 24 meses."/>
    <n v="2"/>
    <s v="Servicio Residencial"/>
    <n v="4"/>
    <n v="10"/>
    <n v="56940000"/>
    <n v="23725000"/>
    <x v="1"/>
    <x v="2"/>
    <x v="12"/>
    <x v="14"/>
    <s v="64-2335813-"/>
    <s v="angelo.palma@redsalud.gob.cl"/>
    <x v="8"/>
    <d v="2025-08-20T00:00:00"/>
    <n v="10"/>
    <s v="1057532-4505-SE25"/>
    <n v="1"/>
    <n v="23725000"/>
    <d v="2026-03-01T00:00:00"/>
    <x v="0"/>
    <x v="0"/>
  </r>
  <r>
    <s v="SERVICIO DE SALUD OSORNO"/>
    <s v="Bienes y Servicios"/>
    <x v="19"/>
    <s v="Proyecto operacional"/>
    <s v="Publicado"/>
    <s v="22.12.999"/>
    <x v="20"/>
    <s v="Se requiere la contratación del servicio denominado Residencia Protegida alta complejidad (beneficiarios 10 usuarios) para usuarios/as por un periodo de 24 meses."/>
    <n v="2"/>
    <s v="Servicio Residencial"/>
    <n v="4"/>
    <n v="10"/>
    <n v="56940000"/>
    <n v="23725000"/>
    <x v="1"/>
    <x v="2"/>
    <x v="12"/>
    <x v="14"/>
    <s v="64-2335813-"/>
    <s v="angelo.palma@redsalud.gob.cl"/>
    <x v="8"/>
    <d v="2025-08-20T00:00:00"/>
    <n v="10"/>
    <s v="1057532-4347-SE25"/>
    <n v="1"/>
    <n v="23725000"/>
    <d v="2026-04-01T00:00:00"/>
    <x v="0"/>
    <x v="0"/>
  </r>
  <r>
    <s v="SERVICIO DE SALUD OSORNO"/>
    <s v="Bienes y Servicios"/>
    <x v="19"/>
    <s v="Proyecto operacional"/>
    <s v="Publicado"/>
    <s v="22.12.999"/>
    <x v="20"/>
    <s v="Se requiere la contratación del servicio denominado Residencia Protegida alta complejidad (beneficiarios 10 usuarios) para usuarios/as por un periodo de 24 meses."/>
    <n v="2"/>
    <s v="Servicio Residencial"/>
    <n v="4"/>
    <n v="10"/>
    <n v="56940000"/>
    <n v="23725000"/>
    <x v="1"/>
    <x v="2"/>
    <x v="12"/>
    <x v="14"/>
    <s v="64-2335813-"/>
    <s v="angelo.palma@redsalud.gob.cl"/>
    <x v="8"/>
    <d v="2025-08-20T00:00:00"/>
    <n v="10"/>
    <s v="1057532-4505-SE25"/>
    <n v="1"/>
    <n v="23725000"/>
    <d v="2026-04-01T00:00:00"/>
    <x v="0"/>
    <x v="0"/>
  </r>
  <r>
    <s v="SERVICIO DE SALUD OSORNO"/>
    <s v="Bienes y Servicios"/>
    <x v="19"/>
    <s v="Proyecto operacional"/>
    <s v="Publicado"/>
    <s v="22.12.999"/>
    <x v="20"/>
    <s v="Se requiere la contratación del servicio denominado Residencia Protegida alta complejidad (beneficiarios 10 usuarios) para usuarios/as por un periodo de 24 meses."/>
    <n v="2"/>
    <s v="Servicio Residencial"/>
    <n v="4"/>
    <n v="10"/>
    <n v="56940000"/>
    <n v="23725000"/>
    <x v="1"/>
    <x v="2"/>
    <x v="12"/>
    <x v="14"/>
    <s v="64-2335813-"/>
    <s v="angelo.palma@redsalud.gob.cl"/>
    <x v="8"/>
    <d v="2025-08-20T00:00:00"/>
    <n v="10"/>
    <s v="1057532-4347-SE25"/>
    <n v="1"/>
    <n v="23725000"/>
    <d v="2026-01-01T00:00:00"/>
    <x v="0"/>
    <x v="0"/>
  </r>
  <r>
    <s v="SERVICIO DE SALUD OSORNO"/>
    <s v="Bienes y Servicios"/>
    <x v="19"/>
    <s v="Proyecto operacional"/>
    <s v="Publicado"/>
    <s v="22.12.999"/>
    <x v="20"/>
    <s v="Se requiere la contratación del servicio denominado Residencia Protegida alta complejidad (beneficiarios 10 usuarios) para usuarios/as por un periodo de 24 meses."/>
    <n v="2"/>
    <s v="Servicio Residencial"/>
    <n v="4"/>
    <n v="10"/>
    <n v="56940000"/>
    <n v="23725000"/>
    <x v="1"/>
    <x v="2"/>
    <x v="12"/>
    <x v="14"/>
    <s v="64-2335813-"/>
    <s v="angelo.palma@redsalud.gob.cl"/>
    <x v="8"/>
    <d v="2025-08-20T00:00:00"/>
    <n v="10"/>
    <s v="1057532-4347-SE25"/>
    <n v="1"/>
    <n v="23725000"/>
    <d v="2026-07-01T00:00:00"/>
    <x v="0"/>
    <x v="0"/>
  </r>
  <r>
    <s v="SERVICIO DE SALUD OSORNO"/>
    <s v="Bienes y Servicios"/>
    <x v="19"/>
    <s v="Proyecto operacional"/>
    <s v="Publicado"/>
    <s v="22.12.999"/>
    <x v="20"/>
    <s v="Se requiere la contratación del servicio denominado Residencia Protegida alta complejidad (beneficiarios 10 usuarios) para usuarios/as por un periodo de 24 meses."/>
    <n v="2"/>
    <s v="Servicio Residencial"/>
    <n v="4"/>
    <n v="10"/>
    <n v="56940000"/>
    <n v="23725000"/>
    <x v="1"/>
    <x v="2"/>
    <x v="12"/>
    <x v="14"/>
    <s v="64-2335813-"/>
    <s v="angelo.palma@redsalud.gob.cl"/>
    <x v="8"/>
    <d v="2025-08-20T00:00:00"/>
    <n v="10"/>
    <s v="1057532-4347-SE25"/>
    <n v="1"/>
    <n v="23725000"/>
    <d v="2026-02-01T00:00:00"/>
    <x v="0"/>
    <x v="0"/>
  </r>
  <r>
    <s v="SERVICIO DE SALUD OSORNO"/>
    <s v="Bienes y Servicios"/>
    <x v="19"/>
    <s v="Proyecto operacional"/>
    <s v="Publicado"/>
    <s v="22.12.999"/>
    <x v="20"/>
    <s v="Se requiere la contratación del servicio denominado Residencia Protegida alta complejidad (beneficiarios 10 usuarios) para usuarios/as por un periodo de 24 meses."/>
    <n v="2"/>
    <s v="Servicio Residencial"/>
    <n v="4"/>
    <n v="10"/>
    <n v="56940000"/>
    <n v="23725000"/>
    <x v="1"/>
    <x v="2"/>
    <x v="12"/>
    <x v="14"/>
    <s v="64-2335813-"/>
    <s v="angelo.palma@redsalud.gob.cl"/>
    <x v="8"/>
    <d v="2025-08-20T00:00:00"/>
    <n v="10"/>
    <s v="1057532-4192-SE25"/>
    <n v="1"/>
    <n v="23725000"/>
    <d v="2026-07-01T00:00:00"/>
    <x v="0"/>
    <x v="0"/>
  </r>
  <r>
    <s v="SERVICIO DE SALUD OSORNO"/>
    <s v="Bienes y Servicios"/>
    <x v="19"/>
    <s v="Proyecto operacional"/>
    <s v="Publicado"/>
    <s v="22.12.999"/>
    <x v="20"/>
    <s v="Se requiere la contratación del servicio denominado Residencia Protegida alta complejidad (beneficiarios 10 usuarios) para usuarios/as por un periodo de 24 meses."/>
    <n v="2"/>
    <s v="Servicio Residencial"/>
    <n v="4"/>
    <n v="10"/>
    <n v="56940000"/>
    <n v="23725000"/>
    <x v="1"/>
    <x v="2"/>
    <x v="12"/>
    <x v="14"/>
    <s v="64-2335813-"/>
    <s v="angelo.palma@redsalud.gob.cl"/>
    <x v="8"/>
    <d v="2025-08-20T00:00:00"/>
    <n v="10"/>
    <s v="1057532-4347-SE25"/>
    <n v="1"/>
    <n v="23725000"/>
    <d v="2026-05-01T00:00:00"/>
    <x v="0"/>
    <x v="0"/>
  </r>
  <r>
    <s v="SERVICIO DE SALUD OSORNO"/>
    <s v="Bienes y Servicios"/>
    <x v="19"/>
    <s v="Proyecto operacional"/>
    <s v="Publicado"/>
    <s v="22.12.999"/>
    <x v="20"/>
    <s v="Se requiere la contratación del servicio denominado Residencia Protegida alta complejidad (beneficiarios 10 usuarios) para usuarios/as por un periodo de 24 meses."/>
    <n v="2"/>
    <s v="Servicio Residencial"/>
    <n v="4"/>
    <n v="10"/>
    <n v="56940000"/>
    <n v="23725000"/>
    <x v="1"/>
    <x v="2"/>
    <x v="12"/>
    <x v="14"/>
    <s v="64-2335813-"/>
    <s v="angelo.palma@redsalud.gob.cl"/>
    <x v="8"/>
    <d v="2025-08-20T00:00:00"/>
    <n v="10"/>
    <s v="1057532-4192-SE25"/>
    <n v="1"/>
    <n v="23725000"/>
    <d v="2026-04-01T00:00:00"/>
    <x v="0"/>
    <x v="0"/>
  </r>
  <r>
    <s v="SERVICIO DE SALUD OSORNO"/>
    <s v="Bienes y Servicios"/>
    <x v="19"/>
    <s v="Proyecto operacional"/>
    <s v="Publicado"/>
    <s v="22.12.999"/>
    <x v="20"/>
    <s v="Se requiere la contratación del servicio denominado Residencia Protegida alta complejidad (beneficiarios 10 usuarios) para usuarios/as por un periodo de 24 meses."/>
    <n v="2"/>
    <s v="Servicio Residencial"/>
    <n v="4"/>
    <n v="10"/>
    <n v="56940000"/>
    <n v="23725000"/>
    <x v="1"/>
    <x v="2"/>
    <x v="12"/>
    <x v="14"/>
    <s v="64-2335813-"/>
    <s v="angelo.palma@redsalud.gob.cl"/>
    <x v="8"/>
    <d v="2025-08-20T00:00:00"/>
    <n v="10"/>
    <s v="1057532-4859-SE25"/>
    <n v="1"/>
    <n v="23725000"/>
    <d v="2026-02-01T00:00:00"/>
    <x v="0"/>
    <x v="0"/>
  </r>
  <r>
    <s v="SERVICIO DE SALUD OSORNO"/>
    <s v="Bienes y Servicios"/>
    <x v="20"/>
    <s v="Proyecto operacional"/>
    <s v="Publicado"/>
    <s v="22.06.005"/>
    <x v="21"/>
    <s v="Dar cobertura a las necesidades de mantención de Equipos Médicos e Industriales de los establecimientos de la Red del Servicio de Salud Osorno."/>
    <n v="14"/>
    <s v="Equipos Lavanderia"/>
    <n v="4"/>
    <n v="100"/>
    <n v="416000"/>
    <n v="10400000"/>
    <x v="6"/>
    <x v="6"/>
    <x v="13"/>
    <x v="15"/>
    <s v="64-2337431-"/>
    <s v="khris.silva@redsalud.gob.cl"/>
    <x v="9"/>
    <d v="2025-08-20T00:00:00"/>
    <n v="0"/>
    <m/>
    <n v="1"/>
    <n v="10400000"/>
    <d v="2026-12-01T00:00:00"/>
    <x v="0"/>
    <x v="0"/>
  </r>
  <r>
    <s v="SERVICIO DE SALUD OSORNO"/>
    <s v="Bienes y Servicios"/>
    <x v="20"/>
    <s v="Proyecto operacional"/>
    <s v="Publicado"/>
    <s v="22.06.005"/>
    <x v="21"/>
    <s v="Dar cobertura a las necesidades de mantención de Equipos Médicos e Industriales de los establecimientos de la Red del Servicio de Salud Osorno."/>
    <n v="14"/>
    <s v="Equipos Lavanderia"/>
    <n v="4"/>
    <n v="100"/>
    <n v="416000"/>
    <n v="10400000"/>
    <x v="6"/>
    <x v="6"/>
    <x v="13"/>
    <x v="15"/>
    <s v="64-2337431-"/>
    <s v="khris.silva@redsalud.gob.cl"/>
    <x v="9"/>
    <d v="2025-08-20T00:00:00"/>
    <n v="0"/>
    <m/>
    <n v="1"/>
    <n v="10400000"/>
    <d v="2026-06-01T00:00:00"/>
    <x v="0"/>
    <x v="0"/>
  </r>
  <r>
    <s v="SERVICIO DE SALUD OSORNO"/>
    <s v="Bienes y Servicios"/>
    <x v="20"/>
    <s v="Proyecto operacional"/>
    <s v="Publicado"/>
    <s v="22.06.005"/>
    <x v="21"/>
    <s v="Dar cobertura a las necesidades de mantención de Equipos Médicos e Industriales de los establecimientos de la Red del Servicio de Salud Osorno."/>
    <n v="14"/>
    <s v="Equipo Calderas"/>
    <n v="4"/>
    <n v="100"/>
    <n v="1438000"/>
    <n v="35950000"/>
    <x v="7"/>
    <x v="7"/>
    <x v="13"/>
    <x v="15"/>
    <s v="64-2337431-"/>
    <s v="khris.silva@redsalud.gob.cl"/>
    <x v="9"/>
    <d v="2025-08-20T00:00:00"/>
    <n v="0"/>
    <m/>
    <n v="1"/>
    <n v="35950000"/>
    <d v="2026-03-01T00:00:00"/>
    <x v="0"/>
    <x v="0"/>
  </r>
  <r>
    <s v="SERVICIO DE SALUD OSORNO"/>
    <s v="Bienes y Servicios"/>
    <x v="20"/>
    <s v="Proyecto operacional"/>
    <s v="Publicado"/>
    <s v="22.06.005"/>
    <x v="21"/>
    <s v="Dar cobertura a las necesidades de mantención de Equipos Médicos e Industriales de los establecimientos de la Red del Servicio de Salud Osorno."/>
    <n v="14"/>
    <s v="Equipo Calderas"/>
    <n v="4"/>
    <n v="100"/>
    <n v="1438000"/>
    <n v="35950000"/>
    <x v="7"/>
    <x v="7"/>
    <x v="13"/>
    <x v="15"/>
    <s v="64-2337431-"/>
    <s v="khris.silva@redsalud.gob.cl"/>
    <x v="9"/>
    <d v="2025-08-20T00:00:00"/>
    <n v="0"/>
    <m/>
    <n v="1"/>
    <n v="35950000"/>
    <d v="2026-12-01T00:00:00"/>
    <x v="0"/>
    <x v="0"/>
  </r>
  <r>
    <s v="SERVICIO DE SALUD OSORNO"/>
    <s v="Bienes y Servicios"/>
    <x v="20"/>
    <s v="Proyecto operacional"/>
    <s v="Publicado"/>
    <s v="22.06.005"/>
    <x v="21"/>
    <s v="Dar cobertura a las necesidades de mantención de Equipos Médicos e Industriales de los establecimientos de la Red del Servicio de Salud Osorno."/>
    <n v="14"/>
    <s v="Equipo Aire Acondicionado"/>
    <n v="4"/>
    <n v="100"/>
    <n v="140000"/>
    <n v="7000000"/>
    <x v="8"/>
    <x v="8"/>
    <x v="13"/>
    <x v="15"/>
    <s v="64-2337431-"/>
    <s v="khris.silva@redsalud.gob.cl"/>
    <x v="9"/>
    <d v="2025-08-20T00:00:00"/>
    <n v="0"/>
    <m/>
    <n v="1"/>
    <n v="7000000"/>
    <d v="2026-10-01T00:00:00"/>
    <x v="0"/>
    <x v="0"/>
  </r>
  <r>
    <s v="SERVICIO DE SALUD OSORNO"/>
    <s v="Bienes y Servicios"/>
    <x v="20"/>
    <s v="Proyecto operacional"/>
    <s v="Publicado"/>
    <s v="22.06.005"/>
    <x v="21"/>
    <s v="Dar cobertura a las necesidades de mantención de Equipos Médicos e Industriales de los establecimientos de la Red del Servicio de Salud Osorno."/>
    <n v="14"/>
    <s v="Grupo Electrogenos"/>
    <n v="4"/>
    <n v="100"/>
    <n v="903000"/>
    <n v="45150000"/>
    <x v="8"/>
    <x v="9"/>
    <x v="13"/>
    <x v="15"/>
    <s v="64-2337431-"/>
    <s v="khris.silva@redsalud.gob.cl"/>
    <x v="9"/>
    <d v="2025-08-20T00:00:00"/>
    <n v="0"/>
    <m/>
    <n v="1"/>
    <n v="45150000"/>
    <d v="2026-07-01T00:00:00"/>
    <x v="0"/>
    <x v="0"/>
  </r>
  <r>
    <s v="SERVICIO DE SALUD OSORNO"/>
    <s v="Bienes y Servicios"/>
    <x v="20"/>
    <s v="Proyecto operacional"/>
    <s v="Publicado"/>
    <s v="22.06.005"/>
    <x v="21"/>
    <s v="Dar cobertura a las necesidades de mantención de Equipos Médicos e Industriales de los establecimientos de la Red del Servicio de Salud Osorno."/>
    <n v="14"/>
    <s v="Equipos Criticos"/>
    <n v="4"/>
    <n v="100"/>
    <n v="496400"/>
    <n v="12410000"/>
    <x v="7"/>
    <x v="10"/>
    <x v="13"/>
    <x v="15"/>
    <s v="64-2337431-"/>
    <s v="khris.silva@redsalud.gob.cl"/>
    <x v="9"/>
    <d v="2025-08-20T00:00:00"/>
    <n v="0"/>
    <m/>
    <n v="1"/>
    <n v="12410000"/>
    <d v="2026-03-01T00:00:00"/>
    <x v="0"/>
    <x v="0"/>
  </r>
  <r>
    <s v="SERVICIO DE SALUD OSORNO"/>
    <s v="Bienes y Servicios"/>
    <x v="20"/>
    <s v="Proyecto operacional"/>
    <s v="Publicado"/>
    <s v="22.06.005"/>
    <x v="21"/>
    <s v="Dar cobertura a las necesidades de mantención de Equipos Médicos e Industriales de los establecimientos de la Red del Servicio de Salud Osorno."/>
    <n v="14"/>
    <s v="Equipos Criticos"/>
    <n v="4"/>
    <n v="100"/>
    <n v="496400"/>
    <n v="12410000"/>
    <x v="7"/>
    <x v="10"/>
    <x v="13"/>
    <x v="15"/>
    <s v="64-2337431-"/>
    <s v="khris.silva@redsalud.gob.cl"/>
    <x v="9"/>
    <d v="2025-08-20T00:00:00"/>
    <n v="0"/>
    <m/>
    <n v="1"/>
    <n v="12410000"/>
    <d v="2026-09-01T00:00:00"/>
    <x v="0"/>
    <x v="0"/>
  </r>
  <r>
    <s v="SERVICIO DE SALUD OSORNO"/>
    <s v="Bienes y Servicios"/>
    <x v="20"/>
    <s v="Proyecto operacional"/>
    <s v="Publicado"/>
    <s v="22.06.005"/>
    <x v="21"/>
    <s v="Dar cobertura a las necesidades de mantención de Equipos Médicos e Industriales de los establecimientos de la Red del Servicio de Salud Osorno."/>
    <n v="14"/>
    <s v="Imagenelogia"/>
    <n v="4"/>
    <n v="100"/>
    <n v="464000"/>
    <n v="7733333"/>
    <x v="9"/>
    <x v="11"/>
    <x v="13"/>
    <x v="15"/>
    <s v="64-2337431-"/>
    <s v="khris.silva@redsalud.gob.cl"/>
    <x v="9"/>
    <d v="2025-08-20T00:00:00"/>
    <n v="0"/>
    <m/>
    <n v="1"/>
    <n v="7733333"/>
    <d v="2026-06-01T00:00:00"/>
    <x v="0"/>
    <x v="0"/>
  </r>
  <r>
    <s v="SERVICIO DE SALUD OSORNO"/>
    <s v="Bienes y Servicios"/>
    <x v="20"/>
    <s v="Proyecto operacional"/>
    <s v="Publicado"/>
    <s v="22.06.005"/>
    <x v="21"/>
    <s v="Dar cobertura a las necesidades de mantención de Equipos Médicos e Industriales de los establecimientos de la Red del Servicio de Salud Osorno."/>
    <n v="14"/>
    <s v="Imagenelogia"/>
    <n v="4"/>
    <n v="100"/>
    <n v="464000"/>
    <n v="7733335"/>
    <x v="9"/>
    <x v="11"/>
    <x v="13"/>
    <x v="15"/>
    <s v="64-2337431-"/>
    <s v="khris.silva@redsalud.gob.cl"/>
    <x v="9"/>
    <d v="2025-08-20T00:00:00"/>
    <n v="0"/>
    <m/>
    <n v="1"/>
    <n v="7733335"/>
    <d v="2026-12-01T00:00:00"/>
    <x v="0"/>
    <x v="0"/>
  </r>
  <r>
    <s v="SERVICIO DE SALUD OSORNO"/>
    <s v="Bienes y Servicios"/>
    <x v="20"/>
    <s v="Proyecto operacional"/>
    <s v="Publicado"/>
    <s v="22.06.005"/>
    <x v="21"/>
    <s v="Dar cobertura a las necesidades de mantención de Equipos Médicos e Industriales de los establecimientos de la Red del Servicio de Salud Osorno."/>
    <n v="14"/>
    <s v="Imagenelogia"/>
    <n v="4"/>
    <n v="100"/>
    <n v="464000"/>
    <n v="7733333"/>
    <x v="9"/>
    <x v="11"/>
    <x v="13"/>
    <x v="15"/>
    <s v="64-2337431-"/>
    <s v="khris.silva@redsalud.gob.cl"/>
    <x v="9"/>
    <d v="2025-08-20T00:00:00"/>
    <n v="0"/>
    <m/>
    <n v="1"/>
    <n v="7733333"/>
    <d v="2026-11-01T00:00:00"/>
    <x v="0"/>
    <x v="0"/>
  </r>
  <r>
    <s v="SERVICIO DE SALUD OSORNO"/>
    <s v="Bienes y Servicios"/>
    <x v="20"/>
    <s v="Proyecto operacional"/>
    <s v="Publicado"/>
    <s v="22.06.005"/>
    <x v="21"/>
    <s v="Dar cobertura a las necesidades de mantención de Equipos Médicos e Industriales de los establecimientos de la Red del Servicio de Salud Osorno."/>
    <n v="14"/>
    <s v="Mamografia"/>
    <n v="4"/>
    <n v="100"/>
    <n v="1630000"/>
    <n v="40750000"/>
    <x v="7"/>
    <x v="6"/>
    <x v="13"/>
    <x v="15"/>
    <s v="64-2337431-"/>
    <s v="khris.silva@redsalud.gob.cl"/>
    <x v="9"/>
    <d v="2025-08-20T00:00:00"/>
    <n v="0"/>
    <m/>
    <n v="1"/>
    <n v="40750000"/>
    <d v="2026-12-01T00:00:00"/>
    <x v="0"/>
    <x v="0"/>
  </r>
  <r>
    <s v="SERVICIO DE SALUD OSORNO"/>
    <s v="Bienes y Servicios"/>
    <x v="20"/>
    <s v="Proyecto operacional"/>
    <s v="Publicado"/>
    <s v="22.06.005"/>
    <x v="21"/>
    <s v="Dar cobertura a las necesidades de mantención de Equipos Médicos e Industriales de los establecimientos de la Red del Servicio de Salud Osorno."/>
    <n v="14"/>
    <s v="Mamografia"/>
    <n v="4"/>
    <n v="100"/>
    <n v="1630000"/>
    <n v="40750000"/>
    <x v="7"/>
    <x v="6"/>
    <x v="13"/>
    <x v="15"/>
    <s v="64-2337431-"/>
    <s v="khris.silva@redsalud.gob.cl"/>
    <x v="9"/>
    <d v="2025-08-20T00:00:00"/>
    <n v="0"/>
    <m/>
    <n v="1"/>
    <n v="40750000"/>
    <d v="2026-06-01T00:00:00"/>
    <x v="0"/>
    <x v="0"/>
  </r>
  <r>
    <s v="SERVICIO DE SALUD OSORNO"/>
    <s v="Bienes y Servicios"/>
    <x v="20"/>
    <s v="Proyecto operacional"/>
    <s v="Publicado"/>
    <s v="22.06.005"/>
    <x v="21"/>
    <s v="Dar cobertura a las necesidades de mantención de Equipos Médicos e Industriales de los establecimientos de la Red del Servicio de Salud Osorno."/>
    <n v="14"/>
    <s v="Mantención Equipos Medicos"/>
    <n v="4"/>
    <n v="100"/>
    <n v="279000"/>
    <n v="3487500"/>
    <x v="10"/>
    <x v="12"/>
    <x v="13"/>
    <x v="15"/>
    <s v="64-2337431-"/>
    <s v="khris.silva@redsalud.gob.cl"/>
    <x v="9"/>
    <d v="2025-08-20T00:00:00"/>
    <n v="1"/>
    <s v="1057532-5462-SE25"/>
    <n v="1"/>
    <n v="3487500"/>
    <d v="2026-08-01T00:00:00"/>
    <x v="0"/>
    <x v="0"/>
  </r>
  <r>
    <s v="SERVICIO DE SALUD OSORNO"/>
    <s v="Bienes y Servicios"/>
    <x v="20"/>
    <s v="Proyecto operacional"/>
    <s v="Publicado"/>
    <s v="22.06.005"/>
    <x v="21"/>
    <s v="Dar cobertura a las necesidades de mantención de Equipos Médicos e Industriales de los establecimientos de la Red del Servicio de Salud Osorno."/>
    <n v="14"/>
    <s v="Mantención Equipos Medicos"/>
    <n v="4"/>
    <n v="100"/>
    <n v="279000"/>
    <n v="3487500"/>
    <x v="10"/>
    <x v="12"/>
    <x v="13"/>
    <x v="15"/>
    <s v="64-2337431-"/>
    <s v="khris.silva@redsalud.gob.cl"/>
    <x v="9"/>
    <d v="2025-08-20T00:00:00"/>
    <n v="1"/>
    <s v="1057532-5462-SE25"/>
    <n v="1"/>
    <n v="3487500"/>
    <d v="2026-05-01T00:00:00"/>
    <x v="0"/>
    <x v="0"/>
  </r>
  <r>
    <s v="SERVICIO DE SALUD OSORNO"/>
    <s v="Bienes y Servicios"/>
    <x v="20"/>
    <s v="Proyecto operacional"/>
    <s v="Publicado"/>
    <s v="22.06.005"/>
    <x v="21"/>
    <s v="Dar cobertura a las necesidades de mantención de Equipos Médicos e Industriales de los establecimientos de la Red del Servicio de Salud Osorno."/>
    <n v="14"/>
    <s v="Mantención Equipos Medicos"/>
    <n v="4"/>
    <n v="100"/>
    <n v="279000"/>
    <n v="3487500"/>
    <x v="10"/>
    <x v="12"/>
    <x v="13"/>
    <x v="15"/>
    <s v="64-2337431-"/>
    <s v="khris.silva@redsalud.gob.cl"/>
    <x v="9"/>
    <d v="2025-08-20T00:00:00"/>
    <n v="1"/>
    <s v="1057532-5462-SE25"/>
    <n v="1"/>
    <n v="3487500"/>
    <d v="2026-04-01T00:00:00"/>
    <x v="0"/>
    <x v="0"/>
  </r>
  <r>
    <s v="SERVICIO DE SALUD OSORNO"/>
    <s v="Bienes y Servicios"/>
    <x v="20"/>
    <s v="Proyecto operacional"/>
    <s v="Publicado"/>
    <s v="22.06.005"/>
    <x v="21"/>
    <s v="Dar cobertura a las necesidades de mantención de Equipos Médicos e Industriales de los establecimientos de la Red del Servicio de Salud Osorno."/>
    <n v="14"/>
    <s v="Mantención Equipos Medicos"/>
    <n v="4"/>
    <n v="100"/>
    <n v="279000"/>
    <n v="3487500"/>
    <x v="10"/>
    <x v="12"/>
    <x v="13"/>
    <x v="15"/>
    <s v="64-2337431-"/>
    <s v="khris.silva@redsalud.gob.cl"/>
    <x v="9"/>
    <d v="2025-08-20T00:00:00"/>
    <n v="1"/>
    <s v="1057532-5462-SE25"/>
    <n v="1"/>
    <n v="3487500"/>
    <d v="2026-10-01T00:00:00"/>
    <x v="0"/>
    <x v="0"/>
  </r>
  <r>
    <s v="SERVICIO DE SALUD OSORNO"/>
    <s v="Bienes y Servicios"/>
    <x v="20"/>
    <s v="Proyecto operacional"/>
    <s v="Publicado"/>
    <s v="22.06.005"/>
    <x v="21"/>
    <s v="Dar cobertura a las necesidades de mantención de Equipos Médicos e Industriales de los establecimientos de la Red del Servicio de Salud Osorno."/>
    <n v="14"/>
    <s v="Mantención Auto Claves"/>
    <n v="4"/>
    <n v="100"/>
    <n v="916000"/>
    <n v="11450000"/>
    <x v="10"/>
    <x v="13"/>
    <x v="13"/>
    <x v="15"/>
    <s v="64-2337431-"/>
    <s v="khris.silva@redsalud.gob.cl"/>
    <x v="9"/>
    <d v="2025-08-20T00:00:00"/>
    <n v="0"/>
    <m/>
    <n v="1"/>
    <n v="11450000"/>
    <d v="2026-08-01T00:00:00"/>
    <x v="0"/>
    <x v="0"/>
  </r>
  <r>
    <s v="SERVICIO DE SALUD OSORNO"/>
    <s v="Bienes y Servicios"/>
    <x v="20"/>
    <s v="Proyecto operacional"/>
    <s v="Publicado"/>
    <s v="22.06.005"/>
    <x v="21"/>
    <s v="Dar cobertura a las necesidades de mantención de Equipos Médicos e Industriales de los establecimientos de la Red del Servicio de Salud Osorno."/>
    <n v="14"/>
    <s v="Mantención Auto Claves"/>
    <n v="4"/>
    <n v="100"/>
    <n v="916000"/>
    <n v="11450000"/>
    <x v="10"/>
    <x v="13"/>
    <x v="13"/>
    <x v="15"/>
    <s v="64-2337431-"/>
    <s v="khris.silva@redsalud.gob.cl"/>
    <x v="9"/>
    <d v="2025-08-20T00:00:00"/>
    <n v="0"/>
    <m/>
    <n v="1"/>
    <n v="11450000"/>
    <d v="2026-02-01T00:00:00"/>
    <x v="0"/>
    <x v="0"/>
  </r>
  <r>
    <s v="SERVICIO DE SALUD OSORNO"/>
    <s v="Bienes y Servicios"/>
    <x v="20"/>
    <s v="Proyecto operacional"/>
    <s v="Publicado"/>
    <s v="22.06.005"/>
    <x v="21"/>
    <s v="Dar cobertura a las necesidades de mantención de Equipos Médicos e Industriales de los establecimientos de la Red del Servicio de Salud Osorno."/>
    <n v="14"/>
    <s v="Mantención Auto Claves"/>
    <n v="4"/>
    <n v="100"/>
    <n v="916000"/>
    <n v="11450000"/>
    <x v="10"/>
    <x v="13"/>
    <x v="13"/>
    <x v="15"/>
    <s v="64-2337431-"/>
    <s v="khris.silva@redsalud.gob.cl"/>
    <x v="9"/>
    <d v="2025-08-20T00:00:00"/>
    <n v="0"/>
    <m/>
    <n v="1"/>
    <n v="11450000"/>
    <d v="2026-05-01T00:00:00"/>
    <x v="0"/>
    <x v="0"/>
  </r>
  <r>
    <s v="SERVICIO DE SALUD OSORNO"/>
    <s v="Bienes y Servicios"/>
    <x v="20"/>
    <s v="Proyecto operacional"/>
    <s v="Publicado"/>
    <s v="22.06.005"/>
    <x v="21"/>
    <s v="Dar cobertura a las necesidades de mantención de Equipos Médicos e Industriales de los establecimientos de la Red del Servicio de Salud Osorno."/>
    <n v="14"/>
    <s v="Mantención Auto Claves"/>
    <n v="4"/>
    <n v="100"/>
    <n v="916000"/>
    <n v="11450000"/>
    <x v="10"/>
    <x v="13"/>
    <x v="13"/>
    <x v="15"/>
    <s v="64-2337431-"/>
    <s v="khris.silva@redsalud.gob.cl"/>
    <x v="9"/>
    <d v="2025-08-20T00:00:00"/>
    <n v="0"/>
    <m/>
    <n v="1"/>
    <n v="11450000"/>
    <d v="2026-11-01T00:00:00"/>
    <x v="0"/>
    <x v="0"/>
  </r>
  <r>
    <s v="SERVICIO DE SALUD OSORNO"/>
    <s v="Bienes y Servicios"/>
    <x v="20"/>
    <s v="Proyecto operacional"/>
    <s v="Publicado"/>
    <s v="22.06.005"/>
    <x v="21"/>
    <s v="Dar cobertura a las necesidades de mantención de Equipos Médicos e Industriales de los establecimientos de la Red del Servicio de Salud Osorno."/>
    <n v="14"/>
    <s v="Mantención Preventiva Equipos"/>
    <n v="4"/>
    <n v="100"/>
    <n v="425600"/>
    <n v="1773333"/>
    <x v="1"/>
    <x v="14"/>
    <x v="13"/>
    <x v="15"/>
    <s v="64-2337431-"/>
    <s v="khris.silva@redsalud.gob.cl"/>
    <x v="9"/>
    <d v="2025-08-20T00:00:00"/>
    <n v="2"/>
    <s v="1057532-4799-AG25"/>
    <n v="1"/>
    <n v="1773333"/>
    <d v="2026-08-01T00:00:00"/>
    <x v="0"/>
    <x v="0"/>
  </r>
  <r>
    <s v="SERVICIO DE SALUD OSORNO"/>
    <s v="Bienes y Servicios"/>
    <x v="20"/>
    <s v="Proyecto operacional"/>
    <s v="Publicado"/>
    <s v="22.06.005"/>
    <x v="21"/>
    <s v="Dar cobertura a las necesidades de mantención de Equipos Médicos e Industriales de los establecimientos de la Red del Servicio de Salud Osorno."/>
    <n v="14"/>
    <s v="Mantención Preventiva Equipos"/>
    <n v="4"/>
    <n v="100"/>
    <n v="425600"/>
    <n v="1773333"/>
    <x v="1"/>
    <x v="14"/>
    <x v="13"/>
    <x v="15"/>
    <s v="64-2337431-"/>
    <s v="khris.silva@redsalud.gob.cl"/>
    <x v="9"/>
    <d v="2025-08-20T00:00:00"/>
    <n v="2"/>
    <s v="1057532-5363-AG25"/>
    <n v="1"/>
    <n v="1773333"/>
    <d v="2026-01-01T00:00:00"/>
    <x v="0"/>
    <x v="0"/>
  </r>
  <r>
    <s v="SERVICIO DE SALUD OSORNO"/>
    <s v="Bienes y Servicios"/>
    <x v="20"/>
    <s v="Proyecto operacional"/>
    <s v="Publicado"/>
    <s v="22.06.005"/>
    <x v="21"/>
    <s v="Dar cobertura a las necesidades de mantención de Equipos Médicos e Industriales de los establecimientos de la Red del Servicio de Salud Osorno."/>
    <n v="14"/>
    <s v="Mantención Preventiva Equipos"/>
    <n v="4"/>
    <n v="100"/>
    <n v="425600"/>
    <n v="1773333"/>
    <x v="1"/>
    <x v="14"/>
    <x v="13"/>
    <x v="15"/>
    <s v="64-2337431-"/>
    <s v="khris.silva@redsalud.gob.cl"/>
    <x v="9"/>
    <d v="2025-08-20T00:00:00"/>
    <n v="2"/>
    <s v="1057532-5363-AG25"/>
    <n v="1"/>
    <n v="1773333"/>
    <d v="2026-04-01T00:00:00"/>
    <x v="0"/>
    <x v="0"/>
  </r>
  <r>
    <s v="SERVICIO DE SALUD OSORNO"/>
    <s v="Bienes y Servicios"/>
    <x v="20"/>
    <s v="Proyecto operacional"/>
    <s v="Publicado"/>
    <s v="22.06.005"/>
    <x v="21"/>
    <s v="Dar cobertura a las necesidades de mantención de Equipos Médicos e Industriales de los establecimientos de la Red del Servicio de Salud Osorno."/>
    <n v="14"/>
    <s v="Mantención Preventiva Equipos"/>
    <n v="4"/>
    <n v="100"/>
    <n v="425600"/>
    <n v="1773333"/>
    <x v="1"/>
    <x v="14"/>
    <x v="13"/>
    <x v="15"/>
    <s v="64-2337431-"/>
    <s v="khris.silva@redsalud.gob.cl"/>
    <x v="9"/>
    <d v="2025-08-20T00:00:00"/>
    <n v="2"/>
    <s v="1057532-5363-AG25"/>
    <n v="1"/>
    <n v="1773333"/>
    <d v="2026-02-01T00:00:00"/>
    <x v="0"/>
    <x v="0"/>
  </r>
  <r>
    <s v="SERVICIO DE SALUD OSORNO"/>
    <s v="Bienes y Servicios"/>
    <x v="20"/>
    <s v="Proyecto operacional"/>
    <s v="Publicado"/>
    <s v="22.06.005"/>
    <x v="21"/>
    <s v="Dar cobertura a las necesidades de mantención de Equipos Médicos e Industriales de los establecimientos de la Red del Servicio de Salud Osorno."/>
    <n v="14"/>
    <s v="Mantención Preventiva Equipos"/>
    <n v="4"/>
    <n v="100"/>
    <n v="425600"/>
    <n v="1773333"/>
    <x v="1"/>
    <x v="14"/>
    <x v="13"/>
    <x v="15"/>
    <s v="64-2337431-"/>
    <s v="khris.silva@redsalud.gob.cl"/>
    <x v="9"/>
    <d v="2025-08-20T00:00:00"/>
    <n v="2"/>
    <s v="1057532-5363-AG25"/>
    <n v="1"/>
    <n v="1773333"/>
    <d v="2026-06-01T00:00:00"/>
    <x v="0"/>
    <x v="0"/>
  </r>
  <r>
    <s v="SERVICIO DE SALUD OSORNO"/>
    <s v="Bienes y Servicios"/>
    <x v="20"/>
    <s v="Proyecto operacional"/>
    <s v="Publicado"/>
    <s v="22.06.005"/>
    <x v="21"/>
    <s v="Dar cobertura a las necesidades de mantención de Equipos Médicos e Industriales de los establecimientos de la Red del Servicio de Salud Osorno."/>
    <n v="14"/>
    <s v="Mantención Preventiva Equipos"/>
    <n v="4"/>
    <n v="100"/>
    <n v="425600"/>
    <n v="1773333"/>
    <x v="1"/>
    <x v="14"/>
    <x v="13"/>
    <x v="15"/>
    <s v="64-2337431-"/>
    <s v="khris.silva@redsalud.gob.cl"/>
    <x v="9"/>
    <d v="2025-08-20T00:00:00"/>
    <n v="2"/>
    <s v="1057532-4799-AG25"/>
    <n v="1"/>
    <n v="1773333"/>
    <d v="2026-03-01T00:00:00"/>
    <x v="0"/>
    <x v="0"/>
  </r>
  <r>
    <s v="SERVICIO DE SALUD OSORNO"/>
    <s v="Bienes y Servicios"/>
    <x v="20"/>
    <s v="Proyecto operacional"/>
    <s v="Publicado"/>
    <s v="22.06.005"/>
    <x v="21"/>
    <s v="Dar cobertura a las necesidades de mantención de Equipos Médicos e Industriales de los establecimientos de la Red del Servicio de Salud Osorno."/>
    <n v="14"/>
    <s v="Mantención Preventiva Equipos"/>
    <n v="4"/>
    <n v="100"/>
    <n v="425600"/>
    <n v="1773333"/>
    <x v="1"/>
    <x v="14"/>
    <x v="13"/>
    <x v="15"/>
    <s v="64-2337431-"/>
    <s v="khris.silva@redsalud.gob.cl"/>
    <x v="9"/>
    <d v="2025-08-20T00:00:00"/>
    <n v="2"/>
    <s v="1057532-4799-AG25"/>
    <n v="1"/>
    <n v="1773333"/>
    <d v="2026-07-01T00:00:00"/>
    <x v="0"/>
    <x v="0"/>
  </r>
  <r>
    <s v="SERVICIO DE SALUD OSORNO"/>
    <s v="Bienes y Servicios"/>
    <x v="20"/>
    <s v="Proyecto operacional"/>
    <s v="Publicado"/>
    <s v="22.06.005"/>
    <x v="21"/>
    <s v="Dar cobertura a las necesidades de mantención de Equipos Médicos e Industriales de los establecimientos de la Red del Servicio de Salud Osorno."/>
    <n v="14"/>
    <s v="Mantención Preventiva Equipos"/>
    <n v="4"/>
    <n v="100"/>
    <n v="425600"/>
    <n v="1773333"/>
    <x v="1"/>
    <x v="14"/>
    <x v="13"/>
    <x v="15"/>
    <s v="64-2337431-"/>
    <s v="khris.silva@redsalud.gob.cl"/>
    <x v="9"/>
    <d v="2025-08-20T00:00:00"/>
    <n v="2"/>
    <s v="1057532-4799-AG25"/>
    <n v="1"/>
    <n v="1773333"/>
    <d v="2026-01-01T00:00:00"/>
    <x v="0"/>
    <x v="0"/>
  </r>
  <r>
    <s v="SERVICIO DE SALUD OSORNO"/>
    <s v="Bienes y Servicios"/>
    <x v="20"/>
    <s v="Proyecto operacional"/>
    <s v="Publicado"/>
    <s v="22.06.005"/>
    <x v="21"/>
    <s v="Dar cobertura a las necesidades de mantención de Equipos Médicos e Industriales de los establecimientos de la Red del Servicio de Salud Osorno."/>
    <n v="14"/>
    <s v="Mantención Preventiva Equipos"/>
    <n v="4"/>
    <n v="100"/>
    <n v="425600"/>
    <n v="1773333"/>
    <x v="1"/>
    <x v="14"/>
    <x v="13"/>
    <x v="15"/>
    <s v="64-2337431-"/>
    <s v="khris.silva@redsalud.gob.cl"/>
    <x v="9"/>
    <d v="2025-08-20T00:00:00"/>
    <n v="2"/>
    <s v="1057532-4799-AG25"/>
    <n v="1"/>
    <n v="1773333"/>
    <d v="2026-05-01T00:00:00"/>
    <x v="0"/>
    <x v="0"/>
  </r>
  <r>
    <s v="SERVICIO DE SALUD OSORNO"/>
    <s v="Bienes y Servicios"/>
    <x v="20"/>
    <s v="Proyecto operacional"/>
    <s v="Publicado"/>
    <s v="22.06.005"/>
    <x v="21"/>
    <s v="Dar cobertura a las necesidades de mantención de Equipos Médicos e Industriales de los establecimientos de la Red del Servicio de Salud Osorno."/>
    <n v="14"/>
    <s v="Mantención Preventiva Equipos"/>
    <n v="4"/>
    <n v="100"/>
    <n v="425600"/>
    <n v="1773333"/>
    <x v="1"/>
    <x v="14"/>
    <x v="13"/>
    <x v="15"/>
    <s v="64-2337431-"/>
    <s v="khris.silva@redsalud.gob.cl"/>
    <x v="9"/>
    <d v="2025-08-20T00:00:00"/>
    <n v="2"/>
    <s v="1057532-4799-AG25"/>
    <n v="1"/>
    <n v="1773333"/>
    <d v="2026-06-01T00:00:00"/>
    <x v="0"/>
    <x v="0"/>
  </r>
  <r>
    <s v="SERVICIO DE SALUD OSORNO"/>
    <s v="Bienes y Servicios"/>
    <x v="20"/>
    <s v="Proyecto operacional"/>
    <s v="Publicado"/>
    <s v="22.06.005"/>
    <x v="21"/>
    <s v="Dar cobertura a las necesidades de mantención de Equipos Médicos e Industriales de los establecimientos de la Red del Servicio de Salud Osorno."/>
    <n v="14"/>
    <s v="Mantención Preventiva Equipos"/>
    <n v="4"/>
    <n v="100"/>
    <n v="425600"/>
    <n v="1773333"/>
    <x v="1"/>
    <x v="14"/>
    <x v="13"/>
    <x v="15"/>
    <s v="64-2337431-"/>
    <s v="khris.silva@redsalud.gob.cl"/>
    <x v="9"/>
    <d v="2025-08-20T00:00:00"/>
    <n v="2"/>
    <s v="1057532-4799-AG25"/>
    <n v="1"/>
    <n v="1773333"/>
    <d v="2026-12-01T00:00:00"/>
    <x v="0"/>
    <x v="0"/>
  </r>
  <r>
    <s v="SERVICIO DE SALUD OSORNO"/>
    <s v="Bienes y Servicios"/>
    <x v="20"/>
    <s v="Proyecto operacional"/>
    <s v="Publicado"/>
    <s v="22.06.005"/>
    <x v="21"/>
    <s v="Dar cobertura a las necesidades de mantención de Equipos Médicos e Industriales de los establecimientos de la Red del Servicio de Salud Osorno."/>
    <n v="14"/>
    <s v="Mantención Preventiva Equipos"/>
    <n v="4"/>
    <n v="100"/>
    <n v="425600"/>
    <n v="1773333"/>
    <x v="1"/>
    <x v="14"/>
    <x v="13"/>
    <x v="15"/>
    <s v="64-2337431-"/>
    <s v="khris.silva@redsalud.gob.cl"/>
    <x v="9"/>
    <d v="2025-08-20T00:00:00"/>
    <n v="2"/>
    <s v="1057532-4799-AG25"/>
    <n v="1"/>
    <n v="1773333"/>
    <d v="2026-04-01T00:00:00"/>
    <x v="0"/>
    <x v="0"/>
  </r>
  <r>
    <s v="SERVICIO DE SALUD OSORNO"/>
    <s v="Bienes y Servicios"/>
    <x v="20"/>
    <s v="Proyecto operacional"/>
    <s v="Publicado"/>
    <s v="22.06.005"/>
    <x v="21"/>
    <s v="Dar cobertura a las necesidades de mantención de Equipos Médicos e Industriales de los establecimientos de la Red del Servicio de Salud Osorno."/>
    <n v="14"/>
    <s v="Mantención Otros"/>
    <n v="4"/>
    <n v="100"/>
    <n v="4500"/>
    <n v="225000"/>
    <x v="8"/>
    <x v="15"/>
    <x v="13"/>
    <x v="15"/>
    <s v="64-2337431-"/>
    <s v="khris.silva@redsalud.gob.cl"/>
    <x v="10"/>
    <d v="2025-08-20T00:00:00"/>
    <n v="1"/>
    <s v="1057532-4785-AG25"/>
    <n v="1"/>
    <n v="225000"/>
    <d v="2026-03-01T00:00:00"/>
    <x v="0"/>
    <x v="0"/>
  </r>
  <r>
    <s v="SERVICIO DE SALUD OSORNO"/>
    <s v="Bienes y Servicios"/>
    <x v="21"/>
    <s v="Proyecto estratégico"/>
    <s v="Publicado"/>
    <s v="22.04.004"/>
    <x v="22"/>
    <s v="Abril 2025. Convenio de suministro a iniciar en abril 2025 con duración de 2 años calendario para licitar listado de 353 productos de los arsenales farmacológicos de la Red que se envian en archivo adjunto para efectos de licitación."/>
    <n v="1"/>
    <s v="Medicamentos"/>
    <n v="4"/>
    <n v="1"/>
    <n v="150000000"/>
    <n v="6250000"/>
    <x v="1"/>
    <x v="16"/>
    <x v="14"/>
    <x v="16"/>
    <s v="64-335811-"/>
    <s v="eleuterio.roman@redsalud.gob.cl"/>
    <x v="11"/>
    <d v="2025-08-20T00:00:00"/>
    <n v="12"/>
    <s v="1057532-5204-SE25"/>
    <n v="1"/>
    <n v="6250000"/>
    <d v="2026-09-01T00:00:00"/>
    <x v="0"/>
    <x v="0"/>
  </r>
  <r>
    <s v="SERVICIO DE SALUD OSORNO"/>
    <s v="Bienes y Servicios"/>
    <x v="21"/>
    <s v="Proyecto estratégico"/>
    <s v="Publicado"/>
    <s v="22.04.004"/>
    <x v="22"/>
    <s v="Abril 2025. Convenio de suministro a iniciar en abril 2025 con duración de 2 años calendario para licitar listado de 353 productos de los arsenales farmacológicos de la Red que se envian en archivo adjunto para efectos de licitación."/>
    <n v="1"/>
    <s v="Medicamentos"/>
    <n v="4"/>
    <n v="1"/>
    <n v="150000000"/>
    <n v="6250000"/>
    <x v="1"/>
    <x v="16"/>
    <x v="14"/>
    <x v="16"/>
    <s v="64-335811-"/>
    <s v="eleuterio.roman@redsalud.gob.cl"/>
    <x v="11"/>
    <d v="2025-08-20T00:00:00"/>
    <n v="12"/>
    <s v="1057532-5140-SE25"/>
    <n v="1"/>
    <n v="6250000"/>
    <d v="2026-01-01T00:00:00"/>
    <x v="0"/>
    <x v="0"/>
  </r>
  <r>
    <s v="SERVICIO DE SALUD OSORNO"/>
    <s v="Bienes y Servicios"/>
    <x v="21"/>
    <s v="Proyecto estratégico"/>
    <s v="Publicado"/>
    <s v="22.04.004"/>
    <x v="22"/>
    <s v="Abril 2025. Convenio de suministro a iniciar en abril 2025 con duración de 2 años calendario para licitar listado de 353 productos de los arsenales farmacológicos de la Red que se envian en archivo adjunto para efectos de licitación."/>
    <n v="1"/>
    <s v="Medicamentos"/>
    <n v="4"/>
    <n v="1"/>
    <n v="150000000"/>
    <n v="6250000"/>
    <x v="1"/>
    <x v="16"/>
    <x v="14"/>
    <x v="16"/>
    <s v="64-335811-"/>
    <s v="eleuterio.roman@redsalud.gob.cl"/>
    <x v="11"/>
    <d v="2025-08-20T00:00:00"/>
    <n v="12"/>
    <s v="1057532-5140-SE25"/>
    <n v="1"/>
    <n v="6250000"/>
    <d v="2026-08-01T00:00:00"/>
    <x v="0"/>
    <x v="0"/>
  </r>
  <r>
    <s v="SERVICIO DE SALUD OSORNO"/>
    <s v="Bienes y Servicios"/>
    <x v="21"/>
    <s v="Proyecto estratégico"/>
    <s v="Publicado"/>
    <s v="22.04.004"/>
    <x v="22"/>
    <s v="Abril 2025. Convenio de suministro a iniciar en abril 2025 con duración de 2 años calendario para licitar listado de 353 productos de los arsenales farmacológicos de la Red que se envian en archivo adjunto para efectos de licitación."/>
    <n v="1"/>
    <s v="Medicamentos"/>
    <n v="4"/>
    <n v="1"/>
    <n v="150000000"/>
    <n v="6250000"/>
    <x v="1"/>
    <x v="16"/>
    <x v="14"/>
    <x v="16"/>
    <s v="64-335811-"/>
    <s v="eleuterio.roman@redsalud.gob.cl"/>
    <x v="11"/>
    <d v="2025-08-20T00:00:00"/>
    <n v="12"/>
    <s v="1057532-5140-SE25"/>
    <n v="1"/>
    <n v="6250000"/>
    <d v="2026-07-01T00:00:00"/>
    <x v="0"/>
    <x v="0"/>
  </r>
  <r>
    <s v="SERVICIO DE SALUD OSORNO"/>
    <s v="Bienes y Servicios"/>
    <x v="21"/>
    <s v="Proyecto estratégico"/>
    <s v="Publicado"/>
    <s v="22.04.004"/>
    <x v="22"/>
    <s v="Abril 2025. Convenio de suministro a iniciar en abril 2025 con duración de 2 años calendario para licitar listado de 353 productos de los arsenales farmacológicos de la Red que se envian en archivo adjunto para efectos de licitación."/>
    <n v="1"/>
    <s v="Medicamentos"/>
    <n v="4"/>
    <n v="1"/>
    <n v="150000000"/>
    <n v="6250000"/>
    <x v="1"/>
    <x v="16"/>
    <x v="14"/>
    <x v="16"/>
    <s v="64-335811-"/>
    <s v="eleuterio.roman@redsalud.gob.cl"/>
    <x v="11"/>
    <d v="2025-08-20T00:00:00"/>
    <n v="12"/>
    <s v="1057532-5140-SE25"/>
    <n v="1"/>
    <n v="6250000"/>
    <d v="2026-02-01T00:00:00"/>
    <x v="0"/>
    <x v="0"/>
  </r>
  <r>
    <s v="SERVICIO DE SALUD OSORNO"/>
    <s v="Bienes y Servicios"/>
    <x v="21"/>
    <s v="Proyecto estratégico"/>
    <s v="Publicado"/>
    <s v="22.04.004"/>
    <x v="22"/>
    <s v="Abril 2025. Convenio de suministro a iniciar en abril 2025 con duración de 2 años calendario para licitar listado de 353 productos de los arsenales farmacológicos de la Red que se envian en archivo adjunto para efectos de licitación."/>
    <n v="1"/>
    <s v="Medicamentos"/>
    <n v="4"/>
    <n v="1"/>
    <n v="150000000"/>
    <n v="6250000"/>
    <x v="1"/>
    <x v="16"/>
    <x v="14"/>
    <x v="16"/>
    <s v="64-335811-"/>
    <s v="eleuterio.roman@redsalud.gob.cl"/>
    <x v="11"/>
    <d v="2025-08-20T00:00:00"/>
    <n v="12"/>
    <s v="1057532-5140-SE25"/>
    <n v="1"/>
    <n v="6250000"/>
    <d v="2026-05-01T00:00:00"/>
    <x v="0"/>
    <x v="0"/>
  </r>
  <r>
    <s v="SERVICIO DE SALUD OSORNO"/>
    <s v="Bienes y Servicios"/>
    <x v="21"/>
    <s v="Proyecto estratégico"/>
    <s v="Publicado"/>
    <s v="22.04.004"/>
    <x v="22"/>
    <s v="Abril 2025. Convenio de suministro a iniciar en abril 2025 con duración de 2 años calendario para licitar listado de 353 productos de los arsenales farmacológicos de la Red que se envian en archivo adjunto para efectos de licitación."/>
    <n v="1"/>
    <s v="Medicamentos"/>
    <n v="4"/>
    <n v="1"/>
    <n v="150000000"/>
    <n v="6250000"/>
    <x v="1"/>
    <x v="16"/>
    <x v="14"/>
    <x v="16"/>
    <s v="64-335811-"/>
    <s v="eleuterio.roman@redsalud.gob.cl"/>
    <x v="11"/>
    <d v="2025-08-20T00:00:00"/>
    <n v="12"/>
    <s v="1057532-5140-SE25"/>
    <n v="1"/>
    <n v="6250000"/>
    <d v="2026-03-01T00:00:00"/>
    <x v="0"/>
    <x v="0"/>
  </r>
  <r>
    <s v="SERVICIO DE SALUD OSORNO"/>
    <s v="Bienes y Servicios"/>
    <x v="21"/>
    <s v="Proyecto estratégico"/>
    <s v="Publicado"/>
    <s v="22.04.004"/>
    <x v="22"/>
    <s v="Abril 2025. Convenio de suministro a iniciar en abril 2025 con duración de 2 años calendario para licitar listado de 353 productos de los arsenales farmacológicos de la Red que se envian en archivo adjunto para efectos de licitación."/>
    <n v="1"/>
    <s v="Medicamentos"/>
    <n v="4"/>
    <n v="1"/>
    <n v="150000000"/>
    <n v="6250000"/>
    <x v="1"/>
    <x v="16"/>
    <x v="14"/>
    <x v="16"/>
    <s v="64-335811-"/>
    <s v="eleuterio.roman@redsalud.gob.cl"/>
    <x v="11"/>
    <d v="2025-08-20T00:00:00"/>
    <n v="12"/>
    <s v="1057532-5142-SE25"/>
    <n v="1"/>
    <n v="6250000"/>
    <d v="2026-05-01T00:00:00"/>
    <x v="0"/>
    <x v="0"/>
  </r>
  <r>
    <s v="SERVICIO DE SALUD OSORNO"/>
    <s v="Bienes y Servicios"/>
    <x v="21"/>
    <s v="Proyecto estratégico"/>
    <s v="Publicado"/>
    <s v="22.04.004"/>
    <x v="22"/>
    <s v="Abril 2025. Convenio de suministro a iniciar en abril 2025 con duración de 2 años calendario para licitar listado de 353 productos de los arsenales farmacológicos de la Red que se envian en archivo adjunto para efectos de licitación."/>
    <n v="1"/>
    <s v="Medicamentos"/>
    <n v="4"/>
    <n v="1"/>
    <n v="150000000"/>
    <n v="6250000"/>
    <x v="1"/>
    <x v="16"/>
    <x v="14"/>
    <x v="16"/>
    <s v="64-335811-"/>
    <s v="eleuterio.roman@redsalud.gob.cl"/>
    <x v="11"/>
    <d v="2025-08-20T00:00:00"/>
    <n v="12"/>
    <s v="1057532-5148-SE25"/>
    <n v="1"/>
    <n v="6250000"/>
    <d v="2026-03-01T00:00:00"/>
    <x v="0"/>
    <x v="0"/>
  </r>
  <r>
    <s v="SERVICIO DE SALUD OSORNO"/>
    <s v="Bienes y Servicios"/>
    <x v="21"/>
    <s v="Proyecto estratégico"/>
    <s v="Publicado"/>
    <s v="22.04.004"/>
    <x v="22"/>
    <s v="Abril 2025. Convenio de suministro a iniciar en abril 2025 con duración de 2 años calendario para licitar listado de 353 productos de los arsenales farmacológicos de la Red que se envian en archivo adjunto para efectos de licitación."/>
    <n v="1"/>
    <s v="Medicamentos"/>
    <n v="4"/>
    <n v="1"/>
    <n v="150000000"/>
    <n v="6250000"/>
    <x v="1"/>
    <x v="16"/>
    <x v="14"/>
    <x v="16"/>
    <s v="64-335811-"/>
    <s v="eleuterio.roman@redsalud.gob.cl"/>
    <x v="11"/>
    <d v="2025-08-20T00:00:00"/>
    <n v="12"/>
    <s v="1057532-5204-SE25"/>
    <n v="1"/>
    <n v="6250000"/>
    <d v="2026-08-01T00:00:00"/>
    <x v="0"/>
    <x v="0"/>
  </r>
  <r>
    <s v="SERVICIO DE SALUD OSORNO"/>
    <s v="Bienes y Servicios"/>
    <x v="21"/>
    <s v="Proyecto estratégico"/>
    <s v="Publicado"/>
    <s v="22.04.004"/>
    <x v="22"/>
    <s v="Abril 2025. Convenio de suministro a iniciar en abril 2025 con duración de 2 años calendario para licitar listado de 353 productos de los arsenales farmacológicos de la Red que se envian en archivo adjunto para efectos de licitación."/>
    <n v="1"/>
    <s v="Medicamentos"/>
    <n v="4"/>
    <n v="1"/>
    <n v="150000000"/>
    <n v="6250000"/>
    <x v="1"/>
    <x v="16"/>
    <x v="14"/>
    <x v="16"/>
    <s v="64-335811-"/>
    <s v="eleuterio.roman@redsalud.gob.cl"/>
    <x v="11"/>
    <d v="2025-08-20T00:00:00"/>
    <n v="12"/>
    <s v="1057532-5204-SE25"/>
    <n v="1"/>
    <n v="6250000"/>
    <d v="2026-06-01T00:00:00"/>
    <x v="0"/>
    <x v="0"/>
  </r>
  <r>
    <s v="SERVICIO DE SALUD OSORNO"/>
    <s v="Bienes y Servicios"/>
    <x v="21"/>
    <s v="Proyecto estratégico"/>
    <s v="Publicado"/>
    <s v="22.04.004"/>
    <x v="22"/>
    <s v="Abril 2025. Convenio de suministro a iniciar en abril 2025 con duración de 2 años calendario para licitar listado de 353 productos de los arsenales farmacológicos de la Red que se envian en archivo adjunto para efectos de licitación."/>
    <n v="1"/>
    <s v="Medicamentos"/>
    <n v="4"/>
    <n v="1"/>
    <n v="150000000"/>
    <n v="6250000"/>
    <x v="1"/>
    <x v="16"/>
    <x v="14"/>
    <x v="16"/>
    <s v="64-335811-"/>
    <s v="eleuterio.roman@redsalud.gob.cl"/>
    <x v="11"/>
    <d v="2025-08-20T00:00:00"/>
    <n v="12"/>
    <s v="1057532-5140-SE25"/>
    <n v="1"/>
    <n v="6250000"/>
    <d v="2026-04-01T00:00:00"/>
    <x v="0"/>
    <x v="0"/>
  </r>
  <r>
    <s v="SERVICIO DE SALUD OSORNO"/>
    <s v="Bienes y Servicios"/>
    <x v="22"/>
    <s v="Proyecto operacional"/>
    <s v="Publicado"/>
    <s v="22.04.005.003"/>
    <x v="23"/>
    <s v="Proveer desde el 01-07-2025 al 31-12-2026 al Edificio Institucional de la Dirección del Servicio de Salud Osorno, Edificio Institucional Manuel Rodriguez, Base SAMU Oriente y Base SAMU Rahue Alto del servicio de aseo y mantención de pisos, oficinas, baños, pasillos, ventanas, persianas, áreas generales y comunes, entre otras, de las dependencias en general, su infraestructura, equipos y demás bienes del establecimiento, según corresponda a las necesidades de cada establecimiento e instrucciones del referente del mismo."/>
    <n v="1"/>
    <s v="Aseo"/>
    <n v="4"/>
    <n v="1"/>
    <n v="216000000"/>
    <n v="12000000"/>
    <x v="5"/>
    <x v="5"/>
    <x v="9"/>
    <x v="17"/>
    <s v="64-337381-"/>
    <s v="lorena.torresc@redsalud.gob.cl"/>
    <x v="12"/>
    <d v="2025-08-20T00:00:00"/>
    <n v="0"/>
    <m/>
    <n v="1"/>
    <n v="12000000"/>
    <d v="2026-12-01T00:00:00"/>
    <x v="0"/>
    <x v="0"/>
  </r>
  <r>
    <s v="SERVICIO DE SALUD OSORNO"/>
    <s v="Bienes y Servicios"/>
    <x v="22"/>
    <s v="Proyecto operacional"/>
    <s v="Publicado"/>
    <s v="22.04.005.003"/>
    <x v="23"/>
    <s v="Proveer desde el 01-07-2025 al 31-12-2026 al Edificio Institucional de la Dirección del Servicio de Salud Osorno, Edificio Institucional Manuel Rodriguez, Base SAMU Oriente y Base SAMU Rahue Alto del servicio de aseo y mantención de pisos, oficinas, baños, pasillos, ventanas, persianas, áreas generales y comunes, entre otras, de las dependencias en general, su infraestructura, equipos y demás bienes del establecimiento, según corresponda a las necesidades de cada establecimiento e instrucciones del referente del mismo."/>
    <n v="1"/>
    <s v="Aseo"/>
    <n v="4"/>
    <n v="1"/>
    <n v="216000000"/>
    <n v="12000000"/>
    <x v="5"/>
    <x v="5"/>
    <x v="9"/>
    <x v="17"/>
    <s v="64-337381-"/>
    <s v="lorena.torresc@redsalud.gob.cl"/>
    <x v="12"/>
    <d v="2025-08-20T00:00:00"/>
    <n v="0"/>
    <m/>
    <n v="1"/>
    <n v="12000000"/>
    <d v="2026-06-01T00:00:00"/>
    <x v="0"/>
    <x v="0"/>
  </r>
  <r>
    <s v="SERVICIO DE SALUD OSORNO"/>
    <s v="Bienes y Servicios"/>
    <x v="22"/>
    <s v="Proyecto operacional"/>
    <s v="Publicado"/>
    <s v="22.04.005.003"/>
    <x v="23"/>
    <s v="Proveer desde el 01-07-2025 al 31-12-2026 al Edificio Institucional de la Dirección del Servicio de Salud Osorno, Edificio Institucional Manuel Rodriguez, Base SAMU Oriente y Base SAMU Rahue Alto del servicio de aseo y mantención de pisos, oficinas, baños, pasillos, ventanas, persianas, áreas generales y comunes, entre otras, de las dependencias en general, su infraestructura, equipos y demás bienes del establecimiento, según corresponda a las necesidades de cada establecimiento e instrucciones del referente del mismo."/>
    <n v="1"/>
    <s v="Aseo"/>
    <n v="4"/>
    <n v="1"/>
    <n v="216000000"/>
    <n v="12000000"/>
    <x v="5"/>
    <x v="5"/>
    <x v="9"/>
    <x v="17"/>
    <s v="64-337381-"/>
    <s v="lorena.torresc@redsalud.gob.cl"/>
    <x v="12"/>
    <d v="2025-08-20T00:00:00"/>
    <n v="0"/>
    <m/>
    <n v="1"/>
    <n v="12000000"/>
    <d v="2026-02-01T00:00:00"/>
    <x v="0"/>
    <x v="0"/>
  </r>
  <r>
    <s v="SERVICIO DE SALUD OSORNO"/>
    <s v="Bienes y Servicios"/>
    <x v="22"/>
    <s v="Proyecto operacional"/>
    <s v="Publicado"/>
    <s v="22.04.005.003"/>
    <x v="23"/>
    <s v="Proveer desde el 01-07-2025 al 31-12-2026 al Edificio Institucional de la Dirección del Servicio de Salud Osorno, Edificio Institucional Manuel Rodriguez, Base SAMU Oriente y Base SAMU Rahue Alto del servicio de aseo y mantención de pisos, oficinas, baños, pasillos, ventanas, persianas, áreas generales y comunes, entre otras, de las dependencias en general, su infraestructura, equipos y demás bienes del establecimiento, según corresponda a las necesidades de cada establecimiento e instrucciones del referente del mismo."/>
    <n v="1"/>
    <s v="Aseo"/>
    <n v="4"/>
    <n v="1"/>
    <n v="216000000"/>
    <n v="12000000"/>
    <x v="5"/>
    <x v="5"/>
    <x v="9"/>
    <x v="17"/>
    <s v="64-337381-"/>
    <s v="lorena.torresc@redsalud.gob.cl"/>
    <x v="12"/>
    <d v="2025-08-20T00:00:00"/>
    <n v="0"/>
    <m/>
    <n v="1"/>
    <n v="12000000"/>
    <d v="2026-01-01T00:00:00"/>
    <x v="0"/>
    <x v="0"/>
  </r>
  <r>
    <s v="SERVICIO DE SALUD OSORNO"/>
    <s v="Bienes y Servicios"/>
    <x v="22"/>
    <s v="Proyecto operacional"/>
    <s v="Publicado"/>
    <s v="22.04.005.003"/>
    <x v="23"/>
    <s v="Proveer desde el 01-07-2025 al 31-12-2026 al Edificio Institucional de la Dirección del Servicio de Salud Osorno, Edificio Institucional Manuel Rodriguez, Base SAMU Oriente y Base SAMU Rahue Alto del servicio de aseo y mantención de pisos, oficinas, baños, pasillos, ventanas, persianas, áreas generales y comunes, entre otras, de las dependencias en general, su infraestructura, equipos y demás bienes del establecimiento, según corresponda a las necesidades de cada establecimiento e instrucciones del referente del mismo."/>
    <n v="1"/>
    <s v="Aseo"/>
    <n v="4"/>
    <n v="1"/>
    <n v="216000000"/>
    <n v="12000000"/>
    <x v="5"/>
    <x v="5"/>
    <x v="9"/>
    <x v="17"/>
    <s v="64-337381-"/>
    <s v="lorena.torresc@redsalud.gob.cl"/>
    <x v="12"/>
    <d v="2025-08-20T00:00:00"/>
    <n v="0"/>
    <m/>
    <n v="1"/>
    <n v="12000000"/>
    <d v="2026-07-01T00:00:00"/>
    <x v="0"/>
    <x v="0"/>
  </r>
  <r>
    <s v="SERVICIO DE SALUD OSORNO"/>
    <s v="Bienes y Servicios"/>
    <x v="22"/>
    <s v="Proyecto operacional"/>
    <s v="Publicado"/>
    <s v="22.04.005.003"/>
    <x v="23"/>
    <s v="Proveer desde el 01-07-2025 al 31-12-2026 al Edificio Institucional de la Dirección del Servicio de Salud Osorno, Edificio Institucional Manuel Rodriguez, Base SAMU Oriente y Base SAMU Rahue Alto del servicio de aseo y mantención de pisos, oficinas, baños, pasillos, ventanas, persianas, áreas generales y comunes, entre otras, de las dependencias en general, su infraestructura, equipos y demás bienes del establecimiento, según corresponda a las necesidades de cada establecimiento e instrucciones del referente del mismo."/>
    <n v="1"/>
    <s v="Aseo"/>
    <n v="4"/>
    <n v="1"/>
    <n v="216000000"/>
    <n v="12000000"/>
    <x v="5"/>
    <x v="5"/>
    <x v="9"/>
    <x v="17"/>
    <s v="64-337381-"/>
    <s v="lorena.torresc@redsalud.gob.cl"/>
    <x v="12"/>
    <d v="2025-08-20T00:00:00"/>
    <n v="0"/>
    <m/>
    <n v="1"/>
    <n v="12000000"/>
    <d v="2026-03-01T00:00:00"/>
    <x v="0"/>
    <x v="0"/>
  </r>
  <r>
    <s v="SERVICIO DE SALUD OSORNO"/>
    <s v="Bienes y Servicios"/>
    <x v="22"/>
    <s v="Proyecto operacional"/>
    <s v="Publicado"/>
    <s v="22.04.005.003"/>
    <x v="23"/>
    <s v="Proveer desde el 01-07-2025 al 31-12-2026 al Edificio Institucional de la Dirección del Servicio de Salud Osorno, Edificio Institucional Manuel Rodriguez, Base SAMU Oriente y Base SAMU Rahue Alto del servicio de aseo y mantención de pisos, oficinas, baños, pasillos, ventanas, persianas, áreas generales y comunes, entre otras, de las dependencias en general, su infraestructura, equipos y demás bienes del establecimiento, según corresponda a las necesidades de cada establecimiento e instrucciones del referente del mismo."/>
    <n v="1"/>
    <s v="Aseo"/>
    <n v="4"/>
    <n v="1"/>
    <n v="216000000"/>
    <n v="12000000"/>
    <x v="5"/>
    <x v="5"/>
    <x v="9"/>
    <x v="17"/>
    <s v="64-337381-"/>
    <s v="lorena.torresc@redsalud.gob.cl"/>
    <x v="12"/>
    <d v="2025-08-20T00:00:00"/>
    <n v="0"/>
    <m/>
    <n v="1"/>
    <n v="12000000"/>
    <d v="2026-11-01T00:00:00"/>
    <x v="0"/>
    <x v="0"/>
  </r>
  <r>
    <s v="SERVICIO DE SALUD OSORNO"/>
    <s v="Bienes y Servicios"/>
    <x v="22"/>
    <s v="Proyecto operacional"/>
    <s v="Publicado"/>
    <s v="22.04.005.003"/>
    <x v="23"/>
    <s v="Proveer desde el 01-07-2025 al 31-12-2026 al Edificio Institucional de la Dirección del Servicio de Salud Osorno, Edificio Institucional Manuel Rodriguez, Base SAMU Oriente y Base SAMU Rahue Alto del servicio de aseo y mantención de pisos, oficinas, baños, pasillos, ventanas, persianas, áreas generales y comunes, entre otras, de las dependencias en general, su infraestructura, equipos y demás bienes del establecimiento, según corresponda a las necesidades de cada establecimiento e instrucciones del referente del mismo."/>
    <n v="1"/>
    <s v="Aseo"/>
    <n v="4"/>
    <n v="1"/>
    <n v="216000000"/>
    <n v="12000000"/>
    <x v="5"/>
    <x v="5"/>
    <x v="9"/>
    <x v="17"/>
    <s v="64-337381-"/>
    <s v="lorena.torresc@redsalud.gob.cl"/>
    <x v="12"/>
    <d v="2025-08-20T00:00:00"/>
    <n v="0"/>
    <m/>
    <n v="1"/>
    <n v="12000000"/>
    <d v="2026-04-01T00:00:00"/>
    <x v="0"/>
    <x v="0"/>
  </r>
  <r>
    <s v="SERVICIO DE SALUD OSORNO"/>
    <s v="Bienes y Servicios"/>
    <x v="22"/>
    <s v="Proyecto operacional"/>
    <s v="Publicado"/>
    <s v="22.04.005.003"/>
    <x v="23"/>
    <s v="Proveer desde el 01-07-2025 al 31-12-2026 al Edificio Institucional de la Dirección del Servicio de Salud Osorno, Edificio Institucional Manuel Rodriguez, Base SAMU Oriente y Base SAMU Rahue Alto del servicio de aseo y mantención de pisos, oficinas, baños, pasillos, ventanas, persianas, áreas generales y comunes, entre otras, de las dependencias en general, su infraestructura, equipos y demás bienes del establecimiento, según corresponda a las necesidades de cada establecimiento e instrucciones del referente del mismo."/>
    <n v="1"/>
    <s v="Aseo"/>
    <n v="4"/>
    <n v="1"/>
    <n v="216000000"/>
    <n v="12000000"/>
    <x v="5"/>
    <x v="5"/>
    <x v="9"/>
    <x v="17"/>
    <s v="64-337381-"/>
    <s v="lorena.torresc@redsalud.gob.cl"/>
    <x v="12"/>
    <d v="2025-08-20T00:00:00"/>
    <n v="0"/>
    <m/>
    <n v="1"/>
    <n v="12000000"/>
    <d v="2026-09-01T00:00:00"/>
    <x v="0"/>
    <x v="0"/>
  </r>
  <r>
    <s v="SERVICIO DE SALUD OSORNO"/>
    <s v="Bienes y Servicios"/>
    <x v="22"/>
    <s v="Proyecto operacional"/>
    <s v="Publicado"/>
    <s v="22.04.005.003"/>
    <x v="23"/>
    <s v="Proveer desde el 01-07-2025 al 31-12-2026 al Edificio Institucional de la Dirección del Servicio de Salud Osorno, Edificio Institucional Manuel Rodriguez, Base SAMU Oriente y Base SAMU Rahue Alto del servicio de aseo y mantención de pisos, oficinas, baños, pasillos, ventanas, persianas, áreas generales y comunes, entre otras, de las dependencias en general, su infraestructura, equipos y demás bienes del establecimiento, según corresponda a las necesidades de cada establecimiento e instrucciones del referente del mismo."/>
    <n v="1"/>
    <s v="Aseo"/>
    <n v="4"/>
    <n v="1"/>
    <n v="216000000"/>
    <n v="12000000"/>
    <x v="5"/>
    <x v="5"/>
    <x v="9"/>
    <x v="17"/>
    <s v="64-337381-"/>
    <s v="lorena.torresc@redsalud.gob.cl"/>
    <x v="12"/>
    <d v="2025-08-20T00:00:00"/>
    <n v="0"/>
    <m/>
    <n v="1"/>
    <n v="12000000"/>
    <d v="2026-10-01T00:00:00"/>
    <x v="0"/>
    <x v="0"/>
  </r>
  <r>
    <s v="SERVICIO DE SALUD OSORNO"/>
    <s v="Bienes y Servicios"/>
    <x v="22"/>
    <s v="Proyecto operacional"/>
    <s v="Publicado"/>
    <s v="22.04.005.003"/>
    <x v="23"/>
    <s v="Proveer desde el 01-07-2025 al 31-12-2026 al Edificio Institucional de la Dirección del Servicio de Salud Osorno, Edificio Institucional Manuel Rodriguez, Base SAMU Oriente y Base SAMU Rahue Alto del servicio de aseo y mantención de pisos, oficinas, baños, pasillos, ventanas, persianas, áreas generales y comunes, entre otras, de las dependencias en general, su infraestructura, equipos y demás bienes del establecimiento, según corresponda a las necesidades de cada establecimiento e instrucciones del referente del mismo."/>
    <n v="1"/>
    <s v="Aseo"/>
    <n v="4"/>
    <n v="1"/>
    <n v="216000000"/>
    <n v="12000000"/>
    <x v="5"/>
    <x v="5"/>
    <x v="9"/>
    <x v="17"/>
    <s v="64-337381-"/>
    <s v="lorena.torresc@redsalud.gob.cl"/>
    <x v="12"/>
    <d v="2025-08-20T00:00:00"/>
    <n v="0"/>
    <m/>
    <n v="1"/>
    <n v="12000000"/>
    <d v="2026-08-01T00:00:00"/>
    <x v="0"/>
    <x v="0"/>
  </r>
  <r>
    <s v="SERVICIO DE SALUD OSORNO"/>
    <s v="Bienes y Servicios"/>
    <x v="22"/>
    <s v="Proyecto operacional"/>
    <s v="Publicado"/>
    <s v="22.04.005.003"/>
    <x v="23"/>
    <s v="Proveer desde el 01-07-2025 al 31-12-2026 al Edificio Institucional de la Dirección del Servicio de Salud Osorno, Edificio Institucional Manuel Rodriguez, Base SAMU Oriente y Base SAMU Rahue Alto del servicio de aseo y mantención de pisos, oficinas, baños, pasillos, ventanas, persianas, áreas generales y comunes, entre otras, de las dependencias en general, su infraestructura, equipos y demás bienes del establecimiento, según corresponda a las necesidades de cada establecimiento e instrucciones del referente del mismo."/>
    <n v="1"/>
    <s v="Aseo"/>
    <n v="4"/>
    <n v="1"/>
    <n v="216000000"/>
    <n v="12000000"/>
    <x v="5"/>
    <x v="5"/>
    <x v="9"/>
    <x v="17"/>
    <s v="64-337381-"/>
    <s v="lorena.torresc@redsalud.gob.cl"/>
    <x v="12"/>
    <d v="2025-08-20T00:00:00"/>
    <n v="0"/>
    <m/>
    <n v="1"/>
    <n v="12000000"/>
    <d v="2026-05-01T00:00:00"/>
    <x v="0"/>
    <x v="0"/>
  </r>
  <r>
    <s v="SERVICIO DE SALUD OSORNO"/>
    <s v="Bienes y Servicios"/>
    <x v="23"/>
    <s v="Proyecto operacional"/>
    <s v="Publicado"/>
    <s v="22.04.005.003"/>
    <x v="24"/>
    <s v="INSUMOS PARA EXAMENES DE LABORATORIO TIPO POC, CON ARRIENDO DE EQUIPOS (HOSPITAL RIO NEGRO, HOSPITAL PUERTO OCTAY, HOSPITAL PU MULEN QUILACAHUIN, HOSPITAL FUKA SRUKA LAWENCHE KUNKO MAPU MO, CESFAM PUYEHUE)."/>
    <n v="1"/>
    <s v="Equipo"/>
    <n v="4"/>
    <n v="1"/>
    <n v="70000000"/>
    <n v="5833333"/>
    <x v="11"/>
    <x v="17"/>
    <x v="15"/>
    <x v="18"/>
    <s v="64-335827-"/>
    <s v="sofiav.reyes@redsalud.gob.cl"/>
    <x v="12"/>
    <d v="2025-08-20T00:00:00"/>
    <n v="0"/>
    <m/>
    <n v="1"/>
    <n v="5833333"/>
    <d v="2026-05-01T00:00:00"/>
    <x v="0"/>
    <x v="0"/>
  </r>
  <r>
    <s v="SERVICIO DE SALUD OSORNO"/>
    <s v="Bienes y Servicios"/>
    <x v="23"/>
    <s v="Proyecto operacional"/>
    <s v="Publicado"/>
    <s v="22.04.005.003"/>
    <x v="24"/>
    <s v="INSUMOS PARA EXAMENES DE LABORATORIO TIPO POC, CON ARRIENDO DE EQUIPOS (HOSPITAL RIO NEGRO, HOSPITAL PUERTO OCTAY, HOSPITAL PU MULEN QUILACAHUIN, HOSPITAL FUKA SRUKA LAWENCHE KUNKO MAPU MO, CESFAM PUYEHUE)."/>
    <n v="1"/>
    <s v="Equipo"/>
    <n v="4"/>
    <n v="1"/>
    <n v="70000000"/>
    <n v="5833333"/>
    <x v="11"/>
    <x v="17"/>
    <x v="15"/>
    <x v="18"/>
    <s v="64-335827-"/>
    <s v="sofiav.reyes@redsalud.gob.cl"/>
    <x v="12"/>
    <d v="2025-08-20T00:00:00"/>
    <n v="0"/>
    <m/>
    <n v="1"/>
    <n v="5833333"/>
    <d v="2026-02-01T00:00:00"/>
    <x v="0"/>
    <x v="0"/>
  </r>
  <r>
    <s v="SERVICIO DE SALUD OSORNO"/>
    <s v="Bienes y Servicios"/>
    <x v="23"/>
    <s v="Proyecto operacional"/>
    <s v="Publicado"/>
    <s v="22.04.005.003"/>
    <x v="24"/>
    <s v="INSUMOS PARA EXAMENES DE LABORATORIO TIPO POC, CON ARRIENDO DE EQUIPOS (HOSPITAL RIO NEGRO, HOSPITAL PUERTO OCTAY, HOSPITAL PU MULEN QUILACAHUIN, HOSPITAL FUKA SRUKA LAWENCHE KUNKO MAPU MO, CESFAM PUYEHUE)."/>
    <n v="1"/>
    <s v="Equipo"/>
    <n v="4"/>
    <n v="1"/>
    <n v="70000000"/>
    <n v="5833333"/>
    <x v="11"/>
    <x v="17"/>
    <x v="15"/>
    <x v="18"/>
    <s v="64-335827-"/>
    <s v="sofiav.reyes@redsalud.gob.cl"/>
    <x v="12"/>
    <d v="2025-08-20T00:00:00"/>
    <n v="0"/>
    <m/>
    <n v="1"/>
    <n v="5833333"/>
    <d v="2026-01-01T00:00:00"/>
    <x v="0"/>
    <x v="0"/>
  </r>
  <r>
    <s v="SERVICIO DE SALUD OSORNO"/>
    <s v="Bienes y Servicios"/>
    <x v="23"/>
    <s v="Proyecto operacional"/>
    <s v="Publicado"/>
    <s v="22.04.005.003"/>
    <x v="24"/>
    <s v="INSUMOS PARA EXAMENES DE LABORATORIO TIPO POC, CON ARRIENDO DE EQUIPOS (HOSPITAL RIO NEGRO, HOSPITAL PUERTO OCTAY, HOSPITAL PU MULEN QUILACAHUIN, HOSPITAL FUKA SRUKA LAWENCHE KUNKO MAPU MO, CESFAM PUYEHUE)."/>
    <n v="1"/>
    <s v="Equipo"/>
    <n v="4"/>
    <n v="1"/>
    <n v="70000000"/>
    <n v="5833333"/>
    <x v="11"/>
    <x v="17"/>
    <x v="15"/>
    <x v="18"/>
    <s v="64-335827-"/>
    <s v="sofiav.reyes@redsalud.gob.cl"/>
    <x v="12"/>
    <d v="2025-08-20T00:00:00"/>
    <n v="0"/>
    <m/>
    <n v="1"/>
    <n v="5833333"/>
    <d v="2026-04-01T00:00:00"/>
    <x v="0"/>
    <x v="0"/>
  </r>
  <r>
    <s v="SERVICIO DE SALUD OSORNO"/>
    <s v="Bienes y Servicios"/>
    <x v="23"/>
    <s v="Proyecto operacional"/>
    <s v="Publicado"/>
    <s v="22.04.005.003"/>
    <x v="24"/>
    <s v="INSUMOS PARA EXAMENES DE LABORATORIO TIPO POC, CON ARRIENDO DE EQUIPOS (HOSPITAL RIO NEGRO, HOSPITAL PUERTO OCTAY, HOSPITAL PU MULEN QUILACAHUIN, HOSPITAL FUKA SRUKA LAWENCHE KUNKO MAPU MO, CESFAM PUYEHUE)."/>
    <n v="1"/>
    <s v="Equipo"/>
    <n v="4"/>
    <n v="1"/>
    <n v="70000000"/>
    <n v="5833337"/>
    <x v="11"/>
    <x v="17"/>
    <x v="15"/>
    <x v="18"/>
    <s v="64-335827-"/>
    <s v="sofiav.reyes@redsalud.gob.cl"/>
    <x v="12"/>
    <d v="2025-08-20T00:00:00"/>
    <n v="0"/>
    <m/>
    <n v="1"/>
    <n v="5833337"/>
    <d v="2026-07-01T00:00:00"/>
    <x v="0"/>
    <x v="0"/>
  </r>
  <r>
    <s v="SERVICIO DE SALUD OSORNO"/>
    <s v="Bienes y Servicios"/>
    <x v="23"/>
    <s v="Proyecto operacional"/>
    <s v="Publicado"/>
    <s v="22.04.005.003"/>
    <x v="24"/>
    <s v="INSUMOS PARA EXAMENES DE LABORATORIO TIPO POC, CON ARRIENDO DE EQUIPOS (HOSPITAL RIO NEGRO, HOSPITAL PUERTO OCTAY, HOSPITAL PU MULEN QUILACAHUIN, HOSPITAL FUKA SRUKA LAWENCHE KUNKO MAPU MO, CESFAM PUYEHUE)."/>
    <n v="1"/>
    <s v="Equipo"/>
    <n v="4"/>
    <n v="1"/>
    <n v="70000000"/>
    <n v="5833333"/>
    <x v="11"/>
    <x v="17"/>
    <x v="15"/>
    <x v="18"/>
    <s v="64-335827-"/>
    <s v="sofiav.reyes@redsalud.gob.cl"/>
    <x v="12"/>
    <d v="2025-08-20T00:00:00"/>
    <n v="0"/>
    <m/>
    <n v="1"/>
    <n v="5833333"/>
    <d v="2026-03-01T00:00:00"/>
    <x v="0"/>
    <x v="0"/>
  </r>
  <r>
    <s v="SERVICIO DE SALUD OSORNO"/>
    <s v="Bienes y Servicios"/>
    <x v="23"/>
    <s v="Proyecto operacional"/>
    <s v="Publicado"/>
    <s v="22.04.005.003"/>
    <x v="24"/>
    <s v="INSUMOS PARA EXAMENES DE LABORATORIO TIPO POC, CON ARRIENDO DE EQUIPOS (HOSPITAL RIO NEGRO, HOSPITAL PUERTO OCTAY, HOSPITAL PU MULEN QUILACAHUIN, HOSPITAL FUKA SRUKA LAWENCHE KUNKO MAPU MO, CESFAM PUYEHUE)."/>
    <n v="1"/>
    <s v="Equipo"/>
    <n v="4"/>
    <n v="1"/>
    <n v="70000000"/>
    <n v="5833333"/>
    <x v="11"/>
    <x v="17"/>
    <x v="15"/>
    <x v="18"/>
    <s v="64-335827-"/>
    <s v="sofiav.reyes@redsalud.gob.cl"/>
    <x v="12"/>
    <d v="2025-08-20T00:00:00"/>
    <n v="0"/>
    <m/>
    <n v="1"/>
    <n v="5833333"/>
    <d v="2026-06-01T00:00:00"/>
    <x v="0"/>
    <x v="0"/>
  </r>
  <r>
    <s v="SERVICIO DE SALUD OSORNO"/>
    <s v="Bienes y Servicios"/>
    <x v="24"/>
    <s v="Proyecto operacional"/>
    <s v="Publicado"/>
    <s v="22.08.007"/>
    <x v="25"/>
    <s v="Movilización para el traslado de usuarios y funcionarios CDR adulto mayor Kumelen de la Comuna de Osorno. Inicio de servicio 01/01/2026."/>
    <n v="1"/>
    <s v="Movilizacion Kumelen"/>
    <n v="4"/>
    <n v="1"/>
    <n v="39500000"/>
    <n v="3291667"/>
    <x v="11"/>
    <x v="18"/>
    <x v="16"/>
    <x v="19"/>
    <s v="64-647366-"/>
    <s v="luis.floresme@redsalud.gob.cl"/>
    <x v="12"/>
    <d v="2025-08-20T00:00:00"/>
    <n v="0"/>
    <m/>
    <n v="1"/>
    <n v="3291667"/>
    <d v="2026-08-01T00:00:00"/>
    <x v="0"/>
    <x v="0"/>
  </r>
  <r>
    <s v="SERVICIO DE SALUD OSORNO"/>
    <s v="Bienes y Servicios"/>
    <x v="24"/>
    <s v="Proyecto operacional"/>
    <s v="Publicado"/>
    <s v="22.08.007"/>
    <x v="25"/>
    <s v="Movilización para el traslado de usuarios y funcionarios CDR adulto mayor Kumelen de la Comuna de Osorno. Inicio de servicio 01/01/2026."/>
    <n v="1"/>
    <s v="Movilizacion Kumelen"/>
    <n v="4"/>
    <n v="1"/>
    <n v="39500000"/>
    <n v="3291667"/>
    <x v="11"/>
    <x v="18"/>
    <x v="16"/>
    <x v="19"/>
    <s v="64-647366-"/>
    <s v="luis.floresme@redsalud.gob.cl"/>
    <x v="12"/>
    <d v="2025-08-20T00:00:00"/>
    <n v="0"/>
    <m/>
    <n v="1"/>
    <n v="3291667"/>
    <d v="2026-06-01T00:00:00"/>
    <x v="0"/>
    <x v="0"/>
  </r>
  <r>
    <s v="SERVICIO DE SALUD OSORNO"/>
    <s v="Bienes y Servicios"/>
    <x v="24"/>
    <s v="Proyecto operacional"/>
    <s v="Publicado"/>
    <s v="22.08.007"/>
    <x v="25"/>
    <s v="Movilización para el traslado de usuarios y funcionarios CDR adulto mayor Kumelen de la Comuna de Osorno. Inicio de servicio 01/01/2026."/>
    <n v="1"/>
    <s v="Movilizacion Kumelen"/>
    <n v="4"/>
    <n v="1"/>
    <n v="39500000"/>
    <n v="3291667"/>
    <x v="11"/>
    <x v="18"/>
    <x v="16"/>
    <x v="19"/>
    <s v="64-647366-"/>
    <s v="luis.floresme@redsalud.gob.cl"/>
    <x v="12"/>
    <d v="2025-08-20T00:00:00"/>
    <n v="0"/>
    <m/>
    <n v="1"/>
    <n v="3291667"/>
    <d v="2026-03-01T00:00:00"/>
    <x v="0"/>
    <x v="0"/>
  </r>
  <r>
    <s v="SERVICIO DE SALUD OSORNO"/>
    <s v="Bienes y Servicios"/>
    <x v="24"/>
    <s v="Proyecto operacional"/>
    <s v="Publicado"/>
    <s v="22.08.007"/>
    <x v="25"/>
    <s v="Movilización para el traslado de usuarios y funcionarios CDR adulto mayor Kumelen de la Comuna de Osorno. Inicio de servicio 01/01/2026."/>
    <n v="1"/>
    <s v="Movilizacion Kumelen"/>
    <n v="4"/>
    <n v="1"/>
    <n v="39500000"/>
    <n v="3291667"/>
    <x v="11"/>
    <x v="18"/>
    <x v="16"/>
    <x v="19"/>
    <s v="64-647366-"/>
    <s v="luis.floresme@redsalud.gob.cl"/>
    <x v="12"/>
    <d v="2025-08-20T00:00:00"/>
    <n v="0"/>
    <m/>
    <n v="1"/>
    <n v="3291667"/>
    <d v="2026-10-01T00:00:00"/>
    <x v="0"/>
    <x v="0"/>
  </r>
  <r>
    <s v="SERVICIO DE SALUD OSORNO"/>
    <s v="Bienes y Servicios"/>
    <x v="24"/>
    <s v="Proyecto operacional"/>
    <s v="Publicado"/>
    <s v="22.08.007"/>
    <x v="25"/>
    <s v="Movilización para el traslado de usuarios y funcionarios CDR adulto mayor Kumelen de la Comuna de Osorno. Inicio de servicio 01/01/2026."/>
    <n v="1"/>
    <s v="Movilizacion Kumelen"/>
    <n v="4"/>
    <n v="1"/>
    <n v="39500000"/>
    <n v="3291667"/>
    <x v="11"/>
    <x v="18"/>
    <x v="16"/>
    <x v="19"/>
    <s v="64-647366-"/>
    <s v="luis.floresme@redsalud.gob.cl"/>
    <x v="12"/>
    <d v="2025-08-20T00:00:00"/>
    <n v="0"/>
    <m/>
    <n v="1"/>
    <n v="3291667"/>
    <d v="2026-11-01T00:00:00"/>
    <x v="0"/>
    <x v="0"/>
  </r>
  <r>
    <s v="SERVICIO DE SALUD OSORNO"/>
    <s v="Bienes y Servicios"/>
    <x v="24"/>
    <s v="Proyecto operacional"/>
    <s v="Publicado"/>
    <s v="22.08.007"/>
    <x v="25"/>
    <s v="Movilización para el traslado de usuarios y funcionarios CDR adulto mayor Kumelen de la Comuna de Osorno. Inicio de servicio 01/01/2026."/>
    <n v="1"/>
    <s v="Movilizacion Kumelen"/>
    <n v="4"/>
    <n v="1"/>
    <n v="39500000"/>
    <n v="3291667"/>
    <x v="11"/>
    <x v="18"/>
    <x v="16"/>
    <x v="19"/>
    <s v="64-647366-"/>
    <s v="luis.floresme@redsalud.gob.cl"/>
    <x v="12"/>
    <d v="2025-08-20T00:00:00"/>
    <n v="0"/>
    <m/>
    <n v="1"/>
    <n v="3291667"/>
    <d v="2026-05-01T00:00:00"/>
    <x v="0"/>
    <x v="0"/>
  </r>
  <r>
    <s v="SERVICIO DE SALUD OSORNO"/>
    <s v="Bienes y Servicios"/>
    <x v="24"/>
    <s v="Proyecto operacional"/>
    <s v="Publicado"/>
    <s v="22.08.007"/>
    <x v="25"/>
    <s v="Movilización para el traslado de usuarios y funcionarios CDR adulto mayor Kumelen de la Comuna de Osorno. Inicio de servicio 01/01/2026."/>
    <n v="1"/>
    <s v="Movilizacion Kumelen"/>
    <n v="4"/>
    <n v="1"/>
    <n v="39500000"/>
    <n v="3291667"/>
    <x v="11"/>
    <x v="18"/>
    <x v="16"/>
    <x v="19"/>
    <s v="64-647366-"/>
    <s v="luis.floresme@redsalud.gob.cl"/>
    <x v="12"/>
    <d v="2025-08-20T00:00:00"/>
    <n v="0"/>
    <m/>
    <n v="1"/>
    <n v="3291667"/>
    <d v="2026-04-01T00:00:00"/>
    <x v="0"/>
    <x v="0"/>
  </r>
  <r>
    <s v="SERVICIO DE SALUD OSORNO"/>
    <s v="Bienes y Servicios"/>
    <x v="24"/>
    <s v="Proyecto operacional"/>
    <s v="Publicado"/>
    <s v="22.08.007"/>
    <x v="25"/>
    <s v="Movilización para el traslado de usuarios y funcionarios CDR adulto mayor Kumelen de la Comuna de Osorno. Inicio de servicio 01/01/2026."/>
    <n v="1"/>
    <s v="Movilizacion Kumelen"/>
    <n v="4"/>
    <n v="1"/>
    <n v="39500000"/>
    <n v="3291667"/>
    <x v="11"/>
    <x v="18"/>
    <x v="16"/>
    <x v="19"/>
    <s v="64-647366-"/>
    <s v="luis.floresme@redsalud.gob.cl"/>
    <x v="12"/>
    <d v="2025-08-20T00:00:00"/>
    <n v="0"/>
    <m/>
    <n v="1"/>
    <n v="3291667"/>
    <d v="2026-07-01T00:00:00"/>
    <x v="0"/>
    <x v="0"/>
  </r>
  <r>
    <s v="SERVICIO DE SALUD OSORNO"/>
    <s v="Bienes y Servicios"/>
    <x v="24"/>
    <s v="Proyecto operacional"/>
    <s v="Publicado"/>
    <s v="22.08.007"/>
    <x v="25"/>
    <s v="Movilización para el traslado de usuarios y funcionarios CDR adulto mayor Kumelen de la Comuna de Osorno. Inicio de servicio 01/01/2026."/>
    <n v="1"/>
    <s v="Movilizacion Kumelen"/>
    <n v="4"/>
    <n v="1"/>
    <n v="39500000"/>
    <n v="3291667"/>
    <x v="11"/>
    <x v="18"/>
    <x v="16"/>
    <x v="19"/>
    <s v="64-647366-"/>
    <s v="luis.floresme@redsalud.gob.cl"/>
    <x v="12"/>
    <d v="2025-08-20T00:00:00"/>
    <n v="0"/>
    <m/>
    <n v="1"/>
    <n v="3291667"/>
    <d v="2026-12-01T00:00:00"/>
    <x v="0"/>
    <x v="0"/>
  </r>
  <r>
    <s v="SERVICIO DE SALUD OSORNO"/>
    <s v="Bienes y Servicios"/>
    <x v="24"/>
    <s v="Proyecto operacional"/>
    <s v="Publicado"/>
    <s v="22.08.007"/>
    <x v="25"/>
    <s v="Movilización para el traslado de usuarios y funcionarios CDR adulto mayor Kumelen de la Comuna de Osorno. Inicio de servicio 01/01/2026."/>
    <n v="1"/>
    <s v="Movilizacion Kumelen"/>
    <n v="4"/>
    <n v="1"/>
    <n v="39500000"/>
    <n v="3291667"/>
    <x v="11"/>
    <x v="18"/>
    <x v="16"/>
    <x v="19"/>
    <s v="64-647366-"/>
    <s v="luis.floresme@redsalud.gob.cl"/>
    <x v="12"/>
    <d v="2025-08-20T00:00:00"/>
    <n v="0"/>
    <m/>
    <n v="1"/>
    <n v="3291667"/>
    <d v="2026-09-01T00:00:00"/>
    <x v="0"/>
    <x v="0"/>
  </r>
  <r>
    <s v="SERVICIO DE SALUD OSORNO"/>
    <s v="Bienes y Servicios"/>
    <x v="24"/>
    <s v="Proyecto operacional"/>
    <s v="Publicado"/>
    <s v="22.08.007"/>
    <x v="25"/>
    <s v="Movilización para el traslado de usuarios y funcionarios CDR adulto mayor Kumelen de la Comuna de Osorno. Inicio de servicio 01/01/2026."/>
    <n v="1"/>
    <s v="Movilizacion Kumelen"/>
    <n v="4"/>
    <n v="1"/>
    <n v="39500000"/>
    <n v="3291667"/>
    <x v="11"/>
    <x v="18"/>
    <x v="16"/>
    <x v="19"/>
    <s v="64-647366-"/>
    <s v="luis.floresme@redsalud.gob.cl"/>
    <x v="12"/>
    <d v="2025-08-20T00:00:00"/>
    <n v="0"/>
    <m/>
    <n v="1"/>
    <n v="3291667"/>
    <d v="2026-02-01T00:00:00"/>
    <x v="0"/>
    <x v="0"/>
  </r>
  <r>
    <s v="SERVICIO DE SALUD OSORNO"/>
    <s v="Bienes y Servicios"/>
    <x v="25"/>
    <s v="Proyecto operacional"/>
    <s v="Publicado"/>
    <s v="22.08.007"/>
    <x v="26"/>
    <s v="Servicio de Movilizacion para Funcionarios CDR Adulto Mayor Kumelen,Vencimiento del contrato actual finaliza el 31/12/2025. Inicio del servicio 01/01/2026."/>
    <n v="1"/>
    <s v="Movilizacion"/>
    <n v="4"/>
    <n v="1"/>
    <n v="31500000"/>
    <n v="2625000"/>
    <x v="11"/>
    <x v="18"/>
    <x v="16"/>
    <x v="19"/>
    <s v="64-2647366-"/>
    <s v="luis.floresme@redsalud.gob.cl"/>
    <x v="7"/>
    <d v="2025-08-20T00:00:00"/>
    <n v="0"/>
    <m/>
    <n v="1"/>
    <n v="2625000"/>
    <d v="2026-11-01T00:00:00"/>
    <x v="0"/>
    <x v="0"/>
  </r>
  <r>
    <s v="SERVICIO DE SALUD OSORNO"/>
    <s v="Bienes y Servicios"/>
    <x v="25"/>
    <s v="Proyecto operacional"/>
    <s v="Publicado"/>
    <s v="22.08.007"/>
    <x v="26"/>
    <s v="Servicio de Movilizacion para Funcionarios CDR Adulto Mayor Kumelen,Vencimiento del contrato actual finaliza el 31/12/2025. Inicio del servicio 01/01/2026."/>
    <n v="1"/>
    <s v="Movilizacion"/>
    <n v="4"/>
    <n v="1"/>
    <n v="31500000"/>
    <n v="2625000"/>
    <x v="11"/>
    <x v="18"/>
    <x v="16"/>
    <x v="19"/>
    <s v="64-2647366-"/>
    <s v="luis.floresme@redsalud.gob.cl"/>
    <x v="7"/>
    <d v="2025-08-20T00:00:00"/>
    <n v="0"/>
    <m/>
    <n v="1"/>
    <n v="2625000"/>
    <d v="2026-03-01T00:00:00"/>
    <x v="0"/>
    <x v="0"/>
  </r>
  <r>
    <s v="SERVICIO DE SALUD OSORNO"/>
    <s v="Bienes y Servicios"/>
    <x v="25"/>
    <s v="Proyecto operacional"/>
    <s v="Publicado"/>
    <s v="22.08.007"/>
    <x v="26"/>
    <s v="Servicio de Movilizacion para Funcionarios CDR Adulto Mayor Kumelen,Vencimiento del contrato actual finaliza el 31/12/2025. Inicio del servicio 01/01/2026."/>
    <n v="1"/>
    <s v="Movilizacion"/>
    <n v="4"/>
    <n v="1"/>
    <n v="31500000"/>
    <n v="2625000"/>
    <x v="11"/>
    <x v="18"/>
    <x v="16"/>
    <x v="19"/>
    <s v="64-2647366-"/>
    <s v="luis.floresme@redsalud.gob.cl"/>
    <x v="7"/>
    <d v="2025-08-20T00:00:00"/>
    <n v="0"/>
    <m/>
    <n v="1"/>
    <n v="2625000"/>
    <d v="2026-02-01T00:00:00"/>
    <x v="0"/>
    <x v="0"/>
  </r>
  <r>
    <s v="SERVICIO DE SALUD OSORNO"/>
    <s v="Bienes y Servicios"/>
    <x v="25"/>
    <s v="Proyecto operacional"/>
    <s v="Publicado"/>
    <s v="22.08.007"/>
    <x v="26"/>
    <s v="Servicio de Movilizacion para Funcionarios CDR Adulto Mayor Kumelen,Vencimiento del contrato actual finaliza el 31/12/2025. Inicio del servicio 01/01/2026."/>
    <n v="1"/>
    <s v="Movilizacion"/>
    <n v="4"/>
    <n v="1"/>
    <n v="31500000"/>
    <n v="2625000"/>
    <x v="11"/>
    <x v="18"/>
    <x v="16"/>
    <x v="19"/>
    <s v="64-2647366-"/>
    <s v="luis.floresme@redsalud.gob.cl"/>
    <x v="7"/>
    <d v="2025-08-20T00:00:00"/>
    <n v="0"/>
    <m/>
    <n v="1"/>
    <n v="2625000"/>
    <d v="2026-12-01T00:00:00"/>
    <x v="0"/>
    <x v="0"/>
  </r>
  <r>
    <s v="SERVICIO DE SALUD OSORNO"/>
    <s v="Bienes y Servicios"/>
    <x v="25"/>
    <s v="Proyecto operacional"/>
    <s v="Publicado"/>
    <s v="22.08.007"/>
    <x v="26"/>
    <s v="Servicio de Movilizacion para Funcionarios CDR Adulto Mayor Kumelen,Vencimiento del contrato actual finaliza el 31/12/2025. Inicio del servicio 01/01/2026."/>
    <n v="1"/>
    <s v="Movilizacion"/>
    <n v="4"/>
    <n v="1"/>
    <n v="31500000"/>
    <n v="2625000"/>
    <x v="11"/>
    <x v="18"/>
    <x v="16"/>
    <x v="19"/>
    <s v="64-2647366-"/>
    <s v="luis.floresme@redsalud.gob.cl"/>
    <x v="7"/>
    <d v="2025-08-20T00:00:00"/>
    <n v="0"/>
    <m/>
    <n v="1"/>
    <n v="2625000"/>
    <d v="2026-05-01T00:00:00"/>
    <x v="0"/>
    <x v="0"/>
  </r>
  <r>
    <s v="SERVICIO DE SALUD OSORNO"/>
    <s v="Bienes y Servicios"/>
    <x v="25"/>
    <s v="Proyecto operacional"/>
    <s v="Publicado"/>
    <s v="22.08.007"/>
    <x v="26"/>
    <s v="Servicio de Movilizacion para Funcionarios CDR Adulto Mayor Kumelen,Vencimiento del contrato actual finaliza el 31/12/2025. Inicio del servicio 01/01/2026."/>
    <n v="1"/>
    <s v="Movilizacion"/>
    <n v="4"/>
    <n v="1"/>
    <n v="31500000"/>
    <n v="2625000"/>
    <x v="11"/>
    <x v="18"/>
    <x v="16"/>
    <x v="19"/>
    <s v="64-2647366-"/>
    <s v="luis.floresme@redsalud.gob.cl"/>
    <x v="7"/>
    <d v="2025-08-20T00:00:00"/>
    <n v="0"/>
    <m/>
    <n v="1"/>
    <n v="2625000"/>
    <d v="2026-06-01T00:00:00"/>
    <x v="0"/>
    <x v="0"/>
  </r>
  <r>
    <s v="SERVICIO DE SALUD OSORNO"/>
    <s v="Bienes y Servicios"/>
    <x v="25"/>
    <s v="Proyecto operacional"/>
    <s v="Publicado"/>
    <s v="22.08.007"/>
    <x v="26"/>
    <s v="Servicio de Movilizacion para Funcionarios CDR Adulto Mayor Kumelen,Vencimiento del contrato actual finaliza el 31/12/2025. Inicio del servicio 01/01/2026."/>
    <n v="1"/>
    <s v="Movilizacion"/>
    <n v="4"/>
    <n v="1"/>
    <n v="31500000"/>
    <n v="2625000"/>
    <x v="11"/>
    <x v="18"/>
    <x v="16"/>
    <x v="19"/>
    <s v="64-2647366-"/>
    <s v="luis.floresme@redsalud.gob.cl"/>
    <x v="7"/>
    <d v="2025-08-20T00:00:00"/>
    <n v="0"/>
    <m/>
    <n v="1"/>
    <n v="2625000"/>
    <d v="2026-08-01T00:00:00"/>
    <x v="0"/>
    <x v="0"/>
  </r>
  <r>
    <s v="SERVICIO DE SALUD OSORNO"/>
    <s v="Bienes y Servicios"/>
    <x v="25"/>
    <s v="Proyecto operacional"/>
    <s v="Publicado"/>
    <s v="22.08.007"/>
    <x v="26"/>
    <s v="Servicio de Movilizacion para Funcionarios CDR Adulto Mayor Kumelen,Vencimiento del contrato actual finaliza el 31/12/2025. Inicio del servicio 01/01/2026."/>
    <n v="1"/>
    <s v="Movilizacion"/>
    <n v="4"/>
    <n v="1"/>
    <n v="31500000"/>
    <n v="2625000"/>
    <x v="11"/>
    <x v="18"/>
    <x v="16"/>
    <x v="19"/>
    <s v="64-2647366-"/>
    <s v="luis.floresme@redsalud.gob.cl"/>
    <x v="7"/>
    <d v="2025-08-20T00:00:00"/>
    <n v="0"/>
    <m/>
    <n v="1"/>
    <n v="2625000"/>
    <d v="2026-07-01T00:00:00"/>
    <x v="0"/>
    <x v="0"/>
  </r>
  <r>
    <s v="SERVICIO DE SALUD OSORNO"/>
    <s v="Bienes y Servicios"/>
    <x v="25"/>
    <s v="Proyecto operacional"/>
    <s v="Publicado"/>
    <s v="22.08.007"/>
    <x v="26"/>
    <s v="Servicio de Movilizacion para Funcionarios CDR Adulto Mayor Kumelen,Vencimiento del contrato actual finaliza el 31/12/2025. Inicio del servicio 01/01/2026."/>
    <n v="1"/>
    <s v="Movilizacion"/>
    <n v="4"/>
    <n v="1"/>
    <n v="31500000"/>
    <n v="2625000"/>
    <x v="11"/>
    <x v="18"/>
    <x v="16"/>
    <x v="19"/>
    <s v="64-2647366-"/>
    <s v="luis.floresme@redsalud.gob.cl"/>
    <x v="7"/>
    <d v="2025-08-20T00:00:00"/>
    <n v="0"/>
    <m/>
    <n v="1"/>
    <n v="2625000"/>
    <d v="2026-04-01T00:00:00"/>
    <x v="0"/>
    <x v="0"/>
  </r>
  <r>
    <s v="SERVICIO DE SALUD OSORNO"/>
    <s v="Bienes y Servicios"/>
    <x v="25"/>
    <s v="Proyecto operacional"/>
    <s v="Publicado"/>
    <s v="22.08.007"/>
    <x v="26"/>
    <s v="Servicio de Movilizacion para Funcionarios CDR Adulto Mayor Kumelen,Vencimiento del contrato actual finaliza el 31/12/2025. Inicio del servicio 01/01/2026."/>
    <n v="1"/>
    <s v="Movilizacion"/>
    <n v="4"/>
    <n v="1"/>
    <n v="31500000"/>
    <n v="2625000"/>
    <x v="11"/>
    <x v="18"/>
    <x v="16"/>
    <x v="19"/>
    <s v="64-2647366-"/>
    <s v="luis.floresme@redsalud.gob.cl"/>
    <x v="7"/>
    <d v="2025-08-20T00:00:00"/>
    <n v="0"/>
    <m/>
    <n v="1"/>
    <n v="2625000"/>
    <d v="2026-09-01T00:00:00"/>
    <x v="0"/>
    <x v="0"/>
  </r>
  <r>
    <s v="SERVICIO DE SALUD OSORNO"/>
    <s v="Bienes y Servicios"/>
    <x v="25"/>
    <s v="Proyecto operacional"/>
    <s v="Publicado"/>
    <s v="22.08.007"/>
    <x v="26"/>
    <s v="Servicio de Movilizacion para Funcionarios CDR Adulto Mayor Kumelen,Vencimiento del contrato actual finaliza el 31/12/2025. Inicio del servicio 01/01/2026."/>
    <n v="1"/>
    <s v="Movilizacion"/>
    <n v="4"/>
    <n v="1"/>
    <n v="31500000"/>
    <n v="2625000"/>
    <x v="11"/>
    <x v="18"/>
    <x v="16"/>
    <x v="19"/>
    <s v="64-2647366-"/>
    <s v="luis.floresme@redsalud.gob.cl"/>
    <x v="7"/>
    <d v="2025-08-20T00:00:00"/>
    <n v="0"/>
    <m/>
    <n v="1"/>
    <n v="2625000"/>
    <d v="2026-10-01T00:00:00"/>
    <x v="0"/>
    <x v="0"/>
  </r>
  <r>
    <s v="SERVICIO DE SALUD OSORNO"/>
    <s v="Bienes y Servicios"/>
    <x v="26"/>
    <s v="Proyecto operacional"/>
    <s v="Publicado"/>
    <s v="22.04.005.003"/>
    <x v="27"/>
    <s v="INSUMOS PARA EXAMENES DE LABORATORIO TIPO POC, CON ARRIENDO DE EQUIPOS (HOSPITAL RIO NEGRO, HOSPITAL PUERTO OCTAY, HOSPITAL PU MULEN QUILACAHUIN, HOSPITAL FUKA SRUKA LAWENCHE KUNKO MAPU MO, CESFAM PUYEHUE, SAR CHUYACA). ESTE PROYECTO BUSCA DAR CONTINUIDAD A LICITACION 1057532-48-LP24, POR 12 MESES MAS, CON INICIO EN JULIO 2025."/>
    <n v="1"/>
    <s v="Suministro KIT Point"/>
    <n v="4"/>
    <n v="1"/>
    <n v="90000000"/>
    <n v="7500000"/>
    <x v="11"/>
    <x v="17"/>
    <x v="17"/>
    <x v="20"/>
    <s v="64-2567046-"/>
    <s v="nicolas.asencio@redsalud.gob.cl"/>
    <x v="12"/>
    <d v="2025-08-20T00:00:00"/>
    <n v="3"/>
    <s v="1057532-4808-AG25"/>
    <n v="1"/>
    <n v="7500000"/>
    <d v="2026-06-01T00:00:00"/>
    <x v="0"/>
    <x v="0"/>
  </r>
  <r>
    <s v="SERVICIO DE SALUD OSORNO"/>
    <s v="Bienes y Servicios"/>
    <x v="26"/>
    <s v="Proyecto operacional"/>
    <s v="Publicado"/>
    <s v="22.04.005.003"/>
    <x v="27"/>
    <s v="INSUMOS PARA EXAMENES DE LABORATORIO TIPO POC, CON ARRIENDO DE EQUIPOS (HOSPITAL RIO NEGRO, HOSPITAL PUERTO OCTAY, HOSPITAL PU MULEN QUILACAHUIN, HOSPITAL FUKA SRUKA LAWENCHE KUNKO MAPU MO, CESFAM PUYEHUE, SAR CHUYACA). ESTE PROYECTO BUSCA DAR CONTINUIDAD A LICITACION 1057532-48-LP24, POR 12 MESES MAS, CON INICIO EN JULIO 2025."/>
    <n v="1"/>
    <s v="Suministro KIT Point"/>
    <n v="4"/>
    <n v="1"/>
    <n v="90000000"/>
    <n v="7500000"/>
    <x v="11"/>
    <x v="17"/>
    <x v="17"/>
    <x v="20"/>
    <s v="64-2567046-"/>
    <s v="nicolas.asencio@redsalud.gob.cl"/>
    <x v="12"/>
    <d v="2025-08-20T00:00:00"/>
    <n v="3"/>
    <s v="1057532-4808-AG25"/>
    <n v="1"/>
    <n v="7500000"/>
    <d v="2026-03-01T00:00:00"/>
    <x v="0"/>
    <x v="0"/>
  </r>
  <r>
    <s v="SERVICIO DE SALUD OSORNO"/>
    <s v="Bienes y Servicios"/>
    <x v="26"/>
    <s v="Proyecto operacional"/>
    <s v="Publicado"/>
    <s v="22.04.005.003"/>
    <x v="27"/>
    <s v="INSUMOS PARA EXAMENES DE LABORATORIO TIPO POC, CON ARRIENDO DE EQUIPOS (HOSPITAL RIO NEGRO, HOSPITAL PUERTO OCTAY, HOSPITAL PU MULEN QUILACAHUIN, HOSPITAL FUKA SRUKA LAWENCHE KUNKO MAPU MO, CESFAM PUYEHUE, SAR CHUYACA). ESTE PROYECTO BUSCA DAR CONTINUIDAD A LICITACION 1057532-48-LP24, POR 12 MESES MAS, CON INICIO EN JULIO 2025."/>
    <n v="1"/>
    <s v="Suministro KIT Point"/>
    <n v="4"/>
    <n v="1"/>
    <n v="90000000"/>
    <n v="7500000"/>
    <x v="11"/>
    <x v="17"/>
    <x v="17"/>
    <x v="20"/>
    <s v="64-2567046-"/>
    <s v="nicolas.asencio@redsalud.gob.cl"/>
    <x v="12"/>
    <d v="2025-08-20T00:00:00"/>
    <n v="3"/>
    <s v="1057532-4808-AG25"/>
    <n v="1"/>
    <n v="7500000"/>
    <d v="2026-07-01T00:00:00"/>
    <x v="0"/>
    <x v="0"/>
  </r>
  <r>
    <s v="SERVICIO DE SALUD OSORNO"/>
    <s v="Bienes y Servicios"/>
    <x v="26"/>
    <s v="Proyecto operacional"/>
    <s v="Publicado"/>
    <s v="22.04.005.003"/>
    <x v="27"/>
    <s v="INSUMOS PARA EXAMENES DE LABORATORIO TIPO POC, CON ARRIENDO DE EQUIPOS (HOSPITAL RIO NEGRO, HOSPITAL PUERTO OCTAY, HOSPITAL PU MULEN QUILACAHUIN, HOSPITAL FUKA SRUKA LAWENCHE KUNKO MAPU MO, CESFAM PUYEHUE, SAR CHUYACA). ESTE PROYECTO BUSCA DAR CONTINUIDAD A LICITACION 1057532-48-LP24, POR 12 MESES MAS, CON INICIO EN JULIO 2025."/>
    <n v="1"/>
    <s v="Suministro KIT Point"/>
    <n v="4"/>
    <n v="1"/>
    <n v="90000000"/>
    <n v="7500000"/>
    <x v="11"/>
    <x v="17"/>
    <x v="17"/>
    <x v="20"/>
    <s v="64-2567046-"/>
    <s v="nicolas.asencio@redsalud.gob.cl"/>
    <x v="12"/>
    <d v="2025-08-20T00:00:00"/>
    <n v="3"/>
    <s v="1057532-4808-AG25"/>
    <n v="1"/>
    <n v="7500000"/>
    <d v="2026-02-01T00:00:00"/>
    <x v="0"/>
    <x v="0"/>
  </r>
  <r>
    <s v="SERVICIO DE SALUD OSORNO"/>
    <s v="Bienes y Servicios"/>
    <x v="26"/>
    <s v="Proyecto operacional"/>
    <s v="Publicado"/>
    <s v="22.04.005.003"/>
    <x v="27"/>
    <s v="INSUMOS PARA EXAMENES DE LABORATORIO TIPO POC, CON ARRIENDO DE EQUIPOS (HOSPITAL RIO NEGRO, HOSPITAL PUERTO OCTAY, HOSPITAL PU MULEN QUILACAHUIN, HOSPITAL FUKA SRUKA LAWENCHE KUNKO MAPU MO, CESFAM PUYEHUE, SAR CHUYACA). ESTE PROYECTO BUSCA DAR CONTINUIDAD A LICITACION 1057532-48-LP24, POR 12 MESES MAS, CON INICIO EN JULIO 2025."/>
    <n v="1"/>
    <s v="Suministro KIT Point"/>
    <n v="4"/>
    <n v="1"/>
    <n v="90000000"/>
    <n v="7500000"/>
    <x v="11"/>
    <x v="17"/>
    <x v="17"/>
    <x v="20"/>
    <s v="64-2567046-"/>
    <s v="nicolas.asencio@redsalud.gob.cl"/>
    <x v="12"/>
    <d v="2025-08-20T00:00:00"/>
    <n v="3"/>
    <s v="1057532-4808-AG25"/>
    <n v="1"/>
    <n v="7500000"/>
    <d v="2026-01-01T00:00:00"/>
    <x v="0"/>
    <x v="0"/>
  </r>
  <r>
    <s v="SERVICIO DE SALUD OSORNO"/>
    <s v="Bienes y Servicios"/>
    <x v="26"/>
    <s v="Proyecto operacional"/>
    <s v="Publicado"/>
    <s v="22.04.005.003"/>
    <x v="27"/>
    <s v="INSUMOS PARA EXAMENES DE LABORATORIO TIPO POC, CON ARRIENDO DE EQUIPOS (HOSPITAL RIO NEGRO, HOSPITAL PUERTO OCTAY, HOSPITAL PU MULEN QUILACAHUIN, HOSPITAL FUKA SRUKA LAWENCHE KUNKO MAPU MO, CESFAM PUYEHUE, SAR CHUYACA). ESTE PROYECTO BUSCA DAR CONTINUIDAD A LICITACION 1057532-48-LP24, POR 12 MESES MAS, CON INICIO EN JULIO 2025."/>
    <n v="1"/>
    <s v="Suministro KIT Point"/>
    <n v="4"/>
    <n v="1"/>
    <n v="90000000"/>
    <n v="7500000"/>
    <x v="11"/>
    <x v="17"/>
    <x v="17"/>
    <x v="20"/>
    <s v="64-2567046-"/>
    <s v="nicolas.asencio@redsalud.gob.cl"/>
    <x v="12"/>
    <d v="2025-08-20T00:00:00"/>
    <n v="3"/>
    <s v="1057532-5641-SE25"/>
    <n v="1"/>
    <n v="7500000"/>
    <d v="2026-01-01T00:00:00"/>
    <x v="0"/>
    <x v="0"/>
  </r>
  <r>
    <s v="SERVICIO DE SALUD OSORNO"/>
    <s v="Bienes y Servicios"/>
    <x v="26"/>
    <s v="Proyecto operacional"/>
    <s v="Publicado"/>
    <s v="22.04.005.003"/>
    <x v="27"/>
    <s v="INSUMOS PARA EXAMENES DE LABORATORIO TIPO POC, CON ARRIENDO DE EQUIPOS (HOSPITAL RIO NEGRO, HOSPITAL PUERTO OCTAY, HOSPITAL PU MULEN QUILACAHUIN, HOSPITAL FUKA SRUKA LAWENCHE KUNKO MAPU MO, CESFAM PUYEHUE, SAR CHUYACA). ESTE PROYECTO BUSCA DAR CONTINUIDAD A LICITACION 1057532-48-LP24, POR 12 MESES MAS, CON INICIO EN JULIO 2025."/>
    <n v="1"/>
    <s v="Suministro KIT Point"/>
    <n v="4"/>
    <n v="1"/>
    <n v="90000000"/>
    <n v="7500000"/>
    <x v="11"/>
    <x v="17"/>
    <x v="17"/>
    <x v="20"/>
    <s v="64-2567046-"/>
    <s v="nicolas.asencio@redsalud.gob.cl"/>
    <x v="12"/>
    <d v="2025-08-20T00:00:00"/>
    <n v="3"/>
    <s v="1057532-4808-AG25"/>
    <n v="1"/>
    <n v="7500000"/>
    <d v="2026-04-01T00:00:00"/>
    <x v="0"/>
    <x v="0"/>
  </r>
  <r>
    <s v="SERVICIO DE SALUD OSORNO"/>
    <s v="Bienes y Servicios"/>
    <x v="27"/>
    <s v="Proyecto operacional"/>
    <s v="Publicado"/>
    <s v="22.08.007"/>
    <x v="28"/>
    <s v="Se requiere contar con un Proyecto PAC específico para Pasajes, a fin de poder vincular las Órdenes de Compra en la plataforma de Mercado Público. Este proyecto debe estar incorporado en el PAC General del DSSO, con un período de vigencia desde junio de 2025 hasta diciembre de 2026, abarcando un total de 19 meses."/>
    <n v="1"/>
    <s v="Pasajes"/>
    <n v="5"/>
    <n v="1"/>
    <n v="16500000"/>
    <n v="916666"/>
    <x v="5"/>
    <x v="5"/>
    <x v="18"/>
    <x v="21"/>
    <s v="64-2565594-"/>
    <s v="sandra.espinoza@redsalud.gob.cl"/>
    <x v="10"/>
    <d v="2025-08-20T00:00:00"/>
    <n v="27"/>
    <s v="1057532-4762-SE25"/>
    <n v="1"/>
    <n v="916666"/>
    <d v="2026-11-01T00:00:00"/>
    <x v="0"/>
    <x v="0"/>
  </r>
  <r>
    <s v="SERVICIO DE SALUD OSORNO"/>
    <s v="Bienes y Servicios"/>
    <x v="27"/>
    <s v="Proyecto operacional"/>
    <s v="Publicado"/>
    <s v="22.08.007"/>
    <x v="28"/>
    <s v="Se requiere contar con un Proyecto PAC específico para Pasajes, a fin de poder vincular las Órdenes de Compra en la plataforma de Mercado Público. Este proyecto debe estar incorporado en el PAC General del DSSO, con un período de vigencia desde junio de 2025 hasta diciembre de 2026, abarcando un total de 19 meses."/>
    <n v="1"/>
    <s v="Pasajes"/>
    <n v="5"/>
    <n v="1"/>
    <n v="16500000"/>
    <n v="916666"/>
    <x v="5"/>
    <x v="5"/>
    <x v="18"/>
    <x v="21"/>
    <s v="64-2565594-"/>
    <s v="sandra.espinoza@redsalud.gob.cl"/>
    <x v="10"/>
    <d v="2025-08-20T00:00:00"/>
    <n v="27"/>
    <s v="1057532-5096-CM25"/>
    <n v="1"/>
    <n v="916666"/>
    <d v="2026-11-01T00:00:00"/>
    <x v="0"/>
    <x v="0"/>
  </r>
  <r>
    <s v="SERVICIO DE SALUD OSORNO"/>
    <s v="Bienes y Servicios"/>
    <x v="27"/>
    <s v="Proyecto operacional"/>
    <s v="Publicado"/>
    <s v="22.08.007"/>
    <x v="28"/>
    <s v="Se requiere contar con un Proyecto PAC específico para Pasajes, a fin de poder vincular las Órdenes de Compra en la plataforma de Mercado Público. Este proyecto debe estar incorporado en el PAC General del DSSO, con un período de vigencia desde junio de 2025 hasta diciembre de 2026, abarcando un total de 19 meses."/>
    <n v="1"/>
    <s v="Pasajes"/>
    <n v="5"/>
    <n v="1"/>
    <n v="16500000"/>
    <n v="916666"/>
    <x v="5"/>
    <x v="5"/>
    <x v="18"/>
    <x v="21"/>
    <s v="64-2565594-"/>
    <s v="sandra.espinoza@redsalud.gob.cl"/>
    <x v="10"/>
    <d v="2025-08-20T00:00:00"/>
    <n v="27"/>
    <s v="1057532-5070-CM25"/>
    <n v="1"/>
    <n v="916666"/>
    <d v="2026-03-01T00:00:00"/>
    <x v="0"/>
    <x v="0"/>
  </r>
  <r>
    <s v="SERVICIO DE SALUD OSORNO"/>
    <s v="Bienes y Servicios"/>
    <x v="27"/>
    <s v="Proyecto operacional"/>
    <s v="Publicado"/>
    <s v="22.08.007"/>
    <x v="28"/>
    <s v="Se requiere contar con un Proyecto PAC específico para Pasajes, a fin de poder vincular las Órdenes de Compra en la plataforma de Mercado Público. Este proyecto debe estar incorporado en el PAC General del DSSO, con un período de vigencia desde junio de 2025 hasta diciembre de 2026, abarcando un total de 19 meses."/>
    <n v="1"/>
    <s v="Pasajes"/>
    <n v="5"/>
    <n v="1"/>
    <n v="16500000"/>
    <n v="916666"/>
    <x v="5"/>
    <x v="5"/>
    <x v="18"/>
    <x v="21"/>
    <s v="64-2565594-"/>
    <s v="sandra.espinoza@redsalud.gob.cl"/>
    <x v="10"/>
    <d v="2025-08-20T00:00:00"/>
    <n v="27"/>
    <s v="1057532-4720-CM25"/>
    <n v="1"/>
    <n v="916666"/>
    <d v="2026-03-01T00:00:00"/>
    <x v="0"/>
    <x v="0"/>
  </r>
  <r>
    <s v="SERVICIO DE SALUD OSORNO"/>
    <s v="Bienes y Servicios"/>
    <x v="27"/>
    <s v="Proyecto operacional"/>
    <s v="Publicado"/>
    <s v="22.08.007"/>
    <x v="28"/>
    <s v="Se requiere contar con un Proyecto PAC específico para Pasajes, a fin de poder vincular las Órdenes de Compra en la plataforma de Mercado Público. Este proyecto debe estar incorporado en el PAC General del DSSO, con un período de vigencia desde junio de 2025 hasta diciembre de 2026, abarcando un total de 19 meses."/>
    <n v="1"/>
    <s v="Pasajes"/>
    <n v="5"/>
    <n v="1"/>
    <n v="16500000"/>
    <n v="916666"/>
    <x v="5"/>
    <x v="5"/>
    <x v="18"/>
    <x v="21"/>
    <s v="64-2565594-"/>
    <s v="sandra.espinoza@redsalud.gob.cl"/>
    <x v="10"/>
    <d v="2025-08-20T00:00:00"/>
    <n v="27"/>
    <s v="1057532-5352-CM25"/>
    <n v="1"/>
    <n v="916666"/>
    <d v="2026-11-01T00:00:00"/>
    <x v="0"/>
    <x v="0"/>
  </r>
  <r>
    <s v="SERVICIO DE SALUD OSORNO"/>
    <s v="Bienes y Servicios"/>
    <x v="27"/>
    <s v="Proyecto operacional"/>
    <s v="Publicado"/>
    <s v="22.08.007"/>
    <x v="28"/>
    <s v="Se requiere contar con un Proyecto PAC específico para Pasajes, a fin de poder vincular las Órdenes de Compra en la plataforma de Mercado Público. Este proyecto debe estar incorporado en el PAC General del DSSO, con un período de vigencia desde junio de 2025 hasta diciembre de 2026, abarcando un total de 19 meses."/>
    <n v="1"/>
    <s v="Pasajes"/>
    <n v="5"/>
    <n v="1"/>
    <n v="16500000"/>
    <n v="916666"/>
    <x v="5"/>
    <x v="5"/>
    <x v="18"/>
    <x v="21"/>
    <s v="64-2565594-"/>
    <s v="sandra.espinoza@redsalud.gob.cl"/>
    <x v="10"/>
    <d v="2025-08-20T00:00:00"/>
    <n v="27"/>
    <s v="1057532-5335-CM25"/>
    <n v="1"/>
    <n v="916666"/>
    <d v="2026-08-01T00:00:00"/>
    <x v="0"/>
    <x v="0"/>
  </r>
  <r>
    <s v="SERVICIO DE SALUD OSORNO"/>
    <s v="Bienes y Servicios"/>
    <x v="27"/>
    <s v="Proyecto operacional"/>
    <s v="Publicado"/>
    <s v="22.08.007"/>
    <x v="28"/>
    <s v="Se requiere contar con un Proyecto PAC específico para Pasajes, a fin de poder vincular las Órdenes de Compra en la plataforma de Mercado Público. Este proyecto debe estar incorporado en el PAC General del DSSO, con un período de vigencia desde junio de 2025 hasta diciembre de 2026, abarcando un total de 19 meses."/>
    <n v="1"/>
    <s v="Pasajes"/>
    <n v="5"/>
    <n v="1"/>
    <n v="16500000"/>
    <n v="916666"/>
    <x v="5"/>
    <x v="5"/>
    <x v="18"/>
    <x v="21"/>
    <s v="64-2565594-"/>
    <s v="sandra.espinoza@redsalud.gob.cl"/>
    <x v="10"/>
    <d v="2025-08-20T00:00:00"/>
    <n v="27"/>
    <s v="1057532-4899-CM25"/>
    <n v="1"/>
    <n v="916666"/>
    <d v="2026-06-01T00:00:00"/>
    <x v="0"/>
    <x v="0"/>
  </r>
  <r>
    <s v="SERVICIO DE SALUD OSORNO"/>
    <s v="Bienes y Servicios"/>
    <x v="27"/>
    <s v="Proyecto operacional"/>
    <s v="Publicado"/>
    <s v="22.08.007"/>
    <x v="28"/>
    <s v="Se requiere contar con un Proyecto PAC específico para Pasajes, a fin de poder vincular las Órdenes de Compra en la plataforma de Mercado Público. Este proyecto debe estar incorporado en el PAC General del DSSO, con un período de vigencia desde junio de 2025 hasta diciembre de 2026, abarcando un total de 19 meses."/>
    <n v="1"/>
    <s v="Pasajes"/>
    <n v="5"/>
    <n v="1"/>
    <n v="16500000"/>
    <n v="916666"/>
    <x v="5"/>
    <x v="5"/>
    <x v="18"/>
    <x v="21"/>
    <s v="64-2565594-"/>
    <s v="sandra.espinoza@redsalud.gob.cl"/>
    <x v="10"/>
    <d v="2025-08-20T00:00:00"/>
    <n v="27"/>
    <s v="1057532-5599-CM25"/>
    <n v="1"/>
    <n v="916666"/>
    <d v="2026-01-01T00:00:00"/>
    <x v="0"/>
    <x v="0"/>
  </r>
  <r>
    <s v="SERVICIO DE SALUD OSORNO"/>
    <s v="Bienes y Servicios"/>
    <x v="27"/>
    <s v="Proyecto operacional"/>
    <s v="Publicado"/>
    <s v="22.08.007"/>
    <x v="28"/>
    <s v="Se requiere contar con un Proyecto PAC específico para Pasajes, a fin de poder vincular las Órdenes de Compra en la plataforma de Mercado Público. Este proyecto debe estar incorporado en el PAC General del DSSO, con un período de vigencia desde junio de 2025 hasta diciembre de 2026, abarcando un total de 19 meses."/>
    <n v="1"/>
    <s v="Pasajes"/>
    <n v="5"/>
    <n v="1"/>
    <n v="16500000"/>
    <n v="916666"/>
    <x v="5"/>
    <x v="5"/>
    <x v="18"/>
    <x v="21"/>
    <s v="64-2565594-"/>
    <s v="sandra.espinoza@redsalud.gob.cl"/>
    <x v="10"/>
    <d v="2025-08-20T00:00:00"/>
    <n v="27"/>
    <s v="1057532-5071-CM25"/>
    <n v="1"/>
    <n v="916666"/>
    <d v="2026-03-01T00:00:00"/>
    <x v="0"/>
    <x v="0"/>
  </r>
  <r>
    <s v="SERVICIO DE SALUD OSORNO"/>
    <s v="Bienes y Servicios"/>
    <x v="27"/>
    <s v="Proyecto operacional"/>
    <s v="Publicado"/>
    <s v="22.08.007"/>
    <x v="28"/>
    <s v="Se requiere contar con un Proyecto PAC específico para Pasajes, a fin de poder vincular las Órdenes de Compra en la plataforma de Mercado Público. Este proyecto debe estar incorporado en el PAC General del DSSO, con un período de vigencia desde junio de 2025 hasta diciembre de 2026, abarcando un total de 19 meses."/>
    <n v="1"/>
    <s v="Pasajes"/>
    <n v="5"/>
    <n v="1"/>
    <n v="16500000"/>
    <n v="916666"/>
    <x v="5"/>
    <x v="5"/>
    <x v="18"/>
    <x v="21"/>
    <s v="64-2565594-"/>
    <s v="sandra.espinoza@redsalud.gob.cl"/>
    <x v="10"/>
    <d v="2025-08-20T00:00:00"/>
    <n v="27"/>
    <s v="1057532-4899-CM25"/>
    <n v="1"/>
    <n v="916666"/>
    <d v="2026-01-01T00:00:00"/>
    <x v="0"/>
    <x v="0"/>
  </r>
  <r>
    <s v="SERVICIO DE SALUD OSORNO"/>
    <s v="Bienes y Servicios"/>
    <x v="27"/>
    <s v="Proyecto operacional"/>
    <s v="Publicado"/>
    <s v="22.08.007"/>
    <x v="28"/>
    <s v="Se requiere contar con un Proyecto PAC específico para Pasajes, a fin de poder vincular las Órdenes de Compra en la plataforma de Mercado Público. Este proyecto debe estar incorporado en el PAC General del DSSO, con un período de vigencia desde junio de 2025 hasta diciembre de 2026, abarcando un total de 19 meses."/>
    <n v="1"/>
    <s v="Pasajes"/>
    <n v="5"/>
    <n v="1"/>
    <n v="16500000"/>
    <n v="916666"/>
    <x v="5"/>
    <x v="5"/>
    <x v="18"/>
    <x v="21"/>
    <s v="64-2565594-"/>
    <s v="sandra.espinoza@redsalud.gob.cl"/>
    <x v="10"/>
    <d v="2025-08-20T00:00:00"/>
    <n v="27"/>
    <s v="1057532-5335-CM25"/>
    <n v="1"/>
    <n v="916666"/>
    <d v="2026-02-01T00:00:00"/>
    <x v="0"/>
    <x v="0"/>
  </r>
  <r>
    <s v="SERVICIO DE SALUD OSORNO"/>
    <s v="Bienes y Servicios"/>
    <x v="27"/>
    <s v="Proyecto operacional"/>
    <s v="Publicado"/>
    <s v="22.08.007"/>
    <x v="28"/>
    <s v="Se requiere contar con un Proyecto PAC específico para Pasajes, a fin de poder vincular las Órdenes de Compra en la plataforma de Mercado Público. Este proyecto debe estar incorporado en el PAC General del DSSO, con un período de vigencia desde junio de 2025 hasta diciembre de 2026, abarcando un total de 19 meses."/>
    <n v="1"/>
    <s v="Pasajes"/>
    <n v="5"/>
    <n v="1"/>
    <n v="16500000"/>
    <n v="916678"/>
    <x v="5"/>
    <x v="5"/>
    <x v="18"/>
    <x v="21"/>
    <s v="64-2565594-"/>
    <s v="sandra.espinoza@redsalud.gob.cl"/>
    <x v="10"/>
    <d v="2025-08-20T00:00:00"/>
    <n v="27"/>
    <s v="1057532-4718-CM25"/>
    <n v="1"/>
    <n v="916678"/>
    <d v="2026-12-01T00:00:00"/>
    <x v="0"/>
    <x v="0"/>
  </r>
  <r>
    <s v="SERVICIO DE SALUD OSORNO"/>
    <s v="Bienes y Servicios"/>
    <x v="28"/>
    <s v="Proyecto operacional"/>
    <s v="Publicado"/>
    <s v="22.01.001.001"/>
    <x v="29"/>
    <s v="Mes de Ejecución, Enero 2026 Periodo de Vigencia, Enero 2026 a Diciembre 2026 Se comprarán artículos para consumo y reposición en el caso de los artículos de limpieza. Para un año de gestión . Se establece la compra de alimentos y útiles de aseo para 12 personas que realizan tratamiento intensivo en el programa Residencial de la Unidad, y los para el desarrollo de los grupos de Comunidad Ambulatoria entre otros Taller de Género, Grupo Semillero, Autoayuda y Adolescentes."/>
    <n v="1"/>
    <s v="Alimentación"/>
    <n v="4"/>
    <n v="12"/>
    <n v="2750000"/>
    <n v="2750000"/>
    <x v="11"/>
    <x v="18"/>
    <x v="19"/>
    <x v="22"/>
    <s v="64-2565492-"/>
    <s v="mariaines.asenjo@redsalud.gob.cl"/>
    <x v="7"/>
    <d v="2025-08-20T00:00:00"/>
    <n v="2"/>
    <s v="1057532-5735-AG25"/>
    <n v="1"/>
    <n v="2750000"/>
    <d v="2026-04-01T00:00:00"/>
    <x v="0"/>
    <x v="0"/>
  </r>
  <r>
    <s v="SERVICIO DE SALUD OSORNO"/>
    <s v="Bienes y Servicios"/>
    <x v="28"/>
    <s v="Proyecto operacional"/>
    <s v="Publicado"/>
    <s v="22.01.001.001"/>
    <x v="29"/>
    <s v="Mes de Ejecución, Enero 2026 Periodo de Vigencia, Enero 2026 a Diciembre 2026 Se comprarán artículos para consumo y reposición en el caso de los artículos de limpieza. Para un año de gestión . Se establece la compra de alimentos y útiles de aseo para 12 personas que realizan tratamiento intensivo en el programa Residencial de la Unidad, y los para el desarrollo de los grupos de Comunidad Ambulatoria entre otros Taller de Género, Grupo Semillero, Autoayuda y Adolescentes."/>
    <n v="1"/>
    <s v="Alimentación"/>
    <n v="4"/>
    <n v="12"/>
    <n v="2750000"/>
    <n v="2750000"/>
    <x v="11"/>
    <x v="18"/>
    <x v="19"/>
    <x v="22"/>
    <s v="64-2565492-"/>
    <s v="mariaines.asenjo@redsalud.gob.cl"/>
    <x v="7"/>
    <d v="2025-08-20T00:00:00"/>
    <n v="2"/>
    <s v="1057532-5735-AG25"/>
    <n v="1"/>
    <n v="2750000"/>
    <d v="2026-02-01T00:00:00"/>
    <x v="0"/>
    <x v="0"/>
  </r>
  <r>
    <s v="SERVICIO DE SALUD OSORNO"/>
    <s v="Bienes y Servicios"/>
    <x v="28"/>
    <s v="Proyecto operacional"/>
    <s v="Publicado"/>
    <s v="22.01.001.001"/>
    <x v="29"/>
    <s v="Mes de Ejecución, Enero 2026 Periodo de Vigencia, Enero 2026 a Diciembre 2026 Se comprarán artículos para consumo y reposición en el caso de los artículos de limpieza. Para un año de gestión . Se establece la compra de alimentos y útiles de aseo para 12 personas que realizan tratamiento intensivo en el programa Residencial de la Unidad, y los para el desarrollo de los grupos de Comunidad Ambulatoria entre otros Taller de Género, Grupo Semillero, Autoayuda y Adolescentes."/>
    <n v="1"/>
    <s v="Alimentación"/>
    <n v="4"/>
    <n v="12"/>
    <n v="2750000"/>
    <n v="2750000"/>
    <x v="11"/>
    <x v="18"/>
    <x v="19"/>
    <x v="22"/>
    <s v="64-2565492-"/>
    <s v="mariaines.asenjo@redsalud.gob.cl"/>
    <x v="7"/>
    <d v="2025-08-20T00:00:00"/>
    <n v="2"/>
    <s v="1057532-5735-AG25"/>
    <n v="1"/>
    <n v="2750000"/>
    <d v="2026-07-01T00:00:00"/>
    <x v="0"/>
    <x v="0"/>
  </r>
  <r>
    <s v="SERVICIO DE SALUD OSORNO"/>
    <s v="Bienes y Servicios"/>
    <x v="28"/>
    <s v="Proyecto operacional"/>
    <s v="Publicado"/>
    <s v="22.01.001.001"/>
    <x v="29"/>
    <s v="Mes de Ejecución, Enero 2026 Periodo de Vigencia, Enero 2026 a Diciembre 2026 Se comprarán artículos para consumo y reposición en el caso de los artículos de limpieza. Para un año de gestión . Se establece la compra de alimentos y útiles de aseo para 12 personas que realizan tratamiento intensivo en el programa Residencial de la Unidad, y los para el desarrollo de los grupos de Comunidad Ambulatoria entre otros Taller de Género, Grupo Semillero, Autoayuda y Adolescentes."/>
    <n v="1"/>
    <s v="Alimentación"/>
    <n v="4"/>
    <n v="12"/>
    <n v="2750000"/>
    <n v="2750000"/>
    <x v="11"/>
    <x v="18"/>
    <x v="19"/>
    <x v="22"/>
    <s v="64-2565492-"/>
    <s v="mariaines.asenjo@redsalud.gob.cl"/>
    <x v="7"/>
    <d v="2025-08-20T00:00:00"/>
    <n v="2"/>
    <s v="1057532-5735-AG25"/>
    <n v="1"/>
    <n v="2750000"/>
    <d v="2026-05-01T00:00:00"/>
    <x v="0"/>
    <x v="0"/>
  </r>
  <r>
    <s v="SERVICIO DE SALUD OSORNO"/>
    <s v="Bienes y Servicios"/>
    <x v="28"/>
    <s v="Proyecto operacional"/>
    <s v="Publicado"/>
    <s v="22.01.001.001"/>
    <x v="29"/>
    <s v="Mes de Ejecución, Enero 2026 Periodo de Vigencia, Enero 2026 a Diciembre 2026 Se comprarán artículos para consumo y reposición en el caso de los artículos de limpieza. Para un año de gestión . Se establece la compra de alimentos y útiles de aseo para 12 personas que realizan tratamiento intensivo en el programa Residencial de la Unidad, y los para el desarrollo de los grupos de Comunidad Ambulatoria entre otros Taller de Género, Grupo Semillero, Autoayuda y Adolescentes."/>
    <n v="1"/>
    <s v="Alimentación"/>
    <n v="4"/>
    <n v="12"/>
    <n v="2750000"/>
    <n v="2750000"/>
    <x v="11"/>
    <x v="18"/>
    <x v="19"/>
    <x v="22"/>
    <s v="64-2565492-"/>
    <s v="mariaines.asenjo@redsalud.gob.cl"/>
    <x v="7"/>
    <d v="2025-08-20T00:00:00"/>
    <n v="2"/>
    <s v="1057532-5753-AG25"/>
    <n v="1"/>
    <n v="2750000"/>
    <d v="2026-12-01T00:00:00"/>
    <x v="0"/>
    <x v="0"/>
  </r>
  <r>
    <s v="SERVICIO DE SALUD OSORNO"/>
    <s v="Bienes y Servicios"/>
    <x v="28"/>
    <s v="Proyecto operacional"/>
    <s v="Publicado"/>
    <s v="22.01.001.001"/>
    <x v="29"/>
    <s v="Mes de Ejecución, Enero 2026 Periodo de Vigencia, Enero 2026 a Diciembre 2026 Se comprarán artículos para consumo y reposición en el caso de los artículos de limpieza. Para un año de gestión . Se establece la compra de alimentos y útiles de aseo para 12 personas que realizan tratamiento intensivo en el programa Residencial de la Unidad, y los para el desarrollo de los grupos de Comunidad Ambulatoria entre otros Taller de Género, Grupo Semillero, Autoayuda y Adolescentes."/>
    <n v="1"/>
    <s v="Alimentación"/>
    <n v="4"/>
    <n v="12"/>
    <n v="2750000"/>
    <n v="2750000"/>
    <x v="11"/>
    <x v="18"/>
    <x v="19"/>
    <x v="22"/>
    <s v="64-2565492-"/>
    <s v="mariaines.asenjo@redsalud.gob.cl"/>
    <x v="7"/>
    <d v="2025-08-20T00:00:00"/>
    <n v="2"/>
    <s v="1057532-5735-AG25"/>
    <n v="1"/>
    <n v="2750000"/>
    <d v="2026-08-01T00:00:00"/>
    <x v="0"/>
    <x v="0"/>
  </r>
  <r>
    <s v="SERVICIO DE SALUD OSORNO"/>
    <s v="Bienes y Servicios"/>
    <x v="28"/>
    <s v="Proyecto operacional"/>
    <s v="Publicado"/>
    <s v="22.01.001.001"/>
    <x v="29"/>
    <s v="Mes de Ejecución, Enero 2026 Periodo de Vigencia, Enero 2026 a Diciembre 2026 Se comprarán artículos para consumo y reposición en el caso de los artículos de limpieza. Para un año de gestión . Se establece la compra de alimentos y útiles de aseo para 12 personas que realizan tratamiento intensivo en el programa Residencial de la Unidad, y los para el desarrollo de los grupos de Comunidad Ambulatoria entre otros Taller de Género, Grupo Semillero, Autoayuda y Adolescentes."/>
    <n v="1"/>
    <s v="Alimentación"/>
    <n v="4"/>
    <n v="12"/>
    <n v="2750000"/>
    <n v="2750000"/>
    <x v="11"/>
    <x v="18"/>
    <x v="19"/>
    <x v="22"/>
    <s v="64-2565492-"/>
    <s v="mariaines.asenjo@redsalud.gob.cl"/>
    <x v="7"/>
    <d v="2025-08-20T00:00:00"/>
    <n v="2"/>
    <s v="1057532-5735-AG25"/>
    <n v="1"/>
    <n v="2750000"/>
    <d v="2026-03-01T00:00:00"/>
    <x v="0"/>
    <x v="0"/>
  </r>
  <r>
    <s v="SERVICIO DE SALUD OSORNO"/>
    <s v="Bienes y Servicios"/>
    <x v="28"/>
    <s v="Proyecto operacional"/>
    <s v="Publicado"/>
    <s v="22.01.001.001"/>
    <x v="29"/>
    <s v="Mes de Ejecución, Enero 2026 Periodo de Vigencia, Enero 2026 a Diciembre 2026 Se comprarán artículos para consumo y reposición en el caso de los artículos de limpieza. Para un año de gestión . Se establece la compra de alimentos y útiles de aseo para 12 personas que realizan tratamiento intensivo en el programa Residencial de la Unidad, y los para el desarrollo de los grupos de Comunidad Ambulatoria entre otros Taller de Género, Grupo Semillero, Autoayuda y Adolescentes."/>
    <n v="1"/>
    <s v="Alimentación"/>
    <n v="4"/>
    <n v="12"/>
    <n v="2750000"/>
    <n v="2750000"/>
    <x v="11"/>
    <x v="18"/>
    <x v="19"/>
    <x v="22"/>
    <s v="64-2565492-"/>
    <s v="mariaines.asenjo@redsalud.gob.cl"/>
    <x v="7"/>
    <d v="2025-08-20T00:00:00"/>
    <n v="2"/>
    <s v="1057532-5735-AG25"/>
    <n v="1"/>
    <n v="2750000"/>
    <d v="2026-12-01T00:00:00"/>
    <x v="0"/>
    <x v="0"/>
  </r>
  <r>
    <s v="SERVICIO DE SALUD OSORNO"/>
    <s v="Bienes y Servicios"/>
    <x v="28"/>
    <s v="Proyecto operacional"/>
    <s v="Publicado"/>
    <s v="22.01.001.001"/>
    <x v="29"/>
    <s v="Mes de Ejecución, Enero 2026 Periodo de Vigencia, Enero 2026 a Diciembre 2026 Se comprarán artículos para consumo y reposición en el caso de los artículos de limpieza. Para un año de gestión . Se establece la compra de alimentos y útiles de aseo para 12 personas que realizan tratamiento intensivo en el programa Residencial de la Unidad, y los para el desarrollo de los grupos de Comunidad Ambulatoria entre otros Taller de Género, Grupo Semillero, Autoayuda y Adolescentes."/>
    <n v="1"/>
    <s v="Alimentación"/>
    <n v="4"/>
    <n v="12"/>
    <n v="2750000"/>
    <n v="2750000"/>
    <x v="11"/>
    <x v="18"/>
    <x v="19"/>
    <x v="22"/>
    <s v="64-2565492-"/>
    <s v="mariaines.asenjo@redsalud.gob.cl"/>
    <x v="7"/>
    <d v="2025-08-20T00:00:00"/>
    <n v="2"/>
    <s v="1057532-5735-AG25"/>
    <n v="1"/>
    <n v="2750000"/>
    <d v="2026-10-01T00:00:00"/>
    <x v="0"/>
    <x v="0"/>
  </r>
  <r>
    <s v="SERVICIO DE SALUD OSORNO"/>
    <s v="Bienes y Servicios"/>
    <x v="28"/>
    <s v="Proyecto operacional"/>
    <s v="Publicado"/>
    <s v="22.01.001.001"/>
    <x v="29"/>
    <s v="Mes de Ejecución, Enero 2026 Periodo de Vigencia, Enero 2026 a Diciembre 2026 Se comprarán artículos para consumo y reposición en el caso de los artículos de limpieza. Para un año de gestión . Se establece la compra de alimentos y útiles de aseo para 12 personas que realizan tratamiento intensivo en el programa Residencial de la Unidad, y los para el desarrollo de los grupos de Comunidad Ambulatoria entre otros Taller de Género, Grupo Semillero, Autoayuda y Adolescentes."/>
    <n v="1"/>
    <s v="Alimentación"/>
    <n v="4"/>
    <n v="12"/>
    <n v="2750000"/>
    <n v="2750000"/>
    <x v="11"/>
    <x v="18"/>
    <x v="19"/>
    <x v="22"/>
    <s v="64-2565492-"/>
    <s v="mariaines.asenjo@redsalud.gob.cl"/>
    <x v="7"/>
    <d v="2025-08-20T00:00:00"/>
    <n v="2"/>
    <s v="1057532-5753-AG25"/>
    <n v="1"/>
    <n v="2750000"/>
    <d v="2026-02-01T00:00:00"/>
    <x v="0"/>
    <x v="0"/>
  </r>
  <r>
    <s v="SERVICIO DE SALUD OSORNO"/>
    <s v="Bienes y Servicios"/>
    <x v="28"/>
    <s v="Proyecto operacional"/>
    <s v="Publicado"/>
    <s v="22.01.001.001"/>
    <x v="29"/>
    <s v="Mes de Ejecución, Enero 2026 Periodo de Vigencia, Enero 2026 a Diciembre 2026 Se comprarán artículos para consumo y reposición en el caso de los artículos de limpieza. Para un año de gestión . Se establece la compra de alimentos y útiles de aseo para 12 personas que realizan tratamiento intensivo en el programa Residencial de la Unidad, y los para el desarrollo de los grupos de Comunidad Ambulatoria entre otros Taller de Género, Grupo Semillero, Autoayuda y Adolescentes."/>
    <n v="1"/>
    <s v="Alimentación"/>
    <n v="4"/>
    <n v="12"/>
    <n v="2750000"/>
    <n v="2750000"/>
    <x v="11"/>
    <x v="18"/>
    <x v="19"/>
    <x v="22"/>
    <s v="64-2565492-"/>
    <s v="mariaines.asenjo@redsalud.gob.cl"/>
    <x v="7"/>
    <d v="2025-08-20T00:00:00"/>
    <n v="2"/>
    <s v="1057532-5735-AG25"/>
    <n v="1"/>
    <n v="2750000"/>
    <d v="2026-09-01T00:00:00"/>
    <x v="0"/>
    <x v="0"/>
  </r>
  <r>
    <s v="SERVICIO DE SALUD OSORNO"/>
    <s v="Bienes y Servicios"/>
    <x v="29"/>
    <s v="Proyecto operacional"/>
    <s v="Publicado"/>
    <s v="22.01.001.003"/>
    <x v="30"/>
    <s v="Se requiere contar con un Proyecto PAC específico para los Servicios de Cafetería, con el propósito de normalizar y estandarizar las adquisiciones asociadas a este servicio. El período de vigencia del proyecto debe comprender desde enero hasta diciembre de 2026, cubriendo un total de 12 meses."/>
    <n v="1"/>
    <s v="Cafeteria"/>
    <n v="4"/>
    <n v="1"/>
    <n v="80000000"/>
    <n v="6666300"/>
    <x v="11"/>
    <x v="19"/>
    <x v="18"/>
    <x v="23"/>
    <s v="64-2565594-"/>
    <s v="sandra.espinoza@redsalud.gob.cl"/>
    <x v="7"/>
    <d v="2025-08-20T00:00:00"/>
    <n v="1"/>
    <s v="1057532-5233-SE25"/>
    <n v="1"/>
    <n v="6666300"/>
    <d v="2026-01-01T00:00:00"/>
    <x v="0"/>
    <x v="0"/>
  </r>
  <r>
    <s v="SERVICIO DE SALUD OSORNO"/>
    <s v="Bienes y Servicios"/>
    <x v="29"/>
    <s v="Proyecto operacional"/>
    <s v="Publicado"/>
    <s v="22.01.001.003"/>
    <x v="30"/>
    <s v="Se requiere contar con un Proyecto PAC específico para los Servicios de Cafetería, con el propósito de normalizar y estandarizar las adquisiciones asociadas a este servicio. El período de vigencia del proyecto debe comprender desde enero hasta diciembre de 2026, cubriendo un total de 12 meses."/>
    <n v="1"/>
    <s v="Cafeteria"/>
    <n v="4"/>
    <n v="1"/>
    <n v="80000000"/>
    <n v="6666700"/>
    <x v="11"/>
    <x v="19"/>
    <x v="18"/>
    <x v="23"/>
    <s v="64-2565594-"/>
    <s v="sandra.espinoza@redsalud.gob.cl"/>
    <x v="7"/>
    <d v="2025-08-20T00:00:00"/>
    <n v="1"/>
    <s v="1057532-5233-SE25"/>
    <n v="1"/>
    <n v="6666700"/>
    <d v="2026-03-01T00:00:00"/>
    <x v="0"/>
    <x v="0"/>
  </r>
  <r>
    <s v="SERVICIO DE SALUD OSORNO"/>
    <s v="Bienes y Servicios"/>
    <x v="29"/>
    <s v="Proyecto operacional"/>
    <s v="Publicado"/>
    <s v="22.01.001.003"/>
    <x v="30"/>
    <s v="Se requiere contar con un Proyecto PAC específico para los Servicios de Cafetería, con el propósito de normalizar y estandarizar las adquisiciones asociadas a este servicio. El período de vigencia del proyecto debe comprender desde enero hasta diciembre de 2026, cubriendo un total de 12 meses."/>
    <n v="1"/>
    <s v="Cafeteria"/>
    <n v="4"/>
    <n v="1"/>
    <n v="80000000"/>
    <n v="6666700"/>
    <x v="11"/>
    <x v="19"/>
    <x v="18"/>
    <x v="23"/>
    <s v="64-2565594-"/>
    <s v="sandra.espinoza@redsalud.gob.cl"/>
    <x v="7"/>
    <d v="2025-08-20T00:00:00"/>
    <n v="1"/>
    <s v="1057532-5233-SE25"/>
    <n v="1"/>
    <n v="6666700"/>
    <d v="2026-07-01T00:00:00"/>
    <x v="0"/>
    <x v="0"/>
  </r>
  <r>
    <s v="SERVICIO DE SALUD OSORNO"/>
    <s v="Bienes y Servicios"/>
    <x v="29"/>
    <s v="Proyecto operacional"/>
    <s v="Publicado"/>
    <s v="22.01.001.003"/>
    <x v="30"/>
    <s v="Se requiere contar con un Proyecto PAC específico para los Servicios de Cafetería, con el propósito de normalizar y estandarizar las adquisiciones asociadas a este servicio. El período de vigencia del proyecto debe comprender desde enero hasta diciembre de 2026, cubriendo un total de 12 meses."/>
    <n v="1"/>
    <s v="Cafeteria"/>
    <n v="4"/>
    <n v="1"/>
    <n v="80000000"/>
    <n v="6666700"/>
    <x v="11"/>
    <x v="19"/>
    <x v="18"/>
    <x v="23"/>
    <s v="64-2565594-"/>
    <s v="sandra.espinoza@redsalud.gob.cl"/>
    <x v="7"/>
    <d v="2025-08-20T00:00:00"/>
    <n v="1"/>
    <s v="1057532-5233-SE25"/>
    <n v="1"/>
    <n v="6666700"/>
    <d v="2026-11-01T00:00:00"/>
    <x v="0"/>
    <x v="0"/>
  </r>
  <r>
    <s v="SERVICIO DE SALUD OSORNO"/>
    <s v="Bienes y Servicios"/>
    <x v="29"/>
    <s v="Proyecto operacional"/>
    <s v="Publicado"/>
    <s v="22.01.001.003"/>
    <x v="30"/>
    <s v="Se requiere contar con un Proyecto PAC específico para los Servicios de Cafetería, con el propósito de normalizar y estandarizar las adquisiciones asociadas a este servicio. El período de vigencia del proyecto debe comprender desde enero hasta diciembre de 2026, cubriendo un total de 12 meses."/>
    <n v="1"/>
    <s v="Cafeteria"/>
    <n v="4"/>
    <n v="1"/>
    <n v="80000000"/>
    <n v="6666700"/>
    <x v="11"/>
    <x v="19"/>
    <x v="18"/>
    <x v="23"/>
    <s v="64-2565594-"/>
    <s v="sandra.espinoza@redsalud.gob.cl"/>
    <x v="7"/>
    <d v="2025-08-20T00:00:00"/>
    <n v="1"/>
    <s v="1057532-5233-SE25"/>
    <n v="1"/>
    <n v="6666700"/>
    <d v="2026-05-01T00:00:00"/>
    <x v="0"/>
    <x v="0"/>
  </r>
  <r>
    <s v="SERVICIO DE SALUD OSORNO"/>
    <s v="Bienes y Servicios"/>
    <x v="29"/>
    <s v="Proyecto operacional"/>
    <s v="Publicado"/>
    <s v="22.01.001.003"/>
    <x v="30"/>
    <s v="Se requiere contar con un Proyecto PAC específico para los Servicios de Cafetería, con el propósito de normalizar y estandarizar las adquisiciones asociadas a este servicio. El período de vigencia del proyecto debe comprender desde enero hasta diciembre de 2026, cubriendo un total de 12 meses."/>
    <n v="1"/>
    <s v="Cafeteria"/>
    <n v="4"/>
    <n v="1"/>
    <n v="80000000"/>
    <n v="6666700"/>
    <x v="11"/>
    <x v="19"/>
    <x v="18"/>
    <x v="23"/>
    <s v="64-2565594-"/>
    <s v="sandra.espinoza@redsalud.gob.cl"/>
    <x v="7"/>
    <d v="2025-08-20T00:00:00"/>
    <n v="1"/>
    <s v="1057532-5233-SE25"/>
    <n v="1"/>
    <n v="6666700"/>
    <d v="2026-08-01T00:00:00"/>
    <x v="0"/>
    <x v="0"/>
  </r>
  <r>
    <s v="SERVICIO DE SALUD OSORNO"/>
    <s v="Bienes y Servicios"/>
    <x v="29"/>
    <s v="Proyecto operacional"/>
    <s v="Publicado"/>
    <s v="22.01.001.003"/>
    <x v="30"/>
    <s v="Se requiere contar con un Proyecto PAC específico para los Servicios de Cafetería, con el propósito de normalizar y estandarizar las adquisiciones asociadas a este servicio. El período de vigencia del proyecto debe comprender desde enero hasta diciembre de 2026, cubriendo un total de 12 meses."/>
    <n v="1"/>
    <s v="Cafeteria"/>
    <n v="4"/>
    <n v="1"/>
    <n v="80000000"/>
    <n v="6666700"/>
    <x v="11"/>
    <x v="19"/>
    <x v="18"/>
    <x v="23"/>
    <s v="64-2565594-"/>
    <s v="sandra.espinoza@redsalud.gob.cl"/>
    <x v="7"/>
    <d v="2025-08-20T00:00:00"/>
    <n v="1"/>
    <s v="1057532-5233-SE25"/>
    <n v="1"/>
    <n v="6666700"/>
    <d v="2026-04-01T00:00:00"/>
    <x v="0"/>
    <x v="0"/>
  </r>
  <r>
    <s v="SERVICIO DE SALUD OSORNO"/>
    <s v="Bienes y Servicios"/>
    <x v="29"/>
    <s v="Proyecto operacional"/>
    <s v="Publicado"/>
    <s v="22.01.001.003"/>
    <x v="30"/>
    <s v="Se requiere contar con un Proyecto PAC específico para los Servicios de Cafetería, con el propósito de normalizar y estandarizar las adquisiciones asociadas a este servicio. El período de vigencia del proyecto debe comprender desde enero hasta diciembre de 2026, cubriendo un total de 12 meses."/>
    <n v="1"/>
    <s v="Cafeteria"/>
    <n v="4"/>
    <n v="1"/>
    <n v="80000000"/>
    <n v="6666700"/>
    <x v="11"/>
    <x v="19"/>
    <x v="18"/>
    <x v="23"/>
    <s v="64-2565594-"/>
    <s v="sandra.espinoza@redsalud.gob.cl"/>
    <x v="7"/>
    <d v="2025-08-20T00:00:00"/>
    <n v="1"/>
    <s v="1057532-5233-SE25"/>
    <n v="1"/>
    <n v="6666700"/>
    <d v="2026-02-01T00:00:00"/>
    <x v="0"/>
    <x v="0"/>
  </r>
  <r>
    <s v="SERVICIO DE SALUD OSORNO"/>
    <s v="Bienes y Servicios"/>
    <x v="29"/>
    <s v="Proyecto operacional"/>
    <s v="Publicado"/>
    <s v="22.01.001.003"/>
    <x v="30"/>
    <s v="Se requiere contar con un Proyecto PAC específico para los Servicios de Cafetería, con el propósito de normalizar y estandarizar las adquisiciones asociadas a este servicio. El período de vigencia del proyecto debe comprender desde enero hasta diciembre de 2026, cubriendo un total de 12 meses."/>
    <n v="1"/>
    <s v="Cafeteria"/>
    <n v="4"/>
    <n v="1"/>
    <n v="80000000"/>
    <n v="6666700"/>
    <x v="11"/>
    <x v="19"/>
    <x v="18"/>
    <x v="23"/>
    <s v="64-2565594-"/>
    <s v="sandra.espinoza@redsalud.gob.cl"/>
    <x v="7"/>
    <d v="2025-08-20T00:00:00"/>
    <n v="1"/>
    <s v="1057532-5233-SE25"/>
    <n v="1"/>
    <n v="6666700"/>
    <d v="2026-06-01T00:00:00"/>
    <x v="0"/>
    <x v="0"/>
  </r>
  <r>
    <s v="SERVICIO DE SALUD OSORNO"/>
    <s v="Bienes y Servicios"/>
    <x v="29"/>
    <s v="Proyecto operacional"/>
    <s v="Publicado"/>
    <s v="22.01.001.003"/>
    <x v="30"/>
    <s v="Se requiere contar con un Proyecto PAC específico para los Servicios de Cafetería, con el propósito de normalizar y estandarizar las adquisiciones asociadas a este servicio. El período de vigencia del proyecto debe comprender desde enero hasta diciembre de 2026, cubriendo un total de 12 meses."/>
    <n v="1"/>
    <s v="Cafeteria"/>
    <n v="4"/>
    <n v="1"/>
    <n v="80000000"/>
    <n v="6666700"/>
    <x v="11"/>
    <x v="19"/>
    <x v="18"/>
    <x v="23"/>
    <s v="64-2565594-"/>
    <s v="sandra.espinoza@redsalud.gob.cl"/>
    <x v="7"/>
    <d v="2025-08-20T00:00:00"/>
    <n v="1"/>
    <s v="1057532-5233-SE25"/>
    <n v="1"/>
    <n v="6666700"/>
    <d v="2026-12-01T00:00:00"/>
    <x v="0"/>
    <x v="0"/>
  </r>
  <r>
    <s v="SERVICIO DE SALUD OSORNO"/>
    <s v="Bienes y Servicios"/>
    <x v="29"/>
    <s v="Proyecto operacional"/>
    <s v="Publicado"/>
    <s v="22.01.001.003"/>
    <x v="30"/>
    <s v="Se requiere contar con un Proyecto PAC específico para los Servicios de Cafetería, con el propósito de normalizar y estandarizar las adquisiciones asociadas a este servicio. El período de vigencia del proyecto debe comprender desde enero hasta diciembre de 2026, cubriendo un total de 12 meses."/>
    <n v="1"/>
    <s v="Cafeteria"/>
    <n v="4"/>
    <n v="1"/>
    <n v="80000000"/>
    <n v="6666700"/>
    <x v="11"/>
    <x v="19"/>
    <x v="18"/>
    <x v="23"/>
    <s v="64-2565594-"/>
    <s v="sandra.espinoza@redsalud.gob.cl"/>
    <x v="7"/>
    <d v="2025-08-20T00:00:00"/>
    <n v="1"/>
    <s v="1057532-5233-SE25"/>
    <n v="1"/>
    <n v="6666700"/>
    <d v="2026-09-01T00:00:00"/>
    <x v="0"/>
    <x v="0"/>
  </r>
  <r>
    <s v="SERVICIO DE SALUD OSORNO"/>
    <s v="Bienes y Servicios"/>
    <x v="29"/>
    <s v="Proyecto operacional"/>
    <s v="Publicado"/>
    <s v="22.01.001.003"/>
    <x v="30"/>
    <s v="Se requiere contar con un Proyecto PAC específico para los Servicios de Cafetería, con el propósito de normalizar y estandarizar las adquisiciones asociadas a este servicio. El período de vigencia del proyecto debe comprender desde enero hasta diciembre de 2026, cubriendo un total de 12 meses."/>
    <n v="1"/>
    <s v="Cafeteria"/>
    <n v="4"/>
    <n v="1"/>
    <n v="80000000"/>
    <n v="6666700"/>
    <x v="11"/>
    <x v="19"/>
    <x v="18"/>
    <x v="23"/>
    <s v="64-2565594-"/>
    <s v="sandra.espinoza@redsalud.gob.cl"/>
    <x v="7"/>
    <d v="2025-08-20T00:00:00"/>
    <n v="1"/>
    <s v="1057532-5233-SE25"/>
    <n v="1"/>
    <n v="6666700"/>
    <d v="2026-10-01T00:00:00"/>
    <x v="0"/>
    <x v="0"/>
  </r>
  <r>
    <s v="SERVICIO DE SALUD OSORNO"/>
    <s v="Administración de Fondos"/>
    <x v="30"/>
    <s v="Proyecto operacional"/>
    <s v="Publicado"/>
    <s v="22.08.007"/>
    <x v="31"/>
    <s v="Se requiere contar con servicio de movilización para el para traslado de funcionarios de COSAM Rahue dentro del territorio entre el 01/01/2026 al 31/12/2026, para la realización de actividades enmarcadas en la atención de salud a usuarios, teniendo presente el territorio a cargo, el cual contempla a la comuna de Osorno y San Juan de la Costa. Por lo anterior, el proceso de compra debe realizarse en el mes de julio 2025. Financiamiento a través de fondo extrapresupuestario SENDA PAI"/>
    <n v="1"/>
    <s v="Movilizacion"/>
    <n v="4"/>
    <n v="1"/>
    <n v="19000000"/>
    <n v="1583333"/>
    <x v="11"/>
    <x v="18"/>
    <x v="20"/>
    <x v="22"/>
    <s v="64-2565555-"/>
    <s v="yuvit.garciachacur@redsalud.gob.cl"/>
    <x v="12"/>
    <d v="2025-08-20T00:00:00"/>
    <n v="0"/>
    <m/>
    <n v="1"/>
    <n v="1583333"/>
    <d v="2026-12-01T00:00:00"/>
    <x v="0"/>
    <x v="0"/>
  </r>
  <r>
    <s v="SERVICIO DE SALUD OSORNO"/>
    <s v="Administración de Fondos"/>
    <x v="30"/>
    <s v="Proyecto operacional"/>
    <s v="Publicado"/>
    <s v="22.08.007"/>
    <x v="31"/>
    <s v="Se requiere contar con servicio de movilización para el para traslado de funcionarios de COSAM Rahue dentro del territorio entre el 01/01/2026 al 31/12/2026, para la realización de actividades enmarcadas en la atención de salud a usuarios, teniendo presente el territorio a cargo, el cual contempla a la comuna de Osorno y San Juan de la Costa. Por lo anterior, el proceso de compra debe realizarse en el mes de julio 2025. Financiamiento a través de fondo extrapresupuestario SENDA PAI"/>
    <n v="1"/>
    <s v="Movilizacion"/>
    <n v="4"/>
    <n v="1"/>
    <n v="19000000"/>
    <n v="1583333"/>
    <x v="11"/>
    <x v="18"/>
    <x v="20"/>
    <x v="22"/>
    <s v="64-2565555-"/>
    <s v="yuvit.garciachacur@redsalud.gob.cl"/>
    <x v="12"/>
    <d v="2025-08-20T00:00:00"/>
    <n v="0"/>
    <m/>
    <n v="1"/>
    <n v="1583333"/>
    <d v="2026-10-01T00:00:00"/>
    <x v="0"/>
    <x v="0"/>
  </r>
  <r>
    <s v="SERVICIO DE SALUD OSORNO"/>
    <s v="Administración de Fondos"/>
    <x v="30"/>
    <s v="Proyecto operacional"/>
    <s v="Publicado"/>
    <s v="22.08.007"/>
    <x v="31"/>
    <s v="Se requiere contar con servicio de movilización para el para traslado de funcionarios de COSAM Rahue dentro del territorio entre el 01/01/2026 al 31/12/2026, para la realización de actividades enmarcadas en la atención de salud a usuarios, teniendo presente el territorio a cargo, el cual contempla a la comuna de Osorno y San Juan de la Costa. Por lo anterior, el proceso de compra debe realizarse en el mes de julio 2025. Financiamiento a través de fondo extrapresupuestario SENDA PAI"/>
    <n v="1"/>
    <s v="Movilizacion"/>
    <n v="4"/>
    <n v="1"/>
    <n v="19000000"/>
    <n v="1583333"/>
    <x v="11"/>
    <x v="18"/>
    <x v="20"/>
    <x v="22"/>
    <s v="64-2565555-"/>
    <s v="yuvit.garciachacur@redsalud.gob.cl"/>
    <x v="12"/>
    <d v="2025-08-20T00:00:00"/>
    <n v="0"/>
    <m/>
    <n v="1"/>
    <n v="1583333"/>
    <d v="2026-04-01T00:00:00"/>
    <x v="0"/>
    <x v="0"/>
  </r>
  <r>
    <s v="SERVICIO DE SALUD OSORNO"/>
    <s v="Administración de Fondos"/>
    <x v="30"/>
    <s v="Proyecto operacional"/>
    <s v="Publicado"/>
    <s v="22.08.007"/>
    <x v="31"/>
    <s v="Se requiere contar con servicio de movilización para el para traslado de funcionarios de COSAM Rahue dentro del territorio entre el 01/01/2026 al 31/12/2026, para la realización de actividades enmarcadas en la atención de salud a usuarios, teniendo presente el territorio a cargo, el cual contempla a la comuna de Osorno y San Juan de la Costa. Por lo anterior, el proceso de compra debe realizarse en el mes de julio 2025. Financiamiento a través de fondo extrapresupuestario SENDA PAI"/>
    <n v="1"/>
    <s v="Movilizacion"/>
    <n v="4"/>
    <n v="1"/>
    <n v="19000000"/>
    <n v="1583333"/>
    <x v="11"/>
    <x v="18"/>
    <x v="20"/>
    <x v="22"/>
    <s v="64-2565555-"/>
    <s v="yuvit.garciachacur@redsalud.gob.cl"/>
    <x v="12"/>
    <d v="2025-08-20T00:00:00"/>
    <n v="0"/>
    <m/>
    <n v="1"/>
    <n v="1583333"/>
    <d v="2026-11-01T00:00:00"/>
    <x v="0"/>
    <x v="0"/>
  </r>
  <r>
    <s v="SERVICIO DE SALUD OSORNO"/>
    <s v="Administración de Fondos"/>
    <x v="30"/>
    <s v="Proyecto operacional"/>
    <s v="Publicado"/>
    <s v="22.08.007"/>
    <x v="31"/>
    <s v="Se requiere contar con servicio de movilización para el para traslado de funcionarios de COSAM Rahue dentro del territorio entre el 01/01/2026 al 31/12/2026, para la realización de actividades enmarcadas en la atención de salud a usuarios, teniendo presente el territorio a cargo, el cual contempla a la comuna de Osorno y San Juan de la Costa. Por lo anterior, el proceso de compra debe realizarse en el mes de julio 2025. Financiamiento a través de fondo extrapresupuestario SENDA PAI"/>
    <n v="1"/>
    <s v="Movilizacion"/>
    <n v="4"/>
    <n v="1"/>
    <n v="19000000"/>
    <n v="1583333"/>
    <x v="11"/>
    <x v="18"/>
    <x v="20"/>
    <x v="22"/>
    <s v="64-2565555-"/>
    <s v="yuvit.garciachacur@redsalud.gob.cl"/>
    <x v="12"/>
    <d v="2025-08-20T00:00:00"/>
    <n v="0"/>
    <m/>
    <n v="1"/>
    <n v="1583333"/>
    <d v="2026-02-01T00:00:00"/>
    <x v="0"/>
    <x v="0"/>
  </r>
  <r>
    <s v="SERVICIO DE SALUD OSORNO"/>
    <s v="Administración de Fondos"/>
    <x v="30"/>
    <s v="Proyecto operacional"/>
    <s v="Publicado"/>
    <s v="22.08.007"/>
    <x v="31"/>
    <s v="Se requiere contar con servicio de movilización para el para traslado de funcionarios de COSAM Rahue dentro del territorio entre el 01/01/2026 al 31/12/2026, para la realización de actividades enmarcadas en la atención de salud a usuarios, teniendo presente el territorio a cargo, el cual contempla a la comuna de Osorno y San Juan de la Costa. Por lo anterior, el proceso de compra debe realizarse en el mes de julio 2025. Financiamiento a través de fondo extrapresupuestario SENDA PAI"/>
    <n v="1"/>
    <s v="Movilizacion"/>
    <n v="4"/>
    <n v="1"/>
    <n v="19000000"/>
    <n v="1583333"/>
    <x v="11"/>
    <x v="18"/>
    <x v="20"/>
    <x v="22"/>
    <s v="64-2565555-"/>
    <s v="yuvit.garciachacur@redsalud.gob.cl"/>
    <x v="12"/>
    <d v="2025-08-20T00:00:00"/>
    <n v="0"/>
    <m/>
    <n v="1"/>
    <n v="1583333"/>
    <d v="2026-06-01T00:00:00"/>
    <x v="0"/>
    <x v="0"/>
  </r>
  <r>
    <s v="SERVICIO DE SALUD OSORNO"/>
    <s v="Administración de Fondos"/>
    <x v="30"/>
    <s v="Proyecto operacional"/>
    <s v="Publicado"/>
    <s v="22.08.007"/>
    <x v="31"/>
    <s v="Se requiere contar con servicio de movilización para el para traslado de funcionarios de COSAM Rahue dentro del territorio entre el 01/01/2026 al 31/12/2026, para la realización de actividades enmarcadas en la atención de salud a usuarios, teniendo presente el territorio a cargo, el cual contempla a la comuna de Osorno y San Juan de la Costa. Por lo anterior, el proceso de compra debe realizarse en el mes de julio 2025. Financiamiento a través de fondo extrapresupuestario SENDA PAI"/>
    <n v="1"/>
    <s v="Movilizacion"/>
    <n v="4"/>
    <n v="1"/>
    <n v="19000000"/>
    <n v="1583333"/>
    <x v="11"/>
    <x v="18"/>
    <x v="20"/>
    <x v="22"/>
    <s v="64-2565555-"/>
    <s v="yuvit.garciachacur@redsalud.gob.cl"/>
    <x v="12"/>
    <d v="2025-08-20T00:00:00"/>
    <n v="0"/>
    <m/>
    <n v="1"/>
    <n v="1583333"/>
    <d v="2026-05-01T00:00:00"/>
    <x v="0"/>
    <x v="0"/>
  </r>
  <r>
    <s v="SERVICIO DE SALUD OSORNO"/>
    <s v="Administración de Fondos"/>
    <x v="30"/>
    <s v="Proyecto operacional"/>
    <s v="Publicado"/>
    <s v="22.08.007"/>
    <x v="31"/>
    <s v="Se requiere contar con servicio de movilización para el para traslado de funcionarios de COSAM Rahue dentro del territorio entre el 01/01/2026 al 31/12/2026, para la realización de actividades enmarcadas en la atención de salud a usuarios, teniendo presente el territorio a cargo, el cual contempla a la comuna de Osorno y San Juan de la Costa. Por lo anterior, el proceso de compra debe realizarse en el mes de julio 2025. Financiamiento a través de fondo extrapresupuestario SENDA PAI"/>
    <n v="1"/>
    <s v="Movilizacion"/>
    <n v="4"/>
    <n v="1"/>
    <n v="19000000"/>
    <n v="1583333"/>
    <x v="11"/>
    <x v="18"/>
    <x v="20"/>
    <x v="22"/>
    <s v="64-2565555-"/>
    <s v="yuvit.garciachacur@redsalud.gob.cl"/>
    <x v="12"/>
    <d v="2025-08-20T00:00:00"/>
    <n v="0"/>
    <m/>
    <n v="1"/>
    <n v="1583333"/>
    <d v="2026-03-01T00:00:00"/>
    <x v="0"/>
    <x v="0"/>
  </r>
  <r>
    <s v="SERVICIO DE SALUD OSORNO"/>
    <s v="Administración de Fondos"/>
    <x v="30"/>
    <s v="Proyecto operacional"/>
    <s v="Publicado"/>
    <s v="22.08.007"/>
    <x v="31"/>
    <s v="Se requiere contar con servicio de movilización para el para traslado de funcionarios de COSAM Rahue dentro del territorio entre el 01/01/2026 al 31/12/2026, para la realización de actividades enmarcadas en la atención de salud a usuarios, teniendo presente el territorio a cargo, el cual contempla a la comuna de Osorno y San Juan de la Costa. Por lo anterior, el proceso de compra debe realizarse en el mes de julio 2025. Financiamiento a través de fondo extrapresupuestario SENDA PAI"/>
    <n v="1"/>
    <s v="Movilizacion"/>
    <n v="4"/>
    <n v="1"/>
    <n v="19000000"/>
    <n v="1583333"/>
    <x v="11"/>
    <x v="18"/>
    <x v="20"/>
    <x v="22"/>
    <s v="64-2565555-"/>
    <s v="yuvit.garciachacur@redsalud.gob.cl"/>
    <x v="12"/>
    <d v="2025-08-20T00:00:00"/>
    <n v="0"/>
    <m/>
    <n v="1"/>
    <n v="1583333"/>
    <d v="2026-07-01T00:00:00"/>
    <x v="0"/>
    <x v="0"/>
  </r>
  <r>
    <s v="SERVICIO DE SALUD OSORNO"/>
    <s v="Administración de Fondos"/>
    <x v="30"/>
    <s v="Proyecto operacional"/>
    <s v="Publicado"/>
    <s v="22.08.007"/>
    <x v="31"/>
    <s v="Se requiere contar con servicio de movilización para el para traslado de funcionarios de COSAM Rahue dentro del territorio entre el 01/01/2026 al 31/12/2026, para la realización de actividades enmarcadas en la atención de salud a usuarios, teniendo presente el territorio a cargo, el cual contempla a la comuna de Osorno y San Juan de la Costa. Por lo anterior, el proceso de compra debe realizarse en el mes de julio 2025. Financiamiento a través de fondo extrapresupuestario SENDA PAI"/>
    <n v="1"/>
    <s v="Movilizacion"/>
    <n v="4"/>
    <n v="1"/>
    <n v="19000000"/>
    <n v="1583333"/>
    <x v="11"/>
    <x v="18"/>
    <x v="20"/>
    <x v="22"/>
    <s v="64-2565555-"/>
    <s v="yuvit.garciachacur@redsalud.gob.cl"/>
    <x v="12"/>
    <d v="2025-08-20T00:00:00"/>
    <n v="0"/>
    <m/>
    <n v="1"/>
    <n v="1583333"/>
    <d v="2026-08-01T00:00:00"/>
    <x v="0"/>
    <x v="0"/>
  </r>
  <r>
    <s v="SERVICIO DE SALUD OSORNO"/>
    <s v="Administración de Fondos"/>
    <x v="30"/>
    <s v="Proyecto operacional"/>
    <s v="Publicado"/>
    <s v="22.08.007"/>
    <x v="31"/>
    <s v="Se requiere contar con servicio de movilización para el para traslado de funcionarios de COSAM Rahue dentro del territorio entre el 01/01/2026 al 31/12/2026, para la realización de actividades enmarcadas en la atención de salud a usuarios, teniendo presente el territorio a cargo, el cual contempla a la comuna de Osorno y San Juan de la Costa. Por lo anterior, el proceso de compra debe realizarse en el mes de julio 2025. Financiamiento a través de fondo extrapresupuestario SENDA PAI"/>
    <n v="1"/>
    <s v="Movilizacion"/>
    <n v="4"/>
    <n v="1"/>
    <n v="19000000"/>
    <n v="1583333"/>
    <x v="11"/>
    <x v="18"/>
    <x v="20"/>
    <x v="22"/>
    <s v="64-2565555-"/>
    <s v="yuvit.garciachacur@redsalud.gob.cl"/>
    <x v="12"/>
    <d v="2025-08-20T00:00:00"/>
    <n v="0"/>
    <m/>
    <n v="1"/>
    <n v="1583333"/>
    <d v="2026-09-01T00:00:00"/>
    <x v="0"/>
    <x v="0"/>
  </r>
  <r>
    <s v="SERVICIO DE SALUD OSORNO"/>
    <s v="Bienes y Servicios"/>
    <x v="31"/>
    <s v="Proyecto operacional"/>
    <s v="Publicado"/>
    <s v="22.08.007"/>
    <x v="32"/>
    <s v="El objetivo es mejorar la capacidad de respuesta y la calidad de la atención que se brinda a la población. Con un vehículo adecuado, permitirá realizar visitas domiciliarias, trasladar insumos y personal, traslado de muestras de exámenes al hospital base San José de Osorno, y facilitar la coordinación con otras instituciones."/>
    <n v="1"/>
    <s v="Movilizacion"/>
    <n v="4"/>
    <n v="1"/>
    <n v="17500000"/>
    <n v="1458333"/>
    <x v="11"/>
    <x v="18"/>
    <x v="21"/>
    <x v="24"/>
    <s v="64-2565610-"/>
    <s v="pedro.fritz@redsalud.gob.cl"/>
    <x v="7"/>
    <d v="2025-08-20T00:00:00"/>
    <n v="0"/>
    <m/>
    <n v="1"/>
    <n v="1458333"/>
    <d v="2026-11-01T00:00:00"/>
    <x v="0"/>
    <x v="0"/>
  </r>
  <r>
    <s v="SERVICIO DE SALUD OSORNO"/>
    <s v="Bienes y Servicios"/>
    <x v="31"/>
    <s v="Proyecto operacional"/>
    <s v="Publicado"/>
    <s v="22.08.007"/>
    <x v="32"/>
    <s v="El objetivo es mejorar la capacidad de respuesta y la calidad de la atención que se brinda a la población. Con un vehículo adecuado, permitirá realizar visitas domiciliarias, trasladar insumos y personal, traslado de muestras de exámenes al hospital base San José de Osorno, y facilitar la coordinación con otras instituciones."/>
    <n v="1"/>
    <s v="Movilizacion"/>
    <n v="4"/>
    <n v="1"/>
    <n v="17500000"/>
    <n v="1458333"/>
    <x v="11"/>
    <x v="18"/>
    <x v="21"/>
    <x v="24"/>
    <s v="64-2565610-"/>
    <s v="pedro.fritz@redsalud.gob.cl"/>
    <x v="7"/>
    <d v="2025-08-20T00:00:00"/>
    <n v="0"/>
    <m/>
    <n v="1"/>
    <n v="1458333"/>
    <d v="2026-12-01T00:00:00"/>
    <x v="0"/>
    <x v="0"/>
  </r>
  <r>
    <s v="SERVICIO DE SALUD OSORNO"/>
    <s v="Bienes y Servicios"/>
    <x v="31"/>
    <s v="Proyecto operacional"/>
    <s v="Publicado"/>
    <s v="22.08.007"/>
    <x v="32"/>
    <s v="El objetivo es mejorar la capacidad de respuesta y la calidad de la atención que se brinda a la población. Con un vehículo adecuado, permitirá realizar visitas domiciliarias, trasladar insumos y personal, traslado de muestras de exámenes al hospital base San José de Osorno, y facilitar la coordinación con otras instituciones."/>
    <n v="1"/>
    <s v="Movilizacion"/>
    <n v="4"/>
    <n v="1"/>
    <n v="17500000"/>
    <n v="1458333"/>
    <x v="11"/>
    <x v="18"/>
    <x v="21"/>
    <x v="24"/>
    <s v="64-2565610-"/>
    <s v="pedro.fritz@redsalud.gob.cl"/>
    <x v="7"/>
    <d v="2025-08-20T00:00:00"/>
    <n v="0"/>
    <m/>
    <n v="1"/>
    <n v="1458333"/>
    <d v="2026-04-01T00:00:00"/>
    <x v="0"/>
    <x v="0"/>
  </r>
  <r>
    <s v="SERVICIO DE SALUD OSORNO"/>
    <s v="Bienes y Servicios"/>
    <x v="31"/>
    <s v="Proyecto operacional"/>
    <s v="Publicado"/>
    <s v="22.08.007"/>
    <x v="32"/>
    <s v="El objetivo es mejorar la capacidad de respuesta y la calidad de la atención que se brinda a la población. Con un vehículo adecuado, permitirá realizar visitas domiciliarias, trasladar insumos y personal, traslado de muestras de exámenes al hospital base San José de Osorno, y facilitar la coordinación con otras instituciones."/>
    <n v="1"/>
    <s v="Movilizacion"/>
    <n v="4"/>
    <n v="1"/>
    <n v="17500000"/>
    <n v="1458333"/>
    <x v="11"/>
    <x v="18"/>
    <x v="21"/>
    <x v="24"/>
    <s v="64-2565610-"/>
    <s v="pedro.fritz@redsalud.gob.cl"/>
    <x v="7"/>
    <d v="2025-08-20T00:00:00"/>
    <n v="0"/>
    <m/>
    <n v="1"/>
    <n v="1458333"/>
    <d v="2026-07-01T00:00:00"/>
    <x v="0"/>
    <x v="0"/>
  </r>
  <r>
    <s v="SERVICIO DE SALUD OSORNO"/>
    <s v="Bienes y Servicios"/>
    <x v="31"/>
    <s v="Proyecto operacional"/>
    <s v="Publicado"/>
    <s v="22.08.007"/>
    <x v="32"/>
    <s v="El objetivo es mejorar la capacidad de respuesta y la calidad de la atención que se brinda a la población. Con un vehículo adecuado, permitirá realizar visitas domiciliarias, trasladar insumos y personal, traslado de muestras de exámenes al hospital base San José de Osorno, y facilitar la coordinación con otras instituciones."/>
    <n v="1"/>
    <s v="Movilizacion"/>
    <n v="4"/>
    <n v="1"/>
    <n v="17500000"/>
    <n v="1458333"/>
    <x v="11"/>
    <x v="18"/>
    <x v="21"/>
    <x v="24"/>
    <s v="64-2565610-"/>
    <s v="pedro.fritz@redsalud.gob.cl"/>
    <x v="7"/>
    <d v="2025-08-20T00:00:00"/>
    <n v="0"/>
    <m/>
    <n v="1"/>
    <n v="1458333"/>
    <d v="2026-06-01T00:00:00"/>
    <x v="0"/>
    <x v="0"/>
  </r>
  <r>
    <s v="SERVICIO DE SALUD OSORNO"/>
    <s v="Bienes y Servicios"/>
    <x v="31"/>
    <s v="Proyecto operacional"/>
    <s v="Publicado"/>
    <s v="22.08.007"/>
    <x v="32"/>
    <s v="El objetivo es mejorar la capacidad de respuesta y la calidad de la atención que se brinda a la población. Con un vehículo adecuado, permitirá realizar visitas domiciliarias, trasladar insumos y personal, traslado de muestras de exámenes al hospital base San José de Osorno, y facilitar la coordinación con otras instituciones."/>
    <n v="1"/>
    <s v="Movilizacion"/>
    <n v="4"/>
    <n v="1"/>
    <n v="17500000"/>
    <n v="1458333"/>
    <x v="11"/>
    <x v="18"/>
    <x v="21"/>
    <x v="24"/>
    <s v="64-2565610-"/>
    <s v="pedro.fritz@redsalud.gob.cl"/>
    <x v="7"/>
    <d v="2025-08-20T00:00:00"/>
    <n v="0"/>
    <m/>
    <n v="1"/>
    <n v="1458333"/>
    <d v="2026-02-01T00:00:00"/>
    <x v="0"/>
    <x v="0"/>
  </r>
  <r>
    <s v="SERVICIO DE SALUD OSORNO"/>
    <s v="Bienes y Servicios"/>
    <x v="31"/>
    <s v="Proyecto operacional"/>
    <s v="Publicado"/>
    <s v="22.08.007"/>
    <x v="32"/>
    <s v="El objetivo es mejorar la capacidad de respuesta y la calidad de la atención que se brinda a la población. Con un vehículo adecuado, permitirá realizar visitas domiciliarias, trasladar insumos y personal, traslado de muestras de exámenes al hospital base San José de Osorno, y facilitar la coordinación con otras instituciones."/>
    <n v="1"/>
    <s v="Movilizacion"/>
    <n v="4"/>
    <n v="1"/>
    <n v="17500000"/>
    <n v="1458333"/>
    <x v="11"/>
    <x v="18"/>
    <x v="21"/>
    <x v="24"/>
    <s v="64-2565610-"/>
    <s v="pedro.fritz@redsalud.gob.cl"/>
    <x v="7"/>
    <d v="2025-08-20T00:00:00"/>
    <n v="0"/>
    <m/>
    <n v="1"/>
    <n v="1458333"/>
    <d v="2026-10-01T00:00:00"/>
    <x v="0"/>
    <x v="0"/>
  </r>
  <r>
    <s v="SERVICIO DE SALUD OSORNO"/>
    <s v="Bienes y Servicios"/>
    <x v="31"/>
    <s v="Proyecto operacional"/>
    <s v="Publicado"/>
    <s v="22.08.007"/>
    <x v="32"/>
    <s v="El objetivo es mejorar la capacidad de respuesta y la calidad de la atención que se brinda a la población. Con un vehículo adecuado, permitirá realizar visitas domiciliarias, trasladar insumos y personal, traslado de muestras de exámenes al hospital base San José de Osorno, y facilitar la coordinación con otras instituciones."/>
    <n v="1"/>
    <s v="Movilizacion"/>
    <n v="4"/>
    <n v="1"/>
    <n v="17500000"/>
    <n v="1458333"/>
    <x v="11"/>
    <x v="18"/>
    <x v="21"/>
    <x v="24"/>
    <s v="64-2565610-"/>
    <s v="pedro.fritz@redsalud.gob.cl"/>
    <x v="7"/>
    <d v="2025-08-20T00:00:00"/>
    <n v="0"/>
    <m/>
    <n v="1"/>
    <n v="1458333"/>
    <d v="2026-05-01T00:00:00"/>
    <x v="0"/>
    <x v="0"/>
  </r>
  <r>
    <s v="SERVICIO DE SALUD OSORNO"/>
    <s v="Bienes y Servicios"/>
    <x v="31"/>
    <s v="Proyecto operacional"/>
    <s v="Publicado"/>
    <s v="22.08.007"/>
    <x v="32"/>
    <s v="El objetivo es mejorar la capacidad de respuesta y la calidad de la atención que se brinda a la población. Con un vehículo adecuado, permitirá realizar visitas domiciliarias, trasladar insumos y personal, traslado de muestras de exámenes al hospital base San José de Osorno, y facilitar la coordinación con otras instituciones."/>
    <n v="1"/>
    <s v="Movilizacion"/>
    <n v="4"/>
    <n v="1"/>
    <n v="17500000"/>
    <n v="1458333"/>
    <x v="11"/>
    <x v="18"/>
    <x v="21"/>
    <x v="24"/>
    <s v="64-2565610-"/>
    <s v="pedro.fritz@redsalud.gob.cl"/>
    <x v="7"/>
    <d v="2025-08-20T00:00:00"/>
    <n v="0"/>
    <m/>
    <n v="1"/>
    <n v="1458333"/>
    <d v="2026-03-01T00:00:00"/>
    <x v="0"/>
    <x v="0"/>
  </r>
  <r>
    <s v="SERVICIO DE SALUD OSORNO"/>
    <s v="Bienes y Servicios"/>
    <x v="31"/>
    <s v="Proyecto operacional"/>
    <s v="Publicado"/>
    <s v="22.08.007"/>
    <x v="32"/>
    <s v="El objetivo es mejorar la capacidad de respuesta y la calidad de la atención que se brinda a la población. Con un vehículo adecuado, permitirá realizar visitas domiciliarias, trasladar insumos y personal, traslado de muestras de exámenes al hospital base San José de Osorno, y facilitar la coordinación con otras instituciones."/>
    <n v="1"/>
    <s v="Movilizacion"/>
    <n v="4"/>
    <n v="1"/>
    <n v="17500000"/>
    <n v="1458333"/>
    <x v="11"/>
    <x v="18"/>
    <x v="21"/>
    <x v="24"/>
    <s v="64-2565610-"/>
    <s v="pedro.fritz@redsalud.gob.cl"/>
    <x v="7"/>
    <d v="2025-08-20T00:00:00"/>
    <n v="0"/>
    <m/>
    <n v="1"/>
    <n v="1458333"/>
    <d v="2026-09-01T00:00:00"/>
    <x v="0"/>
    <x v="0"/>
  </r>
  <r>
    <s v="SERVICIO DE SALUD OSORNO"/>
    <s v="Bienes y Servicios"/>
    <x v="31"/>
    <s v="Proyecto operacional"/>
    <s v="Publicado"/>
    <s v="22.08.007"/>
    <x v="32"/>
    <s v="El objetivo es mejorar la capacidad de respuesta y la calidad de la atención que se brinda a la población. Con un vehículo adecuado, permitirá realizar visitas domiciliarias, trasladar insumos y personal, traslado de muestras de exámenes al hospital base San José de Osorno, y facilitar la coordinación con otras instituciones."/>
    <n v="1"/>
    <s v="Movilizacion"/>
    <n v="4"/>
    <n v="1"/>
    <n v="17500000"/>
    <n v="1458333"/>
    <x v="11"/>
    <x v="18"/>
    <x v="21"/>
    <x v="24"/>
    <s v="64-2565610-"/>
    <s v="pedro.fritz@redsalud.gob.cl"/>
    <x v="7"/>
    <d v="2025-08-20T00:00:00"/>
    <n v="0"/>
    <m/>
    <n v="1"/>
    <n v="1458333"/>
    <d v="2026-08-01T00:00:00"/>
    <x v="0"/>
    <x v="0"/>
  </r>
  <r>
    <s v="SERVICIO DE SALUD OSORNO"/>
    <s v="Bienes y Servicios"/>
    <x v="32"/>
    <s v="Proyecto operacional"/>
    <s v="Publicado"/>
    <s v="22.08.007"/>
    <x v="33"/>
    <s v="Se requiere contar con servicio de movilización para traslado de funcionarios de COSAM Rahue dentro del territorio de la población a cargo para la realización de actividades enmarcadas en la atención de salud a usuarios, el cual incorpora la comuna de Osorno y San Juan de la Costa, desde el 01-01-2026 al 31-12-2026. Por lo anterior, la gestión de compra debe realizarse durante el mes de julio 2025. Fuente de financiamiento SSO."/>
    <n v="1"/>
    <s v="Movilizacion"/>
    <n v="4"/>
    <n v="1"/>
    <n v="18000000"/>
    <n v="1500000"/>
    <x v="11"/>
    <x v="18"/>
    <x v="20"/>
    <x v="22"/>
    <s v="64-2565555-"/>
    <s v="yuvit.garciachacur@redsalud.gob.cl"/>
    <x v="7"/>
    <d v="2025-08-20T00:00:00"/>
    <n v="0"/>
    <m/>
    <n v="1"/>
    <n v="1500000"/>
    <d v="2026-03-01T00:00:00"/>
    <x v="0"/>
    <x v="0"/>
  </r>
  <r>
    <s v="SERVICIO DE SALUD OSORNO"/>
    <s v="Bienes y Servicios"/>
    <x v="32"/>
    <s v="Proyecto operacional"/>
    <s v="Publicado"/>
    <s v="22.08.007"/>
    <x v="33"/>
    <s v="Se requiere contar con servicio de movilización para traslado de funcionarios de COSAM Rahue dentro del territorio de la población a cargo para la realización de actividades enmarcadas en la atención de salud a usuarios, el cual incorpora la comuna de Osorno y San Juan de la Costa, desde el 01-01-2026 al 31-12-2026. Por lo anterior, la gestión de compra debe realizarse durante el mes de julio 2025. Fuente de financiamiento SSO."/>
    <n v="1"/>
    <s v="Movilizacion"/>
    <n v="4"/>
    <n v="1"/>
    <n v="18000000"/>
    <n v="1500000"/>
    <x v="11"/>
    <x v="18"/>
    <x v="20"/>
    <x v="22"/>
    <s v="64-2565555-"/>
    <s v="yuvit.garciachacur@redsalud.gob.cl"/>
    <x v="7"/>
    <d v="2025-08-20T00:00:00"/>
    <n v="0"/>
    <m/>
    <n v="1"/>
    <n v="1500000"/>
    <d v="2026-07-01T00:00:00"/>
    <x v="0"/>
    <x v="0"/>
  </r>
  <r>
    <s v="SERVICIO DE SALUD OSORNO"/>
    <s v="Bienes y Servicios"/>
    <x v="32"/>
    <s v="Proyecto operacional"/>
    <s v="Publicado"/>
    <s v="22.08.007"/>
    <x v="33"/>
    <s v="Se requiere contar con servicio de movilización para traslado de funcionarios de COSAM Rahue dentro del territorio de la población a cargo para la realización de actividades enmarcadas en la atención de salud a usuarios, el cual incorpora la comuna de Osorno y San Juan de la Costa, desde el 01-01-2026 al 31-12-2026. Por lo anterior, la gestión de compra debe realizarse durante el mes de julio 2025. Fuente de financiamiento SSO."/>
    <n v="1"/>
    <s v="Movilizacion"/>
    <n v="4"/>
    <n v="1"/>
    <n v="18000000"/>
    <n v="1500000"/>
    <x v="11"/>
    <x v="18"/>
    <x v="20"/>
    <x v="22"/>
    <s v="64-2565555-"/>
    <s v="yuvit.garciachacur@redsalud.gob.cl"/>
    <x v="7"/>
    <d v="2025-08-20T00:00:00"/>
    <n v="0"/>
    <m/>
    <n v="1"/>
    <n v="1500000"/>
    <d v="2026-05-01T00:00:00"/>
    <x v="0"/>
    <x v="0"/>
  </r>
  <r>
    <s v="SERVICIO DE SALUD OSORNO"/>
    <s v="Bienes y Servicios"/>
    <x v="32"/>
    <s v="Proyecto operacional"/>
    <s v="Publicado"/>
    <s v="22.08.007"/>
    <x v="33"/>
    <s v="Se requiere contar con servicio de movilización para traslado de funcionarios de COSAM Rahue dentro del territorio de la población a cargo para la realización de actividades enmarcadas en la atención de salud a usuarios, el cual incorpora la comuna de Osorno y San Juan de la Costa, desde el 01-01-2026 al 31-12-2026. Por lo anterior, la gestión de compra debe realizarse durante el mes de julio 2025. Fuente de financiamiento SSO."/>
    <n v="1"/>
    <s v="Movilizacion"/>
    <n v="4"/>
    <n v="1"/>
    <n v="18000000"/>
    <n v="1500000"/>
    <x v="11"/>
    <x v="18"/>
    <x v="20"/>
    <x v="22"/>
    <s v="64-2565555-"/>
    <s v="yuvit.garciachacur@redsalud.gob.cl"/>
    <x v="7"/>
    <d v="2025-08-20T00:00:00"/>
    <n v="0"/>
    <m/>
    <n v="1"/>
    <n v="1500000"/>
    <d v="2026-11-01T00:00:00"/>
    <x v="0"/>
    <x v="0"/>
  </r>
  <r>
    <s v="SERVICIO DE SALUD OSORNO"/>
    <s v="Bienes y Servicios"/>
    <x v="32"/>
    <s v="Proyecto operacional"/>
    <s v="Publicado"/>
    <s v="22.08.007"/>
    <x v="33"/>
    <s v="Se requiere contar con servicio de movilización para traslado de funcionarios de COSAM Rahue dentro del territorio de la población a cargo para la realización de actividades enmarcadas en la atención de salud a usuarios, el cual incorpora la comuna de Osorno y San Juan de la Costa, desde el 01-01-2026 al 31-12-2026. Por lo anterior, la gestión de compra debe realizarse durante el mes de julio 2025. Fuente de financiamiento SSO."/>
    <n v="1"/>
    <s v="Movilizacion"/>
    <n v="4"/>
    <n v="1"/>
    <n v="18000000"/>
    <n v="1500000"/>
    <x v="11"/>
    <x v="18"/>
    <x v="20"/>
    <x v="22"/>
    <s v="64-2565555-"/>
    <s v="yuvit.garciachacur@redsalud.gob.cl"/>
    <x v="7"/>
    <d v="2025-08-20T00:00:00"/>
    <n v="0"/>
    <m/>
    <n v="1"/>
    <n v="1500000"/>
    <d v="2026-08-01T00:00:00"/>
    <x v="0"/>
    <x v="0"/>
  </r>
  <r>
    <s v="SERVICIO DE SALUD OSORNO"/>
    <s v="Bienes y Servicios"/>
    <x v="32"/>
    <s v="Proyecto operacional"/>
    <s v="Publicado"/>
    <s v="22.08.007"/>
    <x v="33"/>
    <s v="Se requiere contar con servicio de movilización para traslado de funcionarios de COSAM Rahue dentro del territorio de la población a cargo para la realización de actividades enmarcadas en la atención de salud a usuarios, el cual incorpora la comuna de Osorno y San Juan de la Costa, desde el 01-01-2026 al 31-12-2026. Por lo anterior, la gestión de compra debe realizarse durante el mes de julio 2025. Fuente de financiamiento SSO."/>
    <n v="1"/>
    <s v="Movilizacion"/>
    <n v="4"/>
    <n v="1"/>
    <n v="18000000"/>
    <n v="1500000"/>
    <x v="11"/>
    <x v="18"/>
    <x v="20"/>
    <x v="22"/>
    <s v="64-2565555-"/>
    <s v="yuvit.garciachacur@redsalud.gob.cl"/>
    <x v="7"/>
    <d v="2025-08-20T00:00:00"/>
    <n v="0"/>
    <m/>
    <n v="1"/>
    <n v="1500000"/>
    <d v="2026-06-01T00:00:00"/>
    <x v="0"/>
    <x v="0"/>
  </r>
  <r>
    <s v="SERVICIO DE SALUD OSORNO"/>
    <s v="Bienes y Servicios"/>
    <x v="32"/>
    <s v="Proyecto operacional"/>
    <s v="Publicado"/>
    <s v="22.08.007"/>
    <x v="33"/>
    <s v="Se requiere contar con servicio de movilización para traslado de funcionarios de COSAM Rahue dentro del territorio de la población a cargo para la realización de actividades enmarcadas en la atención de salud a usuarios, el cual incorpora la comuna de Osorno y San Juan de la Costa, desde el 01-01-2026 al 31-12-2026. Por lo anterior, la gestión de compra debe realizarse durante el mes de julio 2025. Fuente de financiamiento SSO."/>
    <n v="1"/>
    <s v="Movilizacion"/>
    <n v="4"/>
    <n v="1"/>
    <n v="18000000"/>
    <n v="1500000"/>
    <x v="11"/>
    <x v="18"/>
    <x v="20"/>
    <x v="22"/>
    <s v="64-2565555-"/>
    <s v="yuvit.garciachacur@redsalud.gob.cl"/>
    <x v="7"/>
    <d v="2025-08-20T00:00:00"/>
    <n v="0"/>
    <m/>
    <n v="1"/>
    <n v="1500000"/>
    <d v="2026-02-01T00:00:00"/>
    <x v="0"/>
    <x v="0"/>
  </r>
  <r>
    <s v="SERVICIO DE SALUD OSORNO"/>
    <s v="Bienes y Servicios"/>
    <x v="32"/>
    <s v="Proyecto operacional"/>
    <s v="Publicado"/>
    <s v="22.08.007"/>
    <x v="33"/>
    <s v="Se requiere contar con servicio de movilización para traslado de funcionarios de COSAM Rahue dentro del territorio de la población a cargo para la realización de actividades enmarcadas en la atención de salud a usuarios, el cual incorpora la comuna de Osorno y San Juan de la Costa, desde el 01-01-2026 al 31-12-2026. Por lo anterior, la gestión de compra debe realizarse durante el mes de julio 2025. Fuente de financiamiento SSO."/>
    <n v="1"/>
    <s v="Movilizacion"/>
    <n v="4"/>
    <n v="1"/>
    <n v="18000000"/>
    <n v="1500000"/>
    <x v="11"/>
    <x v="18"/>
    <x v="20"/>
    <x v="22"/>
    <s v="64-2565555-"/>
    <s v="yuvit.garciachacur@redsalud.gob.cl"/>
    <x v="7"/>
    <d v="2025-08-20T00:00:00"/>
    <n v="0"/>
    <m/>
    <n v="1"/>
    <n v="1500000"/>
    <d v="2026-04-01T00:00:00"/>
    <x v="0"/>
    <x v="0"/>
  </r>
  <r>
    <s v="SERVICIO DE SALUD OSORNO"/>
    <s v="Bienes y Servicios"/>
    <x v="32"/>
    <s v="Proyecto operacional"/>
    <s v="Publicado"/>
    <s v="22.08.007"/>
    <x v="33"/>
    <s v="Se requiere contar con servicio de movilización para traslado de funcionarios de COSAM Rahue dentro del territorio de la población a cargo para la realización de actividades enmarcadas en la atención de salud a usuarios, el cual incorpora la comuna de Osorno y San Juan de la Costa, desde el 01-01-2026 al 31-12-2026. Por lo anterior, la gestión de compra debe realizarse durante el mes de julio 2025. Fuente de financiamiento SSO."/>
    <n v="1"/>
    <s v="Movilizacion"/>
    <n v="4"/>
    <n v="1"/>
    <n v="18000000"/>
    <n v="1500000"/>
    <x v="11"/>
    <x v="18"/>
    <x v="20"/>
    <x v="22"/>
    <s v="64-2565555-"/>
    <s v="yuvit.garciachacur@redsalud.gob.cl"/>
    <x v="7"/>
    <d v="2025-08-20T00:00:00"/>
    <n v="0"/>
    <m/>
    <n v="1"/>
    <n v="1500000"/>
    <d v="2026-12-01T00:00:00"/>
    <x v="0"/>
    <x v="0"/>
  </r>
  <r>
    <s v="SERVICIO DE SALUD OSORNO"/>
    <s v="Bienes y Servicios"/>
    <x v="32"/>
    <s v="Proyecto operacional"/>
    <s v="Publicado"/>
    <s v="22.08.007"/>
    <x v="33"/>
    <s v="Se requiere contar con servicio de movilización para traslado de funcionarios de COSAM Rahue dentro del territorio de la población a cargo para la realización de actividades enmarcadas en la atención de salud a usuarios, el cual incorpora la comuna de Osorno y San Juan de la Costa, desde el 01-01-2026 al 31-12-2026. Por lo anterior, la gestión de compra debe realizarse durante el mes de julio 2025. Fuente de financiamiento SSO."/>
    <n v="1"/>
    <s v="Movilizacion"/>
    <n v="4"/>
    <n v="1"/>
    <n v="18000000"/>
    <n v="1500000"/>
    <x v="11"/>
    <x v="18"/>
    <x v="20"/>
    <x v="22"/>
    <s v="64-2565555-"/>
    <s v="yuvit.garciachacur@redsalud.gob.cl"/>
    <x v="7"/>
    <d v="2025-08-20T00:00:00"/>
    <n v="0"/>
    <m/>
    <n v="1"/>
    <n v="1500000"/>
    <d v="2026-09-01T00:00:00"/>
    <x v="0"/>
    <x v="0"/>
  </r>
  <r>
    <s v="SERVICIO DE SALUD OSORNO"/>
    <s v="Bienes y Servicios"/>
    <x v="32"/>
    <s v="Proyecto operacional"/>
    <s v="Publicado"/>
    <s v="22.08.007"/>
    <x v="33"/>
    <s v="Se requiere contar con servicio de movilización para traslado de funcionarios de COSAM Rahue dentro del territorio de la población a cargo para la realización de actividades enmarcadas en la atención de salud a usuarios, el cual incorpora la comuna de Osorno y San Juan de la Costa, desde el 01-01-2026 al 31-12-2026. Por lo anterior, la gestión de compra debe realizarse durante el mes de julio 2025. Fuente de financiamiento SSO."/>
    <n v="1"/>
    <s v="Movilizacion"/>
    <n v="4"/>
    <n v="1"/>
    <n v="18000000"/>
    <n v="1500000"/>
    <x v="11"/>
    <x v="18"/>
    <x v="20"/>
    <x v="22"/>
    <s v="64-2565555-"/>
    <s v="yuvit.garciachacur@redsalud.gob.cl"/>
    <x v="7"/>
    <d v="2025-08-20T00:00:00"/>
    <n v="0"/>
    <m/>
    <n v="1"/>
    <n v="1500000"/>
    <d v="2026-10-01T00:00:00"/>
    <x v="0"/>
    <x v="0"/>
  </r>
  <r>
    <s v="SERVICIO DE SALUD OSORNO"/>
    <s v="Bienes y Servicios"/>
    <x v="33"/>
    <s v="Proyecto operacional"/>
    <s v="Publicado"/>
    <s v="22.08.007"/>
    <x v="34"/>
    <s v="ejecución de la compra mes julio año 2025, duración del convenio corresponde a los meses de enero a diciembre 2026"/>
    <n v="1"/>
    <s v="Movilizacion"/>
    <n v="4"/>
    <n v="1"/>
    <n v="19000000"/>
    <n v="1583333"/>
    <x v="11"/>
    <x v="18"/>
    <x v="22"/>
    <x v="25"/>
    <s v="64-2567766-"/>
    <s v="camila.roa@redsalud.gob.cl"/>
    <x v="7"/>
    <d v="2025-08-20T00:00:00"/>
    <n v="0"/>
    <m/>
    <n v="1"/>
    <n v="1583333"/>
    <d v="2026-05-01T00:00:00"/>
    <x v="0"/>
    <x v="0"/>
  </r>
  <r>
    <s v="SERVICIO DE SALUD OSORNO"/>
    <s v="Bienes y Servicios"/>
    <x v="33"/>
    <s v="Proyecto operacional"/>
    <s v="Publicado"/>
    <s v="22.08.007"/>
    <x v="34"/>
    <s v="ejecución de la compra mes julio año 2025, duración del convenio corresponde a los meses de enero a diciembre 2026"/>
    <n v="1"/>
    <s v="Movilizacion"/>
    <n v="4"/>
    <n v="1"/>
    <n v="19000000"/>
    <n v="1583333"/>
    <x v="11"/>
    <x v="18"/>
    <x v="22"/>
    <x v="25"/>
    <s v="64-2567766-"/>
    <s v="camila.roa@redsalud.gob.cl"/>
    <x v="7"/>
    <d v="2025-08-20T00:00:00"/>
    <n v="0"/>
    <m/>
    <n v="1"/>
    <n v="1583333"/>
    <d v="2026-02-01T00:00:00"/>
    <x v="0"/>
    <x v="0"/>
  </r>
  <r>
    <s v="SERVICIO DE SALUD OSORNO"/>
    <s v="Bienes y Servicios"/>
    <x v="33"/>
    <s v="Proyecto operacional"/>
    <s v="Publicado"/>
    <s v="22.08.007"/>
    <x v="34"/>
    <s v="ejecución de la compra mes julio año 2025, duración del convenio corresponde a los meses de enero a diciembre 2026"/>
    <n v="1"/>
    <s v="Movilizacion"/>
    <n v="4"/>
    <n v="1"/>
    <n v="19000000"/>
    <n v="1583333"/>
    <x v="11"/>
    <x v="18"/>
    <x v="22"/>
    <x v="25"/>
    <s v="64-2567766-"/>
    <s v="camila.roa@redsalud.gob.cl"/>
    <x v="7"/>
    <d v="2025-08-20T00:00:00"/>
    <n v="0"/>
    <m/>
    <n v="1"/>
    <n v="1583333"/>
    <d v="2026-12-01T00:00:00"/>
    <x v="0"/>
    <x v="0"/>
  </r>
  <r>
    <s v="SERVICIO DE SALUD OSORNO"/>
    <s v="Bienes y Servicios"/>
    <x v="33"/>
    <s v="Proyecto operacional"/>
    <s v="Publicado"/>
    <s v="22.08.007"/>
    <x v="34"/>
    <s v="ejecución de la compra mes julio año 2025, duración del convenio corresponde a los meses de enero a diciembre 2026"/>
    <n v="1"/>
    <s v="Movilizacion"/>
    <n v="4"/>
    <n v="1"/>
    <n v="19000000"/>
    <n v="1583333"/>
    <x v="11"/>
    <x v="18"/>
    <x v="22"/>
    <x v="25"/>
    <s v="64-2567766-"/>
    <s v="camila.roa@redsalud.gob.cl"/>
    <x v="7"/>
    <d v="2025-08-20T00:00:00"/>
    <n v="0"/>
    <m/>
    <n v="1"/>
    <n v="1583333"/>
    <d v="2026-04-01T00:00:00"/>
    <x v="0"/>
    <x v="0"/>
  </r>
  <r>
    <s v="SERVICIO DE SALUD OSORNO"/>
    <s v="Bienes y Servicios"/>
    <x v="33"/>
    <s v="Proyecto operacional"/>
    <s v="Publicado"/>
    <s v="22.08.007"/>
    <x v="34"/>
    <s v="ejecución de la compra mes julio año 2025, duración del convenio corresponde a los meses de enero a diciembre 2026"/>
    <n v="1"/>
    <s v="Movilizacion"/>
    <n v="4"/>
    <n v="1"/>
    <n v="19000000"/>
    <n v="1583333"/>
    <x v="11"/>
    <x v="18"/>
    <x v="22"/>
    <x v="25"/>
    <s v="64-2567766-"/>
    <s v="camila.roa@redsalud.gob.cl"/>
    <x v="7"/>
    <d v="2025-08-20T00:00:00"/>
    <n v="0"/>
    <m/>
    <n v="1"/>
    <n v="1583333"/>
    <d v="2026-08-01T00:00:00"/>
    <x v="0"/>
    <x v="0"/>
  </r>
  <r>
    <s v="SERVICIO DE SALUD OSORNO"/>
    <s v="Bienes y Servicios"/>
    <x v="33"/>
    <s v="Proyecto operacional"/>
    <s v="Publicado"/>
    <s v="22.08.007"/>
    <x v="34"/>
    <s v="ejecución de la compra mes julio año 2025, duración del convenio corresponde a los meses de enero a diciembre 2026"/>
    <n v="1"/>
    <s v="Movilizacion"/>
    <n v="4"/>
    <n v="1"/>
    <n v="19000000"/>
    <n v="1583333"/>
    <x v="11"/>
    <x v="18"/>
    <x v="22"/>
    <x v="25"/>
    <s v="64-2567766-"/>
    <s v="camila.roa@redsalud.gob.cl"/>
    <x v="7"/>
    <d v="2025-08-20T00:00:00"/>
    <n v="0"/>
    <m/>
    <n v="1"/>
    <n v="1583333"/>
    <d v="2026-10-01T00:00:00"/>
    <x v="0"/>
    <x v="0"/>
  </r>
  <r>
    <s v="SERVICIO DE SALUD OSORNO"/>
    <s v="Bienes y Servicios"/>
    <x v="33"/>
    <s v="Proyecto operacional"/>
    <s v="Publicado"/>
    <s v="22.08.007"/>
    <x v="34"/>
    <s v="ejecución de la compra mes julio año 2025, duración del convenio corresponde a los meses de enero a diciembre 2026"/>
    <n v="1"/>
    <s v="Movilizacion"/>
    <n v="4"/>
    <n v="1"/>
    <n v="19000000"/>
    <n v="1583333"/>
    <x v="11"/>
    <x v="18"/>
    <x v="22"/>
    <x v="25"/>
    <s v="64-2567766-"/>
    <s v="camila.roa@redsalud.gob.cl"/>
    <x v="7"/>
    <d v="2025-08-20T00:00:00"/>
    <n v="0"/>
    <m/>
    <n v="1"/>
    <n v="1583333"/>
    <d v="2026-06-01T00:00:00"/>
    <x v="0"/>
    <x v="0"/>
  </r>
  <r>
    <s v="SERVICIO DE SALUD OSORNO"/>
    <s v="Bienes y Servicios"/>
    <x v="33"/>
    <s v="Proyecto operacional"/>
    <s v="Publicado"/>
    <s v="22.08.007"/>
    <x v="34"/>
    <s v="ejecución de la compra mes julio año 2025, duración del convenio corresponde a los meses de enero a diciembre 2026"/>
    <n v="1"/>
    <s v="Movilizacion"/>
    <n v="4"/>
    <n v="1"/>
    <n v="19000000"/>
    <n v="1583333"/>
    <x v="11"/>
    <x v="18"/>
    <x v="22"/>
    <x v="25"/>
    <s v="64-2567766-"/>
    <s v="camila.roa@redsalud.gob.cl"/>
    <x v="7"/>
    <d v="2025-08-20T00:00:00"/>
    <n v="0"/>
    <m/>
    <n v="1"/>
    <n v="1583333"/>
    <d v="2026-11-01T00:00:00"/>
    <x v="0"/>
    <x v="0"/>
  </r>
  <r>
    <s v="SERVICIO DE SALUD OSORNO"/>
    <s v="Bienes y Servicios"/>
    <x v="33"/>
    <s v="Proyecto operacional"/>
    <s v="Publicado"/>
    <s v="22.08.007"/>
    <x v="34"/>
    <s v="ejecución de la compra mes julio año 2025, duración del convenio corresponde a los meses de enero a diciembre 2026"/>
    <n v="1"/>
    <s v="Movilizacion"/>
    <n v="4"/>
    <n v="1"/>
    <n v="19000000"/>
    <n v="1583333"/>
    <x v="11"/>
    <x v="18"/>
    <x v="22"/>
    <x v="25"/>
    <s v="64-2567766-"/>
    <s v="camila.roa@redsalud.gob.cl"/>
    <x v="7"/>
    <d v="2025-08-20T00:00:00"/>
    <n v="0"/>
    <m/>
    <n v="1"/>
    <n v="1583333"/>
    <d v="2026-03-01T00:00:00"/>
    <x v="0"/>
    <x v="0"/>
  </r>
  <r>
    <s v="SERVICIO DE SALUD OSORNO"/>
    <s v="Bienes y Servicios"/>
    <x v="33"/>
    <s v="Proyecto operacional"/>
    <s v="Publicado"/>
    <s v="22.08.007"/>
    <x v="34"/>
    <s v="ejecución de la compra mes julio año 2025, duración del convenio corresponde a los meses de enero a diciembre 2026"/>
    <n v="1"/>
    <s v="Movilizacion"/>
    <n v="4"/>
    <n v="1"/>
    <n v="19000000"/>
    <n v="1583333"/>
    <x v="11"/>
    <x v="18"/>
    <x v="22"/>
    <x v="25"/>
    <s v="64-2567766-"/>
    <s v="camila.roa@redsalud.gob.cl"/>
    <x v="7"/>
    <d v="2025-08-20T00:00:00"/>
    <n v="0"/>
    <m/>
    <n v="1"/>
    <n v="1583333"/>
    <d v="2026-07-01T00:00:00"/>
    <x v="0"/>
    <x v="0"/>
  </r>
  <r>
    <s v="SERVICIO DE SALUD OSORNO"/>
    <s v="Bienes y Servicios"/>
    <x v="33"/>
    <s v="Proyecto operacional"/>
    <s v="Publicado"/>
    <s v="22.08.007"/>
    <x v="34"/>
    <s v="ejecución de la compra mes julio año 2025, duración del convenio corresponde a los meses de enero a diciembre 2026"/>
    <n v="1"/>
    <s v="Movilizacion"/>
    <n v="4"/>
    <n v="1"/>
    <n v="19000000"/>
    <n v="1583333"/>
    <x v="11"/>
    <x v="18"/>
    <x v="22"/>
    <x v="25"/>
    <s v="64-2567766-"/>
    <s v="camila.roa@redsalud.gob.cl"/>
    <x v="7"/>
    <d v="2025-08-20T00:00:00"/>
    <n v="0"/>
    <m/>
    <n v="1"/>
    <n v="1583333"/>
    <d v="2026-09-01T00:00:00"/>
    <x v="0"/>
    <x v="0"/>
  </r>
  <r>
    <s v="SERVICIO DE SALUD OSORNO"/>
    <s v="Bienes y Servicios"/>
    <x v="34"/>
    <s v="Proyecto operacional"/>
    <s v="Publicado"/>
    <s v="22.08.007"/>
    <x v="35"/>
    <s v="Cumplir con los requerimientos GES 85 Enfemedad de"/>
    <n v="1"/>
    <s v="Movilizacion"/>
    <n v="4"/>
    <n v="1"/>
    <n v="31500000"/>
    <n v="2625000"/>
    <x v="11"/>
    <x v="18"/>
    <x v="23"/>
    <x v="19"/>
    <s v="64-2567363-"/>
    <s v="ximena.campos@redsalud.gob.cl"/>
    <x v="7"/>
    <d v="2025-08-20T00:00:00"/>
    <n v="0"/>
    <m/>
    <n v="1"/>
    <n v="2625000"/>
    <d v="2026-07-01T00:00:00"/>
    <x v="0"/>
    <x v="0"/>
  </r>
  <r>
    <s v="SERVICIO DE SALUD OSORNO"/>
    <s v="Bienes y Servicios"/>
    <x v="34"/>
    <s v="Proyecto operacional"/>
    <s v="Publicado"/>
    <s v="22.08.007"/>
    <x v="35"/>
    <s v="Cumplir con los requerimientos GES 85 Enfemedad de"/>
    <n v="1"/>
    <s v="Movilizacion"/>
    <n v="4"/>
    <n v="1"/>
    <n v="31500000"/>
    <n v="2625000"/>
    <x v="11"/>
    <x v="18"/>
    <x v="23"/>
    <x v="19"/>
    <s v="64-2567363-"/>
    <s v="ximena.campos@redsalud.gob.cl"/>
    <x v="7"/>
    <d v="2025-08-20T00:00:00"/>
    <n v="0"/>
    <m/>
    <n v="1"/>
    <n v="2625000"/>
    <d v="2026-12-01T00:00:00"/>
    <x v="0"/>
    <x v="0"/>
  </r>
  <r>
    <s v="SERVICIO DE SALUD OSORNO"/>
    <s v="Bienes y Servicios"/>
    <x v="34"/>
    <s v="Proyecto operacional"/>
    <s v="Publicado"/>
    <s v="22.08.007"/>
    <x v="35"/>
    <s v="Cumplir con los requerimientos GES 85 Enfemedad de"/>
    <n v="1"/>
    <s v="Movilizacion"/>
    <n v="4"/>
    <n v="1"/>
    <n v="31500000"/>
    <n v="2625000"/>
    <x v="11"/>
    <x v="18"/>
    <x v="23"/>
    <x v="19"/>
    <s v="64-2567363-"/>
    <s v="ximena.campos@redsalud.gob.cl"/>
    <x v="7"/>
    <d v="2025-08-20T00:00:00"/>
    <n v="0"/>
    <m/>
    <n v="1"/>
    <n v="2625000"/>
    <d v="2026-08-01T00:00:00"/>
    <x v="0"/>
    <x v="0"/>
  </r>
  <r>
    <s v="SERVICIO DE SALUD OSORNO"/>
    <s v="Bienes y Servicios"/>
    <x v="34"/>
    <s v="Proyecto operacional"/>
    <s v="Publicado"/>
    <s v="22.08.007"/>
    <x v="35"/>
    <s v="Cumplir con los requerimientos GES 85 Enfemedad de"/>
    <n v="1"/>
    <s v="Movilizacion"/>
    <n v="4"/>
    <n v="1"/>
    <n v="31500000"/>
    <n v="2625000"/>
    <x v="11"/>
    <x v="18"/>
    <x v="23"/>
    <x v="19"/>
    <s v="64-2567363-"/>
    <s v="ximena.campos@redsalud.gob.cl"/>
    <x v="7"/>
    <d v="2025-08-20T00:00:00"/>
    <n v="0"/>
    <m/>
    <n v="1"/>
    <n v="2625000"/>
    <d v="2026-05-01T00:00:00"/>
    <x v="0"/>
    <x v="0"/>
  </r>
  <r>
    <s v="SERVICIO DE SALUD OSORNO"/>
    <s v="Bienes y Servicios"/>
    <x v="34"/>
    <s v="Proyecto operacional"/>
    <s v="Publicado"/>
    <s v="22.08.007"/>
    <x v="35"/>
    <s v="Cumplir con los requerimientos GES 85 Enfemedad de"/>
    <n v="1"/>
    <s v="Movilizacion"/>
    <n v="4"/>
    <n v="1"/>
    <n v="31500000"/>
    <n v="2625000"/>
    <x v="11"/>
    <x v="18"/>
    <x v="23"/>
    <x v="19"/>
    <s v="64-2567363-"/>
    <s v="ximena.campos@redsalud.gob.cl"/>
    <x v="7"/>
    <d v="2025-08-20T00:00:00"/>
    <n v="0"/>
    <m/>
    <n v="1"/>
    <n v="2625000"/>
    <d v="2026-09-01T00:00:00"/>
    <x v="0"/>
    <x v="0"/>
  </r>
  <r>
    <s v="SERVICIO DE SALUD OSORNO"/>
    <s v="Bienes y Servicios"/>
    <x v="34"/>
    <s v="Proyecto operacional"/>
    <s v="Publicado"/>
    <s v="22.08.007"/>
    <x v="35"/>
    <s v="Cumplir con los requerimientos GES 85 Enfemedad de"/>
    <n v="1"/>
    <s v="Movilizacion"/>
    <n v="4"/>
    <n v="1"/>
    <n v="31500000"/>
    <n v="2625000"/>
    <x v="11"/>
    <x v="18"/>
    <x v="23"/>
    <x v="19"/>
    <s v="64-2567363-"/>
    <s v="ximena.campos@redsalud.gob.cl"/>
    <x v="7"/>
    <d v="2025-08-20T00:00:00"/>
    <n v="0"/>
    <m/>
    <n v="1"/>
    <n v="2625000"/>
    <d v="2026-11-01T00:00:00"/>
    <x v="0"/>
    <x v="0"/>
  </r>
  <r>
    <s v="SERVICIO DE SALUD OSORNO"/>
    <s v="Bienes y Servicios"/>
    <x v="34"/>
    <s v="Proyecto operacional"/>
    <s v="Publicado"/>
    <s v="22.08.007"/>
    <x v="35"/>
    <s v="Cumplir con los requerimientos GES 85 Enfemedad de"/>
    <n v="1"/>
    <s v="Movilizacion"/>
    <n v="4"/>
    <n v="1"/>
    <n v="31500000"/>
    <n v="2625000"/>
    <x v="11"/>
    <x v="18"/>
    <x v="23"/>
    <x v="19"/>
    <s v="64-2567363-"/>
    <s v="ximena.campos@redsalud.gob.cl"/>
    <x v="7"/>
    <d v="2025-08-20T00:00:00"/>
    <n v="0"/>
    <m/>
    <n v="1"/>
    <n v="2625000"/>
    <d v="2026-02-01T00:00:00"/>
    <x v="0"/>
    <x v="0"/>
  </r>
  <r>
    <s v="SERVICIO DE SALUD OSORNO"/>
    <s v="Bienes y Servicios"/>
    <x v="34"/>
    <s v="Proyecto operacional"/>
    <s v="Publicado"/>
    <s v="22.08.007"/>
    <x v="35"/>
    <s v="Cumplir con los requerimientos GES 85 Enfemedad de"/>
    <n v="1"/>
    <s v="Movilizacion"/>
    <n v="4"/>
    <n v="1"/>
    <n v="31500000"/>
    <n v="2625000"/>
    <x v="11"/>
    <x v="18"/>
    <x v="23"/>
    <x v="19"/>
    <s v="64-2567363-"/>
    <s v="ximena.campos@redsalud.gob.cl"/>
    <x v="7"/>
    <d v="2025-08-20T00:00:00"/>
    <n v="0"/>
    <m/>
    <n v="1"/>
    <n v="2625000"/>
    <d v="2026-06-01T00:00:00"/>
    <x v="0"/>
    <x v="0"/>
  </r>
  <r>
    <s v="SERVICIO DE SALUD OSORNO"/>
    <s v="Bienes y Servicios"/>
    <x v="34"/>
    <s v="Proyecto operacional"/>
    <s v="Publicado"/>
    <s v="22.08.007"/>
    <x v="35"/>
    <s v="Cumplir con los requerimientos GES 85 Enfemedad de"/>
    <n v="1"/>
    <s v="Movilizacion"/>
    <n v="4"/>
    <n v="1"/>
    <n v="31500000"/>
    <n v="2625000"/>
    <x v="11"/>
    <x v="18"/>
    <x v="23"/>
    <x v="19"/>
    <s v="64-2567363-"/>
    <s v="ximena.campos@redsalud.gob.cl"/>
    <x v="7"/>
    <d v="2025-08-20T00:00:00"/>
    <n v="0"/>
    <m/>
    <n v="1"/>
    <n v="2625000"/>
    <d v="2026-03-01T00:00:00"/>
    <x v="0"/>
    <x v="0"/>
  </r>
  <r>
    <s v="SERVICIO DE SALUD OSORNO"/>
    <s v="Bienes y Servicios"/>
    <x v="34"/>
    <s v="Proyecto operacional"/>
    <s v="Publicado"/>
    <s v="22.08.007"/>
    <x v="35"/>
    <s v="Cumplir con los requerimientos GES 85 Enfemedad de"/>
    <n v="1"/>
    <s v="Movilizacion"/>
    <n v="4"/>
    <n v="1"/>
    <n v="31500000"/>
    <n v="2625000"/>
    <x v="11"/>
    <x v="18"/>
    <x v="23"/>
    <x v="19"/>
    <s v="64-2567363-"/>
    <s v="ximena.campos@redsalud.gob.cl"/>
    <x v="7"/>
    <d v="2025-08-20T00:00:00"/>
    <n v="0"/>
    <m/>
    <n v="1"/>
    <n v="2625000"/>
    <d v="2026-04-01T00:00:00"/>
    <x v="0"/>
    <x v="0"/>
  </r>
  <r>
    <s v="SERVICIO DE SALUD OSORNO"/>
    <s v="Bienes y Servicios"/>
    <x v="34"/>
    <s v="Proyecto operacional"/>
    <s v="Publicado"/>
    <s v="22.08.007"/>
    <x v="35"/>
    <s v="Cumplir con los requerimientos GES 85 Enfemedad de"/>
    <n v="1"/>
    <s v="Movilizacion"/>
    <n v="4"/>
    <n v="1"/>
    <n v="31500000"/>
    <n v="2625000"/>
    <x v="11"/>
    <x v="18"/>
    <x v="23"/>
    <x v="19"/>
    <s v="64-2567363-"/>
    <s v="ximena.campos@redsalud.gob.cl"/>
    <x v="7"/>
    <d v="2025-08-20T00:00:00"/>
    <n v="0"/>
    <m/>
    <n v="1"/>
    <n v="2625000"/>
    <d v="2026-10-01T00:00:00"/>
    <x v="0"/>
    <x v="0"/>
  </r>
  <r>
    <s v="SERVICIO DE SALUD OSORNO"/>
    <s v="Bienes y Servicios"/>
    <x v="35"/>
    <s v="Proyecto operacional"/>
    <s v="Publicado"/>
    <s v="22.08.007"/>
    <x v="36"/>
    <s v="Mes de Ejecución, Enero 2026 Periodo de Vigencia 01-01-2026 al 31-12-2026 Servicio Transporte de móvil para visitas domiciliarias, seguimientos y rescates entre otros dentro y fuera de la Provincia de Osorno. Gestiones administrativas en la Provincia de Osorno tanto en el sector urbano, rural e interurbano (fuera de la Provincia de Osorno). El transporte debe contar con chofer, capacidad hasta 15 asientos."/>
    <n v="1"/>
    <s v="Movilizacion"/>
    <n v="4"/>
    <n v="1"/>
    <n v="26000000"/>
    <n v="2166667"/>
    <x v="11"/>
    <x v="18"/>
    <x v="19"/>
    <x v="22"/>
    <s v="64-2565492-"/>
    <s v="mariaines.asenjo@redsalud.gob.cl"/>
    <x v="7"/>
    <d v="2025-08-20T00:00:00"/>
    <n v="0"/>
    <m/>
    <n v="1"/>
    <n v="2166667"/>
    <d v="2026-03-01T00:00:00"/>
    <x v="0"/>
    <x v="0"/>
  </r>
  <r>
    <s v="SERVICIO DE SALUD OSORNO"/>
    <s v="Bienes y Servicios"/>
    <x v="35"/>
    <s v="Proyecto operacional"/>
    <s v="Publicado"/>
    <s v="22.08.007"/>
    <x v="36"/>
    <s v="Mes de Ejecución, Enero 2026 Periodo de Vigencia 01-01-2026 al 31-12-2026 Servicio Transporte de móvil para visitas domiciliarias, seguimientos y rescates entre otros dentro y fuera de la Provincia de Osorno. Gestiones administrativas en la Provincia de Osorno tanto en el sector urbano, rural e interurbano (fuera de la Provincia de Osorno). El transporte debe contar con chofer, capacidad hasta 15 asientos."/>
    <n v="1"/>
    <s v="Movilizacion"/>
    <n v="4"/>
    <n v="1"/>
    <n v="26000000"/>
    <n v="2166667"/>
    <x v="11"/>
    <x v="18"/>
    <x v="19"/>
    <x v="22"/>
    <s v="64-2565492-"/>
    <s v="mariaines.asenjo@redsalud.gob.cl"/>
    <x v="7"/>
    <d v="2025-08-20T00:00:00"/>
    <n v="0"/>
    <m/>
    <n v="1"/>
    <n v="2166667"/>
    <d v="2026-08-01T00:00:00"/>
    <x v="0"/>
    <x v="0"/>
  </r>
  <r>
    <s v="SERVICIO DE SALUD OSORNO"/>
    <s v="Bienes y Servicios"/>
    <x v="35"/>
    <s v="Proyecto operacional"/>
    <s v="Publicado"/>
    <s v="22.08.007"/>
    <x v="36"/>
    <s v="Mes de Ejecución, Enero 2026 Periodo de Vigencia 01-01-2026 al 31-12-2026 Servicio Transporte de móvil para visitas domiciliarias, seguimientos y rescates entre otros dentro y fuera de la Provincia de Osorno. Gestiones administrativas en la Provincia de Osorno tanto en el sector urbano, rural e interurbano (fuera de la Provincia de Osorno). El transporte debe contar con chofer, capacidad hasta 15 asientos."/>
    <n v="1"/>
    <s v="Movilizacion"/>
    <n v="4"/>
    <n v="1"/>
    <n v="26000000"/>
    <n v="2166667"/>
    <x v="11"/>
    <x v="18"/>
    <x v="19"/>
    <x v="22"/>
    <s v="64-2565492-"/>
    <s v="mariaines.asenjo@redsalud.gob.cl"/>
    <x v="7"/>
    <d v="2025-08-20T00:00:00"/>
    <n v="0"/>
    <m/>
    <n v="1"/>
    <n v="2166667"/>
    <d v="2026-02-01T00:00:00"/>
    <x v="0"/>
    <x v="0"/>
  </r>
  <r>
    <s v="SERVICIO DE SALUD OSORNO"/>
    <s v="Bienes y Servicios"/>
    <x v="35"/>
    <s v="Proyecto operacional"/>
    <s v="Publicado"/>
    <s v="22.08.007"/>
    <x v="36"/>
    <s v="Mes de Ejecución, Enero 2026 Periodo de Vigencia 01-01-2026 al 31-12-2026 Servicio Transporte de móvil para visitas domiciliarias, seguimientos y rescates entre otros dentro y fuera de la Provincia de Osorno. Gestiones administrativas en la Provincia de Osorno tanto en el sector urbano, rural e interurbano (fuera de la Provincia de Osorno). El transporte debe contar con chofer, capacidad hasta 15 asientos."/>
    <n v="1"/>
    <s v="Movilizacion"/>
    <n v="4"/>
    <n v="1"/>
    <n v="26000000"/>
    <n v="2166667"/>
    <x v="11"/>
    <x v="18"/>
    <x v="19"/>
    <x v="22"/>
    <s v="64-2565492-"/>
    <s v="mariaines.asenjo@redsalud.gob.cl"/>
    <x v="7"/>
    <d v="2025-08-20T00:00:00"/>
    <n v="0"/>
    <m/>
    <n v="1"/>
    <n v="2166667"/>
    <d v="2026-04-01T00:00:00"/>
    <x v="0"/>
    <x v="0"/>
  </r>
  <r>
    <s v="SERVICIO DE SALUD OSORNO"/>
    <s v="Bienes y Servicios"/>
    <x v="35"/>
    <s v="Proyecto operacional"/>
    <s v="Publicado"/>
    <s v="22.08.007"/>
    <x v="36"/>
    <s v="Mes de Ejecución, Enero 2026 Periodo de Vigencia 01-01-2026 al 31-12-2026 Servicio Transporte de móvil para visitas domiciliarias, seguimientos y rescates entre otros dentro y fuera de la Provincia de Osorno. Gestiones administrativas en la Provincia de Osorno tanto en el sector urbano, rural e interurbano (fuera de la Provincia de Osorno). El transporte debe contar con chofer, capacidad hasta 15 asientos."/>
    <n v="1"/>
    <s v="Movilizacion"/>
    <n v="4"/>
    <n v="1"/>
    <n v="26000000"/>
    <n v="2166667"/>
    <x v="11"/>
    <x v="18"/>
    <x v="19"/>
    <x v="22"/>
    <s v="64-2565492-"/>
    <s v="mariaines.asenjo@redsalud.gob.cl"/>
    <x v="7"/>
    <d v="2025-08-20T00:00:00"/>
    <n v="0"/>
    <m/>
    <n v="1"/>
    <n v="2166667"/>
    <d v="2026-10-01T00:00:00"/>
    <x v="0"/>
    <x v="0"/>
  </r>
  <r>
    <s v="SERVICIO DE SALUD OSORNO"/>
    <s v="Bienes y Servicios"/>
    <x v="35"/>
    <s v="Proyecto operacional"/>
    <s v="Publicado"/>
    <s v="22.08.007"/>
    <x v="36"/>
    <s v="Mes de Ejecución, Enero 2026 Periodo de Vigencia 01-01-2026 al 31-12-2026 Servicio Transporte de móvil para visitas domiciliarias, seguimientos y rescates entre otros dentro y fuera de la Provincia de Osorno. Gestiones administrativas en la Provincia de Osorno tanto en el sector urbano, rural e interurbano (fuera de la Provincia de Osorno). El transporte debe contar con chofer, capacidad hasta 15 asientos."/>
    <n v="1"/>
    <s v="Movilizacion"/>
    <n v="4"/>
    <n v="1"/>
    <n v="26000000"/>
    <n v="2166667"/>
    <x v="11"/>
    <x v="18"/>
    <x v="19"/>
    <x v="22"/>
    <s v="64-2565492-"/>
    <s v="mariaines.asenjo@redsalud.gob.cl"/>
    <x v="7"/>
    <d v="2025-08-20T00:00:00"/>
    <n v="0"/>
    <m/>
    <n v="1"/>
    <n v="2166667"/>
    <d v="2026-05-01T00:00:00"/>
    <x v="0"/>
    <x v="0"/>
  </r>
  <r>
    <s v="SERVICIO DE SALUD OSORNO"/>
    <s v="Bienes y Servicios"/>
    <x v="35"/>
    <s v="Proyecto operacional"/>
    <s v="Publicado"/>
    <s v="22.08.007"/>
    <x v="36"/>
    <s v="Mes de Ejecución, Enero 2026 Periodo de Vigencia 01-01-2026 al 31-12-2026 Servicio Transporte de móvil para visitas domiciliarias, seguimientos y rescates entre otros dentro y fuera de la Provincia de Osorno. Gestiones administrativas en la Provincia de Osorno tanto en el sector urbano, rural e interurbano (fuera de la Provincia de Osorno). El transporte debe contar con chofer, capacidad hasta 15 asientos."/>
    <n v="1"/>
    <s v="Movilizacion"/>
    <n v="4"/>
    <n v="1"/>
    <n v="26000000"/>
    <n v="2166667"/>
    <x v="11"/>
    <x v="18"/>
    <x v="19"/>
    <x v="22"/>
    <s v="64-2565492-"/>
    <s v="mariaines.asenjo@redsalud.gob.cl"/>
    <x v="7"/>
    <d v="2025-08-20T00:00:00"/>
    <n v="0"/>
    <m/>
    <n v="1"/>
    <n v="2166667"/>
    <d v="2026-06-01T00:00:00"/>
    <x v="0"/>
    <x v="0"/>
  </r>
  <r>
    <s v="SERVICIO DE SALUD OSORNO"/>
    <s v="Bienes y Servicios"/>
    <x v="35"/>
    <s v="Proyecto operacional"/>
    <s v="Publicado"/>
    <s v="22.08.007"/>
    <x v="36"/>
    <s v="Mes de Ejecución, Enero 2026 Periodo de Vigencia 01-01-2026 al 31-12-2026 Servicio Transporte de móvil para visitas domiciliarias, seguimientos y rescates entre otros dentro y fuera de la Provincia de Osorno. Gestiones administrativas en la Provincia de Osorno tanto en el sector urbano, rural e interurbano (fuera de la Provincia de Osorno). El transporte debe contar con chofer, capacidad hasta 15 asientos."/>
    <n v="1"/>
    <s v="Movilizacion"/>
    <n v="4"/>
    <n v="1"/>
    <n v="26000000"/>
    <n v="2166667"/>
    <x v="11"/>
    <x v="18"/>
    <x v="19"/>
    <x v="22"/>
    <s v="64-2565492-"/>
    <s v="mariaines.asenjo@redsalud.gob.cl"/>
    <x v="7"/>
    <d v="2025-08-20T00:00:00"/>
    <n v="0"/>
    <m/>
    <n v="1"/>
    <n v="2166667"/>
    <d v="2026-11-01T00:00:00"/>
    <x v="0"/>
    <x v="0"/>
  </r>
  <r>
    <s v="SERVICIO DE SALUD OSORNO"/>
    <s v="Bienes y Servicios"/>
    <x v="35"/>
    <s v="Proyecto operacional"/>
    <s v="Publicado"/>
    <s v="22.08.007"/>
    <x v="36"/>
    <s v="Mes de Ejecución, Enero 2026 Periodo de Vigencia 01-01-2026 al 31-12-2026 Servicio Transporte de móvil para visitas domiciliarias, seguimientos y rescates entre otros dentro y fuera de la Provincia de Osorno. Gestiones administrativas en la Provincia de Osorno tanto en el sector urbano, rural e interurbano (fuera de la Provincia de Osorno). El transporte debe contar con chofer, capacidad hasta 15 asientos."/>
    <n v="1"/>
    <s v="Movilizacion"/>
    <n v="4"/>
    <n v="1"/>
    <n v="26000000"/>
    <n v="2166667"/>
    <x v="11"/>
    <x v="18"/>
    <x v="19"/>
    <x v="22"/>
    <s v="64-2565492-"/>
    <s v="mariaines.asenjo@redsalud.gob.cl"/>
    <x v="7"/>
    <d v="2025-08-20T00:00:00"/>
    <n v="0"/>
    <m/>
    <n v="1"/>
    <n v="2166667"/>
    <d v="2026-12-01T00:00:00"/>
    <x v="0"/>
    <x v="0"/>
  </r>
  <r>
    <s v="SERVICIO DE SALUD OSORNO"/>
    <s v="Bienes y Servicios"/>
    <x v="35"/>
    <s v="Proyecto operacional"/>
    <s v="Publicado"/>
    <s v="22.08.007"/>
    <x v="36"/>
    <s v="Mes de Ejecución, Enero 2026 Periodo de Vigencia 01-01-2026 al 31-12-2026 Servicio Transporte de móvil para visitas domiciliarias, seguimientos y rescates entre otros dentro y fuera de la Provincia de Osorno. Gestiones administrativas en la Provincia de Osorno tanto en el sector urbano, rural e interurbano (fuera de la Provincia de Osorno). El transporte debe contar con chofer, capacidad hasta 15 asientos."/>
    <n v="1"/>
    <s v="Movilizacion"/>
    <n v="4"/>
    <n v="1"/>
    <n v="26000000"/>
    <n v="2166667"/>
    <x v="11"/>
    <x v="18"/>
    <x v="19"/>
    <x v="22"/>
    <s v="64-2565492-"/>
    <s v="mariaines.asenjo@redsalud.gob.cl"/>
    <x v="7"/>
    <d v="2025-08-20T00:00:00"/>
    <n v="0"/>
    <m/>
    <n v="1"/>
    <n v="2166667"/>
    <d v="2026-07-01T00:00:00"/>
    <x v="0"/>
    <x v="0"/>
  </r>
  <r>
    <s v="SERVICIO DE SALUD OSORNO"/>
    <s v="Bienes y Servicios"/>
    <x v="35"/>
    <s v="Proyecto operacional"/>
    <s v="Publicado"/>
    <s v="22.08.007"/>
    <x v="36"/>
    <s v="Mes de Ejecución, Enero 2026 Periodo de Vigencia 01-01-2026 al 31-12-2026 Servicio Transporte de móvil para visitas domiciliarias, seguimientos y rescates entre otros dentro y fuera de la Provincia de Osorno. Gestiones administrativas en la Provincia de Osorno tanto en el sector urbano, rural e interurbano (fuera de la Provincia de Osorno). El transporte debe contar con chofer, capacidad hasta 15 asientos."/>
    <n v="1"/>
    <s v="Movilizacion"/>
    <n v="4"/>
    <n v="1"/>
    <n v="26000000"/>
    <n v="2166667"/>
    <x v="11"/>
    <x v="18"/>
    <x v="19"/>
    <x v="22"/>
    <s v="64-2565492-"/>
    <s v="mariaines.asenjo@redsalud.gob.cl"/>
    <x v="7"/>
    <d v="2025-08-20T00:00:00"/>
    <n v="0"/>
    <m/>
    <n v="1"/>
    <n v="2166667"/>
    <d v="2026-09-01T00:00:00"/>
    <x v="0"/>
    <x v="0"/>
  </r>
  <r>
    <s v="SERVICIO DE SALUD OSORNO"/>
    <s v="Bienes y Servicios"/>
    <x v="36"/>
    <s v="Proyecto operacional"/>
    <s v="Publicado"/>
    <s v="22.12.999.002.01"/>
    <x v="37"/>
    <s v="Adquisición de servicio de arriendo e informes de teleelectrocardiografía a distancia (PSCV), para 35 ESTABLECIMIENTOS DE SALUD de la RED de APS provincial ( 55 EQUIPOS ELECTROCARDIÓGRAFOS PORTÁTILES), QUE PUEDAN SER UTILIZADOS EN LOS CENTROS DE SALUD Y TAMBIÉN SER TRASLADADOS A DOMICILIO. Fecha vigencia del convenio: 01/01/2026 al 31/12/2027. Presupuesto: $500.000.000.- Retención mensual de percápita municipal, de acuerdo al número de ECG e informes realizados."/>
    <n v="1"/>
    <s v="Servicio Medico"/>
    <n v="4"/>
    <n v="1"/>
    <n v="500000000"/>
    <n v="41666666"/>
    <x v="11"/>
    <x v="20"/>
    <x v="24"/>
    <x v="26"/>
    <s v="64-2565810-"/>
    <s v="consuelo.cordova@redsalud.gob.cl"/>
    <x v="7"/>
    <d v="2025-08-20T00:00:00"/>
    <n v="0"/>
    <m/>
    <n v="1"/>
    <n v="41666666"/>
    <d v="2026-06-01T00:00:00"/>
    <x v="0"/>
    <x v="0"/>
  </r>
  <r>
    <s v="SERVICIO DE SALUD OSORNO"/>
    <s v="Bienes y Servicios"/>
    <x v="36"/>
    <s v="Proyecto operacional"/>
    <s v="Publicado"/>
    <s v="22.12.999.002.01"/>
    <x v="37"/>
    <s v="Adquisición de servicio de arriendo e informes de teleelectrocardiografía a distancia (PSCV), para 35 ESTABLECIMIENTOS DE SALUD de la RED de APS provincial ( 55 EQUIPOS ELECTROCARDIÓGRAFOS PORTÁTILES), QUE PUEDAN SER UTILIZADOS EN LOS CENTROS DE SALUD Y TAMBIÉN SER TRASLADADOS A DOMICILIO. Fecha vigencia del convenio: 01/01/2026 al 31/12/2027. Presupuesto: $500.000.000.- Retención mensual de percápita municipal, de acuerdo al número de ECG e informes realizados."/>
    <n v="1"/>
    <s v="Servicio Medico"/>
    <n v="4"/>
    <n v="1"/>
    <n v="500000000"/>
    <n v="41666666"/>
    <x v="11"/>
    <x v="20"/>
    <x v="24"/>
    <x v="26"/>
    <s v="64-2565810-"/>
    <s v="consuelo.cordova@redsalud.gob.cl"/>
    <x v="7"/>
    <d v="2025-08-20T00:00:00"/>
    <n v="0"/>
    <m/>
    <n v="1"/>
    <n v="41666666"/>
    <d v="2026-11-01T00:00:00"/>
    <x v="0"/>
    <x v="0"/>
  </r>
  <r>
    <s v="SERVICIO DE SALUD OSORNO"/>
    <s v="Bienes y Servicios"/>
    <x v="36"/>
    <s v="Proyecto operacional"/>
    <s v="Publicado"/>
    <s v="22.12.999.002.01"/>
    <x v="37"/>
    <s v="Adquisición de servicio de arriendo e informes de teleelectrocardiografía a distancia (PSCV), para 35 ESTABLECIMIENTOS DE SALUD de la RED de APS provincial ( 55 EQUIPOS ELECTROCARDIÓGRAFOS PORTÁTILES), QUE PUEDAN SER UTILIZADOS EN LOS CENTROS DE SALUD Y TAMBIÉN SER TRASLADADOS A DOMICILIO. Fecha vigencia del convenio: 01/01/2026 al 31/12/2027. Presupuesto: $500.000.000.- Retención mensual de percápita municipal, de acuerdo al número de ECG e informes realizados."/>
    <n v="1"/>
    <s v="Servicio Medico"/>
    <n v="4"/>
    <n v="1"/>
    <n v="500000000"/>
    <n v="41666666"/>
    <x v="11"/>
    <x v="20"/>
    <x v="24"/>
    <x v="26"/>
    <s v="64-2565810-"/>
    <s v="consuelo.cordova@redsalud.gob.cl"/>
    <x v="7"/>
    <d v="2025-08-20T00:00:00"/>
    <n v="0"/>
    <m/>
    <n v="1"/>
    <n v="41666666"/>
    <d v="2026-04-01T00:00:00"/>
    <x v="0"/>
    <x v="0"/>
  </r>
  <r>
    <s v="SERVICIO DE SALUD OSORNO"/>
    <s v="Bienes y Servicios"/>
    <x v="36"/>
    <s v="Proyecto operacional"/>
    <s v="Publicado"/>
    <s v="22.12.999.002.01"/>
    <x v="37"/>
    <s v="Adquisición de servicio de arriendo e informes de teleelectrocardiografía a distancia (PSCV), para 35 ESTABLECIMIENTOS DE SALUD de la RED de APS provincial ( 55 EQUIPOS ELECTROCARDIÓGRAFOS PORTÁTILES), QUE PUEDAN SER UTILIZADOS EN LOS CENTROS DE SALUD Y TAMBIÉN SER TRASLADADOS A DOMICILIO. Fecha vigencia del convenio: 01/01/2026 al 31/12/2027. Presupuesto: $500.000.000.- Retención mensual de percápita municipal, de acuerdo al número de ECG e informes realizados."/>
    <n v="1"/>
    <s v="Servicio Medico"/>
    <n v="4"/>
    <n v="1"/>
    <n v="500000000"/>
    <n v="41666666"/>
    <x v="11"/>
    <x v="20"/>
    <x v="24"/>
    <x v="26"/>
    <s v="64-2565810-"/>
    <s v="consuelo.cordova@redsalud.gob.cl"/>
    <x v="7"/>
    <d v="2025-08-20T00:00:00"/>
    <n v="0"/>
    <m/>
    <n v="1"/>
    <n v="41666666"/>
    <d v="2026-01-01T00:00:00"/>
    <x v="0"/>
    <x v="0"/>
  </r>
  <r>
    <s v="SERVICIO DE SALUD OSORNO"/>
    <s v="Bienes y Servicios"/>
    <x v="36"/>
    <s v="Proyecto operacional"/>
    <s v="Publicado"/>
    <s v="22.12.999.002.01"/>
    <x v="37"/>
    <s v="Adquisición de servicio de arriendo e informes de teleelectrocardiografía a distancia (PSCV), para 35 ESTABLECIMIENTOS DE SALUD de la RED de APS provincial ( 55 EQUIPOS ELECTROCARDIÓGRAFOS PORTÁTILES), QUE PUEDAN SER UTILIZADOS EN LOS CENTROS DE SALUD Y TAMBIÉN SER TRASLADADOS A DOMICILIO. Fecha vigencia del convenio: 01/01/2026 al 31/12/2027. Presupuesto: $500.000.000.- Retención mensual de percápita municipal, de acuerdo al número de ECG e informes realizados."/>
    <n v="1"/>
    <s v="Servicio Medico"/>
    <n v="4"/>
    <n v="1"/>
    <n v="500000000"/>
    <n v="41666666"/>
    <x v="11"/>
    <x v="20"/>
    <x v="24"/>
    <x v="26"/>
    <s v="64-2565810-"/>
    <s v="consuelo.cordova@redsalud.gob.cl"/>
    <x v="7"/>
    <d v="2025-08-20T00:00:00"/>
    <n v="0"/>
    <m/>
    <n v="1"/>
    <n v="41666666"/>
    <d v="2026-10-01T00:00:00"/>
    <x v="0"/>
    <x v="0"/>
  </r>
  <r>
    <s v="SERVICIO DE SALUD OSORNO"/>
    <s v="Bienes y Servicios"/>
    <x v="36"/>
    <s v="Proyecto operacional"/>
    <s v="Publicado"/>
    <s v="22.12.999.002.01"/>
    <x v="37"/>
    <s v="Adquisición de servicio de arriendo e informes de teleelectrocardiografía a distancia (PSCV), para 35 ESTABLECIMIENTOS DE SALUD de la RED de APS provincial ( 55 EQUIPOS ELECTROCARDIÓGRAFOS PORTÁTILES), QUE PUEDAN SER UTILIZADOS EN LOS CENTROS DE SALUD Y TAMBIÉN SER TRASLADADOS A DOMICILIO. Fecha vigencia del convenio: 01/01/2026 al 31/12/2027. Presupuesto: $500.000.000.- Retención mensual de percápita municipal, de acuerdo al número de ECG e informes realizados."/>
    <n v="1"/>
    <s v="Servicio Medico"/>
    <n v="4"/>
    <n v="1"/>
    <n v="500000000"/>
    <n v="41666666"/>
    <x v="11"/>
    <x v="20"/>
    <x v="24"/>
    <x v="26"/>
    <s v="64-2565810-"/>
    <s v="consuelo.cordova@redsalud.gob.cl"/>
    <x v="7"/>
    <d v="2025-08-20T00:00:00"/>
    <n v="0"/>
    <m/>
    <n v="1"/>
    <n v="41666666"/>
    <d v="2026-08-01T00:00:00"/>
    <x v="0"/>
    <x v="0"/>
  </r>
  <r>
    <s v="SERVICIO DE SALUD OSORNO"/>
    <s v="Bienes y Servicios"/>
    <x v="36"/>
    <s v="Proyecto operacional"/>
    <s v="Publicado"/>
    <s v="22.12.999.002.01"/>
    <x v="37"/>
    <s v="Adquisición de servicio de arriendo e informes de teleelectrocardiografía a distancia (PSCV), para 35 ESTABLECIMIENTOS DE SALUD de la RED de APS provincial ( 55 EQUIPOS ELECTROCARDIÓGRAFOS PORTÁTILES), QUE PUEDAN SER UTILIZADOS EN LOS CENTROS DE SALUD Y TAMBIÉN SER TRASLADADOS A DOMICILIO. Fecha vigencia del convenio: 01/01/2026 al 31/12/2027. Presupuesto: $500.000.000.- Retención mensual de percápita municipal, de acuerdo al número de ECG e informes realizados."/>
    <n v="1"/>
    <s v="Servicio Medico"/>
    <n v="4"/>
    <n v="1"/>
    <n v="500000000"/>
    <n v="41666666"/>
    <x v="11"/>
    <x v="20"/>
    <x v="24"/>
    <x v="26"/>
    <s v="64-2565810-"/>
    <s v="consuelo.cordova@redsalud.gob.cl"/>
    <x v="7"/>
    <d v="2025-08-20T00:00:00"/>
    <n v="0"/>
    <m/>
    <n v="1"/>
    <n v="41666666"/>
    <d v="2026-02-01T00:00:00"/>
    <x v="0"/>
    <x v="0"/>
  </r>
  <r>
    <s v="SERVICIO DE SALUD OSORNO"/>
    <s v="Bienes y Servicios"/>
    <x v="36"/>
    <s v="Proyecto operacional"/>
    <s v="Publicado"/>
    <s v="22.12.999.002.01"/>
    <x v="37"/>
    <s v="Adquisición de servicio de arriendo e informes de teleelectrocardiografía a distancia (PSCV), para 35 ESTABLECIMIENTOS DE SALUD de la RED de APS provincial ( 55 EQUIPOS ELECTROCARDIÓGRAFOS PORTÁTILES), QUE PUEDAN SER UTILIZADOS EN LOS CENTROS DE SALUD Y TAMBIÉN SER TRASLADADOS A DOMICILIO. Fecha vigencia del convenio: 01/01/2026 al 31/12/2027. Presupuesto: $500.000.000.- Retención mensual de percápita municipal, de acuerdo al número de ECG e informes realizados."/>
    <n v="1"/>
    <s v="Servicio Medico"/>
    <n v="4"/>
    <n v="1"/>
    <n v="500000000"/>
    <n v="41666666"/>
    <x v="11"/>
    <x v="20"/>
    <x v="24"/>
    <x v="26"/>
    <s v="64-2565810-"/>
    <s v="consuelo.cordova@redsalud.gob.cl"/>
    <x v="7"/>
    <d v="2025-08-20T00:00:00"/>
    <n v="0"/>
    <m/>
    <n v="1"/>
    <n v="41666666"/>
    <d v="2026-05-01T00:00:00"/>
    <x v="0"/>
    <x v="0"/>
  </r>
  <r>
    <s v="SERVICIO DE SALUD OSORNO"/>
    <s v="Bienes y Servicios"/>
    <x v="36"/>
    <s v="Proyecto operacional"/>
    <s v="Publicado"/>
    <s v="22.12.999.002.01"/>
    <x v="37"/>
    <s v="Adquisición de servicio de arriendo e informes de teleelectrocardiografía a distancia (PSCV), para 35 ESTABLECIMIENTOS DE SALUD de la RED de APS provincial ( 55 EQUIPOS ELECTROCARDIÓGRAFOS PORTÁTILES), QUE PUEDAN SER UTILIZADOS EN LOS CENTROS DE SALUD Y TAMBIÉN SER TRASLADADOS A DOMICILIO. Fecha vigencia del convenio: 01/01/2026 al 31/12/2027. Presupuesto: $500.000.000.- Retención mensual de percápita municipal, de acuerdo al número de ECG e informes realizados."/>
    <n v="1"/>
    <s v="Servicio Medico"/>
    <n v="4"/>
    <n v="1"/>
    <n v="500000000"/>
    <n v="41666666"/>
    <x v="11"/>
    <x v="20"/>
    <x v="24"/>
    <x v="26"/>
    <s v="64-2565810-"/>
    <s v="consuelo.cordova@redsalud.gob.cl"/>
    <x v="7"/>
    <d v="2025-08-20T00:00:00"/>
    <n v="0"/>
    <m/>
    <n v="1"/>
    <n v="41666666"/>
    <d v="2026-07-01T00:00:00"/>
    <x v="0"/>
    <x v="0"/>
  </r>
  <r>
    <s v="SERVICIO DE SALUD OSORNO"/>
    <s v="Bienes y Servicios"/>
    <x v="36"/>
    <s v="Proyecto operacional"/>
    <s v="Publicado"/>
    <s v="22.12.999.002.01"/>
    <x v="37"/>
    <s v="Adquisición de servicio de arriendo e informes de teleelectrocardiografía a distancia (PSCV), para 35 ESTABLECIMIENTOS DE SALUD de la RED de APS provincial ( 55 EQUIPOS ELECTROCARDIÓGRAFOS PORTÁTILES), QUE PUEDAN SER UTILIZADOS EN LOS CENTROS DE SALUD Y TAMBIÉN SER TRASLADADOS A DOMICILIO. Fecha vigencia del convenio: 01/01/2026 al 31/12/2027. Presupuesto: $500.000.000.- Retención mensual de percápita municipal, de acuerdo al número de ECG e informes realizados."/>
    <n v="1"/>
    <s v="Servicio Medico"/>
    <n v="4"/>
    <n v="1"/>
    <n v="500000000"/>
    <n v="41666674"/>
    <x v="11"/>
    <x v="20"/>
    <x v="24"/>
    <x v="26"/>
    <s v="64-2565810-"/>
    <s v="consuelo.cordova@redsalud.gob.cl"/>
    <x v="7"/>
    <d v="2025-08-20T00:00:00"/>
    <n v="0"/>
    <m/>
    <n v="1"/>
    <n v="41666674"/>
    <d v="2026-12-01T00:00:00"/>
    <x v="0"/>
    <x v="0"/>
  </r>
  <r>
    <s v="SERVICIO DE SALUD OSORNO"/>
    <s v="Bienes y Servicios"/>
    <x v="36"/>
    <s v="Proyecto operacional"/>
    <s v="Publicado"/>
    <s v="22.12.999.002.01"/>
    <x v="37"/>
    <s v="Adquisición de servicio de arriendo e informes de teleelectrocardiografía a distancia (PSCV), para 35 ESTABLECIMIENTOS DE SALUD de la RED de APS provincial ( 55 EQUIPOS ELECTROCARDIÓGRAFOS PORTÁTILES), QUE PUEDAN SER UTILIZADOS EN LOS CENTROS DE SALUD Y TAMBIÉN SER TRASLADADOS A DOMICILIO. Fecha vigencia del convenio: 01/01/2026 al 31/12/2027. Presupuesto: $500.000.000.- Retención mensual de percápita municipal, de acuerdo al número de ECG e informes realizados."/>
    <n v="1"/>
    <s v="Servicio Medico"/>
    <n v="4"/>
    <n v="1"/>
    <n v="500000000"/>
    <n v="41666666"/>
    <x v="11"/>
    <x v="20"/>
    <x v="24"/>
    <x v="26"/>
    <s v="64-2565810-"/>
    <s v="consuelo.cordova@redsalud.gob.cl"/>
    <x v="7"/>
    <d v="2025-08-20T00:00:00"/>
    <n v="0"/>
    <m/>
    <n v="1"/>
    <n v="41666666"/>
    <d v="2026-09-01T00:00:00"/>
    <x v="0"/>
    <x v="0"/>
  </r>
  <r>
    <s v="SERVICIO DE SALUD OSORNO"/>
    <s v="Bienes y Servicios"/>
    <x v="36"/>
    <s v="Proyecto operacional"/>
    <s v="Publicado"/>
    <s v="22.12.999.002.01"/>
    <x v="37"/>
    <s v="Adquisición de servicio de arriendo e informes de teleelectrocardiografía a distancia (PSCV), para 35 ESTABLECIMIENTOS DE SALUD de la RED de APS provincial ( 55 EQUIPOS ELECTROCARDIÓGRAFOS PORTÁTILES), QUE PUEDAN SER UTILIZADOS EN LOS CENTROS DE SALUD Y TAMBIÉN SER TRASLADADOS A DOMICILIO. Fecha vigencia del convenio: 01/01/2026 al 31/12/2027. Presupuesto: $500.000.000.- Retención mensual de percápita municipal, de acuerdo al número de ECG e informes realizados."/>
    <n v="1"/>
    <s v="Servicio Medico"/>
    <n v="4"/>
    <n v="1"/>
    <n v="500000000"/>
    <n v="41666666"/>
    <x v="11"/>
    <x v="20"/>
    <x v="24"/>
    <x v="26"/>
    <s v="64-2565810-"/>
    <s v="consuelo.cordova@redsalud.gob.cl"/>
    <x v="7"/>
    <d v="2025-08-20T00:00:00"/>
    <n v="0"/>
    <m/>
    <n v="1"/>
    <n v="41666666"/>
    <d v="2026-03-01T00:00:00"/>
    <x v="0"/>
    <x v="0"/>
  </r>
  <r>
    <s v="SERVICIO DE SALUD OSORNO"/>
    <s v="Bienes y Servicios"/>
    <x v="37"/>
    <s v="Proyecto operacional"/>
    <s v="Publicado"/>
    <s v="22.08.001"/>
    <x v="38"/>
    <s v="El servicio requerido consta de la sanitización de baños, desratización y desinsectación de todos los hospitales de la red y establecimientos dependientes del SSO"/>
    <n v="1"/>
    <s v="Convenio Desratización"/>
    <n v="4"/>
    <n v="1"/>
    <n v="95481792"/>
    <n v="7956816"/>
    <x v="11"/>
    <x v="18"/>
    <x v="25"/>
    <x v="27"/>
    <s v="64-2567030-"/>
    <s v="carlos.lopez@redsalud.gob.cl"/>
    <x v="7"/>
    <d v="2025-08-20T00:00:00"/>
    <n v="0"/>
    <m/>
    <n v="1"/>
    <n v="7956816"/>
    <d v="2026-03-01T00:00:00"/>
    <x v="0"/>
    <x v="0"/>
  </r>
  <r>
    <s v="SERVICIO DE SALUD OSORNO"/>
    <s v="Bienes y Servicios"/>
    <x v="37"/>
    <s v="Proyecto operacional"/>
    <s v="Publicado"/>
    <s v="22.08.001"/>
    <x v="38"/>
    <s v="El servicio requerido consta de la sanitización de baños, desratización y desinsectación de todos los hospitales de la red y establecimientos dependientes del SSO"/>
    <n v="1"/>
    <s v="Convenio Desratización"/>
    <n v="4"/>
    <n v="1"/>
    <n v="95481792"/>
    <n v="7956816"/>
    <x v="11"/>
    <x v="18"/>
    <x v="25"/>
    <x v="27"/>
    <s v="64-2567030-"/>
    <s v="carlos.lopez@redsalud.gob.cl"/>
    <x v="7"/>
    <d v="2025-08-20T00:00:00"/>
    <n v="0"/>
    <m/>
    <n v="1"/>
    <n v="7956816"/>
    <d v="2026-08-01T00:00:00"/>
    <x v="0"/>
    <x v="0"/>
  </r>
  <r>
    <s v="SERVICIO DE SALUD OSORNO"/>
    <s v="Bienes y Servicios"/>
    <x v="37"/>
    <s v="Proyecto operacional"/>
    <s v="Publicado"/>
    <s v="22.08.001"/>
    <x v="38"/>
    <s v="El servicio requerido consta de la sanitización de baños, desratización y desinsectación de todos los hospitales de la red y establecimientos dependientes del SSO"/>
    <n v="1"/>
    <s v="Convenio Desratización"/>
    <n v="4"/>
    <n v="1"/>
    <n v="95481792"/>
    <n v="7956816"/>
    <x v="11"/>
    <x v="18"/>
    <x v="25"/>
    <x v="27"/>
    <s v="64-2567030-"/>
    <s v="carlos.lopez@redsalud.gob.cl"/>
    <x v="7"/>
    <d v="2025-08-20T00:00:00"/>
    <n v="0"/>
    <m/>
    <n v="1"/>
    <n v="7956816"/>
    <d v="2026-12-01T00:00:00"/>
    <x v="0"/>
    <x v="0"/>
  </r>
  <r>
    <s v="SERVICIO DE SALUD OSORNO"/>
    <s v="Bienes y Servicios"/>
    <x v="37"/>
    <s v="Proyecto operacional"/>
    <s v="Publicado"/>
    <s v="22.08.001"/>
    <x v="38"/>
    <s v="El servicio requerido consta de la sanitización de baños, desratización y desinsectación de todos los hospitales de la red y establecimientos dependientes del SSO"/>
    <n v="1"/>
    <s v="Convenio Desratización"/>
    <n v="4"/>
    <n v="1"/>
    <n v="95481792"/>
    <n v="7956816"/>
    <x v="11"/>
    <x v="18"/>
    <x v="25"/>
    <x v="27"/>
    <s v="64-2567030-"/>
    <s v="carlos.lopez@redsalud.gob.cl"/>
    <x v="7"/>
    <d v="2025-08-20T00:00:00"/>
    <n v="0"/>
    <m/>
    <n v="1"/>
    <n v="7956816"/>
    <d v="2026-04-01T00:00:00"/>
    <x v="0"/>
    <x v="0"/>
  </r>
  <r>
    <s v="SERVICIO DE SALUD OSORNO"/>
    <s v="Bienes y Servicios"/>
    <x v="37"/>
    <s v="Proyecto operacional"/>
    <s v="Publicado"/>
    <s v="22.08.001"/>
    <x v="38"/>
    <s v="El servicio requerido consta de la sanitización de baños, desratización y desinsectación de todos los hospitales de la red y establecimientos dependientes del SSO"/>
    <n v="1"/>
    <s v="Convenio Desratización"/>
    <n v="4"/>
    <n v="1"/>
    <n v="95481792"/>
    <n v="7956816"/>
    <x v="11"/>
    <x v="18"/>
    <x v="25"/>
    <x v="27"/>
    <s v="64-2567030-"/>
    <s v="carlos.lopez@redsalud.gob.cl"/>
    <x v="7"/>
    <d v="2025-08-20T00:00:00"/>
    <n v="0"/>
    <m/>
    <n v="1"/>
    <n v="7956816"/>
    <d v="2026-07-01T00:00:00"/>
    <x v="0"/>
    <x v="0"/>
  </r>
  <r>
    <s v="SERVICIO DE SALUD OSORNO"/>
    <s v="Bienes y Servicios"/>
    <x v="37"/>
    <s v="Proyecto operacional"/>
    <s v="Publicado"/>
    <s v="22.08.001"/>
    <x v="38"/>
    <s v="El servicio requerido consta de la sanitización de baños, desratización y desinsectación de todos los hospitales de la red y establecimientos dependientes del SSO"/>
    <n v="1"/>
    <s v="Convenio Desratización"/>
    <n v="4"/>
    <n v="1"/>
    <n v="95481792"/>
    <n v="7956816"/>
    <x v="11"/>
    <x v="18"/>
    <x v="25"/>
    <x v="27"/>
    <s v="64-2567030-"/>
    <s v="carlos.lopez@redsalud.gob.cl"/>
    <x v="7"/>
    <d v="2025-08-20T00:00:00"/>
    <n v="0"/>
    <m/>
    <n v="1"/>
    <n v="7956816"/>
    <d v="2026-02-01T00:00:00"/>
    <x v="0"/>
    <x v="0"/>
  </r>
  <r>
    <s v="SERVICIO DE SALUD OSORNO"/>
    <s v="Bienes y Servicios"/>
    <x v="37"/>
    <s v="Proyecto operacional"/>
    <s v="Publicado"/>
    <s v="22.08.001"/>
    <x v="38"/>
    <s v="El servicio requerido consta de la sanitización de baños, desratización y desinsectación de todos los hospitales de la red y establecimientos dependientes del SSO"/>
    <n v="1"/>
    <s v="Convenio Desratización"/>
    <n v="4"/>
    <n v="1"/>
    <n v="95481792"/>
    <n v="7956816"/>
    <x v="11"/>
    <x v="18"/>
    <x v="25"/>
    <x v="27"/>
    <s v="64-2567030-"/>
    <s v="carlos.lopez@redsalud.gob.cl"/>
    <x v="7"/>
    <d v="2025-08-20T00:00:00"/>
    <n v="0"/>
    <m/>
    <n v="1"/>
    <n v="7956816"/>
    <d v="2026-05-01T00:00:00"/>
    <x v="0"/>
    <x v="0"/>
  </r>
  <r>
    <s v="SERVICIO DE SALUD OSORNO"/>
    <s v="Bienes y Servicios"/>
    <x v="37"/>
    <s v="Proyecto operacional"/>
    <s v="Publicado"/>
    <s v="22.08.001"/>
    <x v="38"/>
    <s v="El servicio requerido consta de la sanitización de baños, desratización y desinsectación de todos los hospitales de la red y establecimientos dependientes del SSO"/>
    <n v="1"/>
    <s v="Convenio Desratización"/>
    <n v="4"/>
    <n v="1"/>
    <n v="95481792"/>
    <n v="7956816"/>
    <x v="11"/>
    <x v="18"/>
    <x v="25"/>
    <x v="27"/>
    <s v="64-2567030-"/>
    <s v="carlos.lopez@redsalud.gob.cl"/>
    <x v="7"/>
    <d v="2025-08-20T00:00:00"/>
    <n v="0"/>
    <m/>
    <n v="1"/>
    <n v="7956816"/>
    <d v="2026-11-01T00:00:00"/>
    <x v="0"/>
    <x v="0"/>
  </r>
  <r>
    <s v="SERVICIO DE SALUD OSORNO"/>
    <s v="Bienes y Servicios"/>
    <x v="37"/>
    <s v="Proyecto operacional"/>
    <s v="Publicado"/>
    <s v="22.08.001"/>
    <x v="38"/>
    <s v="El servicio requerido consta de la sanitización de baños, desratización y desinsectación de todos los hospitales de la red y establecimientos dependientes del SSO"/>
    <n v="1"/>
    <s v="Convenio Desratización"/>
    <n v="4"/>
    <n v="1"/>
    <n v="95481792"/>
    <n v="7956816"/>
    <x v="11"/>
    <x v="18"/>
    <x v="25"/>
    <x v="27"/>
    <s v="64-2567030-"/>
    <s v="carlos.lopez@redsalud.gob.cl"/>
    <x v="7"/>
    <d v="2025-08-20T00:00:00"/>
    <n v="0"/>
    <m/>
    <n v="1"/>
    <n v="7956816"/>
    <d v="2026-10-01T00:00:00"/>
    <x v="0"/>
    <x v="0"/>
  </r>
  <r>
    <s v="SERVICIO DE SALUD OSORNO"/>
    <s v="Bienes y Servicios"/>
    <x v="37"/>
    <s v="Proyecto operacional"/>
    <s v="Publicado"/>
    <s v="22.08.001"/>
    <x v="38"/>
    <s v="El servicio requerido consta de la sanitización de baños, desratización y desinsectación de todos los hospitales de la red y establecimientos dependientes del SSO"/>
    <n v="1"/>
    <s v="Convenio Desratización"/>
    <n v="4"/>
    <n v="1"/>
    <n v="95481792"/>
    <n v="7956816"/>
    <x v="11"/>
    <x v="18"/>
    <x v="25"/>
    <x v="27"/>
    <s v="64-2567030-"/>
    <s v="carlos.lopez@redsalud.gob.cl"/>
    <x v="7"/>
    <d v="2025-08-20T00:00:00"/>
    <n v="0"/>
    <m/>
    <n v="1"/>
    <n v="7956816"/>
    <d v="2026-06-01T00:00:00"/>
    <x v="0"/>
    <x v="0"/>
  </r>
  <r>
    <s v="SERVICIO DE SALUD OSORNO"/>
    <s v="Bienes y Servicios"/>
    <x v="37"/>
    <s v="Proyecto operacional"/>
    <s v="Publicado"/>
    <s v="22.08.001"/>
    <x v="38"/>
    <s v="El servicio requerido consta de la sanitización de baños, desratización y desinsectación de todos los hospitales de la red y establecimientos dependientes del SSO"/>
    <n v="1"/>
    <s v="Convenio Desratización"/>
    <n v="4"/>
    <n v="1"/>
    <n v="95481792"/>
    <n v="7956816"/>
    <x v="11"/>
    <x v="18"/>
    <x v="25"/>
    <x v="27"/>
    <s v="64-2567030-"/>
    <s v="carlos.lopez@redsalud.gob.cl"/>
    <x v="7"/>
    <d v="2025-08-20T00:00:00"/>
    <n v="0"/>
    <m/>
    <n v="1"/>
    <n v="7956816"/>
    <d v="2026-09-01T00:00:00"/>
    <x v="0"/>
    <x v="0"/>
  </r>
  <r>
    <s v="SERVICIO DE SALUD OSORNO"/>
    <s v="Bienes y Servicios"/>
    <x v="38"/>
    <s v="Proyecto operacional"/>
    <s v="Publicado"/>
    <s v="22.04.003.002"/>
    <x v="39"/>
    <s v="Adquirir kit de detección de VPH y arriendo de equipo."/>
    <n v="1"/>
    <s v="Servicio Medico"/>
    <n v="4"/>
    <n v="3500"/>
    <n v="15143"/>
    <n v="4416666"/>
    <x v="11"/>
    <x v="18"/>
    <x v="26"/>
    <x v="28"/>
    <s v="64-2565818-"/>
    <s v="Javiera.gajardom@redsalud.gob.cl"/>
    <x v="7"/>
    <d v="2025-08-20T00:00:00"/>
    <n v="0"/>
    <m/>
    <n v="1"/>
    <n v="4416666"/>
    <d v="2026-05-01T00:00:00"/>
    <x v="0"/>
    <x v="0"/>
  </r>
  <r>
    <s v="SERVICIO DE SALUD OSORNO"/>
    <s v="Bienes y Servicios"/>
    <x v="38"/>
    <s v="Proyecto operacional"/>
    <s v="Publicado"/>
    <s v="22.04.003.002"/>
    <x v="39"/>
    <s v="Adquirir kit de detección de VPH y arriendo de equipo."/>
    <n v="1"/>
    <s v="Servicio Medico"/>
    <n v="4"/>
    <n v="3500"/>
    <n v="15143"/>
    <n v="4416666"/>
    <x v="11"/>
    <x v="18"/>
    <x v="26"/>
    <x v="28"/>
    <s v="64-2565818-"/>
    <s v="Javiera.gajardom@redsalud.gob.cl"/>
    <x v="7"/>
    <d v="2025-08-20T00:00:00"/>
    <n v="0"/>
    <m/>
    <n v="1"/>
    <n v="4416666"/>
    <d v="2026-06-01T00:00:00"/>
    <x v="0"/>
    <x v="0"/>
  </r>
  <r>
    <s v="SERVICIO DE SALUD OSORNO"/>
    <s v="Bienes y Servicios"/>
    <x v="38"/>
    <s v="Proyecto operacional"/>
    <s v="Publicado"/>
    <s v="22.04.003.002"/>
    <x v="39"/>
    <s v="Adquirir kit de detección de VPH y arriendo de equipo."/>
    <n v="1"/>
    <s v="Servicio Medico"/>
    <n v="4"/>
    <n v="3500"/>
    <n v="15143"/>
    <n v="4416666"/>
    <x v="11"/>
    <x v="18"/>
    <x v="26"/>
    <x v="28"/>
    <s v="64-2565818-"/>
    <s v="Javiera.gajardom@redsalud.gob.cl"/>
    <x v="7"/>
    <d v="2025-08-20T00:00:00"/>
    <n v="0"/>
    <m/>
    <n v="1"/>
    <n v="4416666"/>
    <d v="2026-11-01T00:00:00"/>
    <x v="0"/>
    <x v="0"/>
  </r>
  <r>
    <s v="SERVICIO DE SALUD OSORNO"/>
    <s v="Bienes y Servicios"/>
    <x v="38"/>
    <s v="Proyecto operacional"/>
    <s v="Publicado"/>
    <s v="22.04.003.002"/>
    <x v="39"/>
    <s v="Adquirir kit de detección de VPH y arriendo de equipo."/>
    <n v="1"/>
    <s v="Servicio Medico"/>
    <n v="4"/>
    <n v="3500"/>
    <n v="15143"/>
    <n v="4416666"/>
    <x v="11"/>
    <x v="18"/>
    <x v="26"/>
    <x v="28"/>
    <s v="64-2565818-"/>
    <s v="Javiera.gajardom@redsalud.gob.cl"/>
    <x v="7"/>
    <d v="2025-08-20T00:00:00"/>
    <n v="0"/>
    <m/>
    <n v="1"/>
    <n v="4416666"/>
    <d v="2026-04-01T00:00:00"/>
    <x v="0"/>
    <x v="0"/>
  </r>
  <r>
    <s v="SERVICIO DE SALUD OSORNO"/>
    <s v="Bienes y Servicios"/>
    <x v="38"/>
    <s v="Proyecto operacional"/>
    <s v="Publicado"/>
    <s v="22.04.003.002"/>
    <x v="39"/>
    <s v="Adquirir kit de detección de VPH y arriendo de equipo."/>
    <n v="1"/>
    <s v="Servicio Medico"/>
    <n v="4"/>
    <n v="3500"/>
    <n v="15143"/>
    <n v="4416666"/>
    <x v="11"/>
    <x v="18"/>
    <x v="26"/>
    <x v="28"/>
    <s v="64-2565818-"/>
    <s v="Javiera.gajardom@redsalud.gob.cl"/>
    <x v="7"/>
    <d v="2025-08-20T00:00:00"/>
    <n v="0"/>
    <m/>
    <n v="1"/>
    <n v="4416666"/>
    <d v="2026-02-01T00:00:00"/>
    <x v="0"/>
    <x v="0"/>
  </r>
  <r>
    <s v="SERVICIO DE SALUD OSORNO"/>
    <s v="Bienes y Servicios"/>
    <x v="38"/>
    <s v="Proyecto operacional"/>
    <s v="Publicado"/>
    <s v="22.04.003.002"/>
    <x v="39"/>
    <s v="Adquirir kit de detección de VPH y arriendo de equipo."/>
    <n v="1"/>
    <s v="Servicio Medico"/>
    <n v="4"/>
    <n v="3500"/>
    <n v="15143"/>
    <n v="4416666"/>
    <x v="11"/>
    <x v="18"/>
    <x v="26"/>
    <x v="28"/>
    <s v="64-2565818-"/>
    <s v="Javiera.gajardom@redsalud.gob.cl"/>
    <x v="7"/>
    <d v="2025-08-20T00:00:00"/>
    <n v="0"/>
    <m/>
    <n v="1"/>
    <n v="4416666"/>
    <d v="2026-10-01T00:00:00"/>
    <x v="0"/>
    <x v="0"/>
  </r>
  <r>
    <s v="SERVICIO DE SALUD OSORNO"/>
    <s v="Bienes y Servicios"/>
    <x v="38"/>
    <s v="Proyecto operacional"/>
    <s v="Publicado"/>
    <s v="22.04.003.002"/>
    <x v="39"/>
    <s v="Adquirir kit de detección de VPH y arriendo de equipo."/>
    <n v="1"/>
    <s v="Servicio Medico"/>
    <n v="4"/>
    <n v="3500"/>
    <n v="15143"/>
    <n v="4416666"/>
    <x v="11"/>
    <x v="18"/>
    <x v="26"/>
    <x v="28"/>
    <s v="64-2565818-"/>
    <s v="Javiera.gajardom@redsalud.gob.cl"/>
    <x v="7"/>
    <d v="2025-08-20T00:00:00"/>
    <n v="0"/>
    <m/>
    <n v="1"/>
    <n v="4416666"/>
    <d v="2026-07-01T00:00:00"/>
    <x v="0"/>
    <x v="0"/>
  </r>
  <r>
    <s v="SERVICIO DE SALUD OSORNO"/>
    <s v="Bienes y Servicios"/>
    <x v="38"/>
    <s v="Proyecto operacional"/>
    <s v="Publicado"/>
    <s v="22.04.003.002"/>
    <x v="39"/>
    <s v="Adquirir kit de detección de VPH y arriendo de equipo."/>
    <n v="1"/>
    <s v="Servicio Medico"/>
    <n v="4"/>
    <n v="3500"/>
    <n v="15143"/>
    <n v="4416666"/>
    <x v="11"/>
    <x v="18"/>
    <x v="26"/>
    <x v="28"/>
    <s v="64-2565818-"/>
    <s v="Javiera.gajardom@redsalud.gob.cl"/>
    <x v="7"/>
    <d v="2025-08-20T00:00:00"/>
    <n v="0"/>
    <m/>
    <n v="1"/>
    <n v="4416666"/>
    <d v="2026-09-01T00:00:00"/>
    <x v="0"/>
    <x v="0"/>
  </r>
  <r>
    <s v="SERVICIO DE SALUD OSORNO"/>
    <s v="Bienes y Servicios"/>
    <x v="38"/>
    <s v="Proyecto operacional"/>
    <s v="Publicado"/>
    <s v="22.04.003.002"/>
    <x v="39"/>
    <s v="Adquirir kit de detección de VPH y arriendo de equipo."/>
    <n v="1"/>
    <s v="Servicio Medico"/>
    <n v="4"/>
    <n v="3500"/>
    <n v="15143"/>
    <n v="4416666"/>
    <x v="11"/>
    <x v="18"/>
    <x v="26"/>
    <x v="28"/>
    <s v="64-2565818-"/>
    <s v="Javiera.gajardom@redsalud.gob.cl"/>
    <x v="7"/>
    <d v="2025-08-20T00:00:00"/>
    <n v="0"/>
    <m/>
    <n v="1"/>
    <n v="4416666"/>
    <d v="2026-12-01T00:00:00"/>
    <x v="0"/>
    <x v="0"/>
  </r>
  <r>
    <s v="SERVICIO DE SALUD OSORNO"/>
    <s v="Bienes y Servicios"/>
    <x v="38"/>
    <s v="Proyecto operacional"/>
    <s v="Publicado"/>
    <s v="22.04.003.002"/>
    <x v="39"/>
    <s v="Adquirir kit de detección de VPH y arriendo de equipo."/>
    <n v="1"/>
    <s v="Servicio Medico"/>
    <n v="4"/>
    <n v="3500"/>
    <n v="15143"/>
    <n v="4416666"/>
    <x v="11"/>
    <x v="18"/>
    <x v="26"/>
    <x v="28"/>
    <s v="64-2565818-"/>
    <s v="Javiera.gajardom@redsalud.gob.cl"/>
    <x v="7"/>
    <d v="2025-08-20T00:00:00"/>
    <n v="0"/>
    <m/>
    <n v="1"/>
    <n v="4416666"/>
    <d v="2026-03-01T00:00:00"/>
    <x v="0"/>
    <x v="0"/>
  </r>
  <r>
    <s v="SERVICIO DE SALUD OSORNO"/>
    <s v="Bienes y Servicios"/>
    <x v="38"/>
    <s v="Proyecto operacional"/>
    <s v="Publicado"/>
    <s v="22.04.003.002"/>
    <x v="39"/>
    <s v="Adquirir kit de detección de VPH y arriendo de equipo."/>
    <n v="1"/>
    <s v="Servicio Medico"/>
    <n v="4"/>
    <n v="3500"/>
    <n v="15143"/>
    <n v="4416666"/>
    <x v="11"/>
    <x v="18"/>
    <x v="26"/>
    <x v="28"/>
    <s v="64-2565818-"/>
    <s v="Javiera.gajardom@redsalud.gob.cl"/>
    <x v="7"/>
    <d v="2025-08-20T00:00:00"/>
    <n v="0"/>
    <m/>
    <n v="1"/>
    <n v="4416666"/>
    <d v="2026-08-01T00:00:00"/>
    <x v="0"/>
    <x v="0"/>
  </r>
  <r>
    <s v="SERVICIO DE SALUD OSORNO"/>
    <s v="Bienes y Servicios"/>
    <x v="39"/>
    <s v="Proyecto operacional"/>
    <s v="Publicado"/>
    <s v="22.01.001.001"/>
    <x v="40"/>
    <s v="Servicio de alimentación CDR Kumelen para usuarios que participan en talleres de lunes a viernes. Proceso licitatorio año 2025 finaliza 31/12/2025. Iniciar con Servicio 01/01/2026."/>
    <n v="1"/>
    <s v="Alimentación"/>
    <n v="4"/>
    <n v="1"/>
    <n v="80000000"/>
    <n v="6666666"/>
    <x v="11"/>
    <x v="18"/>
    <x v="16"/>
    <x v="19"/>
    <s v="64-2567366-"/>
    <s v="luis.floresme@redsalud.gob.cl"/>
    <x v="7"/>
    <d v="2025-08-20T00:00:00"/>
    <n v="0"/>
    <m/>
    <n v="1"/>
    <n v="6666666"/>
    <d v="2026-03-01T00:00:00"/>
    <x v="0"/>
    <x v="0"/>
  </r>
  <r>
    <s v="SERVICIO DE SALUD OSORNO"/>
    <s v="Bienes y Servicios"/>
    <x v="39"/>
    <s v="Proyecto operacional"/>
    <s v="Publicado"/>
    <s v="22.01.001.001"/>
    <x v="40"/>
    <s v="Servicio de alimentación CDR Kumelen para usuarios que participan en talleres de lunes a viernes. Proceso licitatorio año 2025 finaliza 31/12/2025. Iniciar con Servicio 01/01/2026."/>
    <n v="1"/>
    <s v="Alimentación"/>
    <n v="4"/>
    <n v="1"/>
    <n v="80000000"/>
    <n v="6666666"/>
    <x v="11"/>
    <x v="18"/>
    <x v="16"/>
    <x v="19"/>
    <s v="64-2567366-"/>
    <s v="luis.floresme@redsalud.gob.cl"/>
    <x v="7"/>
    <d v="2025-08-20T00:00:00"/>
    <n v="0"/>
    <m/>
    <n v="1"/>
    <n v="6666666"/>
    <d v="2026-04-01T00:00:00"/>
    <x v="0"/>
    <x v="0"/>
  </r>
  <r>
    <s v="SERVICIO DE SALUD OSORNO"/>
    <s v="Bienes y Servicios"/>
    <x v="39"/>
    <s v="Proyecto operacional"/>
    <s v="Publicado"/>
    <s v="22.01.001.001"/>
    <x v="40"/>
    <s v="Servicio de alimentación CDR Kumelen para usuarios que participan en talleres de lunes a viernes. Proceso licitatorio año 2025 finaliza 31/12/2025. Iniciar con Servicio 01/01/2026."/>
    <n v="1"/>
    <s v="Alimentación"/>
    <n v="4"/>
    <n v="1"/>
    <n v="80000000"/>
    <n v="6666666"/>
    <x v="11"/>
    <x v="18"/>
    <x v="16"/>
    <x v="19"/>
    <s v="64-2567366-"/>
    <s v="luis.floresme@redsalud.gob.cl"/>
    <x v="7"/>
    <d v="2025-08-20T00:00:00"/>
    <n v="0"/>
    <m/>
    <n v="1"/>
    <n v="6666666"/>
    <d v="2026-12-01T00:00:00"/>
    <x v="0"/>
    <x v="0"/>
  </r>
  <r>
    <s v="SERVICIO DE SALUD OSORNO"/>
    <s v="Bienes y Servicios"/>
    <x v="39"/>
    <s v="Proyecto operacional"/>
    <s v="Publicado"/>
    <s v="22.01.001.001"/>
    <x v="40"/>
    <s v="Servicio de alimentación CDR Kumelen para usuarios que participan en talleres de lunes a viernes. Proceso licitatorio año 2025 finaliza 31/12/2025. Iniciar con Servicio 01/01/2026."/>
    <n v="1"/>
    <s v="Alimentación"/>
    <n v="4"/>
    <n v="1"/>
    <n v="80000000"/>
    <n v="6666666"/>
    <x v="11"/>
    <x v="18"/>
    <x v="16"/>
    <x v="19"/>
    <s v="64-2567366-"/>
    <s v="luis.floresme@redsalud.gob.cl"/>
    <x v="7"/>
    <d v="2025-08-20T00:00:00"/>
    <n v="0"/>
    <m/>
    <n v="1"/>
    <n v="6666666"/>
    <d v="2026-06-01T00:00:00"/>
    <x v="0"/>
    <x v="0"/>
  </r>
  <r>
    <s v="SERVICIO DE SALUD OSORNO"/>
    <s v="Bienes y Servicios"/>
    <x v="39"/>
    <s v="Proyecto operacional"/>
    <s v="Publicado"/>
    <s v="22.01.001.001"/>
    <x v="40"/>
    <s v="Servicio de alimentación CDR Kumelen para usuarios que participan en talleres de lunes a viernes. Proceso licitatorio año 2025 finaliza 31/12/2025. Iniciar con Servicio 01/01/2026."/>
    <n v="1"/>
    <s v="Alimentación"/>
    <n v="4"/>
    <n v="1"/>
    <n v="80000000"/>
    <n v="6666666"/>
    <x v="11"/>
    <x v="18"/>
    <x v="16"/>
    <x v="19"/>
    <s v="64-2567366-"/>
    <s v="luis.floresme@redsalud.gob.cl"/>
    <x v="7"/>
    <d v="2025-08-20T00:00:00"/>
    <n v="0"/>
    <m/>
    <n v="1"/>
    <n v="6666666"/>
    <d v="2026-08-01T00:00:00"/>
    <x v="0"/>
    <x v="0"/>
  </r>
  <r>
    <s v="SERVICIO DE SALUD OSORNO"/>
    <s v="Bienes y Servicios"/>
    <x v="39"/>
    <s v="Proyecto operacional"/>
    <s v="Publicado"/>
    <s v="22.01.001.001"/>
    <x v="40"/>
    <s v="Servicio de alimentación CDR Kumelen para usuarios que participan en talleres de lunes a viernes. Proceso licitatorio año 2025 finaliza 31/12/2025. Iniciar con Servicio 01/01/2026."/>
    <n v="1"/>
    <s v="Alimentación"/>
    <n v="4"/>
    <n v="1"/>
    <n v="80000000"/>
    <n v="6666666"/>
    <x v="11"/>
    <x v="18"/>
    <x v="16"/>
    <x v="19"/>
    <s v="64-2567366-"/>
    <s v="luis.floresme@redsalud.gob.cl"/>
    <x v="7"/>
    <d v="2025-08-20T00:00:00"/>
    <n v="0"/>
    <m/>
    <n v="1"/>
    <n v="6666666"/>
    <d v="2026-07-01T00:00:00"/>
    <x v="0"/>
    <x v="0"/>
  </r>
  <r>
    <s v="SERVICIO DE SALUD OSORNO"/>
    <s v="Bienes y Servicios"/>
    <x v="39"/>
    <s v="Proyecto operacional"/>
    <s v="Publicado"/>
    <s v="22.01.001.001"/>
    <x v="40"/>
    <s v="Servicio de alimentación CDR Kumelen para usuarios que participan en talleres de lunes a viernes. Proceso licitatorio año 2025 finaliza 31/12/2025. Iniciar con Servicio 01/01/2026."/>
    <n v="1"/>
    <s v="Alimentación"/>
    <n v="4"/>
    <n v="1"/>
    <n v="80000000"/>
    <n v="6666666"/>
    <x v="11"/>
    <x v="18"/>
    <x v="16"/>
    <x v="19"/>
    <s v="64-2567366-"/>
    <s v="luis.floresme@redsalud.gob.cl"/>
    <x v="7"/>
    <d v="2025-08-20T00:00:00"/>
    <n v="0"/>
    <m/>
    <n v="1"/>
    <n v="6666666"/>
    <d v="2026-02-01T00:00:00"/>
    <x v="0"/>
    <x v="0"/>
  </r>
  <r>
    <s v="SERVICIO DE SALUD OSORNO"/>
    <s v="Bienes y Servicios"/>
    <x v="39"/>
    <s v="Proyecto operacional"/>
    <s v="Publicado"/>
    <s v="22.01.001.001"/>
    <x v="40"/>
    <s v="Servicio de alimentación CDR Kumelen para usuarios que participan en talleres de lunes a viernes. Proceso licitatorio año 2025 finaliza 31/12/2025. Iniciar con Servicio 01/01/2026."/>
    <n v="1"/>
    <s v="Alimentación"/>
    <n v="4"/>
    <n v="1"/>
    <n v="80000000"/>
    <n v="6666666"/>
    <x v="11"/>
    <x v="18"/>
    <x v="16"/>
    <x v="19"/>
    <s v="64-2567366-"/>
    <s v="luis.floresme@redsalud.gob.cl"/>
    <x v="7"/>
    <d v="2025-08-20T00:00:00"/>
    <n v="0"/>
    <m/>
    <n v="1"/>
    <n v="6666666"/>
    <d v="2026-05-01T00:00:00"/>
    <x v="0"/>
    <x v="0"/>
  </r>
  <r>
    <s v="SERVICIO DE SALUD OSORNO"/>
    <s v="Bienes y Servicios"/>
    <x v="39"/>
    <s v="Proyecto operacional"/>
    <s v="Publicado"/>
    <s v="22.01.001.001"/>
    <x v="40"/>
    <s v="Servicio de alimentación CDR Kumelen para usuarios que participan en talleres de lunes a viernes. Proceso licitatorio año 2025 finaliza 31/12/2025. Iniciar con Servicio 01/01/2026."/>
    <n v="1"/>
    <s v="Alimentación"/>
    <n v="4"/>
    <n v="1"/>
    <n v="80000000"/>
    <n v="6666666"/>
    <x v="11"/>
    <x v="18"/>
    <x v="16"/>
    <x v="19"/>
    <s v="64-2567366-"/>
    <s v="luis.floresme@redsalud.gob.cl"/>
    <x v="7"/>
    <d v="2025-08-20T00:00:00"/>
    <n v="0"/>
    <m/>
    <n v="1"/>
    <n v="6666666"/>
    <d v="2026-10-01T00:00:00"/>
    <x v="0"/>
    <x v="0"/>
  </r>
  <r>
    <s v="SERVICIO DE SALUD OSORNO"/>
    <s v="Bienes y Servicios"/>
    <x v="39"/>
    <s v="Proyecto operacional"/>
    <s v="Publicado"/>
    <s v="22.01.001.001"/>
    <x v="40"/>
    <s v="Servicio de alimentación CDR Kumelen para usuarios que participan en talleres de lunes a viernes. Proceso licitatorio año 2025 finaliza 31/12/2025. Iniciar con Servicio 01/01/2026."/>
    <n v="1"/>
    <s v="Alimentación"/>
    <n v="4"/>
    <n v="1"/>
    <n v="80000000"/>
    <n v="6666666"/>
    <x v="11"/>
    <x v="18"/>
    <x v="16"/>
    <x v="19"/>
    <s v="64-2567366-"/>
    <s v="luis.floresme@redsalud.gob.cl"/>
    <x v="7"/>
    <d v="2025-08-20T00:00:00"/>
    <n v="0"/>
    <m/>
    <n v="1"/>
    <n v="6666666"/>
    <d v="2026-11-01T00:00:00"/>
    <x v="0"/>
    <x v="0"/>
  </r>
  <r>
    <s v="SERVICIO DE SALUD OSORNO"/>
    <s v="Bienes y Servicios"/>
    <x v="39"/>
    <s v="Proyecto operacional"/>
    <s v="Publicado"/>
    <s v="22.01.001.001"/>
    <x v="40"/>
    <s v="Servicio de alimentación CDR Kumelen para usuarios que participan en talleres de lunes a viernes. Proceso licitatorio año 2025 finaliza 31/12/2025. Iniciar con Servicio 01/01/2026."/>
    <n v="1"/>
    <s v="Alimentación"/>
    <n v="4"/>
    <n v="1"/>
    <n v="80000000"/>
    <n v="6666666"/>
    <x v="11"/>
    <x v="18"/>
    <x v="16"/>
    <x v="19"/>
    <s v="64-2567366-"/>
    <s v="luis.floresme@redsalud.gob.cl"/>
    <x v="7"/>
    <d v="2025-08-20T00:00:00"/>
    <n v="0"/>
    <m/>
    <n v="1"/>
    <n v="6666666"/>
    <d v="2026-09-01T00:00:00"/>
    <x v="0"/>
    <x v="0"/>
  </r>
  <r>
    <s v="SERVICIO DE SALUD OSORNO"/>
    <s v="Bienes y Servicios"/>
    <x v="40"/>
    <s v="Proyecto operacional"/>
    <s v="Publicado"/>
    <s v="22.03.003"/>
    <x v="41"/>
    <s v="Mes de Ejecución, Enero 2026 Periodo de Vigencia, Enero a Diciembre 2026 Reposición de gas licuado de 45, 15, 11 y 5 kilos para la Comunidad Terapéutica Peulla, Unidades Ambulatorio y Residencial. Además, compra de 65 metros de leña, seca de 50 y 33 cm. de largo para calefaccionar Unidades Residencial y Ambulatorio."/>
    <n v="2"/>
    <s v="Convenio Leña"/>
    <n v="4"/>
    <n v="65"/>
    <n v="53900"/>
    <n v="291958"/>
    <x v="11"/>
    <x v="20"/>
    <x v="19"/>
    <x v="22"/>
    <s v="64-2565492-"/>
    <s v="mariaines.asenjo@redsalud.gob.cl"/>
    <x v="7"/>
    <d v="2025-08-20T00:00:00"/>
    <n v="0"/>
    <m/>
    <n v="1"/>
    <n v="291958"/>
    <d v="2026-02-01T00:00:00"/>
    <x v="0"/>
    <x v="0"/>
  </r>
  <r>
    <s v="SERVICIO DE SALUD OSORNO"/>
    <s v="Bienes y Servicios"/>
    <x v="40"/>
    <s v="Proyecto operacional"/>
    <s v="Publicado"/>
    <s v="22.03.003"/>
    <x v="41"/>
    <s v="Mes de Ejecución, Enero 2026 Periodo de Vigencia, Enero a Diciembre 2026 Reposición de gas licuado de 45, 15, 11 y 5 kilos para la Comunidad Terapéutica Peulla, Unidades Ambulatorio y Residencial. Además, compra de 65 metros de leña, seca de 50 y 33 cm. de largo para calefaccionar Unidades Residencial y Ambulatorio."/>
    <n v="2"/>
    <s v="Convenio Leña"/>
    <n v="4"/>
    <n v="65"/>
    <n v="53900"/>
    <n v="291958"/>
    <x v="11"/>
    <x v="20"/>
    <x v="19"/>
    <x v="22"/>
    <s v="64-2565492-"/>
    <s v="mariaines.asenjo@redsalud.gob.cl"/>
    <x v="7"/>
    <d v="2025-08-20T00:00:00"/>
    <n v="0"/>
    <m/>
    <n v="1"/>
    <n v="291958"/>
    <d v="2026-07-01T00:00:00"/>
    <x v="0"/>
    <x v="0"/>
  </r>
  <r>
    <s v="SERVICIO DE SALUD OSORNO"/>
    <s v="Bienes y Servicios"/>
    <x v="40"/>
    <s v="Proyecto operacional"/>
    <s v="Publicado"/>
    <s v="22.03.003"/>
    <x v="41"/>
    <s v="Mes de Ejecución, Enero 2026 Periodo de Vigencia, Enero a Diciembre 2026 Reposición de gas licuado de 45, 15, 11 y 5 kilos para la Comunidad Terapéutica Peulla, Unidades Ambulatorio y Residencial. Además, compra de 65 metros de leña, seca de 50 y 33 cm. de largo para calefaccionar Unidades Residencial y Ambulatorio."/>
    <n v="2"/>
    <s v="Convenio Leña"/>
    <n v="4"/>
    <n v="65"/>
    <n v="53900"/>
    <n v="291958"/>
    <x v="11"/>
    <x v="20"/>
    <x v="19"/>
    <x v="22"/>
    <s v="64-2565492-"/>
    <s v="mariaines.asenjo@redsalud.gob.cl"/>
    <x v="7"/>
    <d v="2025-08-20T00:00:00"/>
    <n v="0"/>
    <m/>
    <n v="1"/>
    <n v="291958"/>
    <d v="2026-01-01T00:00:00"/>
    <x v="0"/>
    <x v="0"/>
  </r>
  <r>
    <s v="SERVICIO DE SALUD OSORNO"/>
    <s v="Bienes y Servicios"/>
    <x v="40"/>
    <s v="Proyecto operacional"/>
    <s v="Publicado"/>
    <s v="22.03.003"/>
    <x v="41"/>
    <s v="Mes de Ejecución, Enero 2026 Periodo de Vigencia, Enero a Diciembre 2026 Reposición de gas licuado de 45, 15, 11 y 5 kilos para la Comunidad Terapéutica Peulla, Unidades Ambulatorio y Residencial. Además, compra de 65 metros de leña, seca de 50 y 33 cm. de largo para calefaccionar Unidades Residencial y Ambulatorio."/>
    <n v="2"/>
    <s v="Convenio Leña"/>
    <n v="4"/>
    <n v="65"/>
    <n v="53900"/>
    <n v="291962"/>
    <x v="11"/>
    <x v="20"/>
    <x v="19"/>
    <x v="22"/>
    <s v="64-2565492-"/>
    <s v="mariaines.asenjo@redsalud.gob.cl"/>
    <x v="7"/>
    <d v="2025-08-20T00:00:00"/>
    <n v="0"/>
    <m/>
    <n v="1"/>
    <n v="291962"/>
    <d v="2026-12-01T00:00:00"/>
    <x v="0"/>
    <x v="0"/>
  </r>
  <r>
    <s v="SERVICIO DE SALUD OSORNO"/>
    <s v="Bienes y Servicios"/>
    <x v="40"/>
    <s v="Proyecto operacional"/>
    <s v="Publicado"/>
    <s v="22.03.003"/>
    <x v="41"/>
    <s v="Mes de Ejecución, Enero 2026 Periodo de Vigencia, Enero a Diciembre 2026 Reposición de gas licuado de 45, 15, 11 y 5 kilos para la Comunidad Terapéutica Peulla, Unidades Ambulatorio y Residencial. Además, compra de 65 metros de leña, seca de 50 y 33 cm. de largo para calefaccionar Unidades Residencial y Ambulatorio."/>
    <n v="2"/>
    <s v="Convenio Leña"/>
    <n v="4"/>
    <n v="65"/>
    <n v="53900"/>
    <n v="291958"/>
    <x v="11"/>
    <x v="20"/>
    <x v="19"/>
    <x v="22"/>
    <s v="64-2565492-"/>
    <s v="mariaines.asenjo@redsalud.gob.cl"/>
    <x v="7"/>
    <d v="2025-08-20T00:00:00"/>
    <n v="0"/>
    <m/>
    <n v="1"/>
    <n v="291958"/>
    <d v="2026-04-01T00:00:00"/>
    <x v="0"/>
    <x v="0"/>
  </r>
  <r>
    <s v="SERVICIO DE SALUD OSORNO"/>
    <s v="Bienes y Servicios"/>
    <x v="40"/>
    <s v="Proyecto operacional"/>
    <s v="Publicado"/>
    <s v="22.03.003"/>
    <x v="41"/>
    <s v="Mes de Ejecución, Enero 2026 Periodo de Vigencia, Enero a Diciembre 2026 Reposición de gas licuado de 45, 15, 11 y 5 kilos para la Comunidad Terapéutica Peulla, Unidades Ambulatorio y Residencial. Además, compra de 65 metros de leña, seca de 50 y 33 cm. de largo para calefaccionar Unidades Residencial y Ambulatorio."/>
    <n v="2"/>
    <s v="Convenio Leña"/>
    <n v="4"/>
    <n v="65"/>
    <n v="53900"/>
    <n v="291958"/>
    <x v="11"/>
    <x v="20"/>
    <x v="19"/>
    <x v="22"/>
    <s v="64-2565492-"/>
    <s v="mariaines.asenjo@redsalud.gob.cl"/>
    <x v="7"/>
    <d v="2025-08-20T00:00:00"/>
    <n v="0"/>
    <m/>
    <n v="1"/>
    <n v="291958"/>
    <d v="2026-06-01T00:00:00"/>
    <x v="0"/>
    <x v="0"/>
  </r>
  <r>
    <s v="SERVICIO DE SALUD OSORNO"/>
    <s v="Bienes y Servicios"/>
    <x v="40"/>
    <s v="Proyecto operacional"/>
    <s v="Publicado"/>
    <s v="22.03.003"/>
    <x v="41"/>
    <s v="Mes de Ejecución, Enero 2026 Periodo de Vigencia, Enero a Diciembre 2026 Reposición de gas licuado de 45, 15, 11 y 5 kilos para la Comunidad Terapéutica Peulla, Unidades Ambulatorio y Residencial. Además, compra de 65 metros de leña, seca de 50 y 33 cm. de largo para calefaccionar Unidades Residencial y Ambulatorio."/>
    <n v="2"/>
    <s v="Convenio Leña"/>
    <n v="4"/>
    <n v="65"/>
    <n v="53900"/>
    <n v="291958"/>
    <x v="11"/>
    <x v="20"/>
    <x v="19"/>
    <x v="22"/>
    <s v="64-2565492-"/>
    <s v="mariaines.asenjo@redsalud.gob.cl"/>
    <x v="7"/>
    <d v="2025-08-20T00:00:00"/>
    <n v="0"/>
    <m/>
    <n v="1"/>
    <n v="291958"/>
    <d v="2026-05-01T00:00:00"/>
    <x v="0"/>
    <x v="0"/>
  </r>
  <r>
    <s v="SERVICIO DE SALUD OSORNO"/>
    <s v="Bienes y Servicios"/>
    <x v="40"/>
    <s v="Proyecto operacional"/>
    <s v="Publicado"/>
    <s v="22.03.003"/>
    <x v="41"/>
    <s v="Mes de Ejecución, Enero 2026 Periodo de Vigencia, Enero a Diciembre 2026 Reposición de gas licuado de 45, 15, 11 y 5 kilos para la Comunidad Terapéutica Peulla, Unidades Ambulatorio y Residencial. Además, compra de 65 metros de leña, seca de 50 y 33 cm. de largo para calefaccionar Unidades Residencial y Ambulatorio."/>
    <n v="2"/>
    <s v="Convenio Leña"/>
    <n v="4"/>
    <n v="65"/>
    <n v="53900"/>
    <n v="291958"/>
    <x v="11"/>
    <x v="20"/>
    <x v="19"/>
    <x v="22"/>
    <s v="64-2565492-"/>
    <s v="mariaines.asenjo@redsalud.gob.cl"/>
    <x v="7"/>
    <d v="2025-08-20T00:00:00"/>
    <n v="0"/>
    <m/>
    <n v="1"/>
    <n v="291958"/>
    <d v="2026-03-01T00:00:00"/>
    <x v="0"/>
    <x v="0"/>
  </r>
  <r>
    <s v="SERVICIO DE SALUD OSORNO"/>
    <s v="Bienes y Servicios"/>
    <x v="40"/>
    <s v="Proyecto operacional"/>
    <s v="Publicado"/>
    <s v="22.03.003"/>
    <x v="41"/>
    <s v="Mes de Ejecución, Enero 2026 Periodo de Vigencia, Enero a Diciembre 2026 Reposición de gas licuado de 45, 15, 11 y 5 kilos para la Comunidad Terapéutica Peulla, Unidades Ambulatorio y Residencial. Además, compra de 65 metros de leña, seca de 50 y 33 cm. de largo para calefaccionar Unidades Residencial y Ambulatorio."/>
    <n v="2"/>
    <s v="Convenio Leña"/>
    <n v="4"/>
    <n v="65"/>
    <n v="53900"/>
    <n v="291958"/>
    <x v="11"/>
    <x v="20"/>
    <x v="19"/>
    <x v="22"/>
    <s v="64-2565492-"/>
    <s v="mariaines.asenjo@redsalud.gob.cl"/>
    <x v="7"/>
    <d v="2025-08-20T00:00:00"/>
    <n v="0"/>
    <m/>
    <n v="1"/>
    <n v="291958"/>
    <d v="2026-10-01T00:00:00"/>
    <x v="0"/>
    <x v="0"/>
  </r>
  <r>
    <s v="SERVICIO DE SALUD OSORNO"/>
    <s v="Bienes y Servicios"/>
    <x v="40"/>
    <s v="Proyecto operacional"/>
    <s v="Publicado"/>
    <s v="22.03.003"/>
    <x v="41"/>
    <s v="Mes de Ejecución, Enero 2026 Periodo de Vigencia, Enero a Diciembre 2026 Reposición de gas licuado de 45, 15, 11 y 5 kilos para la Comunidad Terapéutica Peulla, Unidades Ambulatorio y Residencial. Además, compra de 65 metros de leña, seca de 50 y 33 cm. de largo para calefaccionar Unidades Residencial y Ambulatorio."/>
    <n v="2"/>
    <s v="Convenio Leña"/>
    <n v="4"/>
    <n v="65"/>
    <n v="53900"/>
    <n v="291958"/>
    <x v="11"/>
    <x v="20"/>
    <x v="19"/>
    <x v="22"/>
    <s v="64-2565492-"/>
    <s v="mariaines.asenjo@redsalud.gob.cl"/>
    <x v="7"/>
    <d v="2025-08-20T00:00:00"/>
    <n v="0"/>
    <m/>
    <n v="1"/>
    <n v="291958"/>
    <d v="2026-09-01T00:00:00"/>
    <x v="0"/>
    <x v="0"/>
  </r>
  <r>
    <s v="SERVICIO DE SALUD OSORNO"/>
    <s v="Bienes y Servicios"/>
    <x v="40"/>
    <s v="Proyecto operacional"/>
    <s v="Publicado"/>
    <s v="22.03.003"/>
    <x v="41"/>
    <s v="Mes de Ejecución, Enero 2026 Periodo de Vigencia, Enero a Diciembre 2026 Reposición de gas licuado de 45, 15, 11 y 5 kilos para la Comunidad Terapéutica Peulla, Unidades Ambulatorio y Residencial. Además, compra de 65 metros de leña, seca de 50 y 33 cm. de largo para calefaccionar Unidades Residencial y Ambulatorio."/>
    <n v="2"/>
    <s v="Convenio Leña"/>
    <n v="4"/>
    <n v="65"/>
    <n v="53900"/>
    <n v="291958"/>
    <x v="11"/>
    <x v="20"/>
    <x v="19"/>
    <x v="22"/>
    <s v="64-2565492-"/>
    <s v="mariaines.asenjo@redsalud.gob.cl"/>
    <x v="7"/>
    <d v="2025-08-20T00:00:00"/>
    <n v="0"/>
    <m/>
    <n v="1"/>
    <n v="291958"/>
    <d v="2026-08-01T00:00:00"/>
    <x v="0"/>
    <x v="0"/>
  </r>
  <r>
    <s v="SERVICIO DE SALUD OSORNO"/>
    <s v="Bienes y Servicios"/>
    <x v="40"/>
    <s v="Proyecto operacional"/>
    <s v="Publicado"/>
    <s v="22.03.003"/>
    <x v="41"/>
    <s v="Mes de Ejecución, Enero 2026 Periodo de Vigencia, Enero a Diciembre 2026 Reposición de gas licuado de 45, 15, 11 y 5 kilos para la Comunidad Terapéutica Peulla, Unidades Ambulatorio y Residencial. Además, compra de 65 metros de leña, seca de 50 y 33 cm. de largo para calefaccionar Unidades Residencial y Ambulatorio."/>
    <n v="2"/>
    <s v="Convenio Leña"/>
    <n v="4"/>
    <n v="65"/>
    <n v="53900"/>
    <n v="291958"/>
    <x v="11"/>
    <x v="20"/>
    <x v="19"/>
    <x v="22"/>
    <s v="64-2565492-"/>
    <s v="mariaines.asenjo@redsalud.gob.cl"/>
    <x v="7"/>
    <d v="2025-08-20T00:00:00"/>
    <n v="0"/>
    <m/>
    <n v="1"/>
    <n v="291958"/>
    <d v="2026-11-01T00:00:00"/>
    <x v="0"/>
    <x v="0"/>
  </r>
  <r>
    <s v="SERVICIO DE SALUD OSORNO"/>
    <s v="Bienes y Servicios"/>
    <x v="40"/>
    <s v="Proyecto operacional"/>
    <s v="Publicado"/>
    <s v="22.03.003"/>
    <x v="41"/>
    <s v="Mes de Ejecución, Enero 2026 Periodo de Vigencia, Enero a Diciembre 2026 Reposición de gas licuado de 45, 15, 11 y 5 kilos para la Comunidad Terapéutica Peulla, Unidades Ambulatorio y Residencial. Además, compra de 65 metros de leña, seca de 50 y 33 cm. de largo para calefaccionar Unidades Residencial y Ambulatorio."/>
    <n v="2"/>
    <s v="Vale Gas"/>
    <n v="4"/>
    <n v="50"/>
    <n v="58280"/>
    <n v="242833"/>
    <x v="11"/>
    <x v="20"/>
    <x v="19"/>
    <x v="22"/>
    <s v="64-2565492-"/>
    <s v="mariaines.asenjo@redsalud.gob.cl"/>
    <x v="7"/>
    <d v="2025-08-20T00:00:00"/>
    <n v="0"/>
    <m/>
    <n v="1"/>
    <n v="242833"/>
    <d v="2026-01-01T00:00:00"/>
    <x v="0"/>
    <x v="0"/>
  </r>
  <r>
    <s v="SERVICIO DE SALUD OSORNO"/>
    <s v="Bienes y Servicios"/>
    <x v="40"/>
    <s v="Proyecto operacional"/>
    <s v="Publicado"/>
    <s v="22.03.003"/>
    <x v="41"/>
    <s v="Mes de Ejecución, Enero 2026 Periodo de Vigencia, Enero a Diciembre 2026 Reposición de gas licuado de 45, 15, 11 y 5 kilos para la Comunidad Terapéutica Peulla, Unidades Ambulatorio y Residencial. Además, compra de 65 metros de leña, seca de 50 y 33 cm. de largo para calefaccionar Unidades Residencial y Ambulatorio."/>
    <n v="2"/>
    <s v="Vale Gas"/>
    <n v="4"/>
    <n v="50"/>
    <n v="58280"/>
    <n v="242833"/>
    <x v="11"/>
    <x v="20"/>
    <x v="19"/>
    <x v="22"/>
    <s v="64-2565492-"/>
    <s v="mariaines.asenjo@redsalud.gob.cl"/>
    <x v="7"/>
    <d v="2025-08-20T00:00:00"/>
    <n v="0"/>
    <m/>
    <n v="1"/>
    <n v="242833"/>
    <d v="2026-07-01T00:00:00"/>
    <x v="0"/>
    <x v="0"/>
  </r>
  <r>
    <s v="SERVICIO DE SALUD OSORNO"/>
    <s v="Bienes y Servicios"/>
    <x v="40"/>
    <s v="Proyecto operacional"/>
    <s v="Publicado"/>
    <s v="22.03.003"/>
    <x v="41"/>
    <s v="Mes de Ejecución, Enero 2026 Periodo de Vigencia, Enero a Diciembre 2026 Reposición de gas licuado de 45, 15, 11 y 5 kilos para la Comunidad Terapéutica Peulla, Unidades Ambulatorio y Residencial. Además, compra de 65 metros de leña, seca de 50 y 33 cm. de largo para calefaccionar Unidades Residencial y Ambulatorio."/>
    <n v="2"/>
    <s v="Vale Gas"/>
    <n v="4"/>
    <n v="50"/>
    <n v="58280"/>
    <n v="242833"/>
    <x v="11"/>
    <x v="20"/>
    <x v="19"/>
    <x v="22"/>
    <s v="64-2565492-"/>
    <s v="mariaines.asenjo@redsalud.gob.cl"/>
    <x v="7"/>
    <d v="2025-08-20T00:00:00"/>
    <n v="0"/>
    <m/>
    <n v="1"/>
    <n v="242833"/>
    <d v="2026-05-01T00:00:00"/>
    <x v="0"/>
    <x v="0"/>
  </r>
  <r>
    <s v="SERVICIO DE SALUD OSORNO"/>
    <s v="Bienes y Servicios"/>
    <x v="40"/>
    <s v="Proyecto operacional"/>
    <s v="Publicado"/>
    <s v="22.03.003"/>
    <x v="41"/>
    <s v="Mes de Ejecución, Enero 2026 Periodo de Vigencia, Enero a Diciembre 2026 Reposición de gas licuado de 45, 15, 11 y 5 kilos para la Comunidad Terapéutica Peulla, Unidades Ambulatorio y Residencial. Además, compra de 65 metros de leña, seca de 50 y 33 cm. de largo para calefaccionar Unidades Residencial y Ambulatorio."/>
    <n v="2"/>
    <s v="Vale Gas"/>
    <n v="4"/>
    <n v="50"/>
    <n v="58280"/>
    <n v="242833"/>
    <x v="11"/>
    <x v="20"/>
    <x v="19"/>
    <x v="22"/>
    <s v="64-2565492-"/>
    <s v="mariaines.asenjo@redsalud.gob.cl"/>
    <x v="7"/>
    <d v="2025-08-20T00:00:00"/>
    <n v="0"/>
    <m/>
    <n v="1"/>
    <n v="242833"/>
    <d v="2026-06-01T00:00:00"/>
    <x v="0"/>
    <x v="0"/>
  </r>
  <r>
    <s v="SERVICIO DE SALUD OSORNO"/>
    <s v="Bienes y Servicios"/>
    <x v="40"/>
    <s v="Proyecto operacional"/>
    <s v="Publicado"/>
    <s v="22.03.003"/>
    <x v="41"/>
    <s v="Mes de Ejecución, Enero 2026 Periodo de Vigencia, Enero a Diciembre 2026 Reposición de gas licuado de 45, 15, 11 y 5 kilos para la Comunidad Terapéutica Peulla, Unidades Ambulatorio y Residencial. Además, compra de 65 metros de leña, seca de 50 y 33 cm. de largo para calefaccionar Unidades Residencial y Ambulatorio."/>
    <n v="2"/>
    <s v="Vale Gas"/>
    <n v="4"/>
    <n v="50"/>
    <n v="58280"/>
    <n v="242833"/>
    <x v="11"/>
    <x v="20"/>
    <x v="19"/>
    <x v="22"/>
    <s v="64-2565492-"/>
    <s v="mariaines.asenjo@redsalud.gob.cl"/>
    <x v="7"/>
    <d v="2025-08-20T00:00:00"/>
    <n v="0"/>
    <m/>
    <n v="1"/>
    <n v="242833"/>
    <d v="2026-11-01T00:00:00"/>
    <x v="0"/>
    <x v="0"/>
  </r>
  <r>
    <s v="SERVICIO DE SALUD OSORNO"/>
    <s v="Bienes y Servicios"/>
    <x v="40"/>
    <s v="Proyecto operacional"/>
    <s v="Publicado"/>
    <s v="22.03.003"/>
    <x v="41"/>
    <s v="Mes de Ejecución, Enero 2026 Periodo de Vigencia, Enero a Diciembre 2026 Reposición de gas licuado de 45, 15, 11 y 5 kilos para la Comunidad Terapéutica Peulla, Unidades Ambulatorio y Residencial. Además, compra de 65 metros de leña, seca de 50 y 33 cm. de largo para calefaccionar Unidades Residencial y Ambulatorio."/>
    <n v="2"/>
    <s v="Vale Gas"/>
    <n v="4"/>
    <n v="50"/>
    <n v="58280"/>
    <n v="242837"/>
    <x v="11"/>
    <x v="20"/>
    <x v="19"/>
    <x v="22"/>
    <s v="64-2565492-"/>
    <s v="mariaines.asenjo@redsalud.gob.cl"/>
    <x v="7"/>
    <d v="2025-08-20T00:00:00"/>
    <n v="0"/>
    <m/>
    <n v="1"/>
    <n v="242837"/>
    <d v="2026-12-01T00:00:00"/>
    <x v="0"/>
    <x v="0"/>
  </r>
  <r>
    <s v="SERVICIO DE SALUD OSORNO"/>
    <s v="Bienes y Servicios"/>
    <x v="40"/>
    <s v="Proyecto operacional"/>
    <s v="Publicado"/>
    <s v="22.03.003"/>
    <x v="41"/>
    <s v="Mes de Ejecución, Enero 2026 Periodo de Vigencia, Enero a Diciembre 2026 Reposición de gas licuado de 45, 15, 11 y 5 kilos para la Comunidad Terapéutica Peulla, Unidades Ambulatorio y Residencial. Además, compra de 65 metros de leña, seca de 50 y 33 cm. de largo para calefaccionar Unidades Residencial y Ambulatorio."/>
    <n v="2"/>
    <s v="Vale Gas"/>
    <n v="4"/>
    <n v="50"/>
    <n v="58280"/>
    <n v="242833"/>
    <x v="11"/>
    <x v="20"/>
    <x v="19"/>
    <x v="22"/>
    <s v="64-2565492-"/>
    <s v="mariaines.asenjo@redsalud.gob.cl"/>
    <x v="7"/>
    <d v="2025-08-20T00:00:00"/>
    <n v="0"/>
    <m/>
    <n v="1"/>
    <n v="242833"/>
    <d v="2026-08-01T00:00:00"/>
    <x v="0"/>
    <x v="0"/>
  </r>
  <r>
    <s v="SERVICIO DE SALUD OSORNO"/>
    <s v="Bienes y Servicios"/>
    <x v="40"/>
    <s v="Proyecto operacional"/>
    <s v="Publicado"/>
    <s v="22.03.003"/>
    <x v="41"/>
    <s v="Mes de Ejecución, Enero 2026 Periodo de Vigencia, Enero a Diciembre 2026 Reposición de gas licuado de 45, 15, 11 y 5 kilos para la Comunidad Terapéutica Peulla, Unidades Ambulatorio y Residencial. Además, compra de 65 metros de leña, seca de 50 y 33 cm. de largo para calefaccionar Unidades Residencial y Ambulatorio."/>
    <n v="2"/>
    <s v="Vale Gas"/>
    <n v="4"/>
    <n v="50"/>
    <n v="58280"/>
    <n v="242833"/>
    <x v="11"/>
    <x v="20"/>
    <x v="19"/>
    <x v="22"/>
    <s v="64-2565492-"/>
    <s v="mariaines.asenjo@redsalud.gob.cl"/>
    <x v="7"/>
    <d v="2025-08-20T00:00:00"/>
    <n v="0"/>
    <m/>
    <n v="1"/>
    <n v="242833"/>
    <d v="2026-02-01T00:00:00"/>
    <x v="0"/>
    <x v="0"/>
  </r>
  <r>
    <s v="SERVICIO DE SALUD OSORNO"/>
    <s v="Bienes y Servicios"/>
    <x v="40"/>
    <s v="Proyecto operacional"/>
    <s v="Publicado"/>
    <s v="22.03.003"/>
    <x v="41"/>
    <s v="Mes de Ejecución, Enero 2026 Periodo de Vigencia, Enero a Diciembre 2026 Reposición de gas licuado de 45, 15, 11 y 5 kilos para la Comunidad Terapéutica Peulla, Unidades Ambulatorio y Residencial. Además, compra de 65 metros de leña, seca de 50 y 33 cm. de largo para calefaccionar Unidades Residencial y Ambulatorio."/>
    <n v="2"/>
    <s v="Vale Gas"/>
    <n v="4"/>
    <n v="50"/>
    <n v="58280"/>
    <n v="242833"/>
    <x v="11"/>
    <x v="20"/>
    <x v="19"/>
    <x v="22"/>
    <s v="64-2565492-"/>
    <s v="mariaines.asenjo@redsalud.gob.cl"/>
    <x v="7"/>
    <d v="2025-08-20T00:00:00"/>
    <n v="0"/>
    <m/>
    <n v="1"/>
    <n v="242833"/>
    <d v="2026-04-01T00:00:00"/>
    <x v="0"/>
    <x v="0"/>
  </r>
  <r>
    <s v="SERVICIO DE SALUD OSORNO"/>
    <s v="Bienes y Servicios"/>
    <x v="40"/>
    <s v="Proyecto operacional"/>
    <s v="Publicado"/>
    <s v="22.03.003"/>
    <x v="41"/>
    <s v="Mes de Ejecución, Enero 2026 Periodo de Vigencia, Enero a Diciembre 2026 Reposición de gas licuado de 45, 15, 11 y 5 kilos para la Comunidad Terapéutica Peulla, Unidades Ambulatorio y Residencial. Además, compra de 65 metros de leña, seca de 50 y 33 cm. de largo para calefaccionar Unidades Residencial y Ambulatorio."/>
    <n v="2"/>
    <s v="Vale Gas"/>
    <n v="4"/>
    <n v="50"/>
    <n v="58280"/>
    <n v="242833"/>
    <x v="11"/>
    <x v="20"/>
    <x v="19"/>
    <x v="22"/>
    <s v="64-2565492-"/>
    <s v="mariaines.asenjo@redsalud.gob.cl"/>
    <x v="7"/>
    <d v="2025-08-20T00:00:00"/>
    <n v="0"/>
    <m/>
    <n v="1"/>
    <n v="242833"/>
    <d v="2026-09-01T00:00:00"/>
    <x v="0"/>
    <x v="0"/>
  </r>
  <r>
    <s v="SERVICIO DE SALUD OSORNO"/>
    <s v="Bienes y Servicios"/>
    <x v="40"/>
    <s v="Proyecto operacional"/>
    <s v="Publicado"/>
    <s v="22.03.003"/>
    <x v="41"/>
    <s v="Mes de Ejecución, Enero 2026 Periodo de Vigencia, Enero a Diciembre 2026 Reposición de gas licuado de 45, 15, 11 y 5 kilos para la Comunidad Terapéutica Peulla, Unidades Ambulatorio y Residencial. Además, compra de 65 metros de leña, seca de 50 y 33 cm. de largo para calefaccionar Unidades Residencial y Ambulatorio."/>
    <n v="2"/>
    <s v="Vale Gas"/>
    <n v="4"/>
    <n v="50"/>
    <n v="58280"/>
    <n v="242833"/>
    <x v="11"/>
    <x v="20"/>
    <x v="19"/>
    <x v="22"/>
    <s v="64-2565492-"/>
    <s v="mariaines.asenjo@redsalud.gob.cl"/>
    <x v="7"/>
    <d v="2025-08-20T00:00:00"/>
    <n v="0"/>
    <m/>
    <n v="1"/>
    <n v="242833"/>
    <d v="2026-10-01T00:00:00"/>
    <x v="0"/>
    <x v="0"/>
  </r>
  <r>
    <s v="SERVICIO DE SALUD OSORNO"/>
    <s v="Bienes y Servicios"/>
    <x v="40"/>
    <s v="Proyecto operacional"/>
    <s v="Publicado"/>
    <s v="22.03.003"/>
    <x v="41"/>
    <s v="Mes de Ejecución, Enero 2026 Periodo de Vigencia, Enero a Diciembre 2026 Reposición de gas licuado de 45, 15, 11 y 5 kilos para la Comunidad Terapéutica Peulla, Unidades Ambulatorio y Residencial. Además, compra de 65 metros de leña, seca de 50 y 33 cm. de largo para calefaccionar Unidades Residencial y Ambulatorio."/>
    <n v="2"/>
    <s v="Vale Gas"/>
    <n v="4"/>
    <n v="50"/>
    <n v="58280"/>
    <n v="242833"/>
    <x v="11"/>
    <x v="20"/>
    <x v="19"/>
    <x v="22"/>
    <s v="64-2565492-"/>
    <s v="mariaines.asenjo@redsalud.gob.cl"/>
    <x v="7"/>
    <d v="2025-08-20T00:00:00"/>
    <n v="0"/>
    <m/>
    <n v="1"/>
    <n v="242833"/>
    <d v="2026-03-01T00:00:00"/>
    <x v="0"/>
    <x v="0"/>
  </r>
  <r>
    <s v="SERVICIO DE SALUD OSORNO"/>
    <s v="Bienes y Servicios"/>
    <x v="41"/>
    <s v="Proyecto operacional"/>
    <s v="Publicado"/>
    <s v="22.09.006"/>
    <x v="42"/>
    <s v="Licitar, iniciando en Octubre del 2025 el proceso de arriendo de 159 PC AIO. El contrato respectivo tendrá una duración de 36 meses desde enero del 2026 hasta enero del año 2029. Los PC deben incluir el licenciamiento Sistemas Operativo Windows 11, licencias Office 365 y un antivirus por cada equipo."/>
    <n v="1"/>
    <s v="Arriendo Equipo"/>
    <n v="4"/>
    <n v="1"/>
    <n v="268434000"/>
    <n v="7456500"/>
    <x v="3"/>
    <x v="21"/>
    <x v="0"/>
    <x v="29"/>
    <s v="64-2565840-"/>
    <s v="bruno.ojeda@redsalud.gob.cl"/>
    <x v="7"/>
    <d v="2025-08-20T00:00:00"/>
    <n v="0"/>
    <m/>
    <n v="1"/>
    <n v="7456500"/>
    <d v="2026-04-01T00:00:00"/>
    <x v="0"/>
    <x v="0"/>
  </r>
  <r>
    <s v="SERVICIO DE SALUD OSORNO"/>
    <s v="Bienes y Servicios"/>
    <x v="41"/>
    <s v="Proyecto operacional"/>
    <s v="Publicado"/>
    <s v="22.09.006"/>
    <x v="42"/>
    <s v="Licitar, iniciando en Octubre del 2025 el proceso de arriendo de 159 PC AIO. El contrato respectivo tendrá una duración de 36 meses desde enero del 2026 hasta enero del año 2029. Los PC deben incluir el licenciamiento Sistemas Operativo Windows 11, licencias Office 365 y un antivirus por cada equipo."/>
    <n v="1"/>
    <s v="Arriendo Equipo"/>
    <n v="4"/>
    <n v="1"/>
    <n v="268434000"/>
    <n v="7456500"/>
    <x v="3"/>
    <x v="21"/>
    <x v="0"/>
    <x v="29"/>
    <s v="64-2565840-"/>
    <s v="bruno.ojeda@redsalud.gob.cl"/>
    <x v="7"/>
    <d v="2025-08-20T00:00:00"/>
    <n v="0"/>
    <m/>
    <n v="1"/>
    <n v="7456500"/>
    <d v="2026-06-01T00:00:00"/>
    <x v="0"/>
    <x v="0"/>
  </r>
  <r>
    <s v="SERVICIO DE SALUD OSORNO"/>
    <s v="Bienes y Servicios"/>
    <x v="41"/>
    <s v="Proyecto operacional"/>
    <s v="Publicado"/>
    <s v="22.09.006"/>
    <x v="42"/>
    <s v="Licitar, iniciando en Octubre del 2025 el proceso de arriendo de 159 PC AIO. El contrato respectivo tendrá una duración de 36 meses desde enero del 2026 hasta enero del año 2029. Los PC deben incluir el licenciamiento Sistemas Operativo Windows 11, licencias Office 365 y un antivirus por cada equipo."/>
    <n v="1"/>
    <s v="Arriendo Equipo"/>
    <n v="4"/>
    <n v="1"/>
    <n v="268434000"/>
    <n v="7456500"/>
    <x v="3"/>
    <x v="21"/>
    <x v="0"/>
    <x v="29"/>
    <s v="64-2565840-"/>
    <s v="bruno.ojeda@redsalud.gob.cl"/>
    <x v="7"/>
    <d v="2025-08-20T00:00:00"/>
    <n v="0"/>
    <m/>
    <n v="1"/>
    <n v="7456500"/>
    <d v="2026-10-01T00:00:00"/>
    <x v="0"/>
    <x v="0"/>
  </r>
  <r>
    <s v="SERVICIO DE SALUD OSORNO"/>
    <s v="Bienes y Servicios"/>
    <x v="41"/>
    <s v="Proyecto operacional"/>
    <s v="Publicado"/>
    <s v="22.09.006"/>
    <x v="42"/>
    <s v="Licitar, iniciando en Octubre del 2025 el proceso de arriendo de 159 PC AIO. El contrato respectivo tendrá una duración de 36 meses desde enero del 2026 hasta enero del año 2029. Los PC deben incluir el licenciamiento Sistemas Operativo Windows 11, licencias Office 365 y un antivirus por cada equipo."/>
    <n v="1"/>
    <s v="Arriendo Equipo"/>
    <n v="4"/>
    <n v="1"/>
    <n v="268434000"/>
    <n v="7456500"/>
    <x v="3"/>
    <x v="21"/>
    <x v="0"/>
    <x v="29"/>
    <s v="64-2565840-"/>
    <s v="bruno.ojeda@redsalud.gob.cl"/>
    <x v="7"/>
    <d v="2025-08-20T00:00:00"/>
    <n v="0"/>
    <m/>
    <n v="1"/>
    <n v="7456500"/>
    <d v="2026-11-01T00:00:00"/>
    <x v="0"/>
    <x v="0"/>
  </r>
  <r>
    <s v="SERVICIO DE SALUD OSORNO"/>
    <s v="Bienes y Servicios"/>
    <x v="41"/>
    <s v="Proyecto operacional"/>
    <s v="Publicado"/>
    <s v="22.09.006"/>
    <x v="42"/>
    <s v="Licitar, iniciando en Octubre del 2025 el proceso de arriendo de 159 PC AIO. El contrato respectivo tendrá una duración de 36 meses desde enero del 2026 hasta enero del año 2029. Los PC deben incluir el licenciamiento Sistemas Operativo Windows 11, licencias Office 365 y un antivirus por cada equipo."/>
    <n v="1"/>
    <s v="Arriendo Equipo"/>
    <n v="4"/>
    <n v="1"/>
    <n v="268434000"/>
    <n v="7456500"/>
    <x v="3"/>
    <x v="21"/>
    <x v="0"/>
    <x v="29"/>
    <s v="64-2565840-"/>
    <s v="bruno.ojeda@redsalud.gob.cl"/>
    <x v="7"/>
    <d v="2025-08-20T00:00:00"/>
    <n v="0"/>
    <m/>
    <n v="1"/>
    <n v="7456500"/>
    <d v="2026-02-01T00:00:00"/>
    <x v="0"/>
    <x v="0"/>
  </r>
  <r>
    <s v="SERVICIO DE SALUD OSORNO"/>
    <s v="Bienes y Servicios"/>
    <x v="41"/>
    <s v="Proyecto operacional"/>
    <s v="Publicado"/>
    <s v="22.09.006"/>
    <x v="42"/>
    <s v="Licitar, iniciando en Octubre del 2025 el proceso de arriendo de 159 PC AIO. El contrato respectivo tendrá una duración de 36 meses desde enero del 2026 hasta enero del año 2029. Los PC deben incluir el licenciamiento Sistemas Operativo Windows 11, licencias Office 365 y un antivirus por cada equipo."/>
    <n v="1"/>
    <s v="Arriendo Equipo"/>
    <n v="4"/>
    <n v="1"/>
    <n v="268434000"/>
    <n v="7456500"/>
    <x v="3"/>
    <x v="21"/>
    <x v="0"/>
    <x v="29"/>
    <s v="64-2565840-"/>
    <s v="bruno.ojeda@redsalud.gob.cl"/>
    <x v="7"/>
    <d v="2025-08-20T00:00:00"/>
    <n v="0"/>
    <m/>
    <n v="1"/>
    <n v="7456500"/>
    <d v="2026-05-01T00:00:00"/>
    <x v="0"/>
    <x v="0"/>
  </r>
  <r>
    <s v="SERVICIO DE SALUD OSORNO"/>
    <s v="Bienes y Servicios"/>
    <x v="41"/>
    <s v="Proyecto operacional"/>
    <s v="Publicado"/>
    <s v="22.09.006"/>
    <x v="42"/>
    <s v="Licitar, iniciando en Octubre del 2025 el proceso de arriendo de 159 PC AIO. El contrato respectivo tendrá una duración de 36 meses desde enero del 2026 hasta enero del año 2029. Los PC deben incluir el licenciamiento Sistemas Operativo Windows 11, licencias Office 365 y un antivirus por cada equipo."/>
    <n v="1"/>
    <s v="Arriendo Equipo"/>
    <n v="4"/>
    <n v="1"/>
    <n v="268434000"/>
    <n v="7456500"/>
    <x v="3"/>
    <x v="21"/>
    <x v="0"/>
    <x v="29"/>
    <s v="64-2565840-"/>
    <s v="bruno.ojeda@redsalud.gob.cl"/>
    <x v="7"/>
    <d v="2025-08-20T00:00:00"/>
    <n v="0"/>
    <m/>
    <n v="1"/>
    <n v="7456500"/>
    <d v="2026-01-01T00:00:00"/>
    <x v="0"/>
    <x v="0"/>
  </r>
  <r>
    <s v="SERVICIO DE SALUD OSORNO"/>
    <s v="Bienes y Servicios"/>
    <x v="41"/>
    <s v="Proyecto operacional"/>
    <s v="Publicado"/>
    <s v="22.09.006"/>
    <x v="42"/>
    <s v="Licitar, iniciando en Octubre del 2025 el proceso de arriendo de 159 PC AIO. El contrato respectivo tendrá una duración de 36 meses desde enero del 2026 hasta enero del año 2029. Los PC deben incluir el licenciamiento Sistemas Operativo Windows 11, licencias Office 365 y un antivirus por cada equipo."/>
    <n v="1"/>
    <s v="Arriendo Equipo"/>
    <n v="4"/>
    <n v="1"/>
    <n v="268434000"/>
    <n v="7456500"/>
    <x v="3"/>
    <x v="21"/>
    <x v="0"/>
    <x v="29"/>
    <s v="64-2565840-"/>
    <s v="bruno.ojeda@redsalud.gob.cl"/>
    <x v="7"/>
    <d v="2025-08-20T00:00:00"/>
    <n v="0"/>
    <m/>
    <n v="1"/>
    <n v="7456500"/>
    <d v="2026-08-01T00:00:00"/>
    <x v="0"/>
    <x v="0"/>
  </r>
  <r>
    <s v="SERVICIO DE SALUD OSORNO"/>
    <s v="Bienes y Servicios"/>
    <x v="41"/>
    <s v="Proyecto operacional"/>
    <s v="Publicado"/>
    <s v="22.09.006"/>
    <x v="42"/>
    <s v="Licitar, iniciando en Octubre del 2025 el proceso de arriendo de 159 PC AIO. El contrato respectivo tendrá una duración de 36 meses desde enero del 2026 hasta enero del año 2029. Los PC deben incluir el licenciamiento Sistemas Operativo Windows 11, licencias Office 365 y un antivirus por cada equipo."/>
    <n v="1"/>
    <s v="Arriendo Equipo"/>
    <n v="4"/>
    <n v="1"/>
    <n v="268434000"/>
    <n v="7456500"/>
    <x v="3"/>
    <x v="21"/>
    <x v="0"/>
    <x v="29"/>
    <s v="64-2565840-"/>
    <s v="bruno.ojeda@redsalud.gob.cl"/>
    <x v="7"/>
    <d v="2025-08-20T00:00:00"/>
    <n v="0"/>
    <m/>
    <n v="1"/>
    <n v="7456500"/>
    <d v="2026-03-01T00:00:00"/>
    <x v="0"/>
    <x v="0"/>
  </r>
  <r>
    <s v="SERVICIO DE SALUD OSORNO"/>
    <s v="Bienes y Servicios"/>
    <x v="41"/>
    <s v="Proyecto operacional"/>
    <s v="Publicado"/>
    <s v="22.09.006"/>
    <x v="42"/>
    <s v="Licitar, iniciando en Octubre del 2025 el proceso de arriendo de 159 PC AIO. El contrato respectivo tendrá una duración de 36 meses desde enero del 2026 hasta enero del año 2029. Los PC deben incluir el licenciamiento Sistemas Operativo Windows 11, licencias Office 365 y un antivirus por cada equipo."/>
    <n v="1"/>
    <s v="Arriendo Equipo"/>
    <n v="4"/>
    <n v="1"/>
    <n v="268434000"/>
    <n v="7456500"/>
    <x v="3"/>
    <x v="21"/>
    <x v="0"/>
    <x v="29"/>
    <s v="64-2565840-"/>
    <s v="bruno.ojeda@redsalud.gob.cl"/>
    <x v="7"/>
    <d v="2025-08-20T00:00:00"/>
    <n v="0"/>
    <m/>
    <n v="1"/>
    <n v="7456500"/>
    <d v="2026-12-01T00:00:00"/>
    <x v="0"/>
    <x v="0"/>
  </r>
  <r>
    <s v="SERVICIO DE SALUD OSORNO"/>
    <s v="Bienes y Servicios"/>
    <x v="41"/>
    <s v="Proyecto operacional"/>
    <s v="Publicado"/>
    <s v="22.09.006"/>
    <x v="42"/>
    <s v="Licitar, iniciando en Octubre del 2025 el proceso de arriendo de 159 PC AIO. El contrato respectivo tendrá una duración de 36 meses desde enero del 2026 hasta enero del año 2029. Los PC deben incluir el licenciamiento Sistemas Operativo Windows 11, licencias Office 365 y un antivirus por cada equipo."/>
    <n v="1"/>
    <s v="Arriendo Equipo"/>
    <n v="4"/>
    <n v="1"/>
    <n v="268434000"/>
    <n v="7456500"/>
    <x v="3"/>
    <x v="21"/>
    <x v="0"/>
    <x v="29"/>
    <s v="64-2565840-"/>
    <s v="bruno.ojeda@redsalud.gob.cl"/>
    <x v="7"/>
    <d v="2025-08-20T00:00:00"/>
    <n v="0"/>
    <m/>
    <n v="1"/>
    <n v="7456500"/>
    <d v="2026-07-01T00:00:00"/>
    <x v="0"/>
    <x v="0"/>
  </r>
  <r>
    <s v="SERVICIO DE SALUD OSORNO"/>
    <s v="Bienes y Servicios"/>
    <x v="41"/>
    <s v="Proyecto operacional"/>
    <s v="Publicado"/>
    <s v="22.09.006"/>
    <x v="42"/>
    <s v="Licitar, iniciando en Octubre del 2025 el proceso de arriendo de 159 PC AIO. El contrato respectivo tendrá una duración de 36 meses desde enero del 2026 hasta enero del año 2029. Los PC deben incluir el licenciamiento Sistemas Operativo Windows 11, licencias Office 365 y un antivirus por cada equipo."/>
    <n v="1"/>
    <s v="Arriendo Equipo"/>
    <n v="4"/>
    <n v="1"/>
    <n v="268434000"/>
    <n v="7456500"/>
    <x v="3"/>
    <x v="21"/>
    <x v="0"/>
    <x v="29"/>
    <s v="64-2565840-"/>
    <s v="bruno.ojeda@redsalud.gob.cl"/>
    <x v="7"/>
    <d v="2025-08-20T00:00:00"/>
    <n v="0"/>
    <m/>
    <n v="1"/>
    <n v="7456500"/>
    <d v="2026-09-01T00:00:00"/>
    <x v="0"/>
    <x v="0"/>
  </r>
  <r>
    <s v="SERVICIO DE SALUD OSORNO"/>
    <s v="Bienes y Servicios"/>
    <x v="42"/>
    <s v="Proyecto operacional"/>
    <s v="Publicado"/>
    <s v="22.08.008"/>
    <x v="43"/>
    <s v="LAS SALA CUNAS CON LAS QUE SE REALICE CONVENIO, DEBEN CONTAR CON AUTORIZACIÓN DE FUNCIONAMIENTO, EMANADA POR LA SUBSECRETARÍA DE EDUCACIÓN PARVULARIA, CONTANDO CON REGLAMENTO INTERNOS, PROTOCOLOS ESTABLECIDOS POR NORMATIVA, PROYECTO EDUCATIVO INSTITUCIONAL, Y SOBRETOODO PERSONAL CALIFICADO PARA LA ATENCIÓN Y CUIDADOS DE LOS NIÑOS Y NIÑAS QUE ASISTIRAN."/>
    <n v="1"/>
    <s v="Sala Cuna"/>
    <n v="4"/>
    <n v="1"/>
    <n v="207200000"/>
    <n v="17266666"/>
    <x v="11"/>
    <x v="18"/>
    <x v="27"/>
    <x v="30"/>
    <s v="64-2567096-"/>
    <s v="claudia.munozga@redsalud.gob.cl"/>
    <x v="7"/>
    <d v="2025-08-20T00:00:00"/>
    <n v="0"/>
    <m/>
    <n v="1"/>
    <n v="17266666"/>
    <d v="2026-04-01T00:00:00"/>
    <x v="0"/>
    <x v="0"/>
  </r>
  <r>
    <s v="SERVICIO DE SALUD OSORNO"/>
    <s v="Bienes y Servicios"/>
    <x v="42"/>
    <s v="Proyecto operacional"/>
    <s v="Publicado"/>
    <s v="22.08.008"/>
    <x v="43"/>
    <s v="LAS SALA CUNAS CON LAS QUE SE REALICE CONVENIO, DEBEN CONTAR CON AUTORIZACIÓN DE FUNCIONAMIENTO, EMANADA POR LA SUBSECRETARÍA DE EDUCACIÓN PARVULARIA, CONTANDO CON REGLAMENTO INTERNOS, PROTOCOLOS ESTABLECIDOS POR NORMATIVA, PROYECTO EDUCATIVO INSTITUCIONAL, Y SOBRETOODO PERSONAL CALIFICADO PARA LA ATENCIÓN Y CUIDADOS DE LOS NIÑOS Y NIÑAS QUE ASISTIRAN."/>
    <n v="1"/>
    <s v="Sala Cuna"/>
    <n v="4"/>
    <n v="1"/>
    <n v="207200000"/>
    <n v="17266666"/>
    <x v="11"/>
    <x v="18"/>
    <x v="27"/>
    <x v="30"/>
    <s v="64-2567096-"/>
    <s v="claudia.munozga@redsalud.gob.cl"/>
    <x v="7"/>
    <d v="2025-08-20T00:00:00"/>
    <n v="0"/>
    <m/>
    <n v="1"/>
    <n v="17266666"/>
    <d v="2026-05-01T00:00:00"/>
    <x v="0"/>
    <x v="0"/>
  </r>
  <r>
    <s v="SERVICIO DE SALUD OSORNO"/>
    <s v="Bienes y Servicios"/>
    <x v="42"/>
    <s v="Proyecto operacional"/>
    <s v="Publicado"/>
    <s v="22.08.008"/>
    <x v="43"/>
    <s v="LAS SALA CUNAS CON LAS QUE SE REALICE CONVENIO, DEBEN CONTAR CON AUTORIZACIÓN DE FUNCIONAMIENTO, EMANADA POR LA SUBSECRETARÍA DE EDUCACIÓN PARVULARIA, CONTANDO CON REGLAMENTO INTERNOS, PROTOCOLOS ESTABLECIDOS POR NORMATIVA, PROYECTO EDUCATIVO INSTITUCIONAL, Y SOBRETOODO PERSONAL CALIFICADO PARA LA ATENCIÓN Y CUIDADOS DE LOS NIÑOS Y NIÑAS QUE ASISTIRAN."/>
    <n v="1"/>
    <s v="Sala Cuna"/>
    <n v="4"/>
    <n v="1"/>
    <n v="207200000"/>
    <n v="17266666"/>
    <x v="11"/>
    <x v="18"/>
    <x v="27"/>
    <x v="30"/>
    <s v="64-2567096-"/>
    <s v="claudia.munozga@redsalud.gob.cl"/>
    <x v="7"/>
    <d v="2025-08-20T00:00:00"/>
    <n v="0"/>
    <m/>
    <n v="1"/>
    <n v="17266666"/>
    <d v="2026-02-01T00:00:00"/>
    <x v="0"/>
    <x v="0"/>
  </r>
  <r>
    <s v="SERVICIO DE SALUD OSORNO"/>
    <s v="Bienes y Servicios"/>
    <x v="42"/>
    <s v="Proyecto operacional"/>
    <s v="Publicado"/>
    <s v="22.08.008"/>
    <x v="43"/>
    <s v="LAS SALA CUNAS CON LAS QUE SE REALICE CONVENIO, DEBEN CONTAR CON AUTORIZACIÓN DE FUNCIONAMIENTO, EMANADA POR LA SUBSECRETARÍA DE EDUCACIÓN PARVULARIA, CONTANDO CON REGLAMENTO INTERNOS, PROTOCOLOS ESTABLECIDOS POR NORMATIVA, PROYECTO EDUCATIVO INSTITUCIONAL, Y SOBRETOODO PERSONAL CALIFICADO PARA LA ATENCIÓN Y CUIDADOS DE LOS NIÑOS Y NIÑAS QUE ASISTIRAN."/>
    <n v="1"/>
    <s v="Sala Cuna"/>
    <n v="4"/>
    <n v="1"/>
    <n v="207200000"/>
    <n v="17266666"/>
    <x v="11"/>
    <x v="18"/>
    <x v="27"/>
    <x v="30"/>
    <s v="64-2567096-"/>
    <s v="claudia.munozga@redsalud.gob.cl"/>
    <x v="7"/>
    <d v="2025-08-20T00:00:00"/>
    <n v="0"/>
    <m/>
    <n v="1"/>
    <n v="17266666"/>
    <d v="2026-08-01T00:00:00"/>
    <x v="0"/>
    <x v="0"/>
  </r>
  <r>
    <s v="SERVICIO DE SALUD OSORNO"/>
    <s v="Bienes y Servicios"/>
    <x v="42"/>
    <s v="Proyecto operacional"/>
    <s v="Publicado"/>
    <s v="22.08.008"/>
    <x v="43"/>
    <s v="LAS SALA CUNAS CON LAS QUE SE REALICE CONVENIO, DEBEN CONTAR CON AUTORIZACIÓN DE FUNCIONAMIENTO, EMANADA POR LA SUBSECRETARÍA DE EDUCACIÓN PARVULARIA, CONTANDO CON REGLAMENTO INTERNOS, PROTOCOLOS ESTABLECIDOS POR NORMATIVA, PROYECTO EDUCATIVO INSTITUCIONAL, Y SOBRETOODO PERSONAL CALIFICADO PARA LA ATENCIÓN Y CUIDADOS DE LOS NIÑOS Y NIÑAS QUE ASISTIRAN."/>
    <n v="1"/>
    <s v="Sala Cuna"/>
    <n v="4"/>
    <n v="1"/>
    <n v="207200000"/>
    <n v="17266666"/>
    <x v="11"/>
    <x v="18"/>
    <x v="27"/>
    <x v="30"/>
    <s v="64-2567096-"/>
    <s v="claudia.munozga@redsalud.gob.cl"/>
    <x v="7"/>
    <d v="2025-08-20T00:00:00"/>
    <n v="0"/>
    <m/>
    <n v="1"/>
    <n v="17266666"/>
    <d v="2026-11-01T00:00:00"/>
    <x v="0"/>
    <x v="0"/>
  </r>
  <r>
    <s v="SERVICIO DE SALUD OSORNO"/>
    <s v="Bienes y Servicios"/>
    <x v="42"/>
    <s v="Proyecto operacional"/>
    <s v="Publicado"/>
    <s v="22.08.008"/>
    <x v="43"/>
    <s v="LAS SALA CUNAS CON LAS QUE SE REALICE CONVENIO, DEBEN CONTAR CON AUTORIZACIÓN DE FUNCIONAMIENTO, EMANADA POR LA SUBSECRETARÍA DE EDUCACIÓN PARVULARIA, CONTANDO CON REGLAMENTO INTERNOS, PROTOCOLOS ESTABLECIDOS POR NORMATIVA, PROYECTO EDUCATIVO INSTITUCIONAL, Y SOBRETOODO PERSONAL CALIFICADO PARA LA ATENCIÓN Y CUIDADOS DE LOS NIÑOS Y NIÑAS QUE ASISTIRAN."/>
    <n v="1"/>
    <s v="Sala Cuna"/>
    <n v="4"/>
    <n v="1"/>
    <n v="207200000"/>
    <n v="17266666"/>
    <x v="11"/>
    <x v="18"/>
    <x v="27"/>
    <x v="30"/>
    <s v="64-2567096-"/>
    <s v="claudia.munozga@redsalud.gob.cl"/>
    <x v="7"/>
    <d v="2025-08-20T00:00:00"/>
    <n v="0"/>
    <m/>
    <n v="1"/>
    <n v="17266666"/>
    <d v="2026-06-01T00:00:00"/>
    <x v="0"/>
    <x v="0"/>
  </r>
  <r>
    <s v="SERVICIO DE SALUD OSORNO"/>
    <s v="Bienes y Servicios"/>
    <x v="42"/>
    <s v="Proyecto operacional"/>
    <s v="Publicado"/>
    <s v="22.08.008"/>
    <x v="43"/>
    <s v="LAS SALA CUNAS CON LAS QUE SE REALICE CONVENIO, DEBEN CONTAR CON AUTORIZACIÓN DE FUNCIONAMIENTO, EMANADA POR LA SUBSECRETARÍA DE EDUCACIÓN PARVULARIA, CONTANDO CON REGLAMENTO INTERNOS, PROTOCOLOS ESTABLECIDOS POR NORMATIVA, PROYECTO EDUCATIVO INSTITUCIONAL, Y SOBRETOODO PERSONAL CALIFICADO PARA LA ATENCIÓN Y CUIDADOS DE LOS NIÑOS Y NIÑAS QUE ASISTIRAN."/>
    <n v="1"/>
    <s v="Sala Cuna"/>
    <n v="4"/>
    <n v="1"/>
    <n v="207200000"/>
    <n v="17266666"/>
    <x v="11"/>
    <x v="18"/>
    <x v="27"/>
    <x v="30"/>
    <s v="64-2567096-"/>
    <s v="claudia.munozga@redsalud.gob.cl"/>
    <x v="7"/>
    <d v="2025-08-20T00:00:00"/>
    <n v="0"/>
    <m/>
    <n v="1"/>
    <n v="17266666"/>
    <d v="2026-03-01T00:00:00"/>
    <x v="0"/>
    <x v="0"/>
  </r>
  <r>
    <s v="SERVICIO DE SALUD OSORNO"/>
    <s v="Bienes y Servicios"/>
    <x v="42"/>
    <s v="Proyecto operacional"/>
    <s v="Publicado"/>
    <s v="22.08.008"/>
    <x v="43"/>
    <s v="LAS SALA CUNAS CON LAS QUE SE REALICE CONVENIO, DEBEN CONTAR CON AUTORIZACIÓN DE FUNCIONAMIENTO, EMANADA POR LA SUBSECRETARÍA DE EDUCACIÓN PARVULARIA, CONTANDO CON REGLAMENTO INTERNOS, PROTOCOLOS ESTABLECIDOS POR NORMATIVA, PROYECTO EDUCATIVO INSTITUCIONAL, Y SOBRETOODO PERSONAL CALIFICADO PARA LA ATENCIÓN Y CUIDADOS DE LOS NIÑOS Y NIÑAS QUE ASISTIRAN."/>
    <n v="1"/>
    <s v="Sala Cuna"/>
    <n v="4"/>
    <n v="1"/>
    <n v="207200000"/>
    <n v="17266666"/>
    <x v="11"/>
    <x v="18"/>
    <x v="27"/>
    <x v="30"/>
    <s v="64-2567096-"/>
    <s v="claudia.munozga@redsalud.gob.cl"/>
    <x v="7"/>
    <d v="2025-08-20T00:00:00"/>
    <n v="0"/>
    <m/>
    <n v="1"/>
    <n v="17266666"/>
    <d v="2026-07-01T00:00:00"/>
    <x v="0"/>
    <x v="0"/>
  </r>
  <r>
    <s v="SERVICIO DE SALUD OSORNO"/>
    <s v="Bienes y Servicios"/>
    <x v="42"/>
    <s v="Proyecto operacional"/>
    <s v="Publicado"/>
    <s v="22.08.008"/>
    <x v="43"/>
    <s v="LAS SALA CUNAS CON LAS QUE SE REALICE CONVENIO, DEBEN CONTAR CON AUTORIZACIÓN DE FUNCIONAMIENTO, EMANADA POR LA SUBSECRETARÍA DE EDUCACIÓN PARVULARIA, CONTANDO CON REGLAMENTO INTERNOS, PROTOCOLOS ESTABLECIDOS POR NORMATIVA, PROYECTO EDUCATIVO INSTITUCIONAL, Y SOBRETOODO PERSONAL CALIFICADO PARA LA ATENCIÓN Y CUIDADOS DE LOS NIÑOS Y NIÑAS QUE ASISTIRAN."/>
    <n v="1"/>
    <s v="Sala Cuna"/>
    <n v="4"/>
    <n v="1"/>
    <n v="207200000"/>
    <n v="17266666"/>
    <x v="11"/>
    <x v="18"/>
    <x v="27"/>
    <x v="30"/>
    <s v="64-2567096-"/>
    <s v="claudia.munozga@redsalud.gob.cl"/>
    <x v="7"/>
    <d v="2025-08-20T00:00:00"/>
    <n v="0"/>
    <m/>
    <n v="1"/>
    <n v="17266666"/>
    <d v="2026-10-01T00:00:00"/>
    <x v="0"/>
    <x v="0"/>
  </r>
  <r>
    <s v="SERVICIO DE SALUD OSORNO"/>
    <s v="Bienes y Servicios"/>
    <x v="42"/>
    <s v="Proyecto operacional"/>
    <s v="Publicado"/>
    <s v="22.08.008"/>
    <x v="43"/>
    <s v="LAS SALA CUNAS CON LAS QUE SE REALICE CONVENIO, DEBEN CONTAR CON AUTORIZACIÓN DE FUNCIONAMIENTO, EMANADA POR LA SUBSECRETARÍA DE EDUCACIÓN PARVULARIA, CONTANDO CON REGLAMENTO INTERNOS, PROTOCOLOS ESTABLECIDOS POR NORMATIVA, PROYECTO EDUCATIVO INSTITUCIONAL, Y SOBRETOODO PERSONAL CALIFICADO PARA LA ATENCIÓN Y CUIDADOS DE LOS NIÑOS Y NIÑAS QUE ASISTIRAN."/>
    <n v="1"/>
    <s v="Sala Cuna"/>
    <n v="4"/>
    <n v="1"/>
    <n v="207200000"/>
    <n v="17266666"/>
    <x v="11"/>
    <x v="18"/>
    <x v="27"/>
    <x v="30"/>
    <s v="64-2567096-"/>
    <s v="claudia.munozga@redsalud.gob.cl"/>
    <x v="7"/>
    <d v="2025-08-20T00:00:00"/>
    <n v="0"/>
    <m/>
    <n v="1"/>
    <n v="17266666"/>
    <d v="2026-09-01T00:00:00"/>
    <x v="0"/>
    <x v="0"/>
  </r>
  <r>
    <s v="SERVICIO DE SALUD OSORNO"/>
    <s v="Bienes y Servicios"/>
    <x v="42"/>
    <s v="Proyecto operacional"/>
    <s v="Publicado"/>
    <s v="22.08.008"/>
    <x v="43"/>
    <s v="LAS SALA CUNAS CON LAS QUE SE REALICE CONVENIO, DEBEN CONTAR CON AUTORIZACIÓN DE FUNCIONAMIENTO, EMANADA POR LA SUBSECRETARÍA DE EDUCACIÓN PARVULARIA, CONTANDO CON REGLAMENTO INTERNOS, PROTOCOLOS ESTABLECIDOS POR NORMATIVA, PROYECTO EDUCATIVO INSTITUCIONAL, Y SOBRETOODO PERSONAL CALIFICADO PARA LA ATENCIÓN Y CUIDADOS DE LOS NIÑOS Y NIÑAS QUE ASISTIRAN."/>
    <n v="1"/>
    <s v="Sala Cuna"/>
    <n v="4"/>
    <n v="1"/>
    <n v="207200000"/>
    <n v="17266666"/>
    <x v="11"/>
    <x v="18"/>
    <x v="27"/>
    <x v="30"/>
    <s v="64-2567096-"/>
    <s v="claudia.munozga@redsalud.gob.cl"/>
    <x v="7"/>
    <d v="2025-08-20T00:00:00"/>
    <n v="0"/>
    <m/>
    <n v="1"/>
    <n v="17266666"/>
    <d v="2026-12-01T00:00:00"/>
    <x v="0"/>
    <x v="0"/>
  </r>
  <r>
    <s v="SERVICIO DE SALUD OSORNO"/>
    <s v="Bienes y Servicios"/>
    <x v="43"/>
    <s v="Proyecto estratégico"/>
    <s v="Publicado"/>
    <s v="22.12.999.022"/>
    <x v="44"/>
    <s v="Se requiere la contratación del servicio denominado 11.040 Días de Programa de Rehabilitación Tipo II por un periodo de 12 meses, debiéndose otorgar 920 prestaciones mensuales para la atención regular y continua de un conjunto de actividades de rehabilitación por dieciocho a treinta horas semanales, en un mínimo de cuatro días y un período máximo de dos años. El servicio se requiere a contar del 01/01/2026 hasta el 31/12/2026. A un valor día programa rehabilitación tipo II de $19.547"/>
    <n v="1"/>
    <s v="Programa"/>
    <n v="4"/>
    <n v="11040"/>
    <n v="22315"/>
    <n v="20529800"/>
    <x v="11"/>
    <x v="20"/>
    <x v="28"/>
    <x v="31"/>
    <s v="64-2565813-"/>
    <s v="antonia.caifil@redsalud.gob.cl"/>
    <x v="6"/>
    <d v="2025-08-20T00:00:00"/>
    <n v="0"/>
    <m/>
    <n v="1"/>
    <n v="20529800"/>
    <d v="2026-11-01T00:00:00"/>
    <x v="0"/>
    <x v="0"/>
  </r>
  <r>
    <s v="SERVICIO DE SALUD OSORNO"/>
    <s v="Bienes y Servicios"/>
    <x v="43"/>
    <s v="Proyecto estratégico"/>
    <s v="Publicado"/>
    <s v="22.12.999.022"/>
    <x v="44"/>
    <s v="Se requiere la contratación del servicio denominado 11.040 Días de Programa de Rehabilitación Tipo II por un periodo de 12 meses, debiéndose otorgar 920 prestaciones mensuales para la atención regular y continua de un conjunto de actividades de rehabilitación por dieciocho a treinta horas semanales, en un mínimo de cuatro días y un período máximo de dos años. El servicio se requiere a contar del 01/01/2026 hasta el 31/12/2026. A un valor día programa rehabilitación tipo II de $19.547"/>
    <n v="1"/>
    <s v="Programa"/>
    <n v="4"/>
    <n v="11040"/>
    <n v="22315"/>
    <n v="20529800"/>
    <x v="11"/>
    <x v="20"/>
    <x v="28"/>
    <x v="31"/>
    <s v="64-2565813-"/>
    <s v="antonia.caifil@redsalud.gob.cl"/>
    <x v="6"/>
    <d v="2025-08-20T00:00:00"/>
    <n v="0"/>
    <m/>
    <n v="1"/>
    <n v="20529800"/>
    <d v="2026-05-01T00:00:00"/>
    <x v="0"/>
    <x v="0"/>
  </r>
  <r>
    <s v="SERVICIO DE SALUD OSORNO"/>
    <s v="Bienes y Servicios"/>
    <x v="43"/>
    <s v="Proyecto estratégico"/>
    <s v="Publicado"/>
    <s v="22.12.999.022"/>
    <x v="44"/>
    <s v="Se requiere la contratación del servicio denominado 11.040 Días de Programa de Rehabilitación Tipo II por un periodo de 12 meses, debiéndose otorgar 920 prestaciones mensuales para la atención regular y continua de un conjunto de actividades de rehabilitación por dieciocho a treinta horas semanales, en un mínimo de cuatro días y un período máximo de dos años. El servicio se requiere a contar del 01/01/2026 hasta el 31/12/2026. A un valor día programa rehabilitación tipo II de $19.547"/>
    <n v="1"/>
    <s v="Programa"/>
    <n v="4"/>
    <n v="11040"/>
    <n v="22315"/>
    <n v="20529800"/>
    <x v="11"/>
    <x v="20"/>
    <x v="28"/>
    <x v="31"/>
    <s v="64-2565813-"/>
    <s v="antonia.caifil@redsalud.gob.cl"/>
    <x v="6"/>
    <d v="2025-08-20T00:00:00"/>
    <n v="0"/>
    <m/>
    <n v="1"/>
    <n v="20529800"/>
    <d v="2026-02-01T00:00:00"/>
    <x v="0"/>
    <x v="0"/>
  </r>
  <r>
    <s v="SERVICIO DE SALUD OSORNO"/>
    <s v="Bienes y Servicios"/>
    <x v="43"/>
    <s v="Proyecto estratégico"/>
    <s v="Publicado"/>
    <s v="22.12.999.022"/>
    <x v="44"/>
    <s v="Se requiere la contratación del servicio denominado 11.040 Días de Programa de Rehabilitación Tipo II por un periodo de 12 meses, debiéndose otorgar 920 prestaciones mensuales para la atención regular y continua de un conjunto de actividades de rehabilitación por dieciocho a treinta horas semanales, en un mínimo de cuatro días y un período máximo de dos años. El servicio se requiere a contar del 01/01/2026 hasta el 31/12/2026. A un valor día programa rehabilitación tipo II de $19.547"/>
    <n v="1"/>
    <s v="Programa"/>
    <n v="4"/>
    <n v="11040"/>
    <n v="22315"/>
    <n v="20529800"/>
    <x v="11"/>
    <x v="20"/>
    <x v="28"/>
    <x v="31"/>
    <s v="64-2565813-"/>
    <s v="antonia.caifil@redsalud.gob.cl"/>
    <x v="6"/>
    <d v="2025-08-20T00:00:00"/>
    <n v="0"/>
    <m/>
    <n v="1"/>
    <n v="20529800"/>
    <d v="2026-04-01T00:00:00"/>
    <x v="0"/>
    <x v="0"/>
  </r>
  <r>
    <s v="SERVICIO DE SALUD OSORNO"/>
    <s v="Bienes y Servicios"/>
    <x v="43"/>
    <s v="Proyecto estratégico"/>
    <s v="Publicado"/>
    <s v="22.12.999.022"/>
    <x v="44"/>
    <s v="Se requiere la contratación del servicio denominado 11.040 Días de Programa de Rehabilitación Tipo II por un periodo de 12 meses, debiéndose otorgar 920 prestaciones mensuales para la atención regular y continua de un conjunto de actividades de rehabilitación por dieciocho a treinta horas semanales, en un mínimo de cuatro días y un período máximo de dos años. El servicio se requiere a contar del 01/01/2026 hasta el 31/12/2026. A un valor día programa rehabilitación tipo II de $19.547"/>
    <n v="1"/>
    <s v="Programa"/>
    <n v="4"/>
    <n v="11040"/>
    <n v="22315"/>
    <n v="20529800"/>
    <x v="11"/>
    <x v="20"/>
    <x v="28"/>
    <x v="31"/>
    <s v="64-2565813-"/>
    <s v="antonia.caifil@redsalud.gob.cl"/>
    <x v="6"/>
    <d v="2025-08-20T00:00:00"/>
    <n v="0"/>
    <m/>
    <n v="1"/>
    <n v="20529800"/>
    <d v="2026-08-01T00:00:00"/>
    <x v="0"/>
    <x v="0"/>
  </r>
  <r>
    <s v="SERVICIO DE SALUD OSORNO"/>
    <s v="Bienes y Servicios"/>
    <x v="43"/>
    <s v="Proyecto estratégico"/>
    <s v="Publicado"/>
    <s v="22.12.999.022"/>
    <x v="44"/>
    <s v="Se requiere la contratación del servicio denominado 11.040 Días de Programa de Rehabilitación Tipo II por un periodo de 12 meses, debiéndose otorgar 920 prestaciones mensuales para la atención regular y continua de un conjunto de actividades de rehabilitación por dieciocho a treinta horas semanales, en un mínimo de cuatro días y un período máximo de dos años. El servicio se requiere a contar del 01/01/2026 hasta el 31/12/2026. A un valor día programa rehabilitación tipo II de $19.547"/>
    <n v="1"/>
    <s v="Programa"/>
    <n v="4"/>
    <n v="11040"/>
    <n v="22315"/>
    <n v="20529800"/>
    <x v="11"/>
    <x v="20"/>
    <x v="28"/>
    <x v="31"/>
    <s v="64-2565813-"/>
    <s v="antonia.caifil@redsalud.gob.cl"/>
    <x v="6"/>
    <d v="2025-08-20T00:00:00"/>
    <n v="0"/>
    <m/>
    <n v="1"/>
    <n v="20529800"/>
    <d v="2026-06-01T00:00:00"/>
    <x v="0"/>
    <x v="0"/>
  </r>
  <r>
    <s v="SERVICIO DE SALUD OSORNO"/>
    <s v="Bienes y Servicios"/>
    <x v="43"/>
    <s v="Proyecto estratégico"/>
    <s v="Publicado"/>
    <s v="22.12.999.022"/>
    <x v="44"/>
    <s v="Se requiere la contratación del servicio denominado 11.040 Días de Programa de Rehabilitación Tipo II por un periodo de 12 meses, debiéndose otorgar 920 prestaciones mensuales para la atención regular y continua de un conjunto de actividades de rehabilitación por dieciocho a treinta horas semanales, en un mínimo de cuatro días y un período máximo de dos años. El servicio se requiere a contar del 01/01/2026 hasta el 31/12/2026. A un valor día programa rehabilitación tipo II de $19.547"/>
    <n v="1"/>
    <s v="Programa"/>
    <n v="4"/>
    <n v="11040"/>
    <n v="22315"/>
    <n v="20529800"/>
    <x v="11"/>
    <x v="20"/>
    <x v="28"/>
    <x v="31"/>
    <s v="64-2565813-"/>
    <s v="antonia.caifil@redsalud.gob.cl"/>
    <x v="6"/>
    <d v="2025-08-20T00:00:00"/>
    <n v="0"/>
    <m/>
    <n v="1"/>
    <n v="20529800"/>
    <d v="2026-12-01T00:00:00"/>
    <x v="0"/>
    <x v="0"/>
  </r>
  <r>
    <s v="SERVICIO DE SALUD OSORNO"/>
    <s v="Bienes y Servicios"/>
    <x v="43"/>
    <s v="Proyecto estratégico"/>
    <s v="Publicado"/>
    <s v="22.12.999.022"/>
    <x v="44"/>
    <s v="Se requiere la contratación del servicio denominado 11.040 Días de Programa de Rehabilitación Tipo II por un periodo de 12 meses, debiéndose otorgar 920 prestaciones mensuales para la atención regular y continua de un conjunto de actividades de rehabilitación por dieciocho a treinta horas semanales, en un mínimo de cuatro días y un período máximo de dos años. El servicio se requiere a contar del 01/01/2026 hasta el 31/12/2026. A un valor día programa rehabilitación tipo II de $19.547"/>
    <n v="1"/>
    <s v="Programa"/>
    <n v="4"/>
    <n v="11040"/>
    <n v="22315"/>
    <n v="20529800"/>
    <x v="11"/>
    <x v="20"/>
    <x v="28"/>
    <x v="31"/>
    <s v="64-2565813-"/>
    <s v="antonia.caifil@redsalud.gob.cl"/>
    <x v="6"/>
    <d v="2025-08-20T00:00:00"/>
    <n v="0"/>
    <m/>
    <n v="1"/>
    <n v="20529800"/>
    <d v="2026-07-01T00:00:00"/>
    <x v="0"/>
    <x v="0"/>
  </r>
  <r>
    <s v="SERVICIO DE SALUD OSORNO"/>
    <s v="Bienes y Servicios"/>
    <x v="43"/>
    <s v="Proyecto estratégico"/>
    <s v="Publicado"/>
    <s v="22.12.999.022"/>
    <x v="44"/>
    <s v="Se requiere la contratación del servicio denominado 11.040 Días de Programa de Rehabilitación Tipo II por un periodo de 12 meses, debiéndose otorgar 920 prestaciones mensuales para la atención regular y continua de un conjunto de actividades de rehabilitación por dieciocho a treinta horas semanales, en un mínimo de cuatro días y un período máximo de dos años. El servicio se requiere a contar del 01/01/2026 hasta el 31/12/2026. A un valor día programa rehabilitación tipo II de $19.547"/>
    <n v="1"/>
    <s v="Programa"/>
    <n v="4"/>
    <n v="11040"/>
    <n v="22315"/>
    <n v="20529800"/>
    <x v="11"/>
    <x v="20"/>
    <x v="28"/>
    <x v="31"/>
    <s v="64-2565813-"/>
    <s v="antonia.caifil@redsalud.gob.cl"/>
    <x v="6"/>
    <d v="2025-08-20T00:00:00"/>
    <n v="0"/>
    <m/>
    <n v="1"/>
    <n v="20529800"/>
    <d v="2026-10-01T00:00:00"/>
    <x v="0"/>
    <x v="0"/>
  </r>
  <r>
    <s v="SERVICIO DE SALUD OSORNO"/>
    <s v="Bienes y Servicios"/>
    <x v="43"/>
    <s v="Proyecto estratégico"/>
    <s v="Publicado"/>
    <s v="22.12.999.022"/>
    <x v="44"/>
    <s v="Se requiere la contratación del servicio denominado 11.040 Días de Programa de Rehabilitación Tipo II por un periodo de 12 meses, debiéndose otorgar 920 prestaciones mensuales para la atención regular y continua de un conjunto de actividades de rehabilitación por dieciocho a treinta horas semanales, en un mínimo de cuatro días y un período máximo de dos años. El servicio se requiere a contar del 01/01/2026 hasta el 31/12/2026. A un valor día programa rehabilitación tipo II de $19.547"/>
    <n v="1"/>
    <s v="Programa"/>
    <n v="4"/>
    <n v="11040"/>
    <n v="22315"/>
    <n v="20529800"/>
    <x v="11"/>
    <x v="20"/>
    <x v="28"/>
    <x v="31"/>
    <s v="64-2565813-"/>
    <s v="antonia.caifil@redsalud.gob.cl"/>
    <x v="6"/>
    <d v="2025-08-20T00:00:00"/>
    <n v="0"/>
    <m/>
    <n v="1"/>
    <n v="20529800"/>
    <d v="2026-01-01T00:00:00"/>
    <x v="0"/>
    <x v="0"/>
  </r>
  <r>
    <s v="SERVICIO DE SALUD OSORNO"/>
    <s v="Bienes y Servicios"/>
    <x v="43"/>
    <s v="Proyecto estratégico"/>
    <s v="Publicado"/>
    <s v="22.12.999.022"/>
    <x v="44"/>
    <s v="Se requiere la contratación del servicio denominado 11.040 Días de Programa de Rehabilitación Tipo II por un periodo de 12 meses, debiéndose otorgar 920 prestaciones mensuales para la atención regular y continua de un conjunto de actividades de rehabilitación por dieciocho a treinta horas semanales, en un mínimo de cuatro días y un período máximo de dos años. El servicio se requiere a contar del 01/01/2026 hasta el 31/12/2026. A un valor día programa rehabilitación tipo II de $19.547"/>
    <n v="1"/>
    <s v="Programa"/>
    <n v="4"/>
    <n v="11040"/>
    <n v="22315"/>
    <n v="20529800"/>
    <x v="11"/>
    <x v="20"/>
    <x v="28"/>
    <x v="31"/>
    <s v="64-2565813-"/>
    <s v="antonia.caifil@redsalud.gob.cl"/>
    <x v="6"/>
    <d v="2025-08-20T00:00:00"/>
    <n v="0"/>
    <m/>
    <n v="1"/>
    <n v="20529800"/>
    <d v="2026-09-01T00:00:00"/>
    <x v="0"/>
    <x v="0"/>
  </r>
  <r>
    <s v="SERVICIO DE SALUD OSORNO"/>
    <s v="Bienes y Servicios"/>
    <x v="43"/>
    <s v="Proyecto estratégico"/>
    <s v="Publicado"/>
    <s v="22.12.999.022"/>
    <x v="44"/>
    <s v="Se requiere la contratación del servicio denominado 11.040 Días de Programa de Rehabilitación Tipo II por un periodo de 12 meses, debiéndose otorgar 920 prestaciones mensuales para la atención regular y continua de un conjunto de actividades de rehabilitación por dieciocho a treinta horas semanales, en un mínimo de cuatro días y un período máximo de dos años. El servicio se requiere a contar del 01/01/2026 hasta el 31/12/2026. A un valor día programa rehabilitación tipo II de $19.547"/>
    <n v="1"/>
    <s v="Programa"/>
    <n v="4"/>
    <n v="11040"/>
    <n v="22315"/>
    <n v="20529800"/>
    <x v="11"/>
    <x v="20"/>
    <x v="28"/>
    <x v="31"/>
    <s v="64-2565813-"/>
    <s v="antonia.caifil@redsalud.gob.cl"/>
    <x v="6"/>
    <d v="2025-08-20T00:00:00"/>
    <n v="0"/>
    <m/>
    <n v="1"/>
    <n v="20529800"/>
    <d v="2026-03-01T00:00:00"/>
    <x v="0"/>
    <x v="0"/>
  </r>
  <r>
    <s v="SERVICIO DE SALUD OSORNO"/>
    <s v="Administración de Fondos"/>
    <x v="44"/>
    <s v="Proyecto operacional"/>
    <s v="Publicado"/>
    <s v="22.04.004.006"/>
    <x v="45"/>
    <s v="La ejecución de la compra será realizada desde enero a diciembre 2026, al igual que la duración del convenio. Esto debido al escaso espacio en almacenamiento de las ayudas técnicas en bodega, teniendo que realizar varias compras durante el año, según la demanda de los establecimientos de salud."/>
    <n v="1"/>
    <s v="Ayudas Técnicas"/>
    <n v="4"/>
    <n v="4692"/>
    <n v="84050"/>
    <n v="32863550"/>
    <x v="11"/>
    <x v="20"/>
    <x v="29"/>
    <x v="32"/>
    <s v="64-2565818-"/>
    <s v="camila.alvarez@redsalud.gob.cl"/>
    <x v="7"/>
    <d v="2025-08-20T00:00:00"/>
    <n v="0"/>
    <m/>
    <n v="1"/>
    <n v="32863550"/>
    <d v="2026-08-01T00:00:00"/>
    <x v="0"/>
    <x v="0"/>
  </r>
  <r>
    <s v="SERVICIO DE SALUD OSORNO"/>
    <s v="Administración de Fondos"/>
    <x v="44"/>
    <s v="Proyecto operacional"/>
    <s v="Publicado"/>
    <s v="22.04.004.006"/>
    <x v="45"/>
    <s v="La ejecución de la compra será realizada desde enero a diciembre 2026, al igual que la duración del convenio. Esto debido al escaso espacio en almacenamiento de las ayudas técnicas en bodega, teniendo que realizar varias compras durante el año, según la demanda de los establecimientos de salud."/>
    <n v="1"/>
    <s v="Ayudas Técnicas"/>
    <n v="4"/>
    <n v="4692"/>
    <n v="84050"/>
    <n v="32863550"/>
    <x v="11"/>
    <x v="20"/>
    <x v="29"/>
    <x v="32"/>
    <s v="64-2565818-"/>
    <s v="camila.alvarez@redsalud.gob.cl"/>
    <x v="7"/>
    <d v="2025-08-20T00:00:00"/>
    <n v="0"/>
    <m/>
    <n v="1"/>
    <n v="32863550"/>
    <d v="2026-01-01T00:00:00"/>
    <x v="0"/>
    <x v="0"/>
  </r>
  <r>
    <s v="SERVICIO DE SALUD OSORNO"/>
    <s v="Administración de Fondos"/>
    <x v="44"/>
    <s v="Proyecto operacional"/>
    <s v="Publicado"/>
    <s v="22.04.004.006"/>
    <x v="45"/>
    <s v="La ejecución de la compra será realizada desde enero a diciembre 2026, al igual que la duración del convenio. Esto debido al escaso espacio en almacenamiento de las ayudas técnicas en bodega, teniendo que realizar varias compras durante el año, según la demanda de los establecimientos de salud."/>
    <n v="1"/>
    <s v="Ayudas Técnicas"/>
    <n v="4"/>
    <n v="4692"/>
    <n v="84050"/>
    <n v="32863550"/>
    <x v="11"/>
    <x v="20"/>
    <x v="29"/>
    <x v="32"/>
    <s v="64-2565818-"/>
    <s v="camila.alvarez@redsalud.gob.cl"/>
    <x v="7"/>
    <d v="2025-08-20T00:00:00"/>
    <n v="0"/>
    <m/>
    <n v="1"/>
    <n v="32863550"/>
    <d v="2026-06-01T00:00:00"/>
    <x v="0"/>
    <x v="0"/>
  </r>
  <r>
    <s v="SERVICIO DE SALUD OSORNO"/>
    <s v="Administración de Fondos"/>
    <x v="44"/>
    <s v="Proyecto operacional"/>
    <s v="Publicado"/>
    <s v="22.04.004.006"/>
    <x v="45"/>
    <s v="La ejecución de la compra será realizada desde enero a diciembre 2026, al igual que la duración del convenio. Esto debido al escaso espacio en almacenamiento de las ayudas técnicas en bodega, teniendo que realizar varias compras durante el año, según la demanda de los establecimientos de salud."/>
    <n v="1"/>
    <s v="Ayudas Técnicas"/>
    <n v="4"/>
    <n v="4692"/>
    <n v="84050"/>
    <n v="32863550"/>
    <x v="11"/>
    <x v="20"/>
    <x v="29"/>
    <x v="32"/>
    <s v="64-2565818-"/>
    <s v="camila.alvarez@redsalud.gob.cl"/>
    <x v="7"/>
    <d v="2025-08-20T00:00:00"/>
    <n v="0"/>
    <m/>
    <n v="1"/>
    <n v="32863550"/>
    <d v="2026-02-01T00:00:00"/>
    <x v="0"/>
    <x v="0"/>
  </r>
  <r>
    <s v="SERVICIO DE SALUD OSORNO"/>
    <s v="Administración de Fondos"/>
    <x v="44"/>
    <s v="Proyecto operacional"/>
    <s v="Publicado"/>
    <s v="22.04.004.006"/>
    <x v="45"/>
    <s v="La ejecución de la compra será realizada desde enero a diciembre 2026, al igual que la duración del convenio. Esto debido al escaso espacio en almacenamiento de las ayudas técnicas en bodega, teniendo que realizar varias compras durante el año, según la demanda de los establecimientos de salud."/>
    <n v="1"/>
    <s v="Ayudas Técnicas"/>
    <n v="4"/>
    <n v="4692"/>
    <n v="84050"/>
    <n v="32863550"/>
    <x v="11"/>
    <x v="20"/>
    <x v="29"/>
    <x v="32"/>
    <s v="64-2565818-"/>
    <s v="camila.alvarez@redsalud.gob.cl"/>
    <x v="7"/>
    <d v="2025-08-20T00:00:00"/>
    <n v="0"/>
    <m/>
    <n v="1"/>
    <n v="32863550"/>
    <d v="2026-07-01T00:00:00"/>
    <x v="0"/>
    <x v="0"/>
  </r>
  <r>
    <s v="SERVICIO DE SALUD OSORNO"/>
    <s v="Administración de Fondos"/>
    <x v="44"/>
    <s v="Proyecto operacional"/>
    <s v="Publicado"/>
    <s v="22.04.004.006"/>
    <x v="45"/>
    <s v="La ejecución de la compra será realizada desde enero a diciembre 2026, al igual que la duración del convenio. Esto debido al escaso espacio en almacenamiento de las ayudas técnicas en bodega, teniendo que realizar varias compras durante el año, según la demanda de los establecimientos de salud."/>
    <n v="1"/>
    <s v="Ayudas Técnicas"/>
    <n v="4"/>
    <n v="4692"/>
    <n v="84050"/>
    <n v="32863550"/>
    <x v="11"/>
    <x v="20"/>
    <x v="29"/>
    <x v="32"/>
    <s v="64-2565818-"/>
    <s v="camila.alvarez@redsalud.gob.cl"/>
    <x v="7"/>
    <d v="2025-08-20T00:00:00"/>
    <n v="0"/>
    <m/>
    <n v="1"/>
    <n v="32863550"/>
    <d v="2026-11-01T00:00:00"/>
    <x v="0"/>
    <x v="0"/>
  </r>
  <r>
    <s v="SERVICIO DE SALUD OSORNO"/>
    <s v="Administración de Fondos"/>
    <x v="44"/>
    <s v="Proyecto operacional"/>
    <s v="Publicado"/>
    <s v="22.04.004.006"/>
    <x v="45"/>
    <s v="La ejecución de la compra será realizada desde enero a diciembre 2026, al igual que la duración del convenio. Esto debido al escaso espacio en almacenamiento de las ayudas técnicas en bodega, teniendo que realizar varias compras durante el año, según la demanda de los establecimientos de salud."/>
    <n v="1"/>
    <s v="Ayudas Técnicas"/>
    <n v="4"/>
    <n v="4692"/>
    <n v="84050"/>
    <n v="32863550"/>
    <x v="11"/>
    <x v="20"/>
    <x v="29"/>
    <x v="32"/>
    <s v="64-2565818-"/>
    <s v="camila.alvarez@redsalud.gob.cl"/>
    <x v="7"/>
    <d v="2025-08-20T00:00:00"/>
    <n v="0"/>
    <m/>
    <n v="1"/>
    <n v="32863550"/>
    <d v="2026-04-01T00:00:00"/>
    <x v="0"/>
    <x v="0"/>
  </r>
  <r>
    <s v="SERVICIO DE SALUD OSORNO"/>
    <s v="Administración de Fondos"/>
    <x v="44"/>
    <s v="Proyecto operacional"/>
    <s v="Publicado"/>
    <s v="22.04.004.006"/>
    <x v="45"/>
    <s v="La ejecución de la compra será realizada desde enero a diciembre 2026, al igual que la duración del convenio. Esto debido al escaso espacio en almacenamiento de las ayudas técnicas en bodega, teniendo que realizar varias compras durante el año, según la demanda de los establecimientos de salud."/>
    <n v="1"/>
    <s v="Ayudas Técnicas"/>
    <n v="4"/>
    <n v="4692"/>
    <n v="84050"/>
    <n v="32863550"/>
    <x v="11"/>
    <x v="20"/>
    <x v="29"/>
    <x v="32"/>
    <s v="64-2565818-"/>
    <s v="camila.alvarez@redsalud.gob.cl"/>
    <x v="7"/>
    <d v="2025-08-20T00:00:00"/>
    <n v="0"/>
    <m/>
    <n v="1"/>
    <n v="32863550"/>
    <d v="2026-12-01T00:00:00"/>
    <x v="0"/>
    <x v="0"/>
  </r>
  <r>
    <s v="SERVICIO DE SALUD OSORNO"/>
    <s v="Administración de Fondos"/>
    <x v="44"/>
    <s v="Proyecto operacional"/>
    <s v="Publicado"/>
    <s v="22.04.004.006"/>
    <x v="45"/>
    <s v="La ejecución de la compra será realizada desde enero a diciembre 2026, al igual que la duración del convenio. Esto debido al escaso espacio en almacenamiento de las ayudas técnicas en bodega, teniendo que realizar varias compras durante el año, según la demanda de los establecimientos de salud."/>
    <n v="1"/>
    <s v="Ayudas Técnicas"/>
    <n v="4"/>
    <n v="4692"/>
    <n v="84050"/>
    <n v="32863550"/>
    <x v="11"/>
    <x v="20"/>
    <x v="29"/>
    <x v="32"/>
    <s v="64-2565818-"/>
    <s v="camila.alvarez@redsalud.gob.cl"/>
    <x v="7"/>
    <d v="2025-08-20T00:00:00"/>
    <n v="0"/>
    <m/>
    <n v="1"/>
    <n v="32863550"/>
    <d v="2026-05-01T00:00:00"/>
    <x v="0"/>
    <x v="0"/>
  </r>
  <r>
    <s v="SERVICIO DE SALUD OSORNO"/>
    <s v="Administración de Fondos"/>
    <x v="44"/>
    <s v="Proyecto operacional"/>
    <s v="Publicado"/>
    <s v="22.04.004.006"/>
    <x v="45"/>
    <s v="La ejecución de la compra será realizada desde enero a diciembre 2026, al igual que la duración del convenio. Esto debido al escaso espacio en almacenamiento de las ayudas técnicas en bodega, teniendo que realizar varias compras durante el año, según la demanda de los establecimientos de salud."/>
    <n v="1"/>
    <s v="Ayudas Técnicas"/>
    <n v="4"/>
    <n v="4692"/>
    <n v="84050"/>
    <n v="32863550"/>
    <x v="11"/>
    <x v="20"/>
    <x v="29"/>
    <x v="32"/>
    <s v="64-2565818-"/>
    <s v="camila.alvarez@redsalud.gob.cl"/>
    <x v="7"/>
    <d v="2025-08-20T00:00:00"/>
    <n v="0"/>
    <m/>
    <n v="1"/>
    <n v="32863550"/>
    <d v="2026-03-01T00:00:00"/>
    <x v="0"/>
    <x v="0"/>
  </r>
  <r>
    <s v="SERVICIO DE SALUD OSORNO"/>
    <s v="Administración de Fondos"/>
    <x v="44"/>
    <s v="Proyecto operacional"/>
    <s v="Publicado"/>
    <s v="22.04.004.006"/>
    <x v="45"/>
    <s v="La ejecución de la compra será realizada desde enero a diciembre 2026, al igual que la duración del convenio. Esto debido al escaso espacio en almacenamiento de las ayudas técnicas en bodega, teniendo que realizar varias compras durante el año, según la demanda de los establecimientos de salud."/>
    <n v="1"/>
    <s v="Ayudas Técnicas"/>
    <n v="4"/>
    <n v="4692"/>
    <n v="84050"/>
    <n v="32863550"/>
    <x v="11"/>
    <x v="20"/>
    <x v="29"/>
    <x v="32"/>
    <s v="64-2565818-"/>
    <s v="camila.alvarez@redsalud.gob.cl"/>
    <x v="7"/>
    <d v="2025-08-20T00:00:00"/>
    <n v="0"/>
    <m/>
    <n v="1"/>
    <n v="32863550"/>
    <d v="2026-09-01T00:00:00"/>
    <x v="0"/>
    <x v="0"/>
  </r>
  <r>
    <s v="SERVICIO DE SALUD OSORNO"/>
    <s v="Administración de Fondos"/>
    <x v="44"/>
    <s v="Proyecto operacional"/>
    <s v="Publicado"/>
    <s v="22.04.004.006"/>
    <x v="45"/>
    <s v="La ejecución de la compra será realizada desde enero a diciembre 2026, al igual que la duración del convenio. Esto debido al escaso espacio en almacenamiento de las ayudas técnicas en bodega, teniendo que realizar varias compras durante el año, según la demanda de los establecimientos de salud."/>
    <n v="1"/>
    <s v="Ayudas Técnicas"/>
    <n v="4"/>
    <n v="4692"/>
    <n v="84050"/>
    <n v="32863550"/>
    <x v="11"/>
    <x v="20"/>
    <x v="29"/>
    <x v="32"/>
    <s v="64-2565818-"/>
    <s v="camila.alvarez@redsalud.gob.cl"/>
    <x v="7"/>
    <d v="2025-08-20T00:00:00"/>
    <n v="0"/>
    <m/>
    <n v="1"/>
    <n v="32863550"/>
    <d v="2026-10-01T00:00:00"/>
    <x v="0"/>
    <x v="0"/>
  </r>
  <r>
    <s v="SERVICIO DE SALUD OSORNO"/>
    <s v="Bienes y Servicios"/>
    <x v="45"/>
    <s v="Proyecto operacional"/>
    <s v="Publicado"/>
    <s v="22.12.999.022"/>
    <x v="46"/>
    <s v="Se requiere la contratación del servicio denominado Hogar Protegido para Hombres, para 8 usuarios beneficiados, por un periodo de 12 meses. Incluyendo 1 usuario en categoría 3. Periodo Enero a diciembre 2026. Vigencia desde el 1 de enero del 2026."/>
    <n v="2"/>
    <s v="Hogar Protegido (7)"/>
    <n v="4"/>
    <n v="7"/>
    <n v="12957500"/>
    <n v="7558541"/>
    <x v="11"/>
    <x v="20"/>
    <x v="12"/>
    <x v="33"/>
    <s v="64-2565813-"/>
    <s v="angelo.palma@redsalud.gob.cl"/>
    <x v="13"/>
    <d v="2025-08-20T00:00:00"/>
    <n v="0"/>
    <m/>
    <n v="1"/>
    <n v="7558541"/>
    <d v="2026-02-01T00:00:00"/>
    <x v="0"/>
    <x v="0"/>
  </r>
  <r>
    <s v="SERVICIO DE SALUD OSORNO"/>
    <s v="Bienes y Servicios"/>
    <x v="45"/>
    <s v="Proyecto operacional"/>
    <s v="Publicado"/>
    <s v="22.12.999.022"/>
    <x v="46"/>
    <s v="Se requiere la contratación del servicio denominado Hogar Protegido para Hombres, para 8 usuarios beneficiados, por un periodo de 12 meses. Incluyendo 1 usuario en categoría 3. Periodo Enero a diciembre 2026. Vigencia desde el 1 de enero del 2026."/>
    <n v="2"/>
    <s v="Hogar Protegido (7)"/>
    <n v="4"/>
    <n v="7"/>
    <n v="12957500"/>
    <n v="7558541"/>
    <x v="11"/>
    <x v="20"/>
    <x v="12"/>
    <x v="33"/>
    <s v="64-2565813-"/>
    <s v="angelo.palma@redsalud.gob.cl"/>
    <x v="13"/>
    <d v="2025-08-20T00:00:00"/>
    <n v="0"/>
    <m/>
    <n v="1"/>
    <n v="7558541"/>
    <d v="2026-06-01T00:00:00"/>
    <x v="0"/>
    <x v="0"/>
  </r>
  <r>
    <s v="SERVICIO DE SALUD OSORNO"/>
    <s v="Bienes y Servicios"/>
    <x v="45"/>
    <s v="Proyecto operacional"/>
    <s v="Publicado"/>
    <s v="22.12.999.022"/>
    <x v="46"/>
    <s v="Se requiere la contratación del servicio denominado Hogar Protegido para Hombres, para 8 usuarios beneficiados, por un periodo de 12 meses. Incluyendo 1 usuario en categoría 3. Periodo Enero a diciembre 2026. Vigencia desde el 1 de enero del 2026."/>
    <n v="2"/>
    <s v="Hogar Protegido (7)"/>
    <n v="4"/>
    <n v="7"/>
    <n v="12957500"/>
    <n v="7558541"/>
    <x v="11"/>
    <x v="20"/>
    <x v="12"/>
    <x v="33"/>
    <s v="64-2565813-"/>
    <s v="angelo.palma@redsalud.gob.cl"/>
    <x v="13"/>
    <d v="2025-08-20T00:00:00"/>
    <n v="0"/>
    <m/>
    <n v="1"/>
    <n v="7558541"/>
    <d v="2026-07-01T00:00:00"/>
    <x v="0"/>
    <x v="0"/>
  </r>
  <r>
    <s v="SERVICIO DE SALUD OSORNO"/>
    <s v="Bienes y Servicios"/>
    <x v="45"/>
    <s v="Proyecto operacional"/>
    <s v="Publicado"/>
    <s v="22.12.999.022"/>
    <x v="46"/>
    <s v="Se requiere la contratación del servicio denominado Hogar Protegido para Hombres, para 8 usuarios beneficiados, por un periodo de 12 meses. Incluyendo 1 usuario en categoría 3. Periodo Enero a diciembre 2026. Vigencia desde el 1 de enero del 2026."/>
    <n v="2"/>
    <s v="Hogar Protegido (7)"/>
    <n v="4"/>
    <n v="7"/>
    <n v="12957500"/>
    <n v="7558541"/>
    <x v="11"/>
    <x v="20"/>
    <x v="12"/>
    <x v="33"/>
    <s v="64-2565813-"/>
    <s v="angelo.palma@redsalud.gob.cl"/>
    <x v="13"/>
    <d v="2025-08-20T00:00:00"/>
    <n v="0"/>
    <m/>
    <n v="1"/>
    <n v="7558541"/>
    <d v="2026-05-01T00:00:00"/>
    <x v="0"/>
    <x v="0"/>
  </r>
  <r>
    <s v="SERVICIO DE SALUD OSORNO"/>
    <s v="Bienes y Servicios"/>
    <x v="45"/>
    <s v="Proyecto operacional"/>
    <s v="Publicado"/>
    <s v="22.12.999.022"/>
    <x v="46"/>
    <s v="Se requiere la contratación del servicio denominado Hogar Protegido para Hombres, para 8 usuarios beneficiados, por un periodo de 12 meses. Incluyendo 1 usuario en categoría 3. Periodo Enero a diciembre 2026. Vigencia desde el 1 de enero del 2026."/>
    <n v="2"/>
    <s v="Hogar Protegido (7)"/>
    <n v="4"/>
    <n v="7"/>
    <n v="12957500"/>
    <n v="7558541"/>
    <x v="11"/>
    <x v="20"/>
    <x v="12"/>
    <x v="33"/>
    <s v="64-2565813-"/>
    <s v="angelo.palma@redsalud.gob.cl"/>
    <x v="13"/>
    <d v="2025-08-20T00:00:00"/>
    <n v="0"/>
    <m/>
    <n v="1"/>
    <n v="7558541"/>
    <d v="2026-04-01T00:00:00"/>
    <x v="0"/>
    <x v="0"/>
  </r>
  <r>
    <s v="SERVICIO DE SALUD OSORNO"/>
    <s v="Bienes y Servicios"/>
    <x v="45"/>
    <s v="Proyecto operacional"/>
    <s v="Publicado"/>
    <s v="22.12.999.022"/>
    <x v="46"/>
    <s v="Se requiere la contratación del servicio denominado Hogar Protegido para Hombres, para 8 usuarios beneficiados, por un periodo de 12 meses. Incluyendo 1 usuario en categoría 3. Periodo Enero a diciembre 2026. Vigencia desde el 1 de enero del 2026."/>
    <n v="2"/>
    <s v="Hogar Protegido (7)"/>
    <n v="4"/>
    <n v="7"/>
    <n v="12957500"/>
    <n v="7558541"/>
    <x v="11"/>
    <x v="20"/>
    <x v="12"/>
    <x v="33"/>
    <s v="64-2565813-"/>
    <s v="angelo.palma@redsalud.gob.cl"/>
    <x v="13"/>
    <d v="2025-08-20T00:00:00"/>
    <n v="0"/>
    <m/>
    <n v="1"/>
    <n v="7558541"/>
    <d v="2026-01-01T00:00:00"/>
    <x v="0"/>
    <x v="0"/>
  </r>
  <r>
    <s v="SERVICIO DE SALUD OSORNO"/>
    <s v="Bienes y Servicios"/>
    <x v="45"/>
    <s v="Proyecto operacional"/>
    <s v="Publicado"/>
    <s v="22.12.999.022"/>
    <x v="46"/>
    <s v="Se requiere la contratación del servicio denominado Hogar Protegido para Hombres, para 8 usuarios beneficiados, por un periodo de 12 meses. Incluyendo 1 usuario en categoría 3. Periodo Enero a diciembre 2026. Vigencia desde el 1 de enero del 2026."/>
    <n v="2"/>
    <s v="Hogar Protegido (7)"/>
    <n v="4"/>
    <n v="7"/>
    <n v="12957500"/>
    <n v="7558541"/>
    <x v="11"/>
    <x v="20"/>
    <x v="12"/>
    <x v="33"/>
    <s v="64-2565813-"/>
    <s v="angelo.palma@redsalud.gob.cl"/>
    <x v="13"/>
    <d v="2025-08-20T00:00:00"/>
    <n v="0"/>
    <m/>
    <n v="1"/>
    <n v="7558541"/>
    <d v="2026-03-01T00:00:00"/>
    <x v="0"/>
    <x v="0"/>
  </r>
  <r>
    <s v="SERVICIO DE SALUD OSORNO"/>
    <s v="Bienes y Servicios"/>
    <x v="45"/>
    <s v="Proyecto operacional"/>
    <s v="Publicado"/>
    <s v="22.12.999.022"/>
    <x v="46"/>
    <s v="Se requiere la contratación del servicio denominado Hogar Protegido para Hombres, para 8 usuarios beneficiados, por un periodo de 12 meses. Incluyendo 1 usuario en categoría 3. Periodo Enero a diciembre 2026. Vigencia desde el 1 de enero del 2026."/>
    <n v="2"/>
    <s v="Hogar Protegido (7)"/>
    <n v="4"/>
    <n v="7"/>
    <n v="12957500"/>
    <n v="7558541"/>
    <x v="11"/>
    <x v="20"/>
    <x v="12"/>
    <x v="33"/>
    <s v="64-2565813-"/>
    <s v="angelo.palma@redsalud.gob.cl"/>
    <x v="13"/>
    <d v="2025-08-20T00:00:00"/>
    <n v="0"/>
    <m/>
    <n v="1"/>
    <n v="7558541"/>
    <d v="2026-11-01T00:00:00"/>
    <x v="0"/>
    <x v="0"/>
  </r>
  <r>
    <s v="SERVICIO DE SALUD OSORNO"/>
    <s v="Bienes y Servicios"/>
    <x v="45"/>
    <s v="Proyecto operacional"/>
    <s v="Publicado"/>
    <s v="22.12.999.022"/>
    <x v="46"/>
    <s v="Se requiere la contratación del servicio denominado Hogar Protegido para Hombres, para 8 usuarios beneficiados, por un periodo de 12 meses. Incluyendo 1 usuario en categoría 3. Periodo Enero a diciembre 2026. Vigencia desde el 1 de enero del 2026."/>
    <n v="2"/>
    <s v="Hogar Protegido (7)"/>
    <n v="4"/>
    <n v="7"/>
    <n v="12957500"/>
    <n v="7558541"/>
    <x v="11"/>
    <x v="20"/>
    <x v="12"/>
    <x v="33"/>
    <s v="64-2565813-"/>
    <s v="angelo.palma@redsalud.gob.cl"/>
    <x v="13"/>
    <d v="2025-08-20T00:00:00"/>
    <n v="0"/>
    <m/>
    <n v="1"/>
    <n v="7558541"/>
    <d v="2026-10-01T00:00:00"/>
    <x v="0"/>
    <x v="0"/>
  </r>
  <r>
    <s v="SERVICIO DE SALUD OSORNO"/>
    <s v="Bienes y Servicios"/>
    <x v="45"/>
    <s v="Proyecto operacional"/>
    <s v="Publicado"/>
    <s v="22.12.999.022"/>
    <x v="46"/>
    <s v="Se requiere la contratación del servicio denominado Hogar Protegido para Hombres, para 8 usuarios beneficiados, por un periodo de 12 meses. Incluyendo 1 usuario en categoría 3. Periodo Enero a diciembre 2026. Vigencia desde el 1 de enero del 2026."/>
    <n v="2"/>
    <s v="Hogar Protegido (7)"/>
    <n v="4"/>
    <n v="7"/>
    <n v="12957500"/>
    <n v="7558541"/>
    <x v="11"/>
    <x v="20"/>
    <x v="12"/>
    <x v="33"/>
    <s v="64-2565813-"/>
    <s v="angelo.palma@redsalud.gob.cl"/>
    <x v="13"/>
    <d v="2025-08-20T00:00:00"/>
    <n v="0"/>
    <m/>
    <n v="1"/>
    <n v="7558541"/>
    <d v="2026-08-01T00:00:00"/>
    <x v="0"/>
    <x v="0"/>
  </r>
  <r>
    <s v="SERVICIO DE SALUD OSORNO"/>
    <s v="Bienes y Servicios"/>
    <x v="45"/>
    <s v="Proyecto operacional"/>
    <s v="Publicado"/>
    <s v="22.12.999.022"/>
    <x v="46"/>
    <s v="Se requiere la contratación del servicio denominado Hogar Protegido para Hombres, para 8 usuarios beneficiados, por un periodo de 12 meses. Incluyendo 1 usuario en categoría 3. Periodo Enero a diciembre 2026. Vigencia desde el 1 de enero del 2026."/>
    <n v="2"/>
    <s v="Hogar Protegido (7)"/>
    <n v="4"/>
    <n v="7"/>
    <n v="12957500"/>
    <n v="7558541"/>
    <x v="11"/>
    <x v="20"/>
    <x v="12"/>
    <x v="33"/>
    <s v="64-2565813-"/>
    <s v="angelo.palma@redsalud.gob.cl"/>
    <x v="13"/>
    <d v="2025-08-20T00:00:00"/>
    <n v="0"/>
    <m/>
    <n v="1"/>
    <n v="7558541"/>
    <d v="2026-09-01T00:00:00"/>
    <x v="0"/>
    <x v="0"/>
  </r>
  <r>
    <s v="SERVICIO DE SALUD OSORNO"/>
    <s v="Bienes y Servicios"/>
    <x v="45"/>
    <s v="Proyecto operacional"/>
    <s v="Publicado"/>
    <s v="22.12.999.022"/>
    <x v="46"/>
    <s v="Se requiere la contratación del servicio denominado Hogar Protegido para Hombres, para 8 usuarios beneficiados, por un periodo de 12 meses. Incluyendo 1 usuario en categoría 3. Periodo Enero a diciembre 2026. Vigencia desde el 1 de enero del 2026."/>
    <n v="2"/>
    <s v="Hogar Protegido (7)"/>
    <n v="4"/>
    <n v="7"/>
    <n v="12957500"/>
    <n v="7558549"/>
    <x v="11"/>
    <x v="20"/>
    <x v="12"/>
    <x v="33"/>
    <s v="64-2565813-"/>
    <s v="angelo.palma@redsalud.gob.cl"/>
    <x v="13"/>
    <d v="2025-08-20T00:00:00"/>
    <n v="0"/>
    <m/>
    <n v="1"/>
    <n v="7558549"/>
    <d v="2026-12-01T00:00:00"/>
    <x v="0"/>
    <x v="0"/>
  </r>
  <r>
    <s v="SERVICIO DE SALUD OSORNO"/>
    <s v="Bienes y Servicios"/>
    <x v="45"/>
    <s v="Proyecto operacional"/>
    <s v="Publicado"/>
    <s v="22.12.999.022"/>
    <x v="46"/>
    <s v="Se requiere la contratación del servicio denominado Hogar Protegido para Hombres, para 8 usuarios beneficiados, por un periodo de 12 meses. Incluyendo 1 usuario en categoría 3. Periodo Enero a diciembre 2026. Vigencia desde el 1 de enero del 2026."/>
    <n v="2"/>
    <s v="Hogar Protegido (1)"/>
    <n v="4"/>
    <n v="1"/>
    <n v="23924290"/>
    <n v="1993690"/>
    <x v="11"/>
    <x v="20"/>
    <x v="12"/>
    <x v="33"/>
    <s v="64-2565813-"/>
    <s v="angelo.palma@redsalud.gob.cl"/>
    <x v="7"/>
    <d v="2025-08-20T00:00:00"/>
    <n v="0"/>
    <m/>
    <n v="1"/>
    <n v="1993690"/>
    <d v="2026-01-01T00:00:00"/>
    <x v="0"/>
    <x v="0"/>
  </r>
  <r>
    <s v="SERVICIO DE SALUD OSORNO"/>
    <s v="Bienes y Servicios"/>
    <x v="45"/>
    <s v="Proyecto operacional"/>
    <s v="Publicado"/>
    <s v="22.12.999.022"/>
    <x v="46"/>
    <s v="Se requiere la contratación del servicio denominado Hogar Protegido para Hombres, para 8 usuarios beneficiados, por un periodo de 12 meses. Incluyendo 1 usuario en categoría 3. Periodo Enero a diciembre 2026. Vigencia desde el 1 de enero del 2026."/>
    <n v="2"/>
    <s v="Hogar Protegido (1)"/>
    <n v="4"/>
    <n v="1"/>
    <n v="23924290"/>
    <n v="1993690"/>
    <x v="11"/>
    <x v="20"/>
    <x v="12"/>
    <x v="33"/>
    <s v="64-2565813-"/>
    <s v="angelo.palma@redsalud.gob.cl"/>
    <x v="7"/>
    <d v="2025-08-20T00:00:00"/>
    <n v="0"/>
    <m/>
    <n v="1"/>
    <n v="1993690"/>
    <d v="2026-02-01T00:00:00"/>
    <x v="0"/>
    <x v="0"/>
  </r>
  <r>
    <s v="SERVICIO DE SALUD OSORNO"/>
    <s v="Bienes y Servicios"/>
    <x v="45"/>
    <s v="Proyecto operacional"/>
    <s v="Publicado"/>
    <s v="22.12.999.022"/>
    <x v="46"/>
    <s v="Se requiere la contratación del servicio denominado Hogar Protegido para Hombres, para 8 usuarios beneficiados, por un periodo de 12 meses. Incluyendo 1 usuario en categoría 3. Periodo Enero a diciembre 2026. Vigencia desde el 1 de enero del 2026."/>
    <n v="2"/>
    <s v="Hogar Protegido (1)"/>
    <n v="4"/>
    <n v="1"/>
    <n v="23924290"/>
    <n v="1993690"/>
    <x v="11"/>
    <x v="20"/>
    <x v="12"/>
    <x v="33"/>
    <s v="64-2565813-"/>
    <s v="angelo.palma@redsalud.gob.cl"/>
    <x v="7"/>
    <d v="2025-08-20T00:00:00"/>
    <n v="0"/>
    <m/>
    <n v="1"/>
    <n v="1993690"/>
    <d v="2026-03-01T00:00:00"/>
    <x v="0"/>
    <x v="0"/>
  </r>
  <r>
    <s v="SERVICIO DE SALUD OSORNO"/>
    <s v="Bienes y Servicios"/>
    <x v="45"/>
    <s v="Proyecto operacional"/>
    <s v="Publicado"/>
    <s v="22.12.999.022"/>
    <x v="46"/>
    <s v="Se requiere la contratación del servicio denominado Hogar Protegido para Hombres, para 8 usuarios beneficiados, por un periodo de 12 meses. Incluyendo 1 usuario en categoría 3. Periodo Enero a diciembre 2026. Vigencia desde el 1 de enero del 2026."/>
    <n v="2"/>
    <s v="Hogar Protegido (1)"/>
    <n v="4"/>
    <n v="1"/>
    <n v="23924290"/>
    <n v="1993690"/>
    <x v="11"/>
    <x v="20"/>
    <x v="12"/>
    <x v="33"/>
    <s v="64-2565813-"/>
    <s v="angelo.palma@redsalud.gob.cl"/>
    <x v="7"/>
    <d v="2025-08-20T00:00:00"/>
    <n v="0"/>
    <m/>
    <n v="1"/>
    <n v="1993690"/>
    <d v="2026-05-01T00:00:00"/>
    <x v="0"/>
    <x v="0"/>
  </r>
  <r>
    <s v="SERVICIO DE SALUD OSORNO"/>
    <s v="Bienes y Servicios"/>
    <x v="45"/>
    <s v="Proyecto operacional"/>
    <s v="Publicado"/>
    <s v="22.12.999.022"/>
    <x v="46"/>
    <s v="Se requiere la contratación del servicio denominado Hogar Protegido para Hombres, para 8 usuarios beneficiados, por un periodo de 12 meses. Incluyendo 1 usuario en categoría 3. Periodo Enero a diciembre 2026. Vigencia desde el 1 de enero del 2026."/>
    <n v="2"/>
    <s v="Hogar Protegido (1)"/>
    <n v="4"/>
    <n v="1"/>
    <n v="23924290"/>
    <n v="1993700"/>
    <x v="11"/>
    <x v="20"/>
    <x v="12"/>
    <x v="33"/>
    <s v="64-2565813-"/>
    <s v="angelo.palma@redsalud.gob.cl"/>
    <x v="7"/>
    <d v="2025-08-20T00:00:00"/>
    <n v="0"/>
    <m/>
    <n v="1"/>
    <n v="1993700"/>
    <d v="2026-12-01T00:00:00"/>
    <x v="0"/>
    <x v="0"/>
  </r>
  <r>
    <s v="SERVICIO DE SALUD OSORNO"/>
    <s v="Bienes y Servicios"/>
    <x v="45"/>
    <s v="Proyecto operacional"/>
    <s v="Publicado"/>
    <s v="22.12.999.022"/>
    <x v="46"/>
    <s v="Se requiere la contratación del servicio denominado Hogar Protegido para Hombres, para 8 usuarios beneficiados, por un periodo de 12 meses. Incluyendo 1 usuario en categoría 3. Periodo Enero a diciembre 2026. Vigencia desde el 1 de enero del 2026."/>
    <n v="2"/>
    <s v="Hogar Protegido (1)"/>
    <n v="4"/>
    <n v="1"/>
    <n v="23924290"/>
    <n v="1993690"/>
    <x v="11"/>
    <x v="20"/>
    <x v="12"/>
    <x v="33"/>
    <s v="64-2565813-"/>
    <s v="angelo.palma@redsalud.gob.cl"/>
    <x v="7"/>
    <d v="2025-08-20T00:00:00"/>
    <n v="0"/>
    <m/>
    <n v="1"/>
    <n v="1993690"/>
    <d v="2026-07-01T00:00:00"/>
    <x v="0"/>
    <x v="0"/>
  </r>
  <r>
    <s v="SERVICIO DE SALUD OSORNO"/>
    <s v="Bienes y Servicios"/>
    <x v="45"/>
    <s v="Proyecto operacional"/>
    <s v="Publicado"/>
    <s v="22.12.999.022"/>
    <x v="46"/>
    <s v="Se requiere la contratación del servicio denominado Hogar Protegido para Hombres, para 8 usuarios beneficiados, por un periodo de 12 meses. Incluyendo 1 usuario en categoría 3. Periodo Enero a diciembre 2026. Vigencia desde el 1 de enero del 2026."/>
    <n v="2"/>
    <s v="Hogar Protegido (1)"/>
    <n v="4"/>
    <n v="1"/>
    <n v="23924290"/>
    <n v="1993690"/>
    <x v="11"/>
    <x v="20"/>
    <x v="12"/>
    <x v="33"/>
    <s v="64-2565813-"/>
    <s v="angelo.palma@redsalud.gob.cl"/>
    <x v="7"/>
    <d v="2025-08-20T00:00:00"/>
    <n v="0"/>
    <m/>
    <n v="1"/>
    <n v="1993690"/>
    <d v="2026-06-01T00:00:00"/>
    <x v="0"/>
    <x v="0"/>
  </r>
  <r>
    <s v="SERVICIO DE SALUD OSORNO"/>
    <s v="Bienes y Servicios"/>
    <x v="45"/>
    <s v="Proyecto operacional"/>
    <s v="Publicado"/>
    <s v="22.12.999.022"/>
    <x v="46"/>
    <s v="Se requiere la contratación del servicio denominado Hogar Protegido para Hombres, para 8 usuarios beneficiados, por un periodo de 12 meses. Incluyendo 1 usuario en categoría 3. Periodo Enero a diciembre 2026. Vigencia desde el 1 de enero del 2026."/>
    <n v="2"/>
    <s v="Hogar Protegido (1)"/>
    <n v="4"/>
    <n v="1"/>
    <n v="23924290"/>
    <n v="1993690"/>
    <x v="11"/>
    <x v="20"/>
    <x v="12"/>
    <x v="33"/>
    <s v="64-2565813-"/>
    <s v="angelo.palma@redsalud.gob.cl"/>
    <x v="7"/>
    <d v="2025-08-20T00:00:00"/>
    <n v="0"/>
    <m/>
    <n v="1"/>
    <n v="1993690"/>
    <d v="2026-08-01T00:00:00"/>
    <x v="0"/>
    <x v="0"/>
  </r>
  <r>
    <s v="SERVICIO DE SALUD OSORNO"/>
    <s v="Bienes y Servicios"/>
    <x v="45"/>
    <s v="Proyecto operacional"/>
    <s v="Publicado"/>
    <s v="22.12.999.022"/>
    <x v="46"/>
    <s v="Se requiere la contratación del servicio denominado Hogar Protegido para Hombres, para 8 usuarios beneficiados, por un periodo de 12 meses. Incluyendo 1 usuario en categoría 3. Periodo Enero a diciembre 2026. Vigencia desde el 1 de enero del 2026."/>
    <n v="2"/>
    <s v="Hogar Protegido (1)"/>
    <n v="4"/>
    <n v="1"/>
    <n v="23924290"/>
    <n v="1993690"/>
    <x v="11"/>
    <x v="20"/>
    <x v="12"/>
    <x v="33"/>
    <s v="64-2565813-"/>
    <s v="angelo.palma@redsalud.gob.cl"/>
    <x v="7"/>
    <d v="2025-08-20T00:00:00"/>
    <n v="0"/>
    <m/>
    <n v="1"/>
    <n v="1993690"/>
    <d v="2026-11-01T00:00:00"/>
    <x v="0"/>
    <x v="0"/>
  </r>
  <r>
    <s v="SERVICIO DE SALUD OSORNO"/>
    <s v="Bienes y Servicios"/>
    <x v="45"/>
    <s v="Proyecto operacional"/>
    <s v="Publicado"/>
    <s v="22.12.999.022"/>
    <x v="46"/>
    <s v="Se requiere la contratación del servicio denominado Hogar Protegido para Hombres, para 8 usuarios beneficiados, por un periodo de 12 meses. Incluyendo 1 usuario en categoría 3. Periodo Enero a diciembre 2026. Vigencia desde el 1 de enero del 2026."/>
    <n v="2"/>
    <s v="Hogar Protegido (1)"/>
    <n v="4"/>
    <n v="1"/>
    <n v="23924290"/>
    <n v="1993690"/>
    <x v="11"/>
    <x v="20"/>
    <x v="12"/>
    <x v="33"/>
    <s v="64-2565813-"/>
    <s v="angelo.palma@redsalud.gob.cl"/>
    <x v="7"/>
    <d v="2025-08-20T00:00:00"/>
    <n v="0"/>
    <m/>
    <n v="1"/>
    <n v="1993690"/>
    <d v="2026-09-01T00:00:00"/>
    <x v="0"/>
    <x v="0"/>
  </r>
  <r>
    <s v="SERVICIO DE SALUD OSORNO"/>
    <s v="Bienes y Servicios"/>
    <x v="45"/>
    <s v="Proyecto operacional"/>
    <s v="Publicado"/>
    <s v="22.12.999.022"/>
    <x v="46"/>
    <s v="Se requiere la contratación del servicio denominado Hogar Protegido para Hombres, para 8 usuarios beneficiados, por un periodo de 12 meses. Incluyendo 1 usuario en categoría 3. Periodo Enero a diciembre 2026. Vigencia desde el 1 de enero del 2026."/>
    <n v="2"/>
    <s v="Hogar Protegido (1)"/>
    <n v="4"/>
    <n v="1"/>
    <n v="23924290"/>
    <n v="1993690"/>
    <x v="11"/>
    <x v="20"/>
    <x v="12"/>
    <x v="33"/>
    <s v="64-2565813-"/>
    <s v="angelo.palma@redsalud.gob.cl"/>
    <x v="7"/>
    <d v="2025-08-20T00:00:00"/>
    <n v="0"/>
    <m/>
    <n v="1"/>
    <n v="1993690"/>
    <d v="2026-04-01T00:00:00"/>
    <x v="0"/>
    <x v="0"/>
  </r>
  <r>
    <s v="SERVICIO DE SALUD OSORNO"/>
    <s v="Bienes y Servicios"/>
    <x v="45"/>
    <s v="Proyecto operacional"/>
    <s v="Publicado"/>
    <s v="22.12.999.022"/>
    <x v="46"/>
    <s v="Se requiere la contratación del servicio denominado Hogar Protegido para Hombres, para 8 usuarios beneficiados, por un periodo de 12 meses. Incluyendo 1 usuario en categoría 3. Periodo Enero a diciembre 2026. Vigencia desde el 1 de enero del 2026."/>
    <n v="2"/>
    <s v="Hogar Protegido (1)"/>
    <n v="4"/>
    <n v="1"/>
    <n v="23924290"/>
    <n v="1993690"/>
    <x v="11"/>
    <x v="20"/>
    <x v="12"/>
    <x v="33"/>
    <s v="64-2565813-"/>
    <s v="angelo.palma@redsalud.gob.cl"/>
    <x v="7"/>
    <d v="2025-08-20T00:00:00"/>
    <n v="0"/>
    <m/>
    <n v="1"/>
    <n v="1993690"/>
    <d v="2026-10-01T00:00:00"/>
    <x v="0"/>
    <x v="0"/>
  </r>
  <r>
    <s v="SERVICIO DE SALUD OSORNO"/>
    <s v="Bienes y Servicios"/>
    <x v="46"/>
    <s v="Proyecto operacional"/>
    <s v="Publicado"/>
    <s v="22.04.001"/>
    <x v="47"/>
    <s v="Articulos de Libreria para entrega a Deptos, Unidades, etc, del Servicio de Salud Osorno, por un periodo de 12 meses."/>
    <n v="1"/>
    <s v="Material de Oficina"/>
    <n v="4"/>
    <n v="100"/>
    <n v="288300"/>
    <n v="2402500"/>
    <x v="11"/>
    <x v="17"/>
    <x v="30"/>
    <x v="34"/>
    <s v="64-2565716-"/>
    <s v="cecilia.garay@redsalud.gob.cl"/>
    <x v="7"/>
    <d v="2025-08-20T00:00:00"/>
    <n v="2"/>
    <s v="1057532-5287-AG25"/>
    <n v="1"/>
    <n v="2402500"/>
    <d v="2026-07-01T00:00:00"/>
    <x v="0"/>
    <x v="0"/>
  </r>
  <r>
    <s v="SERVICIO DE SALUD OSORNO"/>
    <s v="Bienes y Servicios"/>
    <x v="46"/>
    <s v="Proyecto operacional"/>
    <s v="Publicado"/>
    <s v="22.04.001"/>
    <x v="47"/>
    <s v="Articulos de Libreria para entrega a Deptos, Unidades, etc, del Servicio de Salud Osorno, por un periodo de 12 meses."/>
    <n v="1"/>
    <s v="Material de Oficina"/>
    <n v="4"/>
    <n v="100"/>
    <n v="288300"/>
    <n v="2402500"/>
    <x v="11"/>
    <x v="17"/>
    <x v="30"/>
    <x v="34"/>
    <s v="64-2565716-"/>
    <s v="cecilia.garay@redsalud.gob.cl"/>
    <x v="7"/>
    <d v="2025-08-20T00:00:00"/>
    <n v="2"/>
    <s v="1057532-5287-AG25"/>
    <n v="1"/>
    <n v="2402500"/>
    <d v="2026-05-01T00:00:00"/>
    <x v="0"/>
    <x v="0"/>
  </r>
  <r>
    <s v="SERVICIO DE SALUD OSORNO"/>
    <s v="Bienes y Servicios"/>
    <x v="46"/>
    <s v="Proyecto operacional"/>
    <s v="Publicado"/>
    <s v="22.04.001"/>
    <x v="47"/>
    <s v="Articulos de Libreria para entrega a Deptos, Unidades, etc, del Servicio de Salud Osorno, por un periodo de 12 meses."/>
    <n v="1"/>
    <s v="Material de Oficina"/>
    <n v="4"/>
    <n v="100"/>
    <n v="288300"/>
    <n v="2402500"/>
    <x v="11"/>
    <x v="17"/>
    <x v="30"/>
    <x v="34"/>
    <s v="64-2565716-"/>
    <s v="cecilia.garay@redsalud.gob.cl"/>
    <x v="7"/>
    <d v="2025-08-20T00:00:00"/>
    <n v="2"/>
    <s v="1057532-5446-CM25"/>
    <n v="1"/>
    <n v="2402500"/>
    <d v="2026-06-01T00:00:00"/>
    <x v="0"/>
    <x v="0"/>
  </r>
  <r>
    <s v="SERVICIO DE SALUD OSORNO"/>
    <s v="Bienes y Servicios"/>
    <x v="46"/>
    <s v="Proyecto operacional"/>
    <s v="Publicado"/>
    <s v="22.04.001"/>
    <x v="47"/>
    <s v="Articulos de Libreria para entrega a Deptos, Unidades, etc, del Servicio de Salud Osorno, por un periodo de 12 meses."/>
    <n v="1"/>
    <s v="Material de Oficina"/>
    <n v="4"/>
    <n v="100"/>
    <n v="288300"/>
    <n v="2402500"/>
    <x v="11"/>
    <x v="17"/>
    <x v="30"/>
    <x v="34"/>
    <s v="64-2565716-"/>
    <s v="cecilia.garay@redsalud.gob.cl"/>
    <x v="7"/>
    <d v="2025-08-20T00:00:00"/>
    <n v="2"/>
    <s v="1057532-5446-CM25"/>
    <n v="1"/>
    <n v="2402500"/>
    <d v="2026-01-01T00:00:00"/>
    <x v="0"/>
    <x v="0"/>
  </r>
  <r>
    <s v="SERVICIO DE SALUD OSORNO"/>
    <s v="Bienes y Servicios"/>
    <x v="46"/>
    <s v="Proyecto operacional"/>
    <s v="Publicado"/>
    <s v="22.04.001"/>
    <x v="47"/>
    <s v="Articulos de Libreria para entrega a Deptos, Unidades, etc, del Servicio de Salud Osorno, por un periodo de 12 meses."/>
    <n v="1"/>
    <s v="Material de Oficina"/>
    <n v="4"/>
    <n v="100"/>
    <n v="288300"/>
    <n v="2402500"/>
    <x v="11"/>
    <x v="17"/>
    <x v="30"/>
    <x v="34"/>
    <s v="64-2565716-"/>
    <s v="cecilia.garay@redsalud.gob.cl"/>
    <x v="7"/>
    <d v="2025-08-20T00:00:00"/>
    <n v="2"/>
    <s v="1057532-5287-AG25"/>
    <n v="1"/>
    <n v="2402500"/>
    <d v="2026-06-01T00:00:00"/>
    <x v="0"/>
    <x v="0"/>
  </r>
  <r>
    <s v="SERVICIO DE SALUD OSORNO"/>
    <s v="Bienes y Servicios"/>
    <x v="46"/>
    <s v="Proyecto operacional"/>
    <s v="Publicado"/>
    <s v="22.04.001"/>
    <x v="47"/>
    <s v="Articulos de Libreria para entrega a Deptos, Unidades, etc, del Servicio de Salud Osorno, por un periodo de 12 meses."/>
    <n v="1"/>
    <s v="Material de Oficina"/>
    <n v="4"/>
    <n v="100"/>
    <n v="288300"/>
    <n v="2402500"/>
    <x v="11"/>
    <x v="17"/>
    <x v="30"/>
    <x v="34"/>
    <s v="64-2565716-"/>
    <s v="cecilia.garay@redsalud.gob.cl"/>
    <x v="7"/>
    <d v="2025-08-20T00:00:00"/>
    <n v="2"/>
    <s v="1057532-5287-AG25"/>
    <n v="1"/>
    <n v="2402500"/>
    <d v="2026-01-01T00:00:00"/>
    <x v="0"/>
    <x v="0"/>
  </r>
  <r>
    <s v="SERVICIO DE SALUD OSORNO"/>
    <s v="Bienes y Servicios"/>
    <x v="46"/>
    <s v="Proyecto operacional"/>
    <s v="Publicado"/>
    <s v="22.04.001"/>
    <x v="47"/>
    <s v="Articulos de Libreria para entrega a Deptos, Unidades, etc, del Servicio de Salud Osorno, por un periodo de 12 meses."/>
    <n v="1"/>
    <s v="Material de Oficina"/>
    <n v="4"/>
    <n v="100"/>
    <n v="288300"/>
    <n v="2402500"/>
    <x v="11"/>
    <x v="17"/>
    <x v="30"/>
    <x v="34"/>
    <s v="64-2565716-"/>
    <s v="cecilia.garay@redsalud.gob.cl"/>
    <x v="7"/>
    <d v="2025-08-20T00:00:00"/>
    <n v="2"/>
    <s v="1057532-5446-CM25"/>
    <n v="1"/>
    <n v="2402500"/>
    <d v="2026-07-01T00:00:00"/>
    <x v="0"/>
    <x v="0"/>
  </r>
  <r>
    <s v="SERVICIO DE SALUD OSORNO"/>
    <s v="Bienes y Servicios"/>
    <x v="47"/>
    <s v="Proyecto operacional"/>
    <s v="Publicado"/>
    <s v="22.03.003"/>
    <x v="48"/>
    <s v="Producto solicitado: Se requiere m3 de chip Duración del Convenio: 24 meses Fecha Inicio convenio: 01-01-2026 Fecha Término de Convenio: 31-12-2027 Vigencia: 24 meses"/>
    <n v="1"/>
    <s v="Convenio"/>
    <n v="4"/>
    <n v="1"/>
    <n v="146000000"/>
    <n v="6083333"/>
    <x v="1"/>
    <x v="14"/>
    <x v="31"/>
    <x v="17"/>
    <s v="64-2567381-"/>
    <s v="daniela.jarac@redsalud.gob.cl"/>
    <x v="7"/>
    <d v="2025-08-20T00:00:00"/>
    <n v="0"/>
    <m/>
    <n v="1"/>
    <n v="6083333"/>
    <d v="2026-02-01T00:00:00"/>
    <x v="0"/>
    <x v="0"/>
  </r>
  <r>
    <s v="SERVICIO DE SALUD OSORNO"/>
    <s v="Bienes y Servicios"/>
    <x v="47"/>
    <s v="Proyecto operacional"/>
    <s v="Publicado"/>
    <s v="22.03.003"/>
    <x v="48"/>
    <s v="Producto solicitado: Se requiere m3 de chip Duración del Convenio: 24 meses Fecha Inicio convenio: 01-01-2026 Fecha Término de Convenio: 31-12-2027 Vigencia: 24 meses"/>
    <n v="1"/>
    <s v="Convenio"/>
    <n v="4"/>
    <n v="1"/>
    <n v="146000000"/>
    <n v="6083333"/>
    <x v="1"/>
    <x v="14"/>
    <x v="31"/>
    <x v="17"/>
    <s v="64-2567381-"/>
    <s v="daniela.jarac@redsalud.gob.cl"/>
    <x v="7"/>
    <d v="2025-08-20T00:00:00"/>
    <n v="0"/>
    <m/>
    <n v="1"/>
    <n v="6083333"/>
    <d v="2026-06-01T00:00:00"/>
    <x v="0"/>
    <x v="0"/>
  </r>
  <r>
    <s v="SERVICIO DE SALUD OSORNO"/>
    <s v="Bienes y Servicios"/>
    <x v="47"/>
    <s v="Proyecto operacional"/>
    <s v="Publicado"/>
    <s v="22.03.003"/>
    <x v="48"/>
    <s v="Producto solicitado: Se requiere m3 de chip Duración del Convenio: 24 meses Fecha Inicio convenio: 01-01-2026 Fecha Término de Convenio: 31-12-2027 Vigencia: 24 meses"/>
    <n v="1"/>
    <s v="Convenio"/>
    <n v="4"/>
    <n v="1"/>
    <n v="146000000"/>
    <n v="6083333"/>
    <x v="1"/>
    <x v="14"/>
    <x v="31"/>
    <x v="17"/>
    <s v="64-2567381-"/>
    <s v="daniela.jarac@redsalud.gob.cl"/>
    <x v="7"/>
    <d v="2025-08-20T00:00:00"/>
    <n v="0"/>
    <m/>
    <n v="1"/>
    <n v="6083333"/>
    <d v="2026-01-01T00:00:00"/>
    <x v="0"/>
    <x v="0"/>
  </r>
  <r>
    <s v="SERVICIO DE SALUD OSORNO"/>
    <s v="Bienes y Servicios"/>
    <x v="47"/>
    <s v="Proyecto operacional"/>
    <s v="Publicado"/>
    <s v="22.03.003"/>
    <x v="48"/>
    <s v="Producto solicitado: Se requiere m3 de chip Duración del Convenio: 24 meses Fecha Inicio convenio: 01-01-2026 Fecha Término de Convenio: 31-12-2027 Vigencia: 24 meses"/>
    <n v="1"/>
    <s v="Convenio"/>
    <n v="4"/>
    <n v="1"/>
    <n v="146000000"/>
    <n v="6083333"/>
    <x v="1"/>
    <x v="14"/>
    <x v="31"/>
    <x v="17"/>
    <s v="64-2567381-"/>
    <s v="daniela.jarac@redsalud.gob.cl"/>
    <x v="7"/>
    <d v="2025-08-20T00:00:00"/>
    <n v="0"/>
    <m/>
    <n v="1"/>
    <n v="6083333"/>
    <d v="2026-12-01T00:00:00"/>
    <x v="0"/>
    <x v="0"/>
  </r>
  <r>
    <s v="SERVICIO DE SALUD OSORNO"/>
    <s v="Bienes y Servicios"/>
    <x v="47"/>
    <s v="Proyecto operacional"/>
    <s v="Publicado"/>
    <s v="22.03.003"/>
    <x v="48"/>
    <s v="Producto solicitado: Se requiere m3 de chip Duración del Convenio: 24 meses Fecha Inicio convenio: 01-01-2026 Fecha Término de Convenio: 31-12-2027 Vigencia: 24 meses"/>
    <n v="1"/>
    <s v="Convenio"/>
    <n v="4"/>
    <n v="1"/>
    <n v="146000000"/>
    <n v="6083333"/>
    <x v="1"/>
    <x v="14"/>
    <x v="31"/>
    <x v="17"/>
    <s v="64-2567381-"/>
    <s v="daniela.jarac@redsalud.gob.cl"/>
    <x v="7"/>
    <d v="2025-08-20T00:00:00"/>
    <n v="0"/>
    <m/>
    <n v="1"/>
    <n v="6083333"/>
    <d v="2026-04-01T00:00:00"/>
    <x v="0"/>
    <x v="0"/>
  </r>
  <r>
    <s v="SERVICIO DE SALUD OSORNO"/>
    <s v="Bienes y Servicios"/>
    <x v="47"/>
    <s v="Proyecto operacional"/>
    <s v="Publicado"/>
    <s v="22.03.003"/>
    <x v="48"/>
    <s v="Producto solicitado: Se requiere m3 de chip Duración del Convenio: 24 meses Fecha Inicio convenio: 01-01-2026 Fecha Término de Convenio: 31-12-2027 Vigencia: 24 meses"/>
    <n v="1"/>
    <s v="Convenio"/>
    <n v="4"/>
    <n v="1"/>
    <n v="146000000"/>
    <n v="6083333"/>
    <x v="1"/>
    <x v="14"/>
    <x v="31"/>
    <x v="17"/>
    <s v="64-2567381-"/>
    <s v="daniela.jarac@redsalud.gob.cl"/>
    <x v="7"/>
    <d v="2025-08-20T00:00:00"/>
    <n v="0"/>
    <m/>
    <n v="1"/>
    <n v="6083333"/>
    <d v="2026-07-01T00:00:00"/>
    <x v="0"/>
    <x v="0"/>
  </r>
  <r>
    <s v="SERVICIO DE SALUD OSORNO"/>
    <s v="Bienes y Servicios"/>
    <x v="47"/>
    <s v="Proyecto operacional"/>
    <s v="Publicado"/>
    <s v="22.03.003"/>
    <x v="48"/>
    <s v="Producto solicitado: Se requiere m3 de chip Duración del Convenio: 24 meses Fecha Inicio convenio: 01-01-2026 Fecha Término de Convenio: 31-12-2027 Vigencia: 24 meses"/>
    <n v="1"/>
    <s v="Convenio"/>
    <n v="4"/>
    <n v="1"/>
    <n v="146000000"/>
    <n v="6083333"/>
    <x v="1"/>
    <x v="14"/>
    <x v="31"/>
    <x v="17"/>
    <s v="64-2567381-"/>
    <s v="daniela.jarac@redsalud.gob.cl"/>
    <x v="7"/>
    <d v="2025-08-20T00:00:00"/>
    <n v="0"/>
    <m/>
    <n v="1"/>
    <n v="6083333"/>
    <d v="2026-08-01T00:00:00"/>
    <x v="0"/>
    <x v="0"/>
  </r>
  <r>
    <s v="SERVICIO DE SALUD OSORNO"/>
    <s v="Bienes y Servicios"/>
    <x v="47"/>
    <s v="Proyecto operacional"/>
    <s v="Publicado"/>
    <s v="22.03.003"/>
    <x v="48"/>
    <s v="Producto solicitado: Se requiere m3 de chip Duración del Convenio: 24 meses Fecha Inicio convenio: 01-01-2026 Fecha Término de Convenio: 31-12-2027 Vigencia: 24 meses"/>
    <n v="1"/>
    <s v="Convenio"/>
    <n v="4"/>
    <n v="1"/>
    <n v="146000000"/>
    <n v="6083333"/>
    <x v="1"/>
    <x v="14"/>
    <x v="31"/>
    <x v="17"/>
    <s v="64-2567381-"/>
    <s v="daniela.jarac@redsalud.gob.cl"/>
    <x v="7"/>
    <d v="2025-08-20T00:00:00"/>
    <n v="0"/>
    <m/>
    <n v="1"/>
    <n v="6083333"/>
    <d v="2026-03-01T00:00:00"/>
    <x v="0"/>
    <x v="0"/>
  </r>
  <r>
    <s v="SERVICIO DE SALUD OSORNO"/>
    <s v="Bienes y Servicios"/>
    <x v="47"/>
    <s v="Proyecto operacional"/>
    <s v="Publicado"/>
    <s v="22.03.003"/>
    <x v="48"/>
    <s v="Producto solicitado: Se requiere m3 de chip Duración del Convenio: 24 meses Fecha Inicio convenio: 01-01-2026 Fecha Término de Convenio: 31-12-2027 Vigencia: 24 meses"/>
    <n v="1"/>
    <s v="Convenio"/>
    <n v="4"/>
    <n v="1"/>
    <n v="146000000"/>
    <n v="6083333"/>
    <x v="1"/>
    <x v="14"/>
    <x v="31"/>
    <x v="17"/>
    <s v="64-2567381-"/>
    <s v="daniela.jarac@redsalud.gob.cl"/>
    <x v="7"/>
    <d v="2025-08-20T00:00:00"/>
    <n v="0"/>
    <m/>
    <n v="1"/>
    <n v="6083333"/>
    <d v="2026-10-01T00:00:00"/>
    <x v="0"/>
    <x v="0"/>
  </r>
  <r>
    <s v="SERVICIO DE SALUD OSORNO"/>
    <s v="Bienes y Servicios"/>
    <x v="47"/>
    <s v="Proyecto operacional"/>
    <s v="Publicado"/>
    <s v="22.03.003"/>
    <x v="48"/>
    <s v="Producto solicitado: Se requiere m3 de chip Duración del Convenio: 24 meses Fecha Inicio convenio: 01-01-2026 Fecha Término de Convenio: 31-12-2027 Vigencia: 24 meses"/>
    <n v="1"/>
    <s v="Convenio"/>
    <n v="4"/>
    <n v="1"/>
    <n v="146000000"/>
    <n v="6083333"/>
    <x v="1"/>
    <x v="14"/>
    <x v="31"/>
    <x v="17"/>
    <s v="64-2567381-"/>
    <s v="daniela.jarac@redsalud.gob.cl"/>
    <x v="7"/>
    <d v="2025-08-20T00:00:00"/>
    <n v="0"/>
    <m/>
    <n v="1"/>
    <n v="6083333"/>
    <d v="2026-09-01T00:00:00"/>
    <x v="0"/>
    <x v="0"/>
  </r>
  <r>
    <s v="SERVICIO DE SALUD OSORNO"/>
    <s v="Bienes y Servicios"/>
    <x v="47"/>
    <s v="Proyecto operacional"/>
    <s v="Publicado"/>
    <s v="22.03.003"/>
    <x v="48"/>
    <s v="Producto solicitado: Se requiere m3 de chip Duración del Convenio: 24 meses Fecha Inicio convenio: 01-01-2026 Fecha Término de Convenio: 31-12-2027 Vigencia: 24 meses"/>
    <n v="1"/>
    <s v="Convenio"/>
    <n v="4"/>
    <n v="1"/>
    <n v="146000000"/>
    <n v="6083333"/>
    <x v="1"/>
    <x v="14"/>
    <x v="31"/>
    <x v="17"/>
    <s v="64-2567381-"/>
    <s v="daniela.jarac@redsalud.gob.cl"/>
    <x v="7"/>
    <d v="2025-08-20T00:00:00"/>
    <n v="0"/>
    <m/>
    <n v="1"/>
    <n v="6083333"/>
    <d v="2026-05-01T00:00:00"/>
    <x v="0"/>
    <x v="0"/>
  </r>
  <r>
    <s v="SERVICIO DE SALUD OSORNO"/>
    <s v="Bienes y Servicios"/>
    <x v="47"/>
    <s v="Proyecto operacional"/>
    <s v="Publicado"/>
    <s v="22.03.003"/>
    <x v="48"/>
    <s v="Producto solicitado: Se requiere m3 de chip Duración del Convenio: 24 meses Fecha Inicio convenio: 01-01-2026 Fecha Término de Convenio: 31-12-2027 Vigencia: 24 meses"/>
    <n v="1"/>
    <s v="Convenio"/>
    <n v="4"/>
    <n v="1"/>
    <n v="146000000"/>
    <n v="6083333"/>
    <x v="1"/>
    <x v="14"/>
    <x v="31"/>
    <x v="17"/>
    <s v="64-2567381-"/>
    <s v="daniela.jarac@redsalud.gob.cl"/>
    <x v="7"/>
    <d v="2025-08-20T00:00:00"/>
    <n v="0"/>
    <m/>
    <n v="1"/>
    <n v="6083333"/>
    <d v="2026-11-01T00:00:00"/>
    <x v="0"/>
    <x v="0"/>
  </r>
  <r>
    <s v="SERVICIO DE SALUD OSORNO"/>
    <s v="Bienes y Servicios"/>
    <x v="48"/>
    <s v="Proyecto operacional"/>
    <s v="Publicado"/>
    <s v="22.09.003"/>
    <x v="49"/>
    <s v="Convenio de arriendo de ambulancias SAMU, periodo comprendido entre septiembre 2025 a diciembre 2026, para dar continuidad a la atención prehospitalaria con 6 ambulancias operativas en la provincia de Osorno al realizar mantenciones preventivas y correctivas a ambulancias institucionales. Se arrendarán las ambulancias que sean necesarias que permita una dotación 6 ambulancias operativas para la atención prehospitalaria. Las ambulancias deben cumplir con especificaciones técnicas según determine el equipo clínico y de mantención de vehículos"/>
    <n v="1"/>
    <s v="Arriendo Ambulancia"/>
    <n v="4"/>
    <n v="16"/>
    <n v="4687500"/>
    <n v="4687500"/>
    <x v="12"/>
    <x v="22"/>
    <x v="32"/>
    <x v="35"/>
    <s v="64-2567353-"/>
    <s v="raul.nunezv@redsalud.gob.cl"/>
    <x v="7"/>
    <d v="2025-08-20T00:00:00"/>
    <n v="0"/>
    <m/>
    <n v="1"/>
    <n v="4687500"/>
    <d v="2026-02-01T00:00:00"/>
    <x v="0"/>
    <x v="0"/>
  </r>
  <r>
    <s v="SERVICIO DE SALUD OSORNO"/>
    <s v="Bienes y Servicios"/>
    <x v="48"/>
    <s v="Proyecto operacional"/>
    <s v="Publicado"/>
    <s v="22.09.003"/>
    <x v="49"/>
    <s v="Convenio de arriendo de ambulancias SAMU, periodo comprendido entre septiembre 2025 a diciembre 2026, para dar continuidad a la atención prehospitalaria con 6 ambulancias operativas en la provincia de Osorno al realizar mantenciones preventivas y correctivas a ambulancias institucionales. Se arrendarán las ambulancias que sean necesarias que permita una dotación 6 ambulancias operativas para la atención prehospitalaria. Las ambulancias deben cumplir con especificaciones técnicas según determine el equipo clínico y de mantención de vehículos"/>
    <n v="1"/>
    <s v="Arriendo Ambulancia"/>
    <n v="4"/>
    <n v="16"/>
    <n v="4687500"/>
    <n v="4687500"/>
    <x v="12"/>
    <x v="22"/>
    <x v="32"/>
    <x v="35"/>
    <s v="64-2567353-"/>
    <s v="raul.nunezv@redsalud.gob.cl"/>
    <x v="7"/>
    <d v="2025-08-20T00:00:00"/>
    <n v="0"/>
    <m/>
    <n v="1"/>
    <n v="4687500"/>
    <d v="2026-11-01T00:00:00"/>
    <x v="0"/>
    <x v="0"/>
  </r>
  <r>
    <s v="SERVICIO DE SALUD OSORNO"/>
    <s v="Bienes y Servicios"/>
    <x v="48"/>
    <s v="Proyecto operacional"/>
    <s v="Publicado"/>
    <s v="22.09.003"/>
    <x v="49"/>
    <s v="Convenio de arriendo de ambulancias SAMU, periodo comprendido entre septiembre 2025 a diciembre 2026, para dar continuidad a la atención prehospitalaria con 6 ambulancias operativas en la provincia de Osorno al realizar mantenciones preventivas y correctivas a ambulancias institucionales. Se arrendarán las ambulancias que sean necesarias que permita una dotación 6 ambulancias operativas para la atención prehospitalaria. Las ambulancias deben cumplir con especificaciones técnicas según determine el equipo clínico y de mantención de vehículos"/>
    <n v="1"/>
    <s v="Arriendo Ambulancia"/>
    <n v="4"/>
    <n v="16"/>
    <n v="4687500"/>
    <n v="4687500"/>
    <x v="12"/>
    <x v="22"/>
    <x v="32"/>
    <x v="35"/>
    <s v="64-2567353-"/>
    <s v="raul.nunezv@redsalud.gob.cl"/>
    <x v="7"/>
    <d v="2025-08-20T00:00:00"/>
    <n v="0"/>
    <m/>
    <n v="1"/>
    <n v="4687500"/>
    <d v="2026-03-01T00:00:00"/>
    <x v="0"/>
    <x v="0"/>
  </r>
  <r>
    <s v="SERVICIO DE SALUD OSORNO"/>
    <s v="Bienes y Servicios"/>
    <x v="48"/>
    <s v="Proyecto operacional"/>
    <s v="Publicado"/>
    <s v="22.09.003"/>
    <x v="49"/>
    <s v="Convenio de arriendo de ambulancias SAMU, periodo comprendido entre septiembre 2025 a diciembre 2026, para dar continuidad a la atención prehospitalaria con 6 ambulancias operativas en la provincia de Osorno al realizar mantenciones preventivas y correctivas a ambulancias institucionales. Se arrendarán las ambulancias que sean necesarias que permita una dotación 6 ambulancias operativas para la atención prehospitalaria. Las ambulancias deben cumplir con especificaciones técnicas según determine el equipo clínico y de mantención de vehículos"/>
    <n v="1"/>
    <s v="Arriendo Ambulancia"/>
    <n v="4"/>
    <n v="16"/>
    <n v="4687500"/>
    <n v="4687500"/>
    <x v="12"/>
    <x v="22"/>
    <x v="32"/>
    <x v="35"/>
    <s v="64-2567353-"/>
    <s v="raul.nunezv@redsalud.gob.cl"/>
    <x v="7"/>
    <d v="2025-08-20T00:00:00"/>
    <n v="0"/>
    <m/>
    <n v="1"/>
    <n v="4687500"/>
    <d v="2026-01-01T00:00:00"/>
    <x v="0"/>
    <x v="0"/>
  </r>
  <r>
    <s v="SERVICIO DE SALUD OSORNO"/>
    <s v="Bienes y Servicios"/>
    <x v="48"/>
    <s v="Proyecto operacional"/>
    <s v="Publicado"/>
    <s v="22.09.003"/>
    <x v="49"/>
    <s v="Convenio de arriendo de ambulancias SAMU, periodo comprendido entre septiembre 2025 a diciembre 2026, para dar continuidad a la atención prehospitalaria con 6 ambulancias operativas en la provincia de Osorno al realizar mantenciones preventivas y correctivas a ambulancias institucionales. Se arrendarán las ambulancias que sean necesarias que permita una dotación 6 ambulancias operativas para la atención prehospitalaria. Las ambulancias deben cumplir con especificaciones técnicas según determine el equipo clínico y de mantención de vehículos"/>
    <n v="1"/>
    <s v="Arriendo Ambulancia"/>
    <n v="4"/>
    <n v="16"/>
    <n v="4687500"/>
    <n v="4687500"/>
    <x v="12"/>
    <x v="22"/>
    <x v="32"/>
    <x v="35"/>
    <s v="64-2567353-"/>
    <s v="raul.nunezv@redsalud.gob.cl"/>
    <x v="7"/>
    <d v="2025-08-20T00:00:00"/>
    <n v="0"/>
    <m/>
    <n v="1"/>
    <n v="4687500"/>
    <d v="2026-06-01T00:00:00"/>
    <x v="0"/>
    <x v="0"/>
  </r>
  <r>
    <s v="SERVICIO DE SALUD OSORNO"/>
    <s v="Bienes y Servicios"/>
    <x v="48"/>
    <s v="Proyecto operacional"/>
    <s v="Publicado"/>
    <s v="22.09.003"/>
    <x v="49"/>
    <s v="Convenio de arriendo de ambulancias SAMU, periodo comprendido entre septiembre 2025 a diciembre 2026, para dar continuidad a la atención prehospitalaria con 6 ambulancias operativas en la provincia de Osorno al realizar mantenciones preventivas y correctivas a ambulancias institucionales. Se arrendarán las ambulancias que sean necesarias que permita una dotación 6 ambulancias operativas para la atención prehospitalaria. Las ambulancias deben cumplir con especificaciones técnicas según determine el equipo clínico y de mantención de vehículos"/>
    <n v="1"/>
    <s v="Arriendo Ambulancia"/>
    <n v="4"/>
    <n v="16"/>
    <n v="4687500"/>
    <n v="4687500"/>
    <x v="12"/>
    <x v="22"/>
    <x v="32"/>
    <x v="35"/>
    <s v="64-2567353-"/>
    <s v="raul.nunezv@redsalud.gob.cl"/>
    <x v="7"/>
    <d v="2025-08-20T00:00:00"/>
    <n v="0"/>
    <m/>
    <n v="1"/>
    <n v="4687500"/>
    <d v="2026-04-01T00:00:00"/>
    <x v="0"/>
    <x v="0"/>
  </r>
  <r>
    <s v="SERVICIO DE SALUD OSORNO"/>
    <s v="Bienes y Servicios"/>
    <x v="48"/>
    <s v="Proyecto operacional"/>
    <s v="Publicado"/>
    <s v="22.09.003"/>
    <x v="49"/>
    <s v="Convenio de arriendo de ambulancias SAMU, periodo comprendido entre septiembre 2025 a diciembre 2026, para dar continuidad a la atención prehospitalaria con 6 ambulancias operativas en la provincia de Osorno al realizar mantenciones preventivas y correctivas a ambulancias institucionales. Se arrendarán las ambulancias que sean necesarias que permita una dotación 6 ambulancias operativas para la atención prehospitalaria. Las ambulancias deben cumplir con especificaciones técnicas según determine el equipo clínico y de mantención de vehículos"/>
    <n v="1"/>
    <s v="Arriendo Ambulancia"/>
    <n v="4"/>
    <n v="16"/>
    <n v="4687500"/>
    <n v="4687500"/>
    <x v="12"/>
    <x v="22"/>
    <x v="32"/>
    <x v="35"/>
    <s v="64-2567353-"/>
    <s v="raul.nunezv@redsalud.gob.cl"/>
    <x v="7"/>
    <d v="2025-08-20T00:00:00"/>
    <n v="0"/>
    <m/>
    <n v="1"/>
    <n v="4687500"/>
    <d v="2026-07-01T00:00:00"/>
    <x v="0"/>
    <x v="0"/>
  </r>
  <r>
    <s v="SERVICIO DE SALUD OSORNO"/>
    <s v="Bienes y Servicios"/>
    <x v="48"/>
    <s v="Proyecto operacional"/>
    <s v="Publicado"/>
    <s v="22.09.003"/>
    <x v="49"/>
    <s v="Convenio de arriendo de ambulancias SAMU, periodo comprendido entre septiembre 2025 a diciembre 2026, para dar continuidad a la atención prehospitalaria con 6 ambulancias operativas en la provincia de Osorno al realizar mantenciones preventivas y correctivas a ambulancias institucionales. Se arrendarán las ambulancias que sean necesarias que permita una dotación 6 ambulancias operativas para la atención prehospitalaria. Las ambulancias deben cumplir con especificaciones técnicas según determine el equipo clínico y de mantención de vehículos"/>
    <n v="1"/>
    <s v="Arriendo Ambulancia"/>
    <n v="4"/>
    <n v="16"/>
    <n v="4687500"/>
    <n v="4687500"/>
    <x v="12"/>
    <x v="22"/>
    <x v="32"/>
    <x v="35"/>
    <s v="64-2567353-"/>
    <s v="raul.nunezv@redsalud.gob.cl"/>
    <x v="7"/>
    <d v="2025-08-20T00:00:00"/>
    <n v="0"/>
    <m/>
    <n v="1"/>
    <n v="4687500"/>
    <d v="2026-05-01T00:00:00"/>
    <x v="0"/>
    <x v="0"/>
  </r>
  <r>
    <s v="SERVICIO DE SALUD OSORNO"/>
    <s v="Bienes y Servicios"/>
    <x v="48"/>
    <s v="Proyecto operacional"/>
    <s v="Publicado"/>
    <s v="22.09.003"/>
    <x v="49"/>
    <s v="Convenio de arriendo de ambulancias SAMU, periodo comprendido entre septiembre 2025 a diciembre 2026, para dar continuidad a la atención prehospitalaria con 6 ambulancias operativas en la provincia de Osorno al realizar mantenciones preventivas y correctivas a ambulancias institucionales. Se arrendarán las ambulancias que sean necesarias que permita una dotación 6 ambulancias operativas para la atención prehospitalaria. Las ambulancias deben cumplir con especificaciones técnicas según determine el equipo clínico y de mantención de vehículos"/>
    <n v="1"/>
    <s v="Arriendo Ambulancia"/>
    <n v="4"/>
    <n v="16"/>
    <n v="4687500"/>
    <n v="4687500"/>
    <x v="12"/>
    <x v="22"/>
    <x v="32"/>
    <x v="35"/>
    <s v="64-2567353-"/>
    <s v="raul.nunezv@redsalud.gob.cl"/>
    <x v="7"/>
    <d v="2025-08-20T00:00:00"/>
    <n v="0"/>
    <m/>
    <n v="1"/>
    <n v="4687500"/>
    <d v="2026-12-01T00:00:00"/>
    <x v="0"/>
    <x v="0"/>
  </r>
  <r>
    <s v="SERVICIO DE SALUD OSORNO"/>
    <s v="Bienes y Servicios"/>
    <x v="48"/>
    <s v="Proyecto operacional"/>
    <s v="Publicado"/>
    <s v="22.09.003"/>
    <x v="49"/>
    <s v="Convenio de arriendo de ambulancias SAMU, periodo comprendido entre septiembre 2025 a diciembre 2026, para dar continuidad a la atención prehospitalaria con 6 ambulancias operativas en la provincia de Osorno al realizar mantenciones preventivas y correctivas a ambulancias institucionales. Se arrendarán las ambulancias que sean necesarias que permita una dotación 6 ambulancias operativas para la atención prehospitalaria. Las ambulancias deben cumplir con especificaciones técnicas según determine el equipo clínico y de mantención de vehículos"/>
    <n v="1"/>
    <s v="Arriendo Ambulancia"/>
    <n v="4"/>
    <n v="16"/>
    <n v="4687500"/>
    <n v="4687500"/>
    <x v="12"/>
    <x v="22"/>
    <x v="32"/>
    <x v="35"/>
    <s v="64-2567353-"/>
    <s v="raul.nunezv@redsalud.gob.cl"/>
    <x v="7"/>
    <d v="2025-08-20T00:00:00"/>
    <n v="0"/>
    <m/>
    <n v="1"/>
    <n v="4687500"/>
    <d v="2026-10-01T00:00:00"/>
    <x v="0"/>
    <x v="0"/>
  </r>
  <r>
    <s v="SERVICIO DE SALUD OSORNO"/>
    <s v="Bienes y Servicios"/>
    <x v="48"/>
    <s v="Proyecto operacional"/>
    <s v="Publicado"/>
    <s v="22.09.003"/>
    <x v="49"/>
    <s v="Convenio de arriendo de ambulancias SAMU, periodo comprendido entre septiembre 2025 a diciembre 2026, para dar continuidad a la atención prehospitalaria con 6 ambulancias operativas en la provincia de Osorno al realizar mantenciones preventivas y correctivas a ambulancias institucionales. Se arrendarán las ambulancias que sean necesarias que permita una dotación 6 ambulancias operativas para la atención prehospitalaria. Las ambulancias deben cumplir con especificaciones técnicas según determine el equipo clínico y de mantención de vehículos"/>
    <n v="1"/>
    <s v="Arriendo Ambulancia"/>
    <n v="4"/>
    <n v="16"/>
    <n v="4687500"/>
    <n v="4687500"/>
    <x v="12"/>
    <x v="22"/>
    <x v="32"/>
    <x v="35"/>
    <s v="64-2567353-"/>
    <s v="raul.nunezv@redsalud.gob.cl"/>
    <x v="7"/>
    <d v="2025-08-20T00:00:00"/>
    <n v="0"/>
    <m/>
    <n v="1"/>
    <n v="4687500"/>
    <d v="2026-09-01T00:00:00"/>
    <x v="0"/>
    <x v="0"/>
  </r>
  <r>
    <s v="SERVICIO DE SALUD OSORNO"/>
    <s v="Bienes y Servicios"/>
    <x v="48"/>
    <s v="Proyecto operacional"/>
    <s v="Publicado"/>
    <s v="22.09.003"/>
    <x v="49"/>
    <s v="Convenio de arriendo de ambulancias SAMU, periodo comprendido entre septiembre 2025 a diciembre 2026, para dar continuidad a la atención prehospitalaria con 6 ambulancias operativas en la provincia de Osorno al realizar mantenciones preventivas y correctivas a ambulancias institucionales. Se arrendarán las ambulancias que sean necesarias que permita una dotación 6 ambulancias operativas para la atención prehospitalaria. Las ambulancias deben cumplir con especificaciones técnicas según determine el equipo clínico y de mantención de vehículos"/>
    <n v="1"/>
    <s v="Arriendo Ambulancia"/>
    <n v="4"/>
    <n v="16"/>
    <n v="4687500"/>
    <n v="4687500"/>
    <x v="12"/>
    <x v="22"/>
    <x v="32"/>
    <x v="35"/>
    <s v="64-2567353-"/>
    <s v="raul.nunezv@redsalud.gob.cl"/>
    <x v="7"/>
    <d v="2025-08-20T00:00:00"/>
    <n v="0"/>
    <m/>
    <n v="1"/>
    <n v="4687500"/>
    <d v="2026-08-01T00:00:00"/>
    <x v="0"/>
    <x v="0"/>
  </r>
  <r>
    <s v="SERVICIO DE SALUD OSORNO"/>
    <s v="Bienes y Servicios"/>
    <x v="49"/>
    <s v="Proyecto operacional"/>
    <s v="Publicado"/>
    <s v="22.06.001"/>
    <x v="50"/>
    <s v="MANTENIMIENTO Y/O REPARACIONES DE LA INFRAESTRUCTURA COMO MUROS, TABIQUES, TECHUMBRES, CIELOS INTERIORES, PISOS, CARPINTERIA, PUERTAS, VENTANAS, PINTURA, CIERRES, CERCOS, CERRAJERIA, ARTEFACTOS ELECTRICOS (INTERRUPTORES, ENCHUFES, EQUIPOS DE ILUMINACIÓN, ACCIONAMIENTOS Y CENTROS DE DERIVACIÓN, ETC), ARTEFACTOS SANITARIOS, REDES, EQUIPOS A GAS Y MOBILIARIO EN GENERAL . MES DE EJECUCIÓN DEL CONVENIO: DESDE ENERO A DICIEMBRE 2026."/>
    <n v="1"/>
    <s v="Mantención"/>
    <n v="4"/>
    <n v="1"/>
    <n v="83594337"/>
    <n v="6966194"/>
    <x v="11"/>
    <x v="20"/>
    <x v="33"/>
    <x v="36"/>
    <s v="64-2565596-"/>
    <s v="GARIBE.GALLARDO@REDSALUD.GOB.CL"/>
    <x v="7"/>
    <d v="2025-08-20T00:00:00"/>
    <n v="0"/>
    <m/>
    <n v="1"/>
    <n v="6966194"/>
    <d v="2026-10-01T00:00:00"/>
    <x v="0"/>
    <x v="0"/>
  </r>
  <r>
    <s v="SERVICIO DE SALUD OSORNO"/>
    <s v="Bienes y Servicios"/>
    <x v="49"/>
    <s v="Proyecto operacional"/>
    <s v="Publicado"/>
    <s v="22.06.001"/>
    <x v="50"/>
    <s v="MANTENIMIENTO Y/O REPARACIONES DE LA INFRAESTRUCTURA COMO MUROS, TABIQUES, TECHUMBRES, CIELOS INTERIORES, PISOS, CARPINTERIA, PUERTAS, VENTANAS, PINTURA, CIERRES, CERCOS, CERRAJERIA, ARTEFACTOS ELECTRICOS (INTERRUPTORES, ENCHUFES, EQUIPOS DE ILUMINACIÓN, ACCIONAMIENTOS Y CENTROS DE DERIVACIÓN, ETC), ARTEFACTOS SANITARIOS, REDES, EQUIPOS A GAS Y MOBILIARIO EN GENERAL . MES DE EJECUCIÓN DEL CONVENIO: DESDE ENERO A DICIEMBRE 2026."/>
    <n v="1"/>
    <s v="Mantención"/>
    <n v="4"/>
    <n v="1"/>
    <n v="83594337"/>
    <n v="6966194"/>
    <x v="11"/>
    <x v="20"/>
    <x v="33"/>
    <x v="36"/>
    <s v="64-2565596-"/>
    <s v="GARIBE.GALLARDO@REDSALUD.GOB.CL"/>
    <x v="7"/>
    <d v="2025-08-20T00:00:00"/>
    <n v="0"/>
    <m/>
    <n v="1"/>
    <n v="6966194"/>
    <d v="2026-07-01T00:00:00"/>
    <x v="0"/>
    <x v="0"/>
  </r>
  <r>
    <s v="SERVICIO DE SALUD OSORNO"/>
    <s v="Bienes y Servicios"/>
    <x v="49"/>
    <s v="Proyecto operacional"/>
    <s v="Publicado"/>
    <s v="22.06.001"/>
    <x v="50"/>
    <s v="MANTENIMIENTO Y/O REPARACIONES DE LA INFRAESTRUCTURA COMO MUROS, TABIQUES, TECHUMBRES, CIELOS INTERIORES, PISOS, CARPINTERIA, PUERTAS, VENTANAS, PINTURA, CIERRES, CERCOS, CERRAJERIA, ARTEFACTOS ELECTRICOS (INTERRUPTORES, ENCHUFES, EQUIPOS DE ILUMINACIÓN, ACCIONAMIENTOS Y CENTROS DE DERIVACIÓN, ETC), ARTEFACTOS SANITARIOS, REDES, EQUIPOS A GAS Y MOBILIARIO EN GENERAL . MES DE EJECUCIÓN DEL CONVENIO: DESDE ENERO A DICIEMBRE 2026."/>
    <n v="1"/>
    <s v="Mantención"/>
    <n v="4"/>
    <n v="1"/>
    <n v="83594337"/>
    <n v="6966194"/>
    <x v="11"/>
    <x v="20"/>
    <x v="33"/>
    <x v="36"/>
    <s v="64-2565596-"/>
    <s v="GARIBE.GALLARDO@REDSALUD.GOB.CL"/>
    <x v="7"/>
    <d v="2025-08-20T00:00:00"/>
    <n v="0"/>
    <m/>
    <n v="1"/>
    <n v="6966194"/>
    <d v="2026-01-01T00:00:00"/>
    <x v="0"/>
    <x v="0"/>
  </r>
  <r>
    <s v="SERVICIO DE SALUD OSORNO"/>
    <s v="Bienes y Servicios"/>
    <x v="49"/>
    <s v="Proyecto operacional"/>
    <s v="Publicado"/>
    <s v="22.06.001"/>
    <x v="50"/>
    <s v="MANTENIMIENTO Y/O REPARACIONES DE LA INFRAESTRUCTURA COMO MUROS, TABIQUES, TECHUMBRES, CIELOS INTERIORES, PISOS, CARPINTERIA, PUERTAS, VENTANAS, PINTURA, CIERRES, CERCOS, CERRAJERIA, ARTEFACTOS ELECTRICOS (INTERRUPTORES, ENCHUFES, EQUIPOS DE ILUMINACIÓN, ACCIONAMIENTOS Y CENTROS DE DERIVACIÓN, ETC), ARTEFACTOS SANITARIOS, REDES, EQUIPOS A GAS Y MOBILIARIO EN GENERAL . MES DE EJECUCIÓN DEL CONVENIO: DESDE ENERO A DICIEMBRE 2026."/>
    <n v="1"/>
    <s v="Mantención"/>
    <n v="4"/>
    <n v="1"/>
    <n v="83594337"/>
    <n v="6966194"/>
    <x v="11"/>
    <x v="20"/>
    <x v="33"/>
    <x v="36"/>
    <s v="64-2565596-"/>
    <s v="GARIBE.GALLARDO@REDSALUD.GOB.CL"/>
    <x v="7"/>
    <d v="2025-08-20T00:00:00"/>
    <n v="0"/>
    <m/>
    <n v="1"/>
    <n v="6966194"/>
    <d v="2026-05-01T00:00:00"/>
    <x v="0"/>
    <x v="0"/>
  </r>
  <r>
    <s v="SERVICIO DE SALUD OSORNO"/>
    <s v="Bienes y Servicios"/>
    <x v="49"/>
    <s v="Proyecto operacional"/>
    <s v="Publicado"/>
    <s v="22.06.001"/>
    <x v="50"/>
    <s v="MANTENIMIENTO Y/O REPARACIONES DE LA INFRAESTRUCTURA COMO MUROS, TABIQUES, TECHUMBRES, CIELOS INTERIORES, PISOS, CARPINTERIA, PUERTAS, VENTANAS, PINTURA, CIERRES, CERCOS, CERRAJERIA, ARTEFACTOS ELECTRICOS (INTERRUPTORES, ENCHUFES, EQUIPOS DE ILUMINACIÓN, ACCIONAMIENTOS Y CENTROS DE DERIVACIÓN, ETC), ARTEFACTOS SANITARIOS, REDES, EQUIPOS A GAS Y MOBILIARIO EN GENERAL . MES DE EJECUCIÓN DEL CONVENIO: DESDE ENERO A DICIEMBRE 2026."/>
    <n v="1"/>
    <s v="Mantención"/>
    <n v="4"/>
    <n v="1"/>
    <n v="83594337"/>
    <n v="6966194"/>
    <x v="11"/>
    <x v="20"/>
    <x v="33"/>
    <x v="36"/>
    <s v="64-2565596-"/>
    <s v="GARIBE.GALLARDO@REDSALUD.GOB.CL"/>
    <x v="7"/>
    <d v="2025-08-20T00:00:00"/>
    <n v="0"/>
    <m/>
    <n v="1"/>
    <n v="6966194"/>
    <d v="2026-06-01T00:00:00"/>
    <x v="0"/>
    <x v="0"/>
  </r>
  <r>
    <s v="SERVICIO DE SALUD OSORNO"/>
    <s v="Bienes y Servicios"/>
    <x v="49"/>
    <s v="Proyecto operacional"/>
    <s v="Publicado"/>
    <s v="22.06.001"/>
    <x v="50"/>
    <s v="MANTENIMIENTO Y/O REPARACIONES DE LA INFRAESTRUCTURA COMO MUROS, TABIQUES, TECHUMBRES, CIELOS INTERIORES, PISOS, CARPINTERIA, PUERTAS, VENTANAS, PINTURA, CIERRES, CERCOS, CERRAJERIA, ARTEFACTOS ELECTRICOS (INTERRUPTORES, ENCHUFES, EQUIPOS DE ILUMINACIÓN, ACCIONAMIENTOS Y CENTROS DE DERIVACIÓN, ETC), ARTEFACTOS SANITARIOS, REDES, EQUIPOS A GAS Y MOBILIARIO EN GENERAL . MES DE EJECUCIÓN DEL CONVENIO: DESDE ENERO A DICIEMBRE 2026."/>
    <n v="1"/>
    <s v="Mantención"/>
    <n v="4"/>
    <n v="1"/>
    <n v="83594337"/>
    <n v="6966194"/>
    <x v="11"/>
    <x v="20"/>
    <x v="33"/>
    <x v="36"/>
    <s v="64-2565596-"/>
    <s v="GARIBE.GALLARDO@REDSALUD.GOB.CL"/>
    <x v="7"/>
    <d v="2025-08-20T00:00:00"/>
    <n v="0"/>
    <m/>
    <n v="1"/>
    <n v="6966194"/>
    <d v="2026-04-01T00:00:00"/>
    <x v="0"/>
    <x v="0"/>
  </r>
  <r>
    <s v="SERVICIO DE SALUD OSORNO"/>
    <s v="Bienes y Servicios"/>
    <x v="49"/>
    <s v="Proyecto operacional"/>
    <s v="Publicado"/>
    <s v="22.06.001"/>
    <x v="50"/>
    <s v="MANTENIMIENTO Y/O REPARACIONES DE LA INFRAESTRUCTURA COMO MUROS, TABIQUES, TECHUMBRES, CIELOS INTERIORES, PISOS, CARPINTERIA, PUERTAS, VENTANAS, PINTURA, CIERRES, CERCOS, CERRAJERIA, ARTEFACTOS ELECTRICOS (INTERRUPTORES, ENCHUFES, EQUIPOS DE ILUMINACIÓN, ACCIONAMIENTOS Y CENTROS DE DERIVACIÓN, ETC), ARTEFACTOS SANITARIOS, REDES, EQUIPOS A GAS Y MOBILIARIO EN GENERAL . MES DE EJECUCIÓN DEL CONVENIO: DESDE ENERO A DICIEMBRE 2026."/>
    <n v="1"/>
    <s v="Mantención"/>
    <n v="4"/>
    <n v="1"/>
    <n v="83594337"/>
    <n v="6966194"/>
    <x v="11"/>
    <x v="20"/>
    <x v="33"/>
    <x v="36"/>
    <s v="64-2565596-"/>
    <s v="GARIBE.GALLARDO@REDSALUD.GOB.CL"/>
    <x v="7"/>
    <d v="2025-08-20T00:00:00"/>
    <n v="0"/>
    <m/>
    <n v="1"/>
    <n v="6966194"/>
    <d v="2026-03-01T00:00:00"/>
    <x v="0"/>
    <x v="0"/>
  </r>
  <r>
    <s v="SERVICIO DE SALUD OSORNO"/>
    <s v="Bienes y Servicios"/>
    <x v="49"/>
    <s v="Proyecto operacional"/>
    <s v="Publicado"/>
    <s v="22.06.001"/>
    <x v="50"/>
    <s v="MANTENIMIENTO Y/O REPARACIONES DE LA INFRAESTRUCTURA COMO MUROS, TABIQUES, TECHUMBRES, CIELOS INTERIORES, PISOS, CARPINTERIA, PUERTAS, VENTANAS, PINTURA, CIERRES, CERCOS, CERRAJERIA, ARTEFACTOS ELECTRICOS (INTERRUPTORES, ENCHUFES, EQUIPOS DE ILUMINACIÓN, ACCIONAMIENTOS Y CENTROS DE DERIVACIÓN, ETC), ARTEFACTOS SANITARIOS, REDES, EQUIPOS A GAS Y MOBILIARIO EN GENERAL . MES DE EJECUCIÓN DEL CONVENIO: DESDE ENERO A DICIEMBRE 2026."/>
    <n v="1"/>
    <s v="Mantención"/>
    <n v="4"/>
    <n v="1"/>
    <n v="83594337"/>
    <n v="6966194"/>
    <x v="11"/>
    <x v="20"/>
    <x v="33"/>
    <x v="36"/>
    <s v="64-2565596-"/>
    <s v="GARIBE.GALLARDO@REDSALUD.GOB.CL"/>
    <x v="7"/>
    <d v="2025-08-20T00:00:00"/>
    <n v="0"/>
    <m/>
    <n v="1"/>
    <n v="6966194"/>
    <d v="2026-11-01T00:00:00"/>
    <x v="0"/>
    <x v="0"/>
  </r>
  <r>
    <s v="SERVICIO DE SALUD OSORNO"/>
    <s v="Bienes y Servicios"/>
    <x v="49"/>
    <s v="Proyecto operacional"/>
    <s v="Publicado"/>
    <s v="22.06.001"/>
    <x v="50"/>
    <s v="MANTENIMIENTO Y/O REPARACIONES DE LA INFRAESTRUCTURA COMO MUROS, TABIQUES, TECHUMBRES, CIELOS INTERIORES, PISOS, CARPINTERIA, PUERTAS, VENTANAS, PINTURA, CIERRES, CERCOS, CERRAJERIA, ARTEFACTOS ELECTRICOS (INTERRUPTORES, ENCHUFES, EQUIPOS DE ILUMINACIÓN, ACCIONAMIENTOS Y CENTROS DE DERIVACIÓN, ETC), ARTEFACTOS SANITARIOS, REDES, EQUIPOS A GAS Y MOBILIARIO EN GENERAL . MES DE EJECUCIÓN DEL CONVENIO: DESDE ENERO A DICIEMBRE 2026."/>
    <n v="1"/>
    <s v="Mantención"/>
    <n v="4"/>
    <n v="1"/>
    <n v="83594337"/>
    <n v="6966203"/>
    <x v="11"/>
    <x v="20"/>
    <x v="33"/>
    <x v="36"/>
    <s v="64-2565596-"/>
    <s v="GARIBE.GALLARDO@REDSALUD.GOB.CL"/>
    <x v="7"/>
    <d v="2025-08-20T00:00:00"/>
    <n v="0"/>
    <m/>
    <n v="1"/>
    <n v="6966203"/>
    <d v="2026-12-01T00:00:00"/>
    <x v="0"/>
    <x v="0"/>
  </r>
  <r>
    <s v="SERVICIO DE SALUD OSORNO"/>
    <s v="Bienes y Servicios"/>
    <x v="49"/>
    <s v="Proyecto operacional"/>
    <s v="Publicado"/>
    <s v="22.06.001"/>
    <x v="50"/>
    <s v="MANTENIMIENTO Y/O REPARACIONES DE LA INFRAESTRUCTURA COMO MUROS, TABIQUES, TECHUMBRES, CIELOS INTERIORES, PISOS, CARPINTERIA, PUERTAS, VENTANAS, PINTURA, CIERRES, CERCOS, CERRAJERIA, ARTEFACTOS ELECTRICOS (INTERRUPTORES, ENCHUFES, EQUIPOS DE ILUMINACIÓN, ACCIONAMIENTOS Y CENTROS DE DERIVACIÓN, ETC), ARTEFACTOS SANITARIOS, REDES, EQUIPOS A GAS Y MOBILIARIO EN GENERAL . MES DE EJECUCIÓN DEL CONVENIO: DESDE ENERO A DICIEMBRE 2026."/>
    <n v="1"/>
    <s v="Mantención"/>
    <n v="4"/>
    <n v="1"/>
    <n v="83594337"/>
    <n v="6966194"/>
    <x v="11"/>
    <x v="20"/>
    <x v="33"/>
    <x v="36"/>
    <s v="64-2565596-"/>
    <s v="GARIBE.GALLARDO@REDSALUD.GOB.CL"/>
    <x v="7"/>
    <d v="2025-08-20T00:00:00"/>
    <n v="0"/>
    <m/>
    <n v="1"/>
    <n v="6966194"/>
    <d v="2026-08-01T00:00:00"/>
    <x v="0"/>
    <x v="0"/>
  </r>
  <r>
    <s v="SERVICIO DE SALUD OSORNO"/>
    <s v="Bienes y Servicios"/>
    <x v="49"/>
    <s v="Proyecto operacional"/>
    <s v="Publicado"/>
    <s v="22.06.001"/>
    <x v="50"/>
    <s v="MANTENIMIENTO Y/O REPARACIONES DE LA INFRAESTRUCTURA COMO MUROS, TABIQUES, TECHUMBRES, CIELOS INTERIORES, PISOS, CARPINTERIA, PUERTAS, VENTANAS, PINTURA, CIERRES, CERCOS, CERRAJERIA, ARTEFACTOS ELECTRICOS (INTERRUPTORES, ENCHUFES, EQUIPOS DE ILUMINACIÓN, ACCIONAMIENTOS Y CENTROS DE DERIVACIÓN, ETC), ARTEFACTOS SANITARIOS, REDES, EQUIPOS A GAS Y MOBILIARIO EN GENERAL . MES DE EJECUCIÓN DEL CONVENIO: DESDE ENERO A DICIEMBRE 2026."/>
    <n v="1"/>
    <s v="Mantención"/>
    <n v="4"/>
    <n v="1"/>
    <n v="83594337"/>
    <n v="6966194"/>
    <x v="11"/>
    <x v="20"/>
    <x v="33"/>
    <x v="36"/>
    <s v="64-2565596-"/>
    <s v="GARIBE.GALLARDO@REDSALUD.GOB.CL"/>
    <x v="7"/>
    <d v="2025-08-20T00:00:00"/>
    <n v="0"/>
    <m/>
    <n v="1"/>
    <n v="6966194"/>
    <d v="2026-02-01T00:00:00"/>
    <x v="0"/>
    <x v="0"/>
  </r>
  <r>
    <s v="SERVICIO DE SALUD OSORNO"/>
    <s v="Bienes y Servicios"/>
    <x v="49"/>
    <s v="Proyecto operacional"/>
    <s v="Publicado"/>
    <s v="22.06.001"/>
    <x v="50"/>
    <s v="MANTENIMIENTO Y/O REPARACIONES DE LA INFRAESTRUCTURA COMO MUROS, TABIQUES, TECHUMBRES, CIELOS INTERIORES, PISOS, CARPINTERIA, PUERTAS, VENTANAS, PINTURA, CIERRES, CERCOS, CERRAJERIA, ARTEFACTOS ELECTRICOS (INTERRUPTORES, ENCHUFES, EQUIPOS DE ILUMINACIÓN, ACCIONAMIENTOS Y CENTROS DE DERIVACIÓN, ETC), ARTEFACTOS SANITARIOS, REDES, EQUIPOS A GAS Y MOBILIARIO EN GENERAL . MES DE EJECUCIÓN DEL CONVENIO: DESDE ENERO A DICIEMBRE 2026."/>
    <n v="1"/>
    <s v="Mantención"/>
    <n v="4"/>
    <n v="1"/>
    <n v="83594337"/>
    <n v="6966194"/>
    <x v="11"/>
    <x v="20"/>
    <x v="33"/>
    <x v="36"/>
    <s v="64-2565596-"/>
    <s v="GARIBE.GALLARDO@REDSALUD.GOB.CL"/>
    <x v="7"/>
    <d v="2025-08-20T00:00:00"/>
    <n v="0"/>
    <m/>
    <n v="1"/>
    <n v="6966194"/>
    <d v="2026-09-01T00:00:00"/>
    <x v="0"/>
    <x v="0"/>
  </r>
  <r>
    <s v="SERVICIO DE SALUD OSORNO"/>
    <s v="Bienes y Servicios"/>
    <x v="50"/>
    <s v="Proyecto operacional"/>
    <s v="Publicado"/>
    <s v="22.04.003.001"/>
    <x v="51"/>
    <s v="Servicio de oxigenoterapia domiciliaria para personas beneficiarias de ley 21.375 ingresadas al Programa CPU APS. Convenio a ejecutar por 15 meses, a partir del 23 de octubre 2025 al 31 diciembre 2026."/>
    <n v="1"/>
    <s v="Convenio Oxigeno"/>
    <n v="4"/>
    <n v="1"/>
    <n v="12740000"/>
    <n v="849333"/>
    <x v="13"/>
    <x v="23"/>
    <x v="34"/>
    <x v="37"/>
    <s v="64-2565809-"/>
    <s v="maria.jaramillov@redsalud.gob.cl"/>
    <x v="7"/>
    <d v="2025-08-20T00:00:00"/>
    <n v="1"/>
    <s v="1057532-5742-SE25"/>
    <n v="1"/>
    <n v="849333"/>
    <d v="2026-05-01T00:00:00"/>
    <x v="0"/>
    <x v="0"/>
  </r>
  <r>
    <s v="SERVICIO DE SALUD OSORNO"/>
    <s v="Bienes y Servicios"/>
    <x v="50"/>
    <s v="Proyecto operacional"/>
    <s v="Publicado"/>
    <s v="22.04.003.001"/>
    <x v="51"/>
    <s v="Servicio de oxigenoterapia domiciliaria para personas beneficiarias de ley 21.375 ingresadas al Programa CPU APS. Convenio a ejecutar por 15 meses, a partir del 23 de octubre 2025 al 31 diciembre 2026."/>
    <n v="1"/>
    <s v="Convenio Oxigeno"/>
    <n v="4"/>
    <n v="1"/>
    <n v="12740000"/>
    <n v="849333"/>
    <x v="13"/>
    <x v="23"/>
    <x v="34"/>
    <x v="37"/>
    <s v="64-2565809-"/>
    <s v="maria.jaramillov@redsalud.gob.cl"/>
    <x v="7"/>
    <d v="2025-08-20T00:00:00"/>
    <n v="1"/>
    <s v="1057532-5742-SE25"/>
    <n v="1"/>
    <n v="849333"/>
    <d v="2026-04-01T00:00:00"/>
    <x v="0"/>
    <x v="0"/>
  </r>
  <r>
    <s v="SERVICIO DE SALUD OSORNO"/>
    <s v="Bienes y Servicios"/>
    <x v="50"/>
    <s v="Proyecto operacional"/>
    <s v="Publicado"/>
    <s v="22.04.003.001"/>
    <x v="51"/>
    <s v="Servicio de oxigenoterapia domiciliaria para personas beneficiarias de ley 21.375 ingresadas al Programa CPU APS. Convenio a ejecutar por 15 meses, a partir del 23 de octubre 2025 al 31 diciembre 2026."/>
    <n v="1"/>
    <s v="Convenio Oxigeno"/>
    <n v="4"/>
    <n v="1"/>
    <n v="12740000"/>
    <n v="849333"/>
    <x v="13"/>
    <x v="23"/>
    <x v="34"/>
    <x v="37"/>
    <s v="64-2565809-"/>
    <s v="maria.jaramillov@redsalud.gob.cl"/>
    <x v="7"/>
    <d v="2025-08-20T00:00:00"/>
    <n v="1"/>
    <s v="1057532-5742-SE25"/>
    <n v="1"/>
    <n v="849333"/>
    <d v="2026-03-01T00:00:00"/>
    <x v="0"/>
    <x v="0"/>
  </r>
  <r>
    <s v="SERVICIO DE SALUD OSORNO"/>
    <s v="Bienes y Servicios"/>
    <x v="50"/>
    <s v="Proyecto operacional"/>
    <s v="Publicado"/>
    <s v="22.04.003.001"/>
    <x v="51"/>
    <s v="Servicio de oxigenoterapia domiciliaria para personas beneficiarias de ley 21.375 ingresadas al Programa CPU APS. Convenio a ejecutar por 15 meses, a partir del 23 de octubre 2025 al 31 diciembre 2026."/>
    <n v="1"/>
    <s v="Convenio Oxigeno"/>
    <n v="4"/>
    <n v="1"/>
    <n v="12740000"/>
    <n v="849333"/>
    <x v="13"/>
    <x v="23"/>
    <x v="34"/>
    <x v="37"/>
    <s v="64-2565809-"/>
    <s v="maria.jaramillov@redsalud.gob.cl"/>
    <x v="7"/>
    <d v="2025-08-20T00:00:00"/>
    <n v="1"/>
    <s v="1057532-5742-SE25"/>
    <n v="1"/>
    <n v="849333"/>
    <d v="2026-02-01T00:00:00"/>
    <x v="0"/>
    <x v="0"/>
  </r>
  <r>
    <s v="SERVICIO DE SALUD OSORNO"/>
    <s v="Bienes y Servicios"/>
    <x v="50"/>
    <s v="Proyecto operacional"/>
    <s v="Publicado"/>
    <s v="22.04.003.001"/>
    <x v="51"/>
    <s v="Servicio de oxigenoterapia domiciliaria para personas beneficiarias de ley 21.375 ingresadas al Programa CPU APS. Convenio a ejecutar por 15 meses, a partir del 23 de octubre 2025 al 31 diciembre 2026."/>
    <n v="1"/>
    <s v="Convenio Oxigeno"/>
    <n v="4"/>
    <n v="1"/>
    <n v="12740000"/>
    <n v="849333"/>
    <x v="13"/>
    <x v="23"/>
    <x v="34"/>
    <x v="37"/>
    <s v="64-2565809-"/>
    <s v="maria.jaramillov@redsalud.gob.cl"/>
    <x v="7"/>
    <d v="2025-08-20T00:00:00"/>
    <n v="1"/>
    <s v="1057532-5742-SE25"/>
    <n v="1"/>
    <n v="849333"/>
    <d v="2026-06-01T00:00:00"/>
    <x v="0"/>
    <x v="0"/>
  </r>
  <r>
    <s v="SERVICIO DE SALUD OSORNO"/>
    <s v="Bienes y Servicios"/>
    <x v="50"/>
    <s v="Proyecto operacional"/>
    <s v="Publicado"/>
    <s v="22.04.003.001"/>
    <x v="51"/>
    <s v="Servicio de oxigenoterapia domiciliaria para personas beneficiarias de ley 21.375 ingresadas al Programa CPU APS. Convenio a ejecutar por 15 meses, a partir del 23 de octubre 2025 al 31 diciembre 2026."/>
    <n v="1"/>
    <s v="Convenio Oxigeno"/>
    <n v="4"/>
    <n v="1"/>
    <n v="12740000"/>
    <n v="849333"/>
    <x v="13"/>
    <x v="23"/>
    <x v="34"/>
    <x v="37"/>
    <s v="64-2565809-"/>
    <s v="maria.jaramillov@redsalud.gob.cl"/>
    <x v="7"/>
    <d v="2025-08-20T00:00:00"/>
    <n v="1"/>
    <s v="1057532-5742-SE25"/>
    <n v="1"/>
    <n v="849333"/>
    <d v="2026-08-01T00:00:00"/>
    <x v="0"/>
    <x v="0"/>
  </r>
  <r>
    <s v="SERVICIO DE SALUD OSORNO"/>
    <s v="Bienes y Servicios"/>
    <x v="50"/>
    <s v="Proyecto operacional"/>
    <s v="Publicado"/>
    <s v="22.04.003.001"/>
    <x v="51"/>
    <s v="Servicio de oxigenoterapia domiciliaria para personas beneficiarias de ley 21.375 ingresadas al Programa CPU APS. Convenio a ejecutar por 15 meses, a partir del 23 de octubre 2025 al 31 diciembre 2026."/>
    <n v="1"/>
    <s v="Convenio Oxigeno"/>
    <n v="4"/>
    <n v="1"/>
    <n v="12740000"/>
    <n v="849333"/>
    <x v="13"/>
    <x v="23"/>
    <x v="34"/>
    <x v="37"/>
    <s v="64-2565809-"/>
    <s v="maria.jaramillov@redsalud.gob.cl"/>
    <x v="7"/>
    <d v="2025-08-20T00:00:00"/>
    <n v="1"/>
    <s v="1057532-5742-SE25"/>
    <n v="1"/>
    <n v="849333"/>
    <d v="2026-07-01T00:00:00"/>
    <x v="0"/>
    <x v="0"/>
  </r>
  <r>
    <s v="SERVICIO DE SALUD OSORNO"/>
    <s v="Bienes y Servicios"/>
    <x v="50"/>
    <s v="Proyecto operacional"/>
    <s v="Publicado"/>
    <s v="22.04.003.001"/>
    <x v="51"/>
    <s v="Servicio de oxigenoterapia domiciliaria para personas beneficiarias de ley 21.375 ingresadas al Programa CPU APS. Convenio a ejecutar por 15 meses, a partir del 23 de octubre 2025 al 31 diciembre 2026."/>
    <n v="1"/>
    <s v="Convenio Oxigeno"/>
    <n v="4"/>
    <n v="1"/>
    <n v="12740000"/>
    <n v="849333"/>
    <x v="13"/>
    <x v="23"/>
    <x v="34"/>
    <x v="37"/>
    <s v="64-2565809-"/>
    <s v="maria.jaramillov@redsalud.gob.cl"/>
    <x v="7"/>
    <d v="2025-08-20T00:00:00"/>
    <n v="1"/>
    <s v="1057532-5742-SE25"/>
    <n v="1"/>
    <n v="849333"/>
    <d v="2026-10-01T00:00:00"/>
    <x v="0"/>
    <x v="0"/>
  </r>
  <r>
    <s v="SERVICIO DE SALUD OSORNO"/>
    <s v="Bienes y Servicios"/>
    <x v="50"/>
    <s v="Proyecto operacional"/>
    <s v="Publicado"/>
    <s v="22.04.003.001"/>
    <x v="51"/>
    <s v="Servicio de oxigenoterapia domiciliaria para personas beneficiarias de ley 21.375 ingresadas al Programa CPU APS. Convenio a ejecutar por 15 meses, a partir del 23 de octubre 2025 al 31 diciembre 2026."/>
    <n v="1"/>
    <s v="Convenio Oxigeno"/>
    <n v="4"/>
    <n v="1"/>
    <n v="12740000"/>
    <n v="849333"/>
    <x v="13"/>
    <x v="23"/>
    <x v="34"/>
    <x v="37"/>
    <s v="64-2565809-"/>
    <s v="maria.jaramillov@redsalud.gob.cl"/>
    <x v="7"/>
    <d v="2025-08-20T00:00:00"/>
    <n v="1"/>
    <s v="1057532-5742-SE25"/>
    <n v="1"/>
    <n v="849333"/>
    <d v="2026-09-01T00:00:00"/>
    <x v="0"/>
    <x v="0"/>
  </r>
  <r>
    <s v="SERVICIO DE SALUD OSORNO"/>
    <s v="Bienes y Servicios"/>
    <x v="50"/>
    <s v="Proyecto operacional"/>
    <s v="Publicado"/>
    <s v="22.04.003.001"/>
    <x v="51"/>
    <s v="Servicio de oxigenoterapia domiciliaria para personas beneficiarias de ley 21.375 ingresadas al Programa CPU APS. Convenio a ejecutar por 15 meses, a partir del 23 de octubre 2025 al 31 diciembre 2026."/>
    <n v="1"/>
    <s v="Convenio Oxigeno"/>
    <n v="4"/>
    <n v="1"/>
    <n v="12740000"/>
    <n v="849333"/>
    <x v="13"/>
    <x v="23"/>
    <x v="34"/>
    <x v="37"/>
    <s v="64-2565809-"/>
    <s v="maria.jaramillov@redsalud.gob.cl"/>
    <x v="7"/>
    <d v="2025-08-20T00:00:00"/>
    <n v="1"/>
    <s v="1057532-5742-SE25"/>
    <n v="1"/>
    <n v="849333"/>
    <d v="2026-01-01T00:00:00"/>
    <x v="0"/>
    <x v="0"/>
  </r>
  <r>
    <s v="SERVICIO DE SALUD OSORNO"/>
    <s v="Bienes y Servicios"/>
    <x v="50"/>
    <s v="Proyecto operacional"/>
    <s v="Publicado"/>
    <s v="22.04.003.001"/>
    <x v="51"/>
    <s v="Servicio de oxigenoterapia domiciliaria para personas beneficiarias de ley 21.375 ingresadas al Programa CPU APS. Convenio a ejecutar por 15 meses, a partir del 23 de octubre 2025 al 31 diciembre 2026."/>
    <n v="1"/>
    <s v="Convenio Oxigeno"/>
    <n v="4"/>
    <n v="1"/>
    <n v="12740000"/>
    <n v="849333"/>
    <x v="13"/>
    <x v="23"/>
    <x v="34"/>
    <x v="37"/>
    <s v="64-2565809-"/>
    <s v="maria.jaramillov@redsalud.gob.cl"/>
    <x v="7"/>
    <d v="2025-08-20T00:00:00"/>
    <n v="1"/>
    <s v="1057532-5742-SE25"/>
    <n v="1"/>
    <n v="849333"/>
    <d v="2026-11-01T00:00:00"/>
    <x v="0"/>
    <x v="0"/>
  </r>
  <r>
    <s v="SERVICIO DE SALUD OSORNO"/>
    <s v="Bienes y Servicios"/>
    <x v="50"/>
    <s v="Proyecto operacional"/>
    <s v="Publicado"/>
    <s v="22.04.003.001"/>
    <x v="51"/>
    <s v="Servicio de oxigenoterapia domiciliaria para personas beneficiarias de ley 21.375 ingresadas al Programa CPU APS. Convenio a ejecutar por 15 meses, a partir del 23 de octubre 2025 al 31 diciembre 2026."/>
    <n v="1"/>
    <s v="Convenio Oxigeno"/>
    <n v="4"/>
    <n v="1"/>
    <n v="12740000"/>
    <n v="849338"/>
    <x v="13"/>
    <x v="23"/>
    <x v="34"/>
    <x v="37"/>
    <s v="64-2565809-"/>
    <s v="maria.jaramillov@redsalud.gob.cl"/>
    <x v="7"/>
    <d v="2025-08-20T00:00:00"/>
    <n v="1"/>
    <s v="1057532-5742-SE25"/>
    <n v="1"/>
    <n v="849338"/>
    <d v="2026-12-01T00:00:00"/>
    <x v="0"/>
    <x v="0"/>
  </r>
  <r>
    <s v="SERVICIO DE SALUD OSORNO"/>
    <s v="Bienes y Servicios"/>
    <x v="51"/>
    <s v="Proyecto operacional"/>
    <s v="Publicado"/>
    <s v="22.03.003"/>
    <x v="52"/>
    <s v="Adquisición Combustible calefacción para dispositivos del Servicio de Salud Osorno , desde mes Enero a Diciembre año 2026"/>
    <n v="1"/>
    <s v="Combustible"/>
    <n v="4"/>
    <n v="1"/>
    <n v="40000000"/>
    <n v="3333333"/>
    <x v="11"/>
    <x v="20"/>
    <x v="35"/>
    <x v="38"/>
    <s v="64-2565660-"/>
    <s v="pablo.oyarzo@redsalud.gob.cl"/>
    <x v="7"/>
    <d v="2025-08-20T00:00:00"/>
    <n v="0"/>
    <m/>
    <n v="1"/>
    <n v="3333333"/>
    <d v="2026-02-01T00:00:00"/>
    <x v="0"/>
    <x v="0"/>
  </r>
  <r>
    <s v="SERVICIO DE SALUD OSORNO"/>
    <s v="Bienes y Servicios"/>
    <x v="51"/>
    <s v="Proyecto operacional"/>
    <s v="Publicado"/>
    <s v="22.03.003"/>
    <x v="52"/>
    <s v="Adquisición Combustible calefacción para dispositivos del Servicio de Salud Osorno , desde mes Enero a Diciembre año 2026"/>
    <n v="1"/>
    <s v="Combustible"/>
    <n v="4"/>
    <n v="1"/>
    <n v="40000000"/>
    <n v="3333337"/>
    <x v="11"/>
    <x v="20"/>
    <x v="35"/>
    <x v="38"/>
    <s v="64-2565660-"/>
    <s v="pablo.oyarzo@redsalud.gob.cl"/>
    <x v="7"/>
    <d v="2025-08-20T00:00:00"/>
    <n v="0"/>
    <m/>
    <n v="1"/>
    <n v="3333337"/>
    <d v="2026-12-01T00:00:00"/>
    <x v="0"/>
    <x v="0"/>
  </r>
  <r>
    <s v="SERVICIO DE SALUD OSORNO"/>
    <s v="Bienes y Servicios"/>
    <x v="51"/>
    <s v="Proyecto operacional"/>
    <s v="Publicado"/>
    <s v="22.03.003"/>
    <x v="52"/>
    <s v="Adquisición Combustible calefacción para dispositivos del Servicio de Salud Osorno , desde mes Enero a Diciembre año 2026"/>
    <n v="1"/>
    <s v="Combustible"/>
    <n v="4"/>
    <n v="1"/>
    <n v="40000000"/>
    <n v="3333333"/>
    <x v="11"/>
    <x v="20"/>
    <x v="35"/>
    <x v="38"/>
    <s v="64-2565660-"/>
    <s v="pablo.oyarzo@redsalud.gob.cl"/>
    <x v="7"/>
    <d v="2025-08-20T00:00:00"/>
    <n v="0"/>
    <m/>
    <n v="1"/>
    <n v="3333333"/>
    <d v="2026-05-01T00:00:00"/>
    <x v="0"/>
    <x v="0"/>
  </r>
  <r>
    <s v="SERVICIO DE SALUD OSORNO"/>
    <s v="Bienes y Servicios"/>
    <x v="51"/>
    <s v="Proyecto operacional"/>
    <s v="Publicado"/>
    <s v="22.03.003"/>
    <x v="52"/>
    <s v="Adquisición Combustible calefacción para dispositivos del Servicio de Salud Osorno , desde mes Enero a Diciembre año 2026"/>
    <n v="1"/>
    <s v="Combustible"/>
    <n v="4"/>
    <n v="1"/>
    <n v="40000000"/>
    <n v="3333333"/>
    <x v="11"/>
    <x v="20"/>
    <x v="35"/>
    <x v="38"/>
    <s v="64-2565660-"/>
    <s v="pablo.oyarzo@redsalud.gob.cl"/>
    <x v="7"/>
    <d v="2025-08-20T00:00:00"/>
    <n v="0"/>
    <m/>
    <n v="1"/>
    <n v="3333333"/>
    <d v="2026-04-01T00:00:00"/>
    <x v="0"/>
    <x v="0"/>
  </r>
  <r>
    <s v="SERVICIO DE SALUD OSORNO"/>
    <s v="Bienes y Servicios"/>
    <x v="51"/>
    <s v="Proyecto operacional"/>
    <s v="Publicado"/>
    <s v="22.03.003"/>
    <x v="52"/>
    <s v="Adquisición Combustible calefacción para dispositivos del Servicio de Salud Osorno , desde mes Enero a Diciembre año 2026"/>
    <n v="1"/>
    <s v="Combustible"/>
    <n v="4"/>
    <n v="1"/>
    <n v="40000000"/>
    <n v="3333333"/>
    <x v="11"/>
    <x v="20"/>
    <x v="35"/>
    <x v="38"/>
    <s v="64-2565660-"/>
    <s v="pablo.oyarzo@redsalud.gob.cl"/>
    <x v="7"/>
    <d v="2025-08-20T00:00:00"/>
    <n v="0"/>
    <m/>
    <n v="1"/>
    <n v="3333333"/>
    <d v="2026-11-01T00:00:00"/>
    <x v="0"/>
    <x v="0"/>
  </r>
  <r>
    <s v="SERVICIO DE SALUD OSORNO"/>
    <s v="Bienes y Servicios"/>
    <x v="51"/>
    <s v="Proyecto operacional"/>
    <s v="Publicado"/>
    <s v="22.03.003"/>
    <x v="52"/>
    <s v="Adquisición Combustible calefacción para dispositivos del Servicio de Salud Osorno , desde mes Enero a Diciembre año 2026"/>
    <n v="1"/>
    <s v="Combustible"/>
    <n v="4"/>
    <n v="1"/>
    <n v="40000000"/>
    <n v="3333333"/>
    <x v="11"/>
    <x v="20"/>
    <x v="35"/>
    <x v="38"/>
    <s v="64-2565660-"/>
    <s v="pablo.oyarzo@redsalud.gob.cl"/>
    <x v="7"/>
    <d v="2025-08-20T00:00:00"/>
    <n v="0"/>
    <m/>
    <n v="1"/>
    <n v="3333333"/>
    <d v="2026-01-01T00:00:00"/>
    <x v="0"/>
    <x v="0"/>
  </r>
  <r>
    <s v="SERVICIO DE SALUD OSORNO"/>
    <s v="Bienes y Servicios"/>
    <x v="51"/>
    <s v="Proyecto operacional"/>
    <s v="Publicado"/>
    <s v="22.03.003"/>
    <x v="52"/>
    <s v="Adquisición Combustible calefacción para dispositivos del Servicio de Salud Osorno , desde mes Enero a Diciembre año 2026"/>
    <n v="1"/>
    <s v="Combustible"/>
    <n v="4"/>
    <n v="1"/>
    <n v="40000000"/>
    <n v="3333333"/>
    <x v="11"/>
    <x v="20"/>
    <x v="35"/>
    <x v="38"/>
    <s v="64-2565660-"/>
    <s v="pablo.oyarzo@redsalud.gob.cl"/>
    <x v="7"/>
    <d v="2025-08-20T00:00:00"/>
    <n v="0"/>
    <m/>
    <n v="1"/>
    <n v="3333333"/>
    <d v="2026-07-01T00:00:00"/>
    <x v="0"/>
    <x v="0"/>
  </r>
  <r>
    <s v="SERVICIO DE SALUD OSORNO"/>
    <s v="Bienes y Servicios"/>
    <x v="51"/>
    <s v="Proyecto operacional"/>
    <s v="Publicado"/>
    <s v="22.03.003"/>
    <x v="52"/>
    <s v="Adquisición Combustible calefacción para dispositivos del Servicio de Salud Osorno , desde mes Enero a Diciembre año 2026"/>
    <n v="1"/>
    <s v="Combustible"/>
    <n v="4"/>
    <n v="1"/>
    <n v="40000000"/>
    <n v="3333333"/>
    <x v="11"/>
    <x v="20"/>
    <x v="35"/>
    <x v="38"/>
    <s v="64-2565660-"/>
    <s v="pablo.oyarzo@redsalud.gob.cl"/>
    <x v="7"/>
    <d v="2025-08-20T00:00:00"/>
    <n v="0"/>
    <m/>
    <n v="1"/>
    <n v="3333333"/>
    <d v="2026-06-01T00:00:00"/>
    <x v="0"/>
    <x v="0"/>
  </r>
  <r>
    <s v="SERVICIO DE SALUD OSORNO"/>
    <s v="Bienes y Servicios"/>
    <x v="51"/>
    <s v="Proyecto operacional"/>
    <s v="Publicado"/>
    <s v="22.03.003"/>
    <x v="52"/>
    <s v="Adquisición Combustible calefacción para dispositivos del Servicio de Salud Osorno , desde mes Enero a Diciembre año 2026"/>
    <n v="1"/>
    <s v="Combustible"/>
    <n v="4"/>
    <n v="1"/>
    <n v="40000000"/>
    <n v="3333333"/>
    <x v="11"/>
    <x v="20"/>
    <x v="35"/>
    <x v="38"/>
    <s v="64-2565660-"/>
    <s v="pablo.oyarzo@redsalud.gob.cl"/>
    <x v="7"/>
    <d v="2025-08-20T00:00:00"/>
    <n v="0"/>
    <m/>
    <n v="1"/>
    <n v="3333333"/>
    <d v="2026-08-01T00:00:00"/>
    <x v="0"/>
    <x v="0"/>
  </r>
  <r>
    <s v="SERVICIO DE SALUD OSORNO"/>
    <s v="Bienes y Servicios"/>
    <x v="51"/>
    <s v="Proyecto operacional"/>
    <s v="Publicado"/>
    <s v="22.03.003"/>
    <x v="52"/>
    <s v="Adquisición Combustible calefacción para dispositivos del Servicio de Salud Osorno , desde mes Enero a Diciembre año 2026"/>
    <n v="1"/>
    <s v="Combustible"/>
    <n v="4"/>
    <n v="1"/>
    <n v="40000000"/>
    <n v="3333333"/>
    <x v="11"/>
    <x v="20"/>
    <x v="35"/>
    <x v="38"/>
    <s v="64-2565660-"/>
    <s v="pablo.oyarzo@redsalud.gob.cl"/>
    <x v="7"/>
    <d v="2025-08-20T00:00:00"/>
    <n v="0"/>
    <m/>
    <n v="1"/>
    <n v="3333333"/>
    <d v="2026-03-01T00:00:00"/>
    <x v="0"/>
    <x v="0"/>
  </r>
  <r>
    <s v="SERVICIO DE SALUD OSORNO"/>
    <s v="Bienes y Servicios"/>
    <x v="51"/>
    <s v="Proyecto operacional"/>
    <s v="Publicado"/>
    <s v="22.03.003"/>
    <x v="52"/>
    <s v="Adquisición Combustible calefacción para dispositivos del Servicio de Salud Osorno , desde mes Enero a Diciembre año 2026"/>
    <n v="1"/>
    <s v="Combustible"/>
    <n v="4"/>
    <n v="1"/>
    <n v="40000000"/>
    <n v="3333333"/>
    <x v="11"/>
    <x v="20"/>
    <x v="35"/>
    <x v="38"/>
    <s v="64-2565660-"/>
    <s v="pablo.oyarzo@redsalud.gob.cl"/>
    <x v="7"/>
    <d v="2025-08-20T00:00:00"/>
    <n v="0"/>
    <m/>
    <n v="1"/>
    <n v="3333333"/>
    <d v="2026-09-01T00:00:00"/>
    <x v="0"/>
    <x v="0"/>
  </r>
  <r>
    <s v="SERVICIO DE SALUD OSORNO"/>
    <s v="Bienes y Servicios"/>
    <x v="51"/>
    <s v="Proyecto operacional"/>
    <s v="Publicado"/>
    <s v="22.03.003"/>
    <x v="52"/>
    <s v="Adquisición Combustible calefacción para dispositivos del Servicio de Salud Osorno , desde mes Enero a Diciembre año 2026"/>
    <n v="1"/>
    <s v="Combustible"/>
    <n v="4"/>
    <n v="1"/>
    <n v="40000000"/>
    <n v="3333333"/>
    <x v="11"/>
    <x v="20"/>
    <x v="35"/>
    <x v="38"/>
    <s v="64-2565660-"/>
    <s v="pablo.oyarzo@redsalud.gob.cl"/>
    <x v="7"/>
    <d v="2025-08-20T00:00:00"/>
    <n v="0"/>
    <m/>
    <n v="1"/>
    <n v="3333333"/>
    <d v="2026-10-01T00:00:00"/>
    <x v="0"/>
    <x v="0"/>
  </r>
  <r>
    <s v="SERVICIO DE SALUD OSORNO"/>
    <s v="Bienes y Servicios"/>
    <x v="52"/>
    <s v="Proyecto operacional"/>
    <s v="Publicado"/>
    <s v="22.04.007.002"/>
    <x v="53"/>
    <s v="CONVENIO DE ENERO A DICIEMBRE DEL AÑO 2026 ( Formulario enviado)"/>
    <n v="1"/>
    <s v="Convenio"/>
    <n v="4"/>
    <n v="1"/>
    <n v="80000000"/>
    <n v="6666666"/>
    <x v="11"/>
    <x v="20"/>
    <x v="35"/>
    <x v="38"/>
    <s v="64-2565660-"/>
    <s v="pablo.oyarzo@redsalud.gob.cl"/>
    <x v="7"/>
    <d v="2025-08-20T00:00:00"/>
    <n v="0"/>
    <m/>
    <n v="1"/>
    <n v="6666666"/>
    <d v="2026-01-01T00:00:00"/>
    <x v="0"/>
    <x v="0"/>
  </r>
  <r>
    <s v="SERVICIO DE SALUD OSORNO"/>
    <s v="Bienes y Servicios"/>
    <x v="52"/>
    <s v="Proyecto operacional"/>
    <s v="Publicado"/>
    <s v="22.04.007.002"/>
    <x v="53"/>
    <s v="CONVENIO DE ENERO A DICIEMBRE DEL AÑO 2026 ( Formulario enviado)"/>
    <n v="1"/>
    <s v="Convenio"/>
    <n v="4"/>
    <n v="1"/>
    <n v="80000000"/>
    <n v="6666674"/>
    <x v="11"/>
    <x v="20"/>
    <x v="35"/>
    <x v="38"/>
    <s v="64-2565660-"/>
    <s v="pablo.oyarzo@redsalud.gob.cl"/>
    <x v="7"/>
    <d v="2025-08-20T00:00:00"/>
    <n v="0"/>
    <m/>
    <n v="1"/>
    <n v="6666674"/>
    <d v="2026-12-01T00:00:00"/>
    <x v="0"/>
    <x v="0"/>
  </r>
  <r>
    <s v="SERVICIO DE SALUD OSORNO"/>
    <s v="Bienes y Servicios"/>
    <x v="52"/>
    <s v="Proyecto operacional"/>
    <s v="Publicado"/>
    <s v="22.04.007.002"/>
    <x v="53"/>
    <s v="CONVENIO DE ENERO A DICIEMBRE DEL AÑO 2026 ( Formulario enviado)"/>
    <n v="1"/>
    <s v="Convenio"/>
    <n v="4"/>
    <n v="1"/>
    <n v="80000000"/>
    <n v="6666666"/>
    <x v="11"/>
    <x v="20"/>
    <x v="35"/>
    <x v="38"/>
    <s v="64-2565660-"/>
    <s v="pablo.oyarzo@redsalud.gob.cl"/>
    <x v="7"/>
    <d v="2025-08-20T00:00:00"/>
    <n v="0"/>
    <m/>
    <n v="1"/>
    <n v="6666666"/>
    <d v="2026-05-01T00:00:00"/>
    <x v="0"/>
    <x v="0"/>
  </r>
  <r>
    <s v="SERVICIO DE SALUD OSORNO"/>
    <s v="Bienes y Servicios"/>
    <x v="52"/>
    <s v="Proyecto operacional"/>
    <s v="Publicado"/>
    <s v="22.04.007.002"/>
    <x v="53"/>
    <s v="CONVENIO DE ENERO A DICIEMBRE DEL AÑO 2026 ( Formulario enviado)"/>
    <n v="1"/>
    <s v="Convenio"/>
    <n v="4"/>
    <n v="1"/>
    <n v="80000000"/>
    <n v="6666666"/>
    <x v="11"/>
    <x v="20"/>
    <x v="35"/>
    <x v="38"/>
    <s v="64-2565660-"/>
    <s v="pablo.oyarzo@redsalud.gob.cl"/>
    <x v="7"/>
    <d v="2025-08-20T00:00:00"/>
    <n v="0"/>
    <m/>
    <n v="1"/>
    <n v="6666666"/>
    <d v="2026-03-01T00:00:00"/>
    <x v="0"/>
    <x v="0"/>
  </r>
  <r>
    <s v="SERVICIO DE SALUD OSORNO"/>
    <s v="Bienes y Servicios"/>
    <x v="52"/>
    <s v="Proyecto operacional"/>
    <s v="Publicado"/>
    <s v="22.04.007.002"/>
    <x v="53"/>
    <s v="CONVENIO DE ENERO A DICIEMBRE DEL AÑO 2026 ( Formulario enviado)"/>
    <n v="1"/>
    <s v="Convenio"/>
    <n v="4"/>
    <n v="1"/>
    <n v="80000000"/>
    <n v="6666666"/>
    <x v="11"/>
    <x v="20"/>
    <x v="35"/>
    <x v="38"/>
    <s v="64-2565660-"/>
    <s v="pablo.oyarzo@redsalud.gob.cl"/>
    <x v="7"/>
    <d v="2025-08-20T00:00:00"/>
    <n v="0"/>
    <m/>
    <n v="1"/>
    <n v="6666666"/>
    <d v="2026-08-01T00:00:00"/>
    <x v="0"/>
    <x v="0"/>
  </r>
  <r>
    <s v="SERVICIO DE SALUD OSORNO"/>
    <s v="Bienes y Servicios"/>
    <x v="52"/>
    <s v="Proyecto operacional"/>
    <s v="Publicado"/>
    <s v="22.04.007.002"/>
    <x v="53"/>
    <s v="CONVENIO DE ENERO A DICIEMBRE DEL AÑO 2026 ( Formulario enviado)"/>
    <n v="1"/>
    <s v="Convenio"/>
    <n v="4"/>
    <n v="1"/>
    <n v="80000000"/>
    <n v="6666666"/>
    <x v="11"/>
    <x v="20"/>
    <x v="35"/>
    <x v="38"/>
    <s v="64-2565660-"/>
    <s v="pablo.oyarzo@redsalud.gob.cl"/>
    <x v="7"/>
    <d v="2025-08-20T00:00:00"/>
    <n v="0"/>
    <m/>
    <n v="1"/>
    <n v="6666666"/>
    <d v="2026-02-01T00:00:00"/>
    <x v="0"/>
    <x v="0"/>
  </r>
  <r>
    <s v="SERVICIO DE SALUD OSORNO"/>
    <s v="Bienes y Servicios"/>
    <x v="52"/>
    <s v="Proyecto operacional"/>
    <s v="Publicado"/>
    <s v="22.04.007.002"/>
    <x v="53"/>
    <s v="CONVENIO DE ENERO A DICIEMBRE DEL AÑO 2026 ( Formulario enviado)"/>
    <n v="1"/>
    <s v="Convenio"/>
    <n v="4"/>
    <n v="1"/>
    <n v="80000000"/>
    <n v="6666666"/>
    <x v="11"/>
    <x v="20"/>
    <x v="35"/>
    <x v="38"/>
    <s v="64-2565660-"/>
    <s v="pablo.oyarzo@redsalud.gob.cl"/>
    <x v="7"/>
    <d v="2025-08-20T00:00:00"/>
    <n v="0"/>
    <m/>
    <n v="1"/>
    <n v="6666666"/>
    <d v="2026-11-01T00:00:00"/>
    <x v="0"/>
    <x v="0"/>
  </r>
  <r>
    <s v="SERVICIO DE SALUD OSORNO"/>
    <s v="Bienes y Servicios"/>
    <x v="52"/>
    <s v="Proyecto operacional"/>
    <s v="Publicado"/>
    <s v="22.04.007.002"/>
    <x v="53"/>
    <s v="CONVENIO DE ENERO A DICIEMBRE DEL AÑO 2026 ( Formulario enviado)"/>
    <n v="1"/>
    <s v="Convenio"/>
    <n v="4"/>
    <n v="1"/>
    <n v="80000000"/>
    <n v="6666666"/>
    <x v="11"/>
    <x v="20"/>
    <x v="35"/>
    <x v="38"/>
    <s v="64-2565660-"/>
    <s v="pablo.oyarzo@redsalud.gob.cl"/>
    <x v="7"/>
    <d v="2025-08-20T00:00:00"/>
    <n v="0"/>
    <m/>
    <n v="1"/>
    <n v="6666666"/>
    <d v="2026-06-01T00:00:00"/>
    <x v="0"/>
    <x v="0"/>
  </r>
  <r>
    <s v="SERVICIO DE SALUD OSORNO"/>
    <s v="Bienes y Servicios"/>
    <x v="52"/>
    <s v="Proyecto operacional"/>
    <s v="Publicado"/>
    <s v="22.04.007.002"/>
    <x v="53"/>
    <s v="CONVENIO DE ENERO A DICIEMBRE DEL AÑO 2026 ( Formulario enviado)"/>
    <n v="1"/>
    <s v="Convenio"/>
    <n v="4"/>
    <n v="1"/>
    <n v="80000000"/>
    <n v="6666666"/>
    <x v="11"/>
    <x v="20"/>
    <x v="35"/>
    <x v="38"/>
    <s v="64-2565660-"/>
    <s v="pablo.oyarzo@redsalud.gob.cl"/>
    <x v="7"/>
    <d v="2025-08-20T00:00:00"/>
    <n v="0"/>
    <m/>
    <n v="1"/>
    <n v="6666666"/>
    <d v="2026-04-01T00:00:00"/>
    <x v="0"/>
    <x v="0"/>
  </r>
  <r>
    <s v="SERVICIO DE SALUD OSORNO"/>
    <s v="Bienes y Servicios"/>
    <x v="52"/>
    <s v="Proyecto operacional"/>
    <s v="Publicado"/>
    <s v="22.04.007.002"/>
    <x v="53"/>
    <s v="CONVENIO DE ENERO A DICIEMBRE DEL AÑO 2026 ( Formulario enviado)"/>
    <n v="1"/>
    <s v="Convenio"/>
    <n v="4"/>
    <n v="1"/>
    <n v="80000000"/>
    <n v="6666666"/>
    <x v="11"/>
    <x v="20"/>
    <x v="35"/>
    <x v="38"/>
    <s v="64-2565660-"/>
    <s v="pablo.oyarzo@redsalud.gob.cl"/>
    <x v="7"/>
    <d v="2025-08-20T00:00:00"/>
    <n v="0"/>
    <m/>
    <n v="1"/>
    <n v="6666666"/>
    <d v="2026-07-01T00:00:00"/>
    <x v="0"/>
    <x v="0"/>
  </r>
  <r>
    <s v="SERVICIO DE SALUD OSORNO"/>
    <s v="Bienes y Servicios"/>
    <x v="52"/>
    <s v="Proyecto operacional"/>
    <s v="Publicado"/>
    <s v="22.04.007.002"/>
    <x v="53"/>
    <s v="CONVENIO DE ENERO A DICIEMBRE DEL AÑO 2026 ( Formulario enviado)"/>
    <n v="1"/>
    <s v="Convenio"/>
    <n v="4"/>
    <n v="1"/>
    <n v="80000000"/>
    <n v="6666666"/>
    <x v="11"/>
    <x v="20"/>
    <x v="35"/>
    <x v="38"/>
    <s v="64-2565660-"/>
    <s v="pablo.oyarzo@redsalud.gob.cl"/>
    <x v="7"/>
    <d v="2025-08-20T00:00:00"/>
    <n v="0"/>
    <m/>
    <n v="1"/>
    <n v="6666666"/>
    <d v="2026-10-01T00:00:00"/>
    <x v="0"/>
    <x v="0"/>
  </r>
  <r>
    <s v="SERVICIO DE SALUD OSORNO"/>
    <s v="Bienes y Servicios"/>
    <x v="52"/>
    <s v="Proyecto operacional"/>
    <s v="Publicado"/>
    <s v="22.04.007.002"/>
    <x v="53"/>
    <s v="CONVENIO DE ENERO A DICIEMBRE DEL AÑO 2026 ( Formulario enviado)"/>
    <n v="1"/>
    <s v="Convenio"/>
    <n v="4"/>
    <n v="1"/>
    <n v="80000000"/>
    <n v="6666666"/>
    <x v="11"/>
    <x v="20"/>
    <x v="35"/>
    <x v="38"/>
    <s v="64-2565660-"/>
    <s v="pablo.oyarzo@redsalud.gob.cl"/>
    <x v="7"/>
    <d v="2025-08-20T00:00:00"/>
    <n v="0"/>
    <m/>
    <n v="1"/>
    <n v="6666666"/>
    <d v="2026-09-01T00:00:00"/>
    <x v="0"/>
    <x v="0"/>
  </r>
  <r>
    <s v="SERVICIO DE SALUD OSORNO"/>
    <s v="Bienes y Servicios"/>
    <x v="53"/>
    <s v="Proyecto operacional"/>
    <s v="Publicado"/>
    <s v="22..10.002"/>
    <x v="54"/>
    <s v="Contratación de Seguros para Vehículos Motorizados pertenecientes al Servicio de Salud Osorno que prestan servicios en los Establecimientos Asistenciales, ya sea como Ambulancias, Camionetas, Minibuses, Station Wagon, Clínicas Dentales o como transporte de personas, etc. Esto, por considerar que, dadas las condiciones de trabajo de dichos vehículos y las características viales de esta Región en particular, así lo aconsejan."/>
    <n v="1"/>
    <s v="Convenios Seguros"/>
    <n v="4"/>
    <n v="40"/>
    <n v="2000000"/>
    <n v="3333333"/>
    <x v="1"/>
    <x v="14"/>
    <x v="1"/>
    <x v="39"/>
    <s v="64-2565654-"/>
    <s v="felipe.salvob@redsalud.gob.cl"/>
    <x v="7"/>
    <d v="2025-08-20T00:00:00"/>
    <n v="0"/>
    <m/>
    <n v="1"/>
    <n v="3333333"/>
    <d v="2026-03-01T00:00:00"/>
    <x v="0"/>
    <x v="0"/>
  </r>
  <r>
    <s v="SERVICIO DE SALUD OSORNO"/>
    <s v="Bienes y Servicios"/>
    <x v="53"/>
    <s v="Proyecto operacional"/>
    <s v="Publicado"/>
    <s v="22..10.002"/>
    <x v="54"/>
    <s v="Contratación de Seguros para Vehículos Motorizados pertenecientes al Servicio de Salud Osorno que prestan servicios en los Establecimientos Asistenciales, ya sea como Ambulancias, Camionetas, Minibuses, Station Wagon, Clínicas Dentales o como transporte de personas, etc. Esto, por considerar que, dadas las condiciones de trabajo de dichos vehículos y las características viales de esta Región en particular, así lo aconsejan."/>
    <n v="1"/>
    <s v="Convenios Seguros"/>
    <n v="4"/>
    <n v="40"/>
    <n v="2000000"/>
    <n v="3333333"/>
    <x v="1"/>
    <x v="14"/>
    <x v="1"/>
    <x v="39"/>
    <s v="64-2565654-"/>
    <s v="felipe.salvob@redsalud.gob.cl"/>
    <x v="7"/>
    <d v="2025-08-20T00:00:00"/>
    <n v="0"/>
    <m/>
    <n v="1"/>
    <n v="3333333"/>
    <d v="2026-01-01T00:00:00"/>
    <x v="0"/>
    <x v="0"/>
  </r>
  <r>
    <s v="SERVICIO DE SALUD OSORNO"/>
    <s v="Bienes y Servicios"/>
    <x v="53"/>
    <s v="Proyecto operacional"/>
    <s v="Publicado"/>
    <s v="22..10.002"/>
    <x v="54"/>
    <s v="Contratación de Seguros para Vehículos Motorizados pertenecientes al Servicio de Salud Osorno que prestan servicios en los Establecimientos Asistenciales, ya sea como Ambulancias, Camionetas, Minibuses, Station Wagon, Clínicas Dentales o como transporte de personas, etc. Esto, por considerar que, dadas las condiciones de trabajo de dichos vehículos y las características viales de esta Región en particular, así lo aconsejan."/>
    <n v="1"/>
    <s v="Convenios Seguros"/>
    <n v="4"/>
    <n v="40"/>
    <n v="2000000"/>
    <n v="3333333"/>
    <x v="1"/>
    <x v="14"/>
    <x v="1"/>
    <x v="39"/>
    <s v="64-2565654-"/>
    <s v="felipe.salvob@redsalud.gob.cl"/>
    <x v="7"/>
    <d v="2025-08-20T00:00:00"/>
    <n v="0"/>
    <m/>
    <n v="1"/>
    <n v="3333333"/>
    <d v="2026-06-01T00:00:00"/>
    <x v="0"/>
    <x v="0"/>
  </r>
  <r>
    <s v="SERVICIO DE SALUD OSORNO"/>
    <s v="Bienes y Servicios"/>
    <x v="53"/>
    <s v="Proyecto operacional"/>
    <s v="Publicado"/>
    <s v="22..10.002"/>
    <x v="54"/>
    <s v="Contratación de Seguros para Vehículos Motorizados pertenecientes al Servicio de Salud Osorno que prestan servicios en los Establecimientos Asistenciales, ya sea como Ambulancias, Camionetas, Minibuses, Station Wagon, Clínicas Dentales o como transporte de personas, etc. Esto, por considerar que, dadas las condiciones de trabajo de dichos vehículos y las características viales de esta Región en particular, así lo aconsejan."/>
    <n v="1"/>
    <s v="Convenios Seguros"/>
    <n v="4"/>
    <n v="40"/>
    <n v="2000000"/>
    <n v="3333333"/>
    <x v="1"/>
    <x v="14"/>
    <x v="1"/>
    <x v="39"/>
    <s v="64-2565654-"/>
    <s v="felipe.salvob@redsalud.gob.cl"/>
    <x v="7"/>
    <d v="2025-08-20T00:00:00"/>
    <n v="0"/>
    <m/>
    <n v="1"/>
    <n v="3333333"/>
    <d v="2026-05-01T00:00:00"/>
    <x v="0"/>
    <x v="0"/>
  </r>
  <r>
    <s v="SERVICIO DE SALUD OSORNO"/>
    <s v="Bienes y Servicios"/>
    <x v="53"/>
    <s v="Proyecto operacional"/>
    <s v="Publicado"/>
    <s v="22..10.002"/>
    <x v="54"/>
    <s v="Contratación de Seguros para Vehículos Motorizados pertenecientes al Servicio de Salud Osorno que prestan servicios en los Establecimientos Asistenciales, ya sea como Ambulancias, Camionetas, Minibuses, Station Wagon, Clínicas Dentales o como transporte de personas, etc. Esto, por considerar que, dadas las condiciones de trabajo de dichos vehículos y las características viales de esta Región en particular, así lo aconsejan."/>
    <n v="1"/>
    <s v="Convenios Seguros"/>
    <n v="4"/>
    <n v="40"/>
    <n v="2000000"/>
    <n v="3333333"/>
    <x v="1"/>
    <x v="14"/>
    <x v="1"/>
    <x v="39"/>
    <s v="64-2565654-"/>
    <s v="felipe.salvob@redsalud.gob.cl"/>
    <x v="7"/>
    <d v="2025-08-20T00:00:00"/>
    <n v="0"/>
    <m/>
    <n v="1"/>
    <n v="3333333"/>
    <d v="2026-12-01T00:00:00"/>
    <x v="0"/>
    <x v="0"/>
  </r>
  <r>
    <s v="SERVICIO DE SALUD OSORNO"/>
    <s v="Bienes y Servicios"/>
    <x v="53"/>
    <s v="Proyecto operacional"/>
    <s v="Publicado"/>
    <s v="22..10.002"/>
    <x v="54"/>
    <s v="Contratación de Seguros para Vehículos Motorizados pertenecientes al Servicio de Salud Osorno que prestan servicios en los Establecimientos Asistenciales, ya sea como Ambulancias, Camionetas, Minibuses, Station Wagon, Clínicas Dentales o como transporte de personas, etc. Esto, por considerar que, dadas las condiciones de trabajo de dichos vehículos y las características viales de esta Región en particular, así lo aconsejan."/>
    <n v="1"/>
    <s v="Convenios Seguros"/>
    <n v="4"/>
    <n v="40"/>
    <n v="2000000"/>
    <n v="3333333"/>
    <x v="1"/>
    <x v="14"/>
    <x v="1"/>
    <x v="39"/>
    <s v="64-2565654-"/>
    <s v="felipe.salvob@redsalud.gob.cl"/>
    <x v="7"/>
    <d v="2025-08-20T00:00:00"/>
    <n v="0"/>
    <m/>
    <n v="1"/>
    <n v="3333333"/>
    <d v="2026-02-01T00:00:00"/>
    <x v="0"/>
    <x v="0"/>
  </r>
  <r>
    <s v="SERVICIO DE SALUD OSORNO"/>
    <s v="Bienes y Servicios"/>
    <x v="53"/>
    <s v="Proyecto operacional"/>
    <s v="Publicado"/>
    <s v="22..10.002"/>
    <x v="54"/>
    <s v="Contratación de Seguros para Vehículos Motorizados pertenecientes al Servicio de Salud Osorno que prestan servicios en los Establecimientos Asistenciales, ya sea como Ambulancias, Camionetas, Minibuses, Station Wagon, Clínicas Dentales o como transporte de personas, etc. Esto, por considerar que, dadas las condiciones de trabajo de dichos vehículos y las características viales de esta Región en particular, así lo aconsejan."/>
    <n v="1"/>
    <s v="Convenios Seguros"/>
    <n v="4"/>
    <n v="40"/>
    <n v="2000000"/>
    <n v="3333333"/>
    <x v="1"/>
    <x v="14"/>
    <x v="1"/>
    <x v="39"/>
    <s v="64-2565654-"/>
    <s v="felipe.salvob@redsalud.gob.cl"/>
    <x v="7"/>
    <d v="2025-08-20T00:00:00"/>
    <n v="0"/>
    <m/>
    <n v="1"/>
    <n v="3333333"/>
    <d v="2026-07-01T00:00:00"/>
    <x v="0"/>
    <x v="0"/>
  </r>
  <r>
    <s v="SERVICIO DE SALUD OSORNO"/>
    <s v="Bienes y Servicios"/>
    <x v="53"/>
    <s v="Proyecto operacional"/>
    <s v="Publicado"/>
    <s v="22..10.002"/>
    <x v="54"/>
    <s v="Contratación de Seguros para Vehículos Motorizados pertenecientes al Servicio de Salud Osorno que prestan servicios en los Establecimientos Asistenciales, ya sea como Ambulancias, Camionetas, Minibuses, Station Wagon, Clínicas Dentales o como transporte de personas, etc. Esto, por considerar que, dadas las condiciones de trabajo de dichos vehículos y las características viales de esta Región en particular, así lo aconsejan."/>
    <n v="1"/>
    <s v="Convenios Seguros"/>
    <n v="4"/>
    <n v="40"/>
    <n v="2000000"/>
    <n v="3333333"/>
    <x v="1"/>
    <x v="14"/>
    <x v="1"/>
    <x v="39"/>
    <s v="64-2565654-"/>
    <s v="felipe.salvob@redsalud.gob.cl"/>
    <x v="7"/>
    <d v="2025-08-20T00:00:00"/>
    <n v="0"/>
    <m/>
    <n v="1"/>
    <n v="3333333"/>
    <d v="2026-11-01T00:00:00"/>
    <x v="0"/>
    <x v="0"/>
  </r>
  <r>
    <s v="SERVICIO DE SALUD OSORNO"/>
    <s v="Bienes y Servicios"/>
    <x v="53"/>
    <s v="Proyecto operacional"/>
    <s v="Publicado"/>
    <s v="22..10.002"/>
    <x v="54"/>
    <s v="Contratación de Seguros para Vehículos Motorizados pertenecientes al Servicio de Salud Osorno que prestan servicios en los Establecimientos Asistenciales, ya sea como Ambulancias, Camionetas, Minibuses, Station Wagon, Clínicas Dentales o como transporte de personas, etc. Esto, por considerar que, dadas las condiciones de trabajo de dichos vehículos y las características viales de esta Región en particular, así lo aconsejan."/>
    <n v="1"/>
    <s v="Convenios Seguros"/>
    <n v="4"/>
    <n v="40"/>
    <n v="2000000"/>
    <n v="3333333"/>
    <x v="1"/>
    <x v="14"/>
    <x v="1"/>
    <x v="39"/>
    <s v="64-2565654-"/>
    <s v="felipe.salvob@redsalud.gob.cl"/>
    <x v="7"/>
    <d v="2025-08-20T00:00:00"/>
    <n v="0"/>
    <m/>
    <n v="1"/>
    <n v="3333333"/>
    <d v="2026-04-01T00:00:00"/>
    <x v="0"/>
    <x v="0"/>
  </r>
  <r>
    <s v="SERVICIO DE SALUD OSORNO"/>
    <s v="Bienes y Servicios"/>
    <x v="53"/>
    <s v="Proyecto operacional"/>
    <s v="Publicado"/>
    <s v="22..10.002"/>
    <x v="54"/>
    <s v="Contratación de Seguros para Vehículos Motorizados pertenecientes al Servicio de Salud Osorno que prestan servicios en los Establecimientos Asistenciales, ya sea como Ambulancias, Camionetas, Minibuses, Station Wagon, Clínicas Dentales o como transporte de personas, etc. Esto, por considerar que, dadas las condiciones de trabajo de dichos vehículos y las características viales de esta Región en particular, así lo aconsejan."/>
    <n v="1"/>
    <s v="Convenios Seguros"/>
    <n v="4"/>
    <n v="40"/>
    <n v="2000000"/>
    <n v="3333333"/>
    <x v="1"/>
    <x v="14"/>
    <x v="1"/>
    <x v="39"/>
    <s v="64-2565654-"/>
    <s v="felipe.salvob@redsalud.gob.cl"/>
    <x v="7"/>
    <d v="2025-08-20T00:00:00"/>
    <n v="0"/>
    <m/>
    <n v="1"/>
    <n v="3333333"/>
    <d v="2026-08-01T00:00:00"/>
    <x v="0"/>
    <x v="0"/>
  </r>
  <r>
    <s v="SERVICIO DE SALUD OSORNO"/>
    <s v="Bienes y Servicios"/>
    <x v="53"/>
    <s v="Proyecto operacional"/>
    <s v="Publicado"/>
    <s v="22..10.002"/>
    <x v="54"/>
    <s v="Contratación de Seguros para Vehículos Motorizados pertenecientes al Servicio de Salud Osorno que prestan servicios en los Establecimientos Asistenciales, ya sea como Ambulancias, Camionetas, Minibuses, Station Wagon, Clínicas Dentales o como transporte de personas, etc. Esto, por considerar que, dadas las condiciones de trabajo de dichos vehículos y las características viales de esta Región en particular, así lo aconsejan."/>
    <n v="1"/>
    <s v="Convenios Seguros"/>
    <n v="4"/>
    <n v="40"/>
    <n v="2000000"/>
    <n v="3333333"/>
    <x v="1"/>
    <x v="14"/>
    <x v="1"/>
    <x v="39"/>
    <s v="64-2565654-"/>
    <s v="felipe.salvob@redsalud.gob.cl"/>
    <x v="7"/>
    <d v="2025-08-20T00:00:00"/>
    <n v="0"/>
    <m/>
    <n v="1"/>
    <n v="3333333"/>
    <d v="2026-09-01T00:00:00"/>
    <x v="0"/>
    <x v="0"/>
  </r>
  <r>
    <s v="SERVICIO DE SALUD OSORNO"/>
    <s v="Bienes y Servicios"/>
    <x v="53"/>
    <s v="Proyecto operacional"/>
    <s v="Publicado"/>
    <s v="22..10.002"/>
    <x v="54"/>
    <s v="Contratación de Seguros para Vehículos Motorizados pertenecientes al Servicio de Salud Osorno que prestan servicios en los Establecimientos Asistenciales, ya sea como Ambulancias, Camionetas, Minibuses, Station Wagon, Clínicas Dentales o como transporte de personas, etc. Esto, por considerar que, dadas las condiciones de trabajo de dichos vehículos y las características viales de esta Región en particular, así lo aconsejan."/>
    <n v="1"/>
    <s v="Convenios Seguros"/>
    <n v="4"/>
    <n v="40"/>
    <n v="2000000"/>
    <n v="3333333"/>
    <x v="1"/>
    <x v="14"/>
    <x v="1"/>
    <x v="39"/>
    <s v="64-2565654-"/>
    <s v="felipe.salvob@redsalud.gob.cl"/>
    <x v="7"/>
    <d v="2025-08-20T00:00:00"/>
    <n v="0"/>
    <m/>
    <n v="1"/>
    <n v="3333333"/>
    <d v="2026-10-01T00:00:00"/>
    <x v="0"/>
    <x v="0"/>
  </r>
  <r>
    <s v="SERVICIO DE SALUD OSORNO"/>
    <s v="Administración de Fondos"/>
    <x v="54"/>
    <s v="Proyecto operacional"/>
    <s v="Publicado"/>
    <s v="22.12.999.002.01"/>
    <x v="55"/>
    <s v="Servicio de arriendo (comodato) de 13 equipos portátiles de teleelectrocardiografía a distancia para la sospecha de IAM en dispositivos de la Red de Urgencia primaria de la provincia e informes de electrocardiografía a distancia, emitidos por médico cardiólogo o internista. Fecha de implementación: desde el 01/01/2026 al 31/12/2026. presupuesto: Minsal para tele ECG IAM, 2026"/>
    <n v="1"/>
    <s v="Convenio"/>
    <n v="4"/>
    <n v="1"/>
    <n v="33600000"/>
    <n v="2800000"/>
    <x v="11"/>
    <x v="18"/>
    <x v="24"/>
    <x v="26"/>
    <s v="64-2565810-"/>
    <s v="consuelo.cordova@redsalud.gob.cl"/>
    <x v="7"/>
    <d v="2025-08-20T00:00:00"/>
    <n v="0"/>
    <m/>
    <n v="1"/>
    <n v="2800000"/>
    <d v="2026-07-01T00:00:00"/>
    <x v="0"/>
    <x v="0"/>
  </r>
  <r>
    <s v="SERVICIO DE SALUD OSORNO"/>
    <s v="Administración de Fondos"/>
    <x v="54"/>
    <s v="Proyecto operacional"/>
    <s v="Publicado"/>
    <s v="22.12.999.002.01"/>
    <x v="55"/>
    <s v="Servicio de arriendo (comodato) de 13 equipos portátiles de teleelectrocardiografía a distancia para la sospecha de IAM en dispositivos de la Red de Urgencia primaria de la provincia e informes de electrocardiografía a distancia, emitidos por médico cardiólogo o internista. Fecha de implementación: desde el 01/01/2026 al 31/12/2026. presupuesto: Minsal para tele ECG IAM, 2026"/>
    <n v="1"/>
    <s v="Convenio"/>
    <n v="4"/>
    <n v="1"/>
    <n v="33600000"/>
    <n v="2800000"/>
    <x v="11"/>
    <x v="18"/>
    <x v="24"/>
    <x v="26"/>
    <s v="64-2565810-"/>
    <s v="consuelo.cordova@redsalud.gob.cl"/>
    <x v="7"/>
    <d v="2025-08-20T00:00:00"/>
    <n v="0"/>
    <m/>
    <n v="1"/>
    <n v="2800000"/>
    <d v="2026-04-01T00:00:00"/>
    <x v="0"/>
    <x v="0"/>
  </r>
  <r>
    <s v="SERVICIO DE SALUD OSORNO"/>
    <s v="Administración de Fondos"/>
    <x v="54"/>
    <s v="Proyecto operacional"/>
    <s v="Publicado"/>
    <s v="22.12.999.002.01"/>
    <x v="55"/>
    <s v="Servicio de arriendo (comodato) de 13 equipos portátiles de teleelectrocardiografía a distancia para la sospecha de IAM en dispositivos de la Red de Urgencia primaria de la provincia e informes de electrocardiografía a distancia, emitidos por médico cardiólogo o internista. Fecha de implementación: desde el 01/01/2026 al 31/12/2026. presupuesto: Minsal para tele ECG IAM, 2026"/>
    <n v="1"/>
    <s v="Convenio"/>
    <n v="4"/>
    <n v="1"/>
    <n v="33600000"/>
    <n v="2800000"/>
    <x v="11"/>
    <x v="18"/>
    <x v="24"/>
    <x v="26"/>
    <s v="64-2565810-"/>
    <s v="consuelo.cordova@redsalud.gob.cl"/>
    <x v="7"/>
    <d v="2025-08-20T00:00:00"/>
    <n v="0"/>
    <m/>
    <n v="1"/>
    <n v="2800000"/>
    <d v="2026-02-01T00:00:00"/>
    <x v="0"/>
    <x v="0"/>
  </r>
  <r>
    <s v="SERVICIO DE SALUD OSORNO"/>
    <s v="Administración de Fondos"/>
    <x v="54"/>
    <s v="Proyecto operacional"/>
    <s v="Publicado"/>
    <s v="22.12.999.002.01"/>
    <x v="55"/>
    <s v="Servicio de arriendo (comodato) de 13 equipos portátiles de teleelectrocardiografía a distancia para la sospecha de IAM en dispositivos de la Red de Urgencia primaria de la provincia e informes de electrocardiografía a distancia, emitidos por médico cardiólogo o internista. Fecha de implementación: desde el 01/01/2026 al 31/12/2026. presupuesto: Minsal para tele ECG IAM, 2026"/>
    <n v="1"/>
    <s v="Convenio"/>
    <n v="4"/>
    <n v="1"/>
    <n v="33600000"/>
    <n v="2800000"/>
    <x v="11"/>
    <x v="18"/>
    <x v="24"/>
    <x v="26"/>
    <s v="64-2565810-"/>
    <s v="consuelo.cordova@redsalud.gob.cl"/>
    <x v="7"/>
    <d v="2025-08-20T00:00:00"/>
    <n v="0"/>
    <m/>
    <n v="1"/>
    <n v="2800000"/>
    <d v="2026-10-01T00:00:00"/>
    <x v="0"/>
    <x v="0"/>
  </r>
  <r>
    <s v="SERVICIO DE SALUD OSORNO"/>
    <s v="Administración de Fondos"/>
    <x v="54"/>
    <s v="Proyecto operacional"/>
    <s v="Publicado"/>
    <s v="22.12.999.002.01"/>
    <x v="55"/>
    <s v="Servicio de arriendo (comodato) de 13 equipos portátiles de teleelectrocardiografía a distancia para la sospecha de IAM en dispositivos de la Red de Urgencia primaria de la provincia e informes de electrocardiografía a distancia, emitidos por médico cardiólogo o internista. Fecha de implementación: desde el 01/01/2026 al 31/12/2026. presupuesto: Minsal para tele ECG IAM, 2026"/>
    <n v="1"/>
    <s v="Convenio"/>
    <n v="4"/>
    <n v="1"/>
    <n v="33600000"/>
    <n v="2800000"/>
    <x v="11"/>
    <x v="18"/>
    <x v="24"/>
    <x v="26"/>
    <s v="64-2565810-"/>
    <s v="consuelo.cordova@redsalud.gob.cl"/>
    <x v="7"/>
    <d v="2025-08-20T00:00:00"/>
    <n v="0"/>
    <m/>
    <n v="1"/>
    <n v="2800000"/>
    <d v="2026-03-01T00:00:00"/>
    <x v="0"/>
    <x v="0"/>
  </r>
  <r>
    <s v="SERVICIO DE SALUD OSORNO"/>
    <s v="Administración de Fondos"/>
    <x v="54"/>
    <s v="Proyecto operacional"/>
    <s v="Publicado"/>
    <s v="22.12.999.002.01"/>
    <x v="55"/>
    <s v="Servicio de arriendo (comodato) de 13 equipos portátiles de teleelectrocardiografía a distancia para la sospecha de IAM en dispositivos de la Red de Urgencia primaria de la provincia e informes de electrocardiografía a distancia, emitidos por médico cardiólogo o internista. Fecha de implementación: desde el 01/01/2026 al 31/12/2026. presupuesto: Minsal para tele ECG IAM, 2026"/>
    <n v="1"/>
    <s v="Convenio"/>
    <n v="4"/>
    <n v="1"/>
    <n v="33600000"/>
    <n v="2800000"/>
    <x v="11"/>
    <x v="18"/>
    <x v="24"/>
    <x v="26"/>
    <s v="64-2565810-"/>
    <s v="consuelo.cordova@redsalud.gob.cl"/>
    <x v="7"/>
    <d v="2025-08-20T00:00:00"/>
    <n v="0"/>
    <m/>
    <n v="1"/>
    <n v="2800000"/>
    <d v="2026-11-01T00:00:00"/>
    <x v="0"/>
    <x v="0"/>
  </r>
  <r>
    <s v="SERVICIO DE SALUD OSORNO"/>
    <s v="Administración de Fondos"/>
    <x v="54"/>
    <s v="Proyecto operacional"/>
    <s v="Publicado"/>
    <s v="22.12.999.002.01"/>
    <x v="55"/>
    <s v="Servicio de arriendo (comodato) de 13 equipos portátiles de teleelectrocardiografía a distancia para la sospecha de IAM en dispositivos de la Red de Urgencia primaria de la provincia e informes de electrocardiografía a distancia, emitidos por médico cardiólogo o internista. Fecha de implementación: desde el 01/01/2026 al 31/12/2026. presupuesto: Minsal para tele ECG IAM, 2026"/>
    <n v="1"/>
    <s v="Convenio"/>
    <n v="4"/>
    <n v="1"/>
    <n v="33600000"/>
    <n v="2800000"/>
    <x v="11"/>
    <x v="18"/>
    <x v="24"/>
    <x v="26"/>
    <s v="64-2565810-"/>
    <s v="consuelo.cordova@redsalud.gob.cl"/>
    <x v="7"/>
    <d v="2025-08-20T00:00:00"/>
    <n v="0"/>
    <m/>
    <n v="1"/>
    <n v="2800000"/>
    <d v="2026-12-01T00:00:00"/>
    <x v="0"/>
    <x v="0"/>
  </r>
  <r>
    <s v="SERVICIO DE SALUD OSORNO"/>
    <s v="Administración de Fondos"/>
    <x v="54"/>
    <s v="Proyecto operacional"/>
    <s v="Publicado"/>
    <s v="22.12.999.002.01"/>
    <x v="55"/>
    <s v="Servicio de arriendo (comodato) de 13 equipos portátiles de teleelectrocardiografía a distancia para la sospecha de IAM en dispositivos de la Red de Urgencia primaria de la provincia e informes de electrocardiografía a distancia, emitidos por médico cardiólogo o internista. Fecha de implementación: desde el 01/01/2026 al 31/12/2026. presupuesto: Minsal para tele ECG IAM, 2026"/>
    <n v="1"/>
    <s v="Convenio"/>
    <n v="4"/>
    <n v="1"/>
    <n v="33600000"/>
    <n v="2800000"/>
    <x v="11"/>
    <x v="18"/>
    <x v="24"/>
    <x v="26"/>
    <s v="64-2565810-"/>
    <s v="consuelo.cordova@redsalud.gob.cl"/>
    <x v="7"/>
    <d v="2025-08-20T00:00:00"/>
    <n v="0"/>
    <m/>
    <n v="1"/>
    <n v="2800000"/>
    <d v="2026-08-01T00:00:00"/>
    <x v="0"/>
    <x v="0"/>
  </r>
  <r>
    <s v="SERVICIO DE SALUD OSORNO"/>
    <s v="Administración de Fondos"/>
    <x v="54"/>
    <s v="Proyecto operacional"/>
    <s v="Publicado"/>
    <s v="22.12.999.002.01"/>
    <x v="55"/>
    <s v="Servicio de arriendo (comodato) de 13 equipos portátiles de teleelectrocardiografía a distancia para la sospecha de IAM en dispositivos de la Red de Urgencia primaria de la provincia e informes de electrocardiografía a distancia, emitidos por médico cardiólogo o internista. Fecha de implementación: desde el 01/01/2026 al 31/12/2026. presupuesto: Minsal para tele ECG IAM, 2026"/>
    <n v="1"/>
    <s v="Convenio"/>
    <n v="4"/>
    <n v="1"/>
    <n v="33600000"/>
    <n v="2800000"/>
    <x v="11"/>
    <x v="18"/>
    <x v="24"/>
    <x v="26"/>
    <s v="64-2565810-"/>
    <s v="consuelo.cordova@redsalud.gob.cl"/>
    <x v="7"/>
    <d v="2025-08-20T00:00:00"/>
    <n v="0"/>
    <m/>
    <n v="1"/>
    <n v="2800000"/>
    <d v="2026-06-01T00:00:00"/>
    <x v="0"/>
    <x v="0"/>
  </r>
  <r>
    <s v="SERVICIO DE SALUD OSORNO"/>
    <s v="Administración de Fondos"/>
    <x v="54"/>
    <s v="Proyecto operacional"/>
    <s v="Publicado"/>
    <s v="22.12.999.002.01"/>
    <x v="55"/>
    <s v="Servicio de arriendo (comodato) de 13 equipos portátiles de teleelectrocardiografía a distancia para la sospecha de IAM en dispositivos de la Red de Urgencia primaria de la provincia e informes de electrocardiografía a distancia, emitidos por médico cardiólogo o internista. Fecha de implementación: desde el 01/01/2026 al 31/12/2026. presupuesto: Minsal para tele ECG IAM, 2026"/>
    <n v="1"/>
    <s v="Convenio"/>
    <n v="4"/>
    <n v="1"/>
    <n v="33600000"/>
    <n v="2800000"/>
    <x v="11"/>
    <x v="18"/>
    <x v="24"/>
    <x v="26"/>
    <s v="64-2565810-"/>
    <s v="consuelo.cordova@redsalud.gob.cl"/>
    <x v="7"/>
    <d v="2025-08-20T00:00:00"/>
    <n v="0"/>
    <m/>
    <n v="1"/>
    <n v="2800000"/>
    <d v="2026-09-01T00:00:00"/>
    <x v="0"/>
    <x v="0"/>
  </r>
  <r>
    <s v="SERVICIO DE SALUD OSORNO"/>
    <s v="Administración de Fondos"/>
    <x v="54"/>
    <s v="Proyecto operacional"/>
    <s v="Publicado"/>
    <s v="22.12.999.002.01"/>
    <x v="55"/>
    <s v="Servicio de arriendo (comodato) de 13 equipos portátiles de teleelectrocardiografía a distancia para la sospecha de IAM en dispositivos de la Red de Urgencia primaria de la provincia e informes de electrocardiografía a distancia, emitidos por médico cardiólogo o internista. Fecha de implementación: desde el 01/01/2026 al 31/12/2026. presupuesto: Minsal para tele ECG IAM, 2026"/>
    <n v="1"/>
    <s v="Convenio"/>
    <n v="4"/>
    <n v="1"/>
    <n v="33600000"/>
    <n v="2800000"/>
    <x v="11"/>
    <x v="18"/>
    <x v="24"/>
    <x v="26"/>
    <s v="64-2565810-"/>
    <s v="consuelo.cordova@redsalud.gob.cl"/>
    <x v="7"/>
    <d v="2025-08-20T00:00:00"/>
    <n v="0"/>
    <m/>
    <n v="1"/>
    <n v="2800000"/>
    <d v="2026-05-01T00:00:00"/>
    <x v="0"/>
    <x v="0"/>
  </r>
  <r>
    <s v="SERVICIO DE SALUD OSORNO"/>
    <s v="Bienes y Servicios"/>
    <x v="55"/>
    <s v="Proyecto operacional"/>
    <s v="Publicado"/>
    <s v="22.06.002"/>
    <x v="56"/>
    <s v="Realizar mantenciones preventivas a todos los sistemas de las conversiones de las Ambulancias y vehículos con equipos especiales, como también realizar mantenciones correctivas y/o reparativas, según sea requerido."/>
    <n v="1"/>
    <s v="Convenio"/>
    <n v="4"/>
    <n v="1"/>
    <n v="96100000"/>
    <n v="8008333"/>
    <x v="11"/>
    <x v="20"/>
    <x v="1"/>
    <x v="39"/>
    <s v="64-2565654-"/>
    <s v="felipe.salvob@redsalud.gob.cl"/>
    <x v="7"/>
    <d v="2025-08-20T00:00:00"/>
    <n v="0"/>
    <m/>
    <n v="1"/>
    <n v="8008333"/>
    <d v="2026-02-01T00:00:00"/>
    <x v="0"/>
    <x v="0"/>
  </r>
  <r>
    <s v="SERVICIO DE SALUD OSORNO"/>
    <s v="Bienes y Servicios"/>
    <x v="55"/>
    <s v="Proyecto operacional"/>
    <s v="Publicado"/>
    <s v="22.06.002"/>
    <x v="56"/>
    <s v="Realizar mantenciones preventivas a todos los sistemas de las conversiones de las Ambulancias y vehículos con equipos especiales, como también realizar mantenciones correctivas y/o reparativas, según sea requerido."/>
    <n v="1"/>
    <s v="Convenio"/>
    <n v="4"/>
    <n v="1"/>
    <n v="96100000"/>
    <n v="8008333"/>
    <x v="11"/>
    <x v="20"/>
    <x v="1"/>
    <x v="39"/>
    <s v="64-2565654-"/>
    <s v="felipe.salvob@redsalud.gob.cl"/>
    <x v="7"/>
    <d v="2025-08-20T00:00:00"/>
    <n v="0"/>
    <m/>
    <n v="1"/>
    <n v="8008333"/>
    <d v="2026-06-01T00:00:00"/>
    <x v="0"/>
    <x v="0"/>
  </r>
  <r>
    <s v="SERVICIO DE SALUD OSORNO"/>
    <s v="Bienes y Servicios"/>
    <x v="55"/>
    <s v="Proyecto operacional"/>
    <s v="Publicado"/>
    <s v="22.06.002"/>
    <x v="56"/>
    <s v="Realizar mantenciones preventivas a todos los sistemas de las conversiones de las Ambulancias y vehículos con equipos especiales, como también realizar mantenciones correctivas y/o reparativas, según sea requerido."/>
    <n v="1"/>
    <s v="Convenio"/>
    <n v="4"/>
    <n v="1"/>
    <n v="96100000"/>
    <n v="8008337"/>
    <x v="11"/>
    <x v="20"/>
    <x v="1"/>
    <x v="39"/>
    <s v="64-2565654-"/>
    <s v="felipe.salvob@redsalud.gob.cl"/>
    <x v="7"/>
    <d v="2025-08-20T00:00:00"/>
    <n v="0"/>
    <m/>
    <n v="1"/>
    <n v="8008337"/>
    <d v="2026-12-01T00:00:00"/>
    <x v="0"/>
    <x v="0"/>
  </r>
  <r>
    <s v="SERVICIO DE SALUD OSORNO"/>
    <s v="Bienes y Servicios"/>
    <x v="55"/>
    <s v="Proyecto operacional"/>
    <s v="Publicado"/>
    <s v="22.06.002"/>
    <x v="56"/>
    <s v="Realizar mantenciones preventivas a todos los sistemas de las conversiones de las Ambulancias y vehículos con equipos especiales, como también realizar mantenciones correctivas y/o reparativas, según sea requerido."/>
    <n v="1"/>
    <s v="Convenio"/>
    <n v="4"/>
    <n v="1"/>
    <n v="96100000"/>
    <n v="8008333"/>
    <x v="11"/>
    <x v="20"/>
    <x v="1"/>
    <x v="39"/>
    <s v="64-2565654-"/>
    <s v="felipe.salvob@redsalud.gob.cl"/>
    <x v="7"/>
    <d v="2025-08-20T00:00:00"/>
    <n v="0"/>
    <m/>
    <n v="1"/>
    <n v="8008333"/>
    <d v="2026-03-01T00:00:00"/>
    <x v="0"/>
    <x v="0"/>
  </r>
  <r>
    <s v="SERVICIO DE SALUD OSORNO"/>
    <s v="Bienes y Servicios"/>
    <x v="55"/>
    <s v="Proyecto operacional"/>
    <s v="Publicado"/>
    <s v="22.06.002"/>
    <x v="56"/>
    <s v="Realizar mantenciones preventivas a todos los sistemas de las conversiones de las Ambulancias y vehículos con equipos especiales, como también realizar mantenciones correctivas y/o reparativas, según sea requerido."/>
    <n v="1"/>
    <s v="Convenio"/>
    <n v="4"/>
    <n v="1"/>
    <n v="96100000"/>
    <n v="8008333"/>
    <x v="11"/>
    <x v="20"/>
    <x v="1"/>
    <x v="39"/>
    <s v="64-2565654-"/>
    <s v="felipe.salvob@redsalud.gob.cl"/>
    <x v="7"/>
    <d v="2025-08-20T00:00:00"/>
    <n v="0"/>
    <m/>
    <n v="1"/>
    <n v="8008333"/>
    <d v="2026-05-01T00:00:00"/>
    <x v="0"/>
    <x v="0"/>
  </r>
  <r>
    <s v="SERVICIO DE SALUD OSORNO"/>
    <s v="Bienes y Servicios"/>
    <x v="55"/>
    <s v="Proyecto operacional"/>
    <s v="Publicado"/>
    <s v="22.06.002"/>
    <x v="56"/>
    <s v="Realizar mantenciones preventivas a todos los sistemas de las conversiones de las Ambulancias y vehículos con equipos especiales, como también realizar mantenciones correctivas y/o reparativas, según sea requerido."/>
    <n v="1"/>
    <s v="Convenio"/>
    <n v="4"/>
    <n v="1"/>
    <n v="96100000"/>
    <n v="8008333"/>
    <x v="11"/>
    <x v="20"/>
    <x v="1"/>
    <x v="39"/>
    <s v="64-2565654-"/>
    <s v="felipe.salvob@redsalud.gob.cl"/>
    <x v="7"/>
    <d v="2025-08-20T00:00:00"/>
    <n v="0"/>
    <m/>
    <n v="1"/>
    <n v="8008333"/>
    <d v="2026-07-01T00:00:00"/>
    <x v="0"/>
    <x v="0"/>
  </r>
  <r>
    <s v="SERVICIO DE SALUD OSORNO"/>
    <s v="Bienes y Servicios"/>
    <x v="55"/>
    <s v="Proyecto operacional"/>
    <s v="Publicado"/>
    <s v="22.06.002"/>
    <x v="56"/>
    <s v="Realizar mantenciones preventivas a todos los sistemas de las conversiones de las Ambulancias y vehículos con equipos especiales, como también realizar mantenciones correctivas y/o reparativas, según sea requerido."/>
    <n v="1"/>
    <s v="Convenio"/>
    <n v="4"/>
    <n v="1"/>
    <n v="96100000"/>
    <n v="8008333"/>
    <x v="11"/>
    <x v="20"/>
    <x v="1"/>
    <x v="39"/>
    <s v="64-2565654-"/>
    <s v="felipe.salvob@redsalud.gob.cl"/>
    <x v="7"/>
    <d v="2025-08-20T00:00:00"/>
    <n v="0"/>
    <m/>
    <n v="1"/>
    <n v="8008333"/>
    <d v="2026-01-01T00:00:00"/>
    <x v="0"/>
    <x v="0"/>
  </r>
  <r>
    <s v="SERVICIO DE SALUD OSORNO"/>
    <s v="Bienes y Servicios"/>
    <x v="55"/>
    <s v="Proyecto operacional"/>
    <s v="Publicado"/>
    <s v="22.06.002"/>
    <x v="56"/>
    <s v="Realizar mantenciones preventivas a todos los sistemas de las conversiones de las Ambulancias y vehículos con equipos especiales, como también realizar mantenciones correctivas y/o reparativas, según sea requerido."/>
    <n v="1"/>
    <s v="Convenio"/>
    <n v="4"/>
    <n v="1"/>
    <n v="96100000"/>
    <n v="8008333"/>
    <x v="11"/>
    <x v="20"/>
    <x v="1"/>
    <x v="39"/>
    <s v="64-2565654-"/>
    <s v="felipe.salvob@redsalud.gob.cl"/>
    <x v="7"/>
    <d v="2025-08-20T00:00:00"/>
    <n v="0"/>
    <m/>
    <n v="1"/>
    <n v="8008333"/>
    <d v="2026-08-01T00:00:00"/>
    <x v="0"/>
    <x v="0"/>
  </r>
  <r>
    <s v="SERVICIO DE SALUD OSORNO"/>
    <s v="Bienes y Servicios"/>
    <x v="55"/>
    <s v="Proyecto operacional"/>
    <s v="Publicado"/>
    <s v="22.06.002"/>
    <x v="56"/>
    <s v="Realizar mantenciones preventivas a todos los sistemas de las conversiones de las Ambulancias y vehículos con equipos especiales, como también realizar mantenciones correctivas y/o reparativas, según sea requerido."/>
    <n v="1"/>
    <s v="Convenio"/>
    <n v="4"/>
    <n v="1"/>
    <n v="96100000"/>
    <n v="8008333"/>
    <x v="11"/>
    <x v="20"/>
    <x v="1"/>
    <x v="39"/>
    <s v="64-2565654-"/>
    <s v="felipe.salvob@redsalud.gob.cl"/>
    <x v="7"/>
    <d v="2025-08-20T00:00:00"/>
    <n v="0"/>
    <m/>
    <n v="1"/>
    <n v="8008333"/>
    <d v="2026-04-01T00:00:00"/>
    <x v="0"/>
    <x v="0"/>
  </r>
  <r>
    <s v="SERVICIO DE SALUD OSORNO"/>
    <s v="Bienes y Servicios"/>
    <x v="55"/>
    <s v="Proyecto operacional"/>
    <s v="Publicado"/>
    <s v="22.06.002"/>
    <x v="56"/>
    <s v="Realizar mantenciones preventivas a todos los sistemas de las conversiones de las Ambulancias y vehículos con equipos especiales, como también realizar mantenciones correctivas y/o reparativas, según sea requerido."/>
    <n v="1"/>
    <s v="Convenio"/>
    <n v="4"/>
    <n v="1"/>
    <n v="96100000"/>
    <n v="8008333"/>
    <x v="11"/>
    <x v="20"/>
    <x v="1"/>
    <x v="39"/>
    <s v="64-2565654-"/>
    <s v="felipe.salvob@redsalud.gob.cl"/>
    <x v="7"/>
    <d v="2025-08-20T00:00:00"/>
    <n v="0"/>
    <m/>
    <n v="1"/>
    <n v="8008333"/>
    <d v="2026-10-01T00:00:00"/>
    <x v="0"/>
    <x v="0"/>
  </r>
  <r>
    <s v="SERVICIO DE SALUD OSORNO"/>
    <s v="Bienes y Servicios"/>
    <x v="55"/>
    <s v="Proyecto operacional"/>
    <s v="Publicado"/>
    <s v="22.06.002"/>
    <x v="56"/>
    <s v="Realizar mantenciones preventivas a todos los sistemas de las conversiones de las Ambulancias y vehículos con equipos especiales, como también realizar mantenciones correctivas y/o reparativas, según sea requerido."/>
    <n v="1"/>
    <s v="Convenio"/>
    <n v="4"/>
    <n v="1"/>
    <n v="96100000"/>
    <n v="8008333"/>
    <x v="11"/>
    <x v="20"/>
    <x v="1"/>
    <x v="39"/>
    <s v="64-2565654-"/>
    <s v="felipe.salvob@redsalud.gob.cl"/>
    <x v="7"/>
    <d v="2025-08-20T00:00:00"/>
    <n v="0"/>
    <m/>
    <n v="1"/>
    <n v="8008333"/>
    <d v="2026-09-01T00:00:00"/>
    <x v="0"/>
    <x v="0"/>
  </r>
  <r>
    <s v="SERVICIO DE SALUD OSORNO"/>
    <s v="Bienes y Servicios"/>
    <x v="55"/>
    <s v="Proyecto operacional"/>
    <s v="Publicado"/>
    <s v="22.06.002"/>
    <x v="56"/>
    <s v="Realizar mantenciones preventivas a todos los sistemas de las conversiones de las Ambulancias y vehículos con equipos especiales, como también realizar mantenciones correctivas y/o reparativas, según sea requerido."/>
    <n v="1"/>
    <s v="Convenio"/>
    <n v="4"/>
    <n v="1"/>
    <n v="96100000"/>
    <n v="8008333"/>
    <x v="11"/>
    <x v="20"/>
    <x v="1"/>
    <x v="39"/>
    <s v="64-2565654-"/>
    <s v="felipe.salvob@redsalud.gob.cl"/>
    <x v="7"/>
    <d v="2025-08-20T00:00:00"/>
    <n v="0"/>
    <m/>
    <n v="1"/>
    <n v="8008333"/>
    <d v="2026-11-01T00:00:00"/>
    <x v="0"/>
    <x v="0"/>
  </r>
  <r>
    <s v="SERVICIO DE SALUD OSORNO"/>
    <s v="Bienes y Servicios"/>
    <x v="56"/>
    <s v="Proyecto operacional"/>
    <s v="Publicado"/>
    <s v="22.06.002"/>
    <x v="57"/>
    <s v="Mantenciones 2026 Preventivas, correctivas y/o reparativas para vehículos motorizados mutimarcas de la Red Asistencial del Servicio de Salud Osorno. Enero2026 - Diciembre2026"/>
    <n v="1"/>
    <s v="Mantención"/>
    <n v="4"/>
    <n v="1"/>
    <n v="200400000"/>
    <n v="8350000"/>
    <x v="1"/>
    <x v="14"/>
    <x v="5"/>
    <x v="40"/>
    <s v="64-2565654-"/>
    <s v="felipe.salvob@redsalud.gob.cl"/>
    <x v="7"/>
    <d v="2025-08-20T00:00:00"/>
    <n v="1"/>
    <s v="1057532-5558-SE25"/>
    <n v="1"/>
    <n v="8350000"/>
    <d v="2026-08-01T00:00:00"/>
    <x v="0"/>
    <x v="0"/>
  </r>
  <r>
    <s v="SERVICIO DE SALUD OSORNO"/>
    <s v="Bienes y Servicios"/>
    <x v="56"/>
    <s v="Proyecto operacional"/>
    <s v="Publicado"/>
    <s v="22.06.002"/>
    <x v="57"/>
    <s v="Mantenciones 2026 Preventivas, correctivas y/o reparativas para vehículos motorizados mutimarcas de la Red Asistencial del Servicio de Salud Osorno. Enero2026 - Diciembre2026"/>
    <n v="1"/>
    <s v="Mantención"/>
    <n v="4"/>
    <n v="1"/>
    <n v="200400000"/>
    <n v="8350000"/>
    <x v="1"/>
    <x v="14"/>
    <x v="5"/>
    <x v="40"/>
    <s v="64-2565654-"/>
    <s v="felipe.salvob@redsalud.gob.cl"/>
    <x v="7"/>
    <d v="2025-08-20T00:00:00"/>
    <n v="1"/>
    <s v="1057532-5558-SE25"/>
    <n v="1"/>
    <n v="8350000"/>
    <d v="2026-06-01T00:00:00"/>
    <x v="0"/>
    <x v="0"/>
  </r>
  <r>
    <s v="SERVICIO DE SALUD OSORNO"/>
    <s v="Bienes y Servicios"/>
    <x v="56"/>
    <s v="Proyecto operacional"/>
    <s v="Publicado"/>
    <s v="22.06.002"/>
    <x v="57"/>
    <s v="Mantenciones 2026 Preventivas, correctivas y/o reparativas para vehículos motorizados mutimarcas de la Red Asistencial del Servicio de Salud Osorno. Enero2026 - Diciembre2026"/>
    <n v="1"/>
    <s v="Mantención"/>
    <n v="4"/>
    <n v="1"/>
    <n v="200400000"/>
    <n v="8350000"/>
    <x v="1"/>
    <x v="14"/>
    <x v="5"/>
    <x v="40"/>
    <s v="64-2565654-"/>
    <s v="felipe.salvob@redsalud.gob.cl"/>
    <x v="7"/>
    <d v="2025-08-20T00:00:00"/>
    <n v="1"/>
    <s v="1057532-5558-SE25"/>
    <n v="1"/>
    <n v="8350000"/>
    <d v="2026-04-01T00:00:00"/>
    <x v="0"/>
    <x v="0"/>
  </r>
  <r>
    <s v="SERVICIO DE SALUD OSORNO"/>
    <s v="Bienes y Servicios"/>
    <x v="56"/>
    <s v="Proyecto operacional"/>
    <s v="Publicado"/>
    <s v="22.06.002"/>
    <x v="57"/>
    <s v="Mantenciones 2026 Preventivas, correctivas y/o reparativas para vehículos motorizados mutimarcas de la Red Asistencial del Servicio de Salud Osorno. Enero2026 - Diciembre2026"/>
    <n v="1"/>
    <s v="Mantención"/>
    <n v="4"/>
    <n v="1"/>
    <n v="200400000"/>
    <n v="8350000"/>
    <x v="1"/>
    <x v="14"/>
    <x v="5"/>
    <x v="40"/>
    <s v="64-2565654-"/>
    <s v="felipe.salvob@redsalud.gob.cl"/>
    <x v="7"/>
    <d v="2025-08-20T00:00:00"/>
    <n v="1"/>
    <s v="1057532-5558-SE25"/>
    <n v="1"/>
    <n v="8350000"/>
    <d v="2026-01-01T00:00:00"/>
    <x v="0"/>
    <x v="0"/>
  </r>
  <r>
    <s v="SERVICIO DE SALUD OSORNO"/>
    <s v="Bienes y Servicios"/>
    <x v="56"/>
    <s v="Proyecto operacional"/>
    <s v="Publicado"/>
    <s v="22.06.002"/>
    <x v="57"/>
    <s v="Mantenciones 2026 Preventivas, correctivas y/o reparativas para vehículos motorizados mutimarcas de la Red Asistencial del Servicio de Salud Osorno. Enero2026 - Diciembre2026"/>
    <n v="1"/>
    <s v="Mantención"/>
    <n v="4"/>
    <n v="1"/>
    <n v="200400000"/>
    <n v="8350000"/>
    <x v="1"/>
    <x v="14"/>
    <x v="5"/>
    <x v="40"/>
    <s v="64-2565654-"/>
    <s v="felipe.salvob@redsalud.gob.cl"/>
    <x v="7"/>
    <d v="2025-08-20T00:00:00"/>
    <n v="1"/>
    <s v="1057532-5558-SE25"/>
    <n v="1"/>
    <n v="8350000"/>
    <d v="2026-05-01T00:00:00"/>
    <x v="0"/>
    <x v="0"/>
  </r>
  <r>
    <s v="SERVICIO DE SALUD OSORNO"/>
    <s v="Bienes y Servicios"/>
    <x v="56"/>
    <s v="Proyecto operacional"/>
    <s v="Publicado"/>
    <s v="22.06.002"/>
    <x v="57"/>
    <s v="Mantenciones 2026 Preventivas, correctivas y/o reparativas para vehículos motorizados mutimarcas de la Red Asistencial del Servicio de Salud Osorno. Enero2026 - Diciembre2026"/>
    <n v="1"/>
    <s v="Mantención"/>
    <n v="4"/>
    <n v="1"/>
    <n v="200400000"/>
    <n v="8350000"/>
    <x v="1"/>
    <x v="14"/>
    <x v="5"/>
    <x v="40"/>
    <s v="64-2565654-"/>
    <s v="felipe.salvob@redsalud.gob.cl"/>
    <x v="7"/>
    <d v="2025-08-20T00:00:00"/>
    <n v="1"/>
    <s v="1057532-5558-SE25"/>
    <n v="1"/>
    <n v="8350000"/>
    <d v="2026-10-01T00:00:00"/>
    <x v="0"/>
    <x v="0"/>
  </r>
  <r>
    <s v="SERVICIO DE SALUD OSORNO"/>
    <s v="Bienes y Servicios"/>
    <x v="56"/>
    <s v="Proyecto operacional"/>
    <s v="Publicado"/>
    <s v="22.06.002"/>
    <x v="57"/>
    <s v="Mantenciones 2026 Preventivas, correctivas y/o reparativas para vehículos motorizados mutimarcas de la Red Asistencial del Servicio de Salud Osorno. Enero2026 - Diciembre2026"/>
    <n v="1"/>
    <s v="Mantención"/>
    <n v="4"/>
    <n v="1"/>
    <n v="200400000"/>
    <n v="8350000"/>
    <x v="1"/>
    <x v="14"/>
    <x v="5"/>
    <x v="40"/>
    <s v="64-2565654-"/>
    <s v="felipe.salvob@redsalud.gob.cl"/>
    <x v="7"/>
    <d v="2025-08-20T00:00:00"/>
    <n v="1"/>
    <s v="1057532-5558-SE25"/>
    <n v="1"/>
    <n v="8350000"/>
    <d v="2026-12-01T00:00:00"/>
    <x v="0"/>
    <x v="0"/>
  </r>
  <r>
    <s v="SERVICIO DE SALUD OSORNO"/>
    <s v="Bienes y Servicios"/>
    <x v="56"/>
    <s v="Proyecto operacional"/>
    <s v="Publicado"/>
    <s v="22.06.002"/>
    <x v="57"/>
    <s v="Mantenciones 2026 Preventivas, correctivas y/o reparativas para vehículos motorizados mutimarcas de la Red Asistencial del Servicio de Salud Osorno. Enero2026 - Diciembre2026"/>
    <n v="1"/>
    <s v="Mantención"/>
    <n v="4"/>
    <n v="1"/>
    <n v="200400000"/>
    <n v="8350000"/>
    <x v="1"/>
    <x v="14"/>
    <x v="5"/>
    <x v="40"/>
    <s v="64-2565654-"/>
    <s v="felipe.salvob@redsalud.gob.cl"/>
    <x v="7"/>
    <d v="2025-08-20T00:00:00"/>
    <n v="1"/>
    <s v="1057532-5558-SE25"/>
    <n v="1"/>
    <n v="8350000"/>
    <d v="2026-07-01T00:00:00"/>
    <x v="0"/>
    <x v="0"/>
  </r>
  <r>
    <s v="SERVICIO DE SALUD OSORNO"/>
    <s v="Bienes y Servicios"/>
    <x v="56"/>
    <s v="Proyecto operacional"/>
    <s v="Publicado"/>
    <s v="22.06.002"/>
    <x v="57"/>
    <s v="Mantenciones 2026 Preventivas, correctivas y/o reparativas para vehículos motorizados mutimarcas de la Red Asistencial del Servicio de Salud Osorno. Enero2026 - Diciembre2026"/>
    <n v="1"/>
    <s v="Mantención"/>
    <n v="4"/>
    <n v="1"/>
    <n v="200400000"/>
    <n v="8350000"/>
    <x v="1"/>
    <x v="14"/>
    <x v="5"/>
    <x v="40"/>
    <s v="64-2565654-"/>
    <s v="felipe.salvob@redsalud.gob.cl"/>
    <x v="7"/>
    <d v="2025-08-20T00:00:00"/>
    <n v="1"/>
    <s v="1057532-5558-SE25"/>
    <n v="1"/>
    <n v="8350000"/>
    <d v="2026-02-01T00:00:00"/>
    <x v="0"/>
    <x v="0"/>
  </r>
  <r>
    <s v="SERVICIO DE SALUD OSORNO"/>
    <s v="Bienes y Servicios"/>
    <x v="56"/>
    <s v="Proyecto operacional"/>
    <s v="Publicado"/>
    <s v="22.06.002"/>
    <x v="57"/>
    <s v="Mantenciones 2026 Preventivas, correctivas y/o reparativas para vehículos motorizados mutimarcas de la Red Asistencial del Servicio de Salud Osorno. Enero2026 - Diciembre2026"/>
    <n v="1"/>
    <s v="Mantención"/>
    <n v="4"/>
    <n v="1"/>
    <n v="200400000"/>
    <n v="8350000"/>
    <x v="1"/>
    <x v="14"/>
    <x v="5"/>
    <x v="40"/>
    <s v="64-2565654-"/>
    <s v="felipe.salvob@redsalud.gob.cl"/>
    <x v="7"/>
    <d v="2025-08-20T00:00:00"/>
    <n v="1"/>
    <s v="1057532-5558-SE25"/>
    <n v="1"/>
    <n v="8350000"/>
    <d v="2026-03-01T00:00:00"/>
    <x v="0"/>
    <x v="0"/>
  </r>
  <r>
    <s v="SERVICIO DE SALUD OSORNO"/>
    <s v="Bienes y Servicios"/>
    <x v="56"/>
    <s v="Proyecto operacional"/>
    <s v="Publicado"/>
    <s v="22.06.002"/>
    <x v="57"/>
    <s v="Mantenciones 2026 Preventivas, correctivas y/o reparativas para vehículos motorizados mutimarcas de la Red Asistencial del Servicio de Salud Osorno. Enero2026 - Diciembre2026"/>
    <n v="1"/>
    <s v="Mantención"/>
    <n v="4"/>
    <n v="1"/>
    <n v="200400000"/>
    <n v="8350000"/>
    <x v="1"/>
    <x v="14"/>
    <x v="5"/>
    <x v="40"/>
    <s v="64-2565654-"/>
    <s v="felipe.salvob@redsalud.gob.cl"/>
    <x v="7"/>
    <d v="2025-08-20T00:00:00"/>
    <n v="1"/>
    <s v="1057532-5558-SE25"/>
    <n v="1"/>
    <n v="8350000"/>
    <d v="2026-11-01T00:00:00"/>
    <x v="0"/>
    <x v="0"/>
  </r>
  <r>
    <s v="SERVICIO DE SALUD OSORNO"/>
    <s v="Bienes y Servicios"/>
    <x v="56"/>
    <s v="Proyecto operacional"/>
    <s v="Publicado"/>
    <s v="22.06.002"/>
    <x v="57"/>
    <s v="Mantenciones 2026 Preventivas, correctivas y/o reparativas para vehículos motorizados mutimarcas de la Red Asistencial del Servicio de Salud Osorno. Enero2026 - Diciembre2026"/>
    <n v="1"/>
    <s v="Mantención"/>
    <n v="4"/>
    <n v="1"/>
    <n v="200400000"/>
    <n v="8350000"/>
    <x v="1"/>
    <x v="14"/>
    <x v="5"/>
    <x v="40"/>
    <s v="64-2565654-"/>
    <s v="felipe.salvob@redsalud.gob.cl"/>
    <x v="7"/>
    <d v="2025-08-20T00:00:00"/>
    <n v="1"/>
    <s v="1057532-5558-SE25"/>
    <n v="1"/>
    <n v="8350000"/>
    <d v="2026-09-01T00:00:00"/>
    <x v="0"/>
    <x v="0"/>
  </r>
  <r>
    <s v="SERVICIO DE SALUD OSORNO"/>
    <s v="Bienes y Servicios"/>
    <x v="57"/>
    <s v="Proyecto operacional"/>
    <s v="Publicado"/>
    <s v="22.06.002"/>
    <x v="58"/>
    <s v="Convenio 2026 -Mantenciones Preventivas, correctivas y/o reparativas de vehículos motorizados de la marca Mitsubishi - Fuso de la Red Asistencial del Servicio de Salud Osorno. Enero 26 - Diciembre 26"/>
    <n v="1"/>
    <s v="Convenio"/>
    <n v="4"/>
    <n v="1"/>
    <n v="30000000"/>
    <n v="2500000"/>
    <x v="11"/>
    <x v="20"/>
    <x v="5"/>
    <x v="40"/>
    <s v="64-2565654-"/>
    <s v="felipe.salvob@redsalud.gob.cl"/>
    <x v="7"/>
    <d v="2025-08-20T00:00:00"/>
    <n v="0"/>
    <m/>
    <n v="1"/>
    <n v="2500000"/>
    <d v="2026-06-01T00:00:00"/>
    <x v="0"/>
    <x v="0"/>
  </r>
  <r>
    <s v="SERVICIO DE SALUD OSORNO"/>
    <s v="Bienes y Servicios"/>
    <x v="57"/>
    <s v="Proyecto operacional"/>
    <s v="Publicado"/>
    <s v="22.06.002"/>
    <x v="58"/>
    <s v="Convenio 2026 -Mantenciones Preventivas, correctivas y/o reparativas de vehículos motorizados de la marca Mitsubishi - Fuso de la Red Asistencial del Servicio de Salud Osorno. Enero 26 - Diciembre 26"/>
    <n v="1"/>
    <s v="Convenio"/>
    <n v="4"/>
    <n v="1"/>
    <n v="30000000"/>
    <n v="2500000"/>
    <x v="11"/>
    <x v="20"/>
    <x v="5"/>
    <x v="40"/>
    <s v="64-2565654-"/>
    <s v="felipe.salvob@redsalud.gob.cl"/>
    <x v="7"/>
    <d v="2025-08-20T00:00:00"/>
    <n v="0"/>
    <m/>
    <n v="1"/>
    <n v="2500000"/>
    <d v="2026-01-01T00:00:00"/>
    <x v="0"/>
    <x v="0"/>
  </r>
  <r>
    <s v="SERVICIO DE SALUD OSORNO"/>
    <s v="Bienes y Servicios"/>
    <x v="57"/>
    <s v="Proyecto operacional"/>
    <s v="Publicado"/>
    <s v="22.06.002"/>
    <x v="58"/>
    <s v="Convenio 2026 -Mantenciones Preventivas, correctivas y/o reparativas de vehículos motorizados de la marca Mitsubishi - Fuso de la Red Asistencial del Servicio de Salud Osorno. Enero 26 - Diciembre 26"/>
    <n v="1"/>
    <s v="Convenio"/>
    <n v="4"/>
    <n v="1"/>
    <n v="30000000"/>
    <n v="2500000"/>
    <x v="11"/>
    <x v="20"/>
    <x v="5"/>
    <x v="40"/>
    <s v="64-2565654-"/>
    <s v="felipe.salvob@redsalud.gob.cl"/>
    <x v="7"/>
    <d v="2025-08-20T00:00:00"/>
    <n v="0"/>
    <m/>
    <n v="1"/>
    <n v="2500000"/>
    <d v="2026-07-01T00:00:00"/>
    <x v="0"/>
    <x v="0"/>
  </r>
  <r>
    <s v="SERVICIO DE SALUD OSORNO"/>
    <s v="Bienes y Servicios"/>
    <x v="57"/>
    <s v="Proyecto operacional"/>
    <s v="Publicado"/>
    <s v="22.06.002"/>
    <x v="58"/>
    <s v="Convenio 2026 -Mantenciones Preventivas, correctivas y/o reparativas de vehículos motorizados de la marca Mitsubishi - Fuso de la Red Asistencial del Servicio de Salud Osorno. Enero 26 - Diciembre 26"/>
    <n v="1"/>
    <s v="Convenio"/>
    <n v="4"/>
    <n v="1"/>
    <n v="30000000"/>
    <n v="2500000"/>
    <x v="11"/>
    <x v="20"/>
    <x v="5"/>
    <x v="40"/>
    <s v="64-2565654-"/>
    <s v="felipe.salvob@redsalud.gob.cl"/>
    <x v="7"/>
    <d v="2025-08-20T00:00:00"/>
    <n v="0"/>
    <m/>
    <n v="1"/>
    <n v="2500000"/>
    <d v="2026-02-01T00:00:00"/>
    <x v="0"/>
    <x v="0"/>
  </r>
  <r>
    <s v="SERVICIO DE SALUD OSORNO"/>
    <s v="Bienes y Servicios"/>
    <x v="57"/>
    <s v="Proyecto operacional"/>
    <s v="Publicado"/>
    <s v="22.06.002"/>
    <x v="58"/>
    <s v="Convenio 2026 -Mantenciones Preventivas, correctivas y/o reparativas de vehículos motorizados de la marca Mitsubishi - Fuso de la Red Asistencial del Servicio de Salud Osorno. Enero 26 - Diciembre 26"/>
    <n v="1"/>
    <s v="Convenio"/>
    <n v="4"/>
    <n v="1"/>
    <n v="30000000"/>
    <n v="2500000"/>
    <x v="11"/>
    <x v="20"/>
    <x v="5"/>
    <x v="40"/>
    <s v="64-2565654-"/>
    <s v="felipe.salvob@redsalud.gob.cl"/>
    <x v="7"/>
    <d v="2025-08-20T00:00:00"/>
    <n v="0"/>
    <m/>
    <n v="1"/>
    <n v="2500000"/>
    <d v="2026-05-01T00:00:00"/>
    <x v="0"/>
    <x v="0"/>
  </r>
  <r>
    <s v="SERVICIO DE SALUD OSORNO"/>
    <s v="Bienes y Servicios"/>
    <x v="57"/>
    <s v="Proyecto operacional"/>
    <s v="Publicado"/>
    <s v="22.06.002"/>
    <x v="58"/>
    <s v="Convenio 2026 -Mantenciones Preventivas, correctivas y/o reparativas de vehículos motorizados de la marca Mitsubishi - Fuso de la Red Asistencial del Servicio de Salud Osorno. Enero 26 - Diciembre 26"/>
    <n v="1"/>
    <s v="Convenio"/>
    <n v="4"/>
    <n v="1"/>
    <n v="30000000"/>
    <n v="2500000"/>
    <x v="11"/>
    <x v="20"/>
    <x v="5"/>
    <x v="40"/>
    <s v="64-2565654-"/>
    <s v="felipe.salvob@redsalud.gob.cl"/>
    <x v="7"/>
    <d v="2025-08-20T00:00:00"/>
    <n v="0"/>
    <m/>
    <n v="1"/>
    <n v="2500000"/>
    <d v="2026-03-01T00:00:00"/>
    <x v="0"/>
    <x v="0"/>
  </r>
  <r>
    <s v="SERVICIO DE SALUD OSORNO"/>
    <s v="Bienes y Servicios"/>
    <x v="57"/>
    <s v="Proyecto operacional"/>
    <s v="Publicado"/>
    <s v="22.06.002"/>
    <x v="58"/>
    <s v="Convenio 2026 -Mantenciones Preventivas, correctivas y/o reparativas de vehículos motorizados de la marca Mitsubishi - Fuso de la Red Asistencial del Servicio de Salud Osorno. Enero 26 - Diciembre 26"/>
    <n v="1"/>
    <s v="Convenio"/>
    <n v="4"/>
    <n v="1"/>
    <n v="30000000"/>
    <n v="2500000"/>
    <x v="11"/>
    <x v="20"/>
    <x v="5"/>
    <x v="40"/>
    <s v="64-2565654-"/>
    <s v="felipe.salvob@redsalud.gob.cl"/>
    <x v="7"/>
    <d v="2025-08-20T00:00:00"/>
    <n v="0"/>
    <m/>
    <n v="1"/>
    <n v="2500000"/>
    <d v="2026-08-01T00:00:00"/>
    <x v="0"/>
    <x v="0"/>
  </r>
  <r>
    <s v="SERVICIO DE SALUD OSORNO"/>
    <s v="Bienes y Servicios"/>
    <x v="57"/>
    <s v="Proyecto operacional"/>
    <s v="Publicado"/>
    <s v="22.06.002"/>
    <x v="58"/>
    <s v="Convenio 2026 -Mantenciones Preventivas, correctivas y/o reparativas de vehículos motorizados de la marca Mitsubishi - Fuso de la Red Asistencial del Servicio de Salud Osorno. Enero 26 - Diciembre 26"/>
    <n v="1"/>
    <s v="Convenio"/>
    <n v="4"/>
    <n v="1"/>
    <n v="30000000"/>
    <n v="2500000"/>
    <x v="11"/>
    <x v="20"/>
    <x v="5"/>
    <x v="40"/>
    <s v="64-2565654-"/>
    <s v="felipe.salvob@redsalud.gob.cl"/>
    <x v="7"/>
    <d v="2025-08-20T00:00:00"/>
    <n v="0"/>
    <m/>
    <n v="1"/>
    <n v="2500000"/>
    <d v="2026-04-01T00:00:00"/>
    <x v="0"/>
    <x v="0"/>
  </r>
  <r>
    <s v="SERVICIO DE SALUD OSORNO"/>
    <s v="Bienes y Servicios"/>
    <x v="57"/>
    <s v="Proyecto operacional"/>
    <s v="Publicado"/>
    <s v="22.06.002"/>
    <x v="58"/>
    <s v="Convenio 2026 -Mantenciones Preventivas, correctivas y/o reparativas de vehículos motorizados de la marca Mitsubishi - Fuso de la Red Asistencial del Servicio de Salud Osorno. Enero 26 - Diciembre 26"/>
    <n v="1"/>
    <s v="Convenio"/>
    <n v="4"/>
    <n v="1"/>
    <n v="30000000"/>
    <n v="2500000"/>
    <x v="11"/>
    <x v="20"/>
    <x v="5"/>
    <x v="40"/>
    <s v="64-2565654-"/>
    <s v="felipe.salvob@redsalud.gob.cl"/>
    <x v="7"/>
    <d v="2025-08-20T00:00:00"/>
    <n v="0"/>
    <m/>
    <n v="1"/>
    <n v="2500000"/>
    <d v="2026-09-01T00:00:00"/>
    <x v="0"/>
    <x v="0"/>
  </r>
  <r>
    <s v="SERVICIO DE SALUD OSORNO"/>
    <s v="Bienes y Servicios"/>
    <x v="57"/>
    <s v="Proyecto operacional"/>
    <s v="Publicado"/>
    <s v="22.06.002"/>
    <x v="58"/>
    <s v="Convenio 2026 -Mantenciones Preventivas, correctivas y/o reparativas de vehículos motorizados de la marca Mitsubishi - Fuso de la Red Asistencial del Servicio de Salud Osorno. Enero 26 - Diciembre 26"/>
    <n v="1"/>
    <s v="Convenio"/>
    <n v="4"/>
    <n v="1"/>
    <n v="30000000"/>
    <n v="2500000"/>
    <x v="11"/>
    <x v="20"/>
    <x v="5"/>
    <x v="40"/>
    <s v="64-2565654-"/>
    <s v="felipe.salvob@redsalud.gob.cl"/>
    <x v="7"/>
    <d v="2025-08-20T00:00:00"/>
    <n v="0"/>
    <m/>
    <n v="1"/>
    <n v="2500000"/>
    <d v="2026-10-01T00:00:00"/>
    <x v="0"/>
    <x v="0"/>
  </r>
  <r>
    <s v="SERVICIO DE SALUD OSORNO"/>
    <s v="Bienes y Servicios"/>
    <x v="57"/>
    <s v="Proyecto operacional"/>
    <s v="Publicado"/>
    <s v="22.06.002"/>
    <x v="58"/>
    <s v="Convenio 2026 -Mantenciones Preventivas, correctivas y/o reparativas de vehículos motorizados de la marca Mitsubishi - Fuso de la Red Asistencial del Servicio de Salud Osorno. Enero 26 - Diciembre 26"/>
    <n v="1"/>
    <s v="Convenio"/>
    <n v="4"/>
    <n v="1"/>
    <n v="30000000"/>
    <n v="2500000"/>
    <x v="11"/>
    <x v="20"/>
    <x v="5"/>
    <x v="40"/>
    <s v="64-2565654-"/>
    <s v="felipe.salvob@redsalud.gob.cl"/>
    <x v="7"/>
    <d v="2025-08-20T00:00:00"/>
    <n v="0"/>
    <m/>
    <n v="1"/>
    <n v="2500000"/>
    <d v="2026-11-01T00:00:00"/>
    <x v="0"/>
    <x v="0"/>
  </r>
  <r>
    <s v="SERVICIO DE SALUD OSORNO"/>
    <s v="Bienes y Servicios"/>
    <x v="57"/>
    <s v="Proyecto operacional"/>
    <s v="Publicado"/>
    <s v="22.06.002"/>
    <x v="58"/>
    <s v="Convenio 2026 -Mantenciones Preventivas, correctivas y/o reparativas de vehículos motorizados de la marca Mitsubishi - Fuso de la Red Asistencial del Servicio de Salud Osorno. Enero 26 - Diciembre 26"/>
    <n v="1"/>
    <s v="Convenio"/>
    <n v="4"/>
    <n v="1"/>
    <n v="30000000"/>
    <n v="2500000"/>
    <x v="11"/>
    <x v="20"/>
    <x v="5"/>
    <x v="40"/>
    <s v="64-2565654-"/>
    <s v="felipe.salvob@redsalud.gob.cl"/>
    <x v="7"/>
    <d v="2025-08-20T00:00:00"/>
    <n v="0"/>
    <m/>
    <n v="1"/>
    <n v="2500000"/>
    <d v="2026-12-01T00:00:00"/>
    <x v="0"/>
    <x v="0"/>
  </r>
  <r>
    <s v="SERVICIO DE SALUD OSORNO"/>
    <s v="Bienes y Servicios"/>
    <x v="58"/>
    <s v="Proyecto operacional"/>
    <s v="Publicado"/>
    <s v="22.05"/>
    <x v="59"/>
    <s v="Sistema Push To Talk y control de flota, integrado al sistema VHF de SSO y conexión a canal nacional SAMU, por un periodo de 36 meses, desde enero 2026 hasta diciembre 2028, para complementar zonas que no cuentan con cobertura radial e implementar gestión de flota moviles de la red."/>
    <n v="1"/>
    <s v="Radio comunicaciones"/>
    <n v="4"/>
    <n v="36"/>
    <n v="5777778"/>
    <n v="5777778"/>
    <x v="3"/>
    <x v="4"/>
    <x v="8"/>
    <x v="3"/>
    <s v="64-2337728-"/>
    <s v="CATALINA.VERAC@REDSALUD.GOB.CL"/>
    <x v="6"/>
    <d v="2025-08-20T00:00:00"/>
    <n v="0"/>
    <m/>
    <n v="1"/>
    <n v="5777778"/>
    <d v="2026-02-01T00:00:00"/>
    <x v="0"/>
    <x v="0"/>
  </r>
  <r>
    <s v="SERVICIO DE SALUD OSORNO"/>
    <s v="Bienes y Servicios"/>
    <x v="58"/>
    <s v="Proyecto operacional"/>
    <s v="Publicado"/>
    <s v="22.05"/>
    <x v="59"/>
    <s v="Sistema Push To Talk y control de flota, integrado al sistema VHF de SSO y conexión a canal nacional SAMU, por un periodo de 36 meses, desde enero 2026 hasta diciembre 2028, para complementar zonas que no cuentan con cobertura radial e implementar gestión de flota moviles de la red."/>
    <n v="1"/>
    <s v="Radio comunicaciones"/>
    <n v="4"/>
    <n v="36"/>
    <n v="5777778"/>
    <n v="5777778"/>
    <x v="3"/>
    <x v="4"/>
    <x v="8"/>
    <x v="3"/>
    <s v="64-2337728-"/>
    <s v="CATALINA.VERAC@REDSALUD.GOB.CL"/>
    <x v="6"/>
    <d v="2025-08-20T00:00:00"/>
    <n v="0"/>
    <m/>
    <n v="1"/>
    <n v="5777778"/>
    <d v="2026-09-01T00:00:00"/>
    <x v="0"/>
    <x v="0"/>
  </r>
  <r>
    <s v="SERVICIO DE SALUD OSORNO"/>
    <s v="Bienes y Servicios"/>
    <x v="58"/>
    <s v="Proyecto operacional"/>
    <s v="Publicado"/>
    <s v="22.05"/>
    <x v="59"/>
    <s v="Sistema Push To Talk y control de flota, integrado al sistema VHF de SSO y conexión a canal nacional SAMU, por un periodo de 36 meses, desde enero 2026 hasta diciembre 2028, para complementar zonas que no cuentan con cobertura radial e implementar gestión de flota moviles de la red."/>
    <n v="1"/>
    <s v="Radio comunicaciones"/>
    <n v="4"/>
    <n v="36"/>
    <n v="5777778"/>
    <n v="5777778"/>
    <x v="3"/>
    <x v="4"/>
    <x v="8"/>
    <x v="3"/>
    <s v="64-2337728-"/>
    <s v="CATALINA.VERAC@REDSALUD.GOB.CL"/>
    <x v="6"/>
    <d v="2025-08-20T00:00:00"/>
    <n v="0"/>
    <m/>
    <n v="1"/>
    <n v="5777778"/>
    <d v="2026-01-01T00:00:00"/>
    <x v="0"/>
    <x v="0"/>
  </r>
  <r>
    <s v="SERVICIO DE SALUD OSORNO"/>
    <s v="Bienes y Servicios"/>
    <x v="58"/>
    <s v="Proyecto operacional"/>
    <s v="Publicado"/>
    <s v="22.05"/>
    <x v="59"/>
    <s v="Sistema Push To Talk y control de flota, integrado al sistema VHF de SSO y conexión a canal nacional SAMU, por un periodo de 36 meses, desde enero 2026 hasta diciembre 2028, para complementar zonas que no cuentan con cobertura radial e implementar gestión de flota moviles de la red."/>
    <n v="1"/>
    <s v="Radio comunicaciones"/>
    <n v="4"/>
    <n v="36"/>
    <n v="5777778"/>
    <n v="5777778"/>
    <x v="3"/>
    <x v="4"/>
    <x v="8"/>
    <x v="3"/>
    <s v="64-2337728-"/>
    <s v="CATALINA.VERAC@REDSALUD.GOB.CL"/>
    <x v="6"/>
    <d v="2025-08-20T00:00:00"/>
    <n v="0"/>
    <m/>
    <n v="1"/>
    <n v="5777778"/>
    <d v="2026-07-01T00:00:00"/>
    <x v="0"/>
    <x v="0"/>
  </r>
  <r>
    <s v="SERVICIO DE SALUD OSORNO"/>
    <s v="Bienes y Servicios"/>
    <x v="58"/>
    <s v="Proyecto operacional"/>
    <s v="Publicado"/>
    <s v="22.05"/>
    <x v="59"/>
    <s v="Sistema Push To Talk y control de flota, integrado al sistema VHF de SSO y conexión a canal nacional SAMU, por un periodo de 36 meses, desde enero 2026 hasta diciembre 2028, para complementar zonas que no cuentan con cobertura radial e implementar gestión de flota moviles de la red."/>
    <n v="1"/>
    <s v="Radio comunicaciones"/>
    <n v="4"/>
    <n v="36"/>
    <n v="5777778"/>
    <n v="5777778"/>
    <x v="3"/>
    <x v="4"/>
    <x v="8"/>
    <x v="3"/>
    <s v="64-2337728-"/>
    <s v="CATALINA.VERAC@REDSALUD.GOB.CL"/>
    <x v="6"/>
    <d v="2025-08-20T00:00:00"/>
    <n v="0"/>
    <m/>
    <n v="1"/>
    <n v="5777778"/>
    <d v="2026-10-01T00:00:00"/>
    <x v="0"/>
    <x v="0"/>
  </r>
  <r>
    <s v="SERVICIO DE SALUD OSORNO"/>
    <s v="Bienes y Servicios"/>
    <x v="58"/>
    <s v="Proyecto operacional"/>
    <s v="Publicado"/>
    <s v="22.05"/>
    <x v="59"/>
    <s v="Sistema Push To Talk y control de flota, integrado al sistema VHF de SSO y conexión a canal nacional SAMU, por un periodo de 36 meses, desde enero 2026 hasta diciembre 2028, para complementar zonas que no cuentan con cobertura radial e implementar gestión de flota moviles de la red."/>
    <n v="1"/>
    <s v="Radio comunicaciones"/>
    <n v="4"/>
    <n v="36"/>
    <n v="5777778"/>
    <n v="5777778"/>
    <x v="3"/>
    <x v="4"/>
    <x v="8"/>
    <x v="3"/>
    <s v="64-2337728-"/>
    <s v="CATALINA.VERAC@REDSALUD.GOB.CL"/>
    <x v="6"/>
    <d v="2025-08-20T00:00:00"/>
    <n v="0"/>
    <m/>
    <n v="1"/>
    <n v="5777778"/>
    <d v="2026-04-01T00:00:00"/>
    <x v="0"/>
    <x v="0"/>
  </r>
  <r>
    <s v="SERVICIO DE SALUD OSORNO"/>
    <s v="Bienes y Servicios"/>
    <x v="58"/>
    <s v="Proyecto operacional"/>
    <s v="Publicado"/>
    <s v="22.05"/>
    <x v="59"/>
    <s v="Sistema Push To Talk y control de flota, integrado al sistema VHF de SSO y conexión a canal nacional SAMU, por un periodo de 36 meses, desde enero 2026 hasta diciembre 2028, para complementar zonas que no cuentan con cobertura radial e implementar gestión de flota moviles de la red."/>
    <n v="1"/>
    <s v="Radio comunicaciones"/>
    <n v="4"/>
    <n v="36"/>
    <n v="5777778"/>
    <n v="5777778"/>
    <x v="3"/>
    <x v="4"/>
    <x v="8"/>
    <x v="3"/>
    <s v="64-2337728-"/>
    <s v="CATALINA.VERAC@REDSALUD.GOB.CL"/>
    <x v="6"/>
    <d v="2025-08-20T00:00:00"/>
    <n v="0"/>
    <m/>
    <n v="1"/>
    <n v="5777778"/>
    <d v="2026-11-01T00:00:00"/>
    <x v="0"/>
    <x v="0"/>
  </r>
  <r>
    <s v="SERVICIO DE SALUD OSORNO"/>
    <s v="Bienes y Servicios"/>
    <x v="58"/>
    <s v="Proyecto operacional"/>
    <s v="Publicado"/>
    <s v="22.05"/>
    <x v="59"/>
    <s v="Sistema Push To Talk y control de flota, integrado al sistema VHF de SSO y conexión a canal nacional SAMU, por un periodo de 36 meses, desde enero 2026 hasta diciembre 2028, para complementar zonas que no cuentan con cobertura radial e implementar gestión de flota moviles de la red."/>
    <n v="1"/>
    <s v="Radio comunicaciones"/>
    <n v="4"/>
    <n v="36"/>
    <n v="5777778"/>
    <n v="5777778"/>
    <x v="3"/>
    <x v="4"/>
    <x v="8"/>
    <x v="3"/>
    <s v="64-2337728-"/>
    <s v="CATALINA.VERAC@REDSALUD.GOB.CL"/>
    <x v="6"/>
    <d v="2025-08-20T00:00:00"/>
    <n v="0"/>
    <m/>
    <n v="1"/>
    <n v="5777778"/>
    <d v="2026-06-01T00:00:00"/>
    <x v="0"/>
    <x v="0"/>
  </r>
  <r>
    <s v="SERVICIO DE SALUD OSORNO"/>
    <s v="Bienes y Servicios"/>
    <x v="58"/>
    <s v="Proyecto operacional"/>
    <s v="Publicado"/>
    <s v="22.05"/>
    <x v="59"/>
    <s v="Sistema Push To Talk y control de flota, integrado al sistema VHF de SSO y conexión a canal nacional SAMU, por un periodo de 36 meses, desde enero 2026 hasta diciembre 2028, para complementar zonas que no cuentan con cobertura radial e implementar gestión de flota moviles de la red."/>
    <n v="1"/>
    <s v="Radio comunicaciones"/>
    <n v="4"/>
    <n v="36"/>
    <n v="5777778"/>
    <n v="5777778"/>
    <x v="3"/>
    <x v="4"/>
    <x v="8"/>
    <x v="3"/>
    <s v="64-2337728-"/>
    <s v="CATALINA.VERAC@REDSALUD.GOB.CL"/>
    <x v="6"/>
    <d v="2025-08-20T00:00:00"/>
    <n v="0"/>
    <m/>
    <n v="1"/>
    <n v="5777778"/>
    <d v="2026-08-01T00:00:00"/>
    <x v="0"/>
    <x v="0"/>
  </r>
  <r>
    <s v="SERVICIO DE SALUD OSORNO"/>
    <s v="Bienes y Servicios"/>
    <x v="58"/>
    <s v="Proyecto operacional"/>
    <s v="Publicado"/>
    <s v="22.05"/>
    <x v="59"/>
    <s v="Sistema Push To Talk y control de flota, integrado al sistema VHF de SSO y conexión a canal nacional SAMU, por un periodo de 36 meses, desde enero 2026 hasta diciembre 2028, para complementar zonas que no cuentan con cobertura radial e implementar gestión de flota moviles de la red."/>
    <n v="1"/>
    <s v="Radio comunicaciones"/>
    <n v="4"/>
    <n v="36"/>
    <n v="5777778"/>
    <n v="5777778"/>
    <x v="3"/>
    <x v="4"/>
    <x v="8"/>
    <x v="3"/>
    <s v="64-2337728-"/>
    <s v="CATALINA.VERAC@REDSALUD.GOB.CL"/>
    <x v="6"/>
    <d v="2025-08-20T00:00:00"/>
    <n v="0"/>
    <m/>
    <n v="1"/>
    <n v="5777778"/>
    <d v="2026-03-01T00:00:00"/>
    <x v="0"/>
    <x v="0"/>
  </r>
  <r>
    <s v="SERVICIO DE SALUD OSORNO"/>
    <s v="Bienes y Servicios"/>
    <x v="58"/>
    <s v="Proyecto operacional"/>
    <s v="Publicado"/>
    <s v="22.05"/>
    <x v="59"/>
    <s v="Sistema Push To Talk y control de flota, integrado al sistema VHF de SSO y conexión a canal nacional SAMU, por un periodo de 36 meses, desde enero 2026 hasta diciembre 2028, para complementar zonas que no cuentan con cobertura radial e implementar gestión de flota moviles de la red."/>
    <n v="1"/>
    <s v="Radio comunicaciones"/>
    <n v="4"/>
    <n v="36"/>
    <n v="5777778"/>
    <n v="5777778"/>
    <x v="3"/>
    <x v="4"/>
    <x v="8"/>
    <x v="3"/>
    <s v="64-2337728-"/>
    <s v="CATALINA.VERAC@REDSALUD.GOB.CL"/>
    <x v="6"/>
    <d v="2025-08-20T00:00:00"/>
    <n v="0"/>
    <m/>
    <n v="1"/>
    <n v="5777778"/>
    <d v="2026-12-01T00:00:00"/>
    <x v="0"/>
    <x v="0"/>
  </r>
  <r>
    <s v="SERVICIO DE SALUD OSORNO"/>
    <s v="Bienes y Servicios"/>
    <x v="58"/>
    <s v="Proyecto operacional"/>
    <s v="Publicado"/>
    <s v="22.05"/>
    <x v="59"/>
    <s v="Sistema Push To Talk y control de flota, integrado al sistema VHF de SSO y conexión a canal nacional SAMU, por un periodo de 36 meses, desde enero 2026 hasta diciembre 2028, para complementar zonas que no cuentan con cobertura radial e implementar gestión de flota moviles de la red."/>
    <n v="1"/>
    <s v="Radio comunicaciones"/>
    <n v="4"/>
    <n v="36"/>
    <n v="5777778"/>
    <n v="5777778"/>
    <x v="3"/>
    <x v="4"/>
    <x v="8"/>
    <x v="3"/>
    <s v="64-2337728-"/>
    <s v="CATALINA.VERAC@REDSALUD.GOB.CL"/>
    <x v="6"/>
    <d v="2025-08-20T00:00:00"/>
    <n v="0"/>
    <m/>
    <n v="1"/>
    <n v="5777778"/>
    <d v="2026-05-01T00:00:00"/>
    <x v="0"/>
    <x v="0"/>
  </r>
  <r>
    <s v="SERVICIO DE SALUD OSORNO"/>
    <s v="Bienestar"/>
    <x v="59"/>
    <s v="Proyecto operacional"/>
    <s v="Enviado"/>
    <n v="32"/>
    <x v="60"/>
    <s v="describe una serie de iniciativas y actividades organizadas por el Servicio de Salud Osorno con el objetivo de fomentar el bienestar, la cultura, el deporte y la convivencia entre sus afiliados, tanto activos como pasivos. Las actividades incluyen proyectos deportivos, eventos artísticos y culturales, manualidades y folclore, así como celebraciones especiales como la Gala Folclórica y la Celebración de Navidad para los hijos de los afiliados."/>
    <n v="8"/>
    <s v="Proyecto Concunsable"/>
    <n v="4"/>
    <n v="1"/>
    <n v="40000000"/>
    <n v="40000000"/>
    <x v="4"/>
    <x v="24"/>
    <x v="36"/>
    <x v="41"/>
    <s v="64-2336164-"/>
    <s v="claudia.centeno@redsalud.gob.cl"/>
    <x v="14"/>
    <m/>
    <n v="0"/>
    <m/>
    <n v="0"/>
    <n v="0"/>
    <m/>
    <x v="1"/>
    <x v="1"/>
  </r>
  <r>
    <s v="SERVICIO DE SALUD OSORNO"/>
    <s v="Bienestar"/>
    <x v="59"/>
    <s v="Proyecto operacional"/>
    <s v="Enviado"/>
    <n v="32"/>
    <x v="60"/>
    <s v="describe una serie de iniciativas y actividades organizadas por el Servicio de Salud Osorno con el objetivo de fomentar el bienestar, la cultura, el deporte y la convivencia entre sus afiliados, tanto activos como pasivos. Las actividades incluyen proyectos deportivos, eventos artísticos y culturales, manualidades y folclore, así como celebraciones especiales como la Gala Folclórica y la Celebración de Navidad para los hijos de los afiliados."/>
    <n v="8"/>
    <s v="Concurso Fotografia"/>
    <n v="4"/>
    <n v="1"/>
    <n v="1000000"/>
    <n v="1000000"/>
    <x v="4"/>
    <x v="25"/>
    <x v="36"/>
    <x v="41"/>
    <s v="64-2336164-"/>
    <s v="claudia.centeno@redsalud.gob.cl"/>
    <x v="15"/>
    <m/>
    <n v="0"/>
    <m/>
    <n v="0"/>
    <n v="0"/>
    <m/>
    <x v="1"/>
    <x v="1"/>
  </r>
  <r>
    <s v="SERVICIO DE SALUD OSORNO"/>
    <s v="Bienestar"/>
    <x v="59"/>
    <s v="Proyecto operacional"/>
    <s v="Enviado"/>
    <n v="32"/>
    <x v="60"/>
    <s v="describe una serie de iniciativas y actividades organizadas por el Servicio de Salud Osorno con el objetivo de fomentar el bienestar, la cultura, el deporte y la convivencia entre sus afiliados, tanto activos como pasivos. Las actividades incluyen proyectos deportivos, eventos artísticos y culturales, manualidades y folclore, así como celebraciones especiales como la Gala Folclórica y la Celebración de Navidad para los hijos de los afiliados."/>
    <n v="8"/>
    <s v="Festival de la Voz"/>
    <n v="4"/>
    <n v="1"/>
    <n v="2000000"/>
    <n v="2000000"/>
    <x v="4"/>
    <x v="25"/>
    <x v="36"/>
    <x v="41"/>
    <s v="64-2336164-"/>
    <s v="claudia.centeno@redsalud.gob.cl"/>
    <x v="15"/>
    <m/>
    <n v="0"/>
    <m/>
    <n v="0"/>
    <n v="0"/>
    <m/>
    <x v="1"/>
    <x v="1"/>
  </r>
  <r>
    <s v="SERVICIO DE SALUD OSORNO"/>
    <s v="Bienestar"/>
    <x v="59"/>
    <s v="Proyecto operacional"/>
    <s v="Enviado"/>
    <n v="32"/>
    <x v="60"/>
    <s v="describe una serie de iniciativas y actividades organizadas por el Servicio de Salud Osorno con el objetivo de fomentar el bienestar, la cultura, el deporte y la convivencia entre sus afiliados, tanto activos como pasivos. Las actividades incluyen proyectos deportivos, eventos artísticos y culturales, manualidades y folclore, así como celebraciones especiales como la Gala Folclórica y la Celebración de Navidad para los hijos de los afiliados."/>
    <n v="8"/>
    <s v="Gala 18"/>
    <n v="4"/>
    <n v="1"/>
    <n v="25000000"/>
    <n v="25000000"/>
    <x v="4"/>
    <x v="26"/>
    <x v="36"/>
    <x v="41"/>
    <s v="64-2336164-"/>
    <s v="claudia.centeno@redsalud.gob.cl"/>
    <x v="16"/>
    <m/>
    <n v="0"/>
    <m/>
    <n v="0"/>
    <n v="0"/>
    <m/>
    <x v="1"/>
    <x v="1"/>
  </r>
  <r>
    <s v="SERVICIO DE SALUD OSORNO"/>
    <s v="Bienestar"/>
    <x v="59"/>
    <s v="Proyecto operacional"/>
    <s v="Enviado"/>
    <n v="32"/>
    <x v="60"/>
    <s v="describe una serie de iniciativas y actividades organizadas por el Servicio de Salud Osorno con el objetivo de fomentar el bienestar, la cultura, el deporte y la convivencia entre sus afiliados, tanto activos como pasivos. Las actividades incluyen proyectos deportivos, eventos artísticos y culturales, manualidades y folclore, así como celebraciones especiales como la Gala Folclórica y la Celebración de Navidad para los hijos de los afiliados."/>
    <n v="8"/>
    <s v="Full Day"/>
    <n v="4"/>
    <n v="1"/>
    <n v="35000000"/>
    <n v="35000000"/>
    <x v="4"/>
    <x v="27"/>
    <x v="36"/>
    <x v="41"/>
    <s v="64-2336164-"/>
    <s v="claudia.centeno@redsalud.gob.cl"/>
    <x v="17"/>
    <m/>
    <n v="0"/>
    <m/>
    <n v="0"/>
    <n v="0"/>
    <m/>
    <x v="1"/>
    <x v="1"/>
  </r>
  <r>
    <s v="SERVICIO DE SALUD OSORNO"/>
    <s v="Bienestar"/>
    <x v="59"/>
    <s v="Proyecto operacional"/>
    <s v="Enviado"/>
    <n v="32"/>
    <x v="60"/>
    <s v="describe una serie de iniciativas y actividades organizadas por el Servicio de Salud Osorno con el objetivo de fomentar el bienestar, la cultura, el deporte y la convivencia entre sus afiliados, tanto activos como pasivos. Las actividades incluyen proyectos deportivos, eventos artísticos y culturales, manualidades y folclore, así como celebraciones especiales como la Gala Folclórica y la Celebración de Navidad para los hijos de los afiliados."/>
    <n v="8"/>
    <s v="Olimpiadas DSSO"/>
    <n v="4"/>
    <n v="1"/>
    <n v="15000000"/>
    <n v="15000000"/>
    <x v="4"/>
    <x v="28"/>
    <x v="36"/>
    <x v="41"/>
    <s v="64-2336164-"/>
    <s v="claudia.centeno@redsalud.gob.cl"/>
    <x v="18"/>
    <m/>
    <n v="0"/>
    <m/>
    <n v="0"/>
    <n v="0"/>
    <m/>
    <x v="1"/>
    <x v="1"/>
  </r>
  <r>
    <s v="SERVICIO DE SALUD OSORNO"/>
    <s v="Bienestar"/>
    <x v="59"/>
    <s v="Proyecto operacional"/>
    <s v="Enviado"/>
    <n v="32"/>
    <x v="60"/>
    <s v="describe una serie de iniciativas y actividades organizadas por el Servicio de Salud Osorno con el objetivo de fomentar el bienestar, la cultura, el deporte y la convivencia entre sus afiliados, tanto activos como pasivos. Las actividades incluyen proyectos deportivos, eventos artísticos y culturales, manualidades y folclore, así como celebraciones especiales como la Gala Folclórica y la Celebración de Navidad para los hijos de los afiliados."/>
    <n v="8"/>
    <s v="Navidad"/>
    <n v="4"/>
    <n v="1"/>
    <n v="20000000"/>
    <n v="20000000"/>
    <x v="4"/>
    <x v="29"/>
    <x v="36"/>
    <x v="41"/>
    <s v="64-2336164-"/>
    <s v="claudia.centeno@redsalud.gob.cl"/>
    <x v="18"/>
    <m/>
    <n v="0"/>
    <m/>
    <n v="0"/>
    <n v="0"/>
    <m/>
    <x v="1"/>
    <x v="1"/>
  </r>
  <r>
    <s v="SERVICIO DE SALUD OSORNO"/>
    <s v="Bienestar"/>
    <x v="59"/>
    <s v="Proyecto operacional"/>
    <s v="Enviado"/>
    <n v="32"/>
    <x v="60"/>
    <s v="describe una serie de iniciativas y actividades organizadas por el Servicio de Salud Osorno con el objetivo de fomentar el bienestar, la cultura, el deporte y la convivencia entre sus afiliados, tanto activos como pasivos. Las actividades incluyen proyectos deportivos, eventos artísticos y culturales, manualidades y folclore, así como celebraciones especiales como la Gala Folclórica y la Celebración de Navidad para los hijos de los afiliados."/>
    <n v="8"/>
    <s v="Alimentación Navidad"/>
    <n v="4"/>
    <n v="1"/>
    <n v="18000000"/>
    <n v="18000000"/>
    <x v="4"/>
    <x v="29"/>
    <x v="36"/>
    <x v="41"/>
    <s v="64-2336164-"/>
    <s v="claudia.centeno@redsalud.gob.cl"/>
    <x v="18"/>
    <m/>
    <n v="0"/>
    <m/>
    <n v="0"/>
    <n v="0"/>
    <m/>
    <x v="1"/>
    <x v="1"/>
  </r>
  <r>
    <s v="SERVICIO DE SALUD OSORNO"/>
    <s v="Administración de Fondos"/>
    <x v="60"/>
    <s v="Proyecto operacional"/>
    <s v="Enviado"/>
    <s v="22.12.999.02"/>
    <x v="61"/>
    <s v="Se requiere la ADQUISICIÓN DE PRESTACIONES DE REHABILITACIÓN INTEGRAL PARA EVALUACIÓN DIAGNÓSTICA Y TRATAMIENTO EN NIÑOS, NIÑAS Y ADOLESCENTES CON TRASTORNO DEL ESPECTRO AUTISTA (TEA). Se entregarán prestaciones a usuarios de la provincia de Osorno. Se realizará pago por prestaciones realizadas de acuerdo a arancel de modalidad de libre elección nivel 3, para cada una de ellas. Debido a que cada usuario tiene un Plan de tratamiento distinto, la cantidad de prestaciones no se puede definir, al igual que el numero de NNA."/>
    <n v="1"/>
    <s v="Convenio TEA"/>
    <n v="4"/>
    <n v="200"/>
    <n v="281600"/>
    <n v="56320000"/>
    <x v="14"/>
    <x v="30"/>
    <x v="37"/>
    <x v="42"/>
    <s v="64-2335807-"/>
    <s v="karin.avila@redsalud.gob.cl"/>
    <x v="19"/>
    <m/>
    <n v="0"/>
    <m/>
    <n v="0"/>
    <n v="0"/>
    <m/>
    <x v="1"/>
    <x v="2"/>
  </r>
  <r>
    <s v="SERVICIO DE SALUD OSORNO"/>
    <s v="Compras Convenio GORE Region de Los Lagos"/>
    <x v="61"/>
    <s v="Proyecto estratégico"/>
    <s v="Enviado"/>
    <s v="29.05.002"/>
    <x v="62"/>
    <s v="Compra de Insumos y equipamiento para el desarrollo del Programa (GORE) ?Apoyo de Rehabilitación Integral e Inclusión Social para niños, niñas y adolescentes con Trastorno del Espectro Autista, para su ejecución enero-diciembre 2025. Programa que será ejecutido con la implementación de una sala de rehabilitación y un equipo de profesionales T. Ocupacional, Fonoaudiologo y Psicologo, para las 7 comunas de la provincia de Osorno. En algunas de ellas se considera el arriendo de un espacio y en otras la implementación en espacios publicos municipal"/>
    <n v="6"/>
    <s v="Servicio Movilización"/>
    <n v="4"/>
    <n v="1"/>
    <n v="28000000"/>
    <n v="28000000"/>
    <x v="4"/>
    <x v="31"/>
    <x v="37"/>
    <x v="42"/>
    <s v="64-2335807-"/>
    <s v="karin.avila@redsalud.gob.cl"/>
    <x v="20"/>
    <m/>
    <n v="0"/>
    <m/>
    <n v="0"/>
    <n v="0"/>
    <m/>
    <x v="1"/>
    <x v="3"/>
  </r>
  <r>
    <s v="SERVICIO DE SALUD OSORNO"/>
    <s v="Compras Convenio GORE Region de Los Lagos"/>
    <x v="61"/>
    <s v="Proyecto estratégico"/>
    <s v="Enviado"/>
    <s v="29.05.002"/>
    <x v="62"/>
    <s v="Compra de Insumos y equipamiento para el desarrollo del Programa (GORE) ?Apoyo de Rehabilitación Integral e Inclusión Social para niños, niñas y adolescentes con Trastorno del Espectro Autista, para su ejecución enero-diciembre 2025. Programa que será ejecutido con la implementación de una sala de rehabilitación y un equipo de profesionales T. Ocupacional, Fonoaudiologo y Psicologo, para las 7 comunas de la provincia de Osorno. En algunas de ellas se considera el arriendo de un espacio y en otras la implementación en espacios publicos municipal"/>
    <n v="6"/>
    <s v="Arriendo"/>
    <n v="4"/>
    <n v="4"/>
    <n v="24000000"/>
    <n v="96000000"/>
    <x v="4"/>
    <x v="31"/>
    <x v="37"/>
    <x v="42"/>
    <s v="64-2335807-"/>
    <s v="karin.avila@redsalud.gob.cl"/>
    <x v="20"/>
    <m/>
    <n v="0"/>
    <m/>
    <n v="0"/>
    <n v="0"/>
    <m/>
    <x v="1"/>
    <x v="3"/>
  </r>
  <r>
    <s v="SERVICIO DE SALUD OSORNO"/>
    <s v="Compras Convenio GORE Region de Los Lagos"/>
    <x v="61"/>
    <s v="Proyecto estratégico"/>
    <s v="Enviado"/>
    <s v="29.05.002"/>
    <x v="62"/>
    <s v="Compra de Insumos y equipamiento para el desarrollo del Programa (GORE) ?Apoyo de Rehabilitación Integral e Inclusión Social para niños, niñas y adolescentes con Trastorno del Espectro Autista, para su ejecución enero-diciembre 2025. Programa que será ejecutido con la implementación de una sala de rehabilitación y un equipo de profesionales T. Ocupacional, Fonoaudiologo y Psicologo, para las 7 comunas de la provincia de Osorno. En algunas de ellas se considera el arriendo de un espacio y en otras la implementación en espacios publicos municipal"/>
    <n v="6"/>
    <s v="Arriendo Informatico"/>
    <n v="4"/>
    <n v="7"/>
    <n v="3445000"/>
    <n v="24115000"/>
    <x v="4"/>
    <x v="32"/>
    <x v="37"/>
    <x v="42"/>
    <s v="64-2335807-"/>
    <s v="karin.avila@redsalud.gob.cl"/>
    <x v="21"/>
    <m/>
    <n v="0"/>
    <m/>
    <n v="0"/>
    <n v="0"/>
    <m/>
    <x v="1"/>
    <x v="3"/>
  </r>
  <r>
    <s v="SERVICIO DE SALUD OSORNO"/>
    <s v="Compras Convenio GORE Region de Los Lagos"/>
    <x v="61"/>
    <s v="Proyecto estratégico"/>
    <s v="Enviado"/>
    <s v="29.05.002"/>
    <x v="62"/>
    <s v="Compra de Insumos y equipamiento para el desarrollo del Programa (GORE) ?Apoyo de Rehabilitación Integral e Inclusión Social para niños, niñas y adolescentes con Trastorno del Espectro Autista, para su ejecución enero-diciembre 2025. Programa que será ejecutido con la implementación de una sala de rehabilitación y un equipo de profesionales T. Ocupacional, Fonoaudiologo y Psicologo, para las 7 comunas de la provincia de Osorno. En algunas de ellas se considera el arriendo de un espacio y en otras la implementación en espacios publicos municipal"/>
    <n v="6"/>
    <s v="Servicio Cafeteria"/>
    <n v="4"/>
    <n v="7"/>
    <n v="500000"/>
    <n v="3500000"/>
    <x v="4"/>
    <x v="26"/>
    <x v="37"/>
    <x v="42"/>
    <s v="64-2335807-"/>
    <s v="karin.avila@redsalud.gob.cl"/>
    <x v="16"/>
    <m/>
    <n v="0"/>
    <m/>
    <n v="0"/>
    <n v="0"/>
    <m/>
    <x v="1"/>
    <x v="3"/>
  </r>
  <r>
    <s v="SERVICIO DE SALUD OSORNO"/>
    <s v="Compras Convenio GORE Region de Los Lagos"/>
    <x v="61"/>
    <s v="Proyecto estratégico"/>
    <s v="Enviado"/>
    <s v="29.05.002"/>
    <x v="62"/>
    <s v="Compra de Insumos y equipamiento para el desarrollo del Programa (GORE) ?Apoyo de Rehabilitación Integral e Inclusión Social para niños, niñas y adolescentes con Trastorno del Espectro Autista, para su ejecución enero-diciembre 2025. Programa que será ejecutido con la implementación de una sala de rehabilitación y un equipo de profesionales T. Ocupacional, Fonoaudiologo y Psicologo, para las 7 comunas de la provincia de Osorno. En algunas de ellas se considera el arriendo de un espacio y en otras la implementación en espacios publicos municipal"/>
    <n v="6"/>
    <s v="Impresión"/>
    <n v="4"/>
    <n v="7"/>
    <n v="714286"/>
    <n v="5000002"/>
    <x v="4"/>
    <x v="31"/>
    <x v="37"/>
    <x v="42"/>
    <s v="64-2335807-"/>
    <s v="karin.avila@redsalud.gob.cl"/>
    <x v="20"/>
    <m/>
    <n v="0"/>
    <m/>
    <n v="0"/>
    <n v="0"/>
    <m/>
    <x v="1"/>
    <x v="3"/>
  </r>
  <r>
    <s v="SERVICIO DE SALUD OSORNO"/>
    <s v="Compras Convenio GORE Region de Los Lagos"/>
    <x v="61"/>
    <s v="Proyecto estratégico"/>
    <s v="Enviado"/>
    <s v="29.05.002"/>
    <x v="62"/>
    <s v="Compra de Insumos y equipamiento para el desarrollo del Programa (GORE) ?Apoyo de Rehabilitación Integral e Inclusión Social para niños, niñas y adolescentes con Trastorno del Espectro Autista, para su ejecución enero-diciembre 2025. Programa que será ejecutido con la implementación de una sala de rehabilitación y un equipo de profesionales T. Ocupacional, Fonoaudiologo y Psicologo, para las 7 comunas de la provincia de Osorno. En algunas de ellas se considera el arriendo de un espacio y en otras la implementación en espacios publicos municipal"/>
    <n v="6"/>
    <s v="Equipo Sensorial"/>
    <n v="4"/>
    <n v="7"/>
    <n v="17428572"/>
    <n v="122000004"/>
    <x v="4"/>
    <x v="31"/>
    <x v="37"/>
    <x v="42"/>
    <s v="64-2335807-"/>
    <s v="karin.avila@redsalud.gob.cl"/>
    <x v="20"/>
    <m/>
    <n v="0"/>
    <m/>
    <n v="0"/>
    <n v="0"/>
    <m/>
    <x v="1"/>
    <x v="3"/>
  </r>
  <r>
    <s v="SERVICIO DE SALUD OSORNO"/>
    <s v="Administración de Fondos"/>
    <x v="62"/>
    <s v="Proyecto operacional"/>
    <s v="Enviado"/>
    <s v="22.04.005"/>
    <x v="63"/>
    <s v="Medicamentos e insumos para dar apoyo a la red cuando se requiera asociado al programa Fondo de Farmacia para enfermedades crónicas no transmisibles en establecimientos de APS (FOFAR) periodo 2026."/>
    <n v="2"/>
    <s v="Medicamentos"/>
    <n v="4"/>
    <n v="1"/>
    <n v="30000000"/>
    <n v="30000000"/>
    <x v="4"/>
    <x v="24"/>
    <x v="38"/>
    <x v="43"/>
    <s v="64-2335833-"/>
    <s v="chessarina.tuchief@redsalud.gob.cl"/>
    <x v="14"/>
    <m/>
    <n v="0"/>
    <m/>
    <n v="0"/>
    <n v="0"/>
    <m/>
    <x v="1"/>
    <x v="2"/>
  </r>
  <r>
    <s v="SERVICIO DE SALUD OSORNO"/>
    <s v="Administración de Fondos"/>
    <x v="62"/>
    <s v="Proyecto operacional"/>
    <s v="Enviado"/>
    <s v="22.04.005"/>
    <x v="63"/>
    <s v="Medicamentos e insumos para dar apoyo a la red cuando se requiera asociado al programa Fondo de Farmacia para enfermedades crónicas no transmisibles en establecimientos de APS (FOFAR) periodo 2026."/>
    <n v="2"/>
    <s v="Insumos Medicos"/>
    <n v="4"/>
    <n v="1"/>
    <n v="30000000"/>
    <n v="30000000"/>
    <x v="4"/>
    <x v="31"/>
    <x v="38"/>
    <x v="43"/>
    <s v="64-2335833-"/>
    <s v="chessarina.tuchief@redsalud.gob.cl"/>
    <x v="20"/>
    <m/>
    <n v="0"/>
    <m/>
    <n v="0"/>
    <n v="0"/>
    <m/>
    <x v="1"/>
    <x v="2"/>
  </r>
  <r>
    <s v="SERVICIO DE SALUD OSORNO"/>
    <s v="Administración de Fondos"/>
    <x v="63"/>
    <s v="Proyecto operacional"/>
    <s v="Enviado"/>
    <s v="22.04"/>
    <x v="64"/>
    <s v="Compra de elementos de higiene para el funiconamiento del Equipo Rural de Rehabilitación"/>
    <n v="1"/>
    <s v="Materiales de Aseo"/>
    <n v="4"/>
    <n v="10"/>
    <n v="41000"/>
    <n v="410000"/>
    <x v="4"/>
    <x v="32"/>
    <x v="37"/>
    <x v="42"/>
    <s v="64-2335807-"/>
    <s v="karin.avila@redsalud.gob.cl"/>
    <x v="21"/>
    <m/>
    <n v="0"/>
    <m/>
    <n v="0"/>
    <n v="0"/>
    <m/>
    <x v="1"/>
    <x v="2"/>
  </r>
  <r>
    <s v="SERVICIO DE SALUD OSORNO"/>
    <s v="Bienes y Servicios"/>
    <x v="64"/>
    <s v="Proyecto operacional"/>
    <s v="Enviado"/>
    <s v="22.06.007"/>
    <x v="65"/>
    <s v="Mantención anual preventiva, limpieza, cambio de cabezales y revisión de componentes."/>
    <n v="1"/>
    <s v="Mantencion"/>
    <n v="4"/>
    <n v="1"/>
    <n v="1250000"/>
    <n v="1250000"/>
    <x v="4"/>
    <x v="26"/>
    <x v="39"/>
    <x v="44"/>
    <s v="64-2335843-"/>
    <s v="mario.barrientos@redsalud.gob.cl"/>
    <x v="16"/>
    <m/>
    <n v="0"/>
    <m/>
    <n v="0"/>
    <n v="0"/>
    <m/>
    <x v="1"/>
    <x v="4"/>
  </r>
  <r>
    <s v="SERVICIO DE SALUD OSORNO"/>
    <s v="Bienes y Servicios"/>
    <x v="65"/>
    <s v="Proyecto operacional"/>
    <s v="Enviado"/>
    <s v="22.04.001"/>
    <x v="66"/>
    <s v="Adquisición de rollos de 50 mts de papel bond 80 grs, para la impresión de expedientes técnicos de la cartera de Inversión del SSO."/>
    <n v="1"/>
    <s v="Rollos"/>
    <n v="4"/>
    <n v="15"/>
    <n v="20000"/>
    <n v="300000"/>
    <x v="4"/>
    <x v="25"/>
    <x v="39"/>
    <x v="44"/>
    <s v="64-2335843-"/>
    <s v="mario.barrientos@redsalud.gob.cl"/>
    <x v="15"/>
    <m/>
    <n v="0"/>
    <m/>
    <n v="0"/>
    <n v="0"/>
    <m/>
    <x v="1"/>
    <x v="4"/>
  </r>
  <r>
    <s v="SERVICIO DE SALUD OSORNO"/>
    <s v="Bienes y Servicios"/>
    <x v="66"/>
    <s v="Proyecto operacional"/>
    <s v="Enviado"/>
    <s v="22.04.009"/>
    <x v="67"/>
    <s v="Compra de 2 set completos (6 tintas cada set) de tinta originales para Plotter Canon IPF 770."/>
    <n v="1"/>
    <s v="Tinta Plotter"/>
    <n v="4"/>
    <n v="2"/>
    <n v="660000"/>
    <n v="1320000"/>
    <x v="4"/>
    <x v="33"/>
    <x v="39"/>
    <x v="44"/>
    <s v="64-2335843-"/>
    <s v="mario.barrientos@redsalud.gob.cl"/>
    <x v="22"/>
    <m/>
    <n v="0"/>
    <m/>
    <n v="0"/>
    <n v="0"/>
    <m/>
    <x v="1"/>
    <x v="4"/>
  </r>
  <r>
    <s v="SERVICIO DE SALUD OSORNO"/>
    <s v="Bienes y Servicios"/>
    <x v="67"/>
    <s v="Proyecto operacional"/>
    <s v="Enviado"/>
    <s v="22.04.001"/>
    <x v="68"/>
    <s v="Adquisicición Hojas Prehospitalarias"/>
    <n v="1"/>
    <s v="Talonarios"/>
    <n v="4"/>
    <n v="260"/>
    <n v="7695"/>
    <n v="2000700"/>
    <x v="4"/>
    <x v="32"/>
    <x v="40"/>
    <x v="45"/>
    <s v="64-2335844-"/>
    <s v="silvia.delgado@redsalud.gob.cl"/>
    <x v="21"/>
    <m/>
    <n v="0"/>
    <m/>
    <n v="0"/>
    <n v="0"/>
    <m/>
    <x v="1"/>
    <x v="4"/>
  </r>
  <r>
    <s v="SERVICIO DE SALUD OSORNO"/>
    <s v="Bienes y Servicios"/>
    <x v="68"/>
    <s v="Proyecto operacional"/>
    <s v="Enviado"/>
    <s v="22.04.999"/>
    <x v="69"/>
    <s v="Permitirá estandarizar la evaluación, clasificación y priorización de pacientes según su gravedad clínica, asegurando una atención oportuna y eficiente. Su ejecución sera entre enero a marzo 2026."/>
    <n v="1"/>
    <s v="Kit Sistema"/>
    <n v="4"/>
    <n v="15"/>
    <n v="100667"/>
    <n v="1510005"/>
    <x v="4"/>
    <x v="32"/>
    <x v="40"/>
    <x v="45"/>
    <s v="64-2335844-"/>
    <s v="silvia.delgado@redsalud.gob.cl"/>
    <x v="21"/>
    <m/>
    <n v="0"/>
    <m/>
    <n v="0"/>
    <n v="0"/>
    <m/>
    <x v="1"/>
    <x v="4"/>
  </r>
  <r>
    <s v="SERVICIO DE SALUD OSORNO"/>
    <s v="Bienes y Servicios"/>
    <x v="69"/>
    <s v="Proyecto operacional"/>
    <s v="Enviado"/>
    <s v="22.04.001"/>
    <x v="70"/>
    <s v="Proyecto de Capacitación ?Curso de Atención Inicial en Urgencias y Entorno Prehospitalario para el Paciente Crítico?. Busca abordar brechas críticas identificadas en la evaluación y manejo inicial de pacientes en situación de urgencia vital, en el ámbito prehospitalario como en servicios de urgencia, mediante un enfoque estandarizado y protocolizado que fortalezca las competencias del equipo clínico. Se requiere servicio de cafeteria y para generar certificación a los asistentes, a ejecutar en marzo 2026, previo a campaña de invierno."/>
    <n v="2"/>
    <s v="Opalina"/>
    <n v="4"/>
    <n v="50"/>
    <n v="450"/>
    <n v="22500"/>
    <x v="4"/>
    <x v="32"/>
    <x v="40"/>
    <x v="45"/>
    <s v="64-2335844-"/>
    <s v="silvia.delgado@redsalud.gob.cl"/>
    <x v="21"/>
    <m/>
    <n v="0"/>
    <m/>
    <n v="0"/>
    <n v="0"/>
    <m/>
    <x v="1"/>
    <x v="4"/>
  </r>
  <r>
    <s v="SERVICIO DE SALUD OSORNO"/>
    <s v="Bienes y Servicios"/>
    <x v="69"/>
    <s v="Proyecto operacional"/>
    <s v="Enviado"/>
    <s v="22.04.001"/>
    <x v="70"/>
    <s v="Proyecto de Capacitación ?Curso de Atención Inicial en Urgencias y Entorno Prehospitalario para el Paciente Crítico?. Busca abordar brechas críticas identificadas en la evaluación y manejo inicial de pacientes en situación de urgencia vital, en el ámbito prehospitalario como en servicios de urgencia, mediante un enfoque estandarizado y protocolizado que fortalezca las competencias del equipo clínico. Se requiere servicio de cafeteria y para generar certificación a los asistentes, a ejecutar en marzo 2026, previo a campaña de invierno."/>
    <n v="2"/>
    <s v="Cafeteria"/>
    <n v="4"/>
    <n v="1"/>
    <n v="850000"/>
    <n v="850000"/>
    <x v="4"/>
    <x v="32"/>
    <x v="40"/>
    <x v="45"/>
    <s v="64-2335844-"/>
    <s v="silvia.delgado@redsalud.gob.cl"/>
    <x v="21"/>
    <m/>
    <n v="0"/>
    <m/>
    <n v="0"/>
    <n v="0"/>
    <m/>
    <x v="1"/>
    <x v="4"/>
  </r>
  <r>
    <s v="SERVICIO DE SALUD OSORNO"/>
    <s v="Bienes y Servicios"/>
    <x v="70"/>
    <s v="Proyecto operacional"/>
    <s v="Enviado"/>
    <s v="22.01.001"/>
    <x v="71"/>
    <s v="Entregar un coffe break para jornada ?Diálogo participativo 2026&quot; a realizarse en el mes de noviembre 2026. En este espacio significativo se busca capturar información relevante, conocer puntos de vista de las /os participantes, identificando y comprendiendo las problemáticas en salud mental de nuestro territorio a cargo, siendo de importancia para nuestra labor en salud publica generar espacios de integración y trabajo en red , que contribuyan a la salud mental de nuestros usuarios /as. Con cargo a fondo extrapresupuestario SENDA-PAI"/>
    <n v="1"/>
    <s v="Cafeteria"/>
    <n v="4"/>
    <n v="120"/>
    <n v="4500"/>
    <n v="540000"/>
    <x v="4"/>
    <x v="28"/>
    <x v="41"/>
    <x v="46"/>
    <s v="64-2335608-"/>
    <s v="camilo.martinez@redsalud.gob.cl"/>
    <x v="18"/>
    <m/>
    <n v="0"/>
    <m/>
    <n v="0"/>
    <n v="0"/>
    <m/>
    <x v="1"/>
    <x v="4"/>
  </r>
  <r>
    <s v="SERVICIO DE SALUD OSORNO"/>
    <s v="Bienes y Servicios"/>
    <x v="71"/>
    <s v="Proyecto operacional"/>
    <s v="Enviado"/>
    <s v="22.01.001"/>
    <x v="72"/>
    <s v="4 servicios de cafetería, mas colación saludable para 20 personas en los meses de abril ?julio ?septiembre y diciembre del 2026. Con cargo a fondo extrapresupuestario SENDA-PAI"/>
    <n v="6"/>
    <s v="Cafeteria"/>
    <n v="4"/>
    <n v="30"/>
    <n v="4500"/>
    <n v="135000"/>
    <x v="4"/>
    <x v="24"/>
    <x v="41"/>
    <x v="46"/>
    <s v="64-2335608-"/>
    <s v="camilo.martinez@redsalud.gob.cl"/>
    <x v="14"/>
    <m/>
    <n v="0"/>
    <m/>
    <n v="0"/>
    <n v="0"/>
    <m/>
    <x v="1"/>
    <x v="4"/>
  </r>
  <r>
    <s v="SERVICIO DE SALUD OSORNO"/>
    <s v="Bienes y Servicios"/>
    <x v="71"/>
    <s v="Proyecto operacional"/>
    <s v="Enviado"/>
    <s v="22.01.001"/>
    <x v="72"/>
    <s v="4 servicios de cafetería, mas colación saludable para 20 personas en los meses de abril ?julio ?septiembre y diciembre del 2026. Con cargo a fondo extrapresupuestario SENDA-PAI"/>
    <n v="6"/>
    <s v="Cafeteria"/>
    <n v="4"/>
    <n v="90"/>
    <n v="4500"/>
    <n v="405000"/>
    <x v="15"/>
    <x v="34"/>
    <x v="41"/>
    <x v="46"/>
    <s v="64-2335608-"/>
    <s v="camilo.martinez@redsalud.gob.cl"/>
    <x v="22"/>
    <m/>
    <n v="0"/>
    <m/>
    <n v="0"/>
    <n v="0"/>
    <m/>
    <x v="1"/>
    <x v="4"/>
  </r>
  <r>
    <s v="SERVICIO DE SALUD OSORNO"/>
    <s v="Bienes y Servicios"/>
    <x v="71"/>
    <s v="Proyecto operacional"/>
    <s v="Enviado"/>
    <s v="22.01.001"/>
    <x v="72"/>
    <s v="4 servicios de cafetería, mas colación saludable para 20 personas en los meses de abril ?julio ?septiembre y diciembre del 2026. Con cargo a fondo extrapresupuestario SENDA-PAI"/>
    <n v="6"/>
    <s v="Alimentación"/>
    <n v="4"/>
    <n v="30"/>
    <n v="4500"/>
    <n v="135000"/>
    <x v="4"/>
    <x v="24"/>
    <x v="41"/>
    <x v="46"/>
    <s v="64-2335608-"/>
    <s v="camilo.martinez@redsalud.gob.cl"/>
    <x v="14"/>
    <m/>
    <n v="0"/>
    <m/>
    <n v="0"/>
    <n v="0"/>
    <m/>
    <x v="1"/>
    <x v="4"/>
  </r>
  <r>
    <s v="SERVICIO DE SALUD OSORNO"/>
    <s v="Bienes y Servicios"/>
    <x v="71"/>
    <s v="Proyecto operacional"/>
    <s v="Enviado"/>
    <s v="22.01.001"/>
    <x v="72"/>
    <s v="4 servicios de cafetería, mas colación saludable para 20 personas en los meses de abril ?julio ?septiembre y diciembre del 2026. Con cargo a fondo extrapresupuestario SENDA-PAI"/>
    <n v="6"/>
    <s v="Alimentación"/>
    <n v="4"/>
    <n v="30"/>
    <n v="4500"/>
    <n v="135000"/>
    <x v="4"/>
    <x v="33"/>
    <x v="41"/>
    <x v="46"/>
    <s v="64-2335608-"/>
    <s v="camilo.martinez@redsalud.gob.cl"/>
    <x v="22"/>
    <m/>
    <n v="0"/>
    <m/>
    <n v="0"/>
    <n v="0"/>
    <m/>
    <x v="1"/>
    <x v="4"/>
  </r>
  <r>
    <s v="SERVICIO DE SALUD OSORNO"/>
    <s v="Bienes y Servicios"/>
    <x v="71"/>
    <s v="Proyecto operacional"/>
    <s v="Enviado"/>
    <s v="22.01.001"/>
    <x v="72"/>
    <s v="4 servicios de cafetería, mas colación saludable para 20 personas en los meses de abril ?julio ?septiembre y diciembre del 2026. Con cargo a fondo extrapresupuestario SENDA-PAI"/>
    <n v="6"/>
    <s v="Alimentación"/>
    <n v="4"/>
    <n v="30"/>
    <n v="4500"/>
    <n v="135000"/>
    <x v="4"/>
    <x v="26"/>
    <x v="41"/>
    <x v="46"/>
    <s v="64-2335608-"/>
    <s v="camilo.martinez@redsalud.gob.cl"/>
    <x v="16"/>
    <m/>
    <n v="0"/>
    <m/>
    <n v="0"/>
    <n v="0"/>
    <m/>
    <x v="1"/>
    <x v="4"/>
  </r>
  <r>
    <s v="SERVICIO DE SALUD OSORNO"/>
    <s v="Bienes y Servicios"/>
    <x v="71"/>
    <s v="Proyecto operacional"/>
    <s v="Enviado"/>
    <s v="22.01.001"/>
    <x v="72"/>
    <s v="4 servicios de cafetería, mas colación saludable para 20 personas en los meses de abril ?julio ?septiembre y diciembre del 2026. Con cargo a fondo extrapresupuestario SENDA-PAI"/>
    <n v="6"/>
    <s v="Alimentación"/>
    <n v="4"/>
    <n v="30"/>
    <n v="4500"/>
    <n v="135000"/>
    <x v="4"/>
    <x v="29"/>
    <x v="41"/>
    <x v="46"/>
    <s v="64-2335608-"/>
    <s v="camilo.martinez@redsalud.gob.cl"/>
    <x v="23"/>
    <m/>
    <n v="0"/>
    <m/>
    <n v="0"/>
    <n v="0"/>
    <m/>
    <x v="1"/>
    <x v="4"/>
  </r>
  <r>
    <s v="SERVICIO DE SALUD OSORNO"/>
    <s v="Bienes y Servicios"/>
    <x v="72"/>
    <s v="Proyecto operacional"/>
    <s v="Enviado"/>
    <s v="22.04.015"/>
    <x v="73"/>
    <s v="5 Kits Torre PRO48, Sistema Aero/Hidropónico vertical con macetero de 40 lts con ruedas para mover con mayor facilidad en superficies planas. Capacidad de hasta 48 plantas. Incluye fertilizantes y plantas seleccionadas a elección. Se requiere para el mes de marzo 2026. Con cargo a presupuesto de SSO."/>
    <n v="1"/>
    <s v="Macetero"/>
    <n v="4"/>
    <n v="6"/>
    <n v="250000"/>
    <n v="1500000"/>
    <x v="4"/>
    <x v="32"/>
    <x v="41"/>
    <x v="46"/>
    <s v="64-2335608-"/>
    <s v="camilo.martinez@redsalud.gob.cl"/>
    <x v="21"/>
    <m/>
    <n v="0"/>
    <m/>
    <n v="0"/>
    <n v="0"/>
    <m/>
    <x v="1"/>
    <x v="4"/>
  </r>
  <r>
    <s v="SERVICIO DE SALUD OSORNO"/>
    <s v="Bienes y Servicios"/>
    <x v="73"/>
    <s v="Proyecto operacional"/>
    <s v="Enviado"/>
    <s v="22.04.001"/>
    <x v="74"/>
    <s v="Garantizar disponibilidad de medicamentos para el tratamiento de los usuarios. Realizar correctamente la dispensación de medicamentos a los usuarios, con la correspondiente etiqueta y comprobante de entrega de fármacos. INSUMOS SE REQUIEREN PARA EL MES DE ENERO 2026"/>
    <n v="1"/>
    <s v="Insumos y Repuestos"/>
    <n v="4"/>
    <n v="10"/>
    <n v="85000"/>
    <n v="850000"/>
    <x v="4"/>
    <x v="35"/>
    <x v="41"/>
    <x v="46"/>
    <s v="64-2335608-"/>
    <s v="camilo.martinez@redsalud.gob.cl"/>
    <x v="13"/>
    <m/>
    <n v="0"/>
    <m/>
    <n v="0"/>
    <n v="0"/>
    <m/>
    <x v="1"/>
    <x v="4"/>
  </r>
  <r>
    <s v="SERVICIO DE SALUD OSORNO"/>
    <s v="Bienes y Servicios"/>
    <x v="74"/>
    <s v="Proyecto operacional"/>
    <s v="Enviado"/>
    <s v="22.01.001"/>
    <x v="75"/>
    <s v="Se requiere servicio de cafetería con pertinencia cultural, para jornadas de Capacitación a dotación de COSAM Rahue y Comunidad Mapuche Huilliche, en el contexto de cambio a nuevas instalaciones, la incorporación de Facilitador Intercultural, el aumento de dotación de funcionarios de COSAM Rahue. Lo anterior trae desafíos para la implementación de Salud Mental Intercultural que se espera abordad a través de capacitación continua como una de las estrategias. Se programan 1 jornada en el mes de mayo y otra en noviembre. Con cargo a SENDA-PAI"/>
    <n v="2"/>
    <s v="Cafeteria"/>
    <n v="4"/>
    <n v="100"/>
    <n v="4500"/>
    <n v="450000"/>
    <x v="4"/>
    <x v="31"/>
    <x v="41"/>
    <x v="46"/>
    <s v="64-2335608-"/>
    <s v="camilo.martinez@redsalud.gob.cl"/>
    <x v="20"/>
    <m/>
    <n v="0"/>
    <m/>
    <n v="0"/>
    <n v="0"/>
    <m/>
    <x v="1"/>
    <x v="4"/>
  </r>
  <r>
    <s v="SERVICIO DE SALUD OSORNO"/>
    <s v="Bienes y Servicios"/>
    <x v="74"/>
    <s v="Proyecto operacional"/>
    <s v="Enviado"/>
    <s v="22.01.001"/>
    <x v="75"/>
    <s v="Se requiere servicio de cafetería con pertinencia cultural, para jornadas de Capacitación a dotación de COSAM Rahue y Comunidad Mapuche Huilliche, en el contexto de cambio a nuevas instalaciones, la incorporación de Facilitador Intercultural, el aumento de dotación de funcionarios de COSAM Rahue. Lo anterior trae desafíos para la implementación de Salud Mental Intercultural que se espera abordad a través de capacitación continua como una de las estrategias. Se programan 1 jornada en el mes de mayo y otra en noviembre. Con cargo a SENDA-PAI"/>
    <n v="2"/>
    <s v="Cafeteria"/>
    <n v="4"/>
    <n v="100"/>
    <n v="4500"/>
    <n v="450000"/>
    <x v="4"/>
    <x v="31"/>
    <x v="41"/>
    <x v="46"/>
    <s v="64-2335608-"/>
    <s v="camilo.martinez@redsalud.gob.cl"/>
    <x v="18"/>
    <m/>
    <n v="0"/>
    <m/>
    <n v="0"/>
    <n v="0"/>
    <m/>
    <x v="1"/>
    <x v="4"/>
  </r>
  <r>
    <s v="SERVICIO DE SALUD OSORNO"/>
    <s v="Bienes y Servicios"/>
    <x v="75"/>
    <s v="Proyecto operacional"/>
    <s v="Enviado"/>
    <s v="22.01.001"/>
    <x v="76"/>
    <s v="Se requiere contratación de servicio de cafetería con pertinencia cultural, a fin de llevar a cabo Celebración de We Tripantu, ceremonia que marca el nuevo ciclo para la comunidad Mapuche Huilliche. Está programada para el viernes 19 de junio de 2026, con la participación de 140 personas entre usuarios y participantes de la comunidad del territorio de COSAM Rahue. Con cargo a fondo extrapresupuestario SENDA-PAI"/>
    <n v="1"/>
    <s v="Cafeteria"/>
    <n v="4"/>
    <n v="140"/>
    <n v="4500"/>
    <n v="630000"/>
    <x v="4"/>
    <x v="25"/>
    <x v="41"/>
    <x v="46"/>
    <s v="64-2335608-"/>
    <s v="camilo.martinez@redsalud.gob.cl"/>
    <x v="15"/>
    <m/>
    <n v="0"/>
    <m/>
    <n v="0"/>
    <n v="0"/>
    <m/>
    <x v="1"/>
    <x v="4"/>
  </r>
  <r>
    <s v="SERVICIO DE SALUD OSORNO"/>
    <s v="Bienes y Servicios"/>
    <x v="76"/>
    <s v="Proyecto operacional"/>
    <s v="Enviado"/>
    <s v="22.01.001"/>
    <x v="77"/>
    <s v="Servicio de cafetería para jornada Autocuidado programa PAI COSAM Rahue, para 30 personas, en el mes de septiembre 2026. Con cargo a fondo extrapresupuestario SENDA-PAI"/>
    <n v="1"/>
    <s v="Cafeteria"/>
    <n v="4"/>
    <n v="30"/>
    <n v="4500"/>
    <n v="135000"/>
    <x v="4"/>
    <x v="36"/>
    <x v="41"/>
    <x v="46"/>
    <s v="64-2335608-"/>
    <s v="camilo.martinez@redsalud.gob.cl"/>
    <x v="24"/>
    <m/>
    <n v="0"/>
    <m/>
    <n v="0"/>
    <n v="0"/>
    <m/>
    <x v="1"/>
    <x v="4"/>
  </r>
  <r>
    <s v="SERVICIO DE SALUD OSORNO"/>
    <s v="Administración de Fondos"/>
    <x v="77"/>
    <s v="Proyecto operacional"/>
    <s v="Enviado"/>
    <s v="22.01.001"/>
    <x v="78"/>
    <s v="1 servicio de cafetería para 50 personas para ceremonia alta de Programa SENDA-PAI COSAM Rahue, en el mes de agosto de 2026."/>
    <n v="1"/>
    <s v="Cafeteria"/>
    <n v="4"/>
    <n v="50"/>
    <n v="4500"/>
    <n v="225000"/>
    <x v="4"/>
    <x v="36"/>
    <x v="41"/>
    <x v="46"/>
    <s v="64-2335608-"/>
    <s v="camilo.martinez@redsalud.gob.cl"/>
    <x v="24"/>
    <m/>
    <n v="0"/>
    <m/>
    <n v="0"/>
    <n v="0"/>
    <m/>
    <x v="1"/>
    <x v="2"/>
  </r>
  <r>
    <s v="SERVICIO DE SALUD OSORNO"/>
    <s v="Bienes y Servicios"/>
    <x v="78"/>
    <s v="Proyecto operacional"/>
    <s v="Enviado"/>
    <s v="22.12.999"/>
    <x v="79"/>
    <s v="Se requiere la contratación del servicio denominado Hogar Protegido Mujeres (beneficiarios 8 usuarios) para usuarios/as por un periodo de 12 meses. Vigencia desde el 22 de marzo de 2026 al 23 de marzo de 2027. Incluye: $ 35.500 valor prestación Día Hogar Protegido (6 usuarios). $ 54.145 valor prestación categoría 2 (1 usuario) $ 65.546 valor prestación categoría 3 (1 usuario)"/>
    <n v="3"/>
    <s v="Hogar Protegido 6"/>
    <n v="4"/>
    <n v="6"/>
    <n v="12957500"/>
    <n v="64787500"/>
    <x v="11"/>
    <x v="37"/>
    <x v="12"/>
    <x v="33"/>
    <s v="64-2335813-"/>
    <s v="angelo.palma@redsalud.gob.cl"/>
    <x v="21"/>
    <m/>
    <n v="0"/>
    <m/>
    <n v="0"/>
    <n v="0"/>
    <m/>
    <x v="1"/>
    <x v="4"/>
  </r>
  <r>
    <s v="SERVICIO DE SALUD OSORNO"/>
    <s v="Bienes y Servicios"/>
    <x v="78"/>
    <s v="Proyecto operacional"/>
    <s v="Enviado"/>
    <s v="22.12.999"/>
    <x v="79"/>
    <s v="Se requiere la contratación del servicio denominado Hogar Protegido Mujeres (beneficiarios 8 usuarios) para usuarios/as por un periodo de 12 meses. Vigencia desde el 22 de marzo de 2026 al 23 de marzo de 2027. Incluye: $ 35.500 valor prestación Día Hogar Protegido (6 usuarios). $ 54.145 valor prestación categoría 2 (1 usuario) $ 65.546 valor prestación categoría 3 (1 usuario)"/>
    <n v="3"/>
    <s v="Hogar Protegido 1"/>
    <n v="4"/>
    <n v="1"/>
    <n v="19762925"/>
    <n v="16469109"/>
    <x v="11"/>
    <x v="37"/>
    <x v="12"/>
    <x v="33"/>
    <s v="64-2335813-"/>
    <s v="angelo.palma@redsalud.gob.cl"/>
    <x v="21"/>
    <m/>
    <n v="0"/>
    <m/>
    <n v="0"/>
    <n v="0"/>
    <m/>
    <x v="1"/>
    <x v="4"/>
  </r>
  <r>
    <s v="SERVICIO DE SALUD OSORNO"/>
    <s v="Bienes y Servicios"/>
    <x v="78"/>
    <s v="Proyecto operacional"/>
    <s v="Enviado"/>
    <s v="22.12.999"/>
    <x v="79"/>
    <s v="Se requiere la contratación del servicio denominado Hogar Protegido Mujeres (beneficiarios 8 usuarios) para usuarios/as por un periodo de 12 meses. Vigencia desde el 22 de marzo de 2026 al 23 de marzo de 2027. Incluye: $ 35.500 valor prestación Día Hogar Protegido (6 usuarios). $ 54.145 valor prestación categoría 2 (1 usuario) $ 65.546 valor prestación categoría 3 (1 usuario)"/>
    <n v="3"/>
    <s v="Hogar Protegido 1"/>
    <n v="4"/>
    <n v="1"/>
    <n v="23924290"/>
    <n v="19936910"/>
    <x v="11"/>
    <x v="37"/>
    <x v="12"/>
    <x v="33"/>
    <s v="64-2335813-"/>
    <s v="angelo.palma@redsalud.gob.cl"/>
    <x v="21"/>
    <m/>
    <n v="0"/>
    <m/>
    <n v="0"/>
    <n v="0"/>
    <m/>
    <x v="1"/>
    <x v="4"/>
  </r>
  <r>
    <s v="SERVICIO DE SALUD OSORNO"/>
    <s v="Administración de Fondos"/>
    <x v="79"/>
    <s v="Proyecto operacional"/>
    <s v="Enviado"/>
    <s v="22.04.001"/>
    <x v="80"/>
    <s v="Se requiere adquirir anilladora e insumos para la elaboración de material de trabajo y difusión para el mes de febrero. Lo anterior con cargo a fondo extrapresupuestario SENDA PAI."/>
    <n v="1"/>
    <s v="Material de Oficina"/>
    <n v="4"/>
    <n v="20"/>
    <n v="13000"/>
    <n v="260000"/>
    <x v="4"/>
    <x v="38"/>
    <x v="41"/>
    <x v="46"/>
    <s v="64-2335608-"/>
    <s v="camilo.martinez@redsalud.gob.cl"/>
    <x v="19"/>
    <m/>
    <n v="0"/>
    <m/>
    <n v="0"/>
    <n v="0"/>
    <m/>
    <x v="1"/>
    <x v="2"/>
  </r>
  <r>
    <s v="SERVICIO DE SALUD OSORNO"/>
    <s v="Bienes y Servicios"/>
    <x v="80"/>
    <s v="Proyecto operacional"/>
    <s v="Enviado"/>
    <s v="22.01.001"/>
    <x v="81"/>
    <s v="Se requiere servicio de cafetería para 150 personas para el mes de mayo 2026. Se espera: ? La participación de Directivos del Servicio de Salud Osorno, funcionarios de COSAM Rahue, usuarios y comunidad."/>
    <n v="1"/>
    <s v="Cafeteria"/>
    <n v="4"/>
    <n v="150"/>
    <n v="4500"/>
    <n v="675000"/>
    <x v="4"/>
    <x v="31"/>
    <x v="41"/>
    <x v="46"/>
    <s v="64-2335608-"/>
    <s v="camilo.martinez@redsalud.gob.cl"/>
    <x v="20"/>
    <m/>
    <n v="0"/>
    <m/>
    <n v="0"/>
    <n v="0"/>
    <m/>
    <x v="1"/>
    <x v="4"/>
  </r>
  <r>
    <s v="SERVICIO DE SALUD OSORNO"/>
    <s v="Administración de Fondos"/>
    <x v="81"/>
    <s v="Proyecto operacional"/>
    <s v="Enviado"/>
    <s v="22.01.001"/>
    <x v="82"/>
    <s v="Se requiere la contratación de 2 servicios de cafetería para jornadas de autocuidado de la comunidad funcionaria para 100 personas cada uno: mes de junio y mes de diciembre. La contratación de este servicio será cargada a fondos extrapresupuestarios SENDA-PAI"/>
    <n v="2"/>
    <s v="Cafeteria"/>
    <n v="4"/>
    <n v="100"/>
    <n v="4500"/>
    <n v="450000"/>
    <x v="4"/>
    <x v="25"/>
    <x v="41"/>
    <x v="46"/>
    <s v="64-2335608-"/>
    <s v="camilo.martinez@redsalud.gob.cl"/>
    <x v="15"/>
    <m/>
    <n v="0"/>
    <m/>
    <n v="0"/>
    <n v="0"/>
    <m/>
    <x v="1"/>
    <x v="2"/>
  </r>
  <r>
    <s v="SERVICIO DE SALUD OSORNO"/>
    <s v="Administración de Fondos"/>
    <x v="81"/>
    <s v="Proyecto operacional"/>
    <s v="Enviado"/>
    <s v="22.01.001"/>
    <x v="82"/>
    <s v="Se requiere la contratación de 2 servicios de cafetería para jornadas de autocuidado de la comunidad funcionaria para 100 personas cada uno: mes de junio y mes de diciembre. La contratación de este servicio será cargada a fondos extrapresupuestarios SENDA-PAI"/>
    <n v="2"/>
    <s v="Cafeteria"/>
    <n v="4"/>
    <n v="100"/>
    <n v="4500"/>
    <n v="450000"/>
    <x v="4"/>
    <x v="29"/>
    <x v="41"/>
    <x v="46"/>
    <s v="64-2335608-"/>
    <s v="camilo.martinez@redsalud.gob.cl"/>
    <x v="23"/>
    <m/>
    <n v="0"/>
    <m/>
    <n v="0"/>
    <n v="0"/>
    <m/>
    <x v="1"/>
    <x v="2"/>
  </r>
  <r>
    <s v="SERVICIO DE SALUD OSORNO"/>
    <s v="Administración de Fondos"/>
    <x v="82"/>
    <s v="Proyecto operacional"/>
    <s v="Enviado"/>
    <s v="22.01.001"/>
    <x v="83"/>
    <s v="Se requiere la compra de insumos de alimentación para actividad de celebración de fiestas patrias con usuarios y cuidadores de Programa de Atención Domiciliaria, Programa Calle, Programa SENDA PAI, Consejo Consultivo Adulto e Infanto-adolescente y usuarios de talleres, para el 04/09/2026. Con cargo a fondo extrapresupuestario SENDA-PAI"/>
    <n v="1"/>
    <s v="Alimentos 18 Sept"/>
    <n v="4"/>
    <n v="100"/>
    <n v="6250"/>
    <n v="625000"/>
    <x v="4"/>
    <x v="26"/>
    <x v="41"/>
    <x v="46"/>
    <s v="64-2335608-"/>
    <s v="camilo.martinez@redsalud.gob.cl"/>
    <x v="16"/>
    <m/>
    <n v="0"/>
    <m/>
    <n v="0"/>
    <n v="0"/>
    <m/>
    <x v="1"/>
    <x v="2"/>
  </r>
  <r>
    <s v="SERVICIO DE SALUD OSORNO"/>
    <s v="Bienes y Servicios"/>
    <x v="83"/>
    <s v="Proyecto operacional"/>
    <s v="Enviado"/>
    <s v="22.04.001"/>
    <x v="84"/>
    <s v="Compra de articulos de libreria para el funiconamiento del Equipo Rural de Rehabilitación (marzo 2026)"/>
    <n v="1"/>
    <s v="Material de Oficina"/>
    <n v="4"/>
    <n v="100"/>
    <n v="1900"/>
    <n v="190000"/>
    <x v="4"/>
    <x v="32"/>
    <x v="37"/>
    <x v="42"/>
    <s v="64-2335807-"/>
    <s v="karin.avila@redsalud.gob.cl"/>
    <x v="21"/>
    <m/>
    <n v="0"/>
    <m/>
    <n v="0"/>
    <n v="0"/>
    <m/>
    <x v="1"/>
    <x v="4"/>
  </r>
  <r>
    <s v="SERVICIO DE SALUD OSORNO"/>
    <s v="Administración de Fondos"/>
    <x v="84"/>
    <s v="Proyecto operacional"/>
    <s v="Enviado"/>
    <s v="22.04.001"/>
    <x v="85"/>
    <s v="Compra de material de ergoterapia para el funiconamiento del Equipo Rural de Rehabilitación"/>
    <n v="1"/>
    <s v="Pistola Silicona"/>
    <n v="4"/>
    <n v="5"/>
    <n v="30000"/>
    <n v="150000"/>
    <x v="4"/>
    <x v="32"/>
    <x v="37"/>
    <x v="42"/>
    <s v="64-2335807-"/>
    <s v="karin.avila@redsalud.gob.cl"/>
    <x v="21"/>
    <m/>
    <n v="0"/>
    <m/>
    <n v="0"/>
    <n v="0"/>
    <m/>
    <x v="1"/>
    <x v="2"/>
  </r>
  <r>
    <s v="SERVICIO DE SALUD OSORNO"/>
    <s v="Bienes y Servicios"/>
    <x v="85"/>
    <s v="Proyecto operacional"/>
    <s v="Enviado"/>
    <s v="22.12.999"/>
    <x v="86"/>
    <s v="Se requiere la contratación del servicio denominado Residencia Protegida (beneficiarios 3 usuarios) para usuarios/as por un periodo de 24 meses. Vigencia desde el 31 de marzo de 2026 al 1 de abril de 2028. $ 54.154 valor prestación Día residencia Protegida (3 usuarios). Estos usuarias cuentan actualmente con domicilio en la comuna de Hualqui, derivados bajo la responsabilidad de nuestro Servicio de Salud."/>
    <n v="1"/>
    <s v="Residencia Protegia"/>
    <n v="4"/>
    <n v="3"/>
    <n v="39586574"/>
    <n v="49483210"/>
    <x v="1"/>
    <x v="39"/>
    <x v="12"/>
    <x v="33"/>
    <s v="64-2335813-"/>
    <s v="angelo.palma@redsalud.gob.cl"/>
    <x v="21"/>
    <m/>
    <n v="0"/>
    <m/>
    <n v="0"/>
    <n v="0"/>
    <m/>
    <x v="1"/>
    <x v="4"/>
  </r>
  <r>
    <s v="SERVICIO DE SALUD OSORNO"/>
    <s v="Bienes y Servicios"/>
    <x v="86"/>
    <s v="Proyecto operacional"/>
    <s v="Enviado"/>
    <s v="22.04.001"/>
    <x v="87"/>
    <s v="Se requiere la compra de 50 Rollos Etiquetas para impresora ZEBRA ZD 888T y 50 rollos de cinta para impresora SOME para el mes de enero 2026."/>
    <n v="1"/>
    <s v="Rollos"/>
    <n v="4"/>
    <n v="70"/>
    <n v="6143"/>
    <n v="430010"/>
    <x v="4"/>
    <x v="35"/>
    <x v="41"/>
    <x v="46"/>
    <s v="64-2335608-"/>
    <s v="camilo.martinez@redsalud.gob.cl"/>
    <x v="13"/>
    <m/>
    <n v="0"/>
    <m/>
    <n v="0"/>
    <n v="0"/>
    <m/>
    <x v="1"/>
    <x v="4"/>
  </r>
  <r>
    <s v="SERVICIO DE SALUD OSORNO"/>
    <s v="Bienes y Servicios"/>
    <x v="87"/>
    <s v="Proyecto operacional"/>
    <s v="Enviado"/>
    <s v="22.12.999"/>
    <x v="88"/>
    <s v="Se requiere la contratación del servicio denominado Residencia Protegida alta complejidad (beneficiarios 10 usuarios) para usuarios/as por un periodo de 12 meses. Vigencia desde el 15 de marzo de 2026 al 16 de marzo de 2027. $ 81.432 valor prestación Día residencia Protegida alta complejidad (10 usuarios)."/>
    <n v="1"/>
    <s v="Residencia Protegia"/>
    <n v="4"/>
    <n v="10"/>
    <n v="29722680"/>
    <n v="247689000"/>
    <x v="11"/>
    <x v="37"/>
    <x v="12"/>
    <x v="33"/>
    <s v="64-2335813-"/>
    <s v="angelo.palma@redsalud.gob.cl"/>
    <x v="21"/>
    <m/>
    <n v="0"/>
    <m/>
    <n v="0"/>
    <n v="0"/>
    <m/>
    <x v="1"/>
    <x v="4"/>
  </r>
  <r>
    <s v="SERVICIO DE SALUD OSORNO"/>
    <s v="Bienes y Servicios"/>
    <x v="88"/>
    <s v="Proyecto operacional"/>
    <s v="Enviado"/>
    <s v="22.04.007"/>
    <x v="89"/>
    <s v="Contar con insumos de aseo para el buen funcionamiento del dispositivo, no disponibles en maestro de abastecimiento. Insumos se requieren para el mes de marzo 2026."/>
    <n v="1"/>
    <s v="Insumos de Aseo"/>
    <n v="4"/>
    <n v="338"/>
    <n v="2929"/>
    <n v="990002"/>
    <x v="4"/>
    <x v="32"/>
    <x v="41"/>
    <x v="46"/>
    <s v="64-2335608-"/>
    <s v="camilo.martinez@redsalud.gob.cl"/>
    <x v="21"/>
    <m/>
    <n v="0"/>
    <m/>
    <n v="0"/>
    <n v="0"/>
    <m/>
    <x v="1"/>
    <x v="4"/>
  </r>
  <r>
    <s v="SERVICIO DE SALUD OSORNO"/>
    <s v="Bienes y Servicios"/>
    <x v="89"/>
    <s v="Proyecto operacional"/>
    <s v="Enviado"/>
    <s v="22.12.999.015"/>
    <x v="90"/>
    <s v="Compra Insumos de cafetería para reuniones mensuales Salud Pueblos Originarios, se proyectan 18 reuniones ordinarias (marzo a diciembre) con un aproximado de 365 personas."/>
    <n v="1"/>
    <s v="Alimentación"/>
    <n v="4"/>
    <n v="2107"/>
    <n v="642"/>
    <n v="1352694"/>
    <x v="4"/>
    <x v="32"/>
    <x v="42"/>
    <x v="47"/>
    <s v="64-2335814-"/>
    <s v="pedro.huito@redsalud.gob.cl"/>
    <x v="21"/>
    <m/>
    <n v="0"/>
    <m/>
    <n v="0"/>
    <n v="0"/>
    <m/>
    <x v="1"/>
    <x v="4"/>
  </r>
  <r>
    <s v="SERVICIO DE SALUD OSORNO"/>
    <s v="Administración de Fondos"/>
    <x v="90"/>
    <s v="Proyecto operacional"/>
    <s v="Enviado"/>
    <s v="22.01.001"/>
    <x v="91"/>
    <s v="Insumos de cafetería para la ejecución de talleres, actividades grupales y psicoeducativas que se desarrollan con usuarios/as de Cosam Rahue y la comunidad para el año 2026, con cargo a fondo extrapresupuestario SENDA PAI. Se requiere compra para enero 2026."/>
    <n v="2"/>
    <s v="Alimentos"/>
    <n v="4"/>
    <n v="1200"/>
    <n v="1894"/>
    <n v="2272800"/>
    <x v="4"/>
    <x v="35"/>
    <x v="41"/>
    <x v="46"/>
    <s v="64-2335608-"/>
    <s v="camilo.martinez@redsalud.gob.cl"/>
    <x v="13"/>
    <m/>
    <n v="0"/>
    <m/>
    <n v="0"/>
    <n v="0"/>
    <m/>
    <x v="1"/>
    <x v="2"/>
  </r>
  <r>
    <s v="SERVICIO DE SALUD OSORNO"/>
    <s v="Administración de Fondos"/>
    <x v="90"/>
    <s v="Proyecto operacional"/>
    <s v="Enviado"/>
    <s v="22.01.001"/>
    <x v="91"/>
    <s v="Insumos de cafetería para la ejecución de talleres, actividades grupales y psicoeducativas que se desarrollan con usuarios/as de Cosam Rahue y la comunidad para el año 2026, con cargo a fondo extrapresupuestario SENDA PAI. Se requiere compra para enero 2026."/>
    <n v="2"/>
    <s v="Insumos"/>
    <n v="4"/>
    <n v="94"/>
    <n v="5320"/>
    <n v="500080"/>
    <x v="4"/>
    <x v="35"/>
    <x v="41"/>
    <x v="46"/>
    <s v="64-2335608-"/>
    <s v="camilo.martinez@redsalud.gob.cl"/>
    <x v="13"/>
    <m/>
    <n v="0"/>
    <m/>
    <n v="0"/>
    <n v="0"/>
    <m/>
    <x v="1"/>
    <x v="2"/>
  </r>
  <r>
    <s v="SERVICIO DE SALUD OSORNO"/>
    <s v="Administración de Fondos"/>
    <x v="91"/>
    <s v="Proyecto operacional"/>
    <s v="Enviado"/>
    <s v="22.04.001"/>
    <x v="92"/>
    <s v="Insumos de escritorio que no se encuentran en el maestro de Depto de Abastecimiento o que son insuficientes para el correcto funcionamiento del dispositivo. Se requieren para el mes de marzo 2026. con cargo a fondo extrapresupuestario SENDA-PAI"/>
    <n v="1"/>
    <s v="Material de Oficina"/>
    <n v="4"/>
    <n v="311"/>
    <n v="4721"/>
    <n v="1468231"/>
    <x v="4"/>
    <x v="32"/>
    <x v="41"/>
    <x v="46"/>
    <s v="64-2335608-"/>
    <s v="camilo.martinez@redsalud.gob.cl"/>
    <x v="21"/>
    <m/>
    <n v="0"/>
    <m/>
    <n v="0"/>
    <n v="0"/>
    <m/>
    <x v="1"/>
    <x v="2"/>
  </r>
  <r>
    <s v="SERVICIO DE SALUD OSORNO"/>
    <s v="Bienes y Servicios"/>
    <x v="92"/>
    <s v="Proyecto operacional"/>
    <s v="Actualizado"/>
    <s v="22.04.999"/>
    <x v="93"/>
    <s v="En el contexto de atención clínica comunitaria, el equipo técnico-profesional de Cosam Rahue realiza acciones en la comunidad, tales como talleres, visitas domiciliarias y actividades al aire libre, por lo que se requiere protector solar para enero 2026."/>
    <n v="1"/>
    <s v="Protectores Solares"/>
    <n v="4"/>
    <n v="20"/>
    <n v="15000"/>
    <n v="300000"/>
    <x v="4"/>
    <x v="35"/>
    <x v="41"/>
    <x v="46"/>
    <s v="64-2335608-"/>
    <s v="camilo.martinez@redsalud.gob.cl"/>
    <x v="13"/>
    <m/>
    <n v="0"/>
    <m/>
    <n v="0"/>
    <n v="0"/>
    <m/>
    <x v="1"/>
    <x v="4"/>
  </r>
  <r>
    <s v="SERVICIO DE SALUD OSORNO"/>
    <s v="Administración de Fondos"/>
    <x v="93"/>
    <s v="Proyecto operacional"/>
    <s v="Actualizado"/>
    <s v="22.04.009"/>
    <x v="94"/>
    <s v="Se requiere la compra de tinta de repuesto para la operatividad de impresoras que se utilizan para la elaboración de material a color para las diversas actividades de promoción y prevención, para el mes de abril 2026, con a SENDA-PAI."/>
    <n v="1"/>
    <s v="Tintas"/>
    <n v="4"/>
    <n v="5"/>
    <n v="70000"/>
    <n v="350000"/>
    <x v="4"/>
    <x v="24"/>
    <x v="41"/>
    <x v="46"/>
    <s v="64-2335608-"/>
    <s v="camilo.martinez@redsalud.gob.cl"/>
    <x v="14"/>
    <m/>
    <n v="0"/>
    <m/>
    <n v="0"/>
    <n v="0"/>
    <m/>
    <x v="1"/>
    <x v="2"/>
  </r>
  <r>
    <s v="SERVICIO DE SALUD OSORNO"/>
    <s v="Administración de Fondos"/>
    <x v="94"/>
    <s v="Proyecto operacional"/>
    <s v="Enviado"/>
    <s v="22.01.001"/>
    <x v="95"/>
    <s v="Se requiere adquirir insumos alimenticios para usuarios pertenecientes al Programa para personas en situación de calle con consumo de alcohol y otras drogas. Lo anterior con cargo a fondo extrapresupuestario SENDA PAI"/>
    <n v="1"/>
    <s v="Alimentación"/>
    <n v="4"/>
    <n v="290"/>
    <n v="4441"/>
    <n v="1287890"/>
    <x v="4"/>
    <x v="32"/>
    <x v="41"/>
    <x v="46"/>
    <s v="64-2335608-"/>
    <s v="camilo.martinez@redsalud.gob.cl"/>
    <x v="21"/>
    <m/>
    <n v="0"/>
    <m/>
    <n v="0"/>
    <n v="0"/>
    <m/>
    <x v="1"/>
    <x v="2"/>
  </r>
  <r>
    <s v="SERVICIO DE SALUD OSORNO"/>
    <s v="Bienes y Servicios"/>
    <x v="95"/>
    <s v="Proyecto operacional"/>
    <s v="Actualizado"/>
    <s v="22.04.003"/>
    <x v="96"/>
    <s v="Se requiere la adquisición de test de detección de drogas con capacidad para reconocer nueve o más tipos de sustancias, destinados a procesos de evaluación y control del programa. Los test deberán venir en envases individuales sellados, garantizando higiene y seguridad. Su diseño debe evitar el contacto directo con la orina, mediante sistema de activación tipo llave o mecanismo interno, asegurando fiabilidad, trazabilidad y resultados confiables. Ejecución: octubre 2026."/>
    <n v="1"/>
    <s v="Test"/>
    <n v="4"/>
    <n v="100"/>
    <n v="8000"/>
    <n v="800000"/>
    <x v="4"/>
    <x v="27"/>
    <x v="43"/>
    <x v="48"/>
    <s v="64-2335492-"/>
    <s v="CAROLINA.SILVALL@REDSALUD.GOB.CL"/>
    <x v="17"/>
    <m/>
    <n v="0"/>
    <m/>
    <n v="0"/>
    <n v="0"/>
    <m/>
    <x v="1"/>
    <x v="4"/>
  </r>
  <r>
    <s v="SERVICIO DE SALUD OSORNO"/>
    <s v="Administración de Fondos"/>
    <x v="96"/>
    <s v="Proyecto operacional"/>
    <s v="Enviado"/>
    <s v="22.01.001"/>
    <x v="97"/>
    <s v="Estos espacios buscan generar un ambiente de confianza, cercanía y participación activa de los usuarios, por lo que ofrecen un momento de compartir alimentos contribuye directamente a los objetivos terapéuticos. Otros materiales contribuyen en el manejo de ansiedad (como bolsas de papel Kraft, pelotas antiestrés, pañuelos desechables), y permite enseñar técnicas de manejo de síntomas ansiosos."/>
    <n v="4"/>
    <s v="Alimentación"/>
    <n v="4"/>
    <n v="69"/>
    <n v="2615"/>
    <n v="180435"/>
    <x v="4"/>
    <x v="32"/>
    <x v="44"/>
    <x v="24"/>
    <s v="64-2335610-"/>
    <s v="pedro.fritz@redsalud.gob.cl"/>
    <x v="21"/>
    <m/>
    <n v="0"/>
    <m/>
    <n v="0"/>
    <n v="0"/>
    <m/>
    <x v="1"/>
    <x v="2"/>
  </r>
  <r>
    <s v="SERVICIO DE SALUD OSORNO"/>
    <s v="Administración de Fondos"/>
    <x v="96"/>
    <s v="Proyecto operacional"/>
    <s v="Enviado"/>
    <s v="22.01.001"/>
    <x v="97"/>
    <s v="Estos espacios buscan generar un ambiente de confianza, cercanía y participación activa de los usuarios, por lo que ofrecen un momento de compartir alimentos contribuye directamente a los objetivos terapéuticos. Otros materiales contribuyen en el manejo de ansiedad (como bolsas de papel Kraft, pelotas antiestrés, pañuelos desechables), y permite enseñar técnicas de manejo de síntomas ansiosos."/>
    <n v="4"/>
    <s v="Insumos"/>
    <n v="4"/>
    <n v="9"/>
    <n v="2711"/>
    <n v="24399"/>
    <x v="4"/>
    <x v="32"/>
    <x v="44"/>
    <x v="24"/>
    <s v="64-2335610-"/>
    <s v="pedro.fritz@redsalud.gob.cl"/>
    <x v="21"/>
    <m/>
    <n v="0"/>
    <m/>
    <n v="0"/>
    <n v="0"/>
    <m/>
    <x v="1"/>
    <x v="2"/>
  </r>
  <r>
    <s v="SERVICIO DE SALUD OSORNO"/>
    <s v="Administración de Fondos"/>
    <x v="96"/>
    <s v="Proyecto operacional"/>
    <s v="Enviado"/>
    <s v="22.01.001"/>
    <x v="97"/>
    <s v="Estos espacios buscan generar un ambiente de confianza, cercanía y participación activa de los usuarios, por lo que ofrecen un momento de compartir alimentos contribuye directamente a los objetivos terapéuticos. Otros materiales contribuyen en el manejo de ansiedad (como bolsas de papel Kraft, pelotas antiestrés, pañuelos desechables), y permite enseñar técnicas de manejo de síntomas ansiosos."/>
    <n v="4"/>
    <s v="Caja, Pelotas"/>
    <n v="4"/>
    <n v="3"/>
    <n v="9000"/>
    <n v="27000"/>
    <x v="4"/>
    <x v="32"/>
    <x v="44"/>
    <x v="24"/>
    <s v="64-2335610-"/>
    <s v="pedro.fritz@redsalud.gob.cl"/>
    <x v="21"/>
    <m/>
    <n v="0"/>
    <m/>
    <n v="0"/>
    <n v="0"/>
    <m/>
    <x v="1"/>
    <x v="2"/>
  </r>
  <r>
    <s v="SERVICIO DE SALUD OSORNO"/>
    <s v="Administración de Fondos"/>
    <x v="96"/>
    <s v="Proyecto operacional"/>
    <s v="Enviado"/>
    <s v="22.01.001"/>
    <x v="97"/>
    <s v="Estos espacios buscan generar un ambiente de confianza, cercanía y participación activa de los usuarios, por lo que ofrecen un momento de compartir alimentos contribuye directamente a los objetivos terapéuticos. Otros materiales contribuyen en el manejo de ansiedad (como bolsas de papel Kraft, pelotas antiestrés, pañuelos desechables), y permite enseñar técnicas de manejo de síntomas ansiosos."/>
    <n v="4"/>
    <s v="Pañuelos faciales"/>
    <n v="4"/>
    <n v="2"/>
    <n v="26000"/>
    <n v="52000"/>
    <x v="4"/>
    <x v="32"/>
    <x v="44"/>
    <x v="24"/>
    <s v="64-2335610-"/>
    <s v="pedro.fritz@redsalud.gob.cl"/>
    <x v="21"/>
    <m/>
    <n v="0"/>
    <m/>
    <n v="0"/>
    <n v="0"/>
    <m/>
    <x v="1"/>
    <x v="2"/>
  </r>
  <r>
    <s v="SERVICIO DE SALUD OSORNO"/>
    <s v="Bienes y Servicios"/>
    <x v="97"/>
    <s v="Proyecto operacional"/>
    <s v="Enviado"/>
    <s v="22.04"/>
    <x v="98"/>
    <s v="Los insumos clínicos son elementos fundamentales para la prestación de cuidados de enfermería entregados en COSAM Oriente. Estos materiales permiten que el personal de enfermería pueda cumplir con las funciones de tomas de muestras y procedimientos, para garantizar una atención segura y de calidad a la población usuaria. Es importante que la adquisición sea entre los meses de febrero y marzo 2026, para evitar quiebre de stock de insumos clínicos."/>
    <n v="6"/>
    <s v="Tiras, test rápido, alcohol"/>
    <n v="4"/>
    <n v="18"/>
    <n v="13334"/>
    <n v="240012"/>
    <x v="4"/>
    <x v="38"/>
    <x v="44"/>
    <x v="24"/>
    <s v="64-2335610-"/>
    <s v="pedro.fritz@redsalud.gob.cl"/>
    <x v="19"/>
    <m/>
    <n v="0"/>
    <m/>
    <n v="0"/>
    <n v="0"/>
    <m/>
    <x v="1"/>
    <x v="4"/>
  </r>
  <r>
    <s v="SERVICIO DE SALUD OSORNO"/>
    <s v="Bienes y Servicios"/>
    <x v="97"/>
    <s v="Proyecto operacional"/>
    <s v="Enviado"/>
    <s v="22.04"/>
    <x v="98"/>
    <s v="Los insumos clínicos son elementos fundamentales para la prestación de cuidados de enfermería entregados en COSAM Oriente. Estos materiales permiten que el personal de enfermería pueda cumplir con las funciones de tomas de muestras y procedimientos, para garantizar una atención segura y de calidad a la población usuaria. Es importante que la adquisición sea entre los meses de febrero y marzo 2026, para evitar quiebre de stock de insumos clínicos."/>
    <n v="6"/>
    <s v="Insumos clínicos"/>
    <n v="4"/>
    <n v="39"/>
    <n v="17924"/>
    <n v="699036"/>
    <x v="4"/>
    <x v="38"/>
    <x v="44"/>
    <x v="24"/>
    <s v="64-2335610-"/>
    <s v="pedro.fritz@redsalud.gob.cl"/>
    <x v="19"/>
    <m/>
    <n v="0"/>
    <m/>
    <n v="0"/>
    <n v="0"/>
    <m/>
    <x v="1"/>
    <x v="4"/>
  </r>
  <r>
    <s v="SERVICIO DE SALUD OSORNO"/>
    <s v="Bienes y Servicios"/>
    <x v="97"/>
    <s v="Proyecto operacional"/>
    <s v="Enviado"/>
    <s v="22.04"/>
    <x v="98"/>
    <s v="Los insumos clínicos son elementos fundamentales para la prestación de cuidados de enfermería entregados en COSAM Oriente. Estos materiales permiten que el personal de enfermería pueda cumplir con las funciones de tomas de muestras y procedimientos, para garantizar una atención segura y de calidad a la población usuaria. Es importante que la adquisición sea entre los meses de febrero y marzo 2026, para evitar quiebre de stock de insumos clínicos."/>
    <n v="6"/>
    <s v="Biombo, pesa"/>
    <n v="4"/>
    <n v="2"/>
    <n v="62000"/>
    <n v="124000"/>
    <x v="4"/>
    <x v="38"/>
    <x v="44"/>
    <x v="24"/>
    <s v="64-2335610-"/>
    <s v="pedro.fritz@redsalud.gob.cl"/>
    <x v="19"/>
    <m/>
    <n v="0"/>
    <m/>
    <n v="0"/>
    <n v="0"/>
    <m/>
    <x v="1"/>
    <x v="4"/>
  </r>
  <r>
    <s v="SERVICIO DE SALUD OSORNO"/>
    <s v="Bienes y Servicios"/>
    <x v="97"/>
    <s v="Proyecto operacional"/>
    <s v="Enviado"/>
    <s v="22.04"/>
    <x v="98"/>
    <s v="Los insumos clínicos son elementos fundamentales para la prestación de cuidados de enfermería entregados en COSAM Oriente. Estos materiales permiten que el personal de enfermería pueda cumplir con las funciones de tomas de muestras y procedimientos, para garantizar una atención segura y de calidad a la población usuaria. Es importante que la adquisición sea entre los meses de febrero y marzo 2026, para evitar quiebre de stock de insumos clínicos."/>
    <n v="6"/>
    <s v="Equipo curación, algodón"/>
    <n v="4"/>
    <n v="50"/>
    <n v="1400"/>
    <n v="70000"/>
    <x v="4"/>
    <x v="38"/>
    <x v="44"/>
    <x v="24"/>
    <s v="64-2335610-"/>
    <s v="pedro.fritz@redsalud.gob.cl"/>
    <x v="19"/>
    <m/>
    <n v="0"/>
    <m/>
    <n v="0"/>
    <n v="0"/>
    <m/>
    <x v="1"/>
    <x v="4"/>
  </r>
  <r>
    <s v="SERVICIO DE SALUD OSORNO"/>
    <s v="Bienes y Servicios"/>
    <x v="97"/>
    <s v="Proyecto operacional"/>
    <s v="Enviado"/>
    <s v="22.04"/>
    <x v="98"/>
    <s v="Los insumos clínicos son elementos fundamentales para la prestación de cuidados de enfermería entregados en COSAM Oriente. Estos materiales permiten que el personal de enfermería pueda cumplir con las funciones de tomas de muestras y procedimientos, para garantizar una atención segura y de calidad a la población usuaria. Es importante que la adquisición sea entre los meses de febrero y marzo 2026, para evitar quiebre de stock de insumos clínicos."/>
    <n v="6"/>
    <s v="Cooler"/>
    <n v="4"/>
    <n v="1"/>
    <n v="25000"/>
    <n v="25000"/>
    <x v="4"/>
    <x v="38"/>
    <x v="44"/>
    <x v="24"/>
    <s v="64-2335610-"/>
    <s v="pedro.fritz@redsalud.gob.cl"/>
    <x v="19"/>
    <m/>
    <n v="0"/>
    <m/>
    <n v="0"/>
    <n v="0"/>
    <m/>
    <x v="1"/>
    <x v="4"/>
  </r>
  <r>
    <s v="SERVICIO DE SALUD OSORNO"/>
    <s v="Bienes y Servicios"/>
    <x v="97"/>
    <s v="Proyecto operacional"/>
    <s v="Enviado"/>
    <s v="22.04"/>
    <x v="98"/>
    <s v="Los insumos clínicos son elementos fundamentales para la prestación de cuidados de enfermería entregados en COSAM Oriente. Estos materiales permiten que el personal de enfermería pueda cumplir con las funciones de tomas de muestras y procedimientos, para garantizar una atención segura y de calidad a la población usuaria. Es importante que la adquisición sea entre los meses de febrero y marzo 2026, para evitar quiebre de stock de insumos clínicos."/>
    <n v="6"/>
    <s v="Caja"/>
    <n v="4"/>
    <n v="1"/>
    <n v="8000"/>
    <n v="8000"/>
    <x v="4"/>
    <x v="38"/>
    <x v="44"/>
    <x v="24"/>
    <s v="64-2335610-"/>
    <s v="pedro.fritz@redsalud.gob.cl"/>
    <x v="19"/>
    <m/>
    <n v="0"/>
    <m/>
    <n v="0"/>
    <n v="0"/>
    <m/>
    <x v="1"/>
    <x v="4"/>
  </r>
  <r>
    <s v="SERVICIO DE SALUD OSORNO"/>
    <s v="Administración de Fondos"/>
    <x v="98"/>
    <s v="Proyecto operacional"/>
    <s v="Enviado"/>
    <s v="22.01.002"/>
    <x v="99"/>
    <s v="Taller con duración de 8 sesiones se desarrolla durante todo el año. Solicitud de compra para el mes de enero 2026"/>
    <n v="2"/>
    <s v="Alimentación"/>
    <n v="4"/>
    <n v="86"/>
    <n v="1379"/>
    <n v="118594"/>
    <x v="4"/>
    <x v="35"/>
    <x v="44"/>
    <x v="24"/>
    <s v="64-2335610-"/>
    <s v="pedro.fritz@redsalud.gob.cl"/>
    <x v="13"/>
    <m/>
    <n v="0"/>
    <m/>
    <n v="0"/>
    <n v="0"/>
    <m/>
    <x v="1"/>
    <x v="2"/>
  </r>
  <r>
    <s v="SERVICIO DE SALUD OSORNO"/>
    <s v="Administración de Fondos"/>
    <x v="98"/>
    <s v="Proyecto operacional"/>
    <s v="Enviado"/>
    <s v="22.01.002"/>
    <x v="99"/>
    <s v="Taller con duración de 8 sesiones se desarrolla durante todo el año. Solicitud de compra para el mes de enero 2026"/>
    <n v="2"/>
    <s v="Material de Enseñanza"/>
    <n v="4"/>
    <n v="2"/>
    <n v="73915"/>
    <n v="147830"/>
    <x v="4"/>
    <x v="35"/>
    <x v="44"/>
    <x v="24"/>
    <s v="64-2335610-"/>
    <s v="pedro.fritz@redsalud.gob.cl"/>
    <x v="13"/>
    <m/>
    <n v="0"/>
    <m/>
    <n v="0"/>
    <n v="0"/>
    <m/>
    <x v="1"/>
    <x v="2"/>
  </r>
  <r>
    <s v="SERVICIO DE SALUD OSORNO"/>
    <s v="Bienes y Servicios"/>
    <x v="99"/>
    <s v="Proyecto operacional"/>
    <s v="Enviado"/>
    <s v="22.01.001"/>
    <x v="100"/>
    <s v="Insumos de cafetería para reuniones mensuales Trato Usuario, se proyecta 12 reuniones, con un aprox. de 225 personas"/>
    <n v="2"/>
    <s v="Alimentación"/>
    <n v="4"/>
    <n v="821"/>
    <n v="1122"/>
    <n v="921162"/>
    <x v="4"/>
    <x v="32"/>
    <x v="45"/>
    <x v="49"/>
    <s v="64-2335775-"/>
    <s v="daniela.barriaa@redsalud.gob.cl"/>
    <x v="21"/>
    <m/>
    <n v="0"/>
    <m/>
    <n v="0"/>
    <n v="0"/>
    <m/>
    <x v="1"/>
    <x v="4"/>
  </r>
  <r>
    <s v="SERVICIO DE SALUD OSORNO"/>
    <s v="Bienes y Servicios"/>
    <x v="99"/>
    <s v="Proyecto operacional"/>
    <s v="Enviado"/>
    <s v="22.01.001"/>
    <x v="100"/>
    <s v="Insumos de cafetería para reuniones mensuales Trato Usuario, se proyecta 12 reuniones, con un aprox. de 225 personas"/>
    <n v="2"/>
    <s v="Insumos"/>
    <n v="4"/>
    <n v="409"/>
    <n v="211"/>
    <n v="86299"/>
    <x v="4"/>
    <x v="32"/>
    <x v="45"/>
    <x v="49"/>
    <s v="64-2335775-"/>
    <s v="daniela.barriaa@redsalud.gob.cl"/>
    <x v="21"/>
    <m/>
    <n v="0"/>
    <m/>
    <n v="0"/>
    <n v="0"/>
    <m/>
    <x v="1"/>
    <x v="4"/>
  </r>
  <r>
    <s v="SERVICIO DE SALUD OSORNO"/>
    <s v="Administración de Fondos"/>
    <x v="100"/>
    <s v="Proyecto operacional"/>
    <s v="Enviado"/>
    <s v="22.04.015"/>
    <x v="101"/>
    <s v="Taller se realiza durante todo el año, sin suspensión, por lo que se solicita material a contar de enero en lo posible"/>
    <n v="3"/>
    <s v="Productos Jardín"/>
    <n v="4"/>
    <n v="106"/>
    <n v="4380"/>
    <n v="464280"/>
    <x v="4"/>
    <x v="35"/>
    <x v="44"/>
    <x v="24"/>
    <s v="64-2335610-"/>
    <s v="pedro.fritz@redsalud.gob.cl"/>
    <x v="13"/>
    <m/>
    <n v="0"/>
    <m/>
    <n v="0"/>
    <n v="0"/>
    <m/>
    <x v="1"/>
    <x v="2"/>
  </r>
  <r>
    <s v="SERVICIO DE SALUD OSORNO"/>
    <s v="Administración de Fondos"/>
    <x v="100"/>
    <s v="Proyecto operacional"/>
    <s v="Enviado"/>
    <s v="22.04.015"/>
    <x v="101"/>
    <s v="Taller se realiza durante todo el año, sin suspensión, por lo que se solicita material a contar de enero en lo posible"/>
    <n v="3"/>
    <s v="Alimentos"/>
    <n v="4"/>
    <n v="10"/>
    <n v="2520"/>
    <n v="25200"/>
    <x v="4"/>
    <x v="35"/>
    <x v="44"/>
    <x v="24"/>
    <s v="64-2335610-"/>
    <s v="pedro.fritz@redsalud.gob.cl"/>
    <x v="13"/>
    <m/>
    <n v="0"/>
    <m/>
    <n v="0"/>
    <n v="0"/>
    <m/>
    <x v="1"/>
    <x v="2"/>
  </r>
  <r>
    <s v="SERVICIO DE SALUD OSORNO"/>
    <s v="Administración de Fondos"/>
    <x v="100"/>
    <s v="Proyecto operacional"/>
    <s v="Enviado"/>
    <s v="22.04.015"/>
    <x v="101"/>
    <s v="Taller se realiza durante todo el año, sin suspensión, por lo que se solicita material a contar de enero en lo posible"/>
    <n v="3"/>
    <s v="Bolsas"/>
    <n v="4"/>
    <n v="200"/>
    <n v="68"/>
    <n v="13600"/>
    <x v="4"/>
    <x v="35"/>
    <x v="44"/>
    <x v="24"/>
    <s v="64-2335610-"/>
    <s v="pedro.fritz@redsalud.gob.cl"/>
    <x v="13"/>
    <m/>
    <n v="0"/>
    <m/>
    <n v="0"/>
    <n v="0"/>
    <m/>
    <x v="1"/>
    <x v="2"/>
  </r>
  <r>
    <s v="SERVICIO DE SALUD OSORNO"/>
    <s v="Administración de Fondos"/>
    <x v="101"/>
    <s v="Proyecto operacional"/>
    <s v="Enviado"/>
    <s v="22.04.002"/>
    <x v="102"/>
    <s v="La conmemoración del día de la mujer se realizará el día miércoles 11 de marzo del 2026, idealmente la compra debe estar un mes antes, ya que debemos preparar los recuerdos y las actividades para ese día. En esta actividad se invitará a mujeres que se encuentran atendiendo en Cosam Oriente, se realizará una sesión educativa y reflexiva y luego una actividad práctica y de autocuidado."/>
    <n v="2"/>
    <s v="Material de Enseñanza"/>
    <n v="4"/>
    <n v="42"/>
    <n v="1729"/>
    <n v="72618"/>
    <x v="4"/>
    <x v="38"/>
    <x v="44"/>
    <x v="24"/>
    <s v="64-2335610-"/>
    <s v="pedro.fritz@redsalud.gob.cl"/>
    <x v="19"/>
    <m/>
    <n v="0"/>
    <m/>
    <n v="0"/>
    <n v="0"/>
    <m/>
    <x v="1"/>
    <x v="2"/>
  </r>
  <r>
    <s v="SERVICIO DE SALUD OSORNO"/>
    <s v="Administración de Fondos"/>
    <x v="101"/>
    <s v="Proyecto operacional"/>
    <s v="Enviado"/>
    <s v="22.04.002"/>
    <x v="102"/>
    <s v="La conmemoración del día de la mujer se realizará el día miércoles 11 de marzo del 2026, idealmente la compra debe estar un mes antes, ya que debemos preparar los recuerdos y las actividades para ese día. En esta actividad se invitará a mujeres que se encuentran atendiendo en Cosam Oriente, se realizará una sesión educativa y reflexiva y luego una actividad práctica y de autocuidado."/>
    <n v="2"/>
    <s v="Alimentación"/>
    <n v="4"/>
    <n v="1004"/>
    <n v="13"/>
    <n v="13052"/>
    <x v="4"/>
    <x v="38"/>
    <x v="44"/>
    <x v="24"/>
    <s v="64-2335610-"/>
    <s v="pedro.fritz@redsalud.gob.cl"/>
    <x v="19"/>
    <m/>
    <n v="0"/>
    <m/>
    <n v="0"/>
    <n v="0"/>
    <m/>
    <x v="1"/>
    <x v="2"/>
  </r>
  <r>
    <s v="SERVICIO DE SALUD OSORNO"/>
    <s v="Compras Convenio GORE Region de Los Lagos"/>
    <x v="102"/>
    <s v="Proyecto operacional"/>
    <s v="Enviado"/>
    <s v="31.02.002"/>
    <x v="103"/>
    <s v="Desarrollar las adecuaciones a los proyectos de arquitectura y especialidades del diseño del la PSR tipo para el sector de Coligual, comuna de Purranque."/>
    <n v="1"/>
    <s v="Consultorias"/>
    <n v="4"/>
    <n v="1"/>
    <n v="37000000"/>
    <n v="37000000"/>
    <x v="4"/>
    <x v="26"/>
    <x v="39"/>
    <x v="44"/>
    <s v="64-2335843-"/>
    <s v="mario.barrientos@redsalud.gob.cl"/>
    <x v="16"/>
    <m/>
    <n v="0"/>
    <m/>
    <n v="0"/>
    <n v="0"/>
    <m/>
    <x v="1"/>
    <x v="3"/>
  </r>
  <r>
    <s v="SERVICIO DE SALUD OSORNO"/>
    <s v="Compras Convenio GORE Region de Los Lagos"/>
    <x v="103"/>
    <s v="Proyecto operacional"/>
    <s v="Enviado"/>
    <s v="31.02.002"/>
    <x v="104"/>
    <s v="Desarrollar las adecuaciones a los proyectos de arquitectura y especialidades del diseño del la PSR tipo para el sector de Caracol, comuna de San Pablo."/>
    <n v="1"/>
    <s v="Consultorias"/>
    <n v="4"/>
    <n v="1"/>
    <n v="37000000"/>
    <n v="37000000"/>
    <x v="4"/>
    <x v="27"/>
    <x v="39"/>
    <x v="44"/>
    <s v="64-2335843-"/>
    <s v="mario.barrientos@redsalud.gob.cl"/>
    <x v="17"/>
    <m/>
    <n v="0"/>
    <m/>
    <n v="0"/>
    <n v="0"/>
    <m/>
    <x v="1"/>
    <x v="3"/>
  </r>
  <r>
    <s v="SERVICIO DE SALUD OSORNO"/>
    <s v="Bienes y Servicios"/>
    <x v="104"/>
    <s v="Proyecto operacional"/>
    <s v="Enviado"/>
    <s v="22.07.002"/>
    <x v="105"/>
    <s v="Los talonarios deben contener 50 formularios en duplicado autocopiativo, se envía modelo con información en la parte inferior se debe señalar Formulario Original Establecimiento; Formulario Duplicado Usuario, según corresponda."/>
    <n v="1"/>
    <s v="folleteria"/>
    <n v="4"/>
    <n v="100"/>
    <n v="4000"/>
    <n v="400000"/>
    <x v="4"/>
    <x v="32"/>
    <x v="45"/>
    <x v="49"/>
    <s v="64-2335775-"/>
    <s v="daniela.barriaa@redsalud.gob.cl"/>
    <x v="21"/>
    <m/>
    <n v="0"/>
    <m/>
    <n v="0"/>
    <n v="0"/>
    <m/>
    <x v="1"/>
    <x v="4"/>
  </r>
  <r>
    <s v="SERVICIO DE SALUD OSORNO"/>
    <s v="Bienes y Servicios"/>
    <x v="105"/>
    <s v="Proyecto operacional"/>
    <s v="Enviado"/>
    <s v="22.04.001"/>
    <x v="106"/>
    <s v="Compra de serie de productos para el buen funcionamiento de la Unidad de Farmacia durante el año 2026"/>
    <n v="5"/>
    <s v="Recetarios"/>
    <n v="4"/>
    <n v="415"/>
    <n v="3494"/>
    <n v="1450010"/>
    <x v="4"/>
    <x v="24"/>
    <x v="44"/>
    <x v="24"/>
    <s v="64-2335610-"/>
    <s v="pedro.fritz@redsalud.gob.cl"/>
    <x v="14"/>
    <m/>
    <n v="0"/>
    <m/>
    <n v="0"/>
    <n v="0"/>
    <m/>
    <x v="1"/>
    <x v="4"/>
  </r>
  <r>
    <s v="SERVICIO DE SALUD OSORNO"/>
    <s v="Bienes y Servicios"/>
    <x v="105"/>
    <s v="Proyecto operacional"/>
    <s v="Enviado"/>
    <s v="22.04.001"/>
    <x v="106"/>
    <s v="Compra de serie de productos para el buen funcionamiento de la Unidad de Farmacia durante el año 2026"/>
    <n v="5"/>
    <s v="Material de Oficina"/>
    <n v="4"/>
    <n v="4"/>
    <n v="62500"/>
    <n v="250000"/>
    <x v="4"/>
    <x v="35"/>
    <x v="44"/>
    <x v="24"/>
    <s v="64-2335610-"/>
    <s v="pedro.fritz@redsalud.gob.cl"/>
    <x v="13"/>
    <m/>
    <n v="0"/>
    <m/>
    <n v="0"/>
    <n v="0"/>
    <m/>
    <x v="1"/>
    <x v="4"/>
  </r>
  <r>
    <s v="SERVICIO DE SALUD OSORNO"/>
    <s v="Bienes y Servicios"/>
    <x v="105"/>
    <s v="Proyecto operacional"/>
    <s v="Enviado"/>
    <s v="22.04.001"/>
    <x v="106"/>
    <s v="Compra de serie de productos para el buen funcionamiento de la Unidad de Farmacia durante el año 2026"/>
    <n v="5"/>
    <s v="Refrigerador"/>
    <n v="4"/>
    <n v="2"/>
    <n v="750000"/>
    <n v="1500000"/>
    <x v="4"/>
    <x v="35"/>
    <x v="44"/>
    <x v="24"/>
    <s v="64-2335610-"/>
    <s v="pedro.fritz@redsalud.gob.cl"/>
    <x v="13"/>
    <m/>
    <n v="0"/>
    <m/>
    <n v="0"/>
    <n v="0"/>
    <m/>
    <x v="1"/>
    <x v="4"/>
  </r>
  <r>
    <s v="SERVICIO DE SALUD OSORNO"/>
    <s v="Bienes y Servicios"/>
    <x v="105"/>
    <s v="Proyecto operacional"/>
    <s v="Enviado"/>
    <s v="22.04.001"/>
    <x v="106"/>
    <s v="Compra de serie de productos para el buen funcionamiento de la Unidad de Farmacia durante el año 2026"/>
    <n v="5"/>
    <s v="Insumos Computacionales"/>
    <n v="4"/>
    <n v="146"/>
    <n v="13014"/>
    <n v="1900044"/>
    <x v="4"/>
    <x v="32"/>
    <x v="44"/>
    <x v="24"/>
    <s v="64-2335610-"/>
    <s v="pedro.fritz@redsalud.gob.cl"/>
    <x v="21"/>
    <m/>
    <n v="0"/>
    <m/>
    <n v="0"/>
    <n v="0"/>
    <m/>
    <x v="1"/>
    <x v="4"/>
  </r>
  <r>
    <s v="SERVICIO DE SALUD OSORNO"/>
    <s v="Bienes y Servicios"/>
    <x v="105"/>
    <s v="Proyecto operacional"/>
    <s v="Enviado"/>
    <s v="22.04.001"/>
    <x v="106"/>
    <s v="Compra de serie de productos para el buen funcionamiento de la Unidad de Farmacia durante el año 2026"/>
    <n v="5"/>
    <s v="Insumos Computacionales"/>
    <n v="4"/>
    <n v="6"/>
    <n v="17334"/>
    <n v="104004"/>
    <x v="4"/>
    <x v="35"/>
    <x v="44"/>
    <x v="24"/>
    <s v="64-2335610-"/>
    <s v="pedro.fritz@redsalud.gob.cl"/>
    <x v="13"/>
    <m/>
    <n v="0"/>
    <m/>
    <n v="0"/>
    <n v="0"/>
    <m/>
    <x v="1"/>
    <x v="4"/>
  </r>
  <r>
    <s v="SERVICIO DE SALUD OSORNO"/>
    <s v="Administración de Fondos"/>
    <x v="106"/>
    <s v="Proyecto operacional"/>
    <s v="Enviado"/>
    <s v="22.01.001"/>
    <x v="107"/>
    <s v="Actividades en sesiones del taller, presentación de fiestas patrias y presentación en el día de la salud mental. Inicio de actividades en enero."/>
    <n v="3"/>
    <s v="Alimentación"/>
    <n v="4"/>
    <n v="15"/>
    <n v="9600"/>
    <n v="144000"/>
    <x v="4"/>
    <x v="35"/>
    <x v="44"/>
    <x v="24"/>
    <s v="64-2335610-"/>
    <s v="pedro.fritz@redsalud.gob.cl"/>
    <x v="13"/>
    <m/>
    <n v="0"/>
    <m/>
    <n v="0"/>
    <n v="0"/>
    <m/>
    <x v="1"/>
    <x v="2"/>
  </r>
  <r>
    <s v="SERVICIO DE SALUD OSORNO"/>
    <s v="Administración de Fondos"/>
    <x v="106"/>
    <s v="Proyecto operacional"/>
    <s v="Enviado"/>
    <s v="22.01.001"/>
    <x v="107"/>
    <s v="Actividades en sesiones del taller, presentación de fiestas patrias y presentación en el día de la salud mental. Inicio de actividades en enero."/>
    <n v="3"/>
    <s v="Ropa"/>
    <n v="4"/>
    <n v="16"/>
    <n v="11875"/>
    <n v="190000"/>
    <x v="4"/>
    <x v="35"/>
    <x v="44"/>
    <x v="24"/>
    <s v="64-2335610-"/>
    <s v="pedro.fritz@redsalud.gob.cl"/>
    <x v="13"/>
    <m/>
    <n v="0"/>
    <m/>
    <n v="0"/>
    <n v="0"/>
    <m/>
    <x v="1"/>
    <x v="2"/>
  </r>
  <r>
    <s v="SERVICIO DE SALUD OSORNO"/>
    <s v="Administración de Fondos"/>
    <x v="106"/>
    <s v="Proyecto operacional"/>
    <s v="Enviado"/>
    <s v="22.01.001"/>
    <x v="107"/>
    <s v="Actividades en sesiones del taller, presentación de fiestas patrias y presentación en el día de la salud mental. Inicio de actividades en enero."/>
    <n v="3"/>
    <s v="Material Taller"/>
    <n v="4"/>
    <n v="23"/>
    <n v="5044"/>
    <n v="116012"/>
    <x v="4"/>
    <x v="35"/>
    <x v="44"/>
    <x v="24"/>
    <s v="64-2335610-"/>
    <s v="pedro.fritz@redsalud.gob.cl"/>
    <x v="13"/>
    <m/>
    <n v="0"/>
    <m/>
    <n v="0"/>
    <n v="0"/>
    <m/>
    <x v="1"/>
    <x v="2"/>
  </r>
  <r>
    <s v="SERVICIO DE SALUD OSORNO"/>
    <s v="Bienes y Servicios"/>
    <x v="107"/>
    <s v="Proyecto operacional"/>
    <s v="Enviado"/>
    <s v="22.04.999"/>
    <x v="108"/>
    <s v="Se requiere la adquisición de artículos promocionales para fortalecer la imagen corporativa de la Comunidad, incluyendo lienzos y pendones con información institucional y de contacto. También se contemplan trofeos, galardones, bolsas y suvenires personalizados con la identidad visual de la organización, con el fin de mantener coherencia en la comunicación institucional y reforzar el reconocimiento de la Comunidad en actividades, eventos y campañas de promoción."/>
    <n v="4"/>
    <s v="Galvanos y Placa"/>
    <n v="4"/>
    <n v="24"/>
    <n v="7334"/>
    <n v="176016"/>
    <x v="4"/>
    <x v="32"/>
    <x v="43"/>
    <x v="48"/>
    <s v="64-2335492-"/>
    <s v="CAROLINA.SILVALL@REDSALUD.GOB.CL"/>
    <x v="21"/>
    <m/>
    <n v="0"/>
    <m/>
    <n v="0"/>
    <n v="0"/>
    <m/>
    <x v="1"/>
    <x v="4"/>
  </r>
  <r>
    <s v="SERVICIO DE SALUD OSORNO"/>
    <s v="Bienes y Servicios"/>
    <x v="107"/>
    <s v="Proyecto operacional"/>
    <s v="Enviado"/>
    <s v="22.04.999"/>
    <x v="108"/>
    <s v="Se requiere la adquisición de artículos promocionales para fortalecer la imagen corporativa de la Comunidad, incluyendo lienzos y pendones con información institucional y de contacto. También se contemplan trofeos, galardones, bolsas y suvenires personalizados con la identidad visual de la organización, con el fin de mantener coherencia en la comunicación institucional y reforzar el reconocimiento de la Comunidad en actividades, eventos y campañas de promoción."/>
    <n v="4"/>
    <s v="Bolsas Ecologicas"/>
    <n v="4"/>
    <n v="500"/>
    <n v="600"/>
    <n v="300000"/>
    <x v="4"/>
    <x v="32"/>
    <x v="43"/>
    <x v="48"/>
    <s v="64-2335492-"/>
    <s v="CAROLINA.SILVALL@REDSALUD.GOB.CL"/>
    <x v="21"/>
    <m/>
    <n v="0"/>
    <m/>
    <n v="0"/>
    <n v="0"/>
    <m/>
    <x v="1"/>
    <x v="4"/>
  </r>
  <r>
    <s v="SERVICIO DE SALUD OSORNO"/>
    <s v="Bienes y Servicios"/>
    <x v="107"/>
    <s v="Proyecto operacional"/>
    <s v="Enviado"/>
    <s v="22.04.999"/>
    <x v="108"/>
    <s v="Se requiere la adquisición de artículos promocionales para fortalecer la imagen corporativa de la Comunidad, incluyendo lienzos y pendones con información institucional y de contacto. También se contemplan trofeos, galardones, bolsas y suvenires personalizados con la identidad visual de la organización, con el fin de mantener coherencia en la comunicación institucional y reforzar el reconocimiento de la Comunidad en actividades, eventos y campañas de promoción."/>
    <n v="4"/>
    <s v="Pendon"/>
    <n v="4"/>
    <n v="2"/>
    <n v="75000"/>
    <n v="150000"/>
    <x v="4"/>
    <x v="35"/>
    <x v="43"/>
    <x v="48"/>
    <s v="64-2335492-"/>
    <s v="CAROLINA.SILVALL@REDSALUD.GOB.CL"/>
    <x v="13"/>
    <m/>
    <n v="0"/>
    <m/>
    <n v="0"/>
    <n v="0"/>
    <m/>
    <x v="1"/>
    <x v="4"/>
  </r>
  <r>
    <s v="SERVICIO DE SALUD OSORNO"/>
    <s v="Bienes y Servicios"/>
    <x v="107"/>
    <s v="Proyecto operacional"/>
    <s v="Enviado"/>
    <s v="22.04.999"/>
    <x v="108"/>
    <s v="Se requiere la adquisición de artículos promocionales para fortalecer la imagen corporativa de la Comunidad, incluyendo lienzos y pendones con información institucional y de contacto. También se contemplan trofeos, galardones, bolsas y suvenires personalizados con la identidad visual de la organización, con el fin de mantener coherencia en la comunicación institucional y reforzar el reconocimiento de la Comunidad en actividades, eventos y campañas de promoción."/>
    <n v="4"/>
    <s v="Merchandising Publicidad"/>
    <n v="4"/>
    <n v="1550"/>
    <n v="691"/>
    <n v="1071050"/>
    <x v="4"/>
    <x v="32"/>
    <x v="43"/>
    <x v="48"/>
    <s v="64-2335492-"/>
    <s v="CAROLINA.SILVALL@REDSALUD.GOB.CL"/>
    <x v="21"/>
    <m/>
    <n v="0"/>
    <m/>
    <n v="0"/>
    <n v="0"/>
    <m/>
    <x v="1"/>
    <x v="4"/>
  </r>
  <r>
    <s v="SERVICIO DE SALUD OSORNO"/>
    <s v="Bienes y Servicios"/>
    <x v="108"/>
    <s v="Proyecto operacional"/>
    <s v="Enviado"/>
    <s v="22.01.001"/>
    <x v="109"/>
    <s v="Compra de Servicio de Cafetería para asistentes a Jornada de Humanización del Trato Usuario, dirigido a 50 participantes, jornada AM - PM."/>
    <n v="1"/>
    <s v="Cafeteria"/>
    <n v="4"/>
    <n v="100"/>
    <n v="4000"/>
    <n v="400000"/>
    <x v="4"/>
    <x v="33"/>
    <x v="45"/>
    <x v="49"/>
    <s v="64-2335775-"/>
    <s v="daniela.barriaa@redsalud.gob.cl"/>
    <x v="22"/>
    <m/>
    <n v="0"/>
    <m/>
    <n v="0"/>
    <n v="0"/>
    <m/>
    <x v="1"/>
    <x v="4"/>
  </r>
  <r>
    <s v="SERVICIO DE SALUD OSORNO"/>
    <s v="Bienes y Servicios"/>
    <x v="109"/>
    <s v="Proyecto operacional"/>
    <s v="Enviado"/>
    <s v="22.04.999"/>
    <x v="110"/>
    <s v="Se requiere en Enero la compra de una despensa con cierre para resguardo y protección de equipos Notebook y Celulares del Cosam"/>
    <n v="1"/>
    <s v="Mueble"/>
    <n v="4"/>
    <n v="1"/>
    <n v="130000"/>
    <n v="130000"/>
    <x v="4"/>
    <x v="35"/>
    <x v="44"/>
    <x v="24"/>
    <s v="64-2335610-"/>
    <s v="pedro.fritz@redsalud.gob.cl"/>
    <x v="13"/>
    <m/>
    <n v="0"/>
    <m/>
    <n v="0"/>
    <n v="0"/>
    <m/>
    <x v="1"/>
    <x v="4"/>
  </r>
  <r>
    <s v="SERVICIO DE SALUD OSORNO"/>
    <s v="Administración de Fondos"/>
    <x v="110"/>
    <s v="Proyecto operacional"/>
    <s v="Enviado"/>
    <s v="22.04.014"/>
    <x v="111"/>
    <s v="Se espera adquisición para el mes de enero del 2026 para dar inicio a intervenciones desde febrero a diciembre."/>
    <n v="2"/>
    <s v="Material Yoga"/>
    <n v="4"/>
    <n v="20"/>
    <n v="5250"/>
    <n v="105000"/>
    <x v="4"/>
    <x v="35"/>
    <x v="44"/>
    <x v="24"/>
    <s v="64-2335610-"/>
    <s v="pedro.fritz@redsalud.gob.cl"/>
    <x v="13"/>
    <m/>
    <n v="0"/>
    <m/>
    <n v="0"/>
    <n v="0"/>
    <m/>
    <x v="1"/>
    <x v="2"/>
  </r>
  <r>
    <s v="SERVICIO DE SALUD OSORNO"/>
    <s v="Administración de Fondos"/>
    <x v="110"/>
    <s v="Proyecto operacional"/>
    <s v="Enviado"/>
    <s v="22.04.014"/>
    <x v="111"/>
    <s v="Se espera adquisición para el mes de enero del 2026 para dar inicio a intervenciones desde febrero a diciembre."/>
    <n v="2"/>
    <s v="Frazadas"/>
    <n v="4"/>
    <n v="10"/>
    <n v="4500"/>
    <n v="45000"/>
    <x v="4"/>
    <x v="35"/>
    <x v="44"/>
    <x v="24"/>
    <s v="64-2335610-"/>
    <s v="pedro.fritz@redsalud.gob.cl"/>
    <x v="13"/>
    <m/>
    <n v="0"/>
    <m/>
    <n v="0"/>
    <n v="0"/>
    <m/>
    <x v="1"/>
    <x v="2"/>
  </r>
  <r>
    <s v="SERVICIO DE SALUD OSORNO"/>
    <s v="Administración de Fondos"/>
    <x v="111"/>
    <s v="Proyecto operacional"/>
    <s v="Enviado"/>
    <s v="22.01.001"/>
    <x v="112"/>
    <s v="La actividad se realizará en el mes de agosto del 2026, por lo que las compras deberían estar un mes antes para preparar los recuerdos y material para ese día."/>
    <n v="2"/>
    <s v="Alimentación"/>
    <n v="4"/>
    <n v="32"/>
    <n v="1181"/>
    <n v="37792"/>
    <x v="4"/>
    <x v="33"/>
    <x v="44"/>
    <x v="24"/>
    <s v="64-2335610-"/>
    <s v="pedro.fritz@redsalud.gob.cl"/>
    <x v="22"/>
    <m/>
    <n v="0"/>
    <m/>
    <n v="0"/>
    <n v="0"/>
    <m/>
    <x v="1"/>
    <x v="2"/>
  </r>
  <r>
    <s v="SERVICIO DE SALUD OSORNO"/>
    <s v="Administración de Fondos"/>
    <x v="111"/>
    <s v="Proyecto operacional"/>
    <s v="Enviado"/>
    <s v="22.01.001"/>
    <x v="112"/>
    <s v="La actividad se realizará en el mes de agosto del 2026, por lo que las compras deberían estar un mes antes para preparar los recuerdos y material para ese día."/>
    <n v="2"/>
    <s v="Material Didactico"/>
    <n v="4"/>
    <n v="9"/>
    <n v="3889"/>
    <n v="35001"/>
    <x v="4"/>
    <x v="33"/>
    <x v="44"/>
    <x v="24"/>
    <s v="64-2335610-"/>
    <s v="pedro.fritz@redsalud.gob.cl"/>
    <x v="22"/>
    <m/>
    <n v="0"/>
    <m/>
    <n v="0"/>
    <n v="0"/>
    <m/>
    <x v="1"/>
    <x v="2"/>
  </r>
  <r>
    <s v="SERVICIO DE SALUD OSORNO"/>
    <s v="Administración de Fondos"/>
    <x v="112"/>
    <s v="Proyecto operacional"/>
    <s v="Enviado"/>
    <s v="22.04.999"/>
    <x v="113"/>
    <s v="La actividad de fiestas patrias 2026 se desarrollará en el mes de septiembre, por lo que se recomienda realizar la compra un mes antes, en este ítem y para la ejecución de dicho evento se requiere insumos para decorar y alimentación para los usuarios y sus familias, quienes son el público objetivo."/>
    <n v="3"/>
    <s v="Material Decoración"/>
    <n v="4"/>
    <n v="78"/>
    <n v="949"/>
    <n v="74022"/>
    <x v="4"/>
    <x v="36"/>
    <x v="44"/>
    <x v="24"/>
    <s v="64-2335610-"/>
    <s v="pedro.fritz@redsalud.gob.cl"/>
    <x v="24"/>
    <m/>
    <n v="0"/>
    <m/>
    <n v="0"/>
    <n v="0"/>
    <m/>
    <x v="1"/>
    <x v="2"/>
  </r>
  <r>
    <s v="SERVICIO DE SALUD OSORNO"/>
    <s v="Administración de Fondos"/>
    <x v="112"/>
    <s v="Proyecto operacional"/>
    <s v="Enviado"/>
    <s v="22.04.999"/>
    <x v="113"/>
    <s v="La actividad de fiestas patrias 2026 se desarrollará en el mes de septiembre, por lo que se recomienda realizar la compra un mes antes, en este ítem y para la ejecución de dicho evento se requiere insumos para decorar y alimentación para los usuarios y sus familias, quienes son el público objetivo."/>
    <n v="3"/>
    <s v="Servicio Cafeteria"/>
    <n v="4"/>
    <n v="1"/>
    <n v="500000"/>
    <n v="500000"/>
    <x v="4"/>
    <x v="36"/>
    <x v="44"/>
    <x v="24"/>
    <s v="64-2335610-"/>
    <s v="pedro.fritz@redsalud.gob.cl"/>
    <x v="24"/>
    <m/>
    <n v="0"/>
    <m/>
    <n v="0"/>
    <n v="0"/>
    <m/>
    <x v="1"/>
    <x v="2"/>
  </r>
  <r>
    <s v="SERVICIO DE SALUD OSORNO"/>
    <s v="Administración de Fondos"/>
    <x v="112"/>
    <s v="Proyecto operacional"/>
    <s v="Enviado"/>
    <s v="22.04.999"/>
    <x v="113"/>
    <s v="La actividad de fiestas patrias 2026 se desarrollará en el mes de septiembre, por lo que se recomienda realizar la compra un mes antes, en este ítem y para la ejecución de dicho evento se requiere insumos para decorar y alimentación para los usuarios y sus familias, quienes son el público objetivo."/>
    <n v="3"/>
    <s v="Menaje"/>
    <n v="4"/>
    <n v="10"/>
    <n v="1500"/>
    <n v="15000"/>
    <x v="4"/>
    <x v="36"/>
    <x v="44"/>
    <x v="24"/>
    <s v="64-2335610-"/>
    <s v="pedro.fritz@redsalud.gob.cl"/>
    <x v="24"/>
    <m/>
    <n v="0"/>
    <m/>
    <n v="0"/>
    <n v="0"/>
    <m/>
    <x v="1"/>
    <x v="2"/>
  </r>
  <r>
    <s v="SERVICIO DE SALUD OSORNO"/>
    <s v="Administración de Fondos"/>
    <x v="113"/>
    <s v="Proyecto operacional"/>
    <s v="Enviado"/>
    <s v="22.04.002"/>
    <x v="114"/>
    <s v="La Intervención psicosocial grupal se desarrollará desde abril del 2026, a cargo de profesional de cosam oriente, y está enmarcada en 2 ciclos anuales para diferentes personas, cada ciclo constan de 4 meses en total, y finaliza con una presentación."/>
    <n v="1"/>
    <s v="Guitarra"/>
    <n v="4"/>
    <n v="6"/>
    <n v="50000"/>
    <n v="300000"/>
    <x v="4"/>
    <x v="32"/>
    <x v="44"/>
    <x v="24"/>
    <s v="64-2335610-"/>
    <s v="pedro.fritz@redsalud.gob.cl"/>
    <x v="21"/>
    <m/>
    <n v="0"/>
    <m/>
    <n v="0"/>
    <n v="0"/>
    <m/>
    <x v="1"/>
    <x v="2"/>
  </r>
  <r>
    <s v="SERVICIO DE SALUD OSORNO"/>
    <s v="Bienes y Servicios"/>
    <x v="114"/>
    <s v="Proyecto operacional"/>
    <s v="Enviado"/>
    <s v="22.04.001"/>
    <x v="115"/>
    <s v="COMPRA DE MATERIALES DE OFICINA QUE NO SE ENCUENTRA DISPONIBLE EN BODEGA DE INSUMOS DE OFICINA, TALES COMO: PAQUETE DE MICAS TRANSPARENTES TAMAÑO CARTA PAQUETE DE MICAS TRANSPARENTES, TIJERAS GRANDES PARA CORTAR PLANOS TIJERAS DE OFICINA, CORCHETERAS, PORTA PLANOS, TERMOLAMINADORA, ENTRE OTROS."/>
    <n v="1"/>
    <s v="Papeleria"/>
    <n v="4"/>
    <n v="177"/>
    <n v="2091"/>
    <n v="370107"/>
    <x v="4"/>
    <x v="35"/>
    <x v="46"/>
    <x v="50"/>
    <s v="64-2335764-"/>
    <s v="yanet.gutierrez@redsalud.gob.cl"/>
    <x v="13"/>
    <m/>
    <n v="0"/>
    <m/>
    <n v="0"/>
    <n v="0"/>
    <m/>
    <x v="1"/>
    <x v="4"/>
  </r>
  <r>
    <s v="SERVICIO DE SALUD OSORNO"/>
    <s v="Bienes y Servicios"/>
    <x v="115"/>
    <s v="Proyecto operacional"/>
    <s v="Enviado"/>
    <s v="22.11.003"/>
    <x v="116"/>
    <s v="Desarrollar el estudio y modelación estructural del actual COSAM Oriente, de tal forma de evaluar una ampliación para la normalización del edificio al estándar MINSAL actual."/>
    <n v="1"/>
    <s v="Consultorias"/>
    <n v="4"/>
    <n v="1"/>
    <n v="3000000"/>
    <n v="3000000"/>
    <x v="4"/>
    <x v="31"/>
    <x v="39"/>
    <x v="44"/>
    <s v="64-2335843-"/>
    <s v="mario.barrientos@redsalud.gob.cl"/>
    <x v="20"/>
    <m/>
    <n v="0"/>
    <m/>
    <n v="0"/>
    <n v="0"/>
    <m/>
    <x v="1"/>
    <x v="4"/>
  </r>
  <r>
    <s v="SERVICIO DE SALUD OSORNO"/>
    <s v="Bienes y Servicios"/>
    <x v="116"/>
    <s v="Proyecto operacional"/>
    <s v="Enviado"/>
    <s v="22.04.002"/>
    <x v="117"/>
    <s v="Artículos para uso en los talleres de Terapia Ocupacional en unidades Residencial y Ambulatorio. Que tengan durabilidad, higiene, que cumplan funciones de estimulación, que sean seguros, que el tamaño vaya de acuerdo a la edad para la cual esté dirigido y que la forma facilite la manipulación, diseño adecuado para todos los beneficiarios, Sin olvidar la buena calidad. EJECUCIÓN: JULIO 2026"/>
    <n v="1"/>
    <s v="Material Educativo"/>
    <n v="4"/>
    <n v="26"/>
    <n v="18154"/>
    <n v="472004"/>
    <x v="4"/>
    <x v="33"/>
    <x v="43"/>
    <x v="48"/>
    <s v="64-2335492-"/>
    <s v="CAROLINA.SILVALL@REDSALUD.GOB.CL"/>
    <x v="22"/>
    <m/>
    <n v="0"/>
    <m/>
    <n v="0"/>
    <n v="0"/>
    <m/>
    <x v="1"/>
    <x v="4"/>
  </r>
  <r>
    <s v="SERVICIO DE SALUD OSORNO"/>
    <s v="Bienes y Servicios"/>
    <x v="117"/>
    <s v="Proyecto operacional"/>
    <s v="Enviado"/>
    <s v="22.04.999"/>
    <x v="118"/>
    <s v="Se requiere la adquisición de una cubierta textil o lona de alta resistencia para su instalación en jardines y áreas abiertas del establecimiento. Su finalidad es brindar protección ante radiación solar y condiciones climáticas, favoreciendo el uso seguro y confortable de los espacios exteriores. El material deberá ser lona acrílica impermeable, transpirable y duradera, resistente al sol, viento y lluvia, con estructura estable y apta para espacios institucionales. EJECUCION MARZO 2026"/>
    <n v="1"/>
    <s v="Toldo"/>
    <n v="4"/>
    <n v="4"/>
    <n v="150000"/>
    <n v="600000"/>
    <x v="4"/>
    <x v="32"/>
    <x v="43"/>
    <x v="48"/>
    <s v="64-2335492-"/>
    <s v="CAROLINA.SILVALL@REDSALUD.GOB.CL"/>
    <x v="21"/>
    <m/>
    <n v="0"/>
    <m/>
    <n v="0"/>
    <n v="0"/>
    <m/>
    <x v="1"/>
    <x v="4"/>
  </r>
  <r>
    <s v="SERVICIO DE SALUD OSORNO"/>
    <s v="Bienes y Servicios"/>
    <x v="118"/>
    <s v="Proyecto operacional"/>
    <s v="Enviado"/>
    <s v="22.04.012"/>
    <x v="119"/>
    <s v="Se requiere la adquisición de materiales para mantenciones y reparaciones en la unidad de salud con el fin de asegurar el correcto funcionamiento de las instalaciones, equipos e infraestructura, garantizando condiciones seguras y adecuadas para la atención de usuarios y el trabajo del personal. Estos insumos permiten realizar reparaciones oportunas, prevenir deterioros mayores, mantener la continuidad operativa y cumplir con las normas de seguridad y salud laboral establecidas."/>
    <n v="3"/>
    <s v="Mantenciones"/>
    <n v="4"/>
    <n v="28"/>
    <n v="132143"/>
    <n v="3700004"/>
    <x v="4"/>
    <x v="31"/>
    <x v="43"/>
    <x v="48"/>
    <s v="64-2335492-"/>
    <s v="CAROLINA.SILVALL@REDSALUD.GOB.CL"/>
    <x v="20"/>
    <m/>
    <n v="0"/>
    <m/>
    <n v="0"/>
    <n v="0"/>
    <m/>
    <x v="1"/>
    <x v="4"/>
  </r>
  <r>
    <s v="SERVICIO DE SALUD OSORNO"/>
    <s v="Bienes y Servicios"/>
    <x v="118"/>
    <s v="Proyecto operacional"/>
    <s v="Enviado"/>
    <s v="22.04.012"/>
    <x v="119"/>
    <s v="Se requiere la adquisición de materiales para mantenciones y reparaciones en la unidad de salud con el fin de asegurar el correcto funcionamiento de las instalaciones, equipos e infraestructura, garantizando condiciones seguras y adecuadas para la atención de usuarios y el trabajo del personal. Estos insumos permiten realizar reparaciones oportunas, prevenir deterioros mayores, mantener la continuidad operativa y cumplir con las normas de seguridad y salud laboral establecidas."/>
    <n v="3"/>
    <s v="Repuestos"/>
    <n v="4"/>
    <n v="60"/>
    <n v="36667"/>
    <n v="2200020"/>
    <x v="4"/>
    <x v="31"/>
    <x v="43"/>
    <x v="48"/>
    <s v="64-2335492-"/>
    <s v="CAROLINA.SILVALL@REDSALUD.GOB.CL"/>
    <x v="20"/>
    <m/>
    <n v="0"/>
    <m/>
    <n v="0"/>
    <n v="0"/>
    <m/>
    <x v="1"/>
    <x v="4"/>
  </r>
  <r>
    <s v="SERVICIO DE SALUD OSORNO"/>
    <s v="Bienes y Servicios"/>
    <x v="118"/>
    <s v="Proyecto operacional"/>
    <s v="Enviado"/>
    <s v="22.04.012"/>
    <x v="119"/>
    <s v="Se requiere la adquisición de materiales para mantenciones y reparaciones en la unidad de salud con el fin de asegurar el correcto funcionamiento de las instalaciones, equipos e infraestructura, garantizando condiciones seguras y adecuadas para la atención de usuarios y el trabajo del personal. Estos insumos permiten realizar reparaciones oportunas, prevenir deterioros mayores, mantener la continuidad operativa y cumplir con las normas de seguridad y salud laboral establecidas."/>
    <n v="3"/>
    <s v="Servicio"/>
    <n v="4"/>
    <n v="2"/>
    <n v="100000"/>
    <n v="200000"/>
    <x v="4"/>
    <x v="31"/>
    <x v="43"/>
    <x v="48"/>
    <s v="64-2335492-"/>
    <s v="CAROLINA.SILVALL@REDSALUD.GOB.CL"/>
    <x v="20"/>
    <m/>
    <n v="0"/>
    <m/>
    <n v="0"/>
    <n v="0"/>
    <m/>
    <x v="1"/>
    <x v="4"/>
  </r>
  <r>
    <s v="SERVICIO DE SALUD OSORNO"/>
    <s v="Bienes y Servicios"/>
    <x v="119"/>
    <s v="Proyecto operacional"/>
    <s v="Enviado"/>
    <s v="22.04.009"/>
    <x v="120"/>
    <s v="Se requiere la adquisición de repuestos e insumos computacionales para garantizar el correcto funcionamiento de los equipos tecnológicos de la unidad de salud, asegurando la continuidad de los servicios administrativos, clínicos y de registro de información. Estos insumos permiten reparar, mantener y optimizar el desempeño de computadores, impresoras y otros dispositivos electrónicos, reduciendo tiempos de inactividad, previniendo fallas mayores y asegurando eficiencia, seguridad y confiabilidad en los procesos del establecimiento."/>
    <n v="3"/>
    <s v="Insumos Computacionales"/>
    <n v="4"/>
    <n v="31"/>
    <n v="33226"/>
    <n v="1030006"/>
    <x v="4"/>
    <x v="24"/>
    <x v="43"/>
    <x v="48"/>
    <s v="64-2335492-"/>
    <s v="CAROLINA.SILVALL@REDSALUD.GOB.CL"/>
    <x v="14"/>
    <m/>
    <n v="0"/>
    <m/>
    <n v="0"/>
    <n v="0"/>
    <m/>
    <x v="1"/>
    <x v="4"/>
  </r>
  <r>
    <s v="SERVICIO DE SALUD OSORNO"/>
    <s v="Bienes y Servicios"/>
    <x v="119"/>
    <s v="Proyecto operacional"/>
    <s v="Enviado"/>
    <s v="22.04.009"/>
    <x v="120"/>
    <s v="Se requiere la adquisición de repuestos e insumos computacionales para garantizar el correcto funcionamiento de los equipos tecnológicos de la unidad de salud, asegurando la continuidad de los servicios administrativos, clínicos y de registro de información. Estos insumos permiten reparar, mantener y optimizar el desempeño de computadores, impresoras y otros dispositivos electrónicos, reduciendo tiempos de inactividad, previniendo fallas mayores y asegurando eficiencia, seguridad y confiabilidad en los procesos del establecimiento."/>
    <n v="3"/>
    <s v="WI FI"/>
    <n v="4"/>
    <n v="12"/>
    <n v="75000"/>
    <n v="900000"/>
    <x v="4"/>
    <x v="35"/>
    <x v="43"/>
    <x v="48"/>
    <s v="64-2335492-"/>
    <s v="CAROLINA.SILVALL@REDSALUD.GOB.CL"/>
    <x v="13"/>
    <m/>
    <n v="0"/>
    <m/>
    <n v="0"/>
    <n v="0"/>
    <m/>
    <x v="1"/>
    <x v="4"/>
  </r>
  <r>
    <s v="SERVICIO DE SALUD OSORNO"/>
    <s v="Bienes y Servicios"/>
    <x v="119"/>
    <s v="Proyecto operacional"/>
    <s v="Enviado"/>
    <s v="22.04.009"/>
    <x v="120"/>
    <s v="Se requiere la adquisición de repuestos e insumos computacionales para garantizar el correcto funcionamiento de los equipos tecnológicos de la unidad de salud, asegurando la continuidad de los servicios administrativos, clínicos y de registro de información. Estos insumos permiten reparar, mantener y optimizar el desempeño de computadores, impresoras y otros dispositivos electrónicos, reduciendo tiempos de inactividad, previniendo fallas mayores y asegurando eficiencia, seguridad y confiabilidad en los procesos del establecimiento."/>
    <n v="3"/>
    <s v="Repuestos"/>
    <n v="4"/>
    <n v="20"/>
    <n v="40000"/>
    <n v="800000"/>
    <x v="4"/>
    <x v="25"/>
    <x v="43"/>
    <x v="48"/>
    <s v="64-2335492-"/>
    <s v="CAROLINA.SILVALL@REDSALUD.GOB.CL"/>
    <x v="15"/>
    <m/>
    <n v="0"/>
    <m/>
    <n v="0"/>
    <n v="0"/>
    <m/>
    <x v="1"/>
    <x v="4"/>
  </r>
  <r>
    <s v="SERVICIO DE SALUD OSORNO"/>
    <s v="Bienes y Servicios"/>
    <x v="120"/>
    <s v="Proyecto estratégico"/>
    <s v="Enviado"/>
    <s v="22.04.003.002"/>
    <x v="121"/>
    <s v="INSUMOS PARA EXAMENES DE LABORATORIO TIPO POC, CON ARRIENDO DE EQUIPOS, PARA HOSPITAL PUERTO OCTAY, HOSPITAL RIO NEGRO, HOSPITAL PU MULEN QUILACAHUIN, HOSPITAL FUKA SRUKA LAWENCHE KUNKO MAPU MO Y SAR CHUYACA. MES DE EJECUCION DE LA COMPRA SE REQUIERE PARA JULIO DEL 2026, CON DURACION DE 12 MESES."/>
    <n v="1"/>
    <s v="Convenio Kit Point"/>
    <n v="4"/>
    <n v="1"/>
    <n v="75000000"/>
    <n v="31250000"/>
    <x v="11"/>
    <x v="40"/>
    <x v="15"/>
    <x v="51"/>
    <s v="64-2335827-"/>
    <s v="sofiav.reyes@redsalud.gob.cl"/>
    <x v="22"/>
    <m/>
    <n v="0"/>
    <m/>
    <n v="0"/>
    <n v="0"/>
    <m/>
    <x v="1"/>
    <x v="4"/>
  </r>
  <r>
    <s v="SERVICIO DE SALUD OSORNO"/>
    <s v="Bienes y Servicios"/>
    <x v="121"/>
    <s v="Proyecto operacional"/>
    <s v="Enviado"/>
    <s v="22.04.999"/>
    <x v="122"/>
    <s v="Con motivo de conmemorar el Día Mundial de la Actividad Física (6 de abril) y el Día Mundial de la Salud (7 de abril), la Unidad SAFU invita a participar a los funcionarios de los diferentes Servicios/Establecimientos/Dispositivos de la Red SSO para que envíen un video que muestre una pausa activa en su trabajo, ya sea una rutina simple de ejercicios o un baile entretenido en grupo. La pausa activa más creativa será premiada con un ?set de pausas activas?, que incluye herramientas para desarrollar pausas activas en su lugar de trabajo."/>
    <n v="1"/>
    <s v="Instrumentos Deportivos"/>
    <n v="4"/>
    <n v="50"/>
    <n v="4000"/>
    <n v="200000"/>
    <x v="4"/>
    <x v="32"/>
    <x v="47"/>
    <x v="52"/>
    <s v="64-2337097-"/>
    <s v="marcia.delarze@redsalud.gob.cl"/>
    <x v="21"/>
    <m/>
    <n v="0"/>
    <m/>
    <n v="0"/>
    <n v="0"/>
    <m/>
    <x v="1"/>
    <x v="4"/>
  </r>
  <r>
    <s v="SERVICIO DE SALUD OSORNO"/>
    <s v="Bienes y Servicios"/>
    <x v="122"/>
    <s v="Proyecto operacional"/>
    <s v="Enviado"/>
    <s v="22.01.001"/>
    <x v="123"/>
    <s v="Plan de compras para el año 2026 lo que contempla inducción de médicos u odontólogos EDF contratados por el art. 8° de la ley N° 19.664 , profesionales que retornan a iniciar su periodo asistencial obligatorio y procesos de inducción para profesionales funcionarios que ingresan a nuestro Servicio. Para esto se requiere: Servicio de cafetería para jornadas de inducción Servicio de Mudanza para Profesionales EDF/Becados Publicación de Avisos de Llamado a Consultores"/>
    <n v="7"/>
    <s v="Alimentación"/>
    <n v="4"/>
    <n v="1"/>
    <n v="107000"/>
    <n v="107000"/>
    <x v="4"/>
    <x v="38"/>
    <x v="48"/>
    <x v="53"/>
    <s v="64-2335767-"/>
    <s v="jocelyne.prieto@redsalud.gob.cl"/>
    <x v="19"/>
    <m/>
    <n v="0"/>
    <m/>
    <n v="0"/>
    <n v="0"/>
    <m/>
    <x v="1"/>
    <x v="4"/>
  </r>
  <r>
    <s v="SERVICIO DE SALUD OSORNO"/>
    <s v="Bienes y Servicios"/>
    <x v="122"/>
    <s v="Proyecto operacional"/>
    <s v="Enviado"/>
    <s v="22.01.001"/>
    <x v="123"/>
    <s v="Plan de compras para el año 2026 lo que contempla inducción de médicos u odontólogos EDF contratados por el art. 8° de la ley N° 19.664 , profesionales que retornan a iniciar su periodo asistencial obligatorio y procesos de inducción para profesionales funcionarios que ingresan a nuestro Servicio. Para esto se requiere: Servicio de cafetería para jornadas de inducción Servicio de Mudanza para Profesionales EDF/Becados Publicación de Avisos de Llamado a Consultores"/>
    <n v="7"/>
    <s v="Servicio Cafeteria"/>
    <n v="4"/>
    <n v="3"/>
    <n v="466667"/>
    <n v="1400001"/>
    <x v="4"/>
    <x v="31"/>
    <x v="48"/>
    <x v="53"/>
    <s v="64-2335767-"/>
    <s v="jocelyne.prieto@redsalud.gob.cl"/>
    <x v="20"/>
    <m/>
    <n v="0"/>
    <m/>
    <n v="0"/>
    <n v="0"/>
    <m/>
    <x v="1"/>
    <x v="4"/>
  </r>
  <r>
    <s v="SERVICIO DE SALUD OSORNO"/>
    <s v="Bienes y Servicios"/>
    <x v="122"/>
    <s v="Proyecto operacional"/>
    <s v="Enviado"/>
    <s v="22.01.001"/>
    <x v="123"/>
    <s v="Plan de compras para el año 2026 lo que contempla inducción de médicos u odontólogos EDF contratados por el art. 8° de la ley N° 19.664 , profesionales que retornan a iniciar su periodo asistencial obligatorio y procesos de inducción para profesionales funcionarios que ingresan a nuestro Servicio. Para esto se requiere: Servicio de cafetería para jornadas de inducción Servicio de Mudanza para Profesionales EDF/Becados Publicación de Avisos de Llamado a Consultores"/>
    <n v="7"/>
    <s v="Servicio Traslado"/>
    <n v="4"/>
    <n v="30"/>
    <n v="1500000"/>
    <n v="45000000"/>
    <x v="4"/>
    <x v="31"/>
    <x v="48"/>
    <x v="53"/>
    <s v="64-2335767-"/>
    <s v="jocelyne.prieto@redsalud.gob.cl"/>
    <x v="20"/>
    <m/>
    <n v="0"/>
    <m/>
    <n v="0"/>
    <n v="0"/>
    <m/>
    <x v="1"/>
    <x v="4"/>
  </r>
  <r>
    <s v="SERVICIO DE SALUD OSORNO"/>
    <s v="Bienes y Servicios"/>
    <x v="122"/>
    <s v="Proyecto operacional"/>
    <s v="Enviado"/>
    <s v="22.01.001"/>
    <x v="123"/>
    <s v="Plan de compras para el año 2026 lo que contempla inducción de médicos u odontólogos EDF contratados por el art. 8° de la ley N° 19.664 , profesionales que retornan a iniciar su periodo asistencial obligatorio y procesos de inducción para profesionales funcionarios que ingresan a nuestro Servicio. Para esto se requiere: Servicio de cafetería para jornadas de inducción Servicio de Mudanza para Profesionales EDF/Becados Publicación de Avisos de Llamado a Consultores"/>
    <n v="7"/>
    <s v="Pendrive"/>
    <n v="4"/>
    <n v="25"/>
    <n v="1000"/>
    <n v="25000"/>
    <x v="4"/>
    <x v="31"/>
    <x v="48"/>
    <x v="53"/>
    <s v="64-2335767-"/>
    <s v="jocelyne.prieto@redsalud.gob.cl"/>
    <x v="20"/>
    <m/>
    <n v="0"/>
    <m/>
    <n v="0"/>
    <n v="0"/>
    <m/>
    <x v="1"/>
    <x v="4"/>
  </r>
  <r>
    <s v="SERVICIO DE SALUD OSORNO"/>
    <s v="Bienes y Servicios"/>
    <x v="122"/>
    <s v="Proyecto operacional"/>
    <s v="Enviado"/>
    <s v="22.01.001"/>
    <x v="123"/>
    <s v="Plan de compras para el año 2026 lo que contempla inducción de médicos u odontólogos EDF contratados por el art. 8° de la ley N° 19.664 , profesionales que retornan a iniciar su periodo asistencial obligatorio y procesos de inducción para profesionales funcionarios que ingresan a nuestro Servicio. Para esto se requiere: Servicio de cafetería para jornadas de inducción Servicio de Mudanza para Profesionales EDF/Becados Publicación de Avisos de Llamado a Consultores"/>
    <n v="7"/>
    <s v="Materiales de Oficina"/>
    <n v="4"/>
    <n v="50"/>
    <n v="300"/>
    <n v="15000"/>
    <x v="4"/>
    <x v="38"/>
    <x v="48"/>
    <x v="53"/>
    <s v="64-2335767-"/>
    <s v="jocelyne.prieto@redsalud.gob.cl"/>
    <x v="19"/>
    <m/>
    <n v="0"/>
    <m/>
    <n v="0"/>
    <n v="0"/>
    <m/>
    <x v="1"/>
    <x v="4"/>
  </r>
  <r>
    <s v="SERVICIO DE SALUD OSORNO"/>
    <s v="Bienes y Servicios"/>
    <x v="122"/>
    <s v="Proyecto operacional"/>
    <s v="Enviado"/>
    <s v="22.01.001"/>
    <x v="123"/>
    <s v="Plan de compras para el año 2026 lo que contempla inducción de médicos u odontólogos EDF contratados por el art. 8° de la ley N° 19.664 , profesionales que retornan a iniciar su periodo asistencial obligatorio y procesos de inducción para profesionales funcionarios que ingresan a nuestro Servicio. Para esto se requiere: Servicio de cafetería para jornadas de inducción Servicio de Mudanza para Profesionales EDF/Becados Publicación de Avisos de Llamado a Consultores"/>
    <n v="7"/>
    <s v="Publicación Diario"/>
    <n v="4"/>
    <n v="2"/>
    <n v="60000"/>
    <n v="120000"/>
    <x v="4"/>
    <x v="28"/>
    <x v="48"/>
    <x v="53"/>
    <s v="64-2335767-"/>
    <s v="jocelyne.prieto@redsalud.gob.cl"/>
    <x v="18"/>
    <m/>
    <n v="0"/>
    <m/>
    <n v="0"/>
    <n v="0"/>
    <m/>
    <x v="1"/>
    <x v="4"/>
  </r>
  <r>
    <s v="SERVICIO DE SALUD OSORNO"/>
    <s v="Bienes y Servicios"/>
    <x v="122"/>
    <s v="Proyecto operacional"/>
    <s v="Enviado"/>
    <s v="22.01.001"/>
    <x v="123"/>
    <s v="Plan de compras para el año 2026 lo que contempla inducción de médicos u odontólogos EDF contratados por el art. 8° de la ley N° 19.664 , profesionales que retornan a iniciar su periodo asistencial obligatorio y procesos de inducción para profesionales funcionarios que ingresan a nuestro Servicio. Para esto se requiere: Servicio de cafetería para jornadas de inducción Servicio de Mudanza para Profesionales EDF/Becados Publicación de Avisos de Llamado a Consultores"/>
    <n v="7"/>
    <s v="Menaje Cafeteria"/>
    <n v="4"/>
    <n v="200"/>
    <n v="50"/>
    <n v="10000"/>
    <x v="4"/>
    <x v="38"/>
    <x v="48"/>
    <x v="53"/>
    <s v="64-2335767-"/>
    <s v="jocelyne.prieto@redsalud.gob.cl"/>
    <x v="19"/>
    <m/>
    <n v="0"/>
    <m/>
    <n v="0"/>
    <n v="0"/>
    <m/>
    <x v="1"/>
    <x v="4"/>
  </r>
  <r>
    <s v="SERVICIO DE SALUD OSORNO"/>
    <s v="Administración de Fondos"/>
    <x v="123"/>
    <s v="Proyecto operacional"/>
    <s v="Enviado"/>
    <s v="22.01.001"/>
    <x v="124"/>
    <s v="El Festival Navideño se realizará en el mes de diciembre, por lo que las compras deberían estar en noviembre, para poder organizar los recuerdos y actividades a realizar en este evento, además de la comida que se va a entregar a los invitados. Es una actividad de cierre de año y de reflexión en torno a lo realizado en las vidas de los usuarios y sus familiares"/>
    <n v="4"/>
    <s v="Servicio Cafeteria"/>
    <n v="4"/>
    <n v="1"/>
    <n v="250000"/>
    <n v="250000"/>
    <x v="4"/>
    <x v="28"/>
    <x v="44"/>
    <x v="24"/>
    <s v="64-2335610-"/>
    <s v="pedro.fritz@redsalud.gob.cl"/>
    <x v="18"/>
    <m/>
    <n v="0"/>
    <m/>
    <n v="0"/>
    <n v="0"/>
    <m/>
    <x v="1"/>
    <x v="2"/>
  </r>
  <r>
    <s v="SERVICIO DE SALUD OSORNO"/>
    <s v="Administración de Fondos"/>
    <x v="123"/>
    <s v="Proyecto operacional"/>
    <s v="Enviado"/>
    <s v="22.01.001"/>
    <x v="124"/>
    <s v="El Festival Navideño se realizará en el mes de diciembre, por lo que las compras deberían estar en noviembre, para poder organizar los recuerdos y actividades a realizar en este evento, además de la comida que se va a entregar a los invitados. Es una actividad de cierre de año y de reflexión en torno a lo realizado en las vidas de los usuarios y sus familiares"/>
    <n v="4"/>
    <s v="Alimentación"/>
    <n v="4"/>
    <n v="110"/>
    <n v="775"/>
    <n v="85250"/>
    <x v="4"/>
    <x v="28"/>
    <x v="44"/>
    <x v="24"/>
    <s v="64-2335610-"/>
    <s v="pedro.fritz@redsalud.gob.cl"/>
    <x v="18"/>
    <m/>
    <n v="0"/>
    <m/>
    <n v="0"/>
    <n v="0"/>
    <m/>
    <x v="1"/>
    <x v="2"/>
  </r>
  <r>
    <s v="SERVICIO DE SALUD OSORNO"/>
    <s v="Administración de Fondos"/>
    <x v="123"/>
    <s v="Proyecto operacional"/>
    <s v="Enviado"/>
    <s v="22.01.001"/>
    <x v="124"/>
    <s v="El Festival Navideño se realizará en el mes de diciembre, por lo que las compras deberían estar en noviembre, para poder organizar los recuerdos y actividades a realizar en este evento, además de la comida que se va a entregar a los invitados. Es una actividad de cierre de año y de reflexión en torno a lo realizado en las vidas de los usuarios y sus familiares"/>
    <n v="4"/>
    <s v="Material de Enseñanza"/>
    <n v="4"/>
    <n v="31"/>
    <n v="1320"/>
    <n v="40920"/>
    <x v="4"/>
    <x v="28"/>
    <x v="44"/>
    <x v="24"/>
    <s v="64-2335610-"/>
    <s v="pedro.fritz@redsalud.gob.cl"/>
    <x v="18"/>
    <m/>
    <n v="0"/>
    <m/>
    <n v="0"/>
    <n v="0"/>
    <m/>
    <x v="1"/>
    <x v="2"/>
  </r>
  <r>
    <s v="SERVICIO DE SALUD OSORNO"/>
    <s v="Administración de Fondos"/>
    <x v="123"/>
    <s v="Proyecto operacional"/>
    <s v="Enviado"/>
    <s v="22.01.001"/>
    <x v="124"/>
    <s v="El Festival Navideño se realizará en el mes de diciembre, por lo que las compras deberían estar en noviembre, para poder organizar los recuerdos y actividades a realizar en este evento, además de la comida que se va a entregar a los invitados. Es una actividad de cierre de año y de reflexión en torno a lo realizado en las vidas de los usuarios y sus familiares"/>
    <n v="4"/>
    <s v="Bolsas Regalo"/>
    <n v="4"/>
    <n v="30"/>
    <n v="790"/>
    <n v="23700"/>
    <x v="4"/>
    <x v="28"/>
    <x v="44"/>
    <x v="24"/>
    <s v="64-2335610-"/>
    <s v="pedro.fritz@redsalud.gob.cl"/>
    <x v="18"/>
    <m/>
    <n v="0"/>
    <m/>
    <n v="0"/>
    <n v="0"/>
    <m/>
    <x v="1"/>
    <x v="2"/>
  </r>
  <r>
    <s v="SERVICIO DE SALUD OSORNO"/>
    <s v="Administración de Fondos"/>
    <x v="124"/>
    <s v="Proyecto operacional"/>
    <s v="Enviado"/>
    <s v="22.04.002"/>
    <x v="125"/>
    <s v="Idealmente en enero ya contar con los materiales."/>
    <n v="1"/>
    <s v="Material de Enseñanza"/>
    <n v="4"/>
    <n v="26"/>
    <n v="6116"/>
    <n v="159016"/>
    <x v="4"/>
    <x v="35"/>
    <x v="44"/>
    <x v="24"/>
    <s v="64-2335610-"/>
    <s v="pedro.fritz@redsalud.gob.cl"/>
    <x v="13"/>
    <m/>
    <n v="0"/>
    <m/>
    <n v="0"/>
    <n v="0"/>
    <m/>
    <x v="1"/>
    <x v="2"/>
  </r>
  <r>
    <s v="SERVICIO DE SALUD OSORNO"/>
    <s v="Bienes y Servicios"/>
    <x v="125"/>
    <s v="Proyecto operacional"/>
    <s v="Enviado"/>
    <s v="22.04.003"/>
    <x v="126"/>
    <s v="COMPRA DE KITS PARA DETECCION DE VIRUS Y BACTERIAS RESPIRATORIAS POR METODO MOLECULAR RAPIDO (POC MOLECULAR) QUE PERMITIRAN A HPO, HRN Y HPU OTORGAR PRESTACIONES DE LABORATORIO RELATIVAS A LA DETECCION DE INFECCIONES RESPIRATORIAS POR METODOS RAPIDOS Y ALTAMENTE ESPECIFICOS/SENSIBLES. SE REQUIERE QUE LA COMPRA SE REALICE EN MAYO DEL 2026, CON RECURSOS DE LA CAMPAÑA DE INVIERNO DEL AÑO 2026, CON DURACION DEL CONVENIO POR 12 MESES."/>
    <n v="1"/>
    <s v="Convenio Kit Point"/>
    <n v="4"/>
    <n v="1"/>
    <n v="35000000"/>
    <n v="23333328"/>
    <x v="11"/>
    <x v="41"/>
    <x v="49"/>
    <x v="51"/>
    <s v="64-2335827-"/>
    <s v="sofiav.reyes@redsalud.gob.cl"/>
    <x v="20"/>
    <m/>
    <n v="0"/>
    <m/>
    <n v="0"/>
    <n v="0"/>
    <m/>
    <x v="1"/>
    <x v="4"/>
  </r>
  <r>
    <s v="SERVICIO DE SALUD OSORNO"/>
    <s v="Administración de Fondos"/>
    <x v="126"/>
    <s v="Proyecto operacional"/>
    <s v="Enviado"/>
    <s v="22.01.001.002"/>
    <x v="127"/>
    <s v="Se requiere contar con los insumos en los siguientes meses: Febrero, Marzo, Abril, Mayo, Junio, Julio, Agosto y Noviembre"/>
    <n v="3"/>
    <s v="Servicio Cafeteria"/>
    <n v="4"/>
    <n v="2"/>
    <n v="350000"/>
    <n v="700000"/>
    <x v="4"/>
    <x v="38"/>
    <x v="44"/>
    <x v="24"/>
    <s v="64-2335610-"/>
    <s v="pedro.fritz@redsalud.gob.cl"/>
    <x v="19"/>
    <m/>
    <n v="0"/>
    <m/>
    <n v="0"/>
    <n v="0"/>
    <m/>
    <x v="1"/>
    <x v="2"/>
  </r>
  <r>
    <s v="SERVICIO DE SALUD OSORNO"/>
    <s v="Administración de Fondos"/>
    <x v="126"/>
    <s v="Proyecto operacional"/>
    <s v="Enviado"/>
    <s v="22.01.001.002"/>
    <x v="127"/>
    <s v="Se requiere contar con los insumos en los siguientes meses: Febrero, Marzo, Abril, Mayo, Junio, Julio, Agosto y Noviembre"/>
    <n v="3"/>
    <s v="Alimentación"/>
    <n v="4"/>
    <n v="173"/>
    <n v="2267"/>
    <n v="392191"/>
    <x v="4"/>
    <x v="38"/>
    <x v="44"/>
    <x v="24"/>
    <s v="64-2335610-"/>
    <s v="pedro.fritz@redsalud.gob.cl"/>
    <x v="19"/>
    <m/>
    <n v="0"/>
    <m/>
    <n v="0"/>
    <n v="0"/>
    <m/>
    <x v="1"/>
    <x v="2"/>
  </r>
  <r>
    <s v="SERVICIO DE SALUD OSORNO"/>
    <s v="Administración de Fondos"/>
    <x v="126"/>
    <s v="Proyecto operacional"/>
    <s v="Enviado"/>
    <s v="22.01.001.002"/>
    <x v="127"/>
    <s v="Se requiere contar con los insumos en los siguientes meses: Febrero, Marzo, Abril, Mayo, Junio, Julio, Agosto y Noviembre"/>
    <n v="3"/>
    <s v="Menaje"/>
    <n v="4"/>
    <n v="400"/>
    <n v="99"/>
    <n v="39600"/>
    <x v="4"/>
    <x v="38"/>
    <x v="44"/>
    <x v="24"/>
    <s v="64-2335610-"/>
    <s v="pedro.fritz@redsalud.gob.cl"/>
    <x v="19"/>
    <m/>
    <n v="0"/>
    <m/>
    <n v="0"/>
    <n v="0"/>
    <m/>
    <x v="1"/>
    <x v="2"/>
  </r>
  <r>
    <s v="SERVICIO DE SALUD OSORNO"/>
    <s v="Bienes y Servicios"/>
    <x v="127"/>
    <s v="Proyecto operacional"/>
    <s v="Enviado"/>
    <s v="22.04.999"/>
    <x v="128"/>
    <s v="Adquirir productos para realización de medicina integrativa en los/las funcionarios/as que se atiendas en SAFU, por lo cual, para dar continuidad a los tratamientos realizados, el mes de ejecución de la compra debe ser realizado en enero 2026 , el cual estará vigente hasta diciembre 2026."/>
    <n v="1"/>
    <s v="Aromaterapia"/>
    <n v="4"/>
    <n v="1328"/>
    <n v="513"/>
    <n v="681264"/>
    <x v="4"/>
    <x v="35"/>
    <x v="50"/>
    <x v="54"/>
    <s v="64-2337034-"/>
    <s v="lhya.kortmann@redsalud.gob.cl"/>
    <x v="13"/>
    <m/>
    <n v="0"/>
    <m/>
    <n v="0"/>
    <n v="0"/>
    <m/>
    <x v="1"/>
    <x v="4"/>
  </r>
  <r>
    <s v="SERVICIO DE SALUD OSORNO"/>
    <s v="Bienes y Servicios"/>
    <x v="128"/>
    <s v="Proyecto operacional"/>
    <s v="Enviado"/>
    <s v="22.04.007"/>
    <x v="129"/>
    <s v="COMPRA DE INSUMOS PARA USUARIOS DEL PROGRAMA ATENCIÓN DOMICILIARIA PARA PERSONAS CON DEPENDENCIA SEVERA. LA COMPRA SE REALIZARÁ EN EL MES DE ABRIL, SEGÚN DISTRIBUCIÓN DE RECURSOS FINANCIEROS."/>
    <n v="3"/>
    <s v="Producto de Aseo"/>
    <n v="4"/>
    <n v="750"/>
    <n v="2230"/>
    <n v="1672500"/>
    <x v="4"/>
    <x v="24"/>
    <x v="51"/>
    <x v="55"/>
    <s v="64-2335818-"/>
    <s v="camila.alvarez@redsalud.gob.cl"/>
    <x v="14"/>
    <m/>
    <n v="0"/>
    <m/>
    <n v="0"/>
    <n v="0"/>
    <m/>
    <x v="1"/>
    <x v="4"/>
  </r>
  <r>
    <s v="SERVICIO DE SALUD OSORNO"/>
    <s v="Bienes y Servicios"/>
    <x v="128"/>
    <s v="Proyecto operacional"/>
    <s v="Enviado"/>
    <s v="22.04.007"/>
    <x v="129"/>
    <s v="COMPRA DE INSUMOS PARA USUARIOS DEL PROGRAMA ATENCIÓN DOMICILIARIA PARA PERSONAS CON DEPENDENCIA SEVERA. LA COMPRA SE REALIZARÁ EN EL MES DE ABRIL, SEGÚN DISTRIBUCIÓN DE RECURSOS FINANCIEROS."/>
    <n v="3"/>
    <s v="Pañales"/>
    <n v="4"/>
    <n v="702"/>
    <n v="11618"/>
    <n v="8155836"/>
    <x v="4"/>
    <x v="24"/>
    <x v="51"/>
    <x v="55"/>
    <s v="64-2335818-"/>
    <s v="camila.alvarez@redsalud.gob.cl"/>
    <x v="14"/>
    <m/>
    <n v="0"/>
    <m/>
    <n v="0"/>
    <n v="0"/>
    <m/>
    <x v="1"/>
    <x v="4"/>
  </r>
  <r>
    <s v="SERVICIO DE SALUD OSORNO"/>
    <s v="Bienes y Servicios"/>
    <x v="128"/>
    <s v="Proyecto operacional"/>
    <s v="Enviado"/>
    <s v="22.04.007"/>
    <x v="129"/>
    <s v="COMPRA DE INSUMOS PARA USUARIOS DEL PROGRAMA ATENCIÓN DOMICILIARIA PARA PERSONAS CON DEPENDENCIA SEVERA. LA COMPRA SE REALIZARÁ EN EL MES DE ABRIL, SEGÚN DISTRIBUCIÓN DE RECURSOS FINANCIEROS."/>
    <n v="3"/>
    <s v="Crema"/>
    <n v="4"/>
    <n v="200"/>
    <n v="10875"/>
    <n v="2175000"/>
    <x v="4"/>
    <x v="24"/>
    <x v="51"/>
    <x v="55"/>
    <s v="64-2335818-"/>
    <s v="camila.alvarez@redsalud.gob.cl"/>
    <x v="14"/>
    <m/>
    <n v="0"/>
    <m/>
    <n v="0"/>
    <n v="0"/>
    <m/>
    <x v="1"/>
    <x v="4"/>
  </r>
  <r>
    <s v="SERVICIO DE SALUD OSORNO"/>
    <s v="Bienes y Servicios"/>
    <x v="129"/>
    <s v="Proyecto operacional"/>
    <s v="Enviado"/>
    <s v="22.04.001"/>
    <x v="130"/>
    <s v="Compra se ejecutará en Marzo 2026."/>
    <n v="2"/>
    <s v="Material de Oficina"/>
    <n v="4"/>
    <n v="3248"/>
    <n v="157"/>
    <n v="509936"/>
    <x v="4"/>
    <x v="32"/>
    <x v="52"/>
    <x v="56"/>
    <s v="64-2335811-"/>
    <s v="eleuterio.roman@redsalud.gob.cl"/>
    <x v="21"/>
    <m/>
    <n v="0"/>
    <m/>
    <n v="0"/>
    <n v="0"/>
    <m/>
    <x v="1"/>
    <x v="4"/>
  </r>
  <r>
    <s v="SERVICIO DE SALUD OSORNO"/>
    <s v="Bienes y Servicios"/>
    <x v="129"/>
    <s v="Proyecto operacional"/>
    <s v="Enviado"/>
    <s v="22.04.001"/>
    <x v="130"/>
    <s v="Compra se ejecutará en Marzo 2026."/>
    <n v="2"/>
    <s v="Toner"/>
    <n v="4"/>
    <n v="4"/>
    <n v="12000"/>
    <n v="48000"/>
    <x v="4"/>
    <x v="32"/>
    <x v="52"/>
    <x v="56"/>
    <s v="64-2335811-"/>
    <s v="eleuterio.roman@redsalud.gob.cl"/>
    <x v="21"/>
    <m/>
    <n v="0"/>
    <m/>
    <n v="0"/>
    <n v="0"/>
    <m/>
    <x v="1"/>
    <x v="4"/>
  </r>
  <r>
    <s v="SERVICIO DE SALUD OSORNO"/>
    <s v="Bienes y Servicios"/>
    <x v="130"/>
    <s v="Proyecto operacional"/>
    <s v="Enviado"/>
    <s v="22.04.999"/>
    <x v="131"/>
    <s v="Ejecutar actividad de Zumba dirigida a funcionarios/as y comunidad en conmemoración al mes del corazón (Agosto 2026), además de entregar colaciones saludables y premios posterior a la realización de la actividad. Actividad inserta en Programa Apoyo a la Gestión en establecimiento dependientes - componente Salud Cardiovascular (Presupuesto 2026)."/>
    <n v="3"/>
    <s v="Instructora"/>
    <n v="4"/>
    <n v="2"/>
    <n v="110000"/>
    <n v="220000"/>
    <x v="4"/>
    <x v="36"/>
    <x v="53"/>
    <x v="57"/>
    <s v="64-2337032-"/>
    <s v="daniela.cancino01@redsalud.gob.cl"/>
    <x v="24"/>
    <m/>
    <n v="0"/>
    <m/>
    <n v="0"/>
    <n v="0"/>
    <m/>
    <x v="1"/>
    <x v="4"/>
  </r>
  <r>
    <s v="SERVICIO DE SALUD OSORNO"/>
    <s v="Bienes y Servicios"/>
    <x v="130"/>
    <s v="Proyecto operacional"/>
    <s v="Enviado"/>
    <s v="22.04.999"/>
    <x v="131"/>
    <s v="Ejecutar actividad de Zumba dirigida a funcionarios/as y comunidad en conmemoración al mes del corazón (Agosto 2026), además de entregar colaciones saludables y premios posterior a la realización de la actividad. Actividad inserta en Programa Apoyo a la Gestión en establecimiento dependientes - componente Salud Cardiovascular (Presupuesto 2026)."/>
    <n v="3"/>
    <s v="Alimentación"/>
    <n v="4"/>
    <n v="240"/>
    <n v="771"/>
    <n v="185040"/>
    <x v="4"/>
    <x v="36"/>
    <x v="53"/>
    <x v="57"/>
    <s v="64-2337032-"/>
    <s v="daniela.cancino01@redsalud.gob.cl"/>
    <x v="24"/>
    <m/>
    <n v="0"/>
    <m/>
    <n v="0"/>
    <n v="0"/>
    <m/>
    <x v="1"/>
    <x v="4"/>
  </r>
  <r>
    <s v="SERVICIO DE SALUD OSORNO"/>
    <s v="Bienes y Servicios"/>
    <x v="130"/>
    <s v="Proyecto operacional"/>
    <s v="Enviado"/>
    <s v="22.04.999"/>
    <x v="131"/>
    <s v="Ejecutar actividad de Zumba dirigida a funcionarios/as y comunidad en conmemoración al mes del corazón (Agosto 2026), además de entregar colaciones saludables y premios posterior a la realización de la actividad. Actividad inserta en Programa Apoyo a la Gestión en establecimiento dependientes - componente Salud Cardiovascular (Presupuesto 2026)."/>
    <n v="3"/>
    <s v="Decoración"/>
    <n v="4"/>
    <n v="220"/>
    <n v="1228"/>
    <n v="270160"/>
    <x v="4"/>
    <x v="36"/>
    <x v="53"/>
    <x v="57"/>
    <s v="64-2337032-"/>
    <s v="daniela.cancino01@redsalud.gob.cl"/>
    <x v="24"/>
    <m/>
    <n v="0"/>
    <m/>
    <n v="0"/>
    <n v="0"/>
    <m/>
    <x v="1"/>
    <x v="4"/>
  </r>
  <r>
    <s v="SERVICIO DE SALUD OSORNO"/>
    <s v="Bienes y Servicios"/>
    <x v="131"/>
    <s v="Proyecto operacional"/>
    <s v="Enviado"/>
    <s v="22.06.001"/>
    <x v="132"/>
    <s v="Mes en el que se deberá gestionar FSC es febrero 2026. la mantención se considera 1 vez en el año."/>
    <n v="1"/>
    <s v="Mantencion"/>
    <n v="4"/>
    <n v="9"/>
    <n v="77778"/>
    <n v="700002"/>
    <x v="4"/>
    <x v="38"/>
    <x v="44"/>
    <x v="58"/>
    <s v="64-2335588-"/>
    <s v="roberto.nunez@redsalud.gob.cl"/>
    <x v="19"/>
    <m/>
    <n v="0"/>
    <m/>
    <n v="0"/>
    <n v="0"/>
    <m/>
    <x v="1"/>
    <x v="4"/>
  </r>
  <r>
    <s v="SERVICIO DE SALUD OSORNO"/>
    <s v="Bienes y Servicios"/>
    <x v="132"/>
    <s v="Proyecto operacional"/>
    <s v="Enviado"/>
    <s v="22.06.001"/>
    <x v="133"/>
    <s v="Febrero, marzo, abril año 2026. El trabajo se debe hacer en 3 meses son 12 estacionamientos, se debe realizar de a 4 por motivo de no congestionar espacios destinados a estacionamientos"/>
    <n v="1"/>
    <s v="Mantencion"/>
    <n v="4"/>
    <n v="12"/>
    <n v="583334"/>
    <n v="7000008"/>
    <x v="4"/>
    <x v="38"/>
    <x v="44"/>
    <x v="58"/>
    <s v="64-2335588-"/>
    <s v="roberto.nunez@redsalud.gob.cl"/>
    <x v="19"/>
    <m/>
    <n v="0"/>
    <m/>
    <n v="0"/>
    <n v="0"/>
    <m/>
    <x v="1"/>
    <x v="4"/>
  </r>
  <r>
    <s v="SERVICIO DE SALUD OSORNO"/>
    <s v="Bienes y Servicios"/>
    <x v="133"/>
    <s v="Proyecto operacional"/>
    <s v="Enviado"/>
    <s v="22.06.001"/>
    <x v="134"/>
    <s v="marzo 2026, corresponde a 1 trabajo que se debe ejecutar"/>
    <n v="1"/>
    <s v="Mantencion"/>
    <n v="4"/>
    <n v="1"/>
    <n v="800000"/>
    <n v="800000"/>
    <x v="4"/>
    <x v="32"/>
    <x v="44"/>
    <x v="58"/>
    <s v="64-2335588-"/>
    <s v="roberto.nunez@redsalud.gob.cl"/>
    <x v="21"/>
    <m/>
    <n v="0"/>
    <m/>
    <n v="0"/>
    <n v="0"/>
    <m/>
    <x v="1"/>
    <x v="4"/>
  </r>
  <r>
    <s v="SERVICIO DE SALUD OSORNO"/>
    <s v="Bienes y Servicios"/>
    <x v="134"/>
    <s v="Proyecto operacional"/>
    <s v="Enviado"/>
    <s v="22.06.001"/>
    <x v="135"/>
    <s v="Se deberá ejecutar en marzo 2026, es un sólo trabajo"/>
    <n v="1"/>
    <s v="Mantencion"/>
    <n v="4"/>
    <n v="1"/>
    <n v="3500000"/>
    <n v="3500000"/>
    <x v="4"/>
    <x v="38"/>
    <x v="44"/>
    <x v="58"/>
    <s v="64-2335588-"/>
    <s v="roberto.nunez@redsalud.gob.cl"/>
    <x v="19"/>
    <m/>
    <n v="0"/>
    <m/>
    <n v="0"/>
    <n v="0"/>
    <m/>
    <x v="1"/>
    <x v="4"/>
  </r>
  <r>
    <s v="SERVICIO DE SALUD OSORNO"/>
    <s v="Bienes y Servicios"/>
    <x v="135"/>
    <s v="Proyecto operacional"/>
    <s v="Enviado"/>
    <s v="22.06.001"/>
    <x v="136"/>
    <s v="Se deberá ejecutar en marzo 2026, corresponde a 1 trabajo"/>
    <n v="1"/>
    <s v="Mantencion"/>
    <n v="4"/>
    <n v="1"/>
    <n v="2000000"/>
    <n v="2000000"/>
    <x v="4"/>
    <x v="32"/>
    <x v="44"/>
    <x v="58"/>
    <s v="64-2335588-"/>
    <s v="roberto.nunez@redsalud.gob.cl"/>
    <x v="21"/>
    <m/>
    <n v="0"/>
    <m/>
    <n v="0"/>
    <n v="0"/>
    <m/>
    <x v="1"/>
    <x v="4"/>
  </r>
  <r>
    <s v="SERVICIO DE SALUD OSORNO"/>
    <s v="Bienes y Servicios"/>
    <x v="136"/>
    <s v="Proyecto operacional"/>
    <s v="Enviado"/>
    <s v="22.06.001"/>
    <x v="137"/>
    <s v="Se deberá ejecutar en abril 2026, El trabajo se hace 1 vez"/>
    <n v="1"/>
    <s v="Mantencion"/>
    <n v="4"/>
    <n v="6"/>
    <n v="133334"/>
    <n v="800004"/>
    <x v="4"/>
    <x v="24"/>
    <x v="44"/>
    <x v="58"/>
    <s v="64-2335588-"/>
    <s v="roberto.nunez@redsalud.gob.cl"/>
    <x v="14"/>
    <m/>
    <n v="0"/>
    <m/>
    <n v="0"/>
    <n v="0"/>
    <m/>
    <x v="1"/>
    <x v="4"/>
  </r>
  <r>
    <s v="SERVICIO DE SALUD OSORNO"/>
    <s v="Bienes y Servicios"/>
    <x v="137"/>
    <s v="Proyecto operacional"/>
    <s v="Enviado"/>
    <s v="22.06.001"/>
    <x v="138"/>
    <s v="Se deberá ejecutar en Enero 2026. Corresponde a un trabajo"/>
    <n v="1"/>
    <s v="Mantencion"/>
    <n v="4"/>
    <n v="1"/>
    <n v="600000"/>
    <n v="600000"/>
    <x v="4"/>
    <x v="35"/>
    <x v="44"/>
    <x v="58"/>
    <s v="64-2335588-"/>
    <s v="roberto.nunez@redsalud.gob.cl"/>
    <x v="13"/>
    <m/>
    <n v="0"/>
    <m/>
    <n v="0"/>
    <n v="0"/>
    <m/>
    <x v="1"/>
    <x v="4"/>
  </r>
  <r>
    <s v="SERVICIO DE SALUD OSORNO"/>
    <s v="Bienes y Servicios"/>
    <x v="138"/>
    <s v="Proyecto operacional"/>
    <s v="Enviado"/>
    <s v="22.06.001"/>
    <x v="139"/>
    <s v="Se deberá ejecutar en julio 2026, corresponde a una obra de adecuación."/>
    <n v="1"/>
    <s v="Mantencion"/>
    <n v="4"/>
    <n v="1"/>
    <n v="4000000"/>
    <n v="4000000"/>
    <x v="4"/>
    <x v="33"/>
    <x v="44"/>
    <x v="58"/>
    <s v="64-2335588-"/>
    <s v="roberto.nunez@redsalud.gob.cl"/>
    <x v="22"/>
    <m/>
    <n v="0"/>
    <m/>
    <n v="0"/>
    <n v="0"/>
    <m/>
    <x v="1"/>
    <x v="4"/>
  </r>
  <r>
    <s v="SERVICIO DE SALUD OSORNO"/>
    <s v="Bienes y Servicios"/>
    <x v="139"/>
    <s v="Proyecto operacional"/>
    <s v="Enviado"/>
    <s v="22.06.001"/>
    <x v="140"/>
    <s v="Ejecución en marzo 2026. Corresponde a 1 trabajo."/>
    <n v="1"/>
    <s v="Mantencion"/>
    <n v="4"/>
    <n v="1"/>
    <n v="5500000"/>
    <n v="5500000"/>
    <x v="4"/>
    <x v="32"/>
    <x v="44"/>
    <x v="58"/>
    <s v="64-2335588-"/>
    <s v="roberto.nunez@redsalud.gob.cl"/>
    <x v="21"/>
    <m/>
    <n v="0"/>
    <m/>
    <n v="0"/>
    <n v="0"/>
    <m/>
    <x v="1"/>
    <x v="4"/>
  </r>
  <r>
    <s v="SERVICIO DE SALUD OSORNO"/>
    <s v="Bienes y Servicios"/>
    <x v="140"/>
    <s v="Proyecto operacional"/>
    <s v="Enviado"/>
    <s v="22.06.001"/>
    <x v="141"/>
    <s v="Ejecución en abril 2026, corresponde a 1 solo trabajo"/>
    <n v="1"/>
    <s v="Mantencion"/>
    <n v="4"/>
    <n v="1"/>
    <n v="3000000"/>
    <n v="3000000"/>
    <x v="4"/>
    <x v="24"/>
    <x v="44"/>
    <x v="58"/>
    <s v="64-2335588-"/>
    <s v="roberto.nunez@redsalud.gob.cl"/>
    <x v="14"/>
    <m/>
    <n v="0"/>
    <m/>
    <n v="0"/>
    <n v="0"/>
    <m/>
    <x v="1"/>
    <x v="4"/>
  </r>
  <r>
    <s v="SERVICIO DE SALUD OSORNO"/>
    <s v="Bienes y Servicios"/>
    <x v="141"/>
    <s v="Proyecto operacional"/>
    <s v="Enviado"/>
    <s v="22.04.001"/>
    <x v="142"/>
    <s v="El talonario para licencias médicas es un suministro de formularios de papel que los médicos pueden solicitar a través de la COMPIN. Si bien la emisión de licencias médicas electrónicas es obligatoria desde enero de 2021, existen excepciones que requieren el uso de papel, como cuando hay error en la lectura de la huella del prestador , intermitencia de la plataforma, etc..., por lo cual, se requiere adquirir estos talonarios de licencia médica a través de COMPIN , donde el mes de ejecución de la compra es enero 2026."/>
    <n v="1"/>
    <s v="Material de Oficina"/>
    <n v="4"/>
    <n v="4"/>
    <n v="15000"/>
    <n v="60000"/>
    <x v="4"/>
    <x v="35"/>
    <x v="50"/>
    <x v="54"/>
    <s v="64-2335663-"/>
    <s v="lhya.kortmann@redsalud.gob.cl"/>
    <x v="13"/>
    <m/>
    <n v="0"/>
    <m/>
    <n v="0"/>
    <n v="0"/>
    <m/>
    <x v="1"/>
    <x v="4"/>
  </r>
  <r>
    <s v="SERVICIO DE SALUD OSORNO"/>
    <s v="Bienes y Servicios"/>
    <x v="142"/>
    <s v="Proyecto operacional"/>
    <s v="Enviado"/>
    <s v="22.06.001"/>
    <x v="143"/>
    <s v="Junio 2026, corresponde a 1 trabajo"/>
    <n v="1"/>
    <s v="Mantencion"/>
    <n v="4"/>
    <n v="1"/>
    <n v="1500000"/>
    <n v="1500000"/>
    <x v="4"/>
    <x v="25"/>
    <x v="44"/>
    <x v="58"/>
    <s v="64-2335588-"/>
    <s v="roberto.nunez@redsalud.gob.cl"/>
    <x v="22"/>
    <m/>
    <n v="0"/>
    <m/>
    <n v="0"/>
    <n v="0"/>
    <m/>
    <x v="1"/>
    <x v="4"/>
  </r>
  <r>
    <s v="SERVICIO DE SALUD OSORNO"/>
    <s v="Bienes y Servicios"/>
    <x v="143"/>
    <s v="Proyecto operacional"/>
    <s v="Enviado"/>
    <s v="22.03.003"/>
    <x v="144"/>
    <s v="El insumo se deberá adquiquir de la siguiente forma: 600 bolsas de pellet 15kg en marzo, 500 bolsas de pellet 15kg en mayo, 600 bolsas de pellet 15kg en julio y 700 bolsas de pellet 15kg en septiembre"/>
    <n v="1"/>
    <s v="Pellet"/>
    <n v="4"/>
    <n v="2500"/>
    <n v="7000"/>
    <n v="17500000"/>
    <x v="7"/>
    <x v="42"/>
    <x v="44"/>
    <x v="58"/>
    <s v="64-2335588-"/>
    <s v="roberto.nunez@redsalud.gob.cl"/>
    <x v="21"/>
    <m/>
    <n v="0"/>
    <m/>
    <n v="0"/>
    <n v="0"/>
    <m/>
    <x v="1"/>
    <x v="4"/>
  </r>
  <r>
    <s v="SERVICIO DE SALUD OSORNO"/>
    <s v="Bienes y Servicios"/>
    <x v="144"/>
    <s v="Proyecto operacional"/>
    <s v="Enviado"/>
    <s v="22.03.999"/>
    <x v="145"/>
    <s v="Se deberá adquirir en mayo 2026, se comprará una sola vez."/>
    <n v="1"/>
    <s v="Combustibles"/>
    <n v="4"/>
    <n v="700"/>
    <n v="2600"/>
    <n v="1820000"/>
    <x v="4"/>
    <x v="31"/>
    <x v="44"/>
    <x v="58"/>
    <s v="64-2335588-"/>
    <s v="roberto.nunez@redsalud.gob.cl"/>
    <x v="20"/>
    <m/>
    <n v="0"/>
    <m/>
    <n v="0"/>
    <n v="0"/>
    <m/>
    <x v="1"/>
    <x v="4"/>
  </r>
  <r>
    <s v="SERVICIO DE SALUD OSORNO"/>
    <s v="Bienes y Servicios"/>
    <x v="145"/>
    <s v="Proyecto operacional"/>
    <s v="Enviado"/>
    <s v="22.06.001"/>
    <x v="146"/>
    <s v="julio 2026. Corresponde a compra de insumos."/>
    <n v="1"/>
    <s v="Mantencion"/>
    <n v="4"/>
    <n v="60"/>
    <n v="20000"/>
    <n v="1200000"/>
    <x v="4"/>
    <x v="32"/>
    <x v="44"/>
    <x v="58"/>
    <s v="64-2335588-"/>
    <s v="roberto.nunez@redsalud.gob.cl"/>
    <x v="21"/>
    <m/>
    <n v="0"/>
    <m/>
    <n v="0"/>
    <n v="0"/>
    <m/>
    <x v="1"/>
    <x v="4"/>
  </r>
  <r>
    <s v="SERVICIO DE SALUD OSORNO"/>
    <s v="Bienes y Servicios"/>
    <x v="146"/>
    <s v="Proyecto operacional"/>
    <s v="Enviado"/>
    <s v="22.06.001"/>
    <x v="147"/>
    <s v="Junio 2026. Corresponde a 1 trabajo."/>
    <n v="1"/>
    <s v="Mantencion"/>
    <n v="4"/>
    <n v="36"/>
    <n v="69445"/>
    <n v="2500020"/>
    <x v="4"/>
    <x v="25"/>
    <x v="44"/>
    <x v="58"/>
    <s v="64-2335588-"/>
    <s v="roberto.nunez@redsalud.gob.cl"/>
    <x v="15"/>
    <m/>
    <n v="0"/>
    <m/>
    <n v="0"/>
    <n v="0"/>
    <m/>
    <x v="1"/>
    <x v="4"/>
  </r>
  <r>
    <s v="SERVICIO DE SALUD OSORNO"/>
    <s v="Bienes y Servicios"/>
    <x v="147"/>
    <s v="Proyecto operacional"/>
    <s v="Enviado"/>
    <s v="22.06.001"/>
    <x v="148"/>
    <s v="Dejar operativas puertas comunes, puertas de emergencia y puerta doble acceso a pasillo clínico)."/>
    <n v="1"/>
    <s v="Mantenimiento"/>
    <n v="4"/>
    <n v="25"/>
    <n v="100000"/>
    <n v="2500000"/>
    <x v="4"/>
    <x v="36"/>
    <x v="44"/>
    <x v="58"/>
    <s v="64-2335588-"/>
    <s v="roberto.nunez@redsalud.gob.cl"/>
    <x v="24"/>
    <m/>
    <n v="0"/>
    <m/>
    <n v="0"/>
    <n v="0"/>
    <m/>
    <x v="1"/>
    <x v="4"/>
  </r>
  <r>
    <s v="SERVICIO DE SALUD OSORNO"/>
    <s v="Bienes y Servicios"/>
    <x v="148"/>
    <s v="Proyecto operacional"/>
    <s v="Enviado"/>
    <s v="22.06.001"/>
    <x v="149"/>
    <s v="Agosto 2026."/>
    <n v="1"/>
    <s v="Mantencion"/>
    <n v="4"/>
    <n v="160"/>
    <n v="15625"/>
    <n v="2500000"/>
    <x v="4"/>
    <x v="36"/>
    <x v="44"/>
    <x v="58"/>
    <s v="64-2335588-"/>
    <s v="roberto.nunez@redsalud.gob.cl"/>
    <x v="24"/>
    <m/>
    <n v="0"/>
    <m/>
    <n v="0"/>
    <n v="0"/>
    <m/>
    <x v="1"/>
    <x v="4"/>
  </r>
  <r>
    <s v="SERVICIO DE SALUD OSORNO"/>
    <s v="Bienes y Servicios"/>
    <x v="149"/>
    <s v="Proyecto operacional"/>
    <s v="Enviado"/>
    <s v="22.08.007"/>
    <x v="150"/>
    <s v="SE REQUIERE EL SERVICIO DE MOVILIZACIÓN PARA COSAM ORIENTE A PARTIR DE ENERO A DICIEMBRE DEL 2027"/>
    <n v="1"/>
    <s v="Movilización"/>
    <n v="4"/>
    <n v="1"/>
    <n v="18300000"/>
    <n v="0"/>
    <x v="11"/>
    <x v="43"/>
    <x v="44"/>
    <x v="24"/>
    <s v="64-2335610-"/>
    <s v="pedro.fritz@redsalud.gob.cl"/>
    <x v="18"/>
    <m/>
    <n v="0"/>
    <m/>
    <n v="0"/>
    <n v="0"/>
    <m/>
    <x v="1"/>
    <x v="4"/>
  </r>
  <r>
    <s v="SERVICIO DE SALUD OSORNO"/>
    <s v="Administración de Fondos"/>
    <x v="150"/>
    <s v="Proyecto operacional"/>
    <s v="Enviado"/>
    <s v="29.05.001"/>
    <x v="151"/>
    <s v="QUE LOS FUNCIONARIOS/AS TENGANUN ENTORNO LABORAL ADECUADO PARA EL DESARROLLO DE SUS FUNCIONES. Inicio de ejecucion Marzo del 2026 hasta noviembre 2026"/>
    <n v="2"/>
    <s v="Equipos"/>
    <n v="4"/>
    <n v="1"/>
    <n v="21200000"/>
    <n v="21200000"/>
    <x v="4"/>
    <x v="32"/>
    <x v="54"/>
    <x v="59"/>
    <s v="64-2336339-"/>
    <s v="kassandra.fernandez@redsalud.gob.cl"/>
    <x v="21"/>
    <m/>
    <n v="0"/>
    <m/>
    <n v="0"/>
    <n v="0"/>
    <m/>
    <x v="1"/>
    <x v="2"/>
  </r>
  <r>
    <s v="SERVICIO DE SALUD OSORNO"/>
    <s v="Administración de Fondos"/>
    <x v="150"/>
    <s v="Proyecto operacional"/>
    <s v="Enviado"/>
    <s v="29.05.001"/>
    <x v="151"/>
    <s v="QUE LOS FUNCIONARIOS/AS TENGANUN ENTORNO LABORAL ADECUADO PARA EL DESARROLLO DE SUS FUNCIONES. Inicio de ejecucion Marzo del 2026 hasta noviembre 2026"/>
    <n v="2"/>
    <s v="Alimentación"/>
    <n v="4"/>
    <n v="1"/>
    <n v="9200000"/>
    <n v="9200000"/>
    <x v="4"/>
    <x v="32"/>
    <x v="54"/>
    <x v="59"/>
    <s v="64-2336339-"/>
    <s v="kassandra.fernandez@redsalud.gob.cl"/>
    <x v="21"/>
    <m/>
    <n v="0"/>
    <m/>
    <n v="0"/>
    <n v="0"/>
    <m/>
    <x v="1"/>
    <x v="2"/>
  </r>
  <r>
    <s v="SERVICIO DE SALUD OSORNO"/>
    <s v="Bienes y Servicios"/>
    <x v="151"/>
    <s v="Proyecto operacional"/>
    <s v="Enviado"/>
    <s v="22.04.001"/>
    <x v="152"/>
    <s v="Se requiere comprar en Marzo"/>
    <n v="1"/>
    <s v="Material de Oficina"/>
    <n v="4"/>
    <n v="134"/>
    <n v="6095"/>
    <n v="816730"/>
    <x v="4"/>
    <x v="32"/>
    <x v="44"/>
    <x v="24"/>
    <s v="64-2335610-"/>
    <s v="pedro.fritz@redsalud.gob.cl"/>
    <x v="21"/>
    <m/>
    <n v="0"/>
    <m/>
    <n v="0"/>
    <n v="0"/>
    <m/>
    <x v="1"/>
    <x v="4"/>
  </r>
  <r>
    <s v="SERVICIO DE SALUD OSORNO"/>
    <s v="Bienes y Servicios"/>
    <x v="152"/>
    <s v="Proyecto operacional"/>
    <s v="Enviado"/>
    <s v="22.03.001"/>
    <x v="153"/>
    <s v="Se requiere la compra de combustible para el funcionamiento de los móviles de la Dirección del Servicio de Salud Osorno y Ambulancias de la Base SAMU"/>
    <n v="1"/>
    <s v="Combustibles"/>
    <n v="4"/>
    <n v="1"/>
    <n v="60000000"/>
    <n v="60000000"/>
    <x v="11"/>
    <x v="20"/>
    <x v="35"/>
    <x v="38"/>
    <s v="64-2335660-"/>
    <s v="pablo.oyarzo@redsalud.gob.cl"/>
    <x v="13"/>
    <m/>
    <n v="0"/>
    <m/>
    <n v="0"/>
    <n v="0"/>
    <m/>
    <x v="1"/>
    <x v="4"/>
  </r>
  <r>
    <s v="SERVICIO DE SALUD OSORNO"/>
    <s v="Bienes y Servicios"/>
    <x v="153"/>
    <s v="Proyecto operacional"/>
    <s v="Enviado"/>
    <s v="23.03.003"/>
    <x v="154"/>
    <s v="Convenio Adquisición de 10.000 litros de combustible Diesel para equipos generadores dispositivos del SSO Cosam Rahue y Cosam Oriente año 2026"/>
    <n v="1"/>
    <s v="Combustibles"/>
    <n v="4"/>
    <n v="1"/>
    <n v="11000000"/>
    <n v="11000000"/>
    <x v="11"/>
    <x v="20"/>
    <x v="35"/>
    <x v="60"/>
    <s v="64-2335660-"/>
    <s v="pablo.oyarzo@redsalud.gob.cl"/>
    <x v="13"/>
    <m/>
    <n v="0"/>
    <m/>
    <n v="0"/>
    <n v="0"/>
    <m/>
    <x v="1"/>
    <x v="4"/>
  </r>
  <r>
    <s v="SERVICIO DE SALUD OSORNO"/>
    <s v="Administración de Fondos"/>
    <x v="154"/>
    <s v="Proyecto operacional"/>
    <s v="Enviado"/>
    <s v="22.01.001"/>
    <x v="155"/>
    <s v="Se requieren las compras para el mes de marzo"/>
    <n v="2"/>
    <s v="Alimentación"/>
    <n v="4"/>
    <n v="68"/>
    <n v="2595"/>
    <n v="176460"/>
    <x v="4"/>
    <x v="32"/>
    <x v="44"/>
    <x v="24"/>
    <s v="64-2335610-"/>
    <s v="pedro.fritz@redsalud.gob.cl"/>
    <x v="21"/>
    <m/>
    <n v="0"/>
    <m/>
    <n v="0"/>
    <n v="0"/>
    <m/>
    <x v="1"/>
    <x v="2"/>
  </r>
  <r>
    <s v="SERVICIO DE SALUD OSORNO"/>
    <s v="Administración de Fondos"/>
    <x v="154"/>
    <s v="Proyecto operacional"/>
    <s v="Enviado"/>
    <s v="22.01.001"/>
    <x v="155"/>
    <s v="Se requieren las compras para el mes de marzo"/>
    <n v="2"/>
    <s v="Menaje"/>
    <n v="4"/>
    <n v="5"/>
    <n v="7080"/>
    <n v="35400"/>
    <x v="4"/>
    <x v="32"/>
    <x v="44"/>
    <x v="24"/>
    <s v="64-2335610-"/>
    <s v="pedro.fritz@redsalud.gob.cl"/>
    <x v="21"/>
    <m/>
    <n v="0"/>
    <m/>
    <n v="0"/>
    <n v="0"/>
    <m/>
    <x v="1"/>
    <x v="2"/>
  </r>
  <r>
    <s v="SERVICIO DE SALUD OSORNO"/>
    <s v="Administración de Fondos"/>
    <x v="155"/>
    <s v="Proyecto operacional"/>
    <s v="Enviado"/>
    <s v="22.01.001"/>
    <x v="156"/>
    <s v="Se requieren los insumos para el mes de marzo"/>
    <n v="4"/>
    <s v="Alimentación"/>
    <n v="4"/>
    <n v="68"/>
    <n v="2595"/>
    <n v="176460"/>
    <x v="4"/>
    <x v="32"/>
    <x v="44"/>
    <x v="24"/>
    <s v="64-2335610-"/>
    <s v="pedro.fritz@redsalud.gob.cl"/>
    <x v="21"/>
    <m/>
    <n v="0"/>
    <m/>
    <n v="0"/>
    <n v="0"/>
    <m/>
    <x v="1"/>
    <x v="2"/>
  </r>
  <r>
    <s v="SERVICIO DE SALUD OSORNO"/>
    <s v="Administración de Fondos"/>
    <x v="155"/>
    <s v="Proyecto operacional"/>
    <s v="Enviado"/>
    <s v="22.01.001"/>
    <x v="156"/>
    <s v="Se requieren los insumos para el mes de marzo"/>
    <n v="4"/>
    <s v="Menaje"/>
    <n v="4"/>
    <n v="4"/>
    <n v="5100"/>
    <n v="20400"/>
    <x v="4"/>
    <x v="32"/>
    <x v="44"/>
    <x v="24"/>
    <s v="64-2335610-"/>
    <s v="pedro.fritz@redsalud.gob.cl"/>
    <x v="21"/>
    <m/>
    <n v="0"/>
    <m/>
    <n v="0"/>
    <n v="0"/>
    <m/>
    <x v="1"/>
    <x v="2"/>
  </r>
  <r>
    <s v="SERVICIO DE SALUD OSORNO"/>
    <s v="Administración de Fondos"/>
    <x v="155"/>
    <s v="Proyecto operacional"/>
    <s v="Enviado"/>
    <s v="22.01.001"/>
    <x v="156"/>
    <s v="Se requieren los insumos para el mes de marzo"/>
    <n v="4"/>
    <s v="Material de Oficina"/>
    <n v="4"/>
    <n v="1"/>
    <n v="15000"/>
    <n v="15000"/>
    <x v="4"/>
    <x v="32"/>
    <x v="44"/>
    <x v="24"/>
    <s v="64-2335610-"/>
    <s v="pedro.fritz@redsalud.gob.cl"/>
    <x v="21"/>
    <m/>
    <n v="0"/>
    <m/>
    <n v="0"/>
    <n v="0"/>
    <m/>
    <x v="1"/>
    <x v="2"/>
  </r>
  <r>
    <s v="SERVICIO DE SALUD OSORNO"/>
    <s v="Administración de Fondos"/>
    <x v="155"/>
    <s v="Proyecto operacional"/>
    <s v="Enviado"/>
    <s v="22.01.001"/>
    <x v="156"/>
    <s v="Se requieren los insumos para el mes de marzo"/>
    <n v="4"/>
    <s v="Pañuelos"/>
    <n v="4"/>
    <n v="2"/>
    <n v="26000"/>
    <n v="52000"/>
    <x v="4"/>
    <x v="32"/>
    <x v="44"/>
    <x v="24"/>
    <s v="64-2335610-"/>
    <s v="pedro.fritz@redsalud.gob.cl"/>
    <x v="21"/>
    <m/>
    <n v="0"/>
    <m/>
    <n v="0"/>
    <n v="0"/>
    <m/>
    <x v="1"/>
    <x v="2"/>
  </r>
  <r>
    <s v="SERVICIO DE SALUD OSORNO"/>
    <s v="Bienes y Servicios"/>
    <x v="156"/>
    <s v="Proyecto operacional"/>
    <s v="Enviado"/>
    <s v="22.01.001.003"/>
    <x v="157"/>
    <s v="Compra se servicio de cafetería mañana y tarde para 50 personas, centro de costo Trato Usuario. Instancia de encuentro orientada a compartir experiencias significativas, fortalecer la implementación de buenas prácticas en humanización del trato y cuidado, y promover la mejora continua en la atención centrada en las personas y sus familias."/>
    <n v="2"/>
    <s v="Capacitacion"/>
    <n v="4"/>
    <n v="50"/>
    <n v="8000"/>
    <n v="400000"/>
    <x v="4"/>
    <x v="27"/>
    <x v="45"/>
    <x v="49"/>
    <s v="64-2335775-"/>
    <s v="daniela.barriaa@redsalud.gob.cl"/>
    <x v="17"/>
    <m/>
    <n v="0"/>
    <m/>
    <n v="0"/>
    <n v="0"/>
    <m/>
    <x v="1"/>
    <x v="4"/>
  </r>
  <r>
    <s v="SERVICIO DE SALUD OSORNO"/>
    <s v="Bienes y Servicios"/>
    <x v="156"/>
    <s v="Proyecto operacional"/>
    <s v="Enviado"/>
    <s v="22.01.001.003"/>
    <x v="157"/>
    <s v="Compra se servicio de cafetería mañana y tarde para 50 personas, centro de costo Trato Usuario. Instancia de encuentro orientada a compartir experiencias significativas, fortalecer la implementación de buenas prácticas en humanización del trato y cuidado, y promover la mejora continua en la atención centrada en las personas y sus familias."/>
    <n v="2"/>
    <s v="Material de Oficina"/>
    <n v="4"/>
    <n v="26"/>
    <n v="4231"/>
    <n v="110006"/>
    <x v="4"/>
    <x v="27"/>
    <x v="45"/>
    <x v="49"/>
    <s v="64-2335775-"/>
    <s v="daniela.barriaa@redsalud.gob.cl"/>
    <x v="17"/>
    <m/>
    <n v="0"/>
    <m/>
    <n v="0"/>
    <n v="0"/>
    <m/>
    <x v="1"/>
    <x v="4"/>
  </r>
  <r>
    <s v="SERVICIO DE SALUD OSORNO"/>
    <s v="Bienes y Servicios"/>
    <x v="157"/>
    <s v="Proyecto operacional"/>
    <s v="Enviado"/>
    <s v="22.01.001"/>
    <x v="158"/>
    <s v="Compra de servicio de cafetería y materiales de apoyo (papelería, lápices, papelógrafos) para 50 personas, jornada de un día completo. Centro de costo Trato Usuario"/>
    <n v="2"/>
    <s v="Servicio Cafeteria"/>
    <n v="4"/>
    <n v="50"/>
    <n v="8000"/>
    <n v="400000"/>
    <x v="4"/>
    <x v="27"/>
    <x v="45"/>
    <x v="49"/>
    <s v="64-2335775-"/>
    <s v="daniela.barriaa@redsalud.gob.cl"/>
    <x v="17"/>
    <m/>
    <n v="0"/>
    <m/>
    <n v="0"/>
    <n v="0"/>
    <m/>
    <x v="1"/>
    <x v="4"/>
  </r>
  <r>
    <s v="SERVICIO DE SALUD OSORNO"/>
    <s v="Bienes y Servicios"/>
    <x v="157"/>
    <s v="Proyecto operacional"/>
    <s v="Enviado"/>
    <s v="22.01.001"/>
    <x v="158"/>
    <s v="Compra de servicio de cafetería y materiales de apoyo (papelería, lápices, papelógrafos) para 50 personas, jornada de un día completo. Centro de costo Trato Usuario"/>
    <n v="2"/>
    <s v="Material de Oficina"/>
    <n v="4"/>
    <n v="50"/>
    <n v="1000"/>
    <n v="50000"/>
    <x v="4"/>
    <x v="27"/>
    <x v="45"/>
    <x v="49"/>
    <s v="64-2335775-"/>
    <s v="daniela.barriaa@redsalud.gob.cl"/>
    <x v="17"/>
    <m/>
    <n v="0"/>
    <m/>
    <n v="0"/>
    <n v="0"/>
    <m/>
    <x v="1"/>
    <x v="4"/>
  </r>
  <r>
    <s v="SERVICIO DE SALUD OSORNO"/>
    <s v="Administración de Fondos"/>
    <x v="158"/>
    <s v="Proyecto operacional"/>
    <s v="Enviado"/>
    <s v="22.01.001"/>
    <x v="159"/>
    <s v="Compra de servicio de cafetería y papelería para 50 personas durante dos jornadas. Centro de costo Trato Usuario."/>
    <n v="2"/>
    <s v="Servicio Cafeteria"/>
    <n v="4"/>
    <n v="200"/>
    <n v="7500"/>
    <n v="1500000"/>
    <x v="4"/>
    <x v="27"/>
    <x v="45"/>
    <x v="49"/>
    <s v="64-2335775-"/>
    <s v="daniela.barriaa@redsalud.gob.cl"/>
    <x v="17"/>
    <m/>
    <n v="0"/>
    <m/>
    <n v="0"/>
    <n v="0"/>
    <m/>
    <x v="1"/>
    <x v="2"/>
  </r>
  <r>
    <s v="SERVICIO DE SALUD OSORNO"/>
    <s v="Administración de Fondos"/>
    <x v="158"/>
    <s v="Proyecto operacional"/>
    <s v="Enviado"/>
    <s v="22.01.001"/>
    <x v="159"/>
    <s v="Compra de servicio de cafetería y papelería para 50 personas durante dos jornadas. Centro de costo Trato Usuario."/>
    <n v="2"/>
    <s v="Material de Oficina"/>
    <n v="4"/>
    <n v="50"/>
    <n v="5000"/>
    <n v="250000"/>
    <x v="4"/>
    <x v="27"/>
    <x v="45"/>
    <x v="49"/>
    <s v="64-2335775-"/>
    <s v="daniela.barriaa@redsalud.gob.cl"/>
    <x v="16"/>
    <m/>
    <n v="0"/>
    <m/>
    <n v="0"/>
    <n v="0"/>
    <m/>
    <x v="1"/>
    <x v="2"/>
  </r>
  <r>
    <s v="SERVICIO DE SALUD OSORNO"/>
    <s v="Bienes y Servicios"/>
    <x v="159"/>
    <s v="Proyecto operacional"/>
    <s v="Enviado"/>
    <s v="22.04.001"/>
    <x v="160"/>
    <s v="Adquirir recetarios médicos para la Unidad SAFU enero 2026"/>
    <n v="1"/>
    <s v="Recetarios"/>
    <n v="4"/>
    <n v="150"/>
    <n v="3000"/>
    <n v="450000"/>
    <x v="4"/>
    <x v="35"/>
    <x v="50"/>
    <x v="54"/>
    <s v="64-2337034-"/>
    <s v="lhya.kortmann@redsalud.gob.cl"/>
    <x v="13"/>
    <m/>
    <n v="0"/>
    <m/>
    <n v="0"/>
    <n v="0"/>
    <m/>
    <x v="1"/>
    <x v="4"/>
  </r>
  <r>
    <s v="SERVICIO DE SALUD OSORNO"/>
    <s v="Bienes y Servicios"/>
    <x v="160"/>
    <s v="Proyecto operacional"/>
    <s v="Enviado"/>
    <s v="22.04.001"/>
    <x v="161"/>
    <s v="Materiales e insumos que no se encuentran en bodega general y son necesarios para las actividades y salidas a terreno que desarrolla Prevención de Riesgos , S.O. y G.A."/>
    <n v="1"/>
    <s v="Material de Oficina"/>
    <n v="4"/>
    <n v="8"/>
    <n v="21125"/>
    <n v="169000"/>
    <x v="4"/>
    <x v="38"/>
    <x v="55"/>
    <x v="61"/>
    <s v="64-2336130-"/>
    <s v="david.serrano@redsalud.gob.cl"/>
    <x v="19"/>
    <m/>
    <n v="0"/>
    <m/>
    <n v="0"/>
    <n v="0"/>
    <m/>
    <x v="1"/>
    <x v="4"/>
  </r>
  <r>
    <s v="SERVICIO DE SALUD OSORNO"/>
    <s v="Bienes y Servicios"/>
    <x v="161"/>
    <s v="Proyecto operacional"/>
    <s v="Enviado"/>
    <s v="22.02.002"/>
    <x v="162"/>
    <s v="Vestuario institucional y de proteccion para actividades de terreno del SDPR."/>
    <n v="1"/>
    <s v="Geologo"/>
    <n v="4"/>
    <n v="4"/>
    <n v="25000"/>
    <n v="100000"/>
    <x v="4"/>
    <x v="32"/>
    <x v="55"/>
    <x v="61"/>
    <s v="64-2336130-"/>
    <s v="venecia.recabarren@redsalud.gob.cl"/>
    <x v="21"/>
    <m/>
    <n v="0"/>
    <m/>
    <n v="0"/>
    <n v="0"/>
    <m/>
    <x v="1"/>
    <x v="4"/>
  </r>
  <r>
    <s v="SERVICIO DE SALUD OSORNO"/>
    <s v="Bienes y Servicios"/>
    <x v="162"/>
    <s v="Proyecto operacional"/>
    <s v="Enviado"/>
    <s v="22.04.005"/>
    <x v="163"/>
    <s v="Se requiere adquirir insumos del área de enfermería para dar continuidad a la atención y una mejora de ésta a la comunidad funcionaria durante el mes de febrero 2026."/>
    <n v="1"/>
    <s v="Insumos de Enfermeria"/>
    <n v="4"/>
    <n v="4300"/>
    <n v="82"/>
    <n v="352600"/>
    <x v="4"/>
    <x v="35"/>
    <x v="50"/>
    <x v="54"/>
    <s v="64-2337034-"/>
    <s v="lhya.kortmann@redsalud.gob.cl"/>
    <x v="13"/>
    <m/>
    <n v="0"/>
    <m/>
    <n v="0"/>
    <n v="0"/>
    <m/>
    <x v="1"/>
    <x v="4"/>
  </r>
  <r>
    <s v="SERVICIO DE SALUD OSORNO"/>
    <s v="Bienes y Servicios"/>
    <x v="163"/>
    <s v="Proyecto operacional"/>
    <s v="Enviado"/>
    <s v="22.04.014"/>
    <x v="164"/>
    <s v="Se requiere adquirir cajas de almacenamiento de 28 LT para la conservación y resguardo de los insumos de enfermería, con el fin de prevenir deterioro de los insumos , mes de ejecución febrero 2026"/>
    <n v="1"/>
    <s v="Caja"/>
    <n v="4"/>
    <n v="6"/>
    <n v="8334"/>
    <n v="50004"/>
    <x v="4"/>
    <x v="38"/>
    <x v="50"/>
    <x v="54"/>
    <s v="64-2337034-"/>
    <s v="lhya.kortmann@redsalud.gob.cl"/>
    <x v="19"/>
    <m/>
    <n v="0"/>
    <m/>
    <n v="0"/>
    <n v="0"/>
    <m/>
    <x v="1"/>
    <x v="4"/>
  </r>
  <r>
    <s v="SERVICIO DE SALUD OSORNO"/>
    <s v="Bienes y Servicios"/>
    <x v="164"/>
    <s v="Proyecto operacional"/>
    <s v="Enviado"/>
    <s v="22.04.001"/>
    <x v="165"/>
    <s v="COMPRAR CROQUERAS PEQUEÑAS Y LAPICES GEL PARA QUE CADA FUNCIONARIO/A, PUEDA, A TRAVÉS, DE LA PSICOTERAPIA NARRATIVA EXPLORAR RECURSOS PERSONALES, HABILIDADES Y COMPETENCIAS QUE FAVORECEN EL CUIDADO Y LA PROTECCIÓN DE LA SALUD MENTAL EN LOS CONTEXTOS LABORALES. ESTAS JORNADAS SE REALIZARAN EN TODOS LOS DISPOSITIVOS DE LA RED DURANTE LA SEGUNDA SEMANA DE OCTUBRE (CONMEMORACIÓN DIA MUNDIAL DE LA SALUD MENTAL)"/>
    <n v="1"/>
    <s v="Material de Oficina"/>
    <n v="4"/>
    <n v="302"/>
    <n v="2067"/>
    <n v="624234"/>
    <x v="4"/>
    <x v="27"/>
    <x v="56"/>
    <x v="62"/>
    <s v="64-2337096-"/>
    <s v="pilar.mora@redsalud.gob.cl"/>
    <x v="17"/>
    <m/>
    <n v="0"/>
    <m/>
    <n v="0"/>
    <n v="0"/>
    <m/>
    <x v="1"/>
    <x v="4"/>
  </r>
  <r>
    <s v="SERVICIO DE SALUD OSORNO"/>
    <s v="Bienes y Servicios"/>
    <x v="165"/>
    <s v="Proyecto operacional"/>
    <s v="Enviado"/>
    <s v="22.01.001"/>
    <x v="166"/>
    <s v="SE NECESITAN INSUMOS PARA REALIZAR COFFEE PARA EXPOSITORES EXTERNOS, Y COMUNIDAD USUARIA Y FUNCIONARIA, LA CUAL ACTIVIDAD ESTA DIRIGIDO A AMBOS PUBLICO OBJETIVO, COMPRA EN MAYO 2026."/>
    <n v="2"/>
    <s v="Alimentación"/>
    <n v="4"/>
    <n v="242"/>
    <n v="509"/>
    <n v="123178"/>
    <x v="4"/>
    <x v="25"/>
    <x v="27"/>
    <x v="30"/>
    <s v="64-2337096-"/>
    <s v="claudia.munozga@redsalud.gob.cl"/>
    <x v="15"/>
    <m/>
    <n v="0"/>
    <m/>
    <n v="0"/>
    <n v="0"/>
    <m/>
    <x v="1"/>
    <x v="4"/>
  </r>
  <r>
    <s v="SERVICIO DE SALUD OSORNO"/>
    <s v="Bienes y Servicios"/>
    <x v="165"/>
    <s v="Proyecto operacional"/>
    <s v="Enviado"/>
    <s v="22.01.001"/>
    <x v="166"/>
    <s v="SE NECESITAN INSUMOS PARA REALIZAR COFFEE PARA EXPOSITORES EXTERNOS, Y COMUNIDAD USUARIA Y FUNCIONARIA, LA CUAL ACTIVIDAD ESTA DIRIGIDO A AMBOS PUBLICO OBJETIVO, COMPRA EN MAYO 2026."/>
    <n v="2"/>
    <s v="Menaje"/>
    <n v="4"/>
    <n v="210"/>
    <n v="286"/>
    <n v="60060"/>
    <x v="4"/>
    <x v="25"/>
    <x v="27"/>
    <x v="30"/>
    <s v="64-2337096-"/>
    <s v="claudia.munozga@redsalud.gob.cl"/>
    <x v="15"/>
    <m/>
    <n v="0"/>
    <m/>
    <n v="0"/>
    <n v="0"/>
    <m/>
    <x v="1"/>
    <x v="4"/>
  </r>
  <r>
    <s v="SERVICIO DE SALUD OSORNO"/>
    <s v="Bienes y Servicios"/>
    <x v="166"/>
    <s v="Proyecto operacional"/>
    <s v="Enviado"/>
    <s v="31.02.002"/>
    <x v="167"/>
    <s v="se requiere contratar las visitas de los siguientes proyectistas para el mes de octubre 2026; 1 visita proyectista Mecánica de suelos 20 uf; 1 visita proyectista Arquitectura 20 uf; 2 visitas proyectista Calculo Estructural 20 uf; 2 visitas proyectista Instalaciones electricas 20 uf; 1 visita proyectista Paisajismo 15 uf; 1 visita Revisor independiente de arquitectura 20 uf ( nota el valor de la uf será del dia de la visita del especialista)."/>
    <n v="1"/>
    <s v="Consultorias"/>
    <n v="4"/>
    <n v="7"/>
    <n v="813715"/>
    <n v="5696005"/>
    <x v="4"/>
    <x v="27"/>
    <x v="57"/>
    <x v="63"/>
    <s v="64-2335596-"/>
    <s v="raul.rojasc@redsalud.gob.cl"/>
    <x v="17"/>
    <m/>
    <n v="0"/>
    <m/>
    <n v="0"/>
    <n v="0"/>
    <m/>
    <x v="1"/>
    <x v="4"/>
  </r>
  <r>
    <s v="SERVICIO DE SALUD OSORNO"/>
    <s v="Bienes y Servicios"/>
    <x v="167"/>
    <s v="Proyecto operacional"/>
    <s v="Enviado"/>
    <s v="22.01.001"/>
    <x v="168"/>
    <s v="LA ACTIVIDAD REQUIERE COMPRA DE INSUMOS, SERVCIOS Y MATERIALES NECESARIOS PARA LA ORGANIZACIÓN, LA COMPRA DEBE HACERSE EL MES DE JULIO 2026."/>
    <n v="2"/>
    <s v="Alimentación"/>
    <n v="4"/>
    <n v="138"/>
    <n v="1087"/>
    <n v="150006"/>
    <x v="4"/>
    <x v="33"/>
    <x v="27"/>
    <x v="30"/>
    <s v="64-2337096-"/>
    <s v="claudia.munozga@redsalud.gob.cl"/>
    <x v="22"/>
    <m/>
    <n v="0"/>
    <m/>
    <n v="0"/>
    <n v="0"/>
    <m/>
    <x v="1"/>
    <x v="4"/>
  </r>
  <r>
    <s v="SERVICIO DE SALUD OSORNO"/>
    <s v="Bienes y Servicios"/>
    <x v="167"/>
    <s v="Proyecto operacional"/>
    <s v="Enviado"/>
    <s v="22.01.001"/>
    <x v="168"/>
    <s v="LA ACTIVIDAD REQUIERE COMPRA DE INSUMOS, SERVCIOS Y MATERIALES NECESARIOS PARA LA ORGANIZACIÓN, LA COMPRA DEBE HACERSE EL MES DE JULIO 2026."/>
    <n v="2"/>
    <s v="Decoración"/>
    <n v="4"/>
    <n v="70"/>
    <n v="1072"/>
    <n v="75040"/>
    <x v="4"/>
    <x v="33"/>
    <x v="27"/>
    <x v="30"/>
    <s v="64-2337096-"/>
    <s v="claudia.munozga@redsalud.gob.cl"/>
    <x v="22"/>
    <m/>
    <n v="0"/>
    <m/>
    <n v="0"/>
    <n v="0"/>
    <m/>
    <x v="1"/>
    <x v="4"/>
  </r>
  <r>
    <s v="SERVICIO DE SALUD OSORNO"/>
    <s v="Bienes y Servicios"/>
    <x v="168"/>
    <s v="Proyecto operacional"/>
    <s v="Enviado"/>
    <s v="22.09.005.002"/>
    <x v="169"/>
    <s v="EL SERVICIO DE SALUD OSORNO REQUIERE SUSCRIBIR UN CONVENIO CON EL OBJETIVO DE CONTRATAR EL SERVICIO DE ARRIENDO DE EQUIPOS CON SISTEMA INFORMATICO INTEGRADO, PARA LA REALIZACION DE EXAMENES DE QUIMICA CLINICA, ORINAS, HORMONAS, HEMATOLOGIA, MICROBIOLOGIA Y COAGULACION, JUNTO A LOS REACTIVOS E INSUMOS NECESARIOS PARA EL PROCESAMIENTO DE EXAMENES. LOS ESTABLECIMIENTOS SON HPU, HRN, HPO, HPMQ Y HFSLKMM. LA COMPRA SE REQUIERE EN ABRIL 2026 (PUBLICADO EN MERCADO PUBLICO), Y EL CONVENIO TENDRA VIGENCIA 5 AÑOS (60 MESES)."/>
    <n v="1"/>
    <s v="Convenio Equipos"/>
    <n v="4"/>
    <n v="1"/>
    <n v="2783713888"/>
    <n v="371161848"/>
    <x v="3"/>
    <x v="44"/>
    <x v="15"/>
    <x v="51"/>
    <s v="64-2335827-"/>
    <s v="sofiav.reyes@redsalud.gob.cl"/>
    <x v="14"/>
    <m/>
    <n v="0"/>
    <m/>
    <n v="0"/>
    <n v="0"/>
    <m/>
    <x v="1"/>
    <x v="4"/>
  </r>
  <r>
    <s v="SERVICIO DE SALUD OSORNO"/>
    <s v="Bienes y Servicios"/>
    <x v="169"/>
    <s v="Proyecto operacional"/>
    <s v="Enviado"/>
    <s v="22.04.012"/>
    <x v="170"/>
    <s v="Adquisición Carro de Transporte Droguería-Bodega General"/>
    <n v="1"/>
    <s v="Carro"/>
    <n v="4"/>
    <n v="3"/>
    <n v="200000"/>
    <n v="600000"/>
    <x v="4"/>
    <x v="32"/>
    <x v="58"/>
    <x v="64"/>
    <s v="64-2335651-"/>
    <s v="LEONOR.ARANEDAA@REDSALUD.GOB.CL"/>
    <x v="21"/>
    <m/>
    <n v="0"/>
    <m/>
    <n v="0"/>
    <n v="0"/>
    <m/>
    <x v="1"/>
    <x v="4"/>
  </r>
  <r>
    <s v="SERVICIO DE SALUD OSORNO"/>
    <s v="Bienes y Servicios"/>
    <x v="170"/>
    <s v="Proyecto operacional"/>
    <s v="Enviado"/>
    <s v="22.04.001"/>
    <x v="171"/>
    <s v="Adquisición de Amarras Plásticas y Elásticos para Optimizar el Almacenamiento y Distribución primer Trimestre del año 2026. Adquirir 300 bolsas de 1/2 kilo dividido en 3 colores diferentes de tal manera poder ligar cajas con diferentes colores según su lote . Adquirir 20.000 unidades de amarras plásticas o amarras cables para el cierre de los contenedores de transporte de medicamentos."/>
    <n v="1"/>
    <s v="Amarras y Elasticos"/>
    <n v="4"/>
    <n v="10000"/>
    <n v="170"/>
    <n v="1700000"/>
    <x v="4"/>
    <x v="32"/>
    <x v="58"/>
    <x v="64"/>
    <s v="64-2335651-"/>
    <s v="LEONOR.ARANEDAA@REDSALUD.GOB.CL"/>
    <x v="21"/>
    <m/>
    <n v="0"/>
    <m/>
    <n v="0"/>
    <n v="0"/>
    <m/>
    <x v="1"/>
    <x v="4"/>
  </r>
  <r>
    <s v="SERVICIO DE SALUD OSORNO"/>
    <s v="Bienes y Servicios"/>
    <x v="171"/>
    <s v="Proyecto operacional"/>
    <s v="Enviado"/>
    <s v="22.02.002"/>
    <x v="172"/>
    <s v="Ropa- Zapatos : DT: 02 Poleras, 01 Parka , 01Polar ; 2 TENS- 2 Bodegueros : 02 Poleras c/u, 02 Pantalones c/u , 01 Parka c/u , 01 Polar c/u y 01 Zapatos de Seguridad c/u. ; 2 Administrativas: 02 Poleras c/u , 01 polar c/u , 01 parka c/u. Cascos : 4unidades Guantes para carga: 14 pares de guantes."/>
    <n v="1"/>
    <s v="EPP"/>
    <n v="4"/>
    <n v="64"/>
    <n v="26094"/>
    <n v="1670016"/>
    <x v="4"/>
    <x v="32"/>
    <x v="58"/>
    <x v="64"/>
    <s v="64-2335651-"/>
    <s v="LEONOR.ARANEDAA@REDSALUD.GOB.CL"/>
    <x v="21"/>
    <m/>
    <n v="0"/>
    <m/>
    <n v="0"/>
    <n v="0"/>
    <m/>
    <x v="1"/>
    <x v="4"/>
  </r>
  <r>
    <s v="SERVICIO DE SALUD OSORNO"/>
    <s v="Bienes y Servicios"/>
    <x v="172"/>
    <s v="Proyecto operacional"/>
    <s v="Enviado"/>
    <s v="22.06.001"/>
    <x v="173"/>
    <s v="Adquisición de 3 cerraduras digitales para el acceso a Droguería y Bodega General. Primer Trimestre 2026."/>
    <n v="1"/>
    <s v="Cerraduras"/>
    <n v="4"/>
    <n v="3"/>
    <n v="300000"/>
    <n v="900000"/>
    <x v="4"/>
    <x v="32"/>
    <x v="58"/>
    <x v="64"/>
    <s v="64-2335651-"/>
    <s v="LEONOR.ARANEDAA@REDSALUD.GOB.CL"/>
    <x v="21"/>
    <m/>
    <n v="0"/>
    <m/>
    <n v="0"/>
    <n v="0"/>
    <m/>
    <x v="1"/>
    <x v="4"/>
  </r>
  <r>
    <s v="SERVICIO DE SALUD OSORNO"/>
    <s v="Bienes y Servicios"/>
    <x v="173"/>
    <s v="Proyecto operacional"/>
    <s v="Enviado"/>
    <s v="29.05.999"/>
    <x v="174"/>
    <s v="Adquisición de 15 Sensores de Temperatura y humedad calibrados para Droguería ( Bodega de Dispositivos Médicos) Primer Trimestre 2026. Velar por monitoreo de temperatura y humedad en espacios de almacenamiento de Dispositivos Médicos, se debe considerar poder :poder contar con un sensor en 3 puntos de cada zona de almacenamiento. ( Mas variable, mayor temperatura y menor temperatura) y descargar la información para realizar un monitoreo continuo."/>
    <n v="1"/>
    <s v="Sensores"/>
    <n v="4"/>
    <n v="15"/>
    <n v="233334"/>
    <n v="3500010"/>
    <x v="4"/>
    <x v="32"/>
    <x v="58"/>
    <x v="64"/>
    <s v="64-2335651-"/>
    <s v="LEONOR.ARANEDAA@REDSALUD.GOB.CL"/>
    <x v="21"/>
    <m/>
    <n v="0"/>
    <m/>
    <n v="0"/>
    <n v="0"/>
    <m/>
    <x v="1"/>
    <x v="4"/>
  </r>
  <r>
    <s v="SERVICIO DE SALUD OSORNO"/>
    <s v="Administración de Fondos"/>
    <x v="174"/>
    <s v="Proyecto operacional"/>
    <s v="Enviado"/>
    <s v="22.01.001"/>
    <x v="175"/>
    <s v="Ceremonia a realizar en septiembre del 2026"/>
    <n v="4"/>
    <s v="Alimentación"/>
    <n v="4"/>
    <n v="16"/>
    <n v="5594"/>
    <n v="89504"/>
    <x v="4"/>
    <x v="36"/>
    <x v="44"/>
    <x v="24"/>
    <s v="64-2335610-"/>
    <s v="pedro.fritz@redsalud.gob.cl"/>
    <x v="24"/>
    <m/>
    <n v="0"/>
    <m/>
    <n v="0"/>
    <n v="0"/>
    <m/>
    <x v="1"/>
    <x v="2"/>
  </r>
  <r>
    <s v="SERVICIO DE SALUD OSORNO"/>
    <s v="Administración de Fondos"/>
    <x v="174"/>
    <s v="Proyecto operacional"/>
    <s v="Enviado"/>
    <s v="22.01.001"/>
    <x v="175"/>
    <s v="Ceremonia a realizar en septiembre del 2026"/>
    <n v="4"/>
    <s v="Tazon"/>
    <n v="4"/>
    <n v="5"/>
    <n v="5000"/>
    <n v="25000"/>
    <x v="4"/>
    <x v="36"/>
    <x v="44"/>
    <x v="24"/>
    <s v="64-2335610-"/>
    <s v="pedro.fritz@redsalud.gob.cl"/>
    <x v="24"/>
    <m/>
    <n v="0"/>
    <m/>
    <n v="0"/>
    <n v="0"/>
    <m/>
    <x v="1"/>
    <x v="2"/>
  </r>
  <r>
    <s v="SERVICIO DE SALUD OSORNO"/>
    <s v="Administración de Fondos"/>
    <x v="174"/>
    <s v="Proyecto operacional"/>
    <s v="Enviado"/>
    <s v="22.01.001"/>
    <x v="175"/>
    <s v="Ceremonia a realizar en septiembre del 2026"/>
    <n v="4"/>
    <s v="Lapiz Pasta"/>
    <n v="4"/>
    <n v="5"/>
    <n v="5000"/>
    <n v="25000"/>
    <x v="4"/>
    <x v="36"/>
    <x v="44"/>
    <x v="24"/>
    <s v="64-2335610-"/>
    <s v="pedro.fritz@redsalud.gob.cl"/>
    <x v="24"/>
    <m/>
    <n v="0"/>
    <m/>
    <n v="0"/>
    <n v="0"/>
    <m/>
    <x v="1"/>
    <x v="2"/>
  </r>
  <r>
    <s v="SERVICIO DE SALUD OSORNO"/>
    <s v="Administración de Fondos"/>
    <x v="174"/>
    <s v="Proyecto operacional"/>
    <s v="Enviado"/>
    <s v="22.01.001"/>
    <x v="175"/>
    <s v="Ceremonia a realizar en septiembre del 2026"/>
    <n v="4"/>
    <s v="Arreglos"/>
    <n v="4"/>
    <n v="10"/>
    <n v="11000"/>
    <n v="110000"/>
    <x v="4"/>
    <x v="36"/>
    <x v="44"/>
    <x v="24"/>
    <s v="64-2335610-"/>
    <s v="pedro.fritz@redsalud.gob.cl"/>
    <x v="24"/>
    <m/>
    <n v="0"/>
    <m/>
    <n v="0"/>
    <n v="0"/>
    <m/>
    <x v="1"/>
    <x v="2"/>
  </r>
  <r>
    <s v="SERVICIO DE SALUD OSORNO"/>
    <s v="Administración de Fondos"/>
    <x v="175"/>
    <s v="Proyecto operacional"/>
    <s v="Enviado"/>
    <s v="22.01.001"/>
    <x v="176"/>
    <s v="Servicio de cafetería e insumos de librería para la realización de capacitación en talleres prenatales."/>
    <n v="3"/>
    <s v="Servicio Cafeteria"/>
    <n v="4"/>
    <n v="15"/>
    <n v="18000"/>
    <n v="270000"/>
    <x v="4"/>
    <x v="24"/>
    <x v="59"/>
    <x v="65"/>
    <s v="64-2335829-"/>
    <s v="estrella.azocarv@redsalud.gob.cl"/>
    <x v="14"/>
    <m/>
    <n v="0"/>
    <m/>
    <n v="0"/>
    <n v="0"/>
    <m/>
    <x v="1"/>
    <x v="2"/>
  </r>
  <r>
    <s v="SERVICIO DE SALUD OSORNO"/>
    <s v="Administración de Fondos"/>
    <x v="175"/>
    <s v="Proyecto operacional"/>
    <s v="Enviado"/>
    <s v="22.01.001"/>
    <x v="176"/>
    <s v="Servicio de cafetería e insumos de librería para la realización de capacitación en talleres prenatales."/>
    <n v="3"/>
    <s v="Bolsas Ecologicas"/>
    <n v="4"/>
    <n v="100"/>
    <n v="500"/>
    <n v="50000"/>
    <x v="4"/>
    <x v="24"/>
    <x v="59"/>
    <x v="65"/>
    <s v="64-2335829-"/>
    <s v="estrella.azocarv@redsalud.gob.cl"/>
    <x v="14"/>
    <m/>
    <n v="0"/>
    <m/>
    <n v="0"/>
    <n v="0"/>
    <m/>
    <x v="1"/>
    <x v="2"/>
  </r>
  <r>
    <s v="SERVICIO DE SALUD OSORNO"/>
    <s v="Administración de Fondos"/>
    <x v="175"/>
    <s v="Proyecto operacional"/>
    <s v="Enviado"/>
    <s v="22.01.001"/>
    <x v="176"/>
    <s v="Servicio de cafetería e insumos de librería para la realización de capacitación en talleres prenatales."/>
    <n v="3"/>
    <s v="Material de Oficina"/>
    <n v="4"/>
    <n v="272"/>
    <n v="1295"/>
    <n v="352240"/>
    <x v="4"/>
    <x v="24"/>
    <x v="59"/>
    <x v="65"/>
    <s v="64-2335829-"/>
    <s v="estrella.azocarv@redsalud.gob.cl"/>
    <x v="14"/>
    <m/>
    <n v="0"/>
    <m/>
    <n v="0"/>
    <n v="0"/>
    <m/>
    <x v="1"/>
    <x v="2"/>
  </r>
  <r>
    <s v="SERVICIO DE SALUD OSORNO"/>
    <s v="Bienes y Servicios"/>
    <x v="176"/>
    <s v="Proyecto operacional"/>
    <s v="Enviado"/>
    <s v="22.06"/>
    <x v="177"/>
    <s v="Dar cobertura a las necesidades de calibración y mantención de equipos médicos e industriales de los establecimientos de la Red del Servicio de Salud Osorno. Corresponde a diferentes servicios a ejecutarse en dichos equipos los años 2026 y 2027, para mantener su buen, continuo y seguro funcionamiento asociados a la atención en unidades clinicas y unidades de apoyo de los diferentes establecimientos y dispositivos de la Red del Servicio de Salud Osorno, dando así continuidad a las prestaciones de salud de la provincia."/>
    <n v="5"/>
    <s v="Servicio Calibración-Certificación"/>
    <n v="4"/>
    <n v="4"/>
    <n v="1112500"/>
    <n v="4450000"/>
    <x v="15"/>
    <x v="45"/>
    <x v="60"/>
    <x v="15"/>
    <s v="64-2337431-"/>
    <s v="khris.silva@redsalud.gob.cl"/>
    <x v="21"/>
    <m/>
    <n v="0"/>
    <m/>
    <n v="0"/>
    <n v="0"/>
    <m/>
    <x v="1"/>
    <x v="4"/>
  </r>
  <r>
    <s v="SERVICIO DE SALUD OSORNO"/>
    <s v="Bienes y Servicios"/>
    <x v="176"/>
    <s v="Proyecto operacional"/>
    <s v="Enviado"/>
    <s v="22.06"/>
    <x v="177"/>
    <s v="Dar cobertura a las necesidades de calibración y mantención de equipos médicos e industriales de los establecimientos de la Red del Servicio de Salud Osorno. Corresponde a diferentes servicios a ejecutarse en dichos equipos los años 2026 y 2027, para mantener su buen, continuo y seguro funcionamiento asociados a la atención en unidades clinicas y unidades de apoyo de los diferentes establecimientos y dispositivos de la Red del Servicio de Salud Osorno, dando así continuidad a las prestaciones de salud de la provincia."/>
    <n v="5"/>
    <s v="Mantención equipos médicos"/>
    <n v="4"/>
    <n v="6"/>
    <n v="616667"/>
    <n v="3700002"/>
    <x v="4"/>
    <x v="25"/>
    <x v="60"/>
    <x v="15"/>
    <s v="64-2337431-"/>
    <s v="khris.silva@redsalud.gob.cl"/>
    <x v="15"/>
    <m/>
    <n v="0"/>
    <m/>
    <n v="0"/>
    <n v="0"/>
    <m/>
    <x v="1"/>
    <x v="4"/>
  </r>
  <r>
    <s v="SERVICIO DE SALUD OSORNO"/>
    <s v="Bienes y Servicios"/>
    <x v="176"/>
    <s v="Proyecto operacional"/>
    <s v="Enviado"/>
    <s v="22.06"/>
    <x v="177"/>
    <s v="Dar cobertura a las necesidades de calibración y mantención de equipos médicos e industriales de los establecimientos de la Red del Servicio de Salud Osorno. Corresponde a diferentes servicios a ejecutarse en dichos equipos los años 2026 y 2027, para mantener su buen, continuo y seguro funcionamiento asociados a la atención en unidades clinicas y unidades de apoyo de los diferentes establecimientos y dispositivos de la Red del Servicio de Salud Osorno, dando así continuidad a las prestaciones de salud de la provincia."/>
    <n v="5"/>
    <s v="Mantenciones correctivas"/>
    <n v="4"/>
    <n v="1"/>
    <n v="3000000"/>
    <n v="3000000"/>
    <x v="4"/>
    <x v="25"/>
    <x v="60"/>
    <x v="15"/>
    <s v="64-2337431-"/>
    <s v="khris.silva@redsalud.gob.cl"/>
    <x v="15"/>
    <m/>
    <n v="0"/>
    <m/>
    <n v="0"/>
    <n v="0"/>
    <m/>
    <x v="1"/>
    <x v="4"/>
  </r>
  <r>
    <s v="SERVICIO DE SALUD OSORNO"/>
    <s v="Bienes y Servicios"/>
    <x v="176"/>
    <s v="Proyecto operacional"/>
    <s v="Enviado"/>
    <s v="22.06"/>
    <x v="177"/>
    <s v="Dar cobertura a las necesidades de calibración y mantención de equipos médicos e industriales de los establecimientos de la Red del Servicio de Salud Osorno. Corresponde a diferentes servicios a ejecutarse en dichos equipos los años 2026 y 2027, para mantener su buen, continuo y seguro funcionamiento asociados a la atención en unidades clinicas y unidades de apoyo de los diferentes establecimientos y dispositivos de la Red del Servicio de Salud Osorno, dando así continuidad a las prestaciones de salud de la provincia."/>
    <n v="5"/>
    <s v="Mantenciones Preventivas"/>
    <n v="4"/>
    <n v="1"/>
    <n v="600000"/>
    <n v="600000"/>
    <x v="4"/>
    <x v="25"/>
    <x v="60"/>
    <x v="15"/>
    <s v="64-2337431-"/>
    <s v="khris.silva@redsalud.gob.cl"/>
    <x v="15"/>
    <m/>
    <n v="0"/>
    <m/>
    <n v="0"/>
    <n v="0"/>
    <m/>
    <x v="1"/>
    <x v="4"/>
  </r>
  <r>
    <s v="SERVICIO DE SALUD OSORNO"/>
    <s v="Bienes y Servicios"/>
    <x v="176"/>
    <s v="Proyecto operacional"/>
    <s v="Enviado"/>
    <s v="22.06"/>
    <x v="177"/>
    <s v="Dar cobertura a las necesidades de calibración y mantención de equipos médicos e industriales de los establecimientos de la Red del Servicio de Salud Osorno. Corresponde a diferentes servicios a ejecutarse en dichos equipos los años 2026 y 2027, para mantener su buen, continuo y seguro funcionamiento asociados a la atención en unidades clinicas y unidades de apoyo de los diferentes establecimientos y dispositivos de la Red del Servicio de Salud Osorno, dando así continuidad a las prestaciones de salud de la provincia."/>
    <n v="5"/>
    <s v="Mantención Correctiva Equipos"/>
    <n v="4"/>
    <n v="1"/>
    <n v="6000000"/>
    <n v="6000000"/>
    <x v="4"/>
    <x v="25"/>
    <x v="60"/>
    <x v="15"/>
    <s v="64-2337431-"/>
    <s v="khris.silva@redsalud.gob.cl"/>
    <x v="15"/>
    <m/>
    <n v="0"/>
    <m/>
    <n v="0"/>
    <n v="0"/>
    <m/>
    <x v="1"/>
    <x v="4"/>
  </r>
  <r>
    <s v="SERVICIO DE SALUD OSORNO"/>
    <s v="Bienes y Servicios"/>
    <x v="177"/>
    <s v="Proyecto operacional"/>
    <s v="Enviado"/>
    <s v="22.04.999"/>
    <x v="178"/>
    <s v="Dar cobertura a las necesidades de accesorios y consumibles asociados al funcionamiento de equipos médicos criticos de ambulancias de emergencia de Base SAMU (enero a diciembre 2027)"/>
    <n v="1"/>
    <s v="Convenio"/>
    <n v="4"/>
    <n v="346"/>
    <n v="89596"/>
    <n v="0"/>
    <x v="11"/>
    <x v="43"/>
    <x v="60"/>
    <x v="15"/>
    <s v="64-2337431-"/>
    <s v="khris.silva@redsalud.gob.cl"/>
    <x v="16"/>
    <m/>
    <n v="0"/>
    <m/>
    <n v="0"/>
    <n v="0"/>
    <m/>
    <x v="1"/>
    <x v="4"/>
  </r>
  <r>
    <s v="SERVICIO DE SALUD OSORNO"/>
    <s v="Administración de Fondos"/>
    <x v="178"/>
    <s v="Proyecto operacional"/>
    <s v="Enviado"/>
    <s v="22.04.002"/>
    <x v="179"/>
    <s v="Insumos para aumentar la lactancia materna exclusiva, mes de julio. Fantoma mamario/Pechera de Lactancia Insumos de lactancia."/>
    <n v="4"/>
    <s v="Material Educativo"/>
    <n v="4"/>
    <n v="1"/>
    <n v="1350000"/>
    <n v="1350000"/>
    <x v="4"/>
    <x v="25"/>
    <x v="59"/>
    <x v="65"/>
    <s v="64-2335829-"/>
    <s v="estrella.azocarv@redsalud.gob.cl"/>
    <x v="15"/>
    <m/>
    <n v="0"/>
    <m/>
    <n v="0"/>
    <n v="0"/>
    <m/>
    <x v="1"/>
    <x v="2"/>
  </r>
  <r>
    <s v="SERVICIO DE SALUD OSORNO"/>
    <s v="Administración de Fondos"/>
    <x v="178"/>
    <s v="Proyecto operacional"/>
    <s v="Enviado"/>
    <s v="22.04.002"/>
    <x v="179"/>
    <s v="Insumos para aumentar la lactancia materna exclusiva, mes de julio. Fantoma mamario/Pechera de Lactancia Insumos de lactancia."/>
    <n v="4"/>
    <s v="Insumos Clinicos"/>
    <n v="4"/>
    <n v="98"/>
    <n v="10152"/>
    <n v="994896"/>
    <x v="4"/>
    <x v="25"/>
    <x v="59"/>
    <x v="65"/>
    <s v="64-2335829-"/>
    <s v="estrella.azocarv@redsalud.gob.cl"/>
    <x v="15"/>
    <m/>
    <n v="0"/>
    <m/>
    <n v="0"/>
    <n v="0"/>
    <m/>
    <x v="1"/>
    <x v="2"/>
  </r>
  <r>
    <s v="SERVICIO DE SALUD OSORNO"/>
    <s v="Administración de Fondos"/>
    <x v="178"/>
    <s v="Proyecto operacional"/>
    <s v="Enviado"/>
    <s v="22.04.002"/>
    <x v="179"/>
    <s v="Insumos para aumentar la lactancia materna exclusiva, mes de julio. Fantoma mamario/Pechera de Lactancia Insumos de lactancia."/>
    <n v="4"/>
    <s v="Cooler"/>
    <n v="4"/>
    <n v="5"/>
    <n v="10000"/>
    <n v="50000"/>
    <x v="4"/>
    <x v="25"/>
    <x v="59"/>
    <x v="65"/>
    <s v="64-2335829-"/>
    <s v="estrella.azocarv@redsalud.gob.cl"/>
    <x v="15"/>
    <m/>
    <n v="0"/>
    <m/>
    <n v="0"/>
    <n v="0"/>
    <m/>
    <x v="1"/>
    <x v="2"/>
  </r>
  <r>
    <s v="SERVICIO DE SALUD OSORNO"/>
    <s v="Administración de Fondos"/>
    <x v="178"/>
    <s v="Proyecto operacional"/>
    <s v="Enviado"/>
    <s v="22.04.002"/>
    <x v="179"/>
    <s v="Insumos para aumentar la lactancia materna exclusiva, mes de julio. Fantoma mamario/Pechera de Lactancia Insumos de lactancia."/>
    <n v="4"/>
    <s v="Equipamiento Medico"/>
    <n v="4"/>
    <n v="1"/>
    <n v="580665"/>
    <n v="580665"/>
    <x v="4"/>
    <x v="25"/>
    <x v="59"/>
    <x v="65"/>
    <s v="64-2335829-"/>
    <s v="estrella.azocarv@redsalud.gob.cl"/>
    <x v="15"/>
    <m/>
    <n v="0"/>
    <m/>
    <n v="0"/>
    <n v="0"/>
    <m/>
    <x v="1"/>
    <x v="2"/>
  </r>
  <r>
    <s v="SERVICIO DE SALUD OSORNO"/>
    <s v="Bienes y Servicios"/>
    <x v="179"/>
    <s v="Proyecto operacional"/>
    <s v="Enviado"/>
    <s v="22.04.999"/>
    <x v="180"/>
    <s v="La adquisición de implementos kinésicos para el box es fundamental para garantizar la calidad y la eficacia de los servicios de rehabilitación y tratamiento hacia los funcionarios del servicio y el Hospital (marzo- abril)"/>
    <n v="1"/>
    <s v="Insumos Kinesicos"/>
    <n v="4"/>
    <n v="15"/>
    <n v="46400"/>
    <n v="696000"/>
    <x v="4"/>
    <x v="32"/>
    <x v="61"/>
    <x v="66"/>
    <s v="64-2337034-"/>
    <s v="felipe.barriga@redsalud.gob.cl"/>
    <x v="21"/>
    <m/>
    <n v="0"/>
    <m/>
    <n v="0"/>
    <n v="0"/>
    <m/>
    <x v="1"/>
    <x v="4"/>
  </r>
  <r>
    <s v="SERVICIO DE SALUD OSORNO"/>
    <s v="Bienes y Servicios"/>
    <x v="180"/>
    <s v="Proyecto operacional"/>
    <s v="Enviado"/>
    <s v="22.12.003"/>
    <x v="181"/>
    <s v="Compra de Servicio de cafetería, artículos de librería y arriendo de pantalla led con atril para una asistencia promedio de 300 personas."/>
    <n v="1"/>
    <s v="Gesto Ceremonial"/>
    <n v="4"/>
    <n v="1505"/>
    <n v="1917"/>
    <n v="2885085"/>
    <x v="4"/>
    <x v="31"/>
    <x v="45"/>
    <x v="49"/>
    <s v="64-2335775-"/>
    <s v="daniela.barriaa@redsalud.gob.cl"/>
    <x v="20"/>
    <m/>
    <n v="0"/>
    <m/>
    <n v="0"/>
    <n v="0"/>
    <m/>
    <x v="1"/>
    <x v="4"/>
  </r>
  <r>
    <s v="SERVICIO DE SALUD OSORNO"/>
    <s v="Bienes y Servicios"/>
    <x v="181"/>
    <s v="Proyecto operacional"/>
    <s v="Enviado"/>
    <s v="22.01.001"/>
    <x v="182"/>
    <s v="Compra de servicio de cafetería para comunidad asistente y autoridades asistentes a la actividad, compra de artículos de librería que se ocuparan en dinámicas de trabajo, además de carpetas y lápices. También se necesita adquirir 300 vasos de polipapel y 300 yogurt."/>
    <n v="5"/>
    <s v="Servicio Cafeteria"/>
    <n v="4"/>
    <n v="1"/>
    <n v="1500000"/>
    <n v="1500000"/>
    <x v="4"/>
    <x v="27"/>
    <x v="45"/>
    <x v="49"/>
    <s v="64-2335775-"/>
    <s v="daniela.barriaa@redsalud.gob.cl"/>
    <x v="17"/>
    <m/>
    <n v="0"/>
    <m/>
    <n v="0"/>
    <n v="0"/>
    <m/>
    <x v="1"/>
    <x v="4"/>
  </r>
  <r>
    <s v="SERVICIO DE SALUD OSORNO"/>
    <s v="Bienes y Servicios"/>
    <x v="181"/>
    <s v="Proyecto operacional"/>
    <s v="Enviado"/>
    <s v="22.01.001"/>
    <x v="182"/>
    <s v="Compra de servicio de cafetería para comunidad asistente y autoridades asistentes a la actividad, compra de artículos de librería que se ocuparan en dinámicas de trabajo, además de carpetas y lápices. También se necesita adquirir 300 vasos de polipapel y 300 yogurt."/>
    <n v="5"/>
    <s v="Evento"/>
    <n v="4"/>
    <n v="1"/>
    <n v="1000000"/>
    <n v="1000000"/>
    <x v="4"/>
    <x v="27"/>
    <x v="45"/>
    <x v="49"/>
    <s v="64-2335775-"/>
    <s v="daniela.barriaa@redsalud.gob.cl"/>
    <x v="17"/>
    <m/>
    <n v="0"/>
    <m/>
    <n v="0"/>
    <n v="0"/>
    <m/>
    <x v="1"/>
    <x v="4"/>
  </r>
  <r>
    <s v="SERVICIO DE SALUD OSORNO"/>
    <s v="Bienes y Servicios"/>
    <x v="181"/>
    <s v="Proyecto operacional"/>
    <s v="Enviado"/>
    <s v="22.01.001"/>
    <x v="182"/>
    <s v="Compra de servicio de cafetería para comunidad asistente y autoridades asistentes a la actividad, compra de artículos de librería que se ocuparan en dinámicas de trabajo, además de carpetas y lápices. También se necesita adquirir 300 vasos de polipapel y 300 yogurt."/>
    <n v="5"/>
    <s v="Material de Oficina"/>
    <n v="4"/>
    <n v="600"/>
    <n v="500"/>
    <n v="300000"/>
    <x v="4"/>
    <x v="27"/>
    <x v="45"/>
    <x v="49"/>
    <s v="64-2335775-"/>
    <s v="daniela.barriaa@redsalud.gob.cl"/>
    <x v="17"/>
    <m/>
    <n v="0"/>
    <m/>
    <n v="0"/>
    <n v="0"/>
    <m/>
    <x v="1"/>
    <x v="4"/>
  </r>
  <r>
    <s v="SERVICIO DE SALUD OSORNO"/>
    <s v="Bienes y Servicios"/>
    <x v="181"/>
    <s v="Proyecto operacional"/>
    <s v="Enviado"/>
    <s v="22.01.001"/>
    <x v="182"/>
    <s v="Compra de servicio de cafetería para comunidad asistente y autoridades asistentes a la actividad, compra de artículos de librería que se ocuparan en dinámicas de trabajo, además de carpetas y lápices. También se necesita adquirir 300 vasos de polipapel y 300 yogurt."/>
    <n v="5"/>
    <s v="Menaje"/>
    <n v="4"/>
    <n v="303"/>
    <n v="156"/>
    <n v="47268"/>
    <x v="4"/>
    <x v="27"/>
    <x v="45"/>
    <x v="49"/>
    <s v="64-2335775-"/>
    <s v="daniela.barriaa@redsalud.gob.cl"/>
    <x v="17"/>
    <m/>
    <n v="0"/>
    <m/>
    <n v="0"/>
    <n v="0"/>
    <m/>
    <x v="1"/>
    <x v="4"/>
  </r>
  <r>
    <s v="SERVICIO DE SALUD OSORNO"/>
    <s v="Bienes y Servicios"/>
    <x v="181"/>
    <s v="Proyecto operacional"/>
    <s v="Enviado"/>
    <s v="22.01.001"/>
    <x v="182"/>
    <s v="Compra de servicio de cafetería para comunidad asistente y autoridades asistentes a la actividad, compra de artículos de librería que se ocuparan en dinámicas de trabajo, además de carpetas y lápices. También se necesita adquirir 300 vasos de polipapel y 300 yogurt."/>
    <n v="5"/>
    <s v="Yogurth"/>
    <n v="4"/>
    <n v="300"/>
    <n v="500"/>
    <n v="150000"/>
    <x v="4"/>
    <x v="27"/>
    <x v="45"/>
    <x v="49"/>
    <s v="64-2335775-"/>
    <s v="daniela.barriaa@redsalud.gob.cl"/>
    <x v="17"/>
    <m/>
    <n v="0"/>
    <m/>
    <n v="0"/>
    <n v="0"/>
    <m/>
    <x v="1"/>
    <x v="4"/>
  </r>
  <r>
    <s v="SERVICIO DE SALUD OSORNO"/>
    <s v="Administración de Fondos"/>
    <x v="182"/>
    <s v="Proyecto operacional"/>
    <s v="Enviado"/>
    <s v="22.12.999.015"/>
    <x v="183"/>
    <s v="Compra de servicio de cafetería para 200 personas en total. La actividad contempla 02 jornadas de día completo y se realizaran una en julio y la segunda en octubre."/>
    <n v="2"/>
    <s v="Servicio Cafeteria"/>
    <n v="4"/>
    <n v="1"/>
    <n v="750000"/>
    <n v="750000"/>
    <x v="4"/>
    <x v="33"/>
    <x v="42"/>
    <x v="47"/>
    <s v="64-2335814-"/>
    <s v="pedro.huito@redsalud.gob.cl"/>
    <x v="22"/>
    <m/>
    <n v="0"/>
    <m/>
    <n v="0"/>
    <n v="0"/>
    <m/>
    <x v="1"/>
    <x v="2"/>
  </r>
  <r>
    <s v="SERVICIO DE SALUD OSORNO"/>
    <s v="Administración de Fondos"/>
    <x v="182"/>
    <s v="Proyecto operacional"/>
    <s v="Enviado"/>
    <s v="22.12.999.015"/>
    <x v="183"/>
    <s v="Compra de servicio de cafetería para 200 personas en total. La actividad contempla 02 jornadas de día completo y se realizaran una en julio y la segunda en octubre."/>
    <n v="2"/>
    <s v="Servicio Cafeteria"/>
    <n v="4"/>
    <n v="1"/>
    <n v="750000"/>
    <n v="750000"/>
    <x v="4"/>
    <x v="27"/>
    <x v="42"/>
    <x v="47"/>
    <s v="64-2335814-"/>
    <s v="pedro.huito@redsalud.gob.cl"/>
    <x v="17"/>
    <m/>
    <n v="0"/>
    <m/>
    <n v="0"/>
    <n v="0"/>
    <m/>
    <x v="1"/>
    <x v="2"/>
  </r>
  <r>
    <s v="SERVICIO DE SALUD OSORNO"/>
    <s v="Compras Convenio GORE Region de Los Lagos"/>
    <x v="183"/>
    <s v="Proyecto operacional"/>
    <s v="Enviado"/>
    <s v="31.02.002"/>
    <x v="184"/>
    <s v="SE REQUIERE CONTRATAR LAS VISITAS DE LOS SIGUIENTES PROYECTISTAS PARA EL MES DE DICIEMBRE DE 2026 DEL PROYECTO MEJORAMIENTO ELECTRICIDAD Y CORRIENTES DEBILES DEL HOSPITAL DE RIO NEGRO; 3 VISITAS DEL PROYECTISTA, VALOR POR VISITA 14 UF IVA INCLUIDO. Y MEJORAMIENTO CLIMATIZACION DEL HOSPITAL DE RIO NEGRO; 3 VISITAS DEL PROYECTISTA, VALOR POR VISITA 14 UF IVA INCLUIDO. NOTA: EL VALOR DE LA UF SERA DEL DÍA DE LA VISITA"/>
    <n v="1"/>
    <s v="Remodelación"/>
    <n v="4"/>
    <n v="6"/>
    <n v="571667"/>
    <n v="3430002"/>
    <x v="4"/>
    <x v="29"/>
    <x v="62"/>
    <x v="36"/>
    <s v="64-2337385-"/>
    <s v="gustavo.marin@redsalud.gob.cl"/>
    <x v="23"/>
    <m/>
    <n v="0"/>
    <m/>
    <n v="0"/>
    <n v="0"/>
    <m/>
    <x v="1"/>
    <x v="3"/>
  </r>
  <r>
    <s v="SERVICIO DE SALUD OSORNO"/>
    <s v="Compras Convenio GORE Region de Los Lagos"/>
    <x v="184"/>
    <s v="Proyecto operacional"/>
    <s v="Enviado"/>
    <s v="31.02.002"/>
    <x v="185"/>
    <s v="Desarrollar las adecuaciones a los proyectos de arquitectura y especialidades del diseño de la PSR tipo para el sector de Hueyusca, comuna de Purranque."/>
    <n v="1"/>
    <s v="Consultorias"/>
    <n v="4"/>
    <n v="1"/>
    <n v="37000000"/>
    <n v="37000000"/>
    <x v="4"/>
    <x v="28"/>
    <x v="39"/>
    <x v="44"/>
    <s v="64-2335843-"/>
    <s v="mario.barrientos@redsalud.gob.cl"/>
    <x v="18"/>
    <m/>
    <n v="0"/>
    <m/>
    <n v="0"/>
    <n v="0"/>
    <m/>
    <x v="1"/>
    <x v="3"/>
  </r>
  <r>
    <s v="SERVICIO DE SALUD OSORNO"/>
    <s v="Bienes y Servicios"/>
    <x v="185"/>
    <s v="Proyecto operacional"/>
    <s v="Enviado"/>
    <s v="22.04.007"/>
    <x v="186"/>
    <s v="Se requiere la adquisición de insumos de limpieza y artículos de higiene, destinados al mantenimiento y sanitización de las dependencias del Dispositivo Comunitario, asegurando condiciones adecuadas de funcionamiento e higiene para usuarios y personal, a partir de marzo de 2026."/>
    <n v="1"/>
    <s v="Artículos de limpieza"/>
    <n v="4"/>
    <n v="41"/>
    <n v="4830"/>
    <n v="198030"/>
    <x v="4"/>
    <x v="24"/>
    <x v="63"/>
    <x v="19"/>
    <s v="64-2337366-"/>
    <s v="luis.floresme@redsalud.gob.cl"/>
    <x v="21"/>
    <m/>
    <n v="0"/>
    <m/>
    <n v="0"/>
    <n v="0"/>
    <m/>
    <x v="1"/>
    <x v="4"/>
  </r>
  <r>
    <s v="SERVICIO DE SALUD OSORNO"/>
    <s v="Bienes y Servicios"/>
    <x v="186"/>
    <s v="Proyecto operacional"/>
    <s v="Enviado"/>
    <s v="22.01.001"/>
    <x v="187"/>
    <s v="Adquisición de insumos destinados al desarrollo de taller socio recreativo que se realizara con usuarios/as de UID Newen a contar del mes de enero de 2026."/>
    <n v="1"/>
    <s v="Productos Cafeteria"/>
    <n v="4"/>
    <n v="91"/>
    <n v="1391"/>
    <n v="126581"/>
    <x v="4"/>
    <x v="35"/>
    <x v="22"/>
    <x v="67"/>
    <s v="64-2337766-"/>
    <s v="camila.roa@redsalud.gob.cl"/>
    <x v="13"/>
    <m/>
    <n v="0"/>
    <m/>
    <n v="0"/>
    <n v="0"/>
    <m/>
    <x v="1"/>
    <x v="4"/>
  </r>
  <r>
    <s v="SERVICIO DE SALUD OSORNO"/>
    <s v="Bienes y Servicios"/>
    <x v="187"/>
    <s v="Proyecto operacional"/>
    <s v="Enviado"/>
    <s v="22.04.999"/>
    <x v="188"/>
    <s v="Adquisición de insumos orientados al desarrollo de actividades de promoción, prevención e intervenciones que se realizaran con usuarios/as y familiares de UID Newen a contar del mes de enero del 2026."/>
    <n v="2"/>
    <s v="Sillas, Toldos, Mesas"/>
    <n v="4"/>
    <n v="4"/>
    <n v="31750"/>
    <n v="127000"/>
    <x v="4"/>
    <x v="35"/>
    <x v="22"/>
    <x v="67"/>
    <s v="64-2337766-"/>
    <s v="camila.roa@redsalud.gob.cl"/>
    <x v="13"/>
    <m/>
    <n v="0"/>
    <m/>
    <n v="0"/>
    <n v="0"/>
    <m/>
    <x v="1"/>
    <x v="4"/>
  </r>
  <r>
    <s v="SERVICIO DE SALUD OSORNO"/>
    <s v="Bienes y Servicios"/>
    <x v="187"/>
    <s v="Proyecto operacional"/>
    <s v="Enviado"/>
    <s v="22.04.999"/>
    <x v="188"/>
    <s v="Adquisición de insumos orientados al desarrollo de actividades de promoción, prevención e intervenciones que se realizaran con usuarios/as y familiares de UID Newen a contar del mes de enero del 2026."/>
    <n v="2"/>
    <s v="Parlante"/>
    <n v="4"/>
    <n v="1"/>
    <n v="45000"/>
    <n v="45000"/>
    <x v="4"/>
    <x v="35"/>
    <x v="22"/>
    <x v="67"/>
    <s v="64-2337766-"/>
    <s v="camila.roa@redsalud.gob.cl"/>
    <x v="13"/>
    <m/>
    <n v="0"/>
    <m/>
    <n v="0"/>
    <n v="0"/>
    <m/>
    <x v="1"/>
    <x v="4"/>
  </r>
  <r>
    <s v="SERVICIO DE SALUD OSORNO"/>
    <s v="Bienes y Servicios"/>
    <x v="188"/>
    <s v="Proyecto operacional"/>
    <s v="Enviado"/>
    <s v="22.04.001"/>
    <x v="189"/>
    <s v="La presente adquisición corresponde a la compra de materiales de papelería y oficina destinados al funcionamiento operativo del Centro Comunitario de Apoyo a Personas con Demencia Kümelen. Los insumos serán utilizados para el desarrollo de talleres grupales, atenciones individuales, actividades comunitarias y labores administrativas internas, permitiendo asegurar la continuidad de las prestaciones clínicas y comunitarias que realiza el equipo multidisciplinario del centro. el mes de ejecución es para Abril del 2026"/>
    <n v="2"/>
    <s v="Material de Oficina"/>
    <n v="4"/>
    <n v="29"/>
    <n v="23966"/>
    <n v="695014"/>
    <x v="4"/>
    <x v="24"/>
    <x v="63"/>
    <x v="19"/>
    <s v="64-2337366-"/>
    <s v="luis.floresme@redsalud.gob.cl"/>
    <x v="14"/>
    <m/>
    <n v="0"/>
    <m/>
    <n v="0"/>
    <n v="0"/>
    <m/>
    <x v="1"/>
    <x v="4"/>
  </r>
  <r>
    <s v="SERVICIO DE SALUD OSORNO"/>
    <s v="Bienes y Servicios"/>
    <x v="188"/>
    <s v="Proyecto operacional"/>
    <s v="Enviado"/>
    <s v="22.04.001"/>
    <x v="189"/>
    <s v="La presente adquisición corresponde a la compra de materiales de papelería y oficina destinados al funcionamiento operativo del Centro Comunitario de Apoyo a Personas con Demencia Kümelen. Los insumos serán utilizados para el desarrollo de talleres grupales, atenciones individuales, actividades comunitarias y labores administrativas internas, permitiendo asegurar la continuidad de las prestaciones clínicas y comunitarias que realiza el equipo multidisciplinario del centro. el mes de ejecución es para Abril del 2026"/>
    <n v="2"/>
    <s v="Reloj"/>
    <n v="4"/>
    <n v="1"/>
    <n v="20000"/>
    <n v="20000"/>
    <x v="4"/>
    <x v="24"/>
    <x v="63"/>
    <x v="19"/>
    <s v="64-2337366-"/>
    <s v="luis.floresme@redsalud.gob.cl"/>
    <x v="14"/>
    <m/>
    <n v="0"/>
    <m/>
    <n v="0"/>
    <n v="0"/>
    <m/>
    <x v="1"/>
    <x v="4"/>
  </r>
  <r>
    <s v="SERVICIO DE SALUD OSORNO"/>
    <s v="Bienes y Servicios"/>
    <x v="189"/>
    <s v="Proyecto operacional"/>
    <s v="Enviado"/>
    <s v="22.04.001"/>
    <x v="190"/>
    <s v="Contar con 2 mochilas acordes a funcionamiento en terreno de EMT y herramientas manuales básicas necesarias para despliegues en emergencias. mes ejecucion: enero"/>
    <n v="2"/>
    <s v="Caja"/>
    <n v="4"/>
    <n v="1"/>
    <n v="30000"/>
    <n v="30000"/>
    <x v="4"/>
    <x v="35"/>
    <x v="2"/>
    <x v="3"/>
    <s v="64-2337728-"/>
    <s v="CATALINA.VERAC@REDSALUD.GOB.CL"/>
    <x v="13"/>
    <m/>
    <n v="0"/>
    <m/>
    <n v="0"/>
    <n v="0"/>
    <m/>
    <x v="1"/>
    <x v="4"/>
  </r>
  <r>
    <s v="SERVICIO DE SALUD OSORNO"/>
    <s v="Bienes y Servicios"/>
    <x v="189"/>
    <s v="Proyecto operacional"/>
    <s v="Enviado"/>
    <s v="22.04.001"/>
    <x v="190"/>
    <s v="Contar con 2 mochilas acordes a funcionamiento en terreno de EMT y herramientas manuales básicas necesarias para despliegues en emergencias. mes ejecucion: enero"/>
    <n v="2"/>
    <s v="Mochila"/>
    <n v="4"/>
    <n v="2"/>
    <n v="450000"/>
    <n v="900000"/>
    <x v="4"/>
    <x v="35"/>
    <x v="2"/>
    <x v="3"/>
    <s v="64-2337728-"/>
    <s v="CATALINA.VERAC@REDSALUD.GOB.CL"/>
    <x v="13"/>
    <m/>
    <n v="0"/>
    <m/>
    <n v="0"/>
    <n v="0"/>
    <m/>
    <x v="1"/>
    <x v="4"/>
  </r>
  <r>
    <s v="SERVICIO DE SALUD OSORNO"/>
    <s v="Bienes y Servicios"/>
    <x v="190"/>
    <s v="Proyecto operacional"/>
    <s v="Enviado"/>
    <s v="22.11.003"/>
    <x v="191"/>
    <s v="Contar con licencia de software de cartografía web, para la creación de mapas territoriales y análisis de amenazas 12 meses. Desde mes de enero"/>
    <n v="1"/>
    <s v="Software"/>
    <n v="4"/>
    <n v="1"/>
    <n v="1400000"/>
    <n v="1400000"/>
    <x v="4"/>
    <x v="38"/>
    <x v="2"/>
    <x v="3"/>
    <s v="64-2337728-"/>
    <s v="CATALINA.VERAC@REDSALUD.GOB.CL"/>
    <x v="13"/>
    <m/>
    <n v="0"/>
    <m/>
    <n v="0"/>
    <n v="0"/>
    <m/>
    <x v="1"/>
    <x v="4"/>
  </r>
  <r>
    <s v="SERVICIO DE SALUD OSORNO"/>
    <s v="Activos Fijos"/>
    <x v="191"/>
    <s v="Proyecto operacional"/>
    <s v="Enviado"/>
    <s v="29.03"/>
    <x v="192"/>
    <s v="COMPRA DE AMBULANCIA PARA CESFAM CON SAR DE RAHUE ALTO // MES DE FEBRERO 2026."/>
    <n v="1"/>
    <s v="Ambulancia"/>
    <n v="4"/>
    <n v="1"/>
    <n v="108183000"/>
    <n v="108183000"/>
    <x v="4"/>
    <x v="24"/>
    <x v="5"/>
    <x v="39"/>
    <s v="64-2335654-"/>
    <s v="felipe.salvob@redsalud.gob.cl"/>
    <x v="14"/>
    <m/>
    <n v="0"/>
    <m/>
    <n v="0"/>
    <n v="0"/>
    <m/>
    <x v="1"/>
    <x v="5"/>
  </r>
  <r>
    <s v="SERVICIO DE SALUD OSORNO"/>
    <s v="Bienes y Servicios"/>
    <x v="192"/>
    <s v="Proyecto operacional"/>
    <s v="Enviado"/>
    <s v="22.02"/>
    <x v="193"/>
    <s v="COMPRA DE EPP PARA PERSONAL DE LA SECCION DE MANTENIMIENTO DE VEHICULOS DEL SSO"/>
    <n v="3"/>
    <s v="Calzado"/>
    <n v="4"/>
    <n v="2"/>
    <n v="80000"/>
    <n v="160000"/>
    <x v="4"/>
    <x v="38"/>
    <x v="5"/>
    <x v="39"/>
    <s v="64-2335654-"/>
    <s v="felipe.salvob@redsalud.gob.cl"/>
    <x v="19"/>
    <m/>
    <n v="0"/>
    <m/>
    <n v="0"/>
    <n v="0"/>
    <m/>
    <x v="1"/>
    <x v="4"/>
  </r>
  <r>
    <s v="SERVICIO DE SALUD OSORNO"/>
    <s v="Bienes y Servicios"/>
    <x v="192"/>
    <s v="Proyecto operacional"/>
    <s v="Enviado"/>
    <s v="22.02"/>
    <x v="193"/>
    <s v="COMPRA DE EPP PARA PERSONAL DE LA SECCION DE MANTENIMIENTO DE VEHICULOS DEL SSO"/>
    <n v="3"/>
    <s v="Vestuario"/>
    <n v="4"/>
    <n v="26"/>
    <n v="15000"/>
    <n v="390000"/>
    <x v="4"/>
    <x v="38"/>
    <x v="5"/>
    <x v="39"/>
    <s v="64-2335654-"/>
    <s v="felipe.salvob@redsalud.gob.cl"/>
    <x v="19"/>
    <m/>
    <n v="0"/>
    <m/>
    <n v="0"/>
    <n v="0"/>
    <m/>
    <x v="1"/>
    <x v="4"/>
  </r>
  <r>
    <s v="SERVICIO DE SALUD OSORNO"/>
    <s v="Bienes y Servicios"/>
    <x v="192"/>
    <s v="Proyecto operacional"/>
    <s v="Enviado"/>
    <s v="22.02"/>
    <x v="193"/>
    <s v="COMPRA DE EPP PARA PERSONAL DE LA SECCION DE MANTENIMIENTO DE VEHICULOS DEL SSO"/>
    <n v="3"/>
    <s v="Bloqueador solar"/>
    <n v="4"/>
    <n v="2"/>
    <n v="30000"/>
    <n v="60000"/>
    <x v="4"/>
    <x v="38"/>
    <x v="5"/>
    <x v="39"/>
    <s v="64-2335654-"/>
    <s v="felipe.salvob@redsalud.gob.cl"/>
    <x v="19"/>
    <m/>
    <n v="0"/>
    <m/>
    <n v="0"/>
    <n v="0"/>
    <m/>
    <x v="1"/>
    <x v="4"/>
  </r>
  <r>
    <s v="SERVICIO DE SALUD OSORNO"/>
    <s v="Bienes y Servicios"/>
    <x v="193"/>
    <s v="Proyecto operacional"/>
    <s v="Enviado"/>
    <s v="22.04.001"/>
    <x v="194"/>
    <s v="MES DE EJECUCION DE LA COMPRA DE TARJETAS BLANCAS PARA CREDENCIALES SE REALIZARA EN EL MES DE FEBRERO DE 2026."/>
    <n v="1"/>
    <s v="Tarjeta"/>
    <n v="4"/>
    <n v="400"/>
    <n v="130"/>
    <n v="52000"/>
    <x v="4"/>
    <x v="38"/>
    <x v="64"/>
    <x v="68"/>
    <s v="64-2335819-"/>
    <s v="gustavo.aravena@redsalud.gob.cl"/>
    <x v="19"/>
    <m/>
    <n v="0"/>
    <m/>
    <n v="0"/>
    <n v="0"/>
    <m/>
    <x v="1"/>
    <x v="4"/>
  </r>
  <r>
    <s v="SERVICIO DE SALUD OSORNO"/>
    <s v="Bienes y Servicios"/>
    <x v="194"/>
    <s v="Proyecto operacional"/>
    <s v="Enviado"/>
    <s v="22.04"/>
    <x v="195"/>
    <s v="Brindar una atención integral, segura y oportuna a los usuarios/as de UID Newen, a contar de enero y durante el año 2026."/>
    <n v="2"/>
    <s v="Insumos Clínicos"/>
    <n v="4"/>
    <n v="1700"/>
    <n v="53"/>
    <n v="90100"/>
    <x v="4"/>
    <x v="35"/>
    <x v="22"/>
    <x v="67"/>
    <s v="64-2337766-"/>
    <s v="camila.roa@redsalud.gob.cl"/>
    <x v="13"/>
    <m/>
    <n v="0"/>
    <m/>
    <n v="0"/>
    <n v="0"/>
    <m/>
    <x v="1"/>
    <x v="4"/>
  </r>
  <r>
    <s v="SERVICIO DE SALUD OSORNO"/>
    <s v="Bienes y Servicios"/>
    <x v="194"/>
    <s v="Proyecto operacional"/>
    <s v="Enviado"/>
    <s v="22.04"/>
    <x v="195"/>
    <s v="Brindar una atención integral, segura y oportuna a los usuarios/as de UID Newen, a contar de enero y durante el año 2026."/>
    <n v="2"/>
    <s v="Insumos de Pastillas"/>
    <n v="4"/>
    <n v="125"/>
    <n v="2240"/>
    <n v="280000"/>
    <x v="4"/>
    <x v="35"/>
    <x v="22"/>
    <x v="67"/>
    <s v="64-2337766-"/>
    <s v="camila.roa@redsalud.gob.cl"/>
    <x v="13"/>
    <m/>
    <n v="0"/>
    <m/>
    <n v="0"/>
    <n v="0"/>
    <m/>
    <x v="1"/>
    <x v="4"/>
  </r>
  <r>
    <s v="SERVICIO DE SALUD OSORNO"/>
    <s v="Administración de Fondos"/>
    <x v="195"/>
    <s v="Proyecto operacional"/>
    <s v="Enviado"/>
    <s v="22.04-22-01"/>
    <x v="196"/>
    <s v="Se espera adquisición para el mes de enero y/o febrero del 2026 para dar inicio a intervenciones desde abril."/>
    <n v="3"/>
    <s v="Material de Enseñanza"/>
    <n v="4"/>
    <n v="187"/>
    <n v="1313"/>
    <n v="245531"/>
    <x v="4"/>
    <x v="32"/>
    <x v="44"/>
    <x v="24"/>
    <s v="64-2335610-"/>
    <s v="pedro.fritz@redsalud.gob.cl"/>
    <x v="21"/>
    <m/>
    <n v="0"/>
    <m/>
    <n v="0"/>
    <n v="0"/>
    <m/>
    <x v="1"/>
    <x v="2"/>
  </r>
  <r>
    <s v="SERVICIO DE SALUD OSORNO"/>
    <s v="Administración de Fondos"/>
    <x v="195"/>
    <s v="Proyecto operacional"/>
    <s v="Enviado"/>
    <s v="22.04-22-01"/>
    <x v="196"/>
    <s v="Se espera adquisición para el mes de enero y/o febrero del 2026 para dar inicio a intervenciones desde abril."/>
    <n v="3"/>
    <s v="Abarrotes"/>
    <n v="4"/>
    <n v="6"/>
    <n v="2600"/>
    <n v="15600"/>
    <x v="4"/>
    <x v="32"/>
    <x v="44"/>
    <x v="24"/>
    <s v="64-2335610-"/>
    <s v="pedro.fritz@redsalud.gob.cl"/>
    <x v="21"/>
    <m/>
    <n v="0"/>
    <m/>
    <n v="0"/>
    <n v="0"/>
    <m/>
    <x v="1"/>
    <x v="2"/>
  </r>
  <r>
    <s v="SERVICIO DE SALUD OSORNO"/>
    <s v="Administración de Fondos"/>
    <x v="195"/>
    <s v="Proyecto operacional"/>
    <s v="Enviado"/>
    <s v="22.04-22-01"/>
    <x v="196"/>
    <s v="Se espera adquisición para el mes de enero y/o febrero del 2026 para dar inicio a intervenciones desde abril."/>
    <n v="3"/>
    <s v="Pañuelos faciales"/>
    <n v="4"/>
    <n v="4"/>
    <n v="4000"/>
    <n v="16000"/>
    <x v="4"/>
    <x v="32"/>
    <x v="44"/>
    <x v="24"/>
    <s v="64-2335610-"/>
    <s v="pedro.fritz@redsalud.gob.cl"/>
    <x v="21"/>
    <m/>
    <n v="0"/>
    <m/>
    <n v="0"/>
    <n v="0"/>
    <m/>
    <x v="1"/>
    <x v="2"/>
  </r>
  <r>
    <s v="SERVICIO DE SALUD OSORNO"/>
    <s v="Bienes y Servicios"/>
    <x v="196"/>
    <s v="Proyecto operacional"/>
    <s v="Enviado"/>
    <s v="22.04.001"/>
    <x v="197"/>
    <s v="TRIMESTRAL, SEGUN NECESIDAD DEL STOCK"/>
    <n v="5"/>
    <s v="Cinta Porta Credencial"/>
    <n v="4"/>
    <n v="200"/>
    <n v="990"/>
    <n v="198000"/>
    <x v="4"/>
    <x v="35"/>
    <x v="65"/>
    <x v="36"/>
    <s v="64-2335712-"/>
    <s v="karen.silva@redsalud.gob.cl"/>
    <x v="13"/>
    <m/>
    <n v="0"/>
    <m/>
    <n v="0"/>
    <n v="0"/>
    <m/>
    <x v="1"/>
    <x v="4"/>
  </r>
  <r>
    <s v="SERVICIO DE SALUD OSORNO"/>
    <s v="Bienes y Servicios"/>
    <x v="196"/>
    <s v="Proyecto operacional"/>
    <s v="Enviado"/>
    <s v="22.04.001"/>
    <x v="197"/>
    <s v="TRIMESTRAL, SEGUN NECESIDAD DEL STOCK"/>
    <n v="5"/>
    <s v="Porta Credencial"/>
    <n v="4"/>
    <n v="200"/>
    <n v="530"/>
    <n v="106000"/>
    <x v="4"/>
    <x v="35"/>
    <x v="65"/>
    <x v="36"/>
    <s v="64-2335712-"/>
    <s v="karen.silva@redsalud.gob.cl"/>
    <x v="13"/>
    <m/>
    <n v="0"/>
    <m/>
    <n v="0"/>
    <n v="0"/>
    <m/>
    <x v="1"/>
    <x v="4"/>
  </r>
  <r>
    <s v="SERVICIO DE SALUD OSORNO"/>
    <s v="Bienes y Servicios"/>
    <x v="196"/>
    <s v="Proyecto operacional"/>
    <s v="Enviado"/>
    <s v="22.04.001"/>
    <x v="197"/>
    <s v="TRIMESTRAL, SEGUN NECESIDAD DEL STOCK"/>
    <n v="5"/>
    <s v="Cinta Color Impresora"/>
    <n v="4"/>
    <n v="4"/>
    <n v="41000"/>
    <n v="164000"/>
    <x v="4"/>
    <x v="32"/>
    <x v="65"/>
    <x v="36"/>
    <s v="64-2335712-"/>
    <s v="karen.silva@redsalud.gob.cl"/>
    <x v="21"/>
    <m/>
    <n v="0"/>
    <m/>
    <n v="0"/>
    <n v="0"/>
    <m/>
    <x v="1"/>
    <x v="4"/>
  </r>
  <r>
    <s v="SERVICIO DE SALUD OSORNO"/>
    <s v="Bienes y Servicios"/>
    <x v="196"/>
    <s v="Proyecto operacional"/>
    <s v="Enviado"/>
    <s v="22.04.001"/>
    <x v="197"/>
    <s v="TRIMESTRAL, SEGUN NECESIDAD DEL STOCK"/>
    <n v="5"/>
    <s v="Tarjeta PVC"/>
    <n v="4"/>
    <n v="500"/>
    <n v="120"/>
    <n v="60000"/>
    <x v="4"/>
    <x v="32"/>
    <x v="65"/>
    <x v="36"/>
    <s v="64-2335712-"/>
    <s v="karen.silva@redsalud.gob.cl"/>
    <x v="21"/>
    <m/>
    <n v="0"/>
    <m/>
    <n v="0"/>
    <n v="0"/>
    <m/>
    <x v="1"/>
    <x v="4"/>
  </r>
  <r>
    <s v="SERVICIO DE SALUD OSORNO"/>
    <s v="Bienes y Servicios"/>
    <x v="196"/>
    <s v="Proyecto operacional"/>
    <s v="Enviado"/>
    <s v="22.04.001"/>
    <x v="197"/>
    <s v="TRIMESTRAL, SEGUN NECESIDAD DEL STOCK"/>
    <n v="5"/>
    <s v="Kit Limpieza"/>
    <n v="5"/>
    <n v="3"/>
    <n v="25000"/>
    <n v="75000"/>
    <x v="4"/>
    <x v="32"/>
    <x v="65"/>
    <x v="36"/>
    <s v="64-2335712-"/>
    <s v="karen.silva@redsalud.gob.cl"/>
    <x v="21"/>
    <m/>
    <n v="0"/>
    <m/>
    <n v="0"/>
    <n v="0"/>
    <m/>
    <x v="1"/>
    <x v="4"/>
  </r>
  <r>
    <s v="SERVICIO DE SALUD OSORNO"/>
    <s v="Compras Convenio GORE Region de Los Lagos"/>
    <x v="197"/>
    <s v="Proyecto operacional"/>
    <s v="Enviado"/>
    <s v="31.02.002"/>
    <x v="198"/>
    <s v="Ejecutar un Pozo profundo para la PSR Forrahue, comuna de Osorno."/>
    <n v="1"/>
    <s v="Consultorias"/>
    <n v="4"/>
    <n v="1"/>
    <n v="25000000"/>
    <n v="25000000"/>
    <x v="4"/>
    <x v="27"/>
    <x v="39"/>
    <x v="44"/>
    <s v="64-2335843-"/>
    <s v="mario.barrientos@redsalud.gob.cl"/>
    <x v="17"/>
    <m/>
    <n v="0"/>
    <m/>
    <n v="0"/>
    <n v="0"/>
    <m/>
    <x v="1"/>
    <x v="3"/>
  </r>
  <r>
    <s v="SERVICIO DE SALUD OSORNO"/>
    <s v="Compras Convenio GORE Region de Los Lagos"/>
    <x v="198"/>
    <s v="Proyecto operacional"/>
    <s v="Enviado"/>
    <s v="31.02.002"/>
    <x v="199"/>
    <s v="Desarrollar las adecuaciones a los proyectos de arquitectura y especialidades del diseño del la PSR tipo para el sector de Forrahue, comuna de Osorno."/>
    <n v="1"/>
    <s v="Consultorias"/>
    <n v="4"/>
    <n v="1"/>
    <n v="37000000"/>
    <n v="37000000"/>
    <x v="4"/>
    <x v="28"/>
    <x v="39"/>
    <x v="44"/>
    <s v="64-2335843-"/>
    <s v="mario.barrientos@redsalud.gob.cl"/>
    <x v="18"/>
    <m/>
    <n v="0"/>
    <m/>
    <n v="0"/>
    <n v="0"/>
    <m/>
    <x v="1"/>
    <x v="3"/>
  </r>
  <r>
    <s v="SERVICIO DE SALUD OSORNO"/>
    <s v="Compras Convenio GORE Region de Los Lagos"/>
    <x v="199"/>
    <s v="Proyecto operacional"/>
    <s v="Enviado"/>
    <s v="31.02.002"/>
    <x v="200"/>
    <s v="Consultoría para el desarrollo de los proyectos de arquitectura, estructuras y especialidades concurrentes para el diseño del Servicio de Alta Resolutividad (SAR), comuna de Puyehue"/>
    <n v="1"/>
    <s v="Consultorias"/>
    <n v="4"/>
    <n v="1"/>
    <n v="60000000"/>
    <n v="60000000"/>
    <x v="4"/>
    <x v="36"/>
    <x v="39"/>
    <x v="44"/>
    <s v="64-2335843-"/>
    <s v="mario.barrientos@redsalud.gob.cl"/>
    <x v="24"/>
    <m/>
    <n v="0"/>
    <m/>
    <n v="0"/>
    <n v="0"/>
    <m/>
    <x v="1"/>
    <x v="3"/>
  </r>
  <r>
    <s v="SERVICIO DE SALUD OSORNO"/>
    <s v="Activos Fijos"/>
    <x v="200"/>
    <s v="Proyecto operacional"/>
    <s v="Enviado"/>
    <s v="29.04"/>
    <x v="201"/>
    <s v="Se requieren para enero 2026"/>
    <n v="1"/>
    <s v="Sillas"/>
    <n v="4"/>
    <n v="15"/>
    <n v="266667"/>
    <n v="4000005"/>
    <x v="4"/>
    <x v="35"/>
    <x v="44"/>
    <x v="24"/>
    <s v="64-2336510-"/>
    <s v="pedro.fritz@redsalud.gob.cl"/>
    <x v="13"/>
    <m/>
    <n v="0"/>
    <m/>
    <n v="0"/>
    <n v="0"/>
    <m/>
    <x v="1"/>
    <x v="5"/>
  </r>
  <r>
    <s v="SERVICIO DE SALUD OSORNO"/>
    <s v="Activos Fijos"/>
    <x v="201"/>
    <s v="Proyecto operacional"/>
    <s v="Enviado"/>
    <s v="31.02.005"/>
    <x v="202"/>
    <s v="Proyecto con fuente de financiamiento sectorial. Ejecución proyectada para abril 2026."/>
    <n v="2"/>
    <s v="Equipamiento Medico"/>
    <n v="4"/>
    <n v="1"/>
    <n v="75964000"/>
    <n v="75964000"/>
    <x v="4"/>
    <x v="24"/>
    <x v="66"/>
    <x v="69"/>
    <s v="64-2337386-"/>
    <s v="maria.munozp@redsalud.gob.cl"/>
    <x v="14"/>
    <m/>
    <n v="0"/>
    <m/>
    <n v="0"/>
    <n v="0"/>
    <m/>
    <x v="1"/>
    <x v="5"/>
  </r>
  <r>
    <s v="SERVICIO DE SALUD OSORNO"/>
    <s v="Activos Fijos"/>
    <x v="201"/>
    <s v="Proyecto operacional"/>
    <s v="Enviado"/>
    <s v="31.02.005"/>
    <x v="202"/>
    <s v="Proyecto con fuente de financiamiento sectorial. Ejecución proyectada para abril 2026."/>
    <n v="2"/>
    <s v="Equipo Medico"/>
    <n v="4"/>
    <n v="1"/>
    <n v="66699000"/>
    <n v="66699000"/>
    <x v="4"/>
    <x v="24"/>
    <x v="66"/>
    <x v="69"/>
    <s v="64-2337386-"/>
    <s v="maria.munozp@redsalud.gob.cl"/>
    <x v="14"/>
    <m/>
    <n v="0"/>
    <m/>
    <n v="0"/>
    <n v="0"/>
    <m/>
    <x v="1"/>
    <x v="5"/>
  </r>
  <r>
    <s v="SERVICIO DE SALUD OSORNO"/>
    <s v="Obras Civiles"/>
    <x v="202"/>
    <s v="Proyecto operacional"/>
    <s v="Enviado"/>
    <n v="31"/>
    <x v="203"/>
    <s v="Desarrollar los proyectos de arquitectura, estructuras, especialidades y estudios concurrentes del diseño del nuevo Hospital de Purranque."/>
    <n v="1"/>
    <s v="Consultorias"/>
    <n v="4"/>
    <n v="1"/>
    <n v="1680000000"/>
    <n v="1680000000"/>
    <x v="4"/>
    <x v="28"/>
    <x v="39"/>
    <x v="44"/>
    <s v="64-2335843-"/>
    <s v="mario.barrientos@redsalud.gob.cl"/>
    <x v="16"/>
    <m/>
    <n v="0"/>
    <m/>
    <n v="0"/>
    <n v="0"/>
    <m/>
    <x v="1"/>
    <x v="6"/>
  </r>
  <r>
    <s v="SERVICIO DE SALUD OSORNO"/>
    <s v="Obras Civiles"/>
    <x v="203"/>
    <s v="Proyecto operacional"/>
    <s v="Enviado"/>
    <s v="31.02.002"/>
    <x v="204"/>
    <s v="Desarrollar los proyectos de arquitectura, estructura y especialidades para la habilitación de un centro de diálisis municipal, el que se ubicara en el ex edificio de la PDI de Osorno."/>
    <n v="1"/>
    <s v="Consultorias"/>
    <n v="4"/>
    <n v="1"/>
    <n v="80000000"/>
    <n v="80000000"/>
    <x v="4"/>
    <x v="28"/>
    <x v="39"/>
    <x v="44"/>
    <s v="64-2335843-"/>
    <s v="mario.barrientos@redsalud.gob.cl"/>
    <x v="18"/>
    <m/>
    <n v="0"/>
    <m/>
    <n v="0"/>
    <n v="0"/>
    <m/>
    <x v="1"/>
    <x v="6"/>
  </r>
  <r>
    <s v="SERVICIO DE SALUD OSORNO"/>
    <s v="Obras Civiles"/>
    <x v="204"/>
    <s v="Proyecto operacional"/>
    <s v="Enviado"/>
    <s v="31.02.003"/>
    <x v="205"/>
    <s v="Contratación del estudio de preinversión hospitalario para el proyecto de reposición del Hospital de alta complejidad de la provincia, el cual contempla los módulos de producción, recursos humanos, TICs, equipos y equipamiento, infraestructura y sustentabilidad financiera. Subtitulo 31"/>
    <n v="1"/>
    <s v="Consultorias"/>
    <n v="4"/>
    <n v="1"/>
    <n v="250000000"/>
    <n v="250000000"/>
    <x v="4"/>
    <x v="28"/>
    <x v="67"/>
    <x v="70"/>
    <s v="64-2335823-"/>
    <s v="sandra.cardenass@redsalud.gob.cl"/>
    <x v="16"/>
    <m/>
    <n v="0"/>
    <m/>
    <n v="0"/>
    <n v="0"/>
    <m/>
    <x v="1"/>
    <x v="6"/>
  </r>
  <r>
    <s v="SERVICIO DE SALUD OSORNO"/>
    <s v="Obras Civiles"/>
    <x v="205"/>
    <s v="Proyecto operacional"/>
    <s v="Enviado"/>
    <s v="31.02.002"/>
    <x v="206"/>
    <s v="Desarrollar los proyectos de arquitectura, estructuras y especialidades concurrentes para la nueva Base SAMU Provincial y Centro de Despacho."/>
    <n v="1"/>
    <s v="Consultorias"/>
    <n v="4"/>
    <n v="1"/>
    <n v="55000000"/>
    <n v="55000000"/>
    <x v="4"/>
    <x v="26"/>
    <x v="39"/>
    <x v="44"/>
    <s v="64-2335843-"/>
    <s v="mario.barrientos@redsalud.gob.cl"/>
    <x v="24"/>
    <m/>
    <n v="0"/>
    <m/>
    <n v="0"/>
    <n v="0"/>
    <m/>
    <x v="1"/>
    <x v="6"/>
  </r>
  <r>
    <s v="SERVICIO DE SALUD OSORNO"/>
    <s v="Obras Civiles"/>
    <x v="206"/>
    <s v="Proyecto operacional"/>
    <s v="Enviado"/>
    <s v="31.02.002"/>
    <x v="207"/>
    <s v="Contratación del estudio de preinversión hospitalario para el proyecto de reposición del Hospital de baja complejidad de Río Negro, el cual contempla los módulos de producción, recursos humanos, TICs, equipo y equipamiento, infraestructura y sustentabilidad financiera. Subtítulo 31"/>
    <n v="1"/>
    <s v="Consultorias"/>
    <n v="4"/>
    <n v="1"/>
    <n v="80000000"/>
    <n v="80000000"/>
    <x v="4"/>
    <x v="27"/>
    <x v="68"/>
    <x v="71"/>
    <s v="64-2335764-"/>
    <s v="JAVIER.DONOSO@REDSALUD.GOB.CL"/>
    <x v="17"/>
    <m/>
    <n v="0"/>
    <m/>
    <n v="0"/>
    <n v="0"/>
    <m/>
    <x v="1"/>
    <x v="6"/>
  </r>
  <r>
    <s v="SERVICIO DE SALUD OSORNO"/>
    <s v="Obras Civiles"/>
    <x v="207"/>
    <s v="Proyecto operacional"/>
    <s v="Enviado"/>
    <s v="31.02.002"/>
    <x v="208"/>
    <s v="Contratación del estudio de preinversión hospitalario para el proyecto de reposición del Hospital de baja complejidad de Puerto Octay, el cual contempla los módulos de producción, recursos humanos, TICs, equipo y equipamiento, infraestructura y sustentabilidad financiera. Subtítulo 31"/>
    <n v="1"/>
    <s v="Consultorias"/>
    <n v="4"/>
    <n v="1"/>
    <n v="80000000"/>
    <n v="80000000"/>
    <x v="4"/>
    <x v="27"/>
    <x v="68"/>
    <x v="71"/>
    <s v="64-2335663-"/>
    <s v="JAVIER.DONOSO@REDSALUD.GOB.CL"/>
    <x v="17"/>
    <m/>
    <n v="0"/>
    <m/>
    <n v="0"/>
    <n v="0"/>
    <m/>
    <x v="1"/>
    <x v="6"/>
  </r>
  <r>
    <s v="SERVICIO DE SALUD OSORNO"/>
    <s v="Obras Civiles"/>
    <x v="208"/>
    <s v="Proyecto operacional"/>
    <s v="Enviado"/>
    <s v="31.02.002"/>
    <x v="209"/>
    <s v="Desarrollar los diseños de Arquitectura, Estructuras y Especialidades concurrentes para el nuevo CESFAM de la comuna de Puerto Octay."/>
    <n v="1"/>
    <s v="Consultorias"/>
    <n v="4"/>
    <n v="1"/>
    <n v="90000000"/>
    <n v="90000000"/>
    <x v="4"/>
    <x v="27"/>
    <x v="39"/>
    <x v="44"/>
    <s v="64-2335843-"/>
    <s v="mario.barrientos@redsalud.gob.cl"/>
    <x v="17"/>
    <m/>
    <n v="0"/>
    <m/>
    <n v="0"/>
    <n v="0"/>
    <m/>
    <x v="1"/>
    <x v="6"/>
  </r>
  <r>
    <s v="SERVICIO DE SALUD OSORNO"/>
    <s v="Obras Civiles"/>
    <x v="209"/>
    <s v="Proyecto operacional"/>
    <s v="Enviado"/>
    <s v="31.02.002"/>
    <x v="210"/>
    <s v="Contratar visitas para diciembre de 2026 de: *02 visita Estructural por 20 UF *02 visita Electricidad por 14 UF *02 visita Clima por 14 UF *01 visita Gas por 14 UF *01 visita Seguridad por 14 UF *01 visita Gases Clínicos por 14 UF *02 visita Pav. y AA.LL por 20UF *02 visita A.P y Alcantarillado por 15 UF * 01 Visita Revisor Independiente de Arquitectura Nota: el valor de la UF será calculado el día de la visita del especialista."/>
    <n v="1"/>
    <s v="Consultorias"/>
    <n v="4"/>
    <n v="14"/>
    <n v="701054"/>
    <n v="9814756"/>
    <x v="4"/>
    <x v="29"/>
    <x v="69"/>
    <x v="63"/>
    <s v="64-2337385-"/>
    <s v="rodrigo.neirar@redsalud.gob.cl"/>
    <x v="23"/>
    <m/>
    <n v="0"/>
    <m/>
    <n v="0"/>
    <n v="0"/>
    <m/>
    <x v="1"/>
    <x v="6"/>
  </r>
  <r>
    <s v="SERVICIO DE SALUD OSORNO"/>
    <s v="Obras Civiles"/>
    <x v="210"/>
    <s v="Proyecto operacional"/>
    <s v="Enviado"/>
    <s v="31.02.002"/>
    <x v="211"/>
    <s v="SE REQUIETE 1 VISITA DE ESPECIALIDAD DE ARQUITECTURA PARA LA OBRA CONSTRUCCION CESFAM CON SAR CHUYACA OSORNO PARA EL MES DE JUNIO DE 2026. EL COSTO DE LA VISITA ES DE 14 UF IVA INCLUIDO. NOTA: EL VALOR DE LA UF SERA DEL DIA DE LA VISITA."/>
    <n v="1"/>
    <s v="Consultorias"/>
    <n v="4"/>
    <n v="1"/>
    <n v="525000"/>
    <n v="525000"/>
    <x v="4"/>
    <x v="25"/>
    <x v="70"/>
    <x v="72"/>
    <s v="64-2337385-"/>
    <s v="fernando.wulf@redsalud.gob.cl"/>
    <x v="15"/>
    <m/>
    <n v="0"/>
    <m/>
    <n v="0"/>
    <n v="0"/>
    <m/>
    <x v="1"/>
    <x v="6"/>
  </r>
  <r>
    <s v="SERVICIO DE SALUD OSORNO"/>
    <s v="Bienes y Servicios"/>
    <x v="211"/>
    <s v="Proyecto operacional"/>
    <s v="Enviado"/>
    <s v="22..02.002"/>
    <x v="212"/>
    <s v="Fuente de financiamiento con recursos propios del Servicio de Salud Osorno. Ejecución proyectada para abril 2026"/>
    <n v="1"/>
    <s v="EPP"/>
    <n v="4"/>
    <n v="1"/>
    <n v="150000"/>
    <n v="150000"/>
    <x v="4"/>
    <x v="24"/>
    <x v="66"/>
    <x v="69"/>
    <s v="64-2337386-"/>
    <s v="maria.munozp@redsalud.gob.cl"/>
    <x v="14"/>
    <m/>
    <n v="0"/>
    <m/>
    <n v="0"/>
    <n v="0"/>
    <m/>
    <x v="1"/>
    <x v="4"/>
  </r>
  <r>
    <s v="SERVICIO DE SALUD OSORNO"/>
    <s v="Activos Fijos"/>
    <x v="212"/>
    <s v="Proyecto operacional"/>
    <s v="Enviado"/>
    <s v="29.05.002"/>
    <x v="213"/>
    <s v="Proyecto con fuente de financiamiento sectorial. Ejecución proyectada para abril 2026"/>
    <n v="2"/>
    <s v="Equipamiento Medico"/>
    <n v="4"/>
    <n v="1"/>
    <n v="10000000"/>
    <n v="10000000"/>
    <x v="4"/>
    <x v="24"/>
    <x v="66"/>
    <x v="69"/>
    <s v="64-2337386-"/>
    <s v="maria.munozp@redsalud.gob.cl"/>
    <x v="14"/>
    <m/>
    <n v="0"/>
    <m/>
    <n v="0"/>
    <n v="0"/>
    <m/>
    <x v="1"/>
    <x v="5"/>
  </r>
  <r>
    <s v="SERVICIO DE SALUD OSORNO"/>
    <s v="Activos Fijos"/>
    <x v="212"/>
    <s v="Proyecto operacional"/>
    <s v="Enviado"/>
    <s v="29.05.002"/>
    <x v="213"/>
    <s v="Proyecto con fuente de financiamiento sectorial. Ejecución proyectada para abril 2026"/>
    <n v="2"/>
    <s v="Equipo Medico"/>
    <n v="4"/>
    <n v="1"/>
    <n v="200000000"/>
    <n v="200000000"/>
    <x v="4"/>
    <x v="24"/>
    <x v="66"/>
    <x v="69"/>
    <s v="64-2337386-"/>
    <s v="maria.munozp@redsalud.gob.cl"/>
    <x v="14"/>
    <m/>
    <n v="0"/>
    <m/>
    <n v="0"/>
    <n v="0"/>
    <m/>
    <x v="1"/>
    <x v="5"/>
  </r>
  <r>
    <s v="SERVICIO DE SALUD OSORNO"/>
    <s v="Activos Fijos"/>
    <x v="213"/>
    <s v="Proyecto operacional"/>
    <s v="Enviado"/>
    <s v="31.02.005"/>
    <x v="214"/>
    <s v="Proyecto con fuente de financiamiento F.N.D.R. Ejecución proyectada para julio 2026"/>
    <n v="2"/>
    <s v="Equipamiento Medico"/>
    <n v="4"/>
    <n v="1"/>
    <n v="86892000"/>
    <n v="86892000"/>
    <x v="4"/>
    <x v="33"/>
    <x v="66"/>
    <x v="69"/>
    <s v="64-2337386-"/>
    <s v="maria.munozp@redsalud.gob.cl"/>
    <x v="22"/>
    <m/>
    <n v="0"/>
    <m/>
    <n v="0"/>
    <n v="0"/>
    <m/>
    <x v="1"/>
    <x v="5"/>
  </r>
  <r>
    <s v="SERVICIO DE SALUD OSORNO"/>
    <s v="Activos Fijos"/>
    <x v="213"/>
    <s v="Proyecto operacional"/>
    <s v="Enviado"/>
    <s v="31.02.005"/>
    <x v="214"/>
    <s v="Proyecto con fuente de financiamiento F.N.D.R. Ejecución proyectada para julio 2026"/>
    <n v="2"/>
    <s v="Equipo Medico"/>
    <n v="4"/>
    <n v="1"/>
    <n v="42183000"/>
    <n v="42183000"/>
    <x v="4"/>
    <x v="33"/>
    <x v="66"/>
    <x v="69"/>
    <s v="64-2337386-"/>
    <s v="maria.munozp@redsalud.gob.cl"/>
    <x v="22"/>
    <m/>
    <n v="0"/>
    <m/>
    <n v="0"/>
    <n v="0"/>
    <m/>
    <x v="1"/>
    <x v="5"/>
  </r>
  <r>
    <s v="SERVICIO DE SALUD OSORNO"/>
    <s v="Compras Convenio GORE Region de Los Lagos"/>
    <x v="214"/>
    <s v="Proyecto operacional"/>
    <s v="Enviado"/>
    <s v="31.02.005"/>
    <x v="215"/>
    <s v="Proyecto con fuente de financiamiento F.N.D.R. Ejecución proyectada para julio 2026"/>
    <n v="2"/>
    <s v="Equipamiento Medico"/>
    <n v="4"/>
    <n v="1"/>
    <n v="9566000"/>
    <n v="9566000"/>
    <x v="4"/>
    <x v="33"/>
    <x v="66"/>
    <x v="69"/>
    <s v="64-2337386-"/>
    <s v="maria.munozp@redsalud.gob.cl"/>
    <x v="22"/>
    <m/>
    <n v="0"/>
    <m/>
    <n v="0"/>
    <n v="0"/>
    <m/>
    <x v="1"/>
    <x v="3"/>
  </r>
  <r>
    <s v="SERVICIO DE SALUD OSORNO"/>
    <s v="Compras Convenio GORE Region de Los Lagos"/>
    <x v="214"/>
    <s v="Proyecto operacional"/>
    <s v="Enviado"/>
    <s v="31.02.005"/>
    <x v="215"/>
    <s v="Proyecto con fuente de financiamiento F.N.D.R. Ejecución proyectada para julio 2026"/>
    <n v="2"/>
    <s v="Equipo Medico"/>
    <n v="4"/>
    <n v="1"/>
    <n v="7621000"/>
    <n v="7621000"/>
    <x v="4"/>
    <x v="33"/>
    <x v="66"/>
    <x v="69"/>
    <s v="64-2337386-"/>
    <s v="maria.munozp@redsalud.gob.cl"/>
    <x v="22"/>
    <m/>
    <n v="0"/>
    <m/>
    <n v="0"/>
    <n v="0"/>
    <m/>
    <x v="1"/>
    <x v="3"/>
  </r>
  <r>
    <s v="SERVICIO DE SALUD OSORNO"/>
    <s v="Compras Convenio GORE Region de Los Lagos"/>
    <x v="215"/>
    <s v="Proyecto operacional"/>
    <s v="Enviado"/>
    <s v="31.02.005"/>
    <x v="216"/>
    <s v="Proyecto con fuente de financiamiento F.N.D.R. Ejecución proyectada para junio 2026"/>
    <n v="2"/>
    <s v="Equipamiento Medico"/>
    <n v="4"/>
    <n v="1"/>
    <n v="97703000"/>
    <n v="97703000"/>
    <x v="4"/>
    <x v="25"/>
    <x v="66"/>
    <x v="69"/>
    <s v="64-2337386-"/>
    <s v="maria.munozp@redsalud.gob.cl"/>
    <x v="15"/>
    <m/>
    <n v="0"/>
    <m/>
    <n v="0"/>
    <n v="0"/>
    <m/>
    <x v="1"/>
    <x v="3"/>
  </r>
  <r>
    <s v="SERVICIO DE SALUD OSORNO"/>
    <s v="Compras Convenio GORE Region de Los Lagos"/>
    <x v="215"/>
    <s v="Proyecto operacional"/>
    <s v="Enviado"/>
    <s v="31.02.005"/>
    <x v="216"/>
    <s v="Proyecto con fuente de financiamiento F.N.D.R. Ejecución proyectada para junio 2026"/>
    <n v="2"/>
    <s v="Equipo Medico"/>
    <n v="4"/>
    <n v="1"/>
    <n v="196076000"/>
    <n v="196076000"/>
    <x v="4"/>
    <x v="25"/>
    <x v="66"/>
    <x v="69"/>
    <s v="64-2337386-"/>
    <s v="maria.munozp@redsalud.gob.cl"/>
    <x v="15"/>
    <m/>
    <n v="0"/>
    <m/>
    <n v="0"/>
    <n v="0"/>
    <m/>
    <x v="1"/>
    <x v="3"/>
  </r>
  <r>
    <s v="SERVICIO DE SALUD OSORNO"/>
    <s v="Compras Convenio GORE Region de Los Lagos"/>
    <x v="216"/>
    <s v="Proyecto operacional"/>
    <s v="Enviado"/>
    <s v="31.02.002"/>
    <x v="217"/>
    <s v="Desarrollar las adecuaciones a los proyectos de arquitectura y especialidades del diseño de la PSR tipo para el sector de Cuinco, comuna de San Juan de La Costa."/>
    <n v="1"/>
    <s v="Consultorias"/>
    <n v="4"/>
    <n v="1"/>
    <n v="37000000"/>
    <n v="37000000"/>
    <x v="4"/>
    <x v="26"/>
    <x v="39"/>
    <x v="44"/>
    <s v="64-2335843-"/>
    <s v="mario.barrientos@redsalud.gob.cl"/>
    <x v="16"/>
    <m/>
    <n v="0"/>
    <m/>
    <n v="0"/>
    <n v="0"/>
    <m/>
    <x v="1"/>
    <x v="3"/>
  </r>
  <r>
    <s v="SERVICIO DE SALUD OSORNO"/>
    <s v="Compras Convenio GORE Region de Los Lagos"/>
    <x v="217"/>
    <s v="Proyecto operacional"/>
    <s v="Enviado"/>
    <s v="31.02.005"/>
    <x v="218"/>
    <s v="Proyecto con fuente de financiamiento F.N.D.R. Ejecución proyectada para mayo 2026"/>
    <n v="2"/>
    <s v="Equipamiento Medico"/>
    <n v="4"/>
    <n v="1"/>
    <n v="44778000"/>
    <n v="44778000"/>
    <x v="4"/>
    <x v="31"/>
    <x v="66"/>
    <x v="69"/>
    <s v="64-2337386-"/>
    <s v="maria.munozp@redsalud.gob.cl"/>
    <x v="20"/>
    <m/>
    <n v="0"/>
    <m/>
    <n v="0"/>
    <n v="0"/>
    <m/>
    <x v="1"/>
    <x v="3"/>
  </r>
  <r>
    <s v="SERVICIO DE SALUD OSORNO"/>
    <s v="Compras Convenio GORE Region de Los Lagos"/>
    <x v="217"/>
    <s v="Proyecto operacional"/>
    <s v="Enviado"/>
    <s v="31.02.005"/>
    <x v="218"/>
    <s v="Proyecto con fuente de financiamiento F.N.D.R. Ejecución proyectada para mayo 2026"/>
    <n v="2"/>
    <s v="Equipo Medico"/>
    <n v="4"/>
    <n v="1"/>
    <n v="57632000"/>
    <n v="57632000"/>
    <x v="4"/>
    <x v="31"/>
    <x v="66"/>
    <x v="69"/>
    <s v="64-2337386-"/>
    <s v="maria.munozp@redsalud.gob.cl"/>
    <x v="20"/>
    <m/>
    <n v="0"/>
    <m/>
    <n v="0"/>
    <n v="0"/>
    <m/>
    <x v="1"/>
    <x v="3"/>
  </r>
  <r>
    <s v="SERVICIO DE SALUD OSORNO"/>
    <s v="Compras Convenio GORE Region de Los Lagos"/>
    <x v="218"/>
    <s v="Proyecto operacional"/>
    <s v="Enviado"/>
    <s v="31.02.002"/>
    <x v="219"/>
    <s v="Desarrollar el diseño de arquitectura, estructuras y especialidades para la ampliación y normalización del actual CESFAM de San Pablo."/>
    <n v="1"/>
    <s v="Consultorias"/>
    <n v="4"/>
    <n v="1"/>
    <n v="103000000"/>
    <n v="103000000"/>
    <x v="4"/>
    <x v="26"/>
    <x v="39"/>
    <x v="44"/>
    <s v="64-2335843-"/>
    <s v="mario.barrientos@redsalud.gob.cl"/>
    <x v="16"/>
    <m/>
    <n v="0"/>
    <m/>
    <n v="0"/>
    <n v="0"/>
    <m/>
    <x v="1"/>
    <x v="3"/>
  </r>
  <r>
    <s v="SERVICIO DE SALUD OSORNO"/>
    <s v="Activos Fijos"/>
    <x v="219"/>
    <s v="Proyecto operacional"/>
    <s v="Enviado"/>
    <s v="31.02.005"/>
    <x v="220"/>
    <s v="Proyecto con fuente de financiamiento sectorial. Ejecución proyectada para abril 2026"/>
    <n v="2"/>
    <s v="Equipamiento Medico"/>
    <n v="4"/>
    <n v="1"/>
    <n v="704255000"/>
    <n v="704255000"/>
    <x v="4"/>
    <x v="24"/>
    <x v="66"/>
    <x v="69"/>
    <s v="64-2337386-"/>
    <s v="maria.munozp@redsalud.gob.cl"/>
    <x v="14"/>
    <m/>
    <n v="0"/>
    <m/>
    <n v="0"/>
    <n v="0"/>
    <m/>
    <x v="1"/>
    <x v="5"/>
  </r>
  <r>
    <s v="SERVICIO DE SALUD OSORNO"/>
    <s v="Activos Fijos"/>
    <x v="219"/>
    <s v="Proyecto operacional"/>
    <s v="Enviado"/>
    <s v="31.02.005"/>
    <x v="220"/>
    <s v="Proyecto con fuente de financiamiento sectorial. Ejecución proyectada para abril 2026"/>
    <n v="2"/>
    <s v="Equipo Medico"/>
    <n v="4"/>
    <n v="1"/>
    <n v="874576000"/>
    <n v="874576000"/>
    <x v="4"/>
    <x v="24"/>
    <x v="66"/>
    <x v="69"/>
    <s v="64-2337386-"/>
    <s v="maria.munozp@redsalud.gob.cl"/>
    <x v="14"/>
    <m/>
    <n v="0"/>
    <m/>
    <n v="0"/>
    <n v="0"/>
    <m/>
    <x v="1"/>
    <x v="5"/>
  </r>
  <r>
    <s v="SERVICIO DE SALUD OSORNO"/>
    <s v="Obras Civiles"/>
    <x v="220"/>
    <s v="Proyecto estratégico"/>
    <s v="Enviado"/>
    <s v="31.02.004"/>
    <x v="221"/>
    <s v="SE REQUIERE LICITAR PARA EL MES DE ABRIL DE 2026 EL SERVICIO DE CONSTRUCCION DE POSTA DE SALUD RURAL EL PONCHO."/>
    <n v="1"/>
    <s v="Construcción"/>
    <n v="4"/>
    <n v="1"/>
    <n v="1058222000"/>
    <n v="1058222000"/>
    <x v="4"/>
    <x v="25"/>
    <x v="62"/>
    <x v="36"/>
    <s v="64-2337385-"/>
    <s v="gustavo.marin@redsalud.gob.cl"/>
    <x v="14"/>
    <m/>
    <n v="0"/>
    <m/>
    <n v="0"/>
    <n v="0"/>
    <m/>
    <x v="1"/>
    <x v="6"/>
  </r>
  <r>
    <s v="SERVICIO DE SALUD OSORNO"/>
    <s v="Obras Civiles"/>
    <x v="221"/>
    <s v="Proyecto operacional"/>
    <s v="Enviado"/>
    <s v="31.02.004"/>
    <x v="222"/>
    <s v="SE REQUIERE CONTRATAR EL SERCIVIO DE CONSTRUCCION DE POSTA DE SALUD RURAL DE HUILMA, UBICADO EN EL CRUCE HUILMA COMUNA DE RIO NEGRO ENTRE LA RUTA U-72 Y LA RUTA U-506. SE CONTEMPLA LA CONSTRUCCION DE UNA INFRAESTRUCTURA DE 225,6 M2 MAS UNA CASA DE PARAMEDICO DE 55 M2 EN UN TERRENO DE 11.000 M2. COMPUESTA DE MATERIALIDAD DE ACERO GALVANIZADO, CUBIERTA DE ZINC ALUM, REVESTIMIENTO EXTERIOR AISLADO, FUNDACIONES DE HORMIGON ARMADO, REVESTIMIENTO INTERIOR DE YESO CARTON . EL SERVICIO DEBERA ESTAR DISPONIBLE PARA ABRIL DEL 2026."/>
    <n v="1"/>
    <s v="Construcción"/>
    <n v="4"/>
    <n v="1"/>
    <n v="916961000"/>
    <n v="916961000"/>
    <x v="4"/>
    <x v="25"/>
    <x v="62"/>
    <x v="36"/>
    <s v="64-2337385-"/>
    <s v="gustavo.marin@redsalud.gob.cl"/>
    <x v="14"/>
    <m/>
    <n v="0"/>
    <m/>
    <n v="0"/>
    <n v="0"/>
    <m/>
    <x v="1"/>
    <x v="6"/>
  </r>
  <r>
    <s v="SERVICIO DE SALUD OSORNO"/>
    <s v="Obras Civiles"/>
    <x v="222"/>
    <s v="Proyecto estratégico"/>
    <s v="Enviado"/>
    <s v="31.02.004"/>
    <x v="223"/>
    <s v="SE REQUIERE CONTRATAR PARA EL MES DE ABRIL DE 2026, EL SERVICIO DE CONSTRUCCION DE POSTA DE SALUD RURAL DE RUPANCO, COMUNA DE PUERTO OCTAY UBICADO EN EL KM 60,3 LADO DERECHO DE LA RUTA U911,COMUNA DE DE PUERTO OCTAY ( SECTOR ADMINISTRACION HACIENDA RUPANCO) CONTEMPLA UNA CONSTRUCCION DE 295 M2 PARA LA POSTA Y UNA VIVIENDA DE PARAMEDICO DE 55 M2 AMBAS EN ESTRUCTURA DE ACERO GALVANIZADO,RADIER DE HORMIGON ARMADO, REVESTIMIENTO EXTERIOR CON AISLACION, CUBIERTA DE ZIN ALUM Y REVESTIMIENTO INTERIOR DE YESO-CARTON"/>
    <n v="1"/>
    <s v="Construcción"/>
    <n v="4"/>
    <n v="1"/>
    <n v="888441000"/>
    <n v="888441000"/>
    <x v="4"/>
    <x v="24"/>
    <x v="62"/>
    <x v="36"/>
    <s v="64-2337385-"/>
    <s v="gustavo.marin@redsalud.gob.cl"/>
    <x v="14"/>
    <m/>
    <n v="0"/>
    <m/>
    <n v="0"/>
    <n v="0"/>
    <m/>
    <x v="1"/>
    <x v="6"/>
  </r>
  <r>
    <s v="SERVICIO DE SALUD OSORNO"/>
    <s v="Compras Convenio GORE Region de Los Lagos"/>
    <x v="223"/>
    <s v="Proyecto operacional"/>
    <s v="Enviado"/>
    <s v="31.02.005"/>
    <x v="224"/>
    <s v="Proyecto con fuente de financiamiento F.N.D.R. Ejecución proyectada para abril 2026"/>
    <n v="1"/>
    <s v="Equipamiento Medico"/>
    <n v="4"/>
    <n v="1"/>
    <n v="6442000"/>
    <n v="6442000"/>
    <x v="4"/>
    <x v="24"/>
    <x v="66"/>
    <x v="69"/>
    <s v="64-2337386-"/>
    <s v="maria.munozp@redsalud.gob.cl"/>
    <x v="14"/>
    <m/>
    <n v="0"/>
    <m/>
    <n v="0"/>
    <n v="0"/>
    <m/>
    <x v="1"/>
    <x v="3"/>
  </r>
  <r>
    <s v="SERVICIO DE SALUD OSORNO"/>
    <s v="Activos Fijos"/>
    <x v="224"/>
    <s v="Proyecto operacional"/>
    <s v="Enviado"/>
    <s v="31.02.005"/>
    <x v="225"/>
    <s v="Proyecto con fuente de financiamiento sectorial. Ejecución proyectada para abril 2026"/>
    <n v="2"/>
    <s v="Equipamiento Medico"/>
    <n v="4"/>
    <n v="1"/>
    <n v="64156000"/>
    <n v="64156000"/>
    <x v="4"/>
    <x v="24"/>
    <x v="66"/>
    <x v="69"/>
    <s v="64-2337386-"/>
    <s v="maria.munozp@redsalud.gob.cl"/>
    <x v="14"/>
    <m/>
    <n v="0"/>
    <m/>
    <n v="0"/>
    <n v="0"/>
    <m/>
    <x v="1"/>
    <x v="5"/>
  </r>
  <r>
    <s v="SERVICIO DE SALUD OSORNO"/>
    <s v="Activos Fijos"/>
    <x v="224"/>
    <s v="Proyecto operacional"/>
    <s v="Enviado"/>
    <s v="31.02.005"/>
    <x v="225"/>
    <s v="Proyecto con fuente de financiamiento sectorial. Ejecución proyectada para abril 2026"/>
    <n v="2"/>
    <s v="Equipo Medico"/>
    <n v="4"/>
    <n v="1"/>
    <n v="1904912000"/>
    <n v="1904912000"/>
    <x v="4"/>
    <x v="24"/>
    <x v="66"/>
    <x v="69"/>
    <s v="64-2337386-"/>
    <s v="maria.munozp@redsalud.gob.cl"/>
    <x v="14"/>
    <m/>
    <n v="0"/>
    <m/>
    <n v="0"/>
    <n v="0"/>
    <m/>
    <x v="1"/>
    <x v="5"/>
  </r>
  <r>
    <s v="SERVICIO DE SALUD OSORNO"/>
    <s v="Activos Fijos"/>
    <x v="225"/>
    <s v="Proyecto estratégico"/>
    <s v="Enviado"/>
    <s v="31.02.005"/>
    <x v="226"/>
    <s v="Proyecto con fuente de financiamiento sectorial. Ejecución proyectada para abril 2026"/>
    <n v="2"/>
    <s v="Equipamiento Medico"/>
    <n v="4"/>
    <n v="1"/>
    <n v="12678000"/>
    <n v="12678000"/>
    <x v="4"/>
    <x v="24"/>
    <x v="66"/>
    <x v="69"/>
    <s v="64-2337386-"/>
    <s v="maria.munozp@redsalud.gob.cl"/>
    <x v="14"/>
    <m/>
    <n v="0"/>
    <m/>
    <n v="0"/>
    <n v="0"/>
    <m/>
    <x v="1"/>
    <x v="5"/>
  </r>
  <r>
    <s v="SERVICIO DE SALUD OSORNO"/>
    <s v="Activos Fijos"/>
    <x v="225"/>
    <s v="Proyecto estratégico"/>
    <s v="Enviado"/>
    <s v="31.02.005"/>
    <x v="226"/>
    <s v="Proyecto con fuente de financiamiento sectorial. Ejecución proyectada para abril 2026"/>
    <n v="2"/>
    <s v="Equipo Medico"/>
    <n v="4"/>
    <n v="1"/>
    <n v="5954000"/>
    <n v="5954000"/>
    <x v="4"/>
    <x v="24"/>
    <x v="66"/>
    <x v="69"/>
    <s v="64-2337386-"/>
    <s v="maria.munozp@redsalud.gob.cl"/>
    <x v="14"/>
    <m/>
    <n v="0"/>
    <m/>
    <n v="0"/>
    <n v="0"/>
    <m/>
    <x v="1"/>
    <x v="5"/>
  </r>
  <r>
    <s v="SERVICIO DE SALUD OSORNO"/>
    <s v="Obras Civiles"/>
    <x v="226"/>
    <s v="Proyecto estratégico"/>
    <s v="Enviado"/>
    <s v="31.02.002"/>
    <x v="227"/>
    <s v="SE REQUIERE LA CONTRATACION DE 01 VISITA DE ESPECIALIDAD DE ARQUITECTURA PARA LA OBRA REPOSICIÓN CESFAM CON SAR RAHUE ALTO OSORNO PARA EL MES DE JUNIO DE 2026. EL COSTO DE LA VISITA ES DE 16 UF IVA INCLUIDO. NOTA EL VALOR DE LA UF SERA CALCULADO DEL DIA DE LA VISITA. INSPECCION DE PROYECTISTA DE ESPECIALIDAD DE ARQUITECTURA PARA INFORME FAVORABLE DE RECEPCION DE OBRA."/>
    <n v="1"/>
    <s v="Consultorias"/>
    <n v="4"/>
    <n v="1"/>
    <n v="630000"/>
    <n v="630000"/>
    <x v="4"/>
    <x v="25"/>
    <x v="70"/>
    <x v="73"/>
    <s v="64-2337385-"/>
    <s v="fernando.wulf@redsalud.gob.cl"/>
    <x v="15"/>
    <m/>
    <n v="0"/>
    <m/>
    <n v="0"/>
    <n v="0"/>
    <m/>
    <x v="1"/>
    <x v="6"/>
  </r>
  <r>
    <s v="SERVICIO DE SALUD OSORNO"/>
    <s v="Activos Fijos"/>
    <x v="227"/>
    <s v="Proyecto operacional"/>
    <s v="Enviado"/>
    <s v="29.05.002"/>
    <x v="228"/>
    <s v="Proyecto con fuente de financiamiento sectorial. Ejecución proyectada para abril 2026"/>
    <n v="2"/>
    <s v="Equipamiento Medico"/>
    <n v="4"/>
    <n v="1"/>
    <n v="30000000"/>
    <n v="30000000"/>
    <x v="4"/>
    <x v="24"/>
    <x v="66"/>
    <x v="69"/>
    <s v="64-2337386-"/>
    <s v="maria.munozp@redsalud.gob.cl"/>
    <x v="14"/>
    <m/>
    <n v="0"/>
    <m/>
    <n v="0"/>
    <n v="0"/>
    <m/>
    <x v="1"/>
    <x v="5"/>
  </r>
  <r>
    <s v="SERVICIO DE SALUD OSORNO"/>
    <s v="Activos Fijos"/>
    <x v="227"/>
    <s v="Proyecto operacional"/>
    <s v="Enviado"/>
    <s v="29.05.002"/>
    <x v="228"/>
    <s v="Proyecto con fuente de financiamiento sectorial. Ejecución proyectada para abril 2026"/>
    <n v="2"/>
    <s v="Equipo Medico"/>
    <n v="4"/>
    <n v="1"/>
    <n v="250000000"/>
    <n v="250000000"/>
    <x v="4"/>
    <x v="24"/>
    <x v="66"/>
    <x v="69"/>
    <s v="64-2337386-"/>
    <s v="maria.munozp@redsalud.gob.cl"/>
    <x v="14"/>
    <m/>
    <n v="0"/>
    <m/>
    <n v="0"/>
    <n v="0"/>
    <m/>
    <x v="1"/>
    <x v="5"/>
  </r>
  <r>
    <s v="SERVICIO DE SALUD OSORNO"/>
    <s v="Bienes y Servicios"/>
    <x v="228"/>
    <s v="Proyecto operacional"/>
    <s v="Enviado"/>
    <s v="22.02"/>
    <x v="229"/>
    <s v="elementos de protección personal y vestuario institucional para actividades en terreno de nuevo funcionario de Sub Depto. Fecha ejecucion: febrero"/>
    <n v="1"/>
    <s v="EPP"/>
    <n v="4"/>
    <n v="6"/>
    <n v="83334"/>
    <n v="500004"/>
    <x v="4"/>
    <x v="38"/>
    <x v="2"/>
    <x v="3"/>
    <s v="64-2337728-"/>
    <s v="CATALINA.VERAC@REDSALUD.GOB.CL"/>
    <x v="19"/>
    <m/>
    <n v="0"/>
    <m/>
    <n v="0"/>
    <n v="0"/>
    <m/>
    <x v="1"/>
    <x v="4"/>
  </r>
  <r>
    <s v="SERVICIO DE SALUD OSORNO"/>
    <s v="Activos Fijos"/>
    <x v="229"/>
    <s v="Proyecto operacional"/>
    <s v="Enviado"/>
    <s v="29.05.002"/>
    <x v="230"/>
    <s v="Fuente de financiamiento con recursos propios del Servicio de Salud Osorno. Ejecución proyectada para mayo 2026"/>
    <n v="2"/>
    <s v="Equipamiento Medico"/>
    <n v="4"/>
    <n v="1"/>
    <n v="6000000"/>
    <n v="6000000"/>
    <x v="4"/>
    <x v="31"/>
    <x v="66"/>
    <x v="69"/>
    <s v="64-2337386-"/>
    <s v="maria.munozp@redsalud.gob.cl"/>
    <x v="20"/>
    <m/>
    <n v="0"/>
    <m/>
    <n v="0"/>
    <n v="0"/>
    <m/>
    <x v="1"/>
    <x v="5"/>
  </r>
  <r>
    <s v="SERVICIO DE SALUD OSORNO"/>
    <s v="Activos Fijos"/>
    <x v="229"/>
    <s v="Proyecto operacional"/>
    <s v="Enviado"/>
    <s v="29.05.002"/>
    <x v="230"/>
    <s v="Fuente de financiamiento con recursos propios del Servicio de Salud Osorno. Ejecución proyectada para mayo 2026"/>
    <n v="2"/>
    <s v="Equipo Medico"/>
    <n v="4"/>
    <n v="1"/>
    <n v="55000000"/>
    <n v="55000000"/>
    <x v="4"/>
    <x v="31"/>
    <x v="66"/>
    <x v="69"/>
    <s v="64-2337386-"/>
    <s v="maria.munozp@redsalud.gob.cl"/>
    <x v="20"/>
    <m/>
    <n v="0"/>
    <m/>
    <n v="0"/>
    <n v="0"/>
    <m/>
    <x v="1"/>
    <x v="5"/>
  </r>
  <r>
    <s v="SERVICIO DE SALUD OSORNO"/>
    <s v="Compras Convenio GORE Region de Los Lagos"/>
    <x v="230"/>
    <s v="Proyecto estratégico"/>
    <s v="Enviado"/>
    <s v="31.02.005"/>
    <x v="231"/>
    <s v="Proyecto con fuente de financiamiento F.N.D.R. Ejecución proyectada para mayo 2026"/>
    <n v="2"/>
    <s v="Equipamiento Medico"/>
    <n v="4"/>
    <n v="1"/>
    <n v="40289000"/>
    <n v="40289000"/>
    <x v="4"/>
    <x v="31"/>
    <x v="66"/>
    <x v="69"/>
    <s v="64-2337386-"/>
    <s v="maria.munozp@redsalud.gob.cl"/>
    <x v="20"/>
    <m/>
    <n v="0"/>
    <m/>
    <n v="0"/>
    <n v="0"/>
    <m/>
    <x v="1"/>
    <x v="3"/>
  </r>
  <r>
    <s v="SERVICIO DE SALUD OSORNO"/>
    <s v="Compras Convenio GORE Region de Los Lagos"/>
    <x v="230"/>
    <s v="Proyecto estratégico"/>
    <s v="Enviado"/>
    <s v="31.02.005"/>
    <x v="231"/>
    <s v="Proyecto con fuente de financiamiento F.N.D.R. Ejecución proyectada para mayo 2026"/>
    <n v="2"/>
    <s v="Equipo Medico"/>
    <n v="4"/>
    <n v="1"/>
    <n v="316236000"/>
    <n v="316236000"/>
    <x v="4"/>
    <x v="31"/>
    <x v="66"/>
    <x v="69"/>
    <s v="64-2337386-"/>
    <s v="maria.munozp@redsalud.gob.cl"/>
    <x v="20"/>
    <m/>
    <n v="0"/>
    <m/>
    <n v="0"/>
    <n v="0"/>
    <m/>
    <x v="1"/>
    <x v="3"/>
  </r>
  <r>
    <s v="SERVICIO DE SALUD OSORNO"/>
    <s v="Bienes y Servicios"/>
    <x v="231"/>
    <s v="Proyecto operacional"/>
    <s v="Enviado"/>
    <s v="22.01.001"/>
    <x v="232"/>
    <s v="Se requiere productos para la elaboracion de un Coffe para jornada de conmemoración del día internacional de la eliminación de la violencia contra la mujer."/>
    <n v="3"/>
    <s v="Alimentación"/>
    <n v="4"/>
    <n v="74"/>
    <n v="2076"/>
    <n v="153624"/>
    <x v="4"/>
    <x v="28"/>
    <x v="54"/>
    <x v="59"/>
    <s v="64-2336339-"/>
    <s v="kassandra.fernandez@redsalud.gob.cl"/>
    <x v="18"/>
    <m/>
    <n v="0"/>
    <m/>
    <n v="0"/>
    <n v="0"/>
    <m/>
    <x v="1"/>
    <x v="4"/>
  </r>
  <r>
    <s v="SERVICIO DE SALUD OSORNO"/>
    <s v="Bienes y Servicios"/>
    <x v="231"/>
    <s v="Proyecto operacional"/>
    <s v="Enviado"/>
    <s v="22.01.001"/>
    <x v="232"/>
    <s v="Se requiere productos para la elaboracion de un Coffe para jornada de conmemoración del día internacional de la eliminación de la violencia contra la mujer."/>
    <n v="3"/>
    <s v="Menaje"/>
    <n v="4"/>
    <n v="100"/>
    <n v="170"/>
    <n v="17000"/>
    <x v="4"/>
    <x v="28"/>
    <x v="54"/>
    <x v="59"/>
    <s v="64-2336339-"/>
    <s v="kassandra.fernandez@redsalud.gob.cl"/>
    <x v="18"/>
    <m/>
    <n v="0"/>
    <m/>
    <n v="0"/>
    <n v="0"/>
    <m/>
    <x v="1"/>
    <x v="4"/>
  </r>
  <r>
    <s v="SERVICIO DE SALUD OSORNO"/>
    <s v="Bienes y Servicios"/>
    <x v="231"/>
    <s v="Proyecto operacional"/>
    <s v="Enviado"/>
    <s v="22.01.001"/>
    <x v="232"/>
    <s v="Se requiere productos para la elaboracion de un Coffe para jornada de conmemoración del día internacional de la eliminación de la violencia contra la mujer."/>
    <n v="3"/>
    <s v="Servilletas"/>
    <n v="4"/>
    <n v="2"/>
    <n v="1500"/>
    <n v="3000"/>
    <x v="4"/>
    <x v="28"/>
    <x v="54"/>
    <x v="59"/>
    <s v="64-2336339-"/>
    <s v="kassandra.fernandez@redsalud.gob.cl"/>
    <x v="18"/>
    <m/>
    <n v="0"/>
    <m/>
    <n v="0"/>
    <n v="0"/>
    <m/>
    <x v="1"/>
    <x v="4"/>
  </r>
  <r>
    <s v="SERVICIO DE SALUD OSORNO"/>
    <s v="Bienes y Servicios"/>
    <x v="232"/>
    <s v="Proyecto operacional"/>
    <s v="Enviado"/>
    <s v="22.04.002"/>
    <x v="233"/>
    <s v="Compra para realizar rehabilitación Terapia Ocupacional (confección de Ortesis) bajo la estrategia de rehabilitación del equipo Rural de la Dirección de Servicio. La población beneficiaria serán aquellos usuarios(as) de todo el ciclo vital y de localidades rurales de la Provincia. se espera lograr una mejora o mantención de sus participación de la comunidad a través del desarrollo de la rehabilitación, logrando la participación en la comunidad"/>
    <n v="1"/>
    <s v="Equipo Terapia"/>
    <n v="4"/>
    <n v="1"/>
    <n v="80000"/>
    <n v="80000"/>
    <x v="4"/>
    <x v="32"/>
    <x v="37"/>
    <x v="42"/>
    <s v="64-2335807-"/>
    <s v="karin.avila@redsalud.gob.cl"/>
    <x v="21"/>
    <m/>
    <n v="0"/>
    <m/>
    <n v="0"/>
    <n v="0"/>
    <m/>
    <x v="1"/>
    <x v="4"/>
  </r>
  <r>
    <s v="SERVICIO DE SALUD OSORNO"/>
    <s v="Bienes y Servicios"/>
    <x v="233"/>
    <s v="Proyecto operacional"/>
    <s v="Enviado"/>
    <s v="22.06.006"/>
    <x v="234"/>
    <s v="CONTRATAR LOS TRABAJOS DE MANTENCIMIENTO DEL SISTEMA DE ALMACENAMIENTO E IMPULSIÓN DE AGUA POTABLE DE LA BASE SAMU OSORNO. EJECUCCIÓN PARA EL MES DE JUNIO"/>
    <n v="1"/>
    <s v="Mantenciones"/>
    <n v="4"/>
    <n v="1"/>
    <n v="2000000"/>
    <n v="2000000"/>
    <x v="4"/>
    <x v="25"/>
    <x v="71"/>
    <x v="36"/>
    <s v="64-2335596-"/>
    <s v="GARIBE.GALLARDO@REDSALUD.GOB.CL"/>
    <x v="15"/>
    <m/>
    <n v="0"/>
    <m/>
    <n v="0"/>
    <n v="0"/>
    <m/>
    <x v="1"/>
    <x v="4"/>
  </r>
  <r>
    <s v="SERVICIO DE SALUD OSORNO"/>
    <s v="Bienes y Servicios"/>
    <x v="234"/>
    <s v="Proyecto operacional"/>
    <s v="Enviado"/>
    <s v="22.06.001"/>
    <x v="235"/>
    <s v="REALIZAR MANTENCIONES EMERGENTES EN CUALQUIERA DE LOS ESTABLECIMIENTOS DEPENDIENTES DEL SERVICIO DE SALUD OSORNO. EJECUCCIÓN DICIEMBRE."/>
    <n v="1"/>
    <s v="Mantencion"/>
    <n v="4"/>
    <n v="1"/>
    <n v="6000000"/>
    <n v="6000000"/>
    <x v="4"/>
    <x v="29"/>
    <x v="71"/>
    <x v="36"/>
    <s v="64-2335596-"/>
    <s v="GARIBE.GALLARDO@REDSALUD.GOB.CL"/>
    <x v="23"/>
    <m/>
    <n v="0"/>
    <m/>
    <n v="0"/>
    <n v="0"/>
    <m/>
    <x v="1"/>
    <x v="4"/>
  </r>
  <r>
    <s v="SERVICIO DE SALUD OSORNO"/>
    <s v="Bienes y Servicios"/>
    <x v="235"/>
    <s v="Proyecto operacional"/>
    <s v="Enviado"/>
    <s v="22.06.001"/>
    <x v="236"/>
    <s v="MANTENIMIENTO Y/O REPARACIONES DE LA INFRAESTRUCTURA COMO MUROS, TABIQUES, TECHUMBRES, CIELOS INTERIORES, PISOS, CARPINTERIA, PUERTAS, VENTANAS, PINTURA, CIERRES, CERCOS, CERRAJERIA, ARTEFACTOS ELECTRICOS (INTERRUPTORES, ENCHUFES, EQUIPOS DE ILUMINACIÓN, ACCIONAMIENTOS Y CENTROS DE DERIVACIÓN, ETC), ARTEFACTOS SANITARIOS, REDES, EQUIPOS A GAS Y MOBILIARIO EN GENERAL, DESDE ENERO A DICIEMBRE 2027. MES DE EJECUCIÓN DEL CONVENIO DICIEMBRE 2026"/>
    <n v="1"/>
    <s v="Mantenciones"/>
    <n v="4"/>
    <n v="1"/>
    <n v="80000000"/>
    <n v="0"/>
    <x v="11"/>
    <x v="43"/>
    <x v="71"/>
    <x v="36"/>
    <s v="64-2335596-"/>
    <s v="GARIBE.GALLARDO@REDSALUD.GOB.CL"/>
    <x v="23"/>
    <m/>
    <n v="0"/>
    <m/>
    <n v="0"/>
    <n v="0"/>
    <m/>
    <x v="1"/>
    <x v="4"/>
  </r>
  <r>
    <s v="SERVICIO DE SALUD OSORNO"/>
    <s v="Bienes y Servicios"/>
    <x v="236"/>
    <s v="Proyecto operacional"/>
    <s v="Enviado"/>
    <s v="22.06.001"/>
    <x v="237"/>
    <s v="Realizar la mantención de cubierta de los Edificios y dispositivos dependientes del Servicio de Salud Osorno, para mantener su infraestructura en buenas condiciones y evitar filtraciones al interior de los dispositivos . EJECUCCIÓN NOVIEMBRE 2026."/>
    <n v="1"/>
    <s v="Mantenimiento Cubiertas"/>
    <n v="4"/>
    <n v="1"/>
    <n v="25000000"/>
    <n v="25000000"/>
    <x v="4"/>
    <x v="28"/>
    <x v="71"/>
    <x v="36"/>
    <s v="64-2335596-"/>
    <s v="GARIBE.GALLARDO@REDSALUD.GOB.CL"/>
    <x v="18"/>
    <m/>
    <n v="0"/>
    <m/>
    <n v="0"/>
    <n v="0"/>
    <m/>
    <x v="1"/>
    <x v="4"/>
  </r>
  <r>
    <s v="SERVICIO DE SALUD OSORNO"/>
    <s v="Bienes y Servicios"/>
    <x v="237"/>
    <s v="Proyecto operacional"/>
    <s v="Enviado"/>
    <s v="22.06.001"/>
    <x v="238"/>
    <s v="Mejoramiento de Oficina 2do piso correspondiente a trabajos eléctricos y datos, en Edificio Institucional de Manuel Rodríguez. NOVIEMBRE 2026."/>
    <n v="1"/>
    <s v="Mantencion"/>
    <n v="4"/>
    <n v="1"/>
    <n v="10000000"/>
    <n v="10000000"/>
    <x v="4"/>
    <x v="28"/>
    <x v="71"/>
    <x v="36"/>
    <s v="64-2335596-"/>
    <s v="GARIBE.GALLARDO@REDSALUD.GOB.CL"/>
    <x v="18"/>
    <m/>
    <n v="0"/>
    <m/>
    <n v="0"/>
    <n v="0"/>
    <m/>
    <x v="1"/>
    <x v="4"/>
  </r>
  <r>
    <s v="SERVICIO DE SALUD OSORNO"/>
    <s v="Bienes y Servicios"/>
    <x v="238"/>
    <s v="Proyecto operacional"/>
    <s v="Enviado"/>
    <s v="22.06.001"/>
    <x v="239"/>
    <s v="Mantenimiento preventivo a protecciones termomagnéticas, dispositivos de fuerza y control, en conjunto con diversos sistemas y componentes que conforman los tableros de distribución de energía eléctrica en el Hospital Intercultural Futa Sruka Lawenche Kunko Mapu Mo. Igualmente en los Hospitales de Purranque y Puerto Octay. Establecimiento COSAM Oriente y dispositivos de la red. Ejecución mes octubre 2026."/>
    <n v="1"/>
    <s v="Mantencion"/>
    <n v="4"/>
    <n v="112"/>
    <n v="315219"/>
    <n v="35304528"/>
    <x v="4"/>
    <x v="27"/>
    <x v="72"/>
    <x v="74"/>
    <s v="64-2335653-"/>
    <s v="diego.saldivia@redsalud.gob.cl"/>
    <x v="17"/>
    <m/>
    <n v="0"/>
    <m/>
    <n v="0"/>
    <n v="0"/>
    <m/>
    <x v="1"/>
    <x v="4"/>
  </r>
  <r>
    <s v="SERVICIO DE SALUD OSORNO"/>
    <s v="Bienes y Servicios"/>
    <x v="239"/>
    <s v="Proyecto operacional"/>
    <s v="Enviado"/>
    <s v="22.04-22.02"/>
    <x v="240"/>
    <s v="Adquirir materiales para la caracterización de victimas de los simulacros con tecnica moulage, aumentando el realismo de las lesiones. mes de ejecucion de la compra: agosto."/>
    <n v="3"/>
    <s v="Porta Credencial"/>
    <n v="4"/>
    <n v="30"/>
    <n v="1000"/>
    <n v="30000"/>
    <x v="4"/>
    <x v="36"/>
    <x v="2"/>
    <x v="3"/>
    <s v="64-2337728-"/>
    <s v="CATALINA.VERAC@REDSALUD.GOB.CL"/>
    <x v="24"/>
    <m/>
    <n v="0"/>
    <m/>
    <n v="0"/>
    <n v="0"/>
    <m/>
    <x v="1"/>
    <x v="4"/>
  </r>
  <r>
    <s v="SERVICIO DE SALUD OSORNO"/>
    <s v="Bienes y Servicios"/>
    <x v="239"/>
    <s v="Proyecto operacional"/>
    <s v="Enviado"/>
    <s v="22.04-22.02"/>
    <x v="240"/>
    <s v="Adquirir materiales para la caracterización de victimas de los simulacros con tecnica moulage, aumentando el realismo de las lesiones. mes de ejecucion de la compra: agosto."/>
    <n v="3"/>
    <s v="Chalecos"/>
    <n v="4"/>
    <n v="10"/>
    <n v="5000"/>
    <n v="50000"/>
    <x v="4"/>
    <x v="36"/>
    <x v="2"/>
    <x v="3"/>
    <s v="64-2337728-"/>
    <s v="CATALINA.VERAC@REDSALUD.GOB.CL"/>
    <x v="24"/>
    <m/>
    <n v="0"/>
    <m/>
    <n v="0"/>
    <n v="0"/>
    <m/>
    <x v="1"/>
    <x v="4"/>
  </r>
  <r>
    <s v="SERVICIO DE SALUD OSORNO"/>
    <s v="Bienes y Servicios"/>
    <x v="239"/>
    <s v="Proyecto operacional"/>
    <s v="Enviado"/>
    <s v="22.04-22.02"/>
    <x v="240"/>
    <s v="Adquirir materiales para la caracterización de victimas de los simulacros con tecnica moulage, aumentando el realismo de las lesiones. mes de ejecucion de la compra: agosto."/>
    <n v="3"/>
    <s v="Moulage"/>
    <n v="4"/>
    <n v="1"/>
    <n v="420000"/>
    <n v="420000"/>
    <x v="4"/>
    <x v="36"/>
    <x v="2"/>
    <x v="3"/>
    <s v="64-2337728-"/>
    <s v="CATALINA.VERAC@REDSALUD.GOB.CL"/>
    <x v="24"/>
    <m/>
    <n v="0"/>
    <m/>
    <n v="0"/>
    <n v="0"/>
    <m/>
    <x v="1"/>
    <x v="4"/>
  </r>
  <r>
    <s v="SERVICIO DE SALUD OSORNO"/>
    <s v="Bienes y Servicios"/>
    <x v="240"/>
    <s v="Proyecto operacional"/>
    <s v="Enviado"/>
    <s v="22.04.002"/>
    <x v="241"/>
    <s v="La compra se realizará en el mes de Febrero 2026 por una única vez. La vigencia será solamente por Febrero 2026."/>
    <n v="1"/>
    <s v="Material de Enseñanza"/>
    <n v="4"/>
    <n v="6"/>
    <n v="49990"/>
    <n v="299940"/>
    <x v="4"/>
    <x v="38"/>
    <x v="73"/>
    <x v="75"/>
    <s v="64-2335806-"/>
    <s v="francisca.contreras.c@redsalud.gob.cl"/>
    <x v="19"/>
    <m/>
    <n v="0"/>
    <m/>
    <n v="0"/>
    <n v="0"/>
    <m/>
    <x v="1"/>
    <x v="4"/>
  </r>
  <r>
    <s v="SERVICIO DE SALUD OSORNO"/>
    <s v="Bienes y Servicios"/>
    <x v="241"/>
    <s v="Proyecto operacional"/>
    <s v="Enviado"/>
    <s v="22.02"/>
    <x v="242"/>
    <s v="Elementos de proteccion personal para funcionarios del del subdepto. prevencion de riesgos del SSO."/>
    <n v="2"/>
    <s v="EPP"/>
    <n v="4"/>
    <n v="16"/>
    <n v="14375"/>
    <n v="230000"/>
    <x v="4"/>
    <x v="32"/>
    <x v="55"/>
    <x v="61"/>
    <s v="64-2336130-"/>
    <s v="venecia.recabarren@redsalud.gob.cl"/>
    <x v="21"/>
    <m/>
    <n v="0"/>
    <m/>
    <n v="0"/>
    <n v="0"/>
    <m/>
    <x v="1"/>
    <x v="4"/>
  </r>
  <r>
    <s v="SERVICIO DE SALUD OSORNO"/>
    <s v="Bienes y Servicios"/>
    <x v="241"/>
    <s v="Proyecto operacional"/>
    <s v="Enviado"/>
    <s v="22.02"/>
    <x v="242"/>
    <s v="Elementos de proteccion personal para funcionarios del del subdepto. prevencion de riesgos del SSO."/>
    <n v="2"/>
    <s v="Zapatos Seguridad"/>
    <n v="4"/>
    <n v="2"/>
    <n v="80000"/>
    <n v="160000"/>
    <x v="4"/>
    <x v="35"/>
    <x v="55"/>
    <x v="61"/>
    <s v="64-2336130-"/>
    <s v="venecia.recabarren@redsalud.gob.cl"/>
    <x v="13"/>
    <m/>
    <n v="0"/>
    <m/>
    <n v="0"/>
    <n v="0"/>
    <m/>
    <x v="1"/>
    <x v="4"/>
  </r>
  <r>
    <s v="SERVICIO DE SALUD OSORNO"/>
    <s v="Bienes y Servicios"/>
    <x v="242"/>
    <s v="Proyecto operacional"/>
    <s v="Enviado"/>
    <s v="22.01.001"/>
    <x v="243"/>
    <s v="Ejecución en el mes de Abril 2026. Compra una única vez."/>
    <n v="1"/>
    <s v="Servicio Cafeteria"/>
    <n v="4"/>
    <n v="2"/>
    <n v="360000"/>
    <n v="720000"/>
    <x v="4"/>
    <x v="24"/>
    <x v="73"/>
    <x v="75"/>
    <s v="64-2335806-"/>
    <s v="francisca.contreras.c@redsalud.gob.cl"/>
    <x v="14"/>
    <m/>
    <n v="0"/>
    <m/>
    <n v="0"/>
    <n v="0"/>
    <m/>
    <x v="1"/>
    <x v="4"/>
  </r>
  <r>
    <s v="SERVICIO DE SALUD OSORNO"/>
    <s v="Bienes y Servicios"/>
    <x v="243"/>
    <s v="Proyecto operacional"/>
    <s v="Enviado"/>
    <s v="22.04.012"/>
    <x v="244"/>
    <s v="Se requiere la adquisición de herramientas básicas y elementos de mantención (como taladro, destornilladores, martillos ,alicates ,set de llaves, entre otros) destinados a l mantenimiento de centro Kümelen , estas herramientas permitan realizar reparaciones menores, ajustes y mejoras en infraestructura y mobiliario, asegurando condiciones adecuadas para la atención y desarrollo de actividades comunitarias. la compra se ejecuta en febrero 2026."/>
    <n v="1"/>
    <s v="Materiales"/>
    <n v="4"/>
    <n v="9"/>
    <n v="18889"/>
    <n v="170001"/>
    <x v="4"/>
    <x v="38"/>
    <x v="63"/>
    <x v="19"/>
    <s v="64-2337366-"/>
    <s v="luis.floresme@redsalud.gob.cl"/>
    <x v="19"/>
    <m/>
    <n v="0"/>
    <m/>
    <n v="0"/>
    <n v="0"/>
    <m/>
    <x v="1"/>
    <x v="4"/>
  </r>
  <r>
    <s v="SERVICIO DE SALUD OSORNO"/>
    <s v="Bienes y Servicios"/>
    <x v="244"/>
    <s v="Proyecto operacional"/>
    <s v="Enviado"/>
    <s v="22.04.999"/>
    <x v="245"/>
    <s v="Elementos y dispositivos ergonómicos para funcionarios de la DSSO."/>
    <n v="1"/>
    <s v="Apoya Pies - Alzador Pies - Alza Monitor"/>
    <n v="4"/>
    <n v="189"/>
    <n v="43366"/>
    <n v="8196174"/>
    <x v="4"/>
    <x v="35"/>
    <x v="55"/>
    <x v="61"/>
    <s v="64-2336130-"/>
    <s v="venecia.recabarren@redsalud.gob.cl"/>
    <x v="13"/>
    <m/>
    <n v="0"/>
    <m/>
    <n v="0"/>
    <n v="0"/>
    <m/>
    <x v="1"/>
    <x v="4"/>
  </r>
  <r>
    <s v="SERVICIO DE SALUD OSORNO"/>
    <s v="Activos Fijos"/>
    <x v="245"/>
    <s v="Proyecto operacional"/>
    <s v="Actualizado"/>
    <s v="29.04"/>
    <x v="246"/>
    <s v="Elementos y dispositivos ergonómicos para funcionarios de la DSSO."/>
    <n v="1"/>
    <s v="Sillas"/>
    <n v="4"/>
    <n v="10"/>
    <n v="100000"/>
    <n v="1000000"/>
    <x v="4"/>
    <x v="35"/>
    <x v="55"/>
    <x v="61"/>
    <s v="64-2336130-"/>
    <s v="venecia.recabarren@redsalud.gob.cl"/>
    <x v="13"/>
    <m/>
    <n v="0"/>
    <m/>
    <n v="0"/>
    <n v="0"/>
    <m/>
    <x v="1"/>
    <x v="5"/>
  </r>
  <r>
    <s v="SERVICIO DE SALUD OSORNO"/>
    <s v="Bienes y Servicios"/>
    <x v="246"/>
    <s v="Proyecto operacional"/>
    <s v="Enviado"/>
    <s v="22.04.001"/>
    <x v="247"/>
    <s v="EL MES DE EJECUCION DE LA COMPRA DE TEST PSICOLOGICOS SE REALIZARA EN FEBRERO DE 2026."/>
    <n v="1"/>
    <s v="Test"/>
    <n v="4"/>
    <n v="47"/>
    <n v="106383"/>
    <n v="5000001"/>
    <x v="4"/>
    <x v="38"/>
    <x v="74"/>
    <x v="76"/>
    <s v="64-2335640-"/>
    <s v="guisella.franco@redsalud.gob.cl"/>
    <x v="19"/>
    <m/>
    <n v="0"/>
    <m/>
    <n v="0"/>
    <n v="0"/>
    <m/>
    <x v="1"/>
    <x v="4"/>
  </r>
  <r>
    <s v="SERVICIO DE SALUD OSORNO"/>
    <s v="Bienes y Servicios"/>
    <x v="247"/>
    <s v="Proyecto operacional"/>
    <s v="Enviado"/>
    <s v="22.04.012"/>
    <x v="248"/>
    <s v="ADQUISICION INSUMOS MANTENCION RED DE RADIOCOMUNICACIONES EN EMERGERNCIAS SERVICIO DE SALUD OSORNO (COMPRA ENERO A MARZO DE 2026)"/>
    <n v="1"/>
    <s v="Articulos Mantenimiento"/>
    <n v="4"/>
    <n v="63"/>
    <n v="4762"/>
    <n v="300006"/>
    <x v="4"/>
    <x v="35"/>
    <x v="75"/>
    <x v="13"/>
    <s v="64-2335606-"/>
    <s v="ESTEBAN.ALARCONB@REDSALUD.GOB.CL"/>
    <x v="13"/>
    <m/>
    <n v="0"/>
    <m/>
    <n v="0"/>
    <n v="0"/>
    <m/>
    <x v="1"/>
    <x v="4"/>
  </r>
  <r>
    <s v="SERVICIO DE SALUD OSORNO"/>
    <s v="Bienes y Servicios"/>
    <x v="248"/>
    <s v="Proyecto operacional"/>
    <s v="Actualizado"/>
    <s v="22.01.001.003"/>
    <x v="249"/>
    <s v="Ejecución en Abril 2026. Compra única."/>
    <n v="1"/>
    <s v="Servicio Cafeteria"/>
    <n v="4"/>
    <n v="1"/>
    <n v="220000"/>
    <n v="220000"/>
    <x v="4"/>
    <x v="31"/>
    <x v="73"/>
    <x v="75"/>
    <s v="64-2335806-"/>
    <s v="francisca.contreras.c@redsalud.gob.cl"/>
    <x v="14"/>
    <m/>
    <n v="0"/>
    <m/>
    <n v="0"/>
    <n v="0"/>
    <m/>
    <x v="1"/>
    <x v="4"/>
  </r>
  <r>
    <s v="SERVICIO DE SALUD OSORNO"/>
    <s v="Bienes y Servicios"/>
    <x v="249"/>
    <s v="Proyecto operacional"/>
    <s v="Enviado"/>
    <s v="22.04.012"/>
    <x v="250"/>
    <s v="ADQUISICION DE INSUMOS RADIALES PARA REPOSICION Y MANTENIMIENTO PORTATILES VHF DE DIRECCION DEL SERVICIO DE SALUD OSORNO (COMPRA ENERO A MARZO 2026)"/>
    <n v="1"/>
    <s v="Materiales"/>
    <n v="4"/>
    <n v="26"/>
    <n v="57693"/>
    <n v="1500018"/>
    <x v="4"/>
    <x v="35"/>
    <x v="75"/>
    <x v="13"/>
    <s v="64-2335606-"/>
    <s v="ESTEBAN.ALARCONB@REDSALUD.GOB.CL"/>
    <x v="13"/>
    <m/>
    <n v="0"/>
    <m/>
    <n v="0"/>
    <n v="0"/>
    <m/>
    <x v="1"/>
    <x v="4"/>
  </r>
  <r>
    <s v="SERVICIO DE SALUD OSORNO"/>
    <s v="Activos Fijos"/>
    <x v="250"/>
    <s v="Proyecto operacional"/>
    <s v="Enviado"/>
    <s v="29.05.001"/>
    <x v="251"/>
    <s v="Se requiere adquisición de un micrófono de escritorio con reducción de ruido y una cámara web de alta definición, ambos con conexión USB, destinados a mejorar la calidad de sonido e imagen durante videoconferencias, reuniones técnicas y consejerías familiares virtuales realizadas por el equipo clínico-comunitario. La compra se ejecutará en el mes de Febrero del 2026, asegurando la continuidad y calidad de la atención remota y la participación en actividades interinstitucionales."/>
    <n v="1"/>
    <s v="Cámara - Micrófono"/>
    <n v="4"/>
    <n v="1"/>
    <n v="250000"/>
    <n v="250000"/>
    <x v="4"/>
    <x v="38"/>
    <x v="63"/>
    <x v="19"/>
    <s v="64-2337366-"/>
    <s v="luis.floresme@redsalud.gob.cl"/>
    <x v="19"/>
    <m/>
    <n v="0"/>
    <m/>
    <n v="0"/>
    <n v="0"/>
    <m/>
    <x v="1"/>
    <x v="5"/>
  </r>
  <r>
    <s v="SERVICIO DE SALUD OSORNO"/>
    <s v="Bienes y Servicios"/>
    <x v="251"/>
    <s v="Proyecto operacional"/>
    <s v="Enviado"/>
    <s v="22.01.001"/>
    <x v="252"/>
    <s v="Se requiere de insumos alimenticios para apoyo en jornada PM de Curso de Monitores realizado desde Abril a Diciembre 2026 (mes de ejecución Abril 2026)."/>
    <n v="1"/>
    <s v="Alimentación"/>
    <n v="4"/>
    <n v="220"/>
    <n v="991"/>
    <n v="218020"/>
    <x v="4"/>
    <x v="24"/>
    <x v="63"/>
    <x v="19"/>
    <s v="64-2337366-"/>
    <s v="luis.floresme@redsalud.gob.cl"/>
    <x v="14"/>
    <m/>
    <n v="0"/>
    <m/>
    <n v="0"/>
    <n v="0"/>
    <m/>
    <x v="1"/>
    <x v="4"/>
  </r>
  <r>
    <s v="SERVICIO DE SALUD OSORNO"/>
    <s v="Bienes y Servicios"/>
    <x v="252"/>
    <s v="Proyecto operacional"/>
    <s v="Enviado"/>
    <s v="22.04.990"/>
    <x v="253"/>
    <s v="Compra de Equipo de Terapia para rehabilitación fonoaudiologica a través de estrategia Equipo Rural de Rehabilitación. Equipo de Rehabilitación Fonoaudiologica Kit esta compuesto por: Batería Flex Cervical Estándar (Flex estándar, 50 etiquetas protectoras, 50 alcohol pads y bolso protector) Balón Terapéutico Tubo Terapéutico Bandas de goma marcadora; Estimulador Térmico Oral"/>
    <n v="1"/>
    <s v="Equipo Terapia"/>
    <n v="4"/>
    <n v="1"/>
    <n v="100000"/>
    <n v="100000"/>
    <x v="4"/>
    <x v="32"/>
    <x v="37"/>
    <x v="42"/>
    <s v="23-35807-"/>
    <s v="karin.avila@redsalud.gob.cl"/>
    <x v="21"/>
    <m/>
    <n v="0"/>
    <m/>
    <n v="0"/>
    <n v="0"/>
    <m/>
    <x v="1"/>
    <x v="4"/>
  </r>
  <r>
    <s v="SERVICIO DE SALUD OSORNO"/>
    <s v="Bienes y Servicios"/>
    <x v="253"/>
    <s v="Proyecto operacional"/>
    <s v="Enviado"/>
    <s v="22.04.001"/>
    <x v="254"/>
    <s v="Cintas de seguridad para demarcación e instalación de señaletica en zonas de peligro en lugares de trabajo."/>
    <n v="1"/>
    <s v="Cinta"/>
    <n v="4"/>
    <n v="11"/>
    <n v="30455"/>
    <n v="335005"/>
    <x v="4"/>
    <x v="32"/>
    <x v="55"/>
    <x v="61"/>
    <s v="64-2336130-"/>
    <s v="venecia.recabarren@redsalud.gob.cl"/>
    <x v="21"/>
    <m/>
    <n v="0"/>
    <m/>
    <n v="0"/>
    <n v="0"/>
    <m/>
    <x v="1"/>
    <x v="4"/>
  </r>
  <r>
    <s v="SERVICIO DE SALUD OSORNO"/>
    <s v="Bienes y Servicios"/>
    <x v="254"/>
    <s v="Proyecto operacional"/>
    <s v="Enviado"/>
    <s v="22.08.001"/>
    <x v="255"/>
    <s v="Retiro y traslado de residuos valorizables desde edificio plaza sur. Enero 2026"/>
    <n v="1"/>
    <s v="Retiro"/>
    <n v="4"/>
    <n v="1"/>
    <n v="2400000"/>
    <n v="2400000"/>
    <x v="11"/>
    <x v="20"/>
    <x v="76"/>
    <x v="27"/>
    <s v="64-2337030-"/>
    <s v="carloslopez.amb@gmail.com"/>
    <x v="13"/>
    <m/>
    <n v="0"/>
    <m/>
    <n v="0"/>
    <n v="0"/>
    <m/>
    <x v="1"/>
    <x v="4"/>
  </r>
  <r>
    <s v="SERVICIO DE SALUD OSORNO"/>
    <s v="Bienes y Servicios"/>
    <x v="255"/>
    <s v="Proyecto operacional"/>
    <s v="Enviado"/>
    <s v="22.04"/>
    <x v="256"/>
    <s v="Adquisición de Elementos de rehabilitación fonoaudiologica a través de la estrategia de equipo Rural de Rehabilitación"/>
    <n v="2"/>
    <s v="Balon-Pinza-Especulo"/>
    <n v="4"/>
    <n v="18"/>
    <n v="4227"/>
    <n v="76086"/>
    <x v="4"/>
    <x v="24"/>
    <x v="37"/>
    <x v="42"/>
    <s v="64-2335807-"/>
    <s v="karin.avila@redsalud.gob.cl"/>
    <x v="14"/>
    <m/>
    <n v="0"/>
    <m/>
    <n v="0"/>
    <n v="0"/>
    <m/>
    <x v="1"/>
    <x v="4"/>
  </r>
  <r>
    <s v="SERVICIO DE SALUD OSORNO"/>
    <s v="Bienes y Servicios"/>
    <x v="255"/>
    <s v="Proyecto operacional"/>
    <s v="Enviado"/>
    <s v="22.04"/>
    <x v="256"/>
    <s v="Adquisición de Elementos de rehabilitación fonoaudiologica a través de la estrategia de equipo Rural de Rehabilitación"/>
    <n v="2"/>
    <s v="Insumos Rehabilitación"/>
    <n v="4"/>
    <n v="6"/>
    <n v="37334"/>
    <n v="224004"/>
    <x v="4"/>
    <x v="24"/>
    <x v="37"/>
    <x v="42"/>
    <s v="64-2335807-"/>
    <s v="karin.avila@redsalud.gob.cl"/>
    <x v="14"/>
    <m/>
    <n v="0"/>
    <m/>
    <n v="0"/>
    <n v="0"/>
    <m/>
    <x v="1"/>
    <x v="4"/>
  </r>
  <r>
    <s v="SERVICIO DE SALUD OSORNO"/>
    <s v="Bienes y Servicios"/>
    <x v="256"/>
    <s v="Proyecto operacional"/>
    <s v="Actualizado"/>
    <s v="22.04.999"/>
    <x v="257"/>
    <s v="Bloqueador Solar para proteccion de radiacion UV de funcionarios (as) que se exponen habitualmente."/>
    <n v="1"/>
    <s v="Bloqueador Solar"/>
    <n v="4"/>
    <n v="6"/>
    <n v="25000"/>
    <n v="150000"/>
    <x v="4"/>
    <x v="26"/>
    <x v="55"/>
    <x v="61"/>
    <s v="64-2336130-"/>
    <s v="venecia.recabarren@redsalud.gob.cl"/>
    <x v="24"/>
    <m/>
    <n v="0"/>
    <m/>
    <n v="0"/>
    <n v="0"/>
    <m/>
    <x v="1"/>
    <x v="4"/>
  </r>
  <r>
    <s v="SERVICIO DE SALUD OSORNO"/>
    <s v="Bienes y Servicios"/>
    <x v="257"/>
    <s v="Proyecto operacional"/>
    <s v="Enviado"/>
    <s v="22.02-22.04"/>
    <x v="258"/>
    <s v="Se requiere la reposición de insumos y equipamiento destinados a la unidad ambulatoria, con materiales de alta calidad, debido a que su uso es intenso y constante. Esta adquisición tiene como finalidad garantizar la seguridad, funcionalidad y durabilidad de los insumos y equipos utilizados en las distintas áreas de la unidad, contribuyendo al correcto desarrollo de las actividades diarias y la protección de los usuarios y el personal."/>
    <n v="3"/>
    <s v="Tela - Alfombra"/>
    <n v="4"/>
    <n v="96"/>
    <n v="10000"/>
    <n v="960000"/>
    <x v="4"/>
    <x v="31"/>
    <x v="43"/>
    <x v="48"/>
    <s v="64-2335492-"/>
    <s v="CAROLINA.SILVALL@REDSALUD.GOB.CL"/>
    <x v="20"/>
    <m/>
    <n v="0"/>
    <m/>
    <n v="0"/>
    <n v="0"/>
    <m/>
    <x v="1"/>
    <x v="4"/>
  </r>
  <r>
    <s v="SERVICIO DE SALUD OSORNO"/>
    <s v="Bienes y Servicios"/>
    <x v="257"/>
    <s v="Proyecto operacional"/>
    <s v="Enviado"/>
    <s v="22.02-22.04"/>
    <x v="258"/>
    <s v="Se requiere la reposición de insumos y equipamiento destinados a la unidad ambulatoria, con materiales de alta calidad, debido a que su uso es intenso y constante. Esta adquisición tiene como finalidad garantizar la seguridad, funcionalidad y durabilidad de los insumos y equipos utilizados en las distintas áreas de la unidad, contribuyendo al correcto desarrollo de las actividades diarias y la protección de los usuarios y el personal."/>
    <n v="3"/>
    <s v="Cojines"/>
    <n v="4"/>
    <n v="12"/>
    <n v="4167"/>
    <n v="50004"/>
    <x v="4"/>
    <x v="31"/>
    <x v="43"/>
    <x v="48"/>
    <s v="64-2335492-"/>
    <s v="CAROLINA.SILVALL@REDSALUD.GOB.CL"/>
    <x v="20"/>
    <m/>
    <n v="0"/>
    <m/>
    <n v="0"/>
    <n v="0"/>
    <m/>
    <x v="1"/>
    <x v="4"/>
  </r>
  <r>
    <s v="SERVICIO DE SALUD OSORNO"/>
    <s v="Bienes y Servicios"/>
    <x v="257"/>
    <s v="Proyecto operacional"/>
    <s v="Enviado"/>
    <s v="22.02-22.04"/>
    <x v="258"/>
    <s v="Se requiere la reposición de insumos y equipamiento destinados a la unidad ambulatoria, con materiales de alta calidad, debido a que su uso es intenso y constante. Esta adquisición tiene como finalidad garantizar la seguridad, funcionalidad y durabilidad de los insumos y equipos utilizados en las distintas áreas de la unidad, contribuyendo al correcto desarrollo de las actividades diarias y la protección de los usuarios y el personal."/>
    <n v="3"/>
    <s v="Equipamiento no Medico"/>
    <n v="4"/>
    <n v="52"/>
    <n v="12500"/>
    <n v="650000"/>
    <x v="4"/>
    <x v="31"/>
    <x v="43"/>
    <x v="48"/>
    <s v="64-2335492-"/>
    <s v="CAROLINA.SILVALL@REDSALUD.GOB.CL"/>
    <x v="20"/>
    <m/>
    <n v="0"/>
    <m/>
    <n v="0"/>
    <n v="0"/>
    <m/>
    <x v="1"/>
    <x v="4"/>
  </r>
  <r>
    <s v="SERVICIO DE SALUD OSORNO"/>
    <s v="Bienes y Servicios"/>
    <x v="258"/>
    <s v="Proyecto operacional"/>
    <s v="Enviado"/>
    <s v="22.04.007"/>
    <x v="255"/>
    <s v="Contenedores para segregación de residuos valorizables. La idea es reciclar residuos que permitan disminuir la huella de carbono del edificio plaza sur. ENERO 2026"/>
    <n v="1"/>
    <s v="Contenedor"/>
    <n v="4"/>
    <n v="36"/>
    <n v="107275"/>
    <n v="3861900"/>
    <x v="4"/>
    <x v="35"/>
    <x v="76"/>
    <x v="27"/>
    <s v="64-2337030-"/>
    <s v="carloslopez.amb@gmail.com"/>
    <x v="13"/>
    <m/>
    <n v="0"/>
    <m/>
    <n v="0"/>
    <n v="0"/>
    <m/>
    <x v="1"/>
    <x v="4"/>
  </r>
  <r>
    <s v="SERVICIO DE SALUD OSORNO"/>
    <s v="Bienes y Servicios"/>
    <x v="259"/>
    <s v="Proyecto operacional"/>
    <s v="Enviado"/>
    <s v="22.04.009"/>
    <x v="259"/>
    <s v="Equipamiento informático."/>
    <n v="2"/>
    <s v="Pendrive"/>
    <n v="4"/>
    <n v="2"/>
    <n v="10000"/>
    <n v="20000"/>
    <x v="4"/>
    <x v="31"/>
    <x v="55"/>
    <x v="61"/>
    <s v="64-2336130-"/>
    <s v="venecia.recabarren@redsalud.gob.cl"/>
    <x v="20"/>
    <m/>
    <n v="0"/>
    <m/>
    <n v="0"/>
    <n v="0"/>
    <m/>
    <x v="1"/>
    <x v="4"/>
  </r>
  <r>
    <s v="SERVICIO DE SALUD OSORNO"/>
    <s v="Bienes y Servicios"/>
    <x v="259"/>
    <s v="Proyecto operacional"/>
    <s v="Enviado"/>
    <s v="22.04.009"/>
    <x v="259"/>
    <s v="Equipamiento informático."/>
    <n v="2"/>
    <s v="Presentador láser"/>
    <n v="4"/>
    <n v="1"/>
    <n v="16000"/>
    <n v="16000"/>
    <x v="4"/>
    <x v="31"/>
    <x v="55"/>
    <x v="61"/>
    <s v="64-2336130-"/>
    <s v="venecia.recabarren@redsalud.gob.cl"/>
    <x v="20"/>
    <m/>
    <n v="0"/>
    <m/>
    <n v="0"/>
    <n v="0"/>
    <m/>
    <x v="1"/>
    <x v="4"/>
  </r>
  <r>
    <s v="SERVICIO DE SALUD OSORNO"/>
    <s v="Bienes y Servicios"/>
    <x v="260"/>
    <s v="Proyecto operacional"/>
    <s v="Enviado"/>
    <s v="22.04-22.02"/>
    <x v="260"/>
    <s v="Se requiere la reposición de insumos y equipamiento destinados a la unidad ambulatoria, con materiales de alta calidad, debido a que su uso es intenso y constante. Esta adquisición tiene como finalidad garantizar la seguridad, funcionalidad y durabilidad de los insumos y equipos utilizados en las distintas áreas de la unidad, contribuyendo al correcto desarrollo de las actividades diarias y la protección de los usuarios y el personal."/>
    <n v="5"/>
    <s v="Cortinas"/>
    <n v="4"/>
    <n v="49"/>
    <n v="22449"/>
    <n v="1100001"/>
    <x v="4"/>
    <x v="31"/>
    <x v="43"/>
    <x v="48"/>
    <s v="64-2335492-"/>
    <s v="CAROLINA.SILVALL@REDSALUD.GOB.CL"/>
    <x v="20"/>
    <m/>
    <n v="0"/>
    <m/>
    <n v="0"/>
    <n v="0"/>
    <m/>
    <x v="1"/>
    <x v="4"/>
  </r>
  <r>
    <s v="SERVICIO DE SALUD OSORNO"/>
    <s v="Bienes y Servicios"/>
    <x v="260"/>
    <s v="Proyecto operacional"/>
    <s v="Enviado"/>
    <s v="22.04-22.02"/>
    <x v="260"/>
    <s v="Se requiere la reposición de insumos y equipamiento destinados a la unidad ambulatoria, con materiales de alta calidad, debido a que su uso es intenso y constante. Esta adquisición tiene como finalidad garantizar la seguridad, funcionalidad y durabilidad de los insumos y equipos utilizados en las distintas áreas de la unidad, contribuyendo al correcto desarrollo de las actividades diarias y la protección de los usuarios y el personal."/>
    <n v="5"/>
    <s v="Materiales de Mantenimiento Reparaciones"/>
    <n v="4"/>
    <n v="115"/>
    <n v="9566"/>
    <n v="1100090"/>
    <x v="4"/>
    <x v="31"/>
    <x v="43"/>
    <x v="48"/>
    <s v="64-2335492-"/>
    <s v="CAROLINA.SILVALL@REDSALUD.GOB.CL"/>
    <x v="20"/>
    <m/>
    <n v="0"/>
    <m/>
    <n v="0"/>
    <n v="0"/>
    <m/>
    <x v="1"/>
    <x v="4"/>
  </r>
  <r>
    <s v="SERVICIO DE SALUD OSORNO"/>
    <s v="Bienes y Servicios"/>
    <x v="260"/>
    <s v="Proyecto operacional"/>
    <s v="Enviado"/>
    <s v="22.04-22.02"/>
    <x v="260"/>
    <s v="Se requiere la reposición de insumos y equipamiento destinados a la unidad ambulatoria, con materiales de alta calidad, debido a que su uso es intenso y constante. Esta adquisición tiene como finalidad garantizar la seguridad, funcionalidad y durabilidad de los insumos y equipos utilizados en las distintas áreas de la unidad, contribuyendo al correcto desarrollo de las actividades diarias y la protección de los usuarios y el personal."/>
    <n v="5"/>
    <s v="Basurero"/>
    <n v="4"/>
    <n v="4"/>
    <n v="30000"/>
    <n v="120000"/>
    <x v="4"/>
    <x v="31"/>
    <x v="43"/>
    <x v="48"/>
    <s v="64-2335492-"/>
    <s v="CAROLINA.SILVALL@REDSALUD.GOB.CL"/>
    <x v="20"/>
    <m/>
    <n v="0"/>
    <m/>
    <n v="0"/>
    <n v="0"/>
    <m/>
    <x v="1"/>
    <x v="4"/>
  </r>
  <r>
    <s v="SERVICIO DE SALUD OSORNO"/>
    <s v="Bienes y Servicios"/>
    <x v="260"/>
    <s v="Proyecto operacional"/>
    <s v="Enviado"/>
    <s v="22.04-22.02"/>
    <x v="260"/>
    <s v="Se requiere la reposición de insumos y equipamiento destinados a la unidad ambulatoria, con materiales de alta calidad, debido a que su uso es intenso y constante. Esta adquisición tiene como finalidad garantizar la seguridad, funcionalidad y durabilidad de los insumos y equipos utilizados en las distintas áreas de la unidad, contribuyendo al correcto desarrollo de las actividades diarias y la protección de los usuarios y el personal."/>
    <n v="5"/>
    <s v="Hacha"/>
    <n v="4"/>
    <n v="2"/>
    <n v="15000"/>
    <n v="30000"/>
    <x v="4"/>
    <x v="31"/>
    <x v="43"/>
    <x v="48"/>
    <s v="64-2335492-"/>
    <s v="CAROLINA.SILVALL@REDSALUD.GOB.CL"/>
    <x v="20"/>
    <m/>
    <n v="0"/>
    <m/>
    <n v="0"/>
    <n v="0"/>
    <m/>
    <x v="1"/>
    <x v="4"/>
  </r>
  <r>
    <s v="SERVICIO DE SALUD OSORNO"/>
    <s v="Bienes y Servicios"/>
    <x v="260"/>
    <s v="Proyecto operacional"/>
    <s v="Enviado"/>
    <s v="22.04-22.02"/>
    <x v="260"/>
    <s v="Se requiere la reposición de insumos y equipamiento destinados a la unidad ambulatoria, con materiales de alta calidad, debido a que su uso es intenso y constante. Esta adquisición tiene como finalidad garantizar la seguridad, funcionalidad y durabilidad de los insumos y equipos utilizados en las distintas áreas de la unidad, contribuyendo al correcto desarrollo de las actividades diarias y la protección de los usuarios y el personal."/>
    <n v="5"/>
    <s v="Luces, manguera, tapa"/>
    <n v="4"/>
    <n v="25"/>
    <n v="15600"/>
    <n v="390000"/>
    <x v="4"/>
    <x v="31"/>
    <x v="43"/>
    <x v="48"/>
    <s v="64-2335492-"/>
    <s v="CAROLINA.SILVALL@REDSALUD.GOB.CL"/>
    <x v="20"/>
    <m/>
    <n v="0"/>
    <m/>
    <n v="0"/>
    <n v="0"/>
    <m/>
    <x v="1"/>
    <x v="4"/>
  </r>
  <r>
    <s v="SERVICIO DE SALUD OSORNO"/>
    <s v="Bienes y Servicios"/>
    <x v="261"/>
    <s v="Proyecto operacional"/>
    <s v="Enviado"/>
    <s v="22.01.001"/>
    <x v="261"/>
    <s v="La presente adquisición tiene como finalidad contar con los insumos y servicios necesarios para la realización de la ceremonia de egreso del curso de formación de monitores al cuidado de personas con demencia. La actividad esta dirigida a reconocer el proceso formación y el compromiso comunitario de las participantes que completaron la capacitación, quienes se integran como agente de apoyo y sensibilización en sus comunidades. Noviembre 2026."/>
    <n v="1"/>
    <s v="Evento"/>
    <n v="4"/>
    <n v="1"/>
    <n v="400000"/>
    <n v="400000"/>
    <x v="4"/>
    <x v="28"/>
    <x v="63"/>
    <x v="19"/>
    <s v="64-2337366-"/>
    <s v="luis.floresme@redsalud.gob.cl"/>
    <x v="18"/>
    <m/>
    <n v="0"/>
    <m/>
    <n v="0"/>
    <n v="0"/>
    <m/>
    <x v="1"/>
    <x v="4"/>
  </r>
  <r>
    <s v="SERVICIO DE SALUD OSORNO"/>
    <s v="Bienes y Servicios"/>
    <x v="262"/>
    <s v="Proyecto operacional"/>
    <s v="Actualizado"/>
    <s v="22.02.002"/>
    <x v="262"/>
    <s v="Lentes de seguridad con proteccion UV para conducción de vehículos."/>
    <n v="1"/>
    <s v="Lentes de Seguridad"/>
    <n v="4"/>
    <n v="100"/>
    <n v="8000"/>
    <n v="800000"/>
    <x v="4"/>
    <x v="33"/>
    <x v="55"/>
    <x v="61"/>
    <s v="64-2336130-"/>
    <s v="venecia.recabarren@redsalud.gob.cl"/>
    <x v="22"/>
    <m/>
    <n v="0"/>
    <m/>
    <n v="0"/>
    <n v="0"/>
    <m/>
    <x v="1"/>
    <x v="4"/>
  </r>
  <r>
    <s v="SERVICIO DE SALUD OSORNO"/>
    <s v="Bienes y Servicios"/>
    <x v="263"/>
    <s v="Proyecto operacional"/>
    <s v="Enviado"/>
    <s v="22.04.008"/>
    <x v="263"/>
    <s v="Se requiere la reposición de insumos y equipamiento destinados a la unidad ambulatoria, con materiales de alta calidad, debido a que su uso es intenso y constante. Esta adquisición tiene como finalidad garantizar la seguridad, funcionalidad y durabilidad de los insumos y equipos utilizados en las distintas áreas de la unidad, contribuyendo al correcto desarrollo de las actividades diarias y la protección de los usuarios y el personal."/>
    <n v="3"/>
    <s v="Artículos Cocina"/>
    <n v="4"/>
    <n v="243"/>
    <n v="3070"/>
    <n v="746010"/>
    <x v="4"/>
    <x v="31"/>
    <x v="43"/>
    <x v="48"/>
    <s v="64-2335492-"/>
    <s v="CAROLINA.SILVALL@REDSALUD.GOB.CL"/>
    <x v="20"/>
    <m/>
    <n v="0"/>
    <m/>
    <n v="0"/>
    <n v="0"/>
    <m/>
    <x v="1"/>
    <x v="4"/>
  </r>
  <r>
    <s v="SERVICIO DE SALUD OSORNO"/>
    <s v="Bienes y Servicios"/>
    <x v="263"/>
    <s v="Proyecto operacional"/>
    <s v="Enviado"/>
    <s v="22.04.008"/>
    <x v="263"/>
    <s v="Se requiere la reposición de insumos y equipamiento destinados a la unidad ambulatoria, con materiales de alta calidad, debido a que su uso es intenso y constante. Esta adquisición tiene como finalidad garantizar la seguridad, funcionalidad y durabilidad de los insumos y equipos utilizados en las distintas áreas de la unidad, contribuyendo al correcto desarrollo de las actividades diarias y la protección de los usuarios y el personal."/>
    <n v="3"/>
    <s v="Reloj"/>
    <n v="4"/>
    <n v="12"/>
    <n v="8000"/>
    <n v="96000"/>
    <x v="4"/>
    <x v="31"/>
    <x v="43"/>
    <x v="48"/>
    <s v="64-2335492-"/>
    <s v="CAROLINA.SILVALL@REDSALUD.GOB.CL"/>
    <x v="20"/>
    <m/>
    <n v="0"/>
    <m/>
    <n v="0"/>
    <n v="0"/>
    <m/>
    <x v="1"/>
    <x v="4"/>
  </r>
  <r>
    <s v="SERVICIO DE SALUD OSORNO"/>
    <s v="Bienes y Servicios"/>
    <x v="263"/>
    <s v="Proyecto operacional"/>
    <s v="Enviado"/>
    <s v="22.04.008"/>
    <x v="263"/>
    <s v="Se requiere la reposición de insumos y equipamiento destinados a la unidad ambulatoria, con materiales de alta calidad, debido a que su uso es intenso y constante. Esta adquisición tiene como finalidad garantizar la seguridad, funcionalidad y durabilidad de los insumos y equipos utilizados en las distintas áreas de la unidad, contribuyendo al correcto desarrollo de las actividades diarias y la protección de los usuarios y el personal."/>
    <n v="3"/>
    <s v="Caja Plastica"/>
    <n v="4"/>
    <n v="56"/>
    <n v="8572"/>
    <n v="480032"/>
    <x v="4"/>
    <x v="31"/>
    <x v="43"/>
    <x v="48"/>
    <s v="64-2335492-"/>
    <s v="CAROLINA.SILVALL@REDSALUD.GOB.CL"/>
    <x v="20"/>
    <m/>
    <n v="0"/>
    <m/>
    <n v="0"/>
    <n v="0"/>
    <m/>
    <x v="1"/>
    <x v="4"/>
  </r>
  <r>
    <s v="SERVICIO DE SALUD OSORNO"/>
    <s v="Bienes y Servicios"/>
    <x v="264"/>
    <s v="Proyecto operacional"/>
    <s v="Enviado"/>
    <s v="22.08.003"/>
    <x v="264"/>
    <s v="Se requiere la reposición de insumos y equipamiento destinados a la unidad ambulatoria, con materiales de alta calidad, debido a que su uso es intenso y constante. Esta adquisición tiene como finalidad garantizar la seguridad, funcionalidad y durabilidad de los insumos y equipos utilizados en las distintas áreas de la unidad, contribuyendo al correcto desarrollo de las actividades diarias y la protección de los usuarios y el personal."/>
    <n v="1"/>
    <s v="Artículos Jardín"/>
    <n v="4"/>
    <n v="91"/>
    <n v="3671"/>
    <n v="334061"/>
    <x v="4"/>
    <x v="31"/>
    <x v="43"/>
    <x v="48"/>
    <s v="64-2335492-"/>
    <s v="CAROLINA.SILVALL@REDSALUD.GOB.CL"/>
    <x v="20"/>
    <m/>
    <n v="0"/>
    <m/>
    <n v="0"/>
    <n v="0"/>
    <m/>
    <x v="1"/>
    <x v="4"/>
  </r>
  <r>
    <s v="SERVICIO DE SALUD OSORNO"/>
    <s v="Bienes y Servicios"/>
    <x v="265"/>
    <s v="Proyecto operacional"/>
    <s v="Enviado"/>
    <s v="22.12.999"/>
    <x v="265"/>
    <s v="Adquisición de 120 Endoscopias Digestivas Altas para Establecimientos de la red Asistencial del Servicio de Salud Osorno, a partir del mes de marzo 2026."/>
    <n v="1"/>
    <s v="Endoscopia"/>
    <n v="4"/>
    <n v="1"/>
    <n v="14500000"/>
    <n v="14500000"/>
    <x v="4"/>
    <x v="24"/>
    <x v="77"/>
    <x v="77"/>
    <s v="64-2335805-"/>
    <s v="omar.contreras@redsalud.gob.cl"/>
    <x v="21"/>
    <m/>
    <n v="0"/>
    <m/>
    <n v="0"/>
    <n v="0"/>
    <m/>
    <x v="1"/>
    <x v="4"/>
  </r>
  <r>
    <s v="SERVICIO DE SALUD OSORNO"/>
    <s v="Bienes y Servicios"/>
    <x v="266"/>
    <s v="Proyecto operacional"/>
    <s v="Enviado"/>
    <s v="22.07.002"/>
    <x v="232"/>
    <s v="Se requiere impresion de folletería (diseño realizado por diseñedor del SSO), y monitora de yoga para jornada de conmemoración del día internacional de la eliminación de la violencia contra la mujer. Objetivo de la Adquisición: Crear un espacio de conmemoración y reflexión sobre el Día Internacional de la Eliminación de la Violencia contra la Mujer. Monitora de yoga para desarrollar 10 de sesiones, durante los meses de noviembre y diciembre, inscripcion sera dirigida para todas las mujeres de la comunidad funcionaria con una capacidad de 40 cup"/>
    <n v="2"/>
    <s v="Folleteria"/>
    <n v="4"/>
    <n v="1"/>
    <n v="60000"/>
    <n v="60000"/>
    <x v="4"/>
    <x v="28"/>
    <x v="54"/>
    <x v="59"/>
    <s v="64-2336339-"/>
    <s v="kassandra.fernandez@redsalud.gob.cl"/>
    <x v="18"/>
    <m/>
    <n v="0"/>
    <m/>
    <n v="0"/>
    <n v="0"/>
    <m/>
    <x v="1"/>
    <x v="4"/>
  </r>
  <r>
    <s v="SERVICIO DE SALUD OSORNO"/>
    <s v="Bienes y Servicios"/>
    <x v="266"/>
    <s v="Proyecto operacional"/>
    <s v="Enviado"/>
    <s v="22.07.002"/>
    <x v="232"/>
    <s v="Se requiere impresion de folletería (diseño realizado por diseñedor del SSO), y monitora de yoga para jornada de conmemoración del día internacional de la eliminación de la violencia contra la mujer. Objetivo de la Adquisición: Crear un espacio de conmemoración y reflexión sobre el Día Internacional de la Eliminación de la Violencia contra la Mujer. Monitora de yoga para desarrollar 10 de sesiones, durante los meses de noviembre y diciembre, inscripcion sera dirigida para todas las mujeres de la comunidad funcionaria con una capacidad de 40 cup"/>
    <n v="2"/>
    <s v="Instructora"/>
    <n v="4"/>
    <n v="1"/>
    <n v="400000"/>
    <n v="400000"/>
    <x v="4"/>
    <x v="28"/>
    <x v="54"/>
    <x v="59"/>
    <s v="64-2336339-"/>
    <s v="kassandra.fernandez@redsalud.gob.cl"/>
    <x v="18"/>
    <m/>
    <n v="0"/>
    <m/>
    <n v="0"/>
    <n v="0"/>
    <m/>
    <x v="1"/>
    <x v="4"/>
  </r>
  <r>
    <s v="SERVICIO DE SALUD OSORNO"/>
    <s v="Bienes y Servicios"/>
    <x v="267"/>
    <s v="Proyecto operacional"/>
    <s v="Enviado"/>
    <s v="22.04.012"/>
    <x v="266"/>
    <s v="La presente adquisición tiene como finalidad dotar al centro de apoyo comunitario para personas con demencia Kümelen un carro de carga plegable destinado al traslado seguro y eficiente de materiales, equipos e insumos clínicos y comunitarios utilizados en actividades tanto dentro del recinto como en terreno, el carro debe contar con una estructura resistente, sistema plegable para fácil almacenamiento y mayor durabilidad, permitiendo optimizar el transporte de elementos durante jornadas, ceremonias y acciones comunitarias. Febrero 2026."/>
    <n v="1"/>
    <s v="Carro"/>
    <n v="4"/>
    <n v="1"/>
    <n v="120000"/>
    <n v="120000"/>
    <x v="4"/>
    <x v="38"/>
    <x v="63"/>
    <x v="19"/>
    <s v="64-2337366-"/>
    <s v="luis.floresme@redsalud.gob.cl"/>
    <x v="19"/>
    <m/>
    <n v="0"/>
    <m/>
    <n v="0"/>
    <n v="0"/>
    <m/>
    <x v="1"/>
    <x v="4"/>
  </r>
  <r>
    <s v="SERVICIO DE SALUD OSORNO"/>
    <s v="Bienes y Servicios"/>
    <x v="268"/>
    <s v="Proyecto operacional"/>
    <s v="Enviado"/>
    <s v="22.08.007"/>
    <x v="267"/>
    <s v="Contratación de servicio de movilización con conductor consistente en 1 móvil por periodo de 2 meses, para traslado de equipos de salud de la atención primaria y sus insumos y ejecutar actividades de vacunación de campaña de invierno, escolar y programática en área urbana y rural de las comunas de la provincia. Inicio del servicio durante el mes de marzo 2026 hasta mes de mayo de 2026."/>
    <n v="1"/>
    <s v="Servicio Movilización"/>
    <n v="4"/>
    <n v="1"/>
    <n v="7000000"/>
    <n v="7000000"/>
    <x v="4"/>
    <x v="32"/>
    <x v="78"/>
    <x v="78"/>
    <s v="64-2335829-"/>
    <s v="carolina.lagos@redsalud.gob.cl"/>
    <x v="21"/>
    <m/>
    <n v="0"/>
    <m/>
    <n v="0"/>
    <n v="0"/>
    <m/>
    <x v="1"/>
    <x v="4"/>
  </r>
  <r>
    <s v="SERVICIO DE SALUD OSORNO"/>
    <s v="Administración de Fondos"/>
    <x v="269"/>
    <s v="Proyecto operacional"/>
    <s v="Enviado"/>
    <s v="22.04.008"/>
    <x v="268"/>
    <s v="Se requiere la adquisición de equipos electrónicos de alto rendimiento, aparatos domésticos de última generación Y muebles firmes. La compra busca garantizar eficiencia, seguridad, durabilidad y funcionalidad, permitiendo el óptimo desarrollo de actividades tecnológicas, educativas y residenciales, incluso ante eventualidades que afecten la operación de la unidad."/>
    <n v="7"/>
    <s v="Mesa Pegable"/>
    <n v="4"/>
    <n v="2"/>
    <n v="60000"/>
    <n v="120000"/>
    <x v="4"/>
    <x v="31"/>
    <x v="43"/>
    <x v="48"/>
    <s v="64-2335492-"/>
    <s v="CAROLINA.SILVALL@REDSALUD.GOB.CL"/>
    <x v="19"/>
    <m/>
    <n v="0"/>
    <m/>
    <n v="0"/>
    <n v="0"/>
    <m/>
    <x v="1"/>
    <x v="2"/>
  </r>
  <r>
    <s v="SERVICIO DE SALUD OSORNO"/>
    <s v="Administración de Fondos"/>
    <x v="269"/>
    <s v="Proyecto operacional"/>
    <s v="Enviado"/>
    <s v="22.04.008"/>
    <x v="268"/>
    <s v="Se requiere la adquisición de equipos electrónicos de alto rendimiento, aparatos domésticos de última generación Y muebles firmes. La compra busca garantizar eficiencia, seguridad, durabilidad y funcionalidad, permitiendo el óptimo desarrollo de actividades tecnológicas, educativas y residenciales, incluso ante eventualidades que afecten la operación de la unidad."/>
    <n v="7"/>
    <s v="Alfombras"/>
    <n v="4"/>
    <n v="4"/>
    <n v="112500"/>
    <n v="450000"/>
    <x v="4"/>
    <x v="38"/>
    <x v="43"/>
    <x v="48"/>
    <s v="64-2335492-"/>
    <s v="CAROLINA.SILVALL@REDSALUD.GOB.CL"/>
    <x v="19"/>
    <m/>
    <n v="0"/>
    <m/>
    <n v="0"/>
    <n v="0"/>
    <m/>
    <x v="1"/>
    <x v="2"/>
  </r>
  <r>
    <s v="SERVICIO DE SALUD OSORNO"/>
    <s v="Administración de Fondos"/>
    <x v="269"/>
    <s v="Proyecto operacional"/>
    <s v="Enviado"/>
    <s v="22.04.008"/>
    <x v="268"/>
    <s v="Se requiere la adquisición de equipos electrónicos de alto rendimiento, aparatos domésticos de última generación Y muebles firmes. La compra busca garantizar eficiencia, seguridad, durabilidad y funcionalidad, permitiendo el óptimo desarrollo de actividades tecnológicas, educativas y residenciales, incluso ante eventualidades que afecten la operación de la unidad."/>
    <n v="7"/>
    <s v="Aire Acondicionado -Aspiradora - Congelador -Refrigerador - Televisor-Microondas"/>
    <n v="4"/>
    <n v="8"/>
    <n v="345000"/>
    <n v="2760000"/>
    <x v="4"/>
    <x v="38"/>
    <x v="43"/>
    <x v="48"/>
    <s v="64-2335492-"/>
    <s v="CAROLINA.SILVALL@REDSALUD.GOB.CL"/>
    <x v="19"/>
    <m/>
    <n v="0"/>
    <m/>
    <n v="0"/>
    <n v="0"/>
    <m/>
    <x v="1"/>
    <x v="2"/>
  </r>
  <r>
    <s v="SERVICIO DE SALUD OSORNO"/>
    <s v="Administración de Fondos"/>
    <x v="269"/>
    <s v="Proyecto operacional"/>
    <s v="Enviado"/>
    <s v="22.04.008"/>
    <x v="268"/>
    <s v="Se requiere la adquisición de equipos electrónicos de alto rendimiento, aparatos domésticos de última generación Y muebles firmes. La compra busca garantizar eficiencia, seguridad, durabilidad y funcionalidad, permitiendo el óptimo desarrollo de actividades tecnológicas, educativas y residenciales, incluso ante eventualidades que afecten la operación de la unidad."/>
    <n v="7"/>
    <s v="Sillas - Escritorios"/>
    <n v="4"/>
    <n v="7"/>
    <n v="330000"/>
    <n v="2310000"/>
    <x v="4"/>
    <x v="38"/>
    <x v="43"/>
    <x v="48"/>
    <s v="64-2335492-"/>
    <s v="CAROLINA.SILVALL@REDSALUD.GOB.CL"/>
    <x v="19"/>
    <m/>
    <n v="0"/>
    <m/>
    <n v="0"/>
    <n v="0"/>
    <m/>
    <x v="1"/>
    <x v="2"/>
  </r>
  <r>
    <s v="SERVICIO DE SALUD OSORNO"/>
    <s v="Administración de Fondos"/>
    <x v="269"/>
    <s v="Proyecto operacional"/>
    <s v="Enviado"/>
    <s v="22.04.008"/>
    <x v="268"/>
    <s v="Se requiere la adquisición de equipos electrónicos de alto rendimiento, aparatos domésticos de última generación Y muebles firmes. La compra busca garantizar eficiencia, seguridad, durabilidad y funcionalidad, permitiendo el óptimo desarrollo de actividades tecnológicas, educativas y residenciales, incluso ante eventualidades que afecten la operación de la unidad."/>
    <n v="7"/>
    <s v="Bodega Lata - Cocina a gas"/>
    <n v="4"/>
    <n v="2"/>
    <n v="400000"/>
    <n v="800000"/>
    <x v="4"/>
    <x v="38"/>
    <x v="43"/>
    <x v="48"/>
    <s v="64-2335492-"/>
    <s v="CAROLINA.SILVALL@REDSALUD.GOB.CL"/>
    <x v="19"/>
    <m/>
    <n v="0"/>
    <m/>
    <n v="0"/>
    <n v="0"/>
    <m/>
    <x v="1"/>
    <x v="2"/>
  </r>
  <r>
    <s v="SERVICIO DE SALUD OSORNO"/>
    <s v="Administración de Fondos"/>
    <x v="269"/>
    <s v="Proyecto operacional"/>
    <s v="Enviado"/>
    <s v="22.04.008"/>
    <x v="268"/>
    <s v="Se requiere la adquisición de equipos electrónicos de alto rendimiento, aparatos domésticos de última generación Y muebles firmes. La compra busca garantizar eficiencia, seguridad, durabilidad y funcionalidad, permitiendo el óptimo desarrollo de actividades tecnológicas, educativas y residenciales, incluso ante eventualidades que afecten la operación de la unidad."/>
    <n v="7"/>
    <s v="Calentador-Parlante-Aparato Electronico -"/>
    <n v="4"/>
    <n v="6"/>
    <n v="40000"/>
    <n v="240000"/>
    <x v="4"/>
    <x v="38"/>
    <x v="43"/>
    <x v="48"/>
    <s v="64-2335492-"/>
    <s v="CAROLINA.SILVALL@REDSALUD.GOB.CL"/>
    <x v="19"/>
    <m/>
    <n v="0"/>
    <m/>
    <n v="0"/>
    <n v="0"/>
    <m/>
    <x v="1"/>
    <x v="2"/>
  </r>
  <r>
    <s v="SERVICIO DE SALUD OSORNO"/>
    <s v="Administración de Fondos"/>
    <x v="269"/>
    <s v="Proyecto operacional"/>
    <s v="Enviado"/>
    <s v="22.04.008"/>
    <x v="268"/>
    <s v="Se requiere la adquisición de equipos electrónicos de alto rendimiento, aparatos domésticos de última generación Y muebles firmes. La compra busca garantizar eficiencia, seguridad, durabilidad y funcionalidad, permitiendo el óptimo desarrollo de actividades tecnológicas, educativas y residenciales, incluso ante eventualidades que afecten la operación de la unidad."/>
    <n v="7"/>
    <s v="Plancha"/>
    <n v="4"/>
    <n v="1"/>
    <n v="30000"/>
    <n v="30000"/>
    <x v="4"/>
    <x v="38"/>
    <x v="43"/>
    <x v="48"/>
    <s v="64-2335492-"/>
    <s v="CAROLINA.SILVALL@REDSALUD.GOB.CL"/>
    <x v="19"/>
    <m/>
    <n v="0"/>
    <m/>
    <n v="0"/>
    <n v="0"/>
    <m/>
    <x v="1"/>
    <x v="2"/>
  </r>
  <r>
    <s v="SERVICIO DE SALUD OSORNO"/>
    <s v="Bienes y Servicios"/>
    <x v="270"/>
    <s v="Proyecto operacional"/>
    <s v="Enviado"/>
    <s v="22.07.001"/>
    <x v="269"/>
    <s v="Se requiere contratación de servicio de grabación y emisión en emisora radial local, de 4 avisos radiales promocionales de vacunación influenza, COVID, Pneumo 23 y Nirsevimab, durante los meses de marzo y abril de 2026, en radio de alcance provincial, banda FM, que incluya de manera obligatoria a las comunas de Osorno, Purranque, Río Negro y San Pablo e idealmente a todas las comunas de la provinica de Osorno. Difusión de be realizarse de lunes a domingo al menos 7 veces al día."/>
    <n v="1"/>
    <s v="Espacio Radial"/>
    <n v="4"/>
    <n v="4"/>
    <n v="357000"/>
    <n v="1428000"/>
    <x v="4"/>
    <x v="32"/>
    <x v="78"/>
    <x v="78"/>
    <s v="64-2335829-"/>
    <s v="carolina.lagos@redsalud.gob.cl"/>
    <x v="21"/>
    <m/>
    <n v="0"/>
    <m/>
    <n v="0"/>
    <n v="0"/>
    <m/>
    <x v="1"/>
    <x v="4"/>
  </r>
  <r>
    <s v="SERVICIO DE SALUD OSORNO"/>
    <s v="Administración de Fondos"/>
    <x v="271"/>
    <s v="Proyecto operacional"/>
    <s v="Enviado"/>
    <s v="22.04.012"/>
    <x v="270"/>
    <s v="Se requiere la adquisición de equipos electrónicos de alto rendimiento, aparatos domésticos de última generación Y muebles firmes. La compra busca garantizar eficiencia, seguridad, durabilidad y funcionalidad, permitiendo el óptimo desarrollo de actividades tecnológicas, educativas y residenciales, incluso ante eventualidades que afecten la operación de la unidad."/>
    <n v="3"/>
    <s v="Escalera"/>
    <n v="4"/>
    <n v="1"/>
    <n v="150000"/>
    <n v="150000"/>
    <x v="4"/>
    <x v="31"/>
    <x v="43"/>
    <x v="48"/>
    <s v="64-2335492-"/>
    <s v="CAROLINA.SILVALL@REDSALUD.GOB.CL"/>
    <x v="20"/>
    <m/>
    <n v="0"/>
    <m/>
    <n v="0"/>
    <n v="0"/>
    <m/>
    <x v="1"/>
    <x v="2"/>
  </r>
  <r>
    <s v="SERVICIO DE SALUD OSORNO"/>
    <s v="Administración de Fondos"/>
    <x v="271"/>
    <s v="Proyecto operacional"/>
    <s v="Enviado"/>
    <s v="22.04.012"/>
    <x v="270"/>
    <s v="Se requiere la adquisición de equipos electrónicos de alto rendimiento, aparatos domésticos de última generación Y muebles firmes. La compra busca garantizar eficiencia, seguridad, durabilidad y funcionalidad, permitiendo el óptimo desarrollo de actividades tecnológicas, educativas y residenciales, incluso ante eventualidades que afecten la operación de la unidad."/>
    <n v="3"/>
    <s v="Orilladora"/>
    <n v="4"/>
    <n v="1"/>
    <n v="70000"/>
    <n v="70000"/>
    <x v="4"/>
    <x v="31"/>
    <x v="43"/>
    <x v="48"/>
    <s v="64-2335492-"/>
    <s v="CAROLINA.SILVALL@REDSALUD.GOB.CL"/>
    <x v="20"/>
    <m/>
    <n v="0"/>
    <m/>
    <n v="0"/>
    <n v="0"/>
    <m/>
    <x v="1"/>
    <x v="2"/>
  </r>
  <r>
    <s v="SERVICIO DE SALUD OSORNO"/>
    <s v="Administración de Fondos"/>
    <x v="271"/>
    <s v="Proyecto operacional"/>
    <s v="Enviado"/>
    <s v="22.04.012"/>
    <x v="270"/>
    <s v="Se requiere la adquisición de equipos electrónicos de alto rendimiento, aparatos domésticos de última generación Y muebles firmes. La compra busca garantizar eficiencia, seguridad, durabilidad y funcionalidad, permitiendo el óptimo desarrollo de actividades tecnológicas, educativas y residenciales, incluso ante eventualidades que afecten la operación de la unidad."/>
    <n v="3"/>
    <s v="FOCO - SECADOR"/>
    <n v="4"/>
    <n v="5"/>
    <n v="15000"/>
    <n v="75000"/>
    <x v="4"/>
    <x v="31"/>
    <x v="43"/>
    <x v="48"/>
    <s v="64-2335492-"/>
    <s v="CAROLINA.SILVALL@REDSALUD.GOB.CL"/>
    <x v="20"/>
    <m/>
    <n v="0"/>
    <m/>
    <n v="0"/>
    <n v="0"/>
    <m/>
    <x v="1"/>
    <x v="2"/>
  </r>
  <r>
    <s v="SERVICIO DE SALUD OSORNO"/>
    <s v="Administración de Fondos"/>
    <x v="272"/>
    <s v="Proyecto operacional"/>
    <s v="Enviado"/>
    <s v="29.06.001"/>
    <x v="271"/>
    <s v="Se requiere la adquisición de una impresora en reemplazo de la actualmente existente, la cual presenta deterioro y no se encuentra en condiciones óptimas de funcionamiento. Esta reposición es necesaria para asegurar la continuidad operativa y el adecuado desempeño de las labores de la unidad."/>
    <n v="1"/>
    <s v="Impresora"/>
    <n v="4"/>
    <n v="1"/>
    <n v="360000"/>
    <n v="360000"/>
    <x v="4"/>
    <x v="38"/>
    <x v="43"/>
    <x v="48"/>
    <s v="64-2335492-"/>
    <s v="CAROLINA.SILVALL@REDSALUD.GOB.CL"/>
    <x v="19"/>
    <m/>
    <n v="0"/>
    <m/>
    <n v="0"/>
    <n v="0"/>
    <m/>
    <x v="1"/>
    <x v="2"/>
  </r>
  <r>
    <s v="SERVICIO DE SALUD OSORNO"/>
    <s v="Bienes y Servicios"/>
    <x v="273"/>
    <s v="Proyecto operacional"/>
    <s v="Enviado"/>
    <s v="22.07.001"/>
    <x v="272"/>
    <s v="Se requiere servicio de grabación y emisión de 4 avisos radiales promocionales de vacunación escolar y otras vacunas del calendario programatico (4 mensajes totales), en radioemisora de alcance provincial y que tenga alcance obligatorio en las comunas de Osorno, Purranque, Río Negro y San Pablo. Emisión de lunes a domingo 7 veces al día por 2 meses, iniciando el mes de agosto hasta fines del mes de septiembre de 2026."/>
    <n v="1"/>
    <s v="Difusión Radial"/>
    <n v="4"/>
    <n v="4"/>
    <n v="357000"/>
    <n v="1428000"/>
    <x v="4"/>
    <x v="36"/>
    <x v="78"/>
    <x v="78"/>
    <s v="64-2335829-"/>
    <s v="carolina.lagos@redsalud.gob.cl"/>
    <x v="24"/>
    <m/>
    <n v="0"/>
    <m/>
    <n v="0"/>
    <n v="0"/>
    <m/>
    <x v="1"/>
    <x v="4"/>
  </r>
  <r>
    <s v="SERVICIO DE SALUD OSORNO"/>
    <s v="Bienes y Servicios"/>
    <x v="274"/>
    <s v="Proyecto operacional"/>
    <s v="Enviado"/>
    <s v="22.04.001"/>
    <x v="273"/>
    <s v="Etiquetas y rollos de papel para la dispensación de los medicamentos para el tratamiento farmacológico de los usuarios, y rollos de papel para la impresión de las citaciones agendada a usuarios."/>
    <n v="2"/>
    <s v="Etiquetas"/>
    <n v="4"/>
    <n v="60"/>
    <n v="6000"/>
    <n v="360000"/>
    <x v="4"/>
    <x v="35"/>
    <x v="79"/>
    <x v="22"/>
    <s v="64-2335608-"/>
    <s v="yuvit.garciachacur@redsalud.gob.cl"/>
    <x v="13"/>
    <m/>
    <n v="0"/>
    <m/>
    <n v="0"/>
    <n v="0"/>
    <m/>
    <x v="1"/>
    <x v="4"/>
  </r>
  <r>
    <s v="SERVICIO DE SALUD OSORNO"/>
    <s v="Bienes y Servicios"/>
    <x v="274"/>
    <s v="Proyecto operacional"/>
    <s v="Enviado"/>
    <s v="22.04.001"/>
    <x v="273"/>
    <s v="Etiquetas y rollos de papel para la dispensación de los medicamentos para el tratamiento farmacológico de los usuarios, y rollos de papel para la impresión de las citaciones agendada a usuarios."/>
    <n v="2"/>
    <s v="Insumos de Impresora"/>
    <n v="4"/>
    <n v="200"/>
    <n v="4000"/>
    <n v="800000"/>
    <x v="4"/>
    <x v="35"/>
    <x v="79"/>
    <x v="22"/>
    <s v="64-2335608-"/>
    <s v="yuvit.garciachacur@redsalud.gob.cl"/>
    <x v="13"/>
    <m/>
    <n v="0"/>
    <m/>
    <n v="0"/>
    <n v="0"/>
    <m/>
    <x v="1"/>
    <x v="4"/>
  </r>
  <r>
    <s v="SERVICIO DE SALUD OSORNO"/>
    <s v="Bienes y Servicios"/>
    <x v="275"/>
    <s v="Proyecto operacional"/>
    <s v="Enviado"/>
    <s v="22.01.001"/>
    <x v="274"/>
    <s v="MATERIAL PARA DIFUSIÓN, PROMOCIÓN Y PARA LAS ACCIONES PREVENTIVAS DEL PROGRAMA DE CÁNCERES MÁS PREVALENTES EN LAS MUJERES DE LA PROVINCIA, CON EL FIN DE LOGRAR SU COMETIDO, SE COMENZARÁ A EJECUTAR DESDE ENERO DEL 2026 HASTA DICIEMBRE DEL 2026."/>
    <n v="4"/>
    <s v="Servicio Cafeteria"/>
    <n v="4"/>
    <n v="4"/>
    <n v="375000"/>
    <n v="1500000"/>
    <x v="4"/>
    <x v="38"/>
    <x v="80"/>
    <x v="79"/>
    <s v="64-2335873-"/>
    <s v="franco.fuentes@redsalud.gob.cl"/>
    <x v="19"/>
    <m/>
    <n v="0"/>
    <m/>
    <n v="0"/>
    <n v="0"/>
    <m/>
    <x v="1"/>
    <x v="4"/>
  </r>
  <r>
    <s v="SERVICIO DE SALUD OSORNO"/>
    <s v="Bienes y Servicios"/>
    <x v="275"/>
    <s v="Proyecto operacional"/>
    <s v="Enviado"/>
    <s v="22.01.001"/>
    <x v="274"/>
    <s v="MATERIAL PARA DIFUSIÓN, PROMOCIÓN Y PARA LAS ACCIONES PREVENTIVAS DEL PROGRAMA DE CÁNCERES MÁS PREVALENTES EN LAS MUJERES DE LA PROVINCIA, CON EL FIN DE LOGRAR SU COMETIDO, SE COMENZARÁ A EJECUTAR DESDE ENERO DEL 2026 HASTA DICIEMBRE DEL 2026."/>
    <n v="4"/>
    <s v="Material Promocional"/>
    <n v="4"/>
    <n v="3"/>
    <n v="1666667"/>
    <n v="5000001"/>
    <x v="4"/>
    <x v="32"/>
    <x v="80"/>
    <x v="79"/>
    <s v="64-2335873-"/>
    <s v="franco.fuentes@redsalud.gob.cl"/>
    <x v="21"/>
    <m/>
    <n v="0"/>
    <m/>
    <n v="0"/>
    <n v="0"/>
    <m/>
    <x v="1"/>
    <x v="4"/>
  </r>
  <r>
    <s v="SERVICIO DE SALUD OSORNO"/>
    <s v="Bienes y Servicios"/>
    <x v="275"/>
    <s v="Proyecto operacional"/>
    <s v="Enviado"/>
    <s v="22.01.001"/>
    <x v="274"/>
    <s v="MATERIAL PARA DIFUSIÓN, PROMOCIÓN Y PARA LAS ACCIONES PREVENTIVAS DEL PROGRAMA DE CÁNCERES MÁS PREVALENTES EN LAS MUJERES DE LA PROVINCIA, CON EL FIN DE LOGRAR SU COMETIDO, SE COMENZARÁ A EJECUTAR DESDE ENERO DEL 2026 HASTA DICIEMBRE DEL 2026."/>
    <n v="4"/>
    <s v="Feria Salud"/>
    <n v="4"/>
    <n v="3"/>
    <n v="1666667"/>
    <n v="5000001"/>
    <x v="4"/>
    <x v="38"/>
    <x v="80"/>
    <x v="79"/>
    <s v="64-2335873-"/>
    <s v="franco.fuentes@redsalud.gob.cl"/>
    <x v="19"/>
    <m/>
    <n v="0"/>
    <m/>
    <n v="0"/>
    <n v="0"/>
    <m/>
    <x v="1"/>
    <x v="4"/>
  </r>
  <r>
    <s v="SERVICIO DE SALUD OSORNO"/>
    <s v="Bienes y Servicios"/>
    <x v="275"/>
    <s v="Proyecto operacional"/>
    <s v="Enviado"/>
    <s v="22.01.001"/>
    <x v="274"/>
    <s v="MATERIAL PARA DIFUSIÓN, PROMOCIÓN Y PARA LAS ACCIONES PREVENTIVAS DEL PROGRAMA DE CÁNCERES MÁS PREVALENTES EN LAS MUJERES DE LA PROVINCIA, CON EL FIN DE LOGRAR SU COMETIDO, SE COMENZARÁ A EJECUTAR DESDE ENERO DEL 2026 HASTA DICIEMBRE DEL 2026."/>
    <n v="4"/>
    <s v="Viales VPH"/>
    <n v="4"/>
    <n v="4000"/>
    <n v="12733"/>
    <n v="50932000"/>
    <x v="4"/>
    <x v="35"/>
    <x v="80"/>
    <x v="79"/>
    <s v="64-2335873-"/>
    <s v="franco.fuentes@redsalud.gob.cl"/>
    <x v="13"/>
    <m/>
    <n v="0"/>
    <m/>
    <n v="0"/>
    <n v="0"/>
    <m/>
    <x v="1"/>
    <x v="4"/>
  </r>
  <r>
    <s v="SERVICIO DE SALUD OSORNO"/>
    <s v="Bienes y Servicios"/>
    <x v="276"/>
    <s v="Proyecto operacional"/>
    <s v="Enviado"/>
    <s v="22.04.999"/>
    <x v="275"/>
    <s v="Se requiere la adquisición de 4 megáfonos y 6 gabinetes para la comunicación en emergencias, gestión de riesgos y protección de equipos, que serán instalados en las 6 vías de evacuación con que cuentan las nuevas instalaciones de COSAM Rahue, ubicadas en calle Guatemala 1402."/>
    <n v="1"/>
    <s v="Megafono"/>
    <n v="4"/>
    <n v="4"/>
    <n v="150000"/>
    <n v="600000"/>
    <x v="4"/>
    <x v="35"/>
    <x v="79"/>
    <x v="22"/>
    <s v="64-2335608-"/>
    <s v="yuvit.garciachacur@redsalud.gob.cl"/>
    <x v="13"/>
    <m/>
    <n v="0"/>
    <m/>
    <n v="0"/>
    <n v="0"/>
    <m/>
    <x v="1"/>
    <x v="4"/>
  </r>
  <r>
    <s v="SERVICIO DE SALUD OSORNO"/>
    <s v="Activos Fijos"/>
    <x v="277"/>
    <s v="Proyecto operacional"/>
    <s v="Enviado"/>
    <s v="29.04"/>
    <x v="275"/>
    <s v="Se requiere la adquisición de 4 megáfonos y 6 gabinetes para la comunicación en emergencias, gestión de riesgos y protección de equipos, que serán instalados en las 6 vías de evacuación con que cuentan las nuevas instalaciones de COSAM Rahue, ubicadas en calle Guatemala 1402."/>
    <n v="1"/>
    <s v="Mueble aéreo"/>
    <n v="4"/>
    <n v="6"/>
    <n v="130000"/>
    <n v="780000"/>
    <x v="4"/>
    <x v="35"/>
    <x v="79"/>
    <x v="22"/>
    <s v="64-2335608-"/>
    <s v="yuvit.garciachacur@redsalud.gob.cl"/>
    <x v="13"/>
    <m/>
    <n v="0"/>
    <m/>
    <n v="0"/>
    <n v="0"/>
    <m/>
    <x v="1"/>
    <x v="5"/>
  </r>
  <r>
    <s v="SERVICIO DE SALUD OSORNO"/>
    <s v="Bienes y Servicios"/>
    <x v="278"/>
    <s v="Proyecto operacional"/>
    <s v="Enviado"/>
    <s v="22.04"/>
    <x v="276"/>
    <s v="Adquisisón de insumos relacionados con la mantención adecuada de la cadena de frío de los productos biológicos que los centros de salud mantienen en custodia en los vacunatorios de la provincia, según normativa del Programa Nacional de Inmunizaciones. Se requiere compra de este material durante el mes de abril de 2026."/>
    <n v="3"/>
    <s v="Baterias"/>
    <n v="4"/>
    <n v="60"/>
    <n v="1050"/>
    <n v="63000"/>
    <x v="4"/>
    <x v="24"/>
    <x v="78"/>
    <x v="78"/>
    <s v="64-2335829-"/>
    <s v="carolina.lagos@redsalud.gob.cl"/>
    <x v="14"/>
    <m/>
    <n v="0"/>
    <m/>
    <n v="0"/>
    <n v="0"/>
    <m/>
    <x v="1"/>
    <x v="4"/>
  </r>
  <r>
    <s v="SERVICIO DE SALUD OSORNO"/>
    <s v="Bienes y Servicios"/>
    <x v="278"/>
    <s v="Proyecto operacional"/>
    <s v="Enviado"/>
    <s v="22.04"/>
    <x v="276"/>
    <s v="Adquisisón de insumos relacionados con la mantención adecuada de la cadena de frío de los productos biológicos que los centros de salud mantienen en custodia en los vacunatorios de la provincia, según normativa del Programa Nacional de Inmunizaciones. Se requiere compra de este material durante el mes de abril de 2026."/>
    <n v="3"/>
    <s v="Cables y Sensores"/>
    <n v="4"/>
    <n v="60"/>
    <n v="52734"/>
    <n v="3164040"/>
    <x v="4"/>
    <x v="24"/>
    <x v="78"/>
    <x v="78"/>
    <s v="64-2335829-"/>
    <s v="carolina.lagos@redsalud.gob.cl"/>
    <x v="14"/>
    <m/>
    <n v="0"/>
    <m/>
    <n v="0"/>
    <n v="0"/>
    <m/>
    <x v="1"/>
    <x v="4"/>
  </r>
  <r>
    <s v="SERVICIO DE SALUD OSORNO"/>
    <s v="Bienes y Servicios"/>
    <x v="278"/>
    <s v="Proyecto operacional"/>
    <s v="Enviado"/>
    <s v="22.04"/>
    <x v="276"/>
    <s v="Adquisisón de insumos relacionados con la mantención adecuada de la cadena de frío de los productos biológicos que los centros de salud mantienen en custodia en los vacunatorios de la provincia, según normativa del Programa Nacional de Inmunizaciones. Se requiere compra de este material durante el mes de abril de 2026."/>
    <n v="3"/>
    <s v="Maleta - Cooler"/>
    <n v="4"/>
    <n v="44"/>
    <n v="53495"/>
    <n v="2353780"/>
    <x v="4"/>
    <x v="24"/>
    <x v="78"/>
    <x v="78"/>
    <s v="64-2335829-"/>
    <s v="carolina.lagos@redsalud.gob.cl"/>
    <x v="14"/>
    <m/>
    <n v="0"/>
    <m/>
    <n v="0"/>
    <n v="0"/>
    <m/>
    <x v="1"/>
    <x v="4"/>
  </r>
  <r>
    <s v="SERVICIO DE SALUD OSORNO"/>
    <s v="Bienes y Servicios"/>
    <x v="279"/>
    <s v="Proyecto operacional"/>
    <s v="Enviado"/>
    <s v="22.01.001"/>
    <x v="277"/>
    <s v="Se requiere adquirir recursos para conmemorar el Día del Autocuidado en la comunidad funcionaria el 24 de julio de 2026, donde se realizará una feria de salud durante la jornada de mañana y tarde. En esta feria, se invitará a funcionarios/as con emprendimientos relacionados al autocuidado a tener un stand para mostrar y vender sus productos. También, se contará con una profesora de yoga que realizará una actividad por jornada, y una instructora que ofrecerá masajes durante el día."/>
    <n v="2"/>
    <s v="Profesor Instructor"/>
    <n v="4"/>
    <n v="2"/>
    <n v="180000"/>
    <n v="360000"/>
    <x v="4"/>
    <x v="33"/>
    <x v="50"/>
    <x v="54"/>
    <s v="64-2337034-"/>
    <s v="lhya.kortmann@redsalud.gob.cl"/>
    <x v="22"/>
    <m/>
    <n v="0"/>
    <m/>
    <n v="0"/>
    <n v="0"/>
    <m/>
    <x v="1"/>
    <x v="4"/>
  </r>
  <r>
    <s v="SERVICIO DE SALUD OSORNO"/>
    <s v="Bienes y Servicios"/>
    <x v="279"/>
    <s v="Proyecto operacional"/>
    <s v="Enviado"/>
    <s v="22.01.001"/>
    <x v="277"/>
    <s v="Se requiere adquirir recursos para conmemorar el Día del Autocuidado en la comunidad funcionaria el 24 de julio de 2026, donde se realizará una feria de salud durante la jornada de mañana y tarde. En esta feria, se invitará a funcionarios/as con emprendimientos relacionados al autocuidado a tener un stand para mostrar y vender sus productos. También, se contará con una profesora de yoga que realizará una actividad por jornada, y una instructora que ofrecerá masajes durante el día."/>
    <n v="2"/>
    <s v="Agua Mineral"/>
    <n v="4"/>
    <n v="80"/>
    <n v="1000"/>
    <n v="80000"/>
    <x v="4"/>
    <x v="33"/>
    <x v="50"/>
    <x v="54"/>
    <s v="64-2337034-"/>
    <s v="lhya.kortmann@redsalud.gob.cl"/>
    <x v="22"/>
    <m/>
    <n v="0"/>
    <m/>
    <n v="0"/>
    <n v="0"/>
    <m/>
    <x v="1"/>
    <x v="4"/>
  </r>
  <r>
    <s v="SERVICIO DE SALUD OSORNO"/>
    <s v="Bienes y Servicios"/>
    <x v="280"/>
    <s v="Proyecto operacional"/>
    <s v="Enviado"/>
    <s v="22.04.999"/>
    <x v="180"/>
    <s v="La adquisición de implementos kinésicos para el box es fundamental para garantizar la calidad y la eficacia de los servicios de rehabilitación y tratamiento hacia los funcionarios del servicio y el Hospital (marzo- abril)"/>
    <n v="1"/>
    <s v="Insumos Kinesicos"/>
    <n v="4"/>
    <n v="7"/>
    <n v="16429"/>
    <n v="115003"/>
    <x v="4"/>
    <x v="32"/>
    <x v="61"/>
    <x v="66"/>
    <s v="64-2337034-"/>
    <s v="felipe.barriga@redsalud.gob.cl"/>
    <x v="21"/>
    <m/>
    <n v="0"/>
    <m/>
    <n v="0"/>
    <n v="0"/>
    <m/>
    <x v="1"/>
    <x v="4"/>
  </r>
  <r>
    <s v="SERVICIO DE SALUD OSORNO"/>
    <s v="Bienes y Servicios"/>
    <x v="281"/>
    <s v="Proyecto operacional"/>
    <s v="Enviado"/>
    <s v="22.04.001"/>
    <x v="278"/>
    <s v="Se solicita adquirir articulos de oficina para box de atención, salas de taller y oficinas administrativas de edificio Matta."/>
    <n v="1"/>
    <s v="Articulos de Oficina"/>
    <n v="4"/>
    <n v="45"/>
    <n v="9000"/>
    <n v="405000"/>
    <x v="4"/>
    <x v="32"/>
    <x v="81"/>
    <x v="80"/>
    <s v="64-2337363-"/>
    <s v="ximena.campos@redsalud.gob.cl"/>
    <x v="21"/>
    <m/>
    <n v="0"/>
    <m/>
    <n v="0"/>
    <n v="0"/>
    <m/>
    <x v="1"/>
    <x v="4"/>
  </r>
  <r>
    <s v="SERVICIO DE SALUD OSORNO"/>
    <s v="Administración de Fondos"/>
    <x v="282"/>
    <s v="Proyecto operacional"/>
    <s v="Enviado"/>
    <s v="29.06.001"/>
    <x v="279"/>
    <s v="Se requiere la adquisición de insumos computacionales destinados a la Unidad Ambulatoria, con el objetivo de mantener el correcto funcionamiento de los equipos y asegurar el desarrollo eficiente de las labores administrativas y técnicas del servicio."/>
    <n v="1"/>
    <s v="Equipos Computacionales"/>
    <n v="4"/>
    <n v="6"/>
    <n v="693334"/>
    <n v="4160004"/>
    <x v="4"/>
    <x v="36"/>
    <x v="82"/>
    <x v="48"/>
    <s v="64-2335492-"/>
    <s v="CAROLINA.SILVALL@REDSALUD.GOB.CL"/>
    <x v="24"/>
    <m/>
    <n v="0"/>
    <m/>
    <n v="0"/>
    <n v="0"/>
    <m/>
    <x v="1"/>
    <x v="2"/>
  </r>
  <r>
    <s v="SERVICIO DE SALUD OSORNO"/>
    <s v="Administración de Fondos"/>
    <x v="283"/>
    <s v="Proyecto operacional"/>
    <s v="Enviado"/>
    <s v="22.04.008"/>
    <x v="280"/>
    <s v="Se requiere la adquisición de equipos electrónicos y mobiliario de alto rendimiento, con el propósito de garantizar eficiencia, seguridad, durabilidad y funcionalidad en el desarrollo de las actividades de la unidad. Esta adquisición busca asegurar un funcionamiento óptimo en los ámbitos tecnológicos, educativos y residenciales, incluso frente a eventualidades u otras contingencias operativas."/>
    <n v="1"/>
    <s v="Articulos de Cocina"/>
    <n v="4"/>
    <n v="7"/>
    <n v="28572"/>
    <n v="200004"/>
    <x v="4"/>
    <x v="31"/>
    <x v="43"/>
    <x v="48"/>
    <s v="64-2335492-"/>
    <s v="CAROLINA.SILVALL@REDSALUD.GOB.CL"/>
    <x v="20"/>
    <m/>
    <n v="0"/>
    <m/>
    <n v="0"/>
    <n v="0"/>
    <m/>
    <x v="1"/>
    <x v="2"/>
  </r>
  <r>
    <s v="SERVICIO DE SALUD OSORNO"/>
    <s v="Administración de Fondos"/>
    <x v="284"/>
    <s v="Proyecto operacional"/>
    <s v="Enviado"/>
    <s v="22.04.012"/>
    <x v="281"/>
    <s v="Se requiere la adquisición de equipos electrónicos y mobiliario de alto rendimiento, con el propósito de garantizar eficiencia, seguridad, durabilidad y funcionalidad en el desarrollo de las actividades de la unidad. Esta adquisición busca asegurar un funcionamiento óptimo en los ámbitos tecnológicos, educativos y residenciales, incluso frente a eventualidades u otras contingencias operativas."/>
    <n v="3"/>
    <s v="Escalera"/>
    <n v="4"/>
    <n v="1"/>
    <n v="150000"/>
    <n v="150000"/>
    <x v="4"/>
    <x v="31"/>
    <x v="43"/>
    <x v="48"/>
    <s v="64-2335492-"/>
    <s v="CAROLINA.SILVALL@REDSALUD.GOB.CL"/>
    <x v="20"/>
    <m/>
    <n v="0"/>
    <m/>
    <n v="0"/>
    <n v="0"/>
    <m/>
    <x v="1"/>
    <x v="2"/>
  </r>
  <r>
    <s v="SERVICIO DE SALUD OSORNO"/>
    <s v="Administración de Fondos"/>
    <x v="284"/>
    <s v="Proyecto operacional"/>
    <s v="Enviado"/>
    <s v="22.04.012"/>
    <x v="281"/>
    <s v="Se requiere la adquisición de equipos electrónicos y mobiliario de alto rendimiento, con el propósito de garantizar eficiencia, seguridad, durabilidad y funcionalidad en el desarrollo de las actividades de la unidad. Esta adquisición busca asegurar un funcionamiento óptimo en los ámbitos tecnológicos, educativos y residenciales, incluso frente a eventualidades u otras contingencias operativas."/>
    <n v="3"/>
    <s v="Orilladora"/>
    <n v="4"/>
    <n v="1"/>
    <n v="70000"/>
    <n v="70000"/>
    <x v="4"/>
    <x v="31"/>
    <x v="43"/>
    <x v="48"/>
    <s v="64-2335492-"/>
    <s v="CAROLINA.SILVALL@REDSALUD.GOB.CL"/>
    <x v="20"/>
    <m/>
    <n v="0"/>
    <m/>
    <n v="0"/>
    <n v="0"/>
    <m/>
    <x v="1"/>
    <x v="2"/>
  </r>
  <r>
    <s v="SERVICIO DE SALUD OSORNO"/>
    <s v="Administración de Fondos"/>
    <x v="284"/>
    <s v="Proyecto operacional"/>
    <s v="Enviado"/>
    <s v="22.04.012"/>
    <x v="281"/>
    <s v="Se requiere la adquisición de equipos electrónicos y mobiliario de alto rendimiento, con el propósito de garantizar eficiencia, seguridad, durabilidad y funcionalidad en el desarrollo de las actividades de la unidad. Esta adquisición busca asegurar un funcionamiento óptimo en los ámbitos tecnológicos, educativos y residenciales, incluso frente a eventualidades u otras contingencias operativas."/>
    <n v="3"/>
    <s v="Focos"/>
    <n v="4"/>
    <n v="4"/>
    <n v="15000"/>
    <n v="60000"/>
    <x v="4"/>
    <x v="31"/>
    <x v="43"/>
    <x v="48"/>
    <s v="64-2335492-"/>
    <s v="CAROLINA.SILVALL@REDSALUD.GOB.CL"/>
    <x v="20"/>
    <m/>
    <n v="0"/>
    <m/>
    <n v="0"/>
    <n v="0"/>
    <m/>
    <x v="1"/>
    <x v="2"/>
  </r>
  <r>
    <s v="SERVICIO DE SALUD OSORNO"/>
    <s v="Administración de Fondos"/>
    <x v="285"/>
    <s v="Proyecto operacional"/>
    <s v="Enviado"/>
    <s v="22.01.001"/>
    <x v="282"/>
    <s v="Adquisicion de productos e insumos para la prevencion, promocion, localizacion de casos, diagnostico y adherencia al tratamiento de usuarios/as con Tuberculosis."/>
    <n v="6"/>
    <s v="Servicio Cafeteria"/>
    <n v="4"/>
    <n v="1"/>
    <n v="4600000"/>
    <n v="4600000"/>
    <x v="4"/>
    <x v="36"/>
    <x v="83"/>
    <x v="81"/>
    <s v="64-2335465-"/>
    <s v="mariapaz.gomez.n@redsalud.gob.cl"/>
    <x v="24"/>
    <m/>
    <n v="0"/>
    <m/>
    <n v="0"/>
    <n v="0"/>
    <m/>
    <x v="1"/>
    <x v="2"/>
  </r>
  <r>
    <s v="SERVICIO DE SALUD OSORNO"/>
    <s v="Administración de Fondos"/>
    <x v="285"/>
    <s v="Proyecto operacional"/>
    <s v="Enviado"/>
    <s v="22.01.001"/>
    <x v="282"/>
    <s v="Adquisicion de productos e insumos para la prevencion, promocion, localizacion de casos, diagnostico y adherencia al tratamiento de usuarios/as con Tuberculosis."/>
    <n v="6"/>
    <s v="Alimentación"/>
    <n v="4"/>
    <n v="76"/>
    <n v="83816"/>
    <n v="6370016"/>
    <x v="4"/>
    <x v="26"/>
    <x v="83"/>
    <x v="81"/>
    <s v="64-2335465-"/>
    <s v="mariapaz.gomez.n@redsalud.gob.cl"/>
    <x v="24"/>
    <m/>
    <n v="0"/>
    <m/>
    <n v="0"/>
    <n v="0"/>
    <m/>
    <x v="1"/>
    <x v="2"/>
  </r>
  <r>
    <s v="SERVICIO DE SALUD OSORNO"/>
    <s v="Administración de Fondos"/>
    <x v="285"/>
    <s v="Proyecto operacional"/>
    <s v="Enviado"/>
    <s v="22.01.001"/>
    <x v="282"/>
    <s v="Adquisicion de productos e insumos para la prevencion, promocion, localizacion de casos, diagnostico y adherencia al tratamiento de usuarios/as con Tuberculosis."/>
    <n v="6"/>
    <s v="Menaje"/>
    <n v="4"/>
    <n v="3"/>
    <n v="13334"/>
    <n v="40002"/>
    <x v="4"/>
    <x v="26"/>
    <x v="83"/>
    <x v="81"/>
    <s v="64-2335465-"/>
    <s v="mariapaz.gomez.n@redsalud.gob.cl"/>
    <x v="24"/>
    <m/>
    <n v="0"/>
    <m/>
    <n v="0"/>
    <n v="0"/>
    <m/>
    <x v="1"/>
    <x v="2"/>
  </r>
  <r>
    <s v="SERVICIO DE SALUD OSORNO"/>
    <s v="Administración de Fondos"/>
    <x v="285"/>
    <s v="Proyecto operacional"/>
    <s v="Enviado"/>
    <s v="22.01.001"/>
    <x v="282"/>
    <s v="Adquisicion de productos e insumos para la prevencion, promocion, localizacion de casos, diagnostico y adherencia al tratamiento de usuarios/as con Tuberculosis."/>
    <n v="6"/>
    <s v="Kit de aseo"/>
    <n v="4"/>
    <n v="60"/>
    <n v="20000"/>
    <n v="1200000"/>
    <x v="4"/>
    <x v="26"/>
    <x v="83"/>
    <x v="81"/>
    <s v="64-2335465-"/>
    <s v="mariapaz.gomez.n@redsalud.gob.cl"/>
    <x v="24"/>
    <m/>
    <n v="0"/>
    <m/>
    <n v="0"/>
    <n v="0"/>
    <m/>
    <x v="1"/>
    <x v="2"/>
  </r>
  <r>
    <s v="SERVICIO DE SALUD OSORNO"/>
    <s v="Administración de Fondos"/>
    <x v="285"/>
    <s v="Proyecto operacional"/>
    <s v="Enviado"/>
    <s v="22.01.001"/>
    <x v="282"/>
    <s v="Adquisicion de productos e insumos para la prevencion, promocion, localizacion de casos, diagnostico y adherencia al tratamiento de usuarios/as con Tuberculosis."/>
    <n v="6"/>
    <s v="Quantiferon"/>
    <n v="4"/>
    <n v="1"/>
    <n v="4000000"/>
    <n v="4000000"/>
    <x v="4"/>
    <x v="26"/>
    <x v="83"/>
    <x v="81"/>
    <s v="64-2335465-"/>
    <s v="mariapaz.gomez.n@redsalud.gob.cl"/>
    <x v="24"/>
    <m/>
    <n v="0"/>
    <m/>
    <n v="0"/>
    <n v="0"/>
    <m/>
    <x v="1"/>
    <x v="2"/>
  </r>
  <r>
    <s v="SERVICIO DE SALUD OSORNO"/>
    <s v="Administración de Fondos"/>
    <x v="285"/>
    <s v="Proyecto operacional"/>
    <s v="Enviado"/>
    <s v="22.01.001"/>
    <x v="282"/>
    <s v="Adquisicion de productos e insumos para la prevencion, promocion, localizacion de casos, diagnostico y adherencia al tratamiento de usuarios/as con Tuberculosis."/>
    <n v="6"/>
    <s v="Mantención equipos críticos"/>
    <n v="4"/>
    <n v="1"/>
    <n v="2500000"/>
    <n v="2500000"/>
    <x v="4"/>
    <x v="26"/>
    <x v="83"/>
    <x v="81"/>
    <s v="64-2335465-"/>
    <s v="mariapaz.gomez.n@redsalud.gob.cl"/>
    <x v="24"/>
    <m/>
    <n v="0"/>
    <m/>
    <n v="0"/>
    <n v="0"/>
    <m/>
    <x v="1"/>
    <x v="2"/>
  </r>
  <r>
    <s v="SERVICIO DE SALUD OSORNO"/>
    <s v="Bienes y Servicios"/>
    <x v="286"/>
    <s v="Proyecto operacional"/>
    <s v="Enviado"/>
    <s v="22.01.001"/>
    <x v="283"/>
    <s v="Apoyo logístico (materiales de trabajo, libreria, insumos de cafeteria,etc.) para 4 convocatorias a capacitaciones, talleres, jornadas y reuniones de trabajo con la red de coordinadores de emergencia de la red. meses de ejecucion febrero - marzo - junio-septiembre-diciembre"/>
    <n v="3"/>
    <s v="Pendrives"/>
    <n v="4"/>
    <n v="30"/>
    <n v="5000"/>
    <n v="150000"/>
    <x v="4"/>
    <x v="38"/>
    <x v="2"/>
    <x v="3"/>
    <s v="64-2337728-"/>
    <s v="CATALINA.VERAC@REDSALUD.GOB.CL"/>
    <x v="19"/>
    <m/>
    <n v="0"/>
    <m/>
    <n v="0"/>
    <n v="0"/>
    <m/>
    <x v="1"/>
    <x v="4"/>
  </r>
  <r>
    <s v="SERVICIO DE SALUD OSORNO"/>
    <s v="Bienes y Servicios"/>
    <x v="286"/>
    <s v="Proyecto operacional"/>
    <s v="Enviado"/>
    <s v="22.01.001"/>
    <x v="283"/>
    <s v="Apoyo logístico (materiales de trabajo, libreria, insumos de cafeteria,etc.) para 4 convocatorias a capacitaciones, talleres, jornadas y reuniones de trabajo con la red de coordinadores de emergencia de la red. meses de ejecucion febrero - marzo - junio-septiembre-diciembre"/>
    <n v="3"/>
    <s v="Porta Planos + Cinta Credencial"/>
    <n v="4"/>
    <n v="31"/>
    <n v="807"/>
    <n v="25017"/>
    <x v="4"/>
    <x v="38"/>
    <x v="2"/>
    <x v="3"/>
    <s v="64-2337728-"/>
    <s v="CATALINA.VERAC@REDSALUD.GOB.CL"/>
    <x v="19"/>
    <m/>
    <n v="0"/>
    <m/>
    <n v="0"/>
    <n v="0"/>
    <m/>
    <x v="1"/>
    <x v="4"/>
  </r>
  <r>
    <s v="SERVICIO DE SALUD OSORNO"/>
    <s v="Bienes y Servicios"/>
    <x v="286"/>
    <s v="Proyecto operacional"/>
    <s v="Enviado"/>
    <s v="22.01.001"/>
    <x v="283"/>
    <s v="Apoyo logístico (materiales de trabajo, libreria, insumos de cafeteria,etc.) para 4 convocatorias a capacitaciones, talleres, jornadas y reuniones de trabajo con la red de coordinadores de emergencia de la red. meses de ejecucion febrero - marzo - junio-septiembre-diciembre"/>
    <n v="3"/>
    <s v="Alimentación"/>
    <n v="4"/>
    <n v="308"/>
    <n v="1192"/>
    <n v="367136"/>
    <x v="7"/>
    <x v="46"/>
    <x v="2"/>
    <x v="3"/>
    <s v="64-2337728-"/>
    <s v="CATALINA.VERAC@REDSALUD.GOB.CL"/>
    <x v="21"/>
    <m/>
    <n v="0"/>
    <m/>
    <n v="0"/>
    <n v="0"/>
    <m/>
    <x v="1"/>
    <x v="4"/>
  </r>
  <r>
    <s v="SERVICIO DE SALUD OSORNO"/>
    <s v="Activos Fijos"/>
    <x v="287"/>
    <s v="Proyecto operacional"/>
    <s v="Enviado"/>
    <s v="31.02.005"/>
    <x v="284"/>
    <s v="Proyecto con fuente de financiamiento sectorial. Ejecución proyectada para abril 2026"/>
    <n v="2"/>
    <s v="Equipamiento Medico"/>
    <n v="4"/>
    <n v="1"/>
    <n v="5731000"/>
    <n v="5731000"/>
    <x v="4"/>
    <x v="24"/>
    <x v="66"/>
    <x v="69"/>
    <s v="64-2337386-"/>
    <s v="maria.munozp@redsalud.gob.cl"/>
    <x v="14"/>
    <m/>
    <n v="0"/>
    <m/>
    <n v="0"/>
    <n v="0"/>
    <m/>
    <x v="1"/>
    <x v="5"/>
  </r>
  <r>
    <s v="SERVICIO DE SALUD OSORNO"/>
    <s v="Activos Fijos"/>
    <x v="287"/>
    <s v="Proyecto operacional"/>
    <s v="Enviado"/>
    <s v="31.02.005"/>
    <x v="284"/>
    <s v="Proyecto con fuente de financiamiento sectorial. Ejecución proyectada para abril 2026"/>
    <n v="2"/>
    <s v="Equipo Medico"/>
    <n v="4"/>
    <n v="1"/>
    <n v="1042000"/>
    <n v="1042000"/>
    <x v="4"/>
    <x v="24"/>
    <x v="66"/>
    <x v="69"/>
    <s v="64-2337386-"/>
    <s v="maria.munozp@redsalud.gob.cl"/>
    <x v="14"/>
    <m/>
    <n v="0"/>
    <m/>
    <n v="0"/>
    <n v="0"/>
    <m/>
    <x v="1"/>
    <x v="5"/>
  </r>
  <r>
    <s v="SERVICIO DE SALUD OSORNO"/>
    <s v="Bienes y Servicios"/>
    <x v="288"/>
    <s v="Proyecto operacional"/>
    <s v="Enviado"/>
    <s v="22.07.999"/>
    <x v="282"/>
    <s v="Adquisición de productos e insumos para la prevención, promoción, localización de casos, diagnostico y adherencia al tratamiento de usuarios/as con Tuberculosis."/>
    <n v="2"/>
    <s v="Pendones"/>
    <n v="4"/>
    <n v="20"/>
    <n v="60000"/>
    <n v="1200000"/>
    <x v="4"/>
    <x v="25"/>
    <x v="83"/>
    <x v="81"/>
    <s v="64-2335465-"/>
    <s v="mariapaz.gomez.n@redsalud.gob.cl"/>
    <x v="15"/>
    <m/>
    <n v="0"/>
    <m/>
    <n v="0"/>
    <n v="0"/>
    <m/>
    <x v="1"/>
    <x v="4"/>
  </r>
  <r>
    <s v="SERVICIO DE SALUD OSORNO"/>
    <s v="Bienes y Servicios"/>
    <x v="288"/>
    <s v="Proyecto operacional"/>
    <s v="Enviado"/>
    <s v="22.07.999"/>
    <x v="282"/>
    <s v="Adquisición de productos e insumos para la prevención, promoción, localización de casos, diagnostico y adherencia al tratamiento de usuarios/as con Tuberculosis."/>
    <n v="2"/>
    <s v="Material Promocional"/>
    <n v="4"/>
    <n v="10020"/>
    <n v="130"/>
    <n v="1302600"/>
    <x v="4"/>
    <x v="25"/>
    <x v="83"/>
    <x v="81"/>
    <s v="64-2335465-"/>
    <s v="mariapaz.gomez.n@redsalud.gob.cl"/>
    <x v="15"/>
    <m/>
    <n v="0"/>
    <m/>
    <n v="0"/>
    <n v="0"/>
    <m/>
    <x v="1"/>
    <x v="4"/>
  </r>
  <r>
    <s v="SERVICIO DE SALUD OSORNO"/>
    <s v="Bienes y Servicios"/>
    <x v="289"/>
    <s v="Proyecto operacional"/>
    <s v="Enviado"/>
    <n v="2496"/>
    <x v="285"/>
    <s v="Adquisición de artículos de oficina y materiales para el desarrollo de funciones administrativas y actividades programadas por las distintas unidades del Departamento de Calidad de Vida."/>
    <n v="3"/>
    <s v="Material de Oficina"/>
    <n v="4"/>
    <n v="18"/>
    <n v="10223"/>
    <n v="184014"/>
    <x v="4"/>
    <x v="35"/>
    <x v="27"/>
    <x v="82"/>
    <s v="64-2337096-"/>
    <s v="claudia.munozga@redsalud.gob.cl"/>
    <x v="13"/>
    <m/>
    <n v="0"/>
    <m/>
    <n v="0"/>
    <n v="0"/>
    <m/>
    <x v="1"/>
    <x v="4"/>
  </r>
  <r>
    <s v="SERVICIO DE SALUD OSORNO"/>
    <s v="Bienes y Servicios"/>
    <x v="289"/>
    <s v="Proyecto operacional"/>
    <s v="Enviado"/>
    <n v="2496"/>
    <x v="285"/>
    <s v="Adquisición de artículos de oficina y materiales para el desarrollo de funciones administrativas y actividades programadas por las distintas unidades del Departamento de Calidad de Vida."/>
    <n v="3"/>
    <s v="Papelero"/>
    <n v="4"/>
    <n v="2"/>
    <n v="10000"/>
    <n v="20000"/>
    <x v="4"/>
    <x v="35"/>
    <x v="27"/>
    <x v="82"/>
    <s v="64-2337096-"/>
    <s v="claudia.munozga@redsalud.gob.cl"/>
    <x v="13"/>
    <m/>
    <n v="0"/>
    <m/>
    <n v="0"/>
    <n v="0"/>
    <m/>
    <x v="1"/>
    <x v="4"/>
  </r>
  <r>
    <s v="SERVICIO DE SALUD OSORNO"/>
    <s v="Bienes y Servicios"/>
    <x v="289"/>
    <s v="Proyecto operacional"/>
    <s v="Enviado"/>
    <n v="2496"/>
    <x v="285"/>
    <s v="Adquisición de artículos de oficina y materiales para el desarrollo de funciones administrativas y actividades programadas por las distintas unidades del Departamento de Calidad de Vida."/>
    <n v="3"/>
    <s v="Caja Plastica"/>
    <n v="4"/>
    <n v="2"/>
    <n v="9000"/>
    <n v="18000"/>
    <x v="4"/>
    <x v="35"/>
    <x v="27"/>
    <x v="82"/>
    <s v="64-2337096-"/>
    <s v="claudia.munozga@redsalud.gob.cl"/>
    <x v="13"/>
    <m/>
    <n v="0"/>
    <m/>
    <n v="0"/>
    <n v="0"/>
    <m/>
    <x v="1"/>
    <x v="4"/>
  </r>
  <r>
    <s v="SERVICIO DE SALUD OSORNO"/>
    <s v="Bienes y Servicios"/>
    <x v="290"/>
    <s v="Proyecto operacional"/>
    <s v="Enviado"/>
    <n v="2497"/>
    <x v="286"/>
    <s v="Adquirir talonarios de recetas médicas y ordenes de examenes propias de los dispositivos (psiconeurogeriatria) para dispensación de fármacos y toma de examenes en HBSJO. (realizadas de acuerdo a protocolos de referencia y contrareferencias de los dispositivos de Ayekan y Kumelen)."/>
    <n v="1"/>
    <s v="Talonarios"/>
    <n v="4"/>
    <n v="100"/>
    <n v="2000"/>
    <n v="200000"/>
    <x v="4"/>
    <x v="38"/>
    <x v="81"/>
    <x v="80"/>
    <s v="64-2337363-"/>
    <s v="ximena.campos@redsalud.gob.cl"/>
    <x v="19"/>
    <m/>
    <n v="0"/>
    <m/>
    <n v="0"/>
    <n v="0"/>
    <m/>
    <x v="1"/>
    <x v="4"/>
  </r>
  <r>
    <s v="SERVICIO DE SALUD OSORNO"/>
    <s v="Bienes y Servicios"/>
    <x v="291"/>
    <s v="Proyecto operacional"/>
    <s v="Enviado"/>
    <n v="2498"/>
    <x v="287"/>
    <s v="SE REQUIERE LA COMPRA DE LOS INSUMOS DE OFICINA PARA EL DEPARTAMENTO DE OBRAS, EN EL MES DE MARZO 2026"/>
    <n v="2"/>
    <s v="Material de Oficina"/>
    <n v="4"/>
    <n v="13"/>
    <n v="17693"/>
    <n v="230009"/>
    <x v="4"/>
    <x v="32"/>
    <x v="84"/>
    <x v="50"/>
    <s v="64-2337382-"/>
    <s v="marta.borquez@redsalud.gob.cl"/>
    <x v="21"/>
    <m/>
    <n v="0"/>
    <m/>
    <n v="0"/>
    <n v="0"/>
    <m/>
    <x v="1"/>
    <x v="4"/>
  </r>
  <r>
    <s v="SERVICIO DE SALUD OSORNO"/>
    <s v="Bienes y Servicios"/>
    <x v="291"/>
    <s v="Proyecto operacional"/>
    <s v="Enviado"/>
    <n v="2498"/>
    <x v="287"/>
    <s v="SE REQUIERE LA COMPRA DE LOS INSUMOS DE OFICINA PARA EL DEPARTAMENTO DE OBRAS, EN EL MES DE MARZO 2026"/>
    <n v="2"/>
    <s v="Tintas y Toner"/>
    <n v="4"/>
    <n v="16"/>
    <n v="112250"/>
    <n v="1796000"/>
    <x v="4"/>
    <x v="32"/>
    <x v="84"/>
    <x v="50"/>
    <s v="64-2337382-"/>
    <s v="marta.borquez@redsalud.gob.cl"/>
    <x v="21"/>
    <m/>
    <n v="0"/>
    <m/>
    <n v="0"/>
    <n v="0"/>
    <m/>
    <x v="1"/>
    <x v="4"/>
  </r>
  <r>
    <s v="SERVICIO DE SALUD OSORNO"/>
    <s v="Bienes y Servicios"/>
    <x v="292"/>
    <s v="Proyecto operacional"/>
    <s v="Enviado"/>
    <s v="22.07.002"/>
    <x v="288"/>
    <s v="Impresión de material educativo visual y didáctico reutilizable para fortalecer las actividades de educación alimentaria en la red APS de la provincia de Osorno. La compra se ejecutará en mayo de 2025, financiada con recursos del Programa de Salud Cardiovascular."/>
    <n v="1"/>
    <s v="Folleteria"/>
    <n v="4"/>
    <n v="23"/>
    <n v="108696"/>
    <n v="2500008"/>
    <x v="4"/>
    <x v="31"/>
    <x v="24"/>
    <x v="83"/>
    <s v="64-2335808-"/>
    <s v="consuelo.cordova@redsalud.gob.cl"/>
    <x v="20"/>
    <m/>
    <n v="0"/>
    <m/>
    <n v="0"/>
    <n v="0"/>
    <m/>
    <x v="1"/>
    <x v="4"/>
  </r>
  <r>
    <s v="SERVICIO DE SALUD OSORNO"/>
    <s v="Bienes y Servicios"/>
    <x v="293"/>
    <s v="Proyecto operacional"/>
    <s v="Enviado"/>
    <s v="22.04.001"/>
    <x v="282"/>
    <s v="Adquisición de productos e insumos para la prevención, promoción, localización de casos, diagnostico y adherencia al tratamiento de usuarios/as con Tuberculosis."/>
    <n v="1"/>
    <s v="Material de Oficina"/>
    <n v="4"/>
    <n v="165"/>
    <n v="3031"/>
    <n v="500115"/>
    <x v="4"/>
    <x v="25"/>
    <x v="83"/>
    <x v="81"/>
    <s v="64-2335465-"/>
    <s v="mariapaz.gomez.n@redsalud.gob.cl"/>
    <x v="15"/>
    <m/>
    <n v="0"/>
    <m/>
    <n v="0"/>
    <n v="0"/>
    <m/>
    <x v="1"/>
    <x v="4"/>
  </r>
  <r>
    <s v="SERVICIO DE SALUD OSORNO"/>
    <s v="Bienes y Servicios"/>
    <x v="294"/>
    <s v="Proyecto operacional"/>
    <s v="Enviado"/>
    <n v="2403"/>
    <x v="289"/>
    <s v="Solicita la compra en el mes de mayo 2026 por única vez en el año de insumos de higiene oral que consiste en: cepillo dental adulto, cepillo interproximal, pasta dental adulto 1450ppm flúor, cepillo para prótesis dental, cepillo dental eléctrico recargable y repuestos para cepillo dental eléctrico recargable."/>
    <n v="1"/>
    <s v="Insumos Higiene Oral"/>
    <n v="4"/>
    <n v="555"/>
    <n v="7315"/>
    <n v="4059825"/>
    <x v="4"/>
    <x v="31"/>
    <x v="85"/>
    <x v="84"/>
    <s v="64-2335810-"/>
    <s v="gonzalo.schulz@redsalud.gob.cl"/>
    <x v="20"/>
    <m/>
    <n v="0"/>
    <m/>
    <n v="0"/>
    <n v="0"/>
    <m/>
    <x v="1"/>
    <x v="4"/>
  </r>
  <r>
    <s v="SERVICIO DE SALUD OSORNO"/>
    <s v="Bienes y Servicios"/>
    <x v="295"/>
    <s v="Proyecto operacional"/>
    <s v="Enviado"/>
    <n v="2502"/>
    <x v="290"/>
    <s v="Adquirir pilas para equipos clínicos de la unidad SAFU, tales como pesa portátil, hemoglucotest y equipo de electroterapia."/>
    <n v="1"/>
    <s v="Bateria"/>
    <n v="4"/>
    <n v="10"/>
    <n v="55000"/>
    <n v="550000"/>
    <x v="4"/>
    <x v="35"/>
    <x v="53"/>
    <x v="57"/>
    <s v="64-2337032-"/>
    <s v="daniela.cancino01@redsalud.gob.cl"/>
    <x v="13"/>
    <m/>
    <n v="0"/>
    <m/>
    <n v="0"/>
    <n v="0"/>
    <m/>
    <x v="1"/>
    <x v="4"/>
  </r>
  <r>
    <s v="SERVICIO DE SALUD OSORNO"/>
    <s v="Bienes y Servicios"/>
    <x v="296"/>
    <s v="Proyecto operacional"/>
    <s v="Enviado"/>
    <s v="22.01.001"/>
    <x v="291"/>
    <s v="Jornada de capacitación de Salud Repiratoria para 110 personas, enfocado en la Prevención, Diagnóstico y tratamiento de patologías respiratorias agudas y crónicas en el ciclo vital, destinada a profesionales médicos, enfermeras, kinesiólogos y otros que realicen atenciones de esta población, en la atención primaria."/>
    <n v="1"/>
    <s v="Servicio Cafeteria"/>
    <n v="4"/>
    <n v="110"/>
    <n v="7119"/>
    <n v="783090"/>
    <x v="4"/>
    <x v="32"/>
    <x v="78"/>
    <x v="78"/>
    <s v="64-2335829-"/>
    <s v="carolina.lagos@redsalud.gob.cl"/>
    <x v="21"/>
    <m/>
    <n v="0"/>
    <m/>
    <n v="0"/>
    <n v="0"/>
    <m/>
    <x v="1"/>
    <x v="4"/>
  </r>
  <r>
    <s v="SERVICIO DE SALUD OSORNO"/>
    <s v="Bienes y Servicios"/>
    <x v="297"/>
    <s v="Proyecto operacional"/>
    <s v="Enviado"/>
    <n v="2504"/>
    <x v="292"/>
    <s v="Jornada de capacitación de Salud Repiratoria para 110 personas, enfocado en la Prevención, Diagnóstico y tratamiento de patologías respiratorias agudas y crónicas en el ciclo vital, destinada a profesionales médicos, enfermeras, kinesiólogos y otros que realicen atenciones de esta población, en la atención primaria. Se requiere adquirir escalera para acceder a repisas de bodega de insumos, en el mes de Enero 2026."/>
    <n v="1"/>
    <s v="Escalera"/>
    <n v="4"/>
    <n v="1"/>
    <n v="60000"/>
    <n v="60000"/>
    <x v="4"/>
    <x v="35"/>
    <x v="53"/>
    <x v="57"/>
    <s v="64-2337032-"/>
    <s v="daniela.cancino01@redsalud.gob.cl"/>
    <x v="13"/>
    <m/>
    <n v="0"/>
    <m/>
    <n v="0"/>
    <n v="0"/>
    <m/>
    <x v="1"/>
    <x v="4"/>
  </r>
  <r>
    <s v="SERVICIO DE SALUD OSORNO"/>
    <s v="Bienes y Servicios"/>
    <x v="298"/>
    <s v="Proyecto operacional"/>
    <s v="Enviado"/>
    <n v="2510"/>
    <x v="293"/>
    <s v="Contrato suministro de oxígeno medicinal para la Red de Hospitales de Baja y Mediana Complejidad así como para Base SAMU y Cosam dependientes del Servicio Salud Osorno, en formato de cilindros de 0,4 m3 - 0,7 m3 - 6 m3 y 10 m3, el cual debe comenzar vigencia a partir de enero 2027, con duración de 2 años."/>
    <n v="1"/>
    <s v="Convenio Oxigenoterapia"/>
    <n v="4"/>
    <n v="1"/>
    <n v="296000000"/>
    <n v="0"/>
    <x v="1"/>
    <x v="47"/>
    <x v="86"/>
    <x v="10"/>
    <s v="64-2335809-"/>
    <s v="mario.aburto@redsalud.gov.cl"/>
    <x v="15"/>
    <m/>
    <n v="0"/>
    <m/>
    <n v="0"/>
    <n v="0"/>
    <m/>
    <x v="1"/>
    <x v="4"/>
  </r>
  <r>
    <s v="SERVICIO DE SALUD OSORNO"/>
    <s v="Bienes y Servicios"/>
    <x v="299"/>
    <s v="Proyecto operacional"/>
    <s v="Enviado"/>
    <n v="2511"/>
    <x v="294"/>
    <s v="Se solicita la contratación de servicios de mantención integral del edificio, considerando limpieza y retiro de hojas en techumbres , limpieza de canaletas y bajadas de agua, reparación de vidrios o marcos de ventanas, . mes mayo 2026"/>
    <n v="1"/>
    <s v="Mantencion"/>
    <n v="4"/>
    <n v="1"/>
    <n v="900000"/>
    <n v="900000"/>
    <x v="4"/>
    <x v="31"/>
    <x v="63"/>
    <x v="19"/>
    <s v="64-2337366-"/>
    <s v="luis.floresme@redsalud.gob.cl"/>
    <x v="20"/>
    <m/>
    <n v="0"/>
    <m/>
    <n v="0"/>
    <n v="0"/>
    <m/>
    <x v="1"/>
    <x v="4"/>
  </r>
  <r>
    <s v="SERVICIO DE SALUD OSORNO"/>
    <s v="Bienes y Servicios"/>
    <x v="300"/>
    <s v="Proyecto operacional"/>
    <s v="Enviado"/>
    <n v="2512"/>
    <x v="295"/>
    <s v="Se solicita la contratación de servicios de mantención integral del edificio, reparación de filtraciones de techo y canaletas, revisión y reposición de enchufes e iluminarias, reparación de pisos flotantes levantados o dañados, tratamiento y pintura de paredes afectadas por humedad y hongos, mantención de cerraduras y manillas, revisión de sistema eléctrico y tableros. Mes de Diciembre 2026."/>
    <n v="1"/>
    <s v="Mantenciones"/>
    <n v="4"/>
    <n v="1"/>
    <n v="1500000"/>
    <n v="1500000"/>
    <x v="4"/>
    <x v="29"/>
    <x v="63"/>
    <x v="19"/>
    <s v="64-2337366-"/>
    <s v="luis.floresme@redsalud.gob.cl"/>
    <x v="23"/>
    <m/>
    <n v="0"/>
    <m/>
    <n v="0"/>
    <n v="0"/>
    <m/>
    <x v="1"/>
    <x v="4"/>
  </r>
  <r>
    <s v="SERVICIO DE SALUD OSORNO"/>
    <s v="Bienes y Servicios"/>
    <x v="301"/>
    <s v="Proyecto operacional"/>
    <s v="Enviado"/>
    <s v="22.04.001"/>
    <x v="296"/>
    <s v="Adquisición de material de librería necesario para realizar las actividades diarias de registro en los vacunatorios y material necesario para ejecutar las capacitaciones y certificaciones programadas por el Servicio de Salud a los equipos de salud de la red asistencial, respesto del Programa Nacional de Inmunizaciones y Salud Respiratoria. Se requiere adquisisción a inicios de mes de marzo para ejecutar 1° capacitación a fines de marzo."/>
    <n v="1"/>
    <s v="Articulos de Oficina"/>
    <n v="4"/>
    <n v="1450"/>
    <n v="501"/>
    <n v="726450"/>
    <x v="4"/>
    <x v="32"/>
    <x v="78"/>
    <x v="78"/>
    <s v="64-2335829-"/>
    <s v="carolina.lagos@redsalud.gob.cl"/>
    <x v="21"/>
    <m/>
    <n v="0"/>
    <m/>
    <n v="0"/>
    <n v="0"/>
    <m/>
    <x v="1"/>
    <x v="4"/>
  </r>
  <r>
    <s v="SERVICIO DE SALUD OSORNO"/>
    <s v="Bienes y Servicios"/>
    <x v="302"/>
    <s v="Proyecto operacional"/>
    <s v="Enviado"/>
    <s v="22.11.001"/>
    <x v="297"/>
    <s v="Desarrollar la consultoría de análisis estructural del Ex - edificio de la PDI, que incluye: testigos de losas y muros, modelamiento estructural y recomendaciones que permitan determinar el estado actual de la construcción y determinar las consideraciones técnicas para habilitar un Centro de Diálisis para la comuna de Osorno."/>
    <n v="1"/>
    <s v="Consultorias"/>
    <n v="4"/>
    <n v="1"/>
    <n v="5000000"/>
    <n v="5000000"/>
    <x v="4"/>
    <x v="31"/>
    <x v="39"/>
    <x v="44"/>
    <s v="64-2335843-"/>
    <s v="mario.barrientos@redsalud.gob.cl"/>
    <x v="20"/>
    <m/>
    <n v="0"/>
    <m/>
    <n v="0"/>
    <n v="0"/>
    <m/>
    <x v="1"/>
    <x v="4"/>
  </r>
  <r>
    <s v="SERVICIO DE SALUD OSORNO"/>
    <s v="Bienes y Servicios"/>
    <x v="303"/>
    <s v="Proyecto operacional"/>
    <s v="Enviado"/>
    <s v="22.01.001"/>
    <x v="298"/>
    <s v="Adquisición servicio de cafetería para 100 asistentes a actividad de capacitación dirigida a profesionales de salud en contexto de preparación para Campaña de Invierno 2026. Considera Jornada de mañana y tarde. Esta actividad se ejecutará en abril."/>
    <n v="1"/>
    <s v="Servicio Cafeteria"/>
    <n v="4"/>
    <n v="100"/>
    <n v="5000"/>
    <n v="500000"/>
    <x v="4"/>
    <x v="24"/>
    <x v="86"/>
    <x v="10"/>
    <s v="64-2335809-"/>
    <s v="mario.aburto@redsalud.gov.cl"/>
    <x v="14"/>
    <m/>
    <n v="0"/>
    <m/>
    <n v="0"/>
    <n v="0"/>
    <m/>
    <x v="1"/>
    <x v="4"/>
  </r>
  <r>
    <s v="SERVICIO DE SALUD OSORNO"/>
    <s v="Bienes y Servicios"/>
    <x v="304"/>
    <s v="Proyecto operacional"/>
    <s v="Enviado"/>
    <n v="2519"/>
    <x v="299"/>
    <s v="Contar en marzo 2026 con artículos de librería para realizar jornadas de planificación con la red"/>
    <n v="1"/>
    <s v="Material de Oficina"/>
    <n v="4"/>
    <n v="493"/>
    <n v="641"/>
    <n v="316013"/>
    <x v="4"/>
    <x v="32"/>
    <x v="87"/>
    <x v="85"/>
    <s v="64-2335661-"/>
    <s v="munirih.soto@redsalud.gob.cl"/>
    <x v="21"/>
    <m/>
    <n v="0"/>
    <m/>
    <n v="0"/>
    <n v="0"/>
    <m/>
    <x v="1"/>
    <x v="4"/>
  </r>
  <r>
    <s v="SERVICIO DE SALUD OSORNO"/>
    <s v="Bienes y Servicios"/>
    <x v="305"/>
    <s v="Proyecto operacional"/>
    <s v="Enviado"/>
    <n v="2521"/>
    <x v="300"/>
    <s v="Compra de insumos odontológicos para dos nuevos boxes dentales SAFU. Año 2026 88 horas de atención clínica."/>
    <n v="1"/>
    <s v="Insumos Odontologicos - Instrumentales"/>
    <n v="4"/>
    <n v="1"/>
    <n v="10000000"/>
    <n v="10000000"/>
    <x v="4"/>
    <x v="35"/>
    <x v="88"/>
    <x v="86"/>
    <s v="64-2332563-"/>
    <s v="luis.oyarzun@redesalud.gob.cl"/>
    <x v="13"/>
    <m/>
    <n v="0"/>
    <m/>
    <n v="0"/>
    <n v="0"/>
    <m/>
    <x v="1"/>
    <x v="4"/>
  </r>
  <r>
    <s v="SERVICIO DE SALUD OSORNO"/>
    <s v="Bienes y Servicios"/>
    <x v="306"/>
    <s v="Proyecto operacional"/>
    <s v="Enviado"/>
    <n v="2524"/>
    <x v="301"/>
    <s v="Adquisición Licencias de Software GstarCAD por 24 meses, Junio 2026"/>
    <n v="1"/>
    <s v="Software"/>
    <n v="4"/>
    <n v="29"/>
    <n v="517242"/>
    <n v="15000018"/>
    <x v="4"/>
    <x v="26"/>
    <x v="89"/>
    <x v="87"/>
    <s v="64-2335685-"/>
    <s v="alejandro.nunez01@redsalud.gob.cl"/>
    <x v="15"/>
    <m/>
    <n v="0"/>
    <m/>
    <n v="0"/>
    <n v="0"/>
    <m/>
    <x v="1"/>
    <x v="4"/>
  </r>
  <r>
    <s v="SERVICIO DE SALUD OSORNO"/>
    <s v="Bienes y Servicios"/>
    <x v="307"/>
    <s v="Proyecto operacional"/>
    <s v="Enviado"/>
    <n v="2525"/>
    <x v="302"/>
    <s v="Adquisición Licencias de Software ArchiCAD por 24 meses, para apoyar los proyectos de diseño y construcción del Servicio de Salud Osorno. Junio 2026"/>
    <n v="1"/>
    <s v="Licencia"/>
    <n v="4"/>
    <n v="5"/>
    <n v="6000000"/>
    <n v="30000000"/>
    <x v="4"/>
    <x v="33"/>
    <x v="89"/>
    <x v="87"/>
    <s v="64-2335685-"/>
    <s v="alejandro.nunez01@redsalud.gob.cl"/>
    <x v="15"/>
    <m/>
    <n v="0"/>
    <m/>
    <n v="0"/>
    <n v="0"/>
    <m/>
    <x v="1"/>
    <x v="4"/>
  </r>
  <r>
    <s v="SERVICIO DE SALUD OSORNO"/>
    <s v="Bienes y Servicios"/>
    <x v="308"/>
    <s v="Proyecto operacional"/>
    <s v="Enviado"/>
    <n v="2526"/>
    <x v="303"/>
    <s v="La compra de impresoras térmicas para el SOME de la Unidad de Memoria Ayekan, se fundamenta en la necesidad de modernizar y optimizar los procesos de citación y registro de atenciones, mejorando la eficiencia del equipo administrativo y la calidad del servicio que se entrega a las personas mayores, sus familiares y cuidadores. La compra de impresoras térmicas representa una inversión costo-efectiva que permitirá fortalecer los procesos administrativos y ofrecer un servicio más eficiente, humanizado y centrado en las personas."/>
    <n v="2"/>
    <s v="Impresora"/>
    <n v="4"/>
    <n v="2"/>
    <n v="65000"/>
    <n v="130000"/>
    <x v="4"/>
    <x v="32"/>
    <x v="81"/>
    <x v="80"/>
    <s v="64-2337363-"/>
    <s v="ximena.campos@redsalud.gob.cl"/>
    <x v="21"/>
    <m/>
    <n v="0"/>
    <m/>
    <n v="0"/>
    <n v="0"/>
    <m/>
    <x v="1"/>
    <x v="4"/>
  </r>
  <r>
    <s v="SERVICIO DE SALUD OSORNO"/>
    <s v="Bienes y Servicios"/>
    <x v="308"/>
    <s v="Proyecto operacional"/>
    <s v="Enviado"/>
    <n v="2526"/>
    <x v="303"/>
    <s v="La compra de impresoras térmicas para el SOME de la Unidad de Memoria Ayekan, se fundamenta en la necesidad de modernizar y optimizar los procesos de citación y registro de atenciones, mejorando la eficiencia del equipo administrativo y la calidad del servicio que se entrega a las personas mayores, sus familiares y cuidadores. La compra de impresoras térmicas representa una inversión costo-efectiva que permitirá fortalecer los procesos administrativos y ofrecer un servicio más eficiente, humanizado y centrado en las personas."/>
    <n v="2"/>
    <s v="Rollos"/>
    <n v="4"/>
    <n v="100"/>
    <n v="1500"/>
    <n v="150000"/>
    <x v="4"/>
    <x v="32"/>
    <x v="81"/>
    <x v="80"/>
    <s v="64-2337363-"/>
    <s v="ximena.campos@redsalud.gob.cl"/>
    <x v="21"/>
    <m/>
    <n v="0"/>
    <m/>
    <n v="0"/>
    <n v="0"/>
    <m/>
    <x v="1"/>
    <x v="4"/>
  </r>
  <r>
    <s v="SERVICIO DE SALUD OSORNO"/>
    <s v="Bienes y Servicios"/>
    <x v="309"/>
    <s v="Proyecto operacional"/>
    <s v="Actualizado"/>
    <n v="2527"/>
    <x v="304"/>
    <s v="SERVICIO ANUAL DE SOPORTE TÉCNICO SOFTWARE DESDE EL MES DE ABRIL 2026"/>
    <n v="1"/>
    <s v="Software"/>
    <n v="4"/>
    <n v="1"/>
    <n v="7000000"/>
    <n v="7000000"/>
    <x v="4"/>
    <x v="24"/>
    <x v="90"/>
    <x v="88"/>
    <s v="64-2335599-"/>
    <s v="pablo.mirandaa@redsalud.gob.cl"/>
    <x v="14"/>
    <m/>
    <n v="0"/>
    <m/>
    <n v="0"/>
    <n v="0"/>
    <m/>
    <x v="1"/>
    <x v="4"/>
  </r>
  <r>
    <s v="SERVICIO DE SALUD OSORNO"/>
    <s v="Bienes y Servicios"/>
    <x v="310"/>
    <s v="Proyecto operacional"/>
    <s v="Enviado"/>
    <n v="2528"/>
    <x v="305"/>
    <s v="Adquisición 2 coffee break para Jornada de Plan de Salud Comunal y Priorización como planes de monitoreo de las estrategias desarrolladas durante el 2024, la idea es que se ejecuten en abril - junio 2026"/>
    <n v="1"/>
    <s v="Servicio Cafeteria"/>
    <n v="4"/>
    <n v="2"/>
    <n v="600000"/>
    <n v="1200000"/>
    <x v="4"/>
    <x v="31"/>
    <x v="87"/>
    <x v="85"/>
    <s v="64-2335661-"/>
    <s v="munirih.soto@redsalud.gob.cl"/>
    <x v="20"/>
    <m/>
    <n v="0"/>
    <m/>
    <n v="0"/>
    <n v="0"/>
    <m/>
    <x v="1"/>
    <x v="4"/>
  </r>
  <r>
    <s v="SERVICIO DE SALUD OSORNO"/>
    <s v="Bienes y Servicios"/>
    <x v="311"/>
    <s v="Proyecto operacional"/>
    <s v="Enviado"/>
    <n v="2529"/>
    <x v="306"/>
    <s v="Contar en marzo 2026 con artículos de cafetería para realizar jornadas de planificación y procesos con la red asistencial."/>
    <n v="1"/>
    <s v="Alimentación"/>
    <n v="4"/>
    <n v="1"/>
    <n v="150100"/>
    <n v="150100"/>
    <x v="4"/>
    <x v="32"/>
    <x v="87"/>
    <x v="85"/>
    <s v="64-2335661-"/>
    <s v="munirih.soto@redsalud.gob.cl"/>
    <x v="21"/>
    <m/>
    <n v="0"/>
    <m/>
    <n v="0"/>
    <n v="0"/>
    <m/>
    <x v="1"/>
    <x v="4"/>
  </r>
  <r>
    <s v="SERVICIO DE SALUD OSORNO"/>
    <s v="Bienes y Servicios"/>
    <x v="312"/>
    <s v="Proyecto operacional"/>
    <s v="Enviado"/>
    <s v="22.06.001"/>
    <x v="307"/>
    <s v="COMPRA DE MATERIALES PARA CONSTRUCCIÓN DE REPISAS PARA MEJORAR LA UTILIZACIÓN DEL ESPACIO EN LA BODEGA"/>
    <n v="1"/>
    <s v="Repisas"/>
    <n v="4"/>
    <n v="5"/>
    <n v="300000"/>
    <n v="1500000"/>
    <x v="4"/>
    <x v="32"/>
    <x v="90"/>
    <x v="88"/>
    <s v="64-2335599-"/>
    <s v="pablo.mirandaa@redsalud.gob.cl"/>
    <x v="21"/>
    <m/>
    <n v="0"/>
    <m/>
    <n v="0"/>
    <n v="0"/>
    <m/>
    <x v="1"/>
    <x v="4"/>
  </r>
  <r>
    <s v="SERVICIO DE SALUD OSORNO"/>
    <s v="Bienes y Servicios"/>
    <x v="313"/>
    <s v="Proyecto operacional"/>
    <s v="Enviado"/>
    <n v="2531"/>
    <x v="308"/>
    <s v="La tercera Jornada para cuidadores, es una actividad comunitaria abierta a todas las personas que que ejercen el rol de cuidador/a. Está centrada en la celebración del Dia internacional de las Personas Cuidadoras, que se celebra el 05 de noviembre de cada año. Esta es la 3°version proyectada a 100 participantes y se desarrolla en el mes de noviembre."/>
    <n v="3"/>
    <s v="Material de Oficina"/>
    <n v="4"/>
    <n v="102"/>
    <n v="824"/>
    <n v="84048"/>
    <x v="4"/>
    <x v="26"/>
    <x v="81"/>
    <x v="80"/>
    <s v="64-2337363-"/>
    <s v="ximena.campos@redsalud.gob.cl"/>
    <x v="16"/>
    <m/>
    <n v="0"/>
    <m/>
    <n v="0"/>
    <n v="0"/>
    <m/>
    <x v="1"/>
    <x v="4"/>
  </r>
  <r>
    <s v="SERVICIO DE SALUD OSORNO"/>
    <s v="Bienes y Servicios"/>
    <x v="313"/>
    <s v="Proyecto operacional"/>
    <s v="Enviado"/>
    <n v="2531"/>
    <x v="308"/>
    <s v="La tercera Jornada para cuidadores, es una actividad comunitaria abierta a todas las personas que que ejercen el rol de cuidador/a. Está centrada en la celebración del Dia internacional de las Personas Cuidadoras, que se celebra el 05 de noviembre de cada año. Esta es la 3°version proyectada a 100 participantes y se desarrolla en el mes de noviembre."/>
    <n v="3"/>
    <s v="Menaje"/>
    <n v="4"/>
    <n v="200"/>
    <n v="70"/>
    <n v="14000"/>
    <x v="4"/>
    <x v="26"/>
    <x v="81"/>
    <x v="80"/>
    <s v="64-2337363-"/>
    <s v="ximena.campos@redsalud.gob.cl"/>
    <x v="16"/>
    <m/>
    <n v="0"/>
    <m/>
    <n v="0"/>
    <n v="0"/>
    <m/>
    <x v="1"/>
    <x v="4"/>
  </r>
  <r>
    <s v="SERVICIO DE SALUD OSORNO"/>
    <s v="Bienes y Servicios"/>
    <x v="313"/>
    <s v="Proyecto operacional"/>
    <s v="Enviado"/>
    <n v="2531"/>
    <x v="308"/>
    <s v="La tercera Jornada para cuidadores, es una actividad comunitaria abierta a todas las personas que que ejercen el rol de cuidador/a. Está centrada en la celebración del Dia internacional de las Personas Cuidadoras, que se celebra el 05 de noviembre de cada año. Esta es la 3°version proyectada a 100 participantes y se desarrolla en el mes de noviembre."/>
    <n v="3"/>
    <s v="Alimentación"/>
    <n v="4"/>
    <n v="4"/>
    <n v="5125"/>
    <n v="20500"/>
    <x v="4"/>
    <x v="26"/>
    <x v="81"/>
    <x v="80"/>
    <s v="64-2337363-"/>
    <s v="ximena.campos@redsalud.gob.cl"/>
    <x v="16"/>
    <m/>
    <n v="0"/>
    <m/>
    <n v="0"/>
    <n v="0"/>
    <m/>
    <x v="1"/>
    <x v="4"/>
  </r>
  <r>
    <s v="SERVICIO DE SALUD OSORNO"/>
    <s v="Bienes y Servicios"/>
    <x v="314"/>
    <s v="Proyecto operacional"/>
    <s v="Enviado"/>
    <n v="2532"/>
    <x v="309"/>
    <s v="SERVICIO DE TRASLADO DE MOBILIARIO, TRASLADO DE OFICINAS"/>
    <n v="1"/>
    <s v="Servicio Traslado"/>
    <n v="4"/>
    <n v="1"/>
    <n v="1000000"/>
    <n v="1000000"/>
    <x v="4"/>
    <x v="38"/>
    <x v="90"/>
    <x v="88"/>
    <s v="64-2335599-"/>
    <s v="pablo.mirandaa@redsalud.gob.cl"/>
    <x v="19"/>
    <m/>
    <n v="0"/>
    <m/>
    <n v="0"/>
    <n v="0"/>
    <m/>
    <x v="1"/>
    <x v="4"/>
  </r>
  <r>
    <s v="SERVICIO DE SALUD OSORNO"/>
    <s v="Bienes y Servicios"/>
    <x v="315"/>
    <s v="Proyecto operacional"/>
    <s v="Enviado"/>
    <n v="2534"/>
    <x v="310"/>
    <s v="Adquirir equipamiento de telecomunicaciones para los profesionales clínicos del departamento de calidad de vida, con el fin de desarrollar actividades de promoción y prevención en salud mental vía digital y redes sociales (instagram sso.conectados). Iniciativa que pretende educar a funcionarios/as y que puedan tener acceso libre a la información a través de la plataforma social. Médicos y psicólogos realizan videos y transmisiones en vivo para informar sobre diversas patologías y aclarar consultas a la comunidad funcionaria."/>
    <n v="2"/>
    <s v="Artículos Computacionales"/>
    <n v="4"/>
    <n v="4"/>
    <n v="16250"/>
    <n v="65000"/>
    <x v="4"/>
    <x v="35"/>
    <x v="91"/>
    <x v="89"/>
    <s v="64-2337033-"/>
    <s v="constanza.garcia.j@redsalud.gob.cl"/>
    <x v="13"/>
    <m/>
    <n v="0"/>
    <m/>
    <n v="0"/>
    <n v="0"/>
    <m/>
    <x v="1"/>
    <x v="4"/>
  </r>
  <r>
    <s v="SERVICIO DE SALUD OSORNO"/>
    <s v="Bienes y Servicios"/>
    <x v="315"/>
    <s v="Proyecto operacional"/>
    <s v="Enviado"/>
    <n v="2534"/>
    <x v="310"/>
    <s v="Adquirir equipamiento de telecomunicaciones para los profesionales clínicos del departamento de calidad de vida, con el fin de desarrollar actividades de promoción y prevención en salud mental vía digital y redes sociales (instagram sso.conectados). Iniciativa que pretende educar a funcionarios/as y que puedan tener acceso libre a la información a través de la plataforma social. Médicos y psicólogos realizan videos y transmisiones en vivo para informar sobre diversas patologías y aclarar consultas a la comunidad funcionaria."/>
    <n v="2"/>
    <s v="Termolaminadora"/>
    <n v="4"/>
    <n v="1"/>
    <n v="45000"/>
    <n v="45000"/>
    <x v="4"/>
    <x v="35"/>
    <x v="91"/>
    <x v="89"/>
    <s v="64-2337033-"/>
    <s v="constanza.garcia.j@redsalud.gob.cl"/>
    <x v="13"/>
    <m/>
    <n v="0"/>
    <m/>
    <n v="0"/>
    <n v="0"/>
    <m/>
    <x v="1"/>
    <x v="4"/>
  </r>
  <r>
    <s v="SERVICIO DE SALUD OSORNO"/>
    <s v="Bienes y Servicios"/>
    <x v="316"/>
    <s v="Proyecto operacional"/>
    <s v="Enviado"/>
    <s v="22.04.001"/>
    <x v="311"/>
    <s v="Se requiere adquisición 200 Carpetas impresion 4/0 color, couche 350 gr con polimate, bolsillo troquel de imprenta con logo CPU institucional a ejecutarse el mes de febrero 2026"/>
    <n v="1"/>
    <s v="Material de Oficina"/>
    <n v="4"/>
    <n v="200"/>
    <n v="3000"/>
    <n v="600000"/>
    <x v="4"/>
    <x v="38"/>
    <x v="92"/>
    <x v="37"/>
    <s v="64-2335809-"/>
    <s v="maria.jaramillov@redsalud.gob.cl"/>
    <x v="19"/>
    <m/>
    <n v="0"/>
    <m/>
    <n v="0"/>
    <n v="0"/>
    <m/>
    <x v="1"/>
    <x v="4"/>
  </r>
  <r>
    <s v="SERVICIO DE SALUD OSORNO"/>
    <s v="Bienes y Servicios"/>
    <x v="317"/>
    <s v="Proyecto operacional"/>
    <s v="Enviado"/>
    <n v="2537"/>
    <x v="312"/>
    <s v="Insumos Odontológicos para dar atención clínica dental a funcionarios de la Red del SSO. Enero a diciembre 2026"/>
    <n v="1"/>
    <s v="Insumos Odontologicos - Insumos Dentales"/>
    <n v="4"/>
    <n v="1"/>
    <n v="10000000"/>
    <n v="10000000"/>
    <x v="4"/>
    <x v="35"/>
    <x v="88"/>
    <x v="86"/>
    <s v="64-2332563-"/>
    <s v="luis.oyarzun@redesalud.gob.cl"/>
    <x v="13"/>
    <m/>
    <n v="0"/>
    <m/>
    <n v="0"/>
    <n v="0"/>
    <m/>
    <x v="1"/>
    <x v="4"/>
  </r>
  <r>
    <s v="SERVICIO DE SALUD OSORNO"/>
    <s v="Bienes y Servicios"/>
    <x v="318"/>
    <s v="Proyecto operacional"/>
    <s v="Enviado"/>
    <s v="22.04.002"/>
    <x v="313"/>
    <s v="El proceso psicoterapéutico requiere de múltiples herramientas que faciliten la comprensión, trabajo emocional, autorreflexión, autoobservación y el cambio conductual en los pacientes. En este contexto, el material terapéutico y bibliografía se convierte en un recurso esencial que complementa la intervención psicológica y potencia los resultados del tratamiento. Esta adquisición, busca argumentar la necesidad de contar con material terapéutico estructurado, actualizado y adaptado a las distintas modalidades de atención y sus grupos etarios."/>
    <n v="1"/>
    <s v="Libros"/>
    <n v="4"/>
    <n v="20"/>
    <n v="25000"/>
    <n v="500000"/>
    <x v="4"/>
    <x v="35"/>
    <x v="91"/>
    <x v="89"/>
    <s v="64-2337033-"/>
    <s v="constanza.garcia.j@redsalud.gob.cl"/>
    <x v="13"/>
    <m/>
    <n v="0"/>
    <m/>
    <n v="0"/>
    <n v="0"/>
    <m/>
    <x v="1"/>
    <x v="4"/>
  </r>
  <r>
    <s v="SERVICIO DE SALUD OSORNO"/>
    <s v="Bienes y Servicios"/>
    <x v="319"/>
    <s v="Proyecto operacional"/>
    <s v="Enviado"/>
    <n v="2542"/>
    <x v="314"/>
    <s v="El aumento de consultas de personas mayores con mayor funcionalidad y la necesidad de evaluar usuarios con patología de graduación leve para el diagnóstico de deterioro cognitivo hace necesario implementar talleres y atenciones individuales con implementos con los que actualmente no contamos y otros que requiren renovación por desgaste en su uso."/>
    <n v="1"/>
    <s v="Insumos Kinesicos"/>
    <n v="4"/>
    <n v="13"/>
    <n v="34616"/>
    <n v="450008"/>
    <x v="4"/>
    <x v="24"/>
    <x v="81"/>
    <x v="80"/>
    <s v="64-2337363-"/>
    <s v="ximena.campos@redsalud.gob.cl"/>
    <x v="14"/>
    <m/>
    <n v="0"/>
    <m/>
    <n v="0"/>
    <n v="0"/>
    <m/>
    <x v="1"/>
    <x v="4"/>
  </r>
  <r>
    <s v="SERVICIO DE SALUD OSORNO"/>
    <s v="Bienes y Servicios"/>
    <x v="320"/>
    <s v="Proyecto operacional"/>
    <s v="Enviado"/>
    <n v="2545"/>
    <x v="315"/>
    <s v="Adquisición de 1.000 boquillas espiratorias desechables para flujometría, con válvula unidireccional. Compra a ejecutar en Junio."/>
    <n v="1"/>
    <s v="Insumos Clinicos"/>
    <n v="4"/>
    <n v="1000"/>
    <n v="700"/>
    <n v="700000"/>
    <x v="4"/>
    <x v="25"/>
    <x v="86"/>
    <x v="10"/>
    <s v="64-2335809-"/>
    <s v="mario.aburto@redsalud.gov.cl"/>
    <x v="15"/>
    <m/>
    <n v="0"/>
    <m/>
    <n v="0"/>
    <n v="0"/>
    <m/>
    <x v="1"/>
    <x v="4"/>
  </r>
  <r>
    <s v="SERVICIO DE SALUD OSORNO"/>
    <s v="Bienes y Servicios"/>
    <x v="321"/>
    <s v="Proyecto operacional"/>
    <s v="Enviado"/>
    <n v="2547"/>
    <x v="316"/>
    <s v="Adquisición de 720 turbinas desechables para espirometrías con equipos actualmente en uso en la red asistencial, a ejecutar en Abril."/>
    <n v="1"/>
    <s v="Insumos Clínicos"/>
    <n v="4"/>
    <n v="720"/>
    <n v="2778"/>
    <n v="2000160"/>
    <x v="4"/>
    <x v="24"/>
    <x v="86"/>
    <x v="10"/>
    <s v="64-2335809-"/>
    <s v="mario.aburto@redsalud.gov.cl"/>
    <x v="14"/>
    <m/>
    <n v="0"/>
    <m/>
    <n v="0"/>
    <n v="0"/>
    <m/>
    <x v="1"/>
    <x v="4"/>
  </r>
  <r>
    <s v="SERVICIO DE SALUD OSORNO"/>
    <s v="Bienes y Servicios"/>
    <x v="322"/>
    <s v="Proyecto operacional"/>
    <s v="Enviado"/>
    <n v="2548"/>
    <x v="317"/>
    <s v="Servicio de cafetería Jornada de capacitación CPU a ejecutarse el mes de abril 2026"/>
    <n v="1"/>
    <s v="Servicio Cafeteria"/>
    <n v="4"/>
    <n v="1"/>
    <n v="420000"/>
    <n v="420000"/>
    <x v="4"/>
    <x v="24"/>
    <x v="92"/>
    <x v="37"/>
    <s v="64-2335809-"/>
    <s v="maria.jaramillov@redsalud.gob.cl"/>
    <x v="14"/>
    <m/>
    <n v="0"/>
    <m/>
    <n v="0"/>
    <n v="0"/>
    <m/>
    <x v="1"/>
    <x v="4"/>
  </r>
  <r>
    <s v="SERVICIO DE SALUD OSORNO"/>
    <s v="Compras Convenio GORE Region de Los Lagos"/>
    <x v="323"/>
    <s v="Proyecto estratégico"/>
    <s v="Enviado"/>
    <n v="2549"/>
    <x v="318"/>
    <s v="Adquisición de 12 Equipos para evaluación de saturación oxigeno (oxímetros) en pacientes de Piloto Cesación Tabáquica que ingresan a un Programa de Rehabilitación Respiratoria, en el marco de la estrategia. Compra a ejecutar en Enero."/>
    <n v="1"/>
    <s v="Oximetro"/>
    <n v="4"/>
    <n v="12"/>
    <n v="600000"/>
    <n v="7200000"/>
    <x v="4"/>
    <x v="35"/>
    <x v="86"/>
    <x v="90"/>
    <s v="64-2335809-"/>
    <s v="mario.aburto@redsalud.gov.cl"/>
    <x v="13"/>
    <m/>
    <n v="0"/>
    <m/>
    <n v="0"/>
    <n v="0"/>
    <m/>
    <x v="1"/>
    <x v="3"/>
  </r>
  <r>
    <s v="SERVICIO DE SALUD OSORNO"/>
    <s v="Bienes y Servicios"/>
    <x v="324"/>
    <s v="Proyecto operacional"/>
    <s v="Enviado"/>
    <n v="2552"/>
    <x v="319"/>
    <s v="La Unidad de Memoria Ayekan requiere material de folleteria para actividades de difusión, implementación de punto lector, ferias y exposiciones a la comunidad y también de material de estimulación cognitiva que permita a los usuarios trabajar en sala de espera o en domicilios."/>
    <n v="2"/>
    <s v="Material de Oficina"/>
    <n v="4"/>
    <n v="1000"/>
    <n v="400"/>
    <n v="400000"/>
    <x v="4"/>
    <x v="25"/>
    <x v="81"/>
    <x v="80"/>
    <s v="64-2337363-"/>
    <s v="ximena.campos@redsalud.gob.cl"/>
    <x v="15"/>
    <m/>
    <n v="0"/>
    <m/>
    <n v="0"/>
    <n v="0"/>
    <m/>
    <x v="1"/>
    <x v="4"/>
  </r>
  <r>
    <s v="SERVICIO DE SALUD OSORNO"/>
    <s v="Bienes y Servicios"/>
    <x v="324"/>
    <s v="Proyecto operacional"/>
    <s v="Enviado"/>
    <n v="2552"/>
    <x v="319"/>
    <s v="La Unidad de Memoria Ayekan requiere material de folleteria para actividades de difusión, implementación de punto lector, ferias y exposiciones a la comunidad y también de material de estimulación cognitiva que permita a los usuarios trabajar en sala de espera o en domicilios."/>
    <n v="2"/>
    <s v="Folleteria"/>
    <n v="4"/>
    <n v="3000"/>
    <n v="200"/>
    <n v="600000"/>
    <x v="4"/>
    <x v="25"/>
    <x v="81"/>
    <x v="80"/>
    <s v="64-2337363-"/>
    <s v="ximena.campos@redsalud.gob.cl"/>
    <x v="15"/>
    <m/>
    <n v="0"/>
    <m/>
    <n v="0"/>
    <n v="0"/>
    <m/>
    <x v="1"/>
    <x v="4"/>
  </r>
  <r>
    <s v="SERVICIO DE SALUD OSORNO"/>
    <s v="Bienes y Servicios"/>
    <x v="325"/>
    <s v="Proyecto operacional"/>
    <s v="Enviado"/>
    <n v="2554"/>
    <x v="320"/>
    <s v="Los talleres para cuidadores/as de usuarios de Unidad de Memoria se realizaran todos los días martes desde el mes de marzo a diciembre 2026, se trata de mantener un espacio tanto de esparcimiento como educativo para las cuidadores con alto grado de sobrecarga por su rol de cuidador. Durante 2025 se han desarrollado con muy buena evaluación y adherencia por parte de familiares de usuarios. Favorece el autocuidado tanto físico como emocional."/>
    <n v="1"/>
    <s v="Material de Libreria"/>
    <n v="4"/>
    <n v="380"/>
    <n v="1158"/>
    <n v="440040"/>
    <x v="4"/>
    <x v="36"/>
    <x v="81"/>
    <x v="80"/>
    <s v="64-2337363-"/>
    <s v="ximena.campos@redsalud.gob.cl"/>
    <x v="24"/>
    <m/>
    <n v="0"/>
    <m/>
    <n v="0"/>
    <n v="0"/>
    <m/>
    <x v="1"/>
    <x v="4"/>
  </r>
  <r>
    <s v="SERVICIO DE SALUD OSORNO"/>
    <s v="Bienes y Servicios"/>
    <x v="326"/>
    <s v="Proyecto operacional"/>
    <s v="Enviado"/>
    <s v="22.04.005"/>
    <x v="321"/>
    <s v="Compra de insumos clínicos para realizar vacunación de los usuarios en campaña de invierno, vacunación escolar y vacunas programáticas. Compra para el mes de abril de 2026."/>
    <n v="1"/>
    <s v="Insumos Clínicos"/>
    <n v="4"/>
    <n v="1000"/>
    <n v="2578"/>
    <n v="2578000"/>
    <x v="4"/>
    <x v="24"/>
    <x v="78"/>
    <x v="78"/>
    <s v="64-2335829-"/>
    <s v="carolina.lagos@redsalud.gob.cl"/>
    <x v="14"/>
    <m/>
    <n v="0"/>
    <m/>
    <n v="0"/>
    <n v="0"/>
    <m/>
    <x v="1"/>
    <x v="4"/>
  </r>
  <r>
    <s v="SERVICIO DE SALUD OSORNO"/>
    <s v="Bienes y Servicios"/>
    <x v="327"/>
    <s v="Proyecto operacional"/>
    <s v="Enviado"/>
    <n v="2556"/>
    <x v="322"/>
    <s v="Adquisición de Neumáticos para vehículos de la Dirección Servicio de Salud Osorno y Base SAMU Osorno año 2026"/>
    <n v="1"/>
    <s v="Neumaticos"/>
    <n v="4"/>
    <n v="12"/>
    <n v="250000"/>
    <n v="3000000"/>
    <x v="4"/>
    <x v="31"/>
    <x v="5"/>
    <x v="39"/>
    <s v="64-2335654-"/>
    <s v="felipe.salvob@redsalud.gob.cl"/>
    <x v="20"/>
    <m/>
    <n v="0"/>
    <m/>
    <n v="0"/>
    <n v="0"/>
    <m/>
    <x v="1"/>
    <x v="4"/>
  </r>
  <r>
    <s v="SERVICIO DE SALUD OSORNO"/>
    <s v="Bienes y Servicios"/>
    <x v="328"/>
    <s v="Proyecto operacional"/>
    <s v="Enviado"/>
    <s v="22.01.001"/>
    <x v="323"/>
    <s v="1 Servicio de coffe para 115 personas aproximadamente, por 2 días en jornada AM, para los asistentes a la Jornada Anual de Capacitación del Programa Nacional de Inmunizaciones a realizar durante el segundo semestre de 2026. A ejecutar el mes de septiembre de 2025."/>
    <n v="1"/>
    <s v="Servicio Cafeteria"/>
    <n v="4"/>
    <n v="1"/>
    <n v="1428000"/>
    <n v="1428000"/>
    <x v="4"/>
    <x v="26"/>
    <x v="78"/>
    <x v="78"/>
    <s v="64-2335829-"/>
    <s v="carolina.lagos@redsalud.gob.cl"/>
    <x v="16"/>
    <m/>
    <n v="0"/>
    <m/>
    <n v="0"/>
    <n v="0"/>
    <m/>
    <x v="1"/>
    <x v="4"/>
  </r>
  <r>
    <s v="SERVICIO DE SALUD OSORNO"/>
    <s v="Bienes y Servicios"/>
    <x v="329"/>
    <s v="Proyecto operacional"/>
    <s v="Enviado"/>
    <n v="2558"/>
    <x v="324"/>
    <s v="Impresión de 6.000 unid. de carnet de control integral para la Red de APS. Tamaño 13.5 x 21.5 cms, impresión a color 4/4, tapas dúplex de 300 gramos emplacado, termolaminado por tiro, anillado continuo (plástico), interior Bond 90 gramos. Número de páginas totales 50 (incluye 5 separaciones en couché 170 gramos, 100 por lado y lado). Compra planificada para el mes de marzo."/>
    <n v="1"/>
    <s v="Cuaderno"/>
    <n v="4"/>
    <n v="6000"/>
    <n v="1500"/>
    <n v="9000000"/>
    <x v="4"/>
    <x v="32"/>
    <x v="24"/>
    <x v="91"/>
    <s v="64-2335810-"/>
    <s v="consuelo.cordova@redsalud.gob.cl"/>
    <x v="21"/>
    <m/>
    <n v="0"/>
    <m/>
    <n v="0"/>
    <n v="0"/>
    <m/>
    <x v="1"/>
    <x v="4"/>
  </r>
  <r>
    <s v="SERVICIO DE SALUD OSORNO"/>
    <s v="Bienes y Servicios"/>
    <x v="330"/>
    <s v="Proyecto operacional"/>
    <s v="Enviado"/>
    <n v="2558"/>
    <x v="325"/>
    <s v="Compra única en el mes de Febrero 2026"/>
    <n v="1"/>
    <s v="Equipamiento Medico"/>
    <n v="4"/>
    <n v="240"/>
    <n v="12500"/>
    <n v="3000000"/>
    <x v="4"/>
    <x v="38"/>
    <x v="73"/>
    <x v="75"/>
    <s v="64-2335806-"/>
    <s v="francisca.contreras.c@redsalud.gob.cl"/>
    <x v="19"/>
    <m/>
    <n v="0"/>
    <m/>
    <n v="0"/>
    <n v="0"/>
    <m/>
    <x v="1"/>
    <x v="4"/>
  </r>
  <r>
    <s v="SERVICIO DE SALUD OSORNO"/>
    <s v="Bienes y Servicios"/>
    <x v="331"/>
    <s v="Proyecto operacional"/>
    <s v="Enviado"/>
    <n v="2562"/>
    <x v="326"/>
    <s v="Adquirir test que nos permitan Evalúa para orientar la personalidad desde orientación vocacional y diagnóstico de la personalidad. Adquirir un test proyectivo que consta de 13 láminas que se dividen en tres series que reciben los nombres de A, B y C en las que se emplean figuras humanas para representar situaciones típicas de relación de objeto con el objetivo de que la persona a la que se le administra pueda proyectar sus relaciones objétales."/>
    <n v="1"/>
    <s v="TEST"/>
    <n v="4"/>
    <n v="2"/>
    <n v="625000"/>
    <n v="1250000"/>
    <x v="4"/>
    <x v="25"/>
    <x v="43"/>
    <x v="48"/>
    <s v="64-2335492-"/>
    <s v="CAROLINA.SILVALL@REDSALUD.GOB.CL"/>
    <x v="15"/>
    <m/>
    <n v="0"/>
    <m/>
    <n v="0"/>
    <n v="0"/>
    <m/>
    <x v="1"/>
    <x v="4"/>
  </r>
  <r>
    <s v="SERVICIO DE SALUD OSORNO"/>
    <s v="Bienes y Servicios"/>
    <x v="332"/>
    <s v="Proyecto operacional"/>
    <s v="Enviado"/>
    <n v="2563"/>
    <x v="327"/>
    <s v="Realizar actividades de sensibilización y promoción del cuidado de la salud mental (desde ENERO). Además, se realizará una jornada especial el día 10 de Octubre de 2026 para conmemorar el día mundial de la Salud Mental, iniciativa que pretende cuidar la dimensión psicológica y emocional de los funcionarios/as procurando su autocuidado y salud integral, para lo cual se invitara a diversos actores de la comunidad de salud mental a presentar sus programas."/>
    <n v="3"/>
    <s v="Material de Oficina"/>
    <n v="4"/>
    <n v="172"/>
    <n v="1576"/>
    <n v="271072"/>
    <x v="4"/>
    <x v="38"/>
    <x v="91"/>
    <x v="89"/>
    <s v="64-2337033-"/>
    <s v="constanza.garcia.j@redsalud.gob.cl"/>
    <x v="13"/>
    <m/>
    <n v="0"/>
    <m/>
    <n v="0"/>
    <n v="0"/>
    <m/>
    <x v="1"/>
    <x v="4"/>
  </r>
  <r>
    <s v="SERVICIO DE SALUD OSORNO"/>
    <s v="Bienes y Servicios"/>
    <x v="332"/>
    <s v="Proyecto operacional"/>
    <s v="Enviado"/>
    <n v="2563"/>
    <x v="327"/>
    <s v="Realizar actividades de sensibilización y promoción del cuidado de la salud mental (desde ENERO). Además, se realizará una jornada especial el día 10 de Octubre de 2026 para conmemorar el día mundial de la Salud Mental, iniciativa que pretende cuidar la dimensión psicológica y emocional de los funcionarios/as procurando su autocuidado y salud integral, para lo cual se invitara a diversos actores de la comunidad de salud mental a presentar sus programas."/>
    <n v="3"/>
    <s v="Cartucho color"/>
    <n v="4"/>
    <n v="6"/>
    <n v="20000"/>
    <n v="120000"/>
    <x v="4"/>
    <x v="38"/>
    <x v="91"/>
    <x v="89"/>
    <s v="64-2337033-"/>
    <s v="constanza.garcia.j@redsalud.gob.cl"/>
    <x v="13"/>
    <m/>
    <n v="0"/>
    <m/>
    <n v="0"/>
    <n v="0"/>
    <m/>
    <x v="1"/>
    <x v="4"/>
  </r>
  <r>
    <s v="SERVICIO DE SALUD OSORNO"/>
    <s v="Bienes y Servicios"/>
    <x v="332"/>
    <s v="Proyecto operacional"/>
    <s v="Enviado"/>
    <n v="2563"/>
    <x v="327"/>
    <s v="Realizar actividades de sensibilización y promoción del cuidado de la salud mental (desde ENERO). Además, se realizará una jornada especial el día 10 de Octubre de 2026 para conmemorar el día mundial de la Salud Mental, iniciativa que pretende cuidar la dimensión psicológica y emocional de los funcionarios/as procurando su autocuidado y salud integral, para lo cual se invitara a diversos actores de la comunidad de salud mental a presentar sus programas."/>
    <n v="3"/>
    <s v="Artículos de librería"/>
    <n v="4"/>
    <n v="18"/>
    <n v="3223"/>
    <n v="58014"/>
    <x v="4"/>
    <x v="38"/>
    <x v="91"/>
    <x v="89"/>
    <s v="64-2337033-"/>
    <s v="constanza.garcia.j@redsalud.gob.cl"/>
    <x v="13"/>
    <m/>
    <n v="0"/>
    <m/>
    <n v="0"/>
    <n v="0"/>
    <m/>
    <x v="1"/>
    <x v="4"/>
  </r>
  <r>
    <s v="SERVICIO DE SALUD OSORNO"/>
    <s v="Bienes y Servicios"/>
    <x v="333"/>
    <s v="Proyecto operacional"/>
    <s v="Enviado"/>
    <s v="22.01.001"/>
    <x v="328"/>
    <s v="Se requiere la compra de insumos de cafetería para las reuniones mensuales (12) de CIRA, de la Subdirección de Gestión Asistencial."/>
    <n v="2"/>
    <s v="Alimentación"/>
    <n v="4"/>
    <n v="85"/>
    <n v="4530"/>
    <n v="385050"/>
    <x v="4"/>
    <x v="35"/>
    <x v="93"/>
    <x v="92"/>
    <s v="64-2335754-"/>
    <s v="esteban.oyarzo.a@redsalud.gob.cl"/>
    <x v="13"/>
    <m/>
    <n v="0"/>
    <m/>
    <n v="0"/>
    <n v="0"/>
    <m/>
    <x v="1"/>
    <x v="4"/>
  </r>
  <r>
    <s v="SERVICIO DE SALUD OSORNO"/>
    <s v="Bienes y Servicios"/>
    <x v="333"/>
    <s v="Proyecto operacional"/>
    <s v="Enviado"/>
    <s v="22.01.001"/>
    <x v="328"/>
    <s v="Se requiere la compra de insumos de cafetería para las reuniones mensuales (12) de CIRA, de la Subdirección de Gestión Asistencial."/>
    <n v="2"/>
    <s v="Menaje"/>
    <n v="4"/>
    <n v="2030"/>
    <n v="60"/>
    <n v="121800"/>
    <x v="4"/>
    <x v="35"/>
    <x v="93"/>
    <x v="92"/>
    <s v="64-2335754-"/>
    <s v="esteban.oyarzo.a@redsalud.gob.cl"/>
    <x v="13"/>
    <m/>
    <n v="0"/>
    <m/>
    <n v="0"/>
    <n v="0"/>
    <m/>
    <x v="1"/>
    <x v="4"/>
  </r>
  <r>
    <s v="SERVICIO DE SALUD OSORNO"/>
    <s v="Bienes y Servicios"/>
    <x v="334"/>
    <s v="Proyecto operacional"/>
    <s v="Enviado"/>
    <n v="2565"/>
    <x v="329"/>
    <s v="El Festival de la Voz de las Mujeres es una actividad que se realiza la primera semana de marzo con la finalidad de conmemorar el Día internacional de la Mujer. El propósito del Festival es fomentar la participación y recreación de la comunidad funcionaria ofreciendo un espectáculo de calidad que promueva y estimule las habilidades artísticas musicales de las funcionarias de los distintos Hospitales y Dispositivos de la red del Servicio de Salud de Osorno, a la vez que se concientiza sobre la importancia de conmemorar el día internacional d"/>
    <n v="3"/>
    <s v="Material de Oficina"/>
    <n v="4"/>
    <n v="137"/>
    <n v="964"/>
    <n v="132068"/>
    <x v="4"/>
    <x v="32"/>
    <x v="94"/>
    <x v="93"/>
    <s v="64-2337033-"/>
    <s v="ignacio.sotomayor@redsalud.gob.cl"/>
    <x v="21"/>
    <m/>
    <n v="0"/>
    <m/>
    <n v="0"/>
    <n v="0"/>
    <m/>
    <x v="1"/>
    <x v="4"/>
  </r>
  <r>
    <s v="SERVICIO DE SALUD OSORNO"/>
    <s v="Bienes y Servicios"/>
    <x v="334"/>
    <s v="Proyecto operacional"/>
    <s v="Enviado"/>
    <n v="2565"/>
    <x v="329"/>
    <s v="El Festival de la Voz de las Mujeres es una actividad que se realiza la primera semana de marzo con la finalidad de conmemorar el Día internacional de la Mujer. El propósito del Festival es fomentar la participación y recreación de la comunidad funcionaria ofreciendo un espectáculo de calidad que promueva y estimule las habilidades artísticas musicales de las funcionarias de los distintos Hospitales y Dispositivos de la red del Servicio de Salud de Osorno, a la vez que se concientiza sobre la importancia de conmemorar el día internacional d"/>
    <n v="3"/>
    <s v="Decoración y Premios"/>
    <n v="4"/>
    <n v="40"/>
    <n v="7625"/>
    <n v="305000"/>
    <x v="4"/>
    <x v="32"/>
    <x v="94"/>
    <x v="93"/>
    <s v="64-2337033-"/>
    <s v="ignacio.sotomayor@redsalud.gob.cl"/>
    <x v="21"/>
    <m/>
    <n v="0"/>
    <m/>
    <n v="0"/>
    <n v="0"/>
    <m/>
    <x v="1"/>
    <x v="4"/>
  </r>
  <r>
    <s v="SERVICIO DE SALUD OSORNO"/>
    <s v="Bienes y Servicios"/>
    <x v="334"/>
    <s v="Proyecto operacional"/>
    <s v="Enviado"/>
    <n v="2565"/>
    <x v="329"/>
    <s v="El Festival de la Voz de las Mujeres es una actividad que se realiza la primera semana de marzo con la finalidad de conmemorar el Día internacional de la Mujer. El propósito del Festival es fomentar la participación y recreación de la comunidad funcionaria ofreciendo un espectáculo de calidad que promueva y estimule las habilidades artísticas musicales de las funcionarias de los distintos Hospitales y Dispositivos de la red del Servicio de Salud de Osorno, a la vez que se concientiza sobre la importancia de conmemorar el día internacional d"/>
    <n v="3"/>
    <s v="Alimentación"/>
    <n v="4"/>
    <n v="4"/>
    <n v="17000"/>
    <n v="68000"/>
    <x v="4"/>
    <x v="32"/>
    <x v="94"/>
    <x v="93"/>
    <s v="64-2337033-"/>
    <s v="ignacio.sotomayor@redsalud.gob.cl"/>
    <x v="21"/>
    <m/>
    <n v="0"/>
    <m/>
    <n v="0"/>
    <n v="0"/>
    <m/>
    <x v="1"/>
    <x v="4"/>
  </r>
  <r>
    <s v="SERVICIO DE SALUD OSORNO"/>
    <s v="Bienes y Servicios"/>
    <x v="335"/>
    <s v="Proyecto operacional"/>
    <s v="Enviado"/>
    <s v="22.06.001"/>
    <x v="330"/>
    <s v="Obras civiles para montaje de 2 futuros contenedores de largo 20 pies. Construcción de vereda de hormigón de dimensiones 25mx2,5m para acceso de funcionarios, construcción de losa de hormigón de dimensiones 12x10m, construcción de techo para los contenedores."/>
    <n v="1"/>
    <s v="Construcción"/>
    <n v="4"/>
    <n v="1"/>
    <n v="12000000"/>
    <n v="12000000"/>
    <x v="4"/>
    <x v="36"/>
    <x v="44"/>
    <x v="58"/>
    <s v="64-2335588-"/>
    <s v="robertonunez123@gmail.com"/>
    <x v="24"/>
    <m/>
    <n v="0"/>
    <m/>
    <n v="0"/>
    <n v="0"/>
    <m/>
    <x v="1"/>
    <x v="4"/>
  </r>
  <r>
    <s v="SERVICIO DE SALUD OSORNO"/>
    <s v="Bienes y Servicios"/>
    <x v="336"/>
    <s v="Proyecto operacional"/>
    <s v="Enviado"/>
    <s v="22.04.009"/>
    <x v="331"/>
    <s v="Dado el proceso de recambio de Equipamiento PC MINSAL, los equipos pertenecientes a Empresa UPGRADE (Aprox. 40) quedarán en calidad de donación al Servicio de Salud Osorno, pero sin discos de almacenamiento. Por esta razón se requiere adquirir 40 Discos SSD y así dejar operativos 40 PC para uso de los establecimientos de nuestra Red."/>
    <n v="1"/>
    <s v="Disco Duros"/>
    <n v="4"/>
    <n v="40"/>
    <n v="88750"/>
    <n v="3550000"/>
    <x v="4"/>
    <x v="32"/>
    <x v="89"/>
    <x v="87"/>
    <s v="64-2335685-"/>
    <s v="alejandro.nunez01@redsalud.gob.cl"/>
    <x v="21"/>
    <m/>
    <n v="0"/>
    <m/>
    <n v="0"/>
    <n v="0"/>
    <m/>
    <x v="1"/>
    <x v="4"/>
  </r>
  <r>
    <s v="SERVICIO DE SALUD OSORNO"/>
    <s v="Obras Civiles"/>
    <x v="337"/>
    <s v="Proyecto operacional"/>
    <s v="Enviado"/>
    <n v="2220"/>
    <x v="332"/>
    <s v="Se requiere licitar para el mes de mayo año 2025, Mejoramiento Hospital de Rio Negro (4 LICITACIONES)"/>
    <n v="4"/>
    <s v="Remodelación"/>
    <n v="4"/>
    <n v="1"/>
    <n v="876984814"/>
    <n v="876984814"/>
    <x v="4"/>
    <x v="29"/>
    <x v="62"/>
    <x v="36"/>
    <s v="64-2337385-"/>
    <s v="gustavo.marin@redsalud.gob.cl"/>
    <x v="23"/>
    <m/>
    <n v="0"/>
    <m/>
    <n v="0"/>
    <n v="0"/>
    <m/>
    <x v="1"/>
    <x v="6"/>
  </r>
  <r>
    <s v="SERVICIO DE SALUD OSORNO"/>
    <s v="Obras Civiles"/>
    <x v="337"/>
    <s v="Proyecto operacional"/>
    <s v="Enviado"/>
    <n v="2220"/>
    <x v="332"/>
    <s v="Se requiere licitar para el mes de mayo año 2025, Mejoramiento Hospital de Rio Negro (4 LICITACIONES)"/>
    <n v="4"/>
    <s v="Remodelación"/>
    <n v="4"/>
    <n v="1"/>
    <n v="280246728"/>
    <n v="280246728"/>
    <x v="4"/>
    <x v="29"/>
    <x v="62"/>
    <x v="36"/>
    <s v="64-2337385-"/>
    <s v="gustavo.marin@redsalud.gob.cl"/>
    <x v="23"/>
    <m/>
    <n v="0"/>
    <m/>
    <n v="0"/>
    <n v="0"/>
    <m/>
    <x v="1"/>
    <x v="6"/>
  </r>
  <r>
    <s v="SERVICIO DE SALUD OSORNO"/>
    <s v="Obras Civiles"/>
    <x v="337"/>
    <s v="Proyecto operacional"/>
    <s v="Enviado"/>
    <n v="2220"/>
    <x v="332"/>
    <s v="Se requiere licitar para el mes de mayo año 2025, Mejoramiento Hospital de Rio Negro (4 LICITACIONES)"/>
    <n v="4"/>
    <s v="Remodelación"/>
    <n v="4"/>
    <n v="1"/>
    <n v="493463899"/>
    <n v="493463899"/>
    <x v="4"/>
    <x v="32"/>
    <x v="62"/>
    <x v="36"/>
    <s v="64-2337385-"/>
    <s v="gustavo.marin@redsalud.gob.cl"/>
    <x v="21"/>
    <m/>
    <n v="0"/>
    <m/>
    <n v="0"/>
    <n v="0"/>
    <m/>
    <x v="1"/>
    <x v="6"/>
  </r>
  <r>
    <s v="SERVICIO DE SALUD OSORNO"/>
    <s v="Obras Civiles"/>
    <x v="337"/>
    <s v="Proyecto operacional"/>
    <s v="Enviado"/>
    <n v="2220"/>
    <x v="332"/>
    <s v="Se requiere licitar para el mes de mayo año 2025, Mejoramiento Hospital de Rio Negro (4 LICITACIONES)"/>
    <n v="4"/>
    <s v="Remodelación"/>
    <n v="4"/>
    <n v="1"/>
    <n v="424384098"/>
    <n v="424384098"/>
    <x v="4"/>
    <x v="24"/>
    <x v="62"/>
    <x v="36"/>
    <s v="64-2337385-"/>
    <s v="gustavo.marin@redsalud.gob.cl"/>
    <x v="14"/>
    <m/>
    <n v="0"/>
    <m/>
    <n v="0"/>
    <n v="0"/>
    <m/>
    <x v="1"/>
    <x v="6"/>
  </r>
  <r>
    <s v="SERVICIO DE SALUD OSORNO"/>
    <s v="Bienes y Servicios"/>
    <x v="338"/>
    <s v="Proyecto operacional"/>
    <s v="Enviado"/>
    <n v="2771"/>
    <x v="333"/>
    <s v="4 CONTENEDORES DE PAPEL CON LAS SIGUIENTES MEDIDAS Alto 70 Cm Ancho 40 Cm Profundidad 39 Cm Peso 2,3 Kg Capacidad 60 Litros"/>
    <n v="1"/>
    <s v="Contenedor"/>
    <n v="4"/>
    <n v="4"/>
    <n v="17500"/>
    <n v="70000"/>
    <x v="4"/>
    <x v="35"/>
    <x v="95"/>
    <x v="94"/>
    <s v="64-2335752-"/>
    <s v="CRISTINA.COLLINAO@REDSALUD.GOB.CL"/>
    <x v="13"/>
    <m/>
    <n v="0"/>
    <m/>
    <n v="0"/>
    <n v="0"/>
    <m/>
    <x v="1"/>
    <x v="4"/>
  </r>
  <r>
    <s v="SERVICIO DE SALUD OSORNO"/>
    <s v="Bienes y Servicios"/>
    <x v="339"/>
    <s v="Proyecto estratégico"/>
    <s v="Enviado"/>
    <s v="Constanza García"/>
    <x v="334"/>
    <s v="Adquirir material necesario para el desarrollo de las atenciones de salud mental, favoreciendo una atención digna y de buena calidad, buscando brindar un estándar de comodidad medio para las y los pacientes, favoreciendo su apertura a la experiencia"/>
    <n v="3"/>
    <s v="Caja Plastica"/>
    <n v="4"/>
    <n v="2"/>
    <n v="17500"/>
    <n v="35000"/>
    <x v="4"/>
    <x v="35"/>
    <x v="91"/>
    <x v="89"/>
    <s v="64-2337033-"/>
    <s v="constanza.gj@gmail.com"/>
    <x v="13"/>
    <m/>
    <n v="0"/>
    <m/>
    <n v="0"/>
    <n v="0"/>
    <m/>
    <x v="1"/>
    <x v="4"/>
  </r>
  <r>
    <s v="SERVICIO DE SALUD OSORNO"/>
    <s v="Bienes y Servicios"/>
    <x v="339"/>
    <s v="Proyecto estratégico"/>
    <s v="Enviado"/>
    <s v="Constanza García"/>
    <x v="334"/>
    <s v="Adquirir material necesario para el desarrollo de las atenciones de salud mental, favoreciendo una atención digna y de buena calidad, buscando brindar un estándar de comodidad medio para las y los pacientes, favoreciendo su apertura a la experiencia"/>
    <n v="3"/>
    <s v="Material de Oficina"/>
    <n v="4"/>
    <n v="3"/>
    <n v="40000"/>
    <n v="120000"/>
    <x v="4"/>
    <x v="35"/>
    <x v="91"/>
    <x v="89"/>
    <s v="64-2337033-"/>
    <s v="constanza.gj@gmail.com"/>
    <x v="13"/>
    <m/>
    <n v="0"/>
    <m/>
    <n v="0"/>
    <n v="0"/>
    <m/>
    <x v="1"/>
    <x v="4"/>
  </r>
  <r>
    <s v="SERVICIO DE SALUD OSORNO"/>
    <s v="Bienes y Servicios"/>
    <x v="339"/>
    <s v="Proyecto estratégico"/>
    <s v="Enviado"/>
    <s v="Constanza García"/>
    <x v="334"/>
    <s v="Adquirir material necesario para el desarrollo de las atenciones de salud mental, favoreciendo una atención digna y de buena calidad, buscando brindar un estándar de comodidad medio para las y los pacientes, favoreciendo su apertura a la experiencia"/>
    <n v="3"/>
    <s v="Pañuelos"/>
    <n v="4"/>
    <n v="1"/>
    <n v="180000"/>
    <n v="180000"/>
    <x v="4"/>
    <x v="35"/>
    <x v="91"/>
    <x v="89"/>
    <s v="64-2337033-"/>
    <s v="constanza.gj@gmail.com"/>
    <x v="13"/>
    <m/>
    <n v="0"/>
    <m/>
    <n v="0"/>
    <n v="0"/>
    <m/>
    <x v="1"/>
    <x v="4"/>
  </r>
  <r>
    <s v="SERVICIO DE SALUD OSORNO"/>
    <s v="Bienes y Servicios"/>
    <x v="340"/>
    <s v="Proyecto operacional"/>
    <s v="Enviado"/>
    <s v="22.01-22.04"/>
    <x v="335"/>
    <s v="Fortalecer los procesos terapéuticos y comunitarios de las personas en tratamiento, mediante espacios mensuales de resignificación que promuevan la integración familiar, la reconstrucción de vínculos y la participación activa en actividades que refuercen el sentido de pertenencia, la autoestima y la continuidad del proceso de rehabilitación."/>
    <n v="3"/>
    <s v="Alimentación"/>
    <n v="4"/>
    <n v="4626"/>
    <n v="1136"/>
    <n v="5255136"/>
    <x v="4"/>
    <x v="38"/>
    <x v="43"/>
    <x v="48"/>
    <s v="64-2565492-"/>
    <s v="carolina.silvall@redsalud.gob.cl"/>
    <x v="13"/>
    <m/>
    <n v="0"/>
    <m/>
    <n v="0"/>
    <n v="0"/>
    <m/>
    <x v="1"/>
    <x v="4"/>
  </r>
  <r>
    <s v="SERVICIO DE SALUD OSORNO"/>
    <s v="Bienes y Servicios"/>
    <x v="340"/>
    <s v="Proyecto operacional"/>
    <s v="Enviado"/>
    <s v="22.01-22.04"/>
    <x v="335"/>
    <s v="Fortalecer los procesos terapéuticos y comunitarios de las personas en tratamiento, mediante espacios mensuales de resignificación que promuevan la integración familiar, la reconstrucción de vínculos y la participación activa en actividades que refuercen el sentido de pertenencia, la autoestima y la continuidad del proceso de rehabilitación."/>
    <n v="3"/>
    <s v="Insumos de alimentación"/>
    <n v="4"/>
    <n v="2406"/>
    <n v="205"/>
    <n v="493230"/>
    <x v="4"/>
    <x v="38"/>
    <x v="43"/>
    <x v="48"/>
    <s v="64-2565492-"/>
    <s v="carolina.silvall@redsalud.gob.cl"/>
    <x v="13"/>
    <m/>
    <n v="0"/>
    <m/>
    <n v="0"/>
    <n v="0"/>
    <m/>
    <x v="1"/>
    <x v="4"/>
  </r>
  <r>
    <s v="SERVICIO DE SALUD OSORNO"/>
    <s v="Bienes y Servicios"/>
    <x v="340"/>
    <s v="Proyecto operacional"/>
    <s v="Enviado"/>
    <s v="22.01-22.04"/>
    <x v="335"/>
    <s v="Fortalecer los procesos terapéuticos y comunitarios de las personas en tratamiento, mediante espacios mensuales de resignificación que promuevan la integración familiar, la reconstrucción de vínculos y la participación activa en actividades que refuercen el sentido de pertenencia, la autoestima y la continuidad del proceso de rehabilitación."/>
    <n v="3"/>
    <s v="Insumos de alimentación"/>
    <n v="4"/>
    <n v="1224"/>
    <n v="628"/>
    <n v="768672"/>
    <x v="4"/>
    <x v="38"/>
    <x v="43"/>
    <x v="48"/>
    <s v="64-2565492-"/>
    <s v="carolina.silvall@redsalud.gob.cl"/>
    <x v="13"/>
    <m/>
    <n v="0"/>
    <m/>
    <n v="0"/>
    <n v="0"/>
    <m/>
    <x v="1"/>
    <x v="4"/>
  </r>
  <r>
    <s v="SERVICIO DE SALUD OSORNO"/>
    <s v="Bienes y Servicios"/>
    <x v="341"/>
    <s v="Proyecto operacional"/>
    <s v="Enviado"/>
    <s v="22.01.001"/>
    <x v="336"/>
    <s v="ADQUISICIÓN DE INSUMOS DE ALIMENTACIÓN NECESARIOS PARA MANTENER LA CALIDAD DE ACTIVIDADES IMPORTANTES COMO REUNIONES CON EL INTERSECTOR , TALLERES Y CAPACITACIONES"/>
    <n v="1"/>
    <s v="Alimentos"/>
    <n v="4"/>
    <n v="40"/>
    <n v="4250"/>
    <n v="170000"/>
    <x v="4"/>
    <x v="35"/>
    <x v="91"/>
    <x v="89"/>
    <s v="64-2337033-"/>
    <s v="constanza.gj@gmail.com"/>
    <x v="13"/>
    <m/>
    <n v="0"/>
    <m/>
    <n v="0"/>
    <n v="0"/>
    <m/>
    <x v="1"/>
    <x v="4"/>
  </r>
  <r>
    <s v="SERVICIO DE SALUD OSORNO"/>
    <s v="Bienes y Servicios"/>
    <x v="342"/>
    <s v="Proyecto operacional"/>
    <s v="Enviado"/>
    <n v="2577"/>
    <x v="337"/>
    <s v="MUEBLE REPISERO PARA DOCUMENTOS DE MELAMINA"/>
    <n v="1"/>
    <s v="Mueble"/>
    <n v="4"/>
    <n v="1"/>
    <n v="100000"/>
    <n v="100000"/>
    <x v="4"/>
    <x v="35"/>
    <x v="95"/>
    <x v="94"/>
    <s v="64-2335752-"/>
    <s v="CRISTINA.COLLINAO@REDSALUD.GOB.CL"/>
    <x v="13"/>
    <m/>
    <n v="0"/>
    <m/>
    <n v="0"/>
    <n v="0"/>
    <m/>
    <x v="1"/>
    <x v="4"/>
  </r>
  <r>
    <s v="SERVICIO DE SALUD OSORNO"/>
    <s v="Bienes y Servicios"/>
    <x v="343"/>
    <s v="Proyecto operacional"/>
    <s v="Enviado"/>
    <s v="22.02.001"/>
    <x v="338"/>
    <s v="Ejecución de las olimpiadas del adolescente a realizar en contexto de prevención de la obesidad."/>
    <n v="2"/>
    <s v="Polera de trabajo"/>
    <n v="4"/>
    <n v="20"/>
    <n v="3500"/>
    <n v="70000"/>
    <x v="4"/>
    <x v="32"/>
    <x v="73"/>
    <x v="75"/>
    <s v="64-25806-"/>
    <s v="francisca.contreras.c@redsalud.gob.cl"/>
    <x v="19"/>
    <m/>
    <n v="0"/>
    <m/>
    <n v="0"/>
    <n v="0"/>
    <m/>
    <x v="1"/>
    <x v="4"/>
  </r>
  <r>
    <s v="SERVICIO DE SALUD OSORNO"/>
    <s v="Bienes y Servicios"/>
    <x v="343"/>
    <s v="Proyecto operacional"/>
    <s v="Enviado"/>
    <s v="22.02.001"/>
    <x v="338"/>
    <s v="Ejecución de las olimpiadas del adolescente a realizar en contexto de prevención de la obesidad."/>
    <n v="2"/>
    <s v="Bandanas"/>
    <n v="4"/>
    <n v="100"/>
    <n v="1500"/>
    <n v="150000"/>
    <x v="4"/>
    <x v="32"/>
    <x v="73"/>
    <x v="75"/>
    <s v="64-25806-"/>
    <s v="francisca.contreras.c@redsalud.gob.cl"/>
    <x v="19"/>
    <m/>
    <n v="0"/>
    <m/>
    <n v="0"/>
    <n v="0"/>
    <m/>
    <x v="1"/>
    <x v="4"/>
  </r>
  <r>
    <s v="SERVICIO DE SALUD OSORNO"/>
    <s v="Bienes y Servicios"/>
    <x v="344"/>
    <s v="Proyecto operacional"/>
    <s v="Enviado"/>
    <n v="2588"/>
    <x v="339"/>
    <s v="Tener stock para reuniones del Director durante el año y recepción parcializada en 4 meses."/>
    <n v="2"/>
    <s v="Alimentación"/>
    <n v="4"/>
    <n v="118"/>
    <n v="3221"/>
    <n v="380078"/>
    <x v="4"/>
    <x v="35"/>
    <x v="96"/>
    <x v="92"/>
    <s v="64-2335750-"/>
    <s v="claudia.veraa@redsalud.gob.cl"/>
    <x v="13"/>
    <m/>
    <n v="0"/>
    <m/>
    <n v="0"/>
    <n v="0"/>
    <m/>
    <x v="1"/>
    <x v="4"/>
  </r>
  <r>
    <s v="SERVICIO DE SALUD OSORNO"/>
    <s v="Bienes y Servicios"/>
    <x v="344"/>
    <s v="Proyecto operacional"/>
    <s v="Enviado"/>
    <n v="2588"/>
    <x v="339"/>
    <s v="Tener stock para reuniones del Director durante el año y recepción parcializada en 4 meses."/>
    <n v="2"/>
    <s v="Menaje"/>
    <n v="4"/>
    <n v="2022"/>
    <n v="65"/>
    <n v="131430"/>
    <x v="4"/>
    <x v="35"/>
    <x v="96"/>
    <x v="92"/>
    <s v="64-2335750-"/>
    <s v="claudia.veraa@redsalud.gob.cl"/>
    <x v="13"/>
    <m/>
    <n v="0"/>
    <m/>
    <n v="0"/>
    <n v="0"/>
    <m/>
    <x v="1"/>
    <x v="4"/>
  </r>
  <r>
    <s v="SERVICIO DE SALUD OSORNO"/>
    <s v="Bienes y Servicios"/>
    <x v="345"/>
    <s v="Proyecto operacional"/>
    <s v="Enviado"/>
    <n v="2513"/>
    <x v="340"/>
    <s v="Contratar mediante Licitaciones, Compra Ágil, Trato Directo, Convenio Marco (Consultorías, Pasajes) o según sea la necesidad, servicios de docencia/relatoría, consultoría, alimentación y compra de Artículos de librería, pasajes y hospedaje a relatores y otros servicios complementarios, para ejecutar los Programas Anuales de Capacitación de los diferentes establecimientos de la Red Asistencial, incluido APS, con excepción del Hospital Base San José Osorno dado que es establecimiento autogestionado. Compra durante Primer Semestre 2026 y 3er Trim"/>
    <n v="9"/>
    <s v="Servicio Relatoría"/>
    <n v="4"/>
    <n v="60"/>
    <n v="3250000"/>
    <n v="195000000"/>
    <x v="4"/>
    <x v="33"/>
    <x v="97"/>
    <x v="95"/>
    <s v="64-2335849-"/>
    <s v="angela.montesinos@redsalud.gob.cl"/>
    <x v="15"/>
    <m/>
    <n v="0"/>
    <m/>
    <n v="0"/>
    <n v="0"/>
    <m/>
    <x v="1"/>
    <x v="4"/>
  </r>
  <r>
    <s v="SERVICIO DE SALUD OSORNO"/>
    <s v="Bienes y Servicios"/>
    <x v="345"/>
    <s v="Proyecto operacional"/>
    <s v="Enviado"/>
    <n v="2513"/>
    <x v="340"/>
    <s v="Contratar mediante Licitaciones, Compra Ágil, Trato Directo, Convenio Marco (Consultorías, Pasajes) o según sea la necesidad, servicios de docencia/relatoría, consultoría, alimentación y compra de Artículos de librería, pasajes y hospedaje a relatores y otros servicios complementarios, para ejecutar los Programas Anuales de Capacitación de los diferentes establecimientos de la Red Asistencial, incluido APS, con excepción del Hospital Base San José Osorno dado que es establecimiento autogestionado. Compra durante Primer Semestre 2026 y 3er Trim"/>
    <n v="9"/>
    <s v="Tarjetas de Alimentación"/>
    <n v="4"/>
    <n v="300"/>
    <n v="6000"/>
    <n v="1800000"/>
    <x v="4"/>
    <x v="33"/>
    <x v="97"/>
    <x v="95"/>
    <s v="64-2335849-"/>
    <s v="angela.montesinos@redsalud.gob.cl"/>
    <x v="15"/>
    <m/>
    <n v="0"/>
    <m/>
    <n v="0"/>
    <n v="0"/>
    <m/>
    <x v="1"/>
    <x v="4"/>
  </r>
  <r>
    <s v="SERVICIO DE SALUD OSORNO"/>
    <s v="Bienes y Servicios"/>
    <x v="345"/>
    <s v="Proyecto operacional"/>
    <s v="Enviado"/>
    <n v="2513"/>
    <x v="340"/>
    <s v="Contratar mediante Licitaciones, Compra Ágil, Trato Directo, Convenio Marco (Consultorías, Pasajes) o según sea la necesidad, servicios de docencia/relatoría, consultoría, alimentación y compra de Artículos de librería, pasajes y hospedaje a relatores y otros servicios complementarios, para ejecutar los Programas Anuales de Capacitación de los diferentes establecimientos de la Red Asistencial, incluido APS, con excepción del Hospital Base San José Osorno dado que es establecimiento autogestionado. Compra durante Primer Semestre 2026 y 3er Trim"/>
    <n v="9"/>
    <s v="Servicio de Cafetería"/>
    <n v="4"/>
    <n v="1200"/>
    <n v="4500"/>
    <n v="5400000"/>
    <x v="4"/>
    <x v="26"/>
    <x v="97"/>
    <x v="95"/>
    <s v="64-2335849-"/>
    <s v="angela.montesinos@redsalud.gob.cl"/>
    <x v="24"/>
    <m/>
    <n v="0"/>
    <m/>
    <n v="0"/>
    <n v="0"/>
    <m/>
    <x v="1"/>
    <x v="4"/>
  </r>
  <r>
    <s v="SERVICIO DE SALUD OSORNO"/>
    <s v="Bienes y Servicios"/>
    <x v="345"/>
    <s v="Proyecto operacional"/>
    <s v="Enviado"/>
    <n v="2513"/>
    <x v="340"/>
    <s v="Contratar mediante Licitaciones, Compra Ágil, Trato Directo, Convenio Marco (Consultorías, Pasajes) o según sea la necesidad, servicios de docencia/relatoría, consultoría, alimentación y compra de Artículos de librería, pasajes y hospedaje a relatores y otros servicios complementarios, para ejecutar los Programas Anuales de Capacitación de los diferentes establecimientos de la Red Asistencial, incluido APS, con excepción del Hospital Base San José Osorno dado que es establecimiento autogestionado. Compra durante Primer Semestre 2026 y 3er Trim"/>
    <n v="9"/>
    <s v="Alimentación"/>
    <n v="4"/>
    <n v="880"/>
    <n v="839"/>
    <n v="738320"/>
    <x v="4"/>
    <x v="33"/>
    <x v="97"/>
    <x v="95"/>
    <s v="64-2335849-"/>
    <s v="angela.montesinos@redsalud.gob.cl"/>
    <x v="15"/>
    <m/>
    <n v="0"/>
    <m/>
    <n v="0"/>
    <n v="0"/>
    <m/>
    <x v="1"/>
    <x v="4"/>
  </r>
  <r>
    <s v="SERVICIO DE SALUD OSORNO"/>
    <s v="Bienes y Servicios"/>
    <x v="345"/>
    <s v="Proyecto operacional"/>
    <s v="Enviado"/>
    <n v="2513"/>
    <x v="340"/>
    <s v="Contratar mediante Licitaciones, Compra Ágil, Trato Directo, Convenio Marco (Consultorías, Pasajes) o según sea la necesidad, servicios de docencia/relatoría, consultoría, alimentación y compra de Artículos de librería, pasajes y hospedaje a relatores y otros servicios complementarios, para ejecutar los Programas Anuales de Capacitación de los diferentes establecimientos de la Red Asistencial, incluido APS, con excepción del Hospital Base San José Osorno dado que es establecimiento autogestionado. Compra durante Primer Semestre 2026 y 3er Trim"/>
    <n v="9"/>
    <s v="Insumos de Alimentación"/>
    <n v="4"/>
    <n v="80"/>
    <n v="2113"/>
    <n v="169040"/>
    <x v="4"/>
    <x v="33"/>
    <x v="97"/>
    <x v="95"/>
    <s v="64-2335849-"/>
    <s v="angela.montesinos@redsalud.gob.cl"/>
    <x v="15"/>
    <m/>
    <n v="0"/>
    <m/>
    <n v="0"/>
    <n v="0"/>
    <m/>
    <x v="1"/>
    <x v="4"/>
  </r>
  <r>
    <s v="SERVICIO DE SALUD OSORNO"/>
    <s v="Bienes y Servicios"/>
    <x v="345"/>
    <s v="Proyecto operacional"/>
    <s v="Enviado"/>
    <n v="2513"/>
    <x v="340"/>
    <s v="Contratar mediante Licitaciones, Compra Ágil, Trato Directo, Convenio Marco (Consultorías, Pasajes) o según sea la necesidad, servicios de docencia/relatoría, consultoría, alimentación y compra de Artículos de librería, pasajes y hospedaje a relatores y otros servicios complementarios, para ejecutar los Programas Anuales de Capacitación de los diferentes establecimientos de la Red Asistencial, incluido APS, con excepción del Hospital Base San José Osorno dado que es establecimiento autogestionado. Compra durante Primer Semestre 2026 y 3er Trim"/>
    <n v="9"/>
    <s v="Artículos de Oficina"/>
    <n v="4"/>
    <n v="3200"/>
    <n v="969"/>
    <n v="3100800"/>
    <x v="4"/>
    <x v="33"/>
    <x v="97"/>
    <x v="95"/>
    <s v="64-2335849-"/>
    <s v="angela.montesinos@redsalud.gob.cl"/>
    <x v="15"/>
    <m/>
    <n v="0"/>
    <m/>
    <n v="0"/>
    <n v="0"/>
    <m/>
    <x v="1"/>
    <x v="4"/>
  </r>
  <r>
    <s v="SERVICIO DE SALUD OSORNO"/>
    <s v="Bienes y Servicios"/>
    <x v="345"/>
    <s v="Proyecto operacional"/>
    <s v="Enviado"/>
    <n v="2513"/>
    <x v="340"/>
    <s v="Contratar mediante Licitaciones, Compra Ágil, Trato Directo, Convenio Marco (Consultorías, Pasajes) o según sea la necesidad, servicios de docencia/relatoría, consultoría, alimentación y compra de Artículos de librería, pasajes y hospedaje a relatores y otros servicios complementarios, para ejecutar los Programas Anuales de Capacitación de los diferentes establecimientos de la Red Asistencial, incluido APS, con excepción del Hospital Base San José Osorno dado que es establecimiento autogestionado. Compra durante Primer Semestre 2026 y 3er Trim"/>
    <n v="9"/>
    <s v="Pila"/>
    <n v="4"/>
    <n v="40"/>
    <n v="1250"/>
    <n v="50000"/>
    <x v="4"/>
    <x v="33"/>
    <x v="97"/>
    <x v="95"/>
    <s v="64-2335849-"/>
    <s v="angela.montesinos@redsalud.gob.cl"/>
    <x v="15"/>
    <m/>
    <n v="0"/>
    <m/>
    <n v="0"/>
    <n v="0"/>
    <m/>
    <x v="1"/>
    <x v="4"/>
  </r>
  <r>
    <s v="SERVICIO DE SALUD OSORNO"/>
    <s v="Bienes y Servicios"/>
    <x v="345"/>
    <s v="Proyecto operacional"/>
    <s v="Enviado"/>
    <n v="2513"/>
    <x v="340"/>
    <s v="Contratar mediante Licitaciones, Compra Ágil, Trato Directo, Convenio Marco (Consultorías, Pasajes) o según sea la necesidad, servicios de docencia/relatoría, consultoría, alimentación y compra de Artículos de librería, pasajes y hospedaje a relatores y otros servicios complementarios, para ejecutar los Programas Anuales de Capacitación de los diferentes establecimientos de la Red Asistencial, incluido APS, con excepción del Hospital Base San José Osorno dado que es establecimiento autogestionado. Compra durante Primer Semestre 2026 y 3er Trim"/>
    <n v="9"/>
    <s v="Caja plástica"/>
    <n v="4"/>
    <n v="5"/>
    <n v="10000"/>
    <n v="50000"/>
    <x v="4"/>
    <x v="33"/>
    <x v="97"/>
    <x v="95"/>
    <s v="64-2335849-"/>
    <s v="angela.montesinos@redsalud.gob.cl"/>
    <x v="15"/>
    <m/>
    <n v="0"/>
    <m/>
    <n v="0"/>
    <n v="0"/>
    <m/>
    <x v="1"/>
    <x v="4"/>
  </r>
  <r>
    <s v="SERVICIO DE SALUD OSORNO"/>
    <s v="Bienes y Servicios"/>
    <x v="345"/>
    <s v="Proyecto operacional"/>
    <s v="Enviado"/>
    <n v="2513"/>
    <x v="340"/>
    <s v="Contratar mediante Licitaciones, Compra Ágil, Trato Directo, Convenio Marco (Consultorías, Pasajes) o según sea la necesidad, servicios de docencia/relatoría, consultoría, alimentación y compra de Artículos de librería, pasajes y hospedaje a relatores y otros servicios complementarios, para ejecutar los Programas Anuales de Capacitación de los diferentes establecimientos de la Red Asistencial, incluido APS, con excepción del Hospital Base San José Osorno dado que es establecimiento autogestionado. Compra durante Primer Semestre 2026 y 3er Trim"/>
    <n v="9"/>
    <s v="Alojamiento"/>
    <n v="4"/>
    <n v="5"/>
    <n v="300000"/>
    <n v="1500000"/>
    <x v="4"/>
    <x v="26"/>
    <x v="97"/>
    <x v="95"/>
    <s v="64-2335849-"/>
    <s v="angela.montesinos@redsalud.gob.cl"/>
    <x v="24"/>
    <m/>
    <n v="0"/>
    <m/>
    <n v="0"/>
    <n v="0"/>
    <m/>
    <x v="1"/>
    <x v="4"/>
  </r>
  <r>
    <s v="SERVICIO DE SALUD OSORNO"/>
    <s v="Bienes y Servicios"/>
    <x v="346"/>
    <s v="Proyecto operacional"/>
    <s v="Enviado"/>
    <s v="22.04"/>
    <x v="341"/>
    <s v="Se requiere la reposición y adquisición de insumos médicos para los botiquines de las Unidades Residencial y Ambulatoria de la Comunidad Terapéutica. Con personal compuestos por enfermeros, técnicos paramédicos y médicos, se busca atender emergencias, aliviar el dolor, realizar curaciones y manejar patologías menores. Contar con botiquines equipados permite brindar atención primaria oportuna ante eventos ocurridos durante la estadía o actividades de la unidad."/>
    <n v="3"/>
    <s v="Artículos médicos y clínicos"/>
    <n v="4"/>
    <n v="23"/>
    <n v="10392"/>
    <n v="239016"/>
    <x v="4"/>
    <x v="33"/>
    <x v="43"/>
    <x v="48"/>
    <s v="64-2565492-"/>
    <s v="carolina.silvall@redsalud.gob.cl"/>
    <x v="15"/>
    <m/>
    <n v="0"/>
    <m/>
    <n v="0"/>
    <n v="0"/>
    <m/>
    <x v="1"/>
    <x v="4"/>
  </r>
  <r>
    <s v="SERVICIO DE SALUD OSORNO"/>
    <s v="Bienes y Servicios"/>
    <x v="346"/>
    <s v="Proyecto operacional"/>
    <s v="Enviado"/>
    <s v="22.04"/>
    <x v="341"/>
    <s v="Se requiere la reposición y adquisición de insumos médicos para los botiquines de las Unidades Residencial y Ambulatoria de la Comunidad Terapéutica. Con personal compuestos por enfermeros, técnicos paramédicos y médicos, se busca atender emergencias, aliviar el dolor, realizar curaciones y manejar patologías menores. Contar con botiquines equipados permite brindar atención primaria oportuna ante eventos ocurridos durante la estadía o actividades de la unidad."/>
    <n v="3"/>
    <s v="Materiales de curación"/>
    <n v="4"/>
    <n v="431"/>
    <n v="2492"/>
    <n v="1074052"/>
    <x v="4"/>
    <x v="33"/>
    <x v="43"/>
    <x v="48"/>
    <s v="64-2565492-"/>
    <s v="carolina.silvall@redsalud.gob.cl"/>
    <x v="15"/>
    <m/>
    <n v="0"/>
    <m/>
    <n v="0"/>
    <n v="0"/>
    <m/>
    <x v="1"/>
    <x v="4"/>
  </r>
  <r>
    <s v="SERVICIO DE SALUD OSORNO"/>
    <s v="Bienes y Servicios"/>
    <x v="346"/>
    <s v="Proyecto operacional"/>
    <s v="Enviado"/>
    <s v="22.04"/>
    <x v="341"/>
    <s v="Se requiere la reposición y adquisición de insumos médicos para los botiquines de las Unidades Residencial y Ambulatoria de la Comunidad Terapéutica. Con personal compuestos por enfermeros, técnicos paramédicos y médicos, se busca atender emergencias, aliviar el dolor, realizar curaciones y manejar patologías menores. Contar con botiquines equipados permite brindar atención primaria oportuna ante eventos ocurridos durante la estadía o actividades de la unidad."/>
    <n v="3"/>
    <s v="Equipamiento médico"/>
    <n v="4"/>
    <n v="3002"/>
    <n v="160"/>
    <n v="480320"/>
    <x v="4"/>
    <x v="33"/>
    <x v="43"/>
    <x v="48"/>
    <s v="64-2565492-"/>
    <s v="carolina.silvall@redsalud.gob.cl"/>
    <x v="15"/>
    <m/>
    <n v="0"/>
    <m/>
    <n v="0"/>
    <n v="0"/>
    <m/>
    <x v="1"/>
    <x v="4"/>
  </r>
  <r>
    <s v="SERVICIO DE SALUD OSORNO"/>
    <s v="Bienes y Servicios"/>
    <x v="347"/>
    <s v="Proyecto operacional"/>
    <s v="Enviado"/>
    <n v="2592"/>
    <x v="342"/>
    <s v="Adquisición de insumos médicos para el control cardiovascular/integral en APS. 1) EQUIPO DE CURACION DESECHABLE: 2.000 UNIDADES. 2) CURETAS FOX (3 mm o 4 mm): 500 UNIDADES (19 cajas c/25 unidades). 3) MONOFILAMENTO SEMMES WEINSTEIN: 250 UNIDADES. 4) CINTA MÉTRICA RETRÁCTIL: 150 UNIDADES. Compra para marzo 2025."/>
    <n v="1"/>
    <s v="Insumos Clínicos"/>
    <n v="4"/>
    <n v="2900"/>
    <n v="3449"/>
    <n v="10002100"/>
    <x v="4"/>
    <x v="32"/>
    <x v="24"/>
    <x v="91"/>
    <s v="64-2335810-"/>
    <s v="consuelo.cordova@redsalud.gob.cl"/>
    <x v="21"/>
    <m/>
    <n v="0"/>
    <m/>
    <n v="0"/>
    <n v="0"/>
    <m/>
    <x v="1"/>
    <x v="4"/>
  </r>
  <r>
    <s v="SERVICIO DE SALUD OSORNO"/>
    <s v="Bienes y Servicios"/>
    <x v="348"/>
    <s v="Proyecto operacional"/>
    <s v="Enviado"/>
    <s v="22.04"/>
    <x v="343"/>
    <s v="Mantener stock de recursos para el desarrollo de actividades psicopedagógicas y desde el abordaje cognitivo conductual de todos los terapeutas, todas dirigidas a que las personas en tratamientos y familiares logren a través de actividades grupales dirigidas, adquirir conocimientos de forma lúdica con estrategias que permitan el desarrollo de creatividad, estimulación y discriminación visual."/>
    <n v="2"/>
    <s v="Artículos de librería"/>
    <n v="4"/>
    <n v="731"/>
    <n v="1107"/>
    <n v="809217"/>
    <x v="4"/>
    <x v="24"/>
    <x v="43"/>
    <x v="48"/>
    <s v="64-2565492-"/>
    <s v="carolina.silvall@redsalud.gob.cl"/>
    <x v="21"/>
    <m/>
    <n v="0"/>
    <m/>
    <n v="0"/>
    <n v="0"/>
    <m/>
    <x v="1"/>
    <x v="4"/>
  </r>
  <r>
    <s v="SERVICIO DE SALUD OSORNO"/>
    <s v="Bienes y Servicios"/>
    <x v="348"/>
    <s v="Proyecto operacional"/>
    <s v="Enviado"/>
    <s v="22.04"/>
    <x v="343"/>
    <s v="Mantener stock de recursos para el desarrollo de actividades psicopedagógicas y desde el abordaje cognitivo conductual de todos los terapeutas, todas dirigidas a que las personas en tratamientos y familiares logren a través de actividades grupales dirigidas, adquirir conocimientos de forma lúdica con estrategias que permitan el desarrollo de creatividad, estimulación y discriminación visual."/>
    <n v="2"/>
    <s v="Artículos de oficina"/>
    <n v="4"/>
    <n v="70"/>
    <n v="4858"/>
    <n v="340060"/>
    <x v="4"/>
    <x v="24"/>
    <x v="43"/>
    <x v="48"/>
    <s v="64-2565492-"/>
    <s v="carolina.silvall@redsalud.gob.cl"/>
    <x v="21"/>
    <m/>
    <n v="0"/>
    <m/>
    <n v="0"/>
    <n v="0"/>
    <m/>
    <x v="1"/>
    <x v="4"/>
  </r>
  <r>
    <s v="SERVICIO DE SALUD OSORNO"/>
    <s v="Bienes y Servicios"/>
    <x v="349"/>
    <s v="Proyecto operacional"/>
    <s v="Enviado"/>
    <s v="22.04"/>
    <x v="344"/>
    <s v="Adquisición de insumos para la atención y educación en salud, a personas bajo control en distintos programas de la atención primaria: - 100 cajas Apositos - 10 linternas frontales - 10 diapazón - 10 tijera corta yeso dentada Bruns - 10 fonendoscopios pediátricos - 14 Podoscopio"/>
    <n v="3"/>
    <s v="Equipo Medico"/>
    <n v="4"/>
    <n v="44"/>
    <n v="90000"/>
    <n v="3960000"/>
    <x v="4"/>
    <x v="32"/>
    <x v="24"/>
    <x v="91"/>
    <s v="64-2335810-"/>
    <s v="consuelo.cordova@redsalud.gob.cl"/>
    <x v="21"/>
    <m/>
    <n v="0"/>
    <m/>
    <n v="0"/>
    <n v="0"/>
    <m/>
    <x v="1"/>
    <x v="4"/>
  </r>
  <r>
    <s v="SERVICIO DE SALUD OSORNO"/>
    <s v="Bienes y Servicios"/>
    <x v="349"/>
    <s v="Proyecto operacional"/>
    <s v="Enviado"/>
    <s v="22.04"/>
    <x v="344"/>
    <s v="Adquisición de insumos para la atención y educación en salud, a personas bajo control en distintos programas de la atención primaria: - 100 cajas Apositos - 10 linternas frontales - 10 diapazón - 10 tijera corta yeso dentada Bruns - 10 fonendoscopios pediátricos - 14 Podoscopio"/>
    <n v="3"/>
    <s v="Linterna"/>
    <n v="4"/>
    <n v="10"/>
    <n v="60000"/>
    <n v="600000"/>
    <x v="4"/>
    <x v="32"/>
    <x v="24"/>
    <x v="91"/>
    <s v="64-2335810-"/>
    <s v="consuelo.cordova@redsalud.gob.cl"/>
    <x v="21"/>
    <m/>
    <n v="0"/>
    <m/>
    <n v="0"/>
    <n v="0"/>
    <m/>
    <x v="1"/>
    <x v="4"/>
  </r>
  <r>
    <s v="SERVICIO DE SALUD OSORNO"/>
    <s v="Bienes y Servicios"/>
    <x v="349"/>
    <s v="Proyecto operacional"/>
    <s v="Enviado"/>
    <s v="22.04"/>
    <x v="344"/>
    <s v="Adquisición de insumos para la atención y educación en salud, a personas bajo control en distintos programas de la atención primaria: - 100 cajas Apositos - 10 linternas frontales - 10 diapazón - 10 tijera corta yeso dentada Bruns - 10 fonendoscopios pediátricos - 14 Podoscopio"/>
    <n v="3"/>
    <s v="Material de Curación"/>
    <n v="4"/>
    <n v="100"/>
    <n v="10000"/>
    <n v="1000000"/>
    <x v="4"/>
    <x v="32"/>
    <x v="24"/>
    <x v="91"/>
    <s v="64-2335810-"/>
    <s v="consuelo.cordova@redsalud.gob.cl"/>
    <x v="21"/>
    <m/>
    <n v="0"/>
    <m/>
    <n v="0"/>
    <n v="0"/>
    <m/>
    <x v="1"/>
    <x v="4"/>
  </r>
  <r>
    <s v="SERVICIO DE SALUD OSORNO"/>
    <s v="Bienes y Servicios"/>
    <x v="350"/>
    <s v="Proyecto operacional"/>
    <s v="Enviado"/>
    <n v="2590"/>
    <x v="345"/>
    <s v="Realizar actividad conmemorativa enmarcada en el cumplimiento de los 10 años de antigüedad del centro kümelen en septiembre 2026."/>
    <n v="3"/>
    <s v="Servicio Cafeteria"/>
    <n v="4"/>
    <n v="100"/>
    <n v="7000"/>
    <n v="700000"/>
    <x v="4"/>
    <x v="26"/>
    <x v="98"/>
    <x v="96"/>
    <s v="64-2337366-"/>
    <s v="carlos.utreras@redsalud.gob.cl"/>
    <x v="16"/>
    <m/>
    <n v="0"/>
    <m/>
    <n v="0"/>
    <n v="0"/>
    <m/>
    <x v="1"/>
    <x v="4"/>
  </r>
  <r>
    <s v="SERVICIO DE SALUD OSORNO"/>
    <s v="Bienes y Servicios"/>
    <x v="350"/>
    <s v="Proyecto operacional"/>
    <s v="Enviado"/>
    <n v="2590"/>
    <x v="345"/>
    <s v="Realizar actividad conmemorativa enmarcada en el cumplimiento de los 10 años de antigüedad del centro kümelen en septiembre 2026."/>
    <n v="3"/>
    <s v="Diptico"/>
    <n v="4"/>
    <n v="200"/>
    <n v="900"/>
    <n v="180000"/>
    <x v="4"/>
    <x v="26"/>
    <x v="98"/>
    <x v="96"/>
    <s v="64-2337366-"/>
    <s v="carlos.utreras@redsalud.gob.cl"/>
    <x v="16"/>
    <m/>
    <n v="0"/>
    <m/>
    <n v="0"/>
    <n v="0"/>
    <m/>
    <x v="1"/>
    <x v="4"/>
  </r>
  <r>
    <s v="SERVICIO DE SALUD OSORNO"/>
    <s v="Bienes y Servicios"/>
    <x v="350"/>
    <s v="Proyecto operacional"/>
    <s v="Enviado"/>
    <n v="2590"/>
    <x v="345"/>
    <s v="Realizar actividad conmemorativa enmarcada en el cumplimiento de los 10 años de antigüedad del centro kümelen en septiembre 2026."/>
    <n v="3"/>
    <s v="Decoración"/>
    <n v="4"/>
    <n v="100"/>
    <n v="400"/>
    <n v="40000"/>
    <x v="4"/>
    <x v="26"/>
    <x v="98"/>
    <x v="96"/>
    <s v="64-2337366-"/>
    <s v="carlos.utreras@redsalud.gob.cl"/>
    <x v="16"/>
    <m/>
    <n v="0"/>
    <m/>
    <n v="0"/>
    <n v="0"/>
    <m/>
    <x v="1"/>
    <x v="4"/>
  </r>
  <r>
    <s v="SERVICIO DE SALUD OSORNO"/>
    <s v="Administración de Fondos"/>
    <x v="351"/>
    <s v="Proyecto estratégico"/>
    <s v="Enviado"/>
    <s v="22.01-22.04-22.02"/>
    <x v="346"/>
    <s v="Consiste en enseñar a los usuarios de forma teórico-práctica habilidades para lograr la máxima independencia de los usuarios de salud mental. Fomentar máxima autonomía posible de los participantes según su nivel de funcionalidad, identificar las fortalezas y necesidades individuales de cada participante, desarrollar habilidades para la vida diaria en AVD básicas, instrumentales, en interacción y comunicación, explorar los recursos disponibles en la comunidad para brindar apoyo adicional."/>
    <n v="5"/>
    <s v="Artículos de cocina"/>
    <n v="4"/>
    <n v="17"/>
    <n v="6611"/>
    <n v="112387"/>
    <x v="4"/>
    <x v="38"/>
    <x v="44"/>
    <x v="97"/>
    <s v="64-2565610-"/>
    <s v="pedro.fritz@redsalud.gob.cl"/>
    <x v="13"/>
    <m/>
    <n v="0"/>
    <m/>
    <n v="0"/>
    <n v="0"/>
    <m/>
    <x v="1"/>
    <x v="2"/>
  </r>
  <r>
    <s v="SERVICIO DE SALUD OSORNO"/>
    <s v="Administración de Fondos"/>
    <x v="351"/>
    <s v="Proyecto estratégico"/>
    <s v="Enviado"/>
    <s v="22.01-22.04-22.02"/>
    <x v="346"/>
    <s v="Consiste en enseñar a los usuarios de forma teórico-práctica habilidades para lograr la máxima independencia de los usuarios de salud mental. Fomentar máxima autonomía posible de los participantes según su nivel de funcionalidad, identificar las fortalezas y necesidades individuales de cada participante, desarrollar habilidades para la vida diaria en AVD básicas, instrumentales, en interacción y comunicación, explorar los recursos disponibles en la comunidad para brindar apoyo adicional."/>
    <n v="5"/>
    <s v="Alimentación"/>
    <n v="4"/>
    <n v="24"/>
    <n v="1805"/>
    <n v="43320"/>
    <x v="4"/>
    <x v="38"/>
    <x v="44"/>
    <x v="97"/>
    <s v="64-2565610-"/>
    <s v="pedro.fritz@redsalud.gob.cl"/>
    <x v="13"/>
    <m/>
    <n v="0"/>
    <m/>
    <n v="0"/>
    <n v="0"/>
    <m/>
    <x v="1"/>
    <x v="2"/>
  </r>
  <r>
    <s v="SERVICIO DE SALUD OSORNO"/>
    <s v="Administración de Fondos"/>
    <x v="351"/>
    <s v="Proyecto estratégico"/>
    <s v="Enviado"/>
    <s v="22.01-22.04-22.02"/>
    <x v="346"/>
    <s v="Consiste en enseñar a los usuarios de forma teórico-práctica habilidades para lograr la máxima independencia de los usuarios de salud mental. Fomentar máxima autonomía posible de los participantes según su nivel de funcionalidad, identificar las fortalezas y necesidades individuales de cada participante, desarrollar habilidades para la vida diaria en AVD básicas, instrumentales, en interacción y comunicación, explorar los recursos disponibles en la comunidad para brindar apoyo adicional."/>
    <n v="5"/>
    <s v="Útiles de aseo"/>
    <n v="4"/>
    <n v="18"/>
    <n v="1389"/>
    <n v="25002"/>
    <x v="4"/>
    <x v="38"/>
    <x v="44"/>
    <x v="97"/>
    <s v="64-2565610-"/>
    <s v="pedro.fritz@redsalud.gob.cl"/>
    <x v="13"/>
    <m/>
    <n v="0"/>
    <m/>
    <n v="0"/>
    <n v="0"/>
    <m/>
    <x v="1"/>
    <x v="2"/>
  </r>
  <r>
    <s v="SERVICIO DE SALUD OSORNO"/>
    <s v="Administración de Fondos"/>
    <x v="351"/>
    <s v="Proyecto estratégico"/>
    <s v="Enviado"/>
    <s v="22.01-22.04-22.02"/>
    <x v="346"/>
    <s v="Consiste en enseñar a los usuarios de forma teórico-práctica habilidades para lograr la máxima independencia de los usuarios de salud mental. Fomentar máxima autonomía posible de los participantes según su nivel de funcionalidad, identificar las fortalezas y necesidades individuales de cada participante, desarrollar habilidades para la vida diaria en AVD básicas, instrumentales, en interacción y comunicación, explorar los recursos disponibles en la comunidad para brindar apoyo adicional."/>
    <n v="5"/>
    <s v="Artículos de cocina textiles"/>
    <n v="4"/>
    <n v="4"/>
    <n v="6250"/>
    <n v="25000"/>
    <x v="4"/>
    <x v="38"/>
    <x v="44"/>
    <x v="97"/>
    <s v="64-2565610-"/>
    <s v="pedro.fritz@redsalud.gob.cl"/>
    <x v="13"/>
    <m/>
    <n v="0"/>
    <m/>
    <n v="0"/>
    <n v="0"/>
    <m/>
    <x v="1"/>
    <x v="2"/>
  </r>
  <r>
    <s v="SERVICIO DE SALUD OSORNO"/>
    <s v="Administración de Fondos"/>
    <x v="351"/>
    <s v="Proyecto estratégico"/>
    <s v="Enviado"/>
    <s v="22.01-22.04-22.02"/>
    <x v="346"/>
    <s v="Consiste en enseñar a los usuarios de forma teórico-práctica habilidades para lograr la máxima independencia de los usuarios de salud mental. Fomentar máxima autonomía posible de los participantes según su nivel de funcionalidad, identificar las fortalezas y necesidades individuales de cada participante, desarrollar habilidades para la vida diaria en AVD básicas, instrumentales, en interacción y comunicación, explorar los recursos disponibles en la comunidad para brindar apoyo adicional."/>
    <n v="5"/>
    <s v="Fósforos"/>
    <n v="4"/>
    <n v="1"/>
    <n v="1700"/>
    <n v="1700"/>
    <x v="4"/>
    <x v="38"/>
    <x v="44"/>
    <x v="97"/>
    <s v="64-2565610-"/>
    <s v="pedro.fritz@redsalud.gob.cl"/>
    <x v="13"/>
    <m/>
    <n v="0"/>
    <m/>
    <n v="0"/>
    <n v="0"/>
    <m/>
    <x v="1"/>
    <x v="2"/>
  </r>
  <r>
    <s v="SERVICIO DE SALUD OSORNO"/>
    <s v="Bienes y Servicios"/>
    <x v="352"/>
    <s v="Proyecto operacional"/>
    <s v="Enviado"/>
    <n v="2591"/>
    <x v="347"/>
    <s v="Adquisición de ciclo de capacitaciones para la red asistencial en ECICEP, considerando capacitaciones transversales para el equipo de salud, capacitaciones para Médicos, Capacitaciones para Enfermeras y TENS."/>
    <n v="1"/>
    <s v="Curso"/>
    <n v="4"/>
    <n v="4"/>
    <n v="3996070"/>
    <n v="15984280"/>
    <x v="4"/>
    <x v="24"/>
    <x v="83"/>
    <x v="98"/>
    <s v="64-2335465-"/>
    <s v="mariapaz.gomez.n@redsalud.gob.cl"/>
    <x v="14"/>
    <m/>
    <n v="0"/>
    <m/>
    <n v="0"/>
    <n v="0"/>
    <m/>
    <x v="1"/>
    <x v="4"/>
  </r>
  <r>
    <s v="SERVICIO DE SALUD OSORNO"/>
    <s v="Bienes y Servicios"/>
    <x v="353"/>
    <s v="Proyecto operacional"/>
    <s v="Enviado"/>
    <s v="22.04.003"/>
    <x v="348"/>
    <s v="Adquisición de insumos clínicos necesarios para la atención de usuarias en un entorno limpio e higiénico."/>
    <n v="2"/>
    <s v="Productos Alcohol"/>
    <n v="4"/>
    <n v="412"/>
    <n v="850"/>
    <n v="350200"/>
    <x v="4"/>
    <x v="35"/>
    <x v="99"/>
    <x v="99"/>
    <s v="64-2331026-"/>
    <s v="barbara.mendez@redsalud.gob.cl"/>
    <x v="13"/>
    <m/>
    <n v="0"/>
    <m/>
    <n v="0"/>
    <n v="0"/>
    <m/>
    <x v="1"/>
    <x v="4"/>
  </r>
  <r>
    <s v="SERVICIO DE SALUD OSORNO"/>
    <s v="Bienes y Servicios"/>
    <x v="353"/>
    <s v="Proyecto operacional"/>
    <s v="Enviado"/>
    <s v="22.04.003"/>
    <x v="348"/>
    <s v="Adquisición de insumos clínicos necesarios para la atención de usuarias en un entorno limpio e higiénico."/>
    <n v="2"/>
    <s v="Toallas"/>
    <n v="4"/>
    <n v="1200"/>
    <n v="459"/>
    <n v="550800"/>
    <x v="4"/>
    <x v="35"/>
    <x v="99"/>
    <x v="99"/>
    <s v="64-2331026-"/>
    <s v="barbara.mendez@redsalud.gob.cl"/>
    <x v="13"/>
    <m/>
    <n v="0"/>
    <m/>
    <n v="0"/>
    <n v="0"/>
    <m/>
    <x v="1"/>
    <x v="4"/>
  </r>
  <r>
    <s v="SERVICIO DE SALUD OSORNO"/>
    <s v="Bienes y Servicios"/>
    <x v="354"/>
    <s v="Proyecto operacional"/>
    <s v="Enviado"/>
    <n v="2594"/>
    <x v="349"/>
    <s v="1) 10 Set de brazaletes tensiómetros reusables para la medición de la presión arterial. Cada Set viene brazaletes de 4 tamaños: Pediátrico (15-21 cms), Adulto pequeño/Adolescente (20-26 cms), Adulto mediano (25-34 cms), Adulto grande/Obeso (32-43 cms). Garantía técnica mínima 18 meses. 2) 10 unidades esfigmomanómetro automatizado, diseñado para la medición de la presión arterial y la frecuencia cardíaca en personas con edades superiores a los 3 años. Validado para Chile y autorizado por Minsal para uso profesional. Compra Marzo 2026."/>
    <n v="1"/>
    <s v="Equipo Medico"/>
    <n v="4"/>
    <n v="20"/>
    <n v="175000"/>
    <n v="3500000"/>
    <x v="4"/>
    <x v="24"/>
    <x v="24"/>
    <x v="91"/>
    <s v="64-2335810-"/>
    <s v="consuelo.cordova@redsalud.gob.cl"/>
    <x v="21"/>
    <m/>
    <n v="0"/>
    <m/>
    <n v="0"/>
    <n v="0"/>
    <m/>
    <x v="1"/>
    <x v="4"/>
  </r>
  <r>
    <s v="SERVICIO DE SALUD OSORNO"/>
    <s v="Bienes y Servicios"/>
    <x v="355"/>
    <s v="Proyecto operacional"/>
    <s v="Enviado"/>
    <s v="22.04.004"/>
    <x v="350"/>
    <s v="Adquisición de dispositivos médicos para el apoyo a la gestión de curaciones avanzadas en usuarios portadores de úlcera venosa y úlcera del pie diabético a ejecutarse en marzo 2026."/>
    <n v="1"/>
    <s v="Material de Curación"/>
    <n v="4"/>
    <n v="870"/>
    <n v="17397"/>
    <n v="15135390"/>
    <x v="4"/>
    <x v="32"/>
    <x v="24"/>
    <x v="100"/>
    <s v="64-2335810-"/>
    <s v="consuelo.cordova@redsalud.gob.cl"/>
    <x v="21"/>
    <m/>
    <n v="0"/>
    <m/>
    <n v="0"/>
    <n v="0"/>
    <m/>
    <x v="1"/>
    <x v="4"/>
  </r>
  <r>
    <s v="SERVICIO DE SALUD OSORNO"/>
    <s v="Bienes y Servicios"/>
    <x v="356"/>
    <s v="Proyecto operacional"/>
    <s v="Enviado"/>
    <n v="2597"/>
    <x v="351"/>
    <s v="Proveer de servicios de catering para jornada de capacitación Médicos Generales Imágenes Diagnósticas."/>
    <n v="1"/>
    <s v="Servicio Cafeteria"/>
    <n v="4"/>
    <n v="8"/>
    <n v="150000"/>
    <n v="1200000"/>
    <x v="4"/>
    <x v="24"/>
    <x v="99"/>
    <x v="99"/>
    <s v="64-2331026-"/>
    <s v="barbara.mendez@redsalud.gob.cl"/>
    <x v="14"/>
    <m/>
    <n v="0"/>
    <m/>
    <n v="0"/>
    <n v="0"/>
    <m/>
    <x v="1"/>
    <x v="4"/>
  </r>
  <r>
    <s v="SERVICIO DE SALUD OSORNO"/>
    <s v="Bienes y Servicios"/>
    <x v="357"/>
    <s v="Proyecto estratégico"/>
    <s v="Enviado"/>
    <n v="2598"/>
    <x v="352"/>
    <s v="Adquisición de exámenes con informe radiológico de ecotomografía abdominal y mamaria para los hospitales acreditados dependientes del Servicio de Salud Osorno."/>
    <n v="2"/>
    <s v="Ecotomografia Abdominal"/>
    <n v="4"/>
    <n v="1000"/>
    <n v="10000"/>
    <n v="10000000"/>
    <x v="11"/>
    <x v="20"/>
    <x v="99"/>
    <x v="99"/>
    <s v="64-2331026-"/>
    <s v="barbara.mendez@redsalud.gob.cl"/>
    <x v="13"/>
    <m/>
    <n v="0"/>
    <m/>
    <n v="0"/>
    <n v="0"/>
    <m/>
    <x v="1"/>
    <x v="4"/>
  </r>
  <r>
    <s v="SERVICIO DE SALUD OSORNO"/>
    <s v="Bienes y Servicios"/>
    <x v="357"/>
    <s v="Proyecto estratégico"/>
    <s v="Enviado"/>
    <n v="2598"/>
    <x v="352"/>
    <s v="Adquisición de exámenes con informe radiológico de ecotomografía abdominal y mamaria para los hospitales acreditados dependientes del Servicio de Salud Osorno."/>
    <n v="2"/>
    <s v="Ecotomografia Mamaria"/>
    <n v="4"/>
    <n v="1000"/>
    <n v="10000"/>
    <n v="10000000"/>
    <x v="11"/>
    <x v="20"/>
    <x v="99"/>
    <x v="99"/>
    <s v="64-2331026-"/>
    <s v="barbara.mendez@redsalud.gob.cl"/>
    <x v="13"/>
    <m/>
    <n v="0"/>
    <m/>
    <n v="0"/>
    <n v="0"/>
    <m/>
    <x v="1"/>
    <x v="4"/>
  </r>
  <r>
    <s v="SERVICIO DE SALUD OSORNO"/>
    <s v="Bienes y Servicios"/>
    <x v="358"/>
    <s v="Proyecto operacional"/>
    <s v="Enviado"/>
    <s v="22.01-22.04"/>
    <x v="353"/>
    <s v="Contar con insumos de cafetería para ser utilizados dentro de talleres y charlas mencionadas que están dirigidos a la comunidad usuaria del servicio. Los artículos de oficina son para hacer cuadernillos de manuales y orientaciones técnicas de la unidad, también para folletería que será entregada a la comunidad funcionaria y usuaria en talleres, charlas y ferias laborales de la provincia."/>
    <n v="4"/>
    <s v="Alimentación"/>
    <n v="4"/>
    <n v="685"/>
    <n v="231"/>
    <n v="158235"/>
    <x v="4"/>
    <x v="24"/>
    <x v="74"/>
    <x v="101"/>
    <s v="64-2565640-"/>
    <s v="guisella.franco@redsalud.gob.cl"/>
    <x v="21"/>
    <m/>
    <n v="0"/>
    <m/>
    <n v="0"/>
    <n v="0"/>
    <m/>
    <x v="1"/>
    <x v="4"/>
  </r>
  <r>
    <s v="SERVICIO DE SALUD OSORNO"/>
    <s v="Bienes y Servicios"/>
    <x v="358"/>
    <s v="Proyecto operacional"/>
    <s v="Enviado"/>
    <s v="22.01-22.04"/>
    <x v="353"/>
    <s v="Contar con insumos de cafetería para ser utilizados dentro de talleres y charlas mencionadas que están dirigidos a la comunidad usuaria del servicio. Los artículos de oficina son para hacer cuadernillos de manuales y orientaciones técnicas de la unidad, también para folletería que será entregada a la comunidad funcionaria y usuaria en talleres, charlas y ferias laborales de la provincia."/>
    <n v="4"/>
    <s v="Vasos desechables"/>
    <n v="4"/>
    <n v="200"/>
    <n v="100"/>
    <n v="20000"/>
    <x v="4"/>
    <x v="25"/>
    <x v="74"/>
    <x v="101"/>
    <s v="64-2565640-"/>
    <s v="guisella.franco@redsalud.gob.cl"/>
    <x v="20"/>
    <m/>
    <n v="0"/>
    <m/>
    <n v="0"/>
    <n v="0"/>
    <m/>
    <x v="1"/>
    <x v="4"/>
  </r>
  <r>
    <s v="SERVICIO DE SALUD OSORNO"/>
    <s v="Bienes y Servicios"/>
    <x v="358"/>
    <s v="Proyecto operacional"/>
    <s v="Enviado"/>
    <s v="22.01-22.04"/>
    <x v="353"/>
    <s v="Contar con insumos de cafetería para ser utilizados dentro de talleres y charlas mencionadas que están dirigidos a la comunidad usuaria del servicio. Los artículos de oficina son para hacer cuadernillos de manuales y orientaciones técnicas de la unidad, también para folletería que será entregada a la comunidad funcionaria y usuaria en talleres, charlas y ferias laborales de la provincia."/>
    <n v="4"/>
    <s v="Servilletas"/>
    <n v="4"/>
    <n v="4"/>
    <n v="1000"/>
    <n v="4000"/>
    <x v="4"/>
    <x v="25"/>
    <x v="74"/>
    <x v="101"/>
    <s v="64-2565640-"/>
    <s v="guisella.franco@redsalud.gob.cl"/>
    <x v="20"/>
    <m/>
    <n v="0"/>
    <m/>
    <n v="0"/>
    <n v="0"/>
    <m/>
    <x v="1"/>
    <x v="4"/>
  </r>
  <r>
    <s v="SERVICIO DE SALUD OSORNO"/>
    <s v="Bienes y Servicios"/>
    <x v="358"/>
    <s v="Proyecto operacional"/>
    <s v="Enviado"/>
    <s v="22.01-22.04"/>
    <x v="353"/>
    <s v="Contar con insumos de cafetería para ser utilizados dentro de talleres y charlas mencionadas que están dirigidos a la comunidad usuaria del servicio. Los artículos de oficina son para hacer cuadernillos de manuales y orientaciones técnicas de la unidad, también para folletería que será entregada a la comunidad funcionaria y usuaria en talleres, charlas y ferias laborales de la provincia."/>
    <n v="4"/>
    <s v="Artículos de oficina"/>
    <n v="4"/>
    <n v="452"/>
    <n v="1613"/>
    <n v="729076"/>
    <x v="4"/>
    <x v="32"/>
    <x v="74"/>
    <x v="101"/>
    <s v="64-2565640-"/>
    <s v="guisella.franco@redsalud.gob.cl"/>
    <x v="19"/>
    <m/>
    <n v="0"/>
    <m/>
    <n v="0"/>
    <n v="0"/>
    <m/>
    <x v="1"/>
    <x v="4"/>
  </r>
  <r>
    <s v="SERVICIO DE SALUD OSORNO"/>
    <s v="Bienes y Servicios"/>
    <x v="359"/>
    <s v="Proyecto operacional"/>
    <s v="Enviado"/>
    <n v="2599"/>
    <x v="354"/>
    <s v="Convenio de informes radiológicos simples y mamografia, en calidad de ambulatorios y urgentes, para los Establecimientos dependientes del Servicio de Salud Osorno."/>
    <n v="2"/>
    <s v="Informes Radiografias Mamografias"/>
    <n v="4"/>
    <n v="1000"/>
    <n v="10000"/>
    <n v="10000000"/>
    <x v="11"/>
    <x v="20"/>
    <x v="99"/>
    <x v="99"/>
    <s v="64-2331026-"/>
    <s v="barbara.mendez@redsalud.gob.cl"/>
    <x v="13"/>
    <m/>
    <n v="0"/>
    <m/>
    <n v="0"/>
    <n v="0"/>
    <m/>
    <x v="1"/>
    <x v="4"/>
  </r>
  <r>
    <s v="SERVICIO DE SALUD OSORNO"/>
    <s v="Bienes y Servicios"/>
    <x v="359"/>
    <s v="Proyecto operacional"/>
    <s v="Enviado"/>
    <n v="2599"/>
    <x v="354"/>
    <s v="Convenio de informes radiológicos simples y mamografia, en calidad de ambulatorios y urgentes, para los Establecimientos dependientes del Servicio de Salud Osorno."/>
    <n v="2"/>
    <s v="Informes Radiografias Simple"/>
    <n v="4"/>
    <n v="12000"/>
    <n v="3334"/>
    <n v="40008000"/>
    <x v="11"/>
    <x v="20"/>
    <x v="99"/>
    <x v="99"/>
    <s v="64-2331026-"/>
    <s v="barbara.mendez@redsalud.gob.cl"/>
    <x v="13"/>
    <m/>
    <n v="0"/>
    <m/>
    <n v="0"/>
    <n v="0"/>
    <m/>
    <x v="1"/>
    <x v="4"/>
  </r>
  <r>
    <s v="SERVICIO DE SALUD OSORNO"/>
    <s v="Bienes y Servicios"/>
    <x v="360"/>
    <s v="Proyecto operacional"/>
    <s v="Enviado"/>
    <s v="22.01.001"/>
    <x v="355"/>
    <s v="La presente adquisición tiene como finalidad contar con los insumos y servicios necesarios para la conmemoración del día mundial de la mujer, esta jornada esta dirigida y reconocer y visibilizar el rol de las mujeres en el ámbito laboral y las personas con demencias, cuidadoras y familiares, promoviendo la equidad de genero, bienestar y participación comunitaria. Se contempla material de difusión, ambientación y alimentación. Marzo 2026."/>
    <n v="3"/>
    <s v="Alimentos"/>
    <n v="4"/>
    <n v="22"/>
    <n v="2955"/>
    <n v="65010"/>
    <x v="4"/>
    <x v="32"/>
    <x v="98"/>
    <x v="96"/>
    <s v="64-2337366-"/>
    <s v="carlos.utreras@redsalud.gob.cl"/>
    <x v="21"/>
    <m/>
    <n v="0"/>
    <m/>
    <n v="0"/>
    <n v="0"/>
    <m/>
    <x v="1"/>
    <x v="4"/>
  </r>
  <r>
    <s v="SERVICIO DE SALUD OSORNO"/>
    <s v="Bienes y Servicios"/>
    <x v="360"/>
    <s v="Proyecto operacional"/>
    <s v="Enviado"/>
    <s v="22.01.001"/>
    <x v="355"/>
    <s v="La presente adquisición tiene como finalidad contar con los insumos y servicios necesarios para la conmemoración del día mundial de la mujer, esta jornada esta dirigida y reconocer y visibilizar el rol de las mujeres en el ámbito laboral y las personas con demencias, cuidadoras y familiares, promoviendo la equidad de genero, bienestar y participación comunitaria. Se contempla material de difusión, ambientación y alimentación. Marzo 2026."/>
    <n v="3"/>
    <s v="Bolsa Regalos"/>
    <n v="4"/>
    <n v="22"/>
    <n v="2046"/>
    <n v="45012"/>
    <x v="4"/>
    <x v="32"/>
    <x v="98"/>
    <x v="96"/>
    <s v="64-2337366-"/>
    <s v="carlos.utreras@redsalud.gob.cl"/>
    <x v="21"/>
    <m/>
    <n v="0"/>
    <m/>
    <n v="0"/>
    <n v="0"/>
    <m/>
    <x v="1"/>
    <x v="4"/>
  </r>
  <r>
    <s v="SERVICIO DE SALUD OSORNO"/>
    <s v="Bienes y Servicios"/>
    <x v="360"/>
    <s v="Proyecto operacional"/>
    <s v="Enviado"/>
    <s v="22.01.001"/>
    <x v="355"/>
    <s v="La presente adquisición tiene como finalidad contar con los insumos y servicios necesarios para la conmemoración del día mundial de la mujer, esta jornada esta dirigida y reconocer y visibilizar el rol de las mujeres en el ámbito laboral y las personas con demencias, cuidadoras y familiares, promoviendo la equidad de genero, bienestar y participación comunitaria. Se contempla material de difusión, ambientación y alimentación. Marzo 2026."/>
    <n v="3"/>
    <s v="Decoración"/>
    <n v="4"/>
    <n v="22"/>
    <n v="5455"/>
    <n v="120010"/>
    <x v="4"/>
    <x v="32"/>
    <x v="98"/>
    <x v="96"/>
    <s v="64-2337366-"/>
    <s v="carlos.utreras@redsalud.gob.cl"/>
    <x v="21"/>
    <m/>
    <n v="0"/>
    <m/>
    <n v="0"/>
    <n v="0"/>
    <m/>
    <x v="1"/>
    <x v="4"/>
  </r>
  <r>
    <s v="SERVICIO DE SALUD OSORNO"/>
    <s v="Bienes y Servicios"/>
    <x v="361"/>
    <s v="Proyecto operacional"/>
    <s v="Enviado"/>
    <n v="2601"/>
    <x v="356"/>
    <s v="Mantener suministro de servicio de dosimetría, para Trabajadores Ocupacionalmente Expuestos a radiaciones Ionizantes, para los 4 trimestres del año 2026"/>
    <n v="1"/>
    <s v="Dosimetria"/>
    <n v="4"/>
    <n v="15"/>
    <n v="46667"/>
    <n v="700005"/>
    <x v="4"/>
    <x v="35"/>
    <x v="99"/>
    <x v="99"/>
    <s v="64-2331026-"/>
    <s v="barbara.mendez@redsalud.gob.cl"/>
    <x v="13"/>
    <m/>
    <n v="0"/>
    <m/>
    <n v="0"/>
    <n v="0"/>
    <m/>
    <x v="1"/>
    <x v="4"/>
  </r>
  <r>
    <s v="SERVICIO DE SALUD OSORNO"/>
    <s v="Bienes y Servicios"/>
    <x v="362"/>
    <s v="Proyecto operacional"/>
    <s v="Enviado"/>
    <s v="22.08.007"/>
    <x v="357"/>
    <s v="Servicio de movilización sin conductor, para el traslado de funcionarios mamógrafo móvil del servicio de salud Osorno."/>
    <n v="1"/>
    <s v="Convenio Movil"/>
    <n v="4"/>
    <n v="1"/>
    <n v="10000000"/>
    <n v="10000000"/>
    <x v="11"/>
    <x v="20"/>
    <x v="99"/>
    <x v="99"/>
    <s v="64-2331026-"/>
    <s v="barbara.mendez@redsalud.gob.cl"/>
    <x v="13"/>
    <m/>
    <n v="0"/>
    <m/>
    <n v="0"/>
    <n v="0"/>
    <m/>
    <x v="1"/>
    <x v="4"/>
  </r>
  <r>
    <s v="SERVICIO DE SALUD OSORNO"/>
    <s v="Administración de Fondos"/>
    <x v="363"/>
    <s v="Proyecto operacional"/>
    <s v="Enviado"/>
    <n v="2603"/>
    <x v="358"/>
    <s v="Material e insumos de Promoción, prevención y tratamiento en ADM para NNA en el marco del Programa de Resolución de Ortodoncia - Construyendo Nuevas Sonrisas Ejecución entre los meses de marzo y abril, para cierre de programa."/>
    <n v="8"/>
    <s v="Insumos Dentales"/>
    <n v="4"/>
    <n v="500"/>
    <n v="1200"/>
    <n v="600000"/>
    <x v="4"/>
    <x v="32"/>
    <x v="100"/>
    <x v="102"/>
    <s v="64-2335687-"/>
    <s v="marco.gonzalezf@redsalud.gob.cl"/>
    <x v="21"/>
    <m/>
    <n v="0"/>
    <m/>
    <n v="0"/>
    <n v="0"/>
    <m/>
    <x v="1"/>
    <x v="2"/>
  </r>
  <r>
    <s v="SERVICIO DE SALUD OSORNO"/>
    <s v="Administración de Fondos"/>
    <x v="363"/>
    <s v="Proyecto operacional"/>
    <s v="Enviado"/>
    <n v="2603"/>
    <x v="358"/>
    <s v="Material e insumos de Promoción, prevención y tratamiento en ADM para NNA en el marco del Programa de Resolución de Ortodoncia - Construyendo Nuevas Sonrisas Ejecución entre los meses de marzo y abril, para cierre de programa."/>
    <n v="8"/>
    <s v="Pendones"/>
    <n v="4"/>
    <n v="2"/>
    <n v="197770"/>
    <n v="395540"/>
    <x v="4"/>
    <x v="32"/>
    <x v="100"/>
    <x v="102"/>
    <s v="64-2335687-"/>
    <s v="marco.gonzalezf@redsalud.gob.cl"/>
    <x v="21"/>
    <m/>
    <n v="0"/>
    <m/>
    <n v="0"/>
    <n v="0"/>
    <m/>
    <x v="1"/>
    <x v="2"/>
  </r>
  <r>
    <s v="SERVICIO DE SALUD OSORNO"/>
    <s v="Administración de Fondos"/>
    <x v="363"/>
    <s v="Proyecto operacional"/>
    <s v="Enviado"/>
    <n v="2603"/>
    <x v="358"/>
    <s v="Material e insumos de Promoción, prevención y tratamiento en ADM para NNA en el marco del Programa de Resolución de Ortodoncia - Construyendo Nuevas Sonrisas Ejecución entre los meses de marzo y abril, para cierre de programa."/>
    <n v="8"/>
    <s v="Cafeteria"/>
    <n v="4"/>
    <n v="1"/>
    <n v="250000"/>
    <n v="250000"/>
    <x v="4"/>
    <x v="32"/>
    <x v="100"/>
    <x v="102"/>
    <s v="64-2335687-"/>
    <s v="marco.gonzalezf@redsalud.gob.cl"/>
    <x v="21"/>
    <m/>
    <n v="0"/>
    <m/>
    <n v="0"/>
    <n v="0"/>
    <m/>
    <x v="1"/>
    <x v="2"/>
  </r>
  <r>
    <s v="SERVICIO DE SALUD OSORNO"/>
    <s v="Administración de Fondos"/>
    <x v="363"/>
    <s v="Proyecto operacional"/>
    <s v="Enviado"/>
    <n v="2603"/>
    <x v="358"/>
    <s v="Material e insumos de Promoción, prevención y tratamiento en ADM para NNA en el marco del Programa de Resolución de Ortodoncia - Construyendo Nuevas Sonrisas Ejecución entre los meses de marzo y abril, para cierre de programa."/>
    <n v="8"/>
    <s v="Bolsas Ecologicas"/>
    <n v="4"/>
    <n v="1000"/>
    <n v="930"/>
    <n v="930000"/>
    <x v="4"/>
    <x v="32"/>
    <x v="100"/>
    <x v="102"/>
    <s v="64-2335687-"/>
    <s v="marco.gonzalezf@redsalud.gob.cl"/>
    <x v="21"/>
    <m/>
    <n v="0"/>
    <m/>
    <n v="0"/>
    <n v="0"/>
    <m/>
    <x v="1"/>
    <x v="2"/>
  </r>
  <r>
    <s v="SERVICIO DE SALUD OSORNO"/>
    <s v="Administración de Fondos"/>
    <x v="363"/>
    <s v="Proyecto operacional"/>
    <s v="Enviado"/>
    <n v="2603"/>
    <x v="358"/>
    <s v="Material e insumos de Promoción, prevención y tratamiento en ADM para NNA en el marco del Programa de Resolución de Ortodoncia - Construyendo Nuevas Sonrisas Ejecución entre los meses de marzo y abril, para cierre de programa."/>
    <n v="8"/>
    <s v="Servicios de Impresion"/>
    <n v="4"/>
    <n v="1"/>
    <n v="1200000"/>
    <n v="1200000"/>
    <x v="4"/>
    <x v="32"/>
    <x v="100"/>
    <x v="102"/>
    <s v="64-2335687-"/>
    <s v="marco.gonzalezf@redsalud.gob.cl"/>
    <x v="21"/>
    <m/>
    <n v="0"/>
    <m/>
    <n v="0"/>
    <n v="0"/>
    <m/>
    <x v="1"/>
    <x v="2"/>
  </r>
  <r>
    <s v="SERVICIO DE SALUD OSORNO"/>
    <s v="Administración de Fondos"/>
    <x v="363"/>
    <s v="Proyecto operacional"/>
    <s v="Enviado"/>
    <n v="2603"/>
    <x v="358"/>
    <s v="Material e insumos de Promoción, prevención y tratamiento en ADM para NNA en el marco del Programa de Resolución de Ortodoncia - Construyendo Nuevas Sonrisas Ejecución entre los meses de marzo y abril, para cierre de programa."/>
    <n v="8"/>
    <s v="Material de Oficina"/>
    <n v="4"/>
    <n v="1000"/>
    <n v="1164"/>
    <n v="1164000"/>
    <x v="4"/>
    <x v="32"/>
    <x v="100"/>
    <x v="102"/>
    <s v="64-2335687-"/>
    <s v="marco.gonzalezf@redsalud.gob.cl"/>
    <x v="21"/>
    <m/>
    <n v="0"/>
    <m/>
    <n v="0"/>
    <n v="0"/>
    <m/>
    <x v="1"/>
    <x v="2"/>
  </r>
  <r>
    <s v="SERVICIO DE SALUD OSORNO"/>
    <s v="Administración de Fondos"/>
    <x v="363"/>
    <s v="Proyecto operacional"/>
    <s v="Enviado"/>
    <n v="2603"/>
    <x v="358"/>
    <s v="Material e insumos de Promoción, prevención y tratamiento en ADM para NNA en el marco del Programa de Resolución de Ortodoncia - Construyendo Nuevas Sonrisas Ejecución entre los meses de marzo y abril, para cierre de programa."/>
    <n v="8"/>
    <s v="Insumos Clinicos"/>
    <n v="4"/>
    <n v="1000"/>
    <n v="1195"/>
    <n v="1195000"/>
    <x v="4"/>
    <x v="32"/>
    <x v="100"/>
    <x v="102"/>
    <s v="64-2335687-"/>
    <s v="marco.gonzalezf@redsalud.gob.cl"/>
    <x v="21"/>
    <m/>
    <n v="0"/>
    <m/>
    <n v="0"/>
    <n v="0"/>
    <m/>
    <x v="1"/>
    <x v="2"/>
  </r>
  <r>
    <s v="SERVICIO DE SALUD OSORNO"/>
    <s v="Administración de Fondos"/>
    <x v="363"/>
    <s v="Proyecto operacional"/>
    <s v="Enviado"/>
    <n v="2603"/>
    <x v="358"/>
    <s v="Material e insumos de Promoción, prevención y tratamiento en ADM para NNA en el marco del Programa de Resolución de Ortodoncia - Construyendo Nuevas Sonrisas Ejecución entre los meses de marzo y abril, para cierre de programa."/>
    <n v="8"/>
    <s v="Kit Limpieza"/>
    <n v="4"/>
    <n v="500"/>
    <n v="3700"/>
    <n v="1850000"/>
    <x v="4"/>
    <x v="32"/>
    <x v="100"/>
    <x v="102"/>
    <s v="64-2335687-"/>
    <s v="marco.gonzalezf@redsalud.gob.cl"/>
    <x v="21"/>
    <m/>
    <n v="0"/>
    <m/>
    <n v="0"/>
    <n v="0"/>
    <m/>
    <x v="1"/>
    <x v="2"/>
  </r>
  <r>
    <s v="SERVICIO DE SALUD OSORNO"/>
    <s v="Activos Fijos"/>
    <x v="364"/>
    <s v="Proyecto operacional"/>
    <s v="Enviado"/>
    <n v="2505"/>
    <x v="282"/>
    <s v="Adquisición de productos e insumos para la prevención, promoción, localización de casos, diagnostico y adherencia al tratamiento de usuarios/as con Tuberculosis."/>
    <n v="2"/>
    <s v="Bodega Lata"/>
    <n v="4"/>
    <n v="15"/>
    <n v="1200000"/>
    <n v="18000000"/>
    <x v="4"/>
    <x v="25"/>
    <x v="101"/>
    <x v="81"/>
    <s v="64-2335465-"/>
    <s v="mariapaz.gomez.n@redsalud.gob.cl"/>
    <x v="15"/>
    <m/>
    <n v="0"/>
    <m/>
    <n v="0"/>
    <n v="0"/>
    <m/>
    <x v="1"/>
    <x v="5"/>
  </r>
  <r>
    <s v="SERVICIO DE SALUD OSORNO"/>
    <s v="Activos Fijos"/>
    <x v="364"/>
    <s v="Proyecto operacional"/>
    <s v="Enviado"/>
    <n v="2505"/>
    <x v="282"/>
    <s v="Adquisición de productos e insumos para la prevención, promoción, localización de casos, diagnostico y adherencia al tratamiento de usuarios/as con Tuberculosis."/>
    <n v="2"/>
    <s v="Balanza"/>
    <n v="4"/>
    <n v="1"/>
    <n v="1000000"/>
    <n v="1000000"/>
    <x v="4"/>
    <x v="25"/>
    <x v="101"/>
    <x v="81"/>
    <s v="64-2335465-"/>
    <s v="mariapaz.gomez.n@redsalud.gob.cl"/>
    <x v="15"/>
    <m/>
    <n v="0"/>
    <m/>
    <n v="0"/>
    <n v="0"/>
    <m/>
    <x v="1"/>
    <x v="5"/>
  </r>
  <r>
    <s v="SERVICIO DE SALUD OSORNO"/>
    <s v="Bienes y Servicios"/>
    <x v="365"/>
    <s v="Proyecto operacional"/>
    <s v="Enviado"/>
    <n v="2169"/>
    <x v="359"/>
    <s v="En el contexto de atención clínica a los usuarios del dispositivo COSAM Rahue, se mantiene presente la necesidad de contar con insumos clínicos y no clínicos para la realización procedimientos de enfermería los cuales son parte importante del tratamiento establecido para el cumplimiento de los objetivos terapéuticos del usuario durante su proceso de salud-enfermedad. Esto debido a que las cantidades que se requieren para hacer pedido en CENABAST son mucho mayores a las que se utilizan en el dispositivo. Además, se requieren ciertos insumos para"/>
    <n v="6"/>
    <s v="Insumos Computacionales"/>
    <n v="4"/>
    <n v="5"/>
    <n v="12000"/>
    <n v="60000"/>
    <x v="4"/>
    <x v="35"/>
    <x v="41"/>
    <x v="46"/>
    <s v="64-2335608-"/>
    <s v="camilo.martinez@redsalud.gob.cl"/>
    <x v="13"/>
    <m/>
    <n v="0"/>
    <m/>
    <n v="0"/>
    <n v="0"/>
    <m/>
    <x v="1"/>
    <x v="4"/>
  </r>
  <r>
    <s v="SERVICIO DE SALUD OSORNO"/>
    <s v="Bienes y Servicios"/>
    <x v="365"/>
    <s v="Proyecto operacional"/>
    <s v="Enviado"/>
    <n v="2169"/>
    <x v="359"/>
    <s v="En el contexto de atención clínica a los usuarios del dispositivo COSAM Rahue, se mantiene presente la necesidad de contar con insumos clínicos y no clínicos para la realización procedimientos de enfermería los cuales son parte importante del tratamiento establecido para el cumplimiento de los objetivos terapéuticos del usuario durante su proceso de salud-enfermedad. Esto debido a que las cantidades que se requieren para hacer pedido en CENABAST son mucho mayores a las que se utilizan en el dispositivo. Además, se requieren ciertos insumos para"/>
    <n v="6"/>
    <s v="Insumos Clínicos"/>
    <n v="4"/>
    <n v="100"/>
    <n v="8150"/>
    <n v="815000"/>
    <x v="4"/>
    <x v="35"/>
    <x v="41"/>
    <x v="46"/>
    <s v="64-2335608-"/>
    <s v="camilo.martinez@redsalud.gob.cl"/>
    <x v="13"/>
    <m/>
    <n v="0"/>
    <m/>
    <n v="0"/>
    <n v="0"/>
    <m/>
    <x v="1"/>
    <x v="4"/>
  </r>
  <r>
    <s v="SERVICIO DE SALUD OSORNO"/>
    <s v="Bienes y Servicios"/>
    <x v="365"/>
    <s v="Proyecto operacional"/>
    <s v="Enviado"/>
    <n v="2169"/>
    <x v="359"/>
    <s v="En el contexto de atención clínica a los usuarios del dispositivo COSAM Rahue, se mantiene presente la necesidad de contar con insumos clínicos y no clínicos para la realización procedimientos de enfermería los cuales son parte importante del tratamiento establecido para el cumplimiento de los objetivos terapéuticos del usuario durante su proceso de salud-enfermedad. Esto debido a que las cantidades que se requieren para hacer pedido en CENABAST son mucho mayores a las que se utilizan en el dispositivo. Además, se requieren ciertos insumos para"/>
    <n v="6"/>
    <s v="Riñones"/>
    <n v="4"/>
    <n v="20"/>
    <n v="41650"/>
    <n v="833000"/>
    <x v="4"/>
    <x v="35"/>
    <x v="41"/>
    <x v="46"/>
    <s v="64-2335608-"/>
    <s v="camilo.martinez@redsalud.gob.cl"/>
    <x v="13"/>
    <m/>
    <n v="0"/>
    <m/>
    <n v="0"/>
    <n v="0"/>
    <m/>
    <x v="1"/>
    <x v="4"/>
  </r>
  <r>
    <s v="SERVICIO DE SALUD OSORNO"/>
    <s v="Bienes y Servicios"/>
    <x v="365"/>
    <s v="Proyecto operacional"/>
    <s v="Enviado"/>
    <n v="2169"/>
    <x v="359"/>
    <s v="En el contexto de atención clínica a los usuarios del dispositivo COSAM Rahue, se mantiene presente la necesidad de contar con insumos clínicos y no clínicos para la realización procedimientos de enfermería los cuales son parte importante del tratamiento establecido para el cumplimiento de los objetivos terapéuticos del usuario durante su proceso de salud-enfermedad. Esto debido a que las cantidades que se requieren para hacer pedido en CENABAST son mucho mayores a las que se utilizan en el dispositivo. Además, se requieren ciertos insumos para"/>
    <n v="6"/>
    <s v="Test"/>
    <n v="4"/>
    <n v="6"/>
    <n v="91667"/>
    <n v="550002"/>
    <x v="4"/>
    <x v="35"/>
    <x v="41"/>
    <x v="46"/>
    <s v="64-2335608-"/>
    <s v="camilo.martinez@redsalud.gob.cl"/>
    <x v="13"/>
    <m/>
    <n v="0"/>
    <m/>
    <n v="0"/>
    <n v="0"/>
    <m/>
    <x v="1"/>
    <x v="4"/>
  </r>
  <r>
    <s v="SERVICIO DE SALUD OSORNO"/>
    <s v="Bienes y Servicios"/>
    <x v="365"/>
    <s v="Proyecto operacional"/>
    <s v="Enviado"/>
    <n v="2169"/>
    <x v="359"/>
    <s v="En el contexto de atención clínica a los usuarios del dispositivo COSAM Rahue, se mantiene presente la necesidad de contar con insumos clínicos y no clínicos para la realización procedimientos de enfermería los cuales son parte importante del tratamiento establecido para el cumplimiento de los objetivos terapéuticos del usuario durante su proceso de salud-enfermedad. Esto debido a que las cantidades que se requieren para hacer pedido en CENABAST son mucho mayores a las que se utilizan en el dispositivo. Además, se requieren ciertos insumos para"/>
    <n v="6"/>
    <s v="Accesorios"/>
    <n v="4"/>
    <n v="24"/>
    <n v="11667"/>
    <n v="280008"/>
    <x v="4"/>
    <x v="35"/>
    <x v="41"/>
    <x v="46"/>
    <s v="64-2335608-"/>
    <s v="camilo.martinez@redsalud.gob.cl"/>
    <x v="13"/>
    <m/>
    <n v="0"/>
    <m/>
    <n v="0"/>
    <n v="0"/>
    <m/>
    <x v="1"/>
    <x v="4"/>
  </r>
  <r>
    <s v="SERVICIO DE SALUD OSORNO"/>
    <s v="Bienes y Servicios"/>
    <x v="365"/>
    <s v="Proyecto operacional"/>
    <s v="Enviado"/>
    <n v="2169"/>
    <x v="359"/>
    <s v="En el contexto de atención clínica a los usuarios del dispositivo COSAM Rahue, se mantiene presente la necesidad de contar con insumos clínicos y no clínicos para la realización procedimientos de enfermería los cuales son parte importante del tratamiento establecido para el cumplimiento de los objetivos terapéuticos del usuario durante su proceso de salud-enfermedad. Esto debido a que las cantidades que se requieren para hacer pedido en CENABAST son mucho mayores a las que se utilizan en el dispositivo. Además, se requieren ciertos insumos para"/>
    <n v="6"/>
    <s v="Termohidrometro"/>
    <n v="4"/>
    <n v="4"/>
    <n v="25000"/>
    <n v="100000"/>
    <x v="4"/>
    <x v="35"/>
    <x v="41"/>
    <x v="46"/>
    <s v="64-2335608-"/>
    <s v="camilo.martinez@redsalud.gob.cl"/>
    <x v="13"/>
    <m/>
    <n v="0"/>
    <m/>
    <n v="0"/>
    <n v="0"/>
    <m/>
    <x v="1"/>
    <x v="4"/>
  </r>
  <r>
    <s v="SERVICIO DE SALUD OSORNO"/>
    <s v="Bienes y Servicios"/>
    <x v="366"/>
    <s v="Proyecto estratégico"/>
    <s v="Enviado"/>
    <s v="22.01-22.04"/>
    <x v="360"/>
    <s v="Realizar capacitación en formación de facilitadores taller de habilidades parentales Nadie es Perfecto a profesionales de la red asistencial."/>
    <n v="3"/>
    <s v="Servicio de cafetería"/>
    <n v="4"/>
    <n v="15"/>
    <n v="24000"/>
    <n v="360000"/>
    <x v="4"/>
    <x v="25"/>
    <x v="102"/>
    <x v="103"/>
    <s v="64-2565829-"/>
    <s v="estrella.azocarv@redsalud.gob.cl"/>
    <x v="20"/>
    <m/>
    <n v="0"/>
    <m/>
    <n v="0"/>
    <n v="0"/>
    <m/>
    <x v="1"/>
    <x v="4"/>
  </r>
  <r>
    <s v="SERVICIO DE SALUD OSORNO"/>
    <s v="Bienes y Servicios"/>
    <x v="366"/>
    <s v="Proyecto estratégico"/>
    <s v="Enviado"/>
    <s v="22.01-22.04"/>
    <x v="360"/>
    <s v="Realizar capacitación en formación de facilitadores taller de habilidades parentales Nadie es Perfecto a profesionales de la red asistencial."/>
    <n v="3"/>
    <s v="Artículos de librería y oficina"/>
    <n v="4"/>
    <n v="955"/>
    <n v="717"/>
    <n v="684735"/>
    <x v="4"/>
    <x v="25"/>
    <x v="102"/>
    <x v="103"/>
    <s v="64-2565829-"/>
    <s v="estrella.azocarv@redsalud.gob.cl"/>
    <x v="20"/>
    <m/>
    <n v="0"/>
    <m/>
    <n v="0"/>
    <n v="0"/>
    <m/>
    <x v="1"/>
    <x v="4"/>
  </r>
  <r>
    <s v="SERVICIO DE SALUD OSORNO"/>
    <s v="Bienes y Servicios"/>
    <x v="366"/>
    <s v="Proyecto estratégico"/>
    <s v="Enviado"/>
    <s v="22.01-22.04"/>
    <x v="360"/>
    <s v="Realizar capacitación en formación de facilitadores taller de habilidades parentales Nadie es Perfecto a profesionales de la red asistencial."/>
    <n v="3"/>
    <s v="Material didáctico y educativo"/>
    <n v="4"/>
    <n v="157"/>
    <n v="1300"/>
    <n v="204100"/>
    <x v="4"/>
    <x v="25"/>
    <x v="102"/>
    <x v="103"/>
    <s v="64-2565829-"/>
    <s v="estrella.azocarv@redsalud.gob.cl"/>
    <x v="20"/>
    <m/>
    <n v="0"/>
    <m/>
    <n v="0"/>
    <n v="0"/>
    <m/>
    <x v="1"/>
    <x v="4"/>
  </r>
  <r>
    <s v="SERVICIO DE SALUD OSORNO"/>
    <s v="Bienes y Servicios"/>
    <x v="367"/>
    <s v="Proyecto operacional"/>
    <s v="Enviado"/>
    <s v="22.04"/>
    <x v="361"/>
    <s v="Proveer de insumos de higiene, limpieza para mantención de Edificio Matta."/>
    <n v="5"/>
    <s v="Alcohol gel"/>
    <n v="4"/>
    <n v="30"/>
    <n v="1500"/>
    <n v="45000"/>
    <x v="4"/>
    <x v="24"/>
    <x v="81"/>
    <x v="80"/>
    <s v="64-2567363-"/>
    <s v="ximena.campos@redsalud.gob.cl"/>
    <x v="21"/>
    <m/>
    <n v="0"/>
    <m/>
    <n v="0"/>
    <n v="0"/>
    <m/>
    <x v="1"/>
    <x v="4"/>
  </r>
  <r>
    <s v="SERVICIO DE SALUD OSORNO"/>
    <s v="Bienes y Servicios"/>
    <x v="367"/>
    <s v="Proyecto operacional"/>
    <s v="Enviado"/>
    <s v="22.04"/>
    <x v="361"/>
    <s v="Proveer de insumos de higiene, limpieza para mantención de Edificio Matta."/>
    <n v="5"/>
    <s v="Bloqueador solar, cinta, guantes, spray, barretilla"/>
    <n v="4"/>
    <n v="30"/>
    <n v="4100"/>
    <n v="123000"/>
    <x v="4"/>
    <x v="24"/>
    <x v="81"/>
    <x v="80"/>
    <s v="64-2567363-"/>
    <s v="ximena.campos@redsalud.gob.cl"/>
    <x v="21"/>
    <m/>
    <n v="0"/>
    <m/>
    <n v="0"/>
    <n v="0"/>
    <m/>
    <x v="1"/>
    <x v="4"/>
  </r>
  <r>
    <s v="SERVICIO DE SALUD OSORNO"/>
    <s v="Bienes y Servicios"/>
    <x v="367"/>
    <s v="Proyecto operacional"/>
    <s v="Enviado"/>
    <s v="22.04"/>
    <x v="361"/>
    <s v="Proveer de insumos de higiene, limpieza para mantención de Edificio Matta."/>
    <n v="5"/>
    <s v="Útiles de aseo"/>
    <n v="4"/>
    <n v="56"/>
    <n v="8929"/>
    <n v="500024"/>
    <x v="4"/>
    <x v="24"/>
    <x v="81"/>
    <x v="80"/>
    <s v="64-2567363-"/>
    <s v="ximena.campos@redsalud.gob.cl"/>
    <x v="21"/>
    <m/>
    <n v="0"/>
    <m/>
    <n v="0"/>
    <n v="0"/>
    <m/>
    <x v="1"/>
    <x v="4"/>
  </r>
  <r>
    <s v="SERVICIO DE SALUD OSORNO"/>
    <s v="Bienes y Servicios"/>
    <x v="367"/>
    <s v="Proyecto operacional"/>
    <s v="Enviado"/>
    <s v="22.04"/>
    <x v="361"/>
    <s v="Proveer de insumos de higiene, limpieza para mantención de Edificio Matta."/>
    <n v="5"/>
    <s v="Artículos de jardinería"/>
    <n v="4"/>
    <n v="21"/>
    <n v="8334"/>
    <n v="175014"/>
    <x v="4"/>
    <x v="33"/>
    <x v="81"/>
    <x v="80"/>
    <s v="64-2567363-"/>
    <s v="ximena.campos@redsalud.gob.cl"/>
    <x v="15"/>
    <m/>
    <n v="0"/>
    <m/>
    <n v="0"/>
    <n v="0"/>
    <m/>
    <x v="1"/>
    <x v="4"/>
  </r>
  <r>
    <s v="SERVICIO DE SALUD OSORNO"/>
    <s v="Bienes y Servicios"/>
    <x v="367"/>
    <s v="Proyecto operacional"/>
    <s v="Enviado"/>
    <s v="22.04"/>
    <x v="361"/>
    <s v="Proveer de insumos de higiene, limpieza para mantención de Edificio Matta."/>
    <n v="5"/>
    <s v="Cerraduras"/>
    <n v="4"/>
    <n v="1"/>
    <n v="40000"/>
    <n v="40000"/>
    <x v="4"/>
    <x v="24"/>
    <x v="81"/>
    <x v="80"/>
    <s v="64-2567363-"/>
    <s v="ximena.campos@redsalud.gob.cl"/>
    <x v="21"/>
    <m/>
    <n v="0"/>
    <m/>
    <n v="0"/>
    <n v="0"/>
    <m/>
    <x v="1"/>
    <x v="4"/>
  </r>
  <r>
    <s v="SERVICIO DE SALUD OSORNO"/>
    <s v="Activos Fijos"/>
    <x v="368"/>
    <s v="Proyecto operacional"/>
    <s v="Enviado"/>
    <n v="2579"/>
    <x v="362"/>
    <s v="Adquisición de taladro percutor inalambrico con mandril 13mm y taladro atornillador inalambrico con mandril de 13mm"/>
    <n v="1"/>
    <s v="Atornillador"/>
    <n v="4"/>
    <n v="1"/>
    <n v="300000"/>
    <n v="300000"/>
    <x v="4"/>
    <x v="35"/>
    <x v="44"/>
    <x v="58"/>
    <s v="64-2335588-"/>
    <s v="roberto.nunez@redsalud.gob.cl"/>
    <x v="13"/>
    <m/>
    <n v="0"/>
    <m/>
    <n v="0"/>
    <n v="0"/>
    <m/>
    <x v="1"/>
    <x v="5"/>
  </r>
  <r>
    <s v="SERVICIO DE SALUD OSORNO"/>
    <s v="Bienes y Servicios"/>
    <x v="369"/>
    <s v="Proyecto operacional"/>
    <s v="Enviado"/>
    <n v="2185"/>
    <x v="363"/>
    <s v="Compra de articulos de escritorio para el funiconamiento del Equipo Rural de Rehabilitación (marzo 2026)"/>
    <n v="1"/>
    <s v="Material de Oficina"/>
    <n v="4"/>
    <n v="340"/>
    <n v="1442"/>
    <n v="490280"/>
    <x v="4"/>
    <x v="32"/>
    <x v="37"/>
    <x v="42"/>
    <s v="64-2335807-"/>
    <s v="karin.avila@redsalud.gob.cl"/>
    <x v="21"/>
    <m/>
    <n v="0"/>
    <m/>
    <n v="0"/>
    <n v="0"/>
    <m/>
    <x v="1"/>
    <x v="4"/>
  </r>
  <r>
    <s v="SERVICIO DE SALUD OSORNO"/>
    <s v="Bienes y Servicios"/>
    <x v="370"/>
    <s v="Proyecto estratégico"/>
    <s v="Enviado"/>
    <n v="2583"/>
    <x v="364"/>
    <s v="Renovación de toma de presión de brazo digital para control de pacientes cuando acuden a controles presenciales como también para la implementación del bolso de Visitas domiciliarias en la provincia de Osorno. Lo anterior para adquirirlo durante el mes de abril 2026."/>
    <n v="1"/>
    <s v="Toma de presión digital"/>
    <n v="4"/>
    <n v="2"/>
    <n v="35000"/>
    <n v="70000"/>
    <x v="4"/>
    <x v="31"/>
    <x v="81"/>
    <x v="80"/>
    <s v="64-2337363-"/>
    <s v="ximena.campos@redsalud.gob.cl"/>
    <x v="14"/>
    <m/>
    <n v="0"/>
    <m/>
    <n v="0"/>
    <n v="0"/>
    <m/>
    <x v="1"/>
    <x v="4"/>
  </r>
  <r>
    <s v="SERVICIO DE SALUD OSORNO"/>
    <s v="Bienes y Servicios"/>
    <x v="371"/>
    <s v="Proyecto operacional"/>
    <s v="Enviado"/>
    <n v="2203"/>
    <x v="100"/>
    <s v="Compra de Insumos de cafetería para atención a los asistentes a las reuniones teniendo en cuenta que el desplazamiento desde las comunas a Osorno debe ser temprano por un tema de frecuencia de los buses. Esto contempla un aproximado de 34 reuniones que van desde marzo a diciembre, con un promedio de 970 personas."/>
    <n v="2"/>
    <s v="Alimentación"/>
    <n v="4"/>
    <n v="16890"/>
    <n v="135"/>
    <n v="2280150"/>
    <x v="4"/>
    <x v="32"/>
    <x v="103"/>
    <x v="104"/>
    <s v="64-2335836-"/>
    <s v="daniel.pereira.v@redsalud.gob.cl"/>
    <x v="21"/>
    <m/>
    <n v="0"/>
    <m/>
    <n v="0"/>
    <n v="0"/>
    <m/>
    <x v="1"/>
    <x v="4"/>
  </r>
  <r>
    <s v="SERVICIO DE SALUD OSORNO"/>
    <s v="Bienes y Servicios"/>
    <x v="371"/>
    <s v="Proyecto operacional"/>
    <s v="Enviado"/>
    <n v="2203"/>
    <x v="100"/>
    <s v="Compra de Insumos de cafetería para atención a los asistentes a las reuniones teniendo en cuenta que el desplazamiento desde las comunas a Osorno debe ser temprano por un tema de frecuencia de los buses. Esto contempla un aproximado de 34 reuniones que van desde marzo a diciembre, con un promedio de 970 personas."/>
    <n v="2"/>
    <s v="Menaje"/>
    <n v="4"/>
    <n v="1120"/>
    <n v="173"/>
    <n v="193760"/>
    <x v="4"/>
    <x v="32"/>
    <x v="103"/>
    <x v="104"/>
    <s v="64-2335836-"/>
    <s v="daniel.pereira.v@redsalud.gob.cl"/>
    <x v="21"/>
    <m/>
    <n v="0"/>
    <m/>
    <n v="0"/>
    <n v="0"/>
    <m/>
    <x v="1"/>
    <x v="4"/>
  </r>
  <r>
    <s v="SERVICIO DE SALUD OSORNO"/>
    <s v="Administración de Fondos"/>
    <x v="372"/>
    <s v="Proyecto operacional"/>
    <s v="Enviado"/>
    <n v="2207"/>
    <x v="365"/>
    <s v="Ambos talleres serán realizados desde marzo a diciembre de 2026, por lo que se solicita realizar la compra en febrero de 2026."/>
    <n v="1"/>
    <s v="Material de Enseñanza"/>
    <n v="4"/>
    <n v="120"/>
    <n v="2919"/>
    <n v="350280"/>
    <x v="4"/>
    <x v="32"/>
    <x v="44"/>
    <x v="24"/>
    <s v="64-2335610-"/>
    <s v="pedro.fritz@redsalud.gob.cl"/>
    <x v="21"/>
    <m/>
    <n v="0"/>
    <m/>
    <n v="0"/>
    <n v="0"/>
    <m/>
    <x v="1"/>
    <x v="2"/>
  </r>
  <r>
    <s v="SERVICIO DE SALUD OSORNO"/>
    <s v="Bienes y Servicios"/>
    <x v="373"/>
    <s v="Proyecto operacional"/>
    <s v="Enviado"/>
    <n v="2582"/>
    <x v="338"/>
    <s v="Realizar olimpiadas del adolescente en contexto de prevención de obesidad"/>
    <n v="1"/>
    <s v="Toldos"/>
    <n v="4"/>
    <n v="4"/>
    <n v="50000"/>
    <n v="200000"/>
    <x v="4"/>
    <x v="32"/>
    <x v="73"/>
    <x v="75"/>
    <s v="64-2335806-"/>
    <s v="francisca.contreras.c@redsalud.gob.cl"/>
    <x v="19"/>
    <m/>
    <n v="0"/>
    <m/>
    <n v="0"/>
    <n v="0"/>
    <m/>
    <x v="1"/>
    <x v="4"/>
  </r>
  <r>
    <s v="SERVICIO DE SALUD OSORNO"/>
    <s v="Administración de Fondos"/>
    <x v="374"/>
    <s v="Proyecto operacional"/>
    <s v="Enviado"/>
    <n v="2210"/>
    <x v="366"/>
    <s v="Taller se ejecuta durante todo el año, mes de enero en pausa, para comenzar en febrero, por lo que se necesitan los materiales en mes de febrero."/>
    <n v="1"/>
    <s v="Material de Enseñanza"/>
    <n v="4"/>
    <n v="360"/>
    <n v="1406"/>
    <n v="506160"/>
    <x v="4"/>
    <x v="32"/>
    <x v="44"/>
    <x v="24"/>
    <s v="64-2335610-"/>
    <s v="pedro.fritz@redsalud.gob.cl"/>
    <x v="19"/>
    <m/>
    <n v="0"/>
    <m/>
    <n v="0"/>
    <n v="0"/>
    <m/>
    <x v="1"/>
    <x v="2"/>
  </r>
  <r>
    <s v="SERVICIO DE SALUD OSORNO"/>
    <s v="Bienes y Servicios"/>
    <x v="375"/>
    <s v="Proyecto operacional"/>
    <s v="Enviado"/>
    <n v="2266"/>
    <x v="367"/>
    <s v="Adquirir diversos materiales de escritorio y papelería, materiales de buena calidad, en variedad de colores, con características de resistencia y que por su calidad y variedad permitan desarrollar actividades creativas y diversas. Se habilita el stock de insumos del taller de manualidades de acuerdo con las actividades manuales que se han programado para el presente año. Tanto para la Unidad Ambulatoria y Residencial de la Comunidad Terapéutica Peulla."/>
    <n v="6"/>
    <s v="Artículos de Ferretería"/>
    <n v="4"/>
    <n v="620"/>
    <n v="554"/>
    <n v="343480"/>
    <x v="4"/>
    <x v="31"/>
    <x v="43"/>
    <x v="48"/>
    <s v="64-2335492-"/>
    <s v="CAROLINA.SILVALL@REDSALUD.GOB.CL"/>
    <x v="14"/>
    <m/>
    <n v="0"/>
    <m/>
    <n v="0"/>
    <n v="0"/>
    <m/>
    <x v="1"/>
    <x v="4"/>
  </r>
  <r>
    <s v="SERVICIO DE SALUD OSORNO"/>
    <s v="Bienes y Servicios"/>
    <x v="375"/>
    <s v="Proyecto operacional"/>
    <s v="Enviado"/>
    <n v="2266"/>
    <x v="367"/>
    <s v="Adquirir diversos materiales de escritorio y papelería, materiales de buena calidad, en variedad de colores, con características de resistencia y que por su calidad y variedad permitan desarrollar actividades creativas y diversas. Se habilita el stock de insumos del taller de manualidades de acuerdo con las actividades manuales que se han programado para el presente año. Tanto para la Unidad Ambulatoria y Residencial de la Comunidad Terapéutica Peulla."/>
    <n v="6"/>
    <s v="Esencias Aromaterapia"/>
    <n v="4"/>
    <n v="5"/>
    <n v="20000"/>
    <n v="100000"/>
    <x v="4"/>
    <x v="31"/>
    <x v="43"/>
    <x v="48"/>
    <s v="64-2335492-"/>
    <s v="CAROLINA.SILVALL@REDSALUD.GOB.CL"/>
    <x v="14"/>
    <m/>
    <n v="0"/>
    <m/>
    <n v="0"/>
    <n v="0"/>
    <m/>
    <x v="1"/>
    <x v="4"/>
  </r>
  <r>
    <s v="SERVICIO DE SALUD OSORNO"/>
    <s v="Bienes y Servicios"/>
    <x v="375"/>
    <s v="Proyecto operacional"/>
    <s v="Enviado"/>
    <n v="2266"/>
    <x v="367"/>
    <s v="Adquirir diversos materiales de escritorio y papelería, materiales de buena calidad, en variedad de colores, con características de resistencia y que por su calidad y variedad permitan desarrollar actividades creativas y diversas. Se habilita el stock de insumos del taller de manualidades de acuerdo con las actividades manuales que se han programado para el presente año. Tanto para la Unidad Ambulatoria y Residencial de la Comunidad Terapéutica Peulla."/>
    <n v="6"/>
    <s v="Artículos de Librería"/>
    <n v="4"/>
    <n v="180"/>
    <n v="1278"/>
    <n v="230040"/>
    <x v="4"/>
    <x v="31"/>
    <x v="43"/>
    <x v="48"/>
    <s v="64-2335492-"/>
    <s v="CAROLINA.SILVALL@REDSALUD.GOB.CL"/>
    <x v="14"/>
    <m/>
    <n v="0"/>
    <m/>
    <n v="0"/>
    <n v="0"/>
    <m/>
    <x v="1"/>
    <x v="4"/>
  </r>
  <r>
    <s v="SERVICIO DE SALUD OSORNO"/>
    <s v="Bienes y Servicios"/>
    <x v="375"/>
    <s v="Proyecto operacional"/>
    <s v="Enviado"/>
    <n v="2266"/>
    <x v="367"/>
    <s v="Adquirir diversos materiales de escritorio y papelería, materiales de buena calidad, en variedad de colores, con características de resistencia y que por su calidad y variedad permitan desarrollar actividades creativas y diversas. Se habilita el stock de insumos del taller de manualidades de acuerdo con las actividades manuales que se han programado para el presente año. Tanto para la Unidad Ambulatoria y Residencial de la Comunidad Terapéutica Peulla."/>
    <n v="6"/>
    <s v="Material Ergoterapia"/>
    <n v="4"/>
    <n v="300"/>
    <n v="7881"/>
    <n v="2364300"/>
    <x v="4"/>
    <x v="31"/>
    <x v="43"/>
    <x v="48"/>
    <s v="64-2335492-"/>
    <s v="CAROLINA.SILVALL@REDSALUD.GOB.CL"/>
    <x v="14"/>
    <m/>
    <n v="0"/>
    <m/>
    <n v="0"/>
    <n v="0"/>
    <m/>
    <x v="1"/>
    <x v="4"/>
  </r>
  <r>
    <s v="SERVICIO DE SALUD OSORNO"/>
    <s v="Bienes y Servicios"/>
    <x v="375"/>
    <s v="Proyecto operacional"/>
    <s v="Enviado"/>
    <n v="2266"/>
    <x v="367"/>
    <s v="Adquirir diversos materiales de escritorio y papelería, materiales de buena calidad, en variedad de colores, con características de resistencia y que por su calidad y variedad permitan desarrollar actividades creativas y diversas. Se habilita el stock de insumos del taller de manualidades de acuerdo con las actividades manuales que se han programado para el presente año. Tanto para la Unidad Ambulatoria y Residencial de la Comunidad Terapéutica Peulla."/>
    <n v="6"/>
    <s v="Artículos de Oficina"/>
    <n v="4"/>
    <n v="115"/>
    <n v="1914"/>
    <n v="220110"/>
    <x v="4"/>
    <x v="31"/>
    <x v="43"/>
    <x v="48"/>
    <s v="64-2335492-"/>
    <s v="CAROLINA.SILVALL@REDSALUD.GOB.CL"/>
    <x v="14"/>
    <m/>
    <n v="0"/>
    <m/>
    <n v="0"/>
    <n v="0"/>
    <m/>
    <x v="1"/>
    <x v="4"/>
  </r>
  <r>
    <s v="SERVICIO DE SALUD OSORNO"/>
    <s v="Bienes y Servicios"/>
    <x v="375"/>
    <s v="Proyecto operacional"/>
    <s v="Enviado"/>
    <n v="2266"/>
    <x v="367"/>
    <s v="Adquirir diversos materiales de escritorio y papelería, materiales de buena calidad, en variedad de colores, con características de resistencia y que por su calidad y variedad permitan desarrollar actividades creativas y diversas. Se habilita el stock de insumos del taller de manualidades de acuerdo con las actividades manuales que se han programado para el presente año. Tanto para la Unidad Ambulatoria y Residencial de la Comunidad Terapéutica Peulla."/>
    <n v="6"/>
    <s v="Aparatos Electrónicos"/>
    <n v="4"/>
    <n v="1"/>
    <n v="30000"/>
    <n v="30000"/>
    <x v="4"/>
    <x v="31"/>
    <x v="43"/>
    <x v="48"/>
    <s v="64-2335492-"/>
    <s v="CAROLINA.SILVALL@REDSALUD.GOB.CL"/>
    <x v="14"/>
    <m/>
    <n v="0"/>
    <m/>
    <n v="0"/>
    <n v="0"/>
    <m/>
    <x v="1"/>
    <x v="4"/>
  </r>
  <r>
    <s v="SERVICIO DE SALUD OSORNO"/>
    <s v="Bienes y Servicios"/>
    <x v="376"/>
    <s v="Proyecto operacional"/>
    <s v="Enviado"/>
    <s v="22.04"/>
    <x v="368"/>
    <s v="Adquisición de elementos de rehabilitación rural para terapeuta y kinesióloga con equipamiento médico y artículos clínicos."/>
    <n v="3"/>
    <s v="Material didáctico y educativo"/>
    <n v="4"/>
    <n v="13"/>
    <n v="35693"/>
    <n v="464009"/>
    <x v="4"/>
    <x v="24"/>
    <x v="37"/>
    <x v="42"/>
    <s v="64-2565807-"/>
    <s v="karin.avila@redsalud.gob.cl"/>
    <x v="21"/>
    <m/>
    <n v="0"/>
    <m/>
    <n v="0"/>
    <n v="0"/>
    <m/>
    <x v="1"/>
    <x v="4"/>
  </r>
  <r>
    <s v="SERVICIO DE SALUD OSORNO"/>
    <s v="Bienes y Servicios"/>
    <x v="376"/>
    <s v="Proyecto operacional"/>
    <s v="Enviado"/>
    <s v="22.04"/>
    <x v="368"/>
    <s v="Adquisición de elementos de rehabilitación rural para terapeuta y kinesióloga con equipamiento médico y artículos clínicos."/>
    <n v="3"/>
    <s v="Caja plástica"/>
    <n v="4"/>
    <n v="15"/>
    <n v="10000"/>
    <n v="150000"/>
    <x v="4"/>
    <x v="31"/>
    <x v="37"/>
    <x v="42"/>
    <s v="64-2565807-"/>
    <s v="karin.avila@redsalud.gob.cl"/>
    <x v="14"/>
    <m/>
    <n v="0"/>
    <m/>
    <n v="0"/>
    <n v="0"/>
    <m/>
    <x v="1"/>
    <x v="4"/>
  </r>
  <r>
    <s v="SERVICIO DE SALUD OSORNO"/>
    <s v="Bienes y Servicios"/>
    <x v="376"/>
    <s v="Proyecto operacional"/>
    <s v="Enviado"/>
    <s v="22.04"/>
    <x v="368"/>
    <s v="Adquisición de elementos de rehabilitación rural para terapeuta y kinesióloga con equipamiento médico y artículos clínicos."/>
    <n v="3"/>
    <s v="Artículos de ferretería, médicos y clínicos, equipamiento médico"/>
    <n v="4"/>
    <n v="107"/>
    <n v="14571"/>
    <n v="1559097"/>
    <x v="4"/>
    <x v="31"/>
    <x v="37"/>
    <x v="42"/>
    <s v="64-2565807-"/>
    <s v="karin.avila@redsalud.gob.cl"/>
    <x v="14"/>
    <m/>
    <n v="0"/>
    <m/>
    <n v="0"/>
    <n v="0"/>
    <m/>
    <x v="1"/>
    <x v="4"/>
  </r>
  <r>
    <s v="SERVICIO DE SALUD OSORNO"/>
    <s v="Activos Fijos"/>
    <x v="377"/>
    <s v="Proyecto operacional"/>
    <s v="Enviado"/>
    <n v="2518"/>
    <x v="369"/>
    <s v="Renovar equipo informático servidor NAS actual, el cual está llegando al límite de vida útil, este debe incluir discos duros instalados y además sumar otros para llegar a un total de 40TB de almacenamiento. Marzo 2026"/>
    <n v="2"/>
    <s v="Servidor"/>
    <n v="4"/>
    <n v="1"/>
    <n v="15000000"/>
    <n v="15000000"/>
    <x v="4"/>
    <x v="32"/>
    <x v="89"/>
    <x v="87"/>
    <s v="64-2335685-"/>
    <s v="alejandro.nunez01@redsalud.gob.cl"/>
    <x v="21"/>
    <m/>
    <n v="0"/>
    <m/>
    <n v="0"/>
    <n v="0"/>
    <m/>
    <x v="1"/>
    <x v="5"/>
  </r>
  <r>
    <s v="SERVICIO DE SALUD OSORNO"/>
    <s v="Activos Fijos"/>
    <x v="377"/>
    <s v="Proyecto operacional"/>
    <s v="Enviado"/>
    <n v="2518"/>
    <x v="369"/>
    <s v="Renovar equipo informático servidor NAS actual, el cual está llegando al límite de vida útil, este debe incluir discos duros instalados y además sumar otros para llegar a un total de 40TB de almacenamiento. Marzo 2026"/>
    <n v="2"/>
    <s v="Disco Duro"/>
    <n v="4"/>
    <n v="2"/>
    <n v="500000"/>
    <n v="1000000"/>
    <x v="4"/>
    <x v="32"/>
    <x v="89"/>
    <x v="87"/>
    <s v="64-2335685-"/>
    <s v="alejandro.nunez01@redsalud.gob.cl"/>
    <x v="21"/>
    <m/>
    <n v="0"/>
    <m/>
    <n v="0"/>
    <n v="0"/>
    <m/>
    <x v="1"/>
    <x v="5"/>
  </r>
  <r>
    <s v="SERVICIO DE SALUD OSORNO"/>
    <s v="Bienes y Servicios"/>
    <x v="378"/>
    <s v="Proyecto operacional"/>
    <s v="Enviado"/>
    <n v="2233"/>
    <x v="370"/>
    <s v="Se requiere la adquisición de artículos de escritorio de buena calidad, en la cantidad necesaria para garantizar el desarrollo adecuado de las actividades administrativas y didácticas realizadas con las personas en tratamiento de la unidad. Los insumos deben permitir un funcionamiento eficiente de los procesos internos y apoyar la ejecución de las acciones planificadas, asegurando que el equipo cuente con los recursos necesarios para cumplir sus funciones de manera efectiva y ordenada."/>
    <n v="3"/>
    <s v="Toner"/>
    <n v="4"/>
    <n v="12"/>
    <n v="41667"/>
    <n v="500004"/>
    <x v="4"/>
    <x v="38"/>
    <x v="43"/>
    <x v="48"/>
    <s v="64-2335492-"/>
    <s v="CAROLINA.SILVALL@REDSALUD.GOB.CL"/>
    <x v="19"/>
    <m/>
    <n v="0"/>
    <m/>
    <n v="0"/>
    <n v="0"/>
    <m/>
    <x v="1"/>
    <x v="4"/>
  </r>
  <r>
    <s v="SERVICIO DE SALUD OSORNO"/>
    <s v="Bienes y Servicios"/>
    <x v="378"/>
    <s v="Proyecto operacional"/>
    <s v="Enviado"/>
    <n v="2233"/>
    <x v="370"/>
    <s v="Se requiere la adquisición de artículos de escritorio de buena calidad, en la cantidad necesaria para garantizar el desarrollo adecuado de las actividades administrativas y didácticas realizadas con las personas en tratamiento de la unidad. Los insumos deben permitir un funcionamiento eficiente de los procesos internos y apoyar la ejecución de las acciones planificadas, asegurando que el equipo cuente con los recursos necesarios para cumplir sus funciones de manera efectiva y ordenada."/>
    <n v="3"/>
    <s v="Material de Oficina"/>
    <n v="4"/>
    <n v="1000"/>
    <n v="1975"/>
    <n v="1975000"/>
    <x v="4"/>
    <x v="38"/>
    <x v="43"/>
    <x v="48"/>
    <s v="64-2335492-"/>
    <s v="CAROLINA.SILVALL@REDSALUD.GOB.CL"/>
    <x v="19"/>
    <m/>
    <n v="0"/>
    <m/>
    <n v="0"/>
    <n v="0"/>
    <m/>
    <x v="1"/>
    <x v="4"/>
  </r>
  <r>
    <s v="SERVICIO DE SALUD OSORNO"/>
    <s v="Bienes y Servicios"/>
    <x v="378"/>
    <s v="Proyecto operacional"/>
    <s v="Enviado"/>
    <n v="2233"/>
    <x v="370"/>
    <s v="Se requiere la adquisición de artículos de escritorio de buena calidad, en la cantidad necesaria para garantizar el desarrollo adecuado de las actividades administrativas y didácticas realizadas con las personas en tratamiento de la unidad. Los insumos deben permitir un funcionamiento eficiente de los procesos internos y apoyar la ejecución de las acciones planificadas, asegurando que el equipo cuente con los recursos necesarios para cumplir sus funciones de manera efectiva y ordenada."/>
    <n v="3"/>
    <s v="Papelero"/>
    <n v="4"/>
    <n v="10"/>
    <n v="5000"/>
    <n v="50000"/>
    <x v="4"/>
    <x v="38"/>
    <x v="43"/>
    <x v="48"/>
    <s v="64-2335492-"/>
    <s v="CAROLINA.SILVALL@REDSALUD.GOB.CL"/>
    <x v="19"/>
    <m/>
    <n v="0"/>
    <m/>
    <n v="0"/>
    <n v="0"/>
    <m/>
    <x v="1"/>
    <x v="4"/>
  </r>
  <r>
    <s v="SERVICIO DE SALUD OSORNO"/>
    <s v="Administración de Fondos"/>
    <x v="379"/>
    <s v="Proyecto operacional"/>
    <s v="Enviado"/>
    <n v="2240"/>
    <x v="371"/>
    <s v="Las actividades comunitarias se desarrollan a lo largo de todo el año, las compras se utilizan para complementar las actividades dirigidas y/o festividades específicas, pero también para actividades de gestión, coordinación de estas mismas, y reuniones extraprogramáticas con la comunidad o instituciones con los que colaboramos para el desarrollo de lo programado anualmente."/>
    <n v="5"/>
    <s v="Alimentación"/>
    <n v="4"/>
    <n v="260"/>
    <n v="1700"/>
    <n v="442000"/>
    <x v="4"/>
    <x v="35"/>
    <x v="44"/>
    <x v="24"/>
    <s v="64-2335610-"/>
    <s v="pedro.fritz@redsalud.gob.cl"/>
    <x v="13"/>
    <m/>
    <n v="0"/>
    <m/>
    <n v="0"/>
    <n v="0"/>
    <m/>
    <x v="1"/>
    <x v="2"/>
  </r>
  <r>
    <s v="SERVICIO DE SALUD OSORNO"/>
    <s v="Administración de Fondos"/>
    <x v="379"/>
    <s v="Proyecto operacional"/>
    <s v="Enviado"/>
    <n v="2240"/>
    <x v="371"/>
    <s v="Las actividades comunitarias se desarrollan a lo largo de todo el año, las compras se utilizan para complementar las actividades dirigidas y/o festividades específicas, pero también para actividades de gestión, coordinación de estas mismas, y reuniones extraprogramáticas con la comunidad o instituciones con los que colaboramos para el desarrollo de lo programado anualmente."/>
    <n v="5"/>
    <s v="Material de Oficina"/>
    <n v="4"/>
    <n v="510"/>
    <n v="983"/>
    <n v="501330"/>
    <x v="4"/>
    <x v="35"/>
    <x v="44"/>
    <x v="24"/>
    <s v="64-2335610-"/>
    <s v="pedro.fritz@redsalud.gob.cl"/>
    <x v="13"/>
    <m/>
    <n v="0"/>
    <m/>
    <n v="0"/>
    <n v="0"/>
    <m/>
    <x v="1"/>
    <x v="2"/>
  </r>
  <r>
    <s v="SERVICIO DE SALUD OSORNO"/>
    <s v="Administración de Fondos"/>
    <x v="379"/>
    <s v="Proyecto operacional"/>
    <s v="Enviado"/>
    <n v="2240"/>
    <x v="371"/>
    <s v="Las actividades comunitarias se desarrollan a lo largo de todo el año, las compras se utilizan para complementar las actividades dirigidas y/o festividades específicas, pero también para actividades de gestión, coordinación de estas mismas, y reuniones extraprogramáticas con la comunidad o instituciones con los que colaboramos para el desarrollo de lo programado anualmente."/>
    <n v="5"/>
    <s v="Menaje"/>
    <n v="4"/>
    <n v="700"/>
    <n v="71"/>
    <n v="49700"/>
    <x v="4"/>
    <x v="35"/>
    <x v="44"/>
    <x v="24"/>
    <s v="64-2335610-"/>
    <s v="pedro.fritz@redsalud.gob.cl"/>
    <x v="13"/>
    <m/>
    <n v="0"/>
    <m/>
    <n v="0"/>
    <n v="0"/>
    <m/>
    <x v="1"/>
    <x v="2"/>
  </r>
  <r>
    <s v="SERVICIO DE SALUD OSORNO"/>
    <s v="Administración de Fondos"/>
    <x v="379"/>
    <s v="Proyecto operacional"/>
    <s v="Enviado"/>
    <n v="2240"/>
    <x v="371"/>
    <s v="Las actividades comunitarias se desarrollan a lo largo de todo el año, las compras se utilizan para complementar las actividades dirigidas y/o festividades específicas, pero también para actividades de gestión, coordinación de estas mismas, y reuniones extraprogramáticas con la comunidad o instituciones con los que colaboramos para el desarrollo de lo programado anualmente."/>
    <n v="5"/>
    <s v="Toldo Mesa"/>
    <n v="4"/>
    <n v="2"/>
    <n v="120000"/>
    <n v="240000"/>
    <x v="4"/>
    <x v="35"/>
    <x v="44"/>
    <x v="24"/>
    <s v="64-2335610-"/>
    <s v="pedro.fritz@redsalud.gob.cl"/>
    <x v="13"/>
    <m/>
    <n v="0"/>
    <m/>
    <n v="0"/>
    <n v="0"/>
    <m/>
    <x v="1"/>
    <x v="2"/>
  </r>
  <r>
    <s v="SERVICIO DE SALUD OSORNO"/>
    <s v="Administración de Fondos"/>
    <x v="379"/>
    <s v="Proyecto operacional"/>
    <s v="Enviado"/>
    <n v="2240"/>
    <x v="371"/>
    <s v="Las actividades comunitarias se desarrollan a lo largo de todo el año, las compras se utilizan para complementar las actividades dirigidas y/o festividades específicas, pero también para actividades de gestión, coordinación de estas mismas, y reuniones extraprogramáticas con la comunidad o instituciones con los que colaboramos para el desarrollo de lo programado anualmente."/>
    <n v="5"/>
    <s v="Tinta Botellas"/>
    <n v="4"/>
    <n v="2"/>
    <n v="35000"/>
    <n v="70000"/>
    <x v="4"/>
    <x v="35"/>
    <x v="44"/>
    <x v="24"/>
    <s v="64-2335610-"/>
    <s v="pedro.fritz@redsalud.gob.cl"/>
    <x v="13"/>
    <m/>
    <n v="0"/>
    <m/>
    <n v="0"/>
    <n v="0"/>
    <m/>
    <x v="1"/>
    <x v="2"/>
  </r>
  <r>
    <s v="SERVICIO DE SALUD OSORNO"/>
    <s v="Bienes y Servicios"/>
    <x v="380"/>
    <s v="Proyecto operacional"/>
    <s v="Enviado"/>
    <n v="2254"/>
    <x v="372"/>
    <s v="Se requiere adquirir servicios de amplificación y colaciones para todos los participantes de la actividad ?En Movimiento y a Una Sola Voz?, en su versión N°15, con el fin de asegurar condiciones adecuadas de participación y contribuir a una presentación de calidad que favorezca los procesos de educación y sensibilización comunitaria en torno a la salud mental, promoviendo acciones de promoción, prevención y autocuidado."/>
    <n v="4"/>
    <s v="Amplificación"/>
    <n v="4"/>
    <n v="1"/>
    <n v="1000000"/>
    <n v="1000000"/>
    <x v="4"/>
    <x v="26"/>
    <x v="43"/>
    <x v="48"/>
    <s v="64-2335492-"/>
    <s v="CAROLINA.SILVALL@REDSALUD.GOB.CL"/>
    <x v="16"/>
    <m/>
    <n v="0"/>
    <m/>
    <n v="0"/>
    <n v="0"/>
    <m/>
    <x v="1"/>
    <x v="4"/>
  </r>
  <r>
    <s v="SERVICIO DE SALUD OSORNO"/>
    <s v="Bienes y Servicios"/>
    <x v="380"/>
    <s v="Proyecto operacional"/>
    <s v="Enviado"/>
    <n v="2254"/>
    <x v="372"/>
    <s v="Se requiere adquirir servicios de amplificación y colaciones para todos los participantes de la actividad ?En Movimiento y a Una Sola Voz?, en su versión N°15, con el fin de asegurar condiciones adecuadas de participación y contribuir a una presentación de calidad que favorezca los procesos de educación y sensibilización comunitaria en torno a la salud mental, promoviendo acciones de promoción, prevención y autocuidado."/>
    <n v="4"/>
    <s v="Placa Regalos"/>
    <n v="4"/>
    <n v="48"/>
    <n v="7500"/>
    <n v="360000"/>
    <x v="4"/>
    <x v="26"/>
    <x v="43"/>
    <x v="48"/>
    <s v="64-2335492-"/>
    <s v="CAROLINA.SILVALL@REDSALUD.GOB.CL"/>
    <x v="16"/>
    <m/>
    <n v="0"/>
    <m/>
    <n v="0"/>
    <n v="0"/>
    <m/>
    <x v="1"/>
    <x v="4"/>
  </r>
  <r>
    <s v="SERVICIO DE SALUD OSORNO"/>
    <s v="Bienes y Servicios"/>
    <x v="380"/>
    <s v="Proyecto operacional"/>
    <s v="Enviado"/>
    <n v="2254"/>
    <x v="372"/>
    <s v="Se requiere adquirir servicios de amplificación y colaciones para todos los participantes de la actividad ?En Movimiento y a Una Sola Voz?, en su versión N°15, con el fin de asegurar condiciones adecuadas de participación y contribuir a una presentación de calidad que favorezca los procesos de educación y sensibilización comunitaria en torno a la salud mental, promoviendo acciones de promoción, prevención y autocuidado."/>
    <n v="4"/>
    <s v="Material de Aseo"/>
    <n v="4"/>
    <n v="400"/>
    <n v="465"/>
    <n v="186000"/>
    <x v="4"/>
    <x v="26"/>
    <x v="43"/>
    <x v="48"/>
    <s v="64-2335492-"/>
    <s v="CAROLINA.SILVALL@REDSALUD.GOB.CL"/>
    <x v="16"/>
    <m/>
    <n v="0"/>
    <m/>
    <n v="0"/>
    <n v="0"/>
    <m/>
    <x v="1"/>
    <x v="4"/>
  </r>
  <r>
    <s v="SERVICIO DE SALUD OSORNO"/>
    <s v="Bienes y Servicios"/>
    <x v="380"/>
    <s v="Proyecto operacional"/>
    <s v="Enviado"/>
    <n v="2254"/>
    <x v="372"/>
    <s v="Se requiere adquirir servicios de amplificación y colaciones para todos los participantes de la actividad ?En Movimiento y a Una Sola Voz?, en su versión N°15, con el fin de asegurar condiciones adecuadas de participación y contribuir a una presentación de calidad que favorezca los procesos de educación y sensibilización comunitaria en torno a la salud mental, promoviendo acciones de promoción, prevención y autocuidado."/>
    <n v="4"/>
    <s v="Alimentación"/>
    <n v="4"/>
    <n v="3238"/>
    <n v="210"/>
    <n v="679980"/>
    <x v="4"/>
    <x v="26"/>
    <x v="43"/>
    <x v="48"/>
    <s v="64-2335492-"/>
    <s v="CAROLINA.SILVALL@REDSALUD.GOB.CL"/>
    <x v="16"/>
    <m/>
    <n v="0"/>
    <m/>
    <n v="0"/>
    <n v="0"/>
    <m/>
    <x v="1"/>
    <x v="4"/>
  </r>
  <r>
    <s v="SERVICIO DE SALUD OSORNO"/>
    <s v="Bienes y Servicios"/>
    <x v="381"/>
    <s v="Proyecto operacional"/>
    <s v="Enviado"/>
    <n v="2281"/>
    <x v="373"/>
    <s v="Responder adecuadamente a las necesidades de salud de las personas beneficiarias del programa PRAIS, considerando su historial de vulneración de derechos.Enfoque aplicado:Biopsicosocial, es decir, integrando dimensiones biológicas, psicológicas y sociales de la atención en salud. Componentes de la adquisición: Prestaciones sanitarias.Insumos clínicos y no clínicos.Recursos para el funcionamiento operativo del programa. Materiales e insumos para actividades de promoción de Derechos Humanos .Apoyo para el dllo de hitos y actividads del programa"/>
    <n v="23"/>
    <s v="Material Ergoterapia"/>
    <n v="4"/>
    <n v="70"/>
    <n v="10215"/>
    <n v="715050"/>
    <x v="4"/>
    <x v="24"/>
    <x v="104"/>
    <x v="67"/>
    <s v="64-2336694-"/>
    <s v="anamaria.diaz@redsalud.gob.cl"/>
    <x v="21"/>
    <m/>
    <n v="0"/>
    <m/>
    <n v="0"/>
    <n v="0"/>
    <m/>
    <x v="1"/>
    <x v="4"/>
  </r>
  <r>
    <s v="SERVICIO DE SALUD OSORNO"/>
    <s v="Bienes y Servicios"/>
    <x v="381"/>
    <s v="Proyecto operacional"/>
    <s v="Enviado"/>
    <n v="2281"/>
    <x v="373"/>
    <s v="Responder adecuadamente a las necesidades de salud de las personas beneficiarias del programa PRAIS, considerando su historial de vulneración de derechos.Enfoque aplicado:Biopsicosocial, es decir, integrando dimensiones biológicas, psicológicas y sociales de la atención en salud. Componentes de la adquisición: Prestaciones sanitarias.Insumos clínicos y no clínicos.Recursos para el funcionamiento operativo del programa. Materiales e insumos para actividades de promoción de Derechos Humanos .Apoyo para el dllo de hitos y actividads del programa"/>
    <n v="23"/>
    <s v="Artículos de Librería"/>
    <n v="4"/>
    <n v="80"/>
    <n v="3850"/>
    <n v="308000"/>
    <x v="4"/>
    <x v="24"/>
    <x v="104"/>
    <x v="67"/>
    <s v="64-2336694-"/>
    <s v="anamaria.diaz@redsalud.gob.cl"/>
    <x v="21"/>
    <m/>
    <n v="0"/>
    <m/>
    <n v="0"/>
    <n v="0"/>
    <m/>
    <x v="1"/>
    <x v="4"/>
  </r>
  <r>
    <s v="SERVICIO DE SALUD OSORNO"/>
    <s v="Bienes y Servicios"/>
    <x v="381"/>
    <s v="Proyecto operacional"/>
    <s v="Enviado"/>
    <n v="2281"/>
    <x v="373"/>
    <s v="Responder adecuadamente a las necesidades de salud de las personas beneficiarias del programa PRAIS, considerando su historial de vulneración de derechos.Enfoque aplicado:Biopsicosocial, es decir, integrando dimensiones biológicas, psicológicas y sociales de la atención en salud. Componentes de la adquisición: Prestaciones sanitarias.Insumos clínicos y no clínicos.Recursos para el funcionamiento operativo del programa. Materiales e insumos para actividades de promoción de Derechos Humanos .Apoyo para el dllo de hitos y actividads del programa"/>
    <n v="23"/>
    <s v="Artículos de Oficina"/>
    <n v="4"/>
    <n v="70"/>
    <n v="2072"/>
    <n v="145040"/>
    <x v="4"/>
    <x v="24"/>
    <x v="104"/>
    <x v="67"/>
    <s v="64-2336694-"/>
    <s v="anamaria.diaz@redsalud.gob.cl"/>
    <x v="21"/>
    <m/>
    <n v="0"/>
    <m/>
    <n v="0"/>
    <n v="0"/>
    <m/>
    <x v="1"/>
    <x v="4"/>
  </r>
  <r>
    <s v="SERVICIO DE SALUD OSORNO"/>
    <s v="Bienes y Servicios"/>
    <x v="381"/>
    <s v="Proyecto operacional"/>
    <s v="Enviado"/>
    <n v="2281"/>
    <x v="373"/>
    <s v="Responder adecuadamente a las necesidades de salud de las personas beneficiarias del programa PRAIS, considerando su historial de vulneración de derechos.Enfoque aplicado:Biopsicosocial, es decir, integrando dimensiones biológicas, psicológicas y sociales de la atención en salud. Componentes de la adquisición: Prestaciones sanitarias.Insumos clínicos y no clínicos.Recursos para el funcionamiento operativo del programa. Materiales e insumos para actividades de promoción de Derechos Humanos .Apoyo para el dllo de hitos y actividads del programa"/>
    <n v="23"/>
    <s v="Materiales de Oficina"/>
    <n v="4"/>
    <n v="100"/>
    <n v="3850"/>
    <n v="385000"/>
    <x v="4"/>
    <x v="24"/>
    <x v="104"/>
    <x v="67"/>
    <s v="64-2336694-"/>
    <s v="anamaria.diaz@redsalud.gob.cl"/>
    <x v="21"/>
    <m/>
    <n v="0"/>
    <m/>
    <n v="0"/>
    <n v="0"/>
    <m/>
    <x v="1"/>
    <x v="4"/>
  </r>
  <r>
    <s v="SERVICIO DE SALUD OSORNO"/>
    <s v="Bienes y Servicios"/>
    <x v="381"/>
    <s v="Proyecto operacional"/>
    <s v="Enviado"/>
    <n v="2281"/>
    <x v="373"/>
    <s v="Responder adecuadamente a las necesidades de salud de las personas beneficiarias del programa PRAIS, considerando su historial de vulneración de derechos.Enfoque aplicado:Biopsicosocial, es decir, integrando dimensiones biológicas, psicológicas y sociales de la atención en salud. Componentes de la adquisición: Prestaciones sanitarias.Insumos clínicos y no clínicos.Recursos para el funcionamiento operativo del programa. Materiales e insumos para actividades de promoción de Derechos Humanos .Apoyo para el dllo de hitos y actividads del programa"/>
    <n v="23"/>
    <s v="Pila"/>
    <n v="4"/>
    <n v="8"/>
    <n v="8750"/>
    <n v="70000"/>
    <x v="4"/>
    <x v="24"/>
    <x v="104"/>
    <x v="67"/>
    <s v="64-2336694-"/>
    <s v="anamaria.diaz@redsalud.gob.cl"/>
    <x v="21"/>
    <m/>
    <n v="0"/>
    <m/>
    <n v="0"/>
    <n v="0"/>
    <m/>
    <x v="1"/>
    <x v="4"/>
  </r>
  <r>
    <s v="SERVICIO DE SALUD OSORNO"/>
    <s v="Bienes y Servicios"/>
    <x v="381"/>
    <s v="Proyecto operacional"/>
    <s v="Enviado"/>
    <n v="2281"/>
    <x v="373"/>
    <s v="Responder adecuadamente a las necesidades de salud de las personas beneficiarias del programa PRAIS, considerando su historial de vulneración de derechos.Enfoque aplicado:Biopsicosocial, es decir, integrando dimensiones biológicas, psicológicas y sociales de la atención en salud. Componentes de la adquisición: Prestaciones sanitarias.Insumos clínicos y no clínicos.Recursos para el funcionamiento operativo del programa. Materiales e insumos para actividades de promoción de Derechos Humanos .Apoyo para el dllo de hitos y actividads del programa"/>
    <n v="23"/>
    <s v="Alcohol gel"/>
    <n v="4"/>
    <n v="1"/>
    <n v="35000"/>
    <n v="35000"/>
    <x v="4"/>
    <x v="24"/>
    <x v="104"/>
    <x v="67"/>
    <s v="64-2336694-"/>
    <s v="anamaria.diaz@redsalud.gob.cl"/>
    <x v="21"/>
    <m/>
    <n v="0"/>
    <m/>
    <n v="0"/>
    <n v="0"/>
    <m/>
    <x v="1"/>
    <x v="4"/>
  </r>
  <r>
    <s v="SERVICIO DE SALUD OSORNO"/>
    <s v="Bienes y Servicios"/>
    <x v="381"/>
    <s v="Proyecto operacional"/>
    <s v="Enviado"/>
    <n v="2281"/>
    <x v="373"/>
    <s v="Responder adecuadamente a las necesidades de salud de las personas beneficiarias del programa PRAIS, considerando su historial de vulneración de derechos.Enfoque aplicado:Biopsicosocial, es decir, integrando dimensiones biológicas, psicológicas y sociales de la atención en salud. Componentes de la adquisición: Prestaciones sanitarias.Insumos clínicos y no clínicos.Recursos para el funcionamiento operativo del programa. Materiales e insumos para actividades de promoción de Derechos Humanos .Apoyo para el dllo de hitos y actividads del programa"/>
    <n v="23"/>
    <s v="Higiene"/>
    <n v="4"/>
    <n v="160"/>
    <n v="6313"/>
    <n v="1010080"/>
    <x v="4"/>
    <x v="24"/>
    <x v="104"/>
    <x v="67"/>
    <s v="64-2336694-"/>
    <s v="anamaria.diaz@redsalud.gob.cl"/>
    <x v="21"/>
    <m/>
    <n v="0"/>
    <m/>
    <n v="0"/>
    <n v="0"/>
    <m/>
    <x v="1"/>
    <x v="4"/>
  </r>
  <r>
    <s v="SERVICIO DE SALUD OSORNO"/>
    <s v="Bienes y Servicios"/>
    <x v="381"/>
    <s v="Proyecto operacional"/>
    <s v="Enviado"/>
    <n v="2281"/>
    <x v="373"/>
    <s v="Responder adecuadamente a las necesidades de salud de las personas beneficiarias del programa PRAIS, considerando su historial de vulneración de derechos.Enfoque aplicado:Biopsicosocial, es decir, integrando dimensiones biológicas, psicológicas y sociales de la atención en salud. Componentes de la adquisición: Prestaciones sanitarias.Insumos clínicos y no clínicos.Recursos para el funcionamiento operativo del programa. Materiales e insumos para actividades de promoción de Derechos Humanos .Apoyo para el dllo de hitos y actividads del programa"/>
    <n v="23"/>
    <s v="Insumos de Rehabilitación"/>
    <n v="4"/>
    <n v="5"/>
    <n v="8000"/>
    <n v="40000"/>
    <x v="4"/>
    <x v="24"/>
    <x v="104"/>
    <x v="67"/>
    <s v="64-2336694-"/>
    <s v="anamaria.diaz@redsalud.gob.cl"/>
    <x v="21"/>
    <m/>
    <n v="0"/>
    <m/>
    <n v="0"/>
    <n v="0"/>
    <m/>
    <x v="1"/>
    <x v="4"/>
  </r>
  <r>
    <s v="SERVICIO DE SALUD OSORNO"/>
    <s v="Bienes y Servicios"/>
    <x v="381"/>
    <s v="Proyecto operacional"/>
    <s v="Enviado"/>
    <n v="2281"/>
    <x v="373"/>
    <s v="Responder adecuadamente a las necesidades de salud de las personas beneficiarias del programa PRAIS, considerando su historial de vulneración de derechos.Enfoque aplicado:Biopsicosocial, es decir, integrando dimensiones biológicas, psicológicas y sociales de la atención en salud. Componentes de la adquisición: Prestaciones sanitarias.Insumos clínicos y no clínicos.Recursos para el funcionamiento operativo del programa. Materiales e insumos para actividades de promoción de Derechos Humanos .Apoyo para el dllo de hitos y actividads del programa"/>
    <n v="23"/>
    <s v="Mantención"/>
    <n v="4"/>
    <n v="1"/>
    <n v="5000000"/>
    <n v="5000000"/>
    <x v="15"/>
    <x v="48"/>
    <x v="104"/>
    <x v="67"/>
    <s v="64-2336694-"/>
    <s v="anamaria.diaz@redsalud.gob.cl"/>
    <x v="14"/>
    <m/>
    <n v="0"/>
    <m/>
    <n v="0"/>
    <n v="0"/>
    <m/>
    <x v="1"/>
    <x v="4"/>
  </r>
  <r>
    <s v="SERVICIO DE SALUD OSORNO"/>
    <s v="Bienes y Servicios"/>
    <x v="381"/>
    <s v="Proyecto operacional"/>
    <s v="Enviado"/>
    <n v="2281"/>
    <x v="373"/>
    <s v="Responder adecuadamente a las necesidades de salud de las personas beneficiarias del programa PRAIS, considerando su historial de vulneración de derechos.Enfoque aplicado:Biopsicosocial, es decir, integrando dimensiones biológicas, psicológicas y sociales de la atención en salud. Componentes de la adquisición: Prestaciones sanitarias.Insumos clínicos y no clínicos.Recursos para el funcionamiento operativo del programa. Materiales e insumos para actividades de promoción de Derechos Humanos .Apoyo para el dllo de hitos y actividads del programa"/>
    <n v="23"/>
    <s v="Servicio de Cafetería"/>
    <n v="4"/>
    <n v="1"/>
    <n v="500000"/>
    <n v="500000"/>
    <x v="4"/>
    <x v="25"/>
    <x v="104"/>
    <x v="67"/>
    <s v="64-2336694-"/>
    <s v="anamaria.diaz@redsalud.gob.cl"/>
    <x v="20"/>
    <m/>
    <n v="0"/>
    <m/>
    <n v="0"/>
    <n v="0"/>
    <m/>
    <x v="1"/>
    <x v="4"/>
  </r>
  <r>
    <s v="SERVICIO DE SALUD OSORNO"/>
    <s v="Bienes y Servicios"/>
    <x v="381"/>
    <s v="Proyecto operacional"/>
    <s v="Enviado"/>
    <n v="2281"/>
    <x v="373"/>
    <s v="Responder adecuadamente a las necesidades de salud de las personas beneficiarias del programa PRAIS, considerando su historial de vulneración de derechos.Enfoque aplicado:Biopsicosocial, es decir, integrando dimensiones biológicas, psicológicas y sociales de la atención en salud. Componentes de la adquisición: Prestaciones sanitarias.Insumos clínicos y no clínicos.Recursos para el funcionamiento operativo del programa. Materiales e insumos para actividades de promoción de Derechos Humanos .Apoyo para el dllo de hitos y actividads del programa"/>
    <n v="23"/>
    <s v="Petróleo"/>
    <n v="4"/>
    <n v="1"/>
    <n v="2500000"/>
    <n v="2500000"/>
    <x v="4"/>
    <x v="25"/>
    <x v="104"/>
    <x v="67"/>
    <s v="64-2336694-"/>
    <s v="anamaria.diaz@redsalud.gob.cl"/>
    <x v="20"/>
    <m/>
    <n v="0"/>
    <m/>
    <n v="0"/>
    <n v="0"/>
    <m/>
    <x v="1"/>
    <x v="4"/>
  </r>
  <r>
    <s v="SERVICIO DE SALUD OSORNO"/>
    <s v="Bienes y Servicios"/>
    <x v="381"/>
    <s v="Proyecto operacional"/>
    <s v="Enviado"/>
    <n v="2281"/>
    <x v="373"/>
    <s v="Responder adecuadamente a las necesidades de salud de las personas beneficiarias del programa PRAIS, considerando su historial de vulneración de derechos.Enfoque aplicado:Biopsicosocial, es decir, integrando dimensiones biológicas, psicológicas y sociales de la atención en salud. Componentes de la adquisición: Prestaciones sanitarias.Insumos clínicos y no clínicos.Recursos para el funcionamiento operativo del programa. Materiales e insumos para actividades de promoción de Derechos Humanos .Apoyo para el dllo de hitos y actividads del programa"/>
    <n v="23"/>
    <s v="Material promocional"/>
    <n v="4"/>
    <n v="2"/>
    <n v="500000"/>
    <n v="1000000"/>
    <x v="4"/>
    <x v="25"/>
    <x v="104"/>
    <x v="67"/>
    <s v="64-2336694-"/>
    <s v="anamaria.diaz@redsalud.gob.cl"/>
    <x v="20"/>
    <m/>
    <n v="0"/>
    <m/>
    <n v="0"/>
    <n v="0"/>
    <m/>
    <x v="1"/>
    <x v="4"/>
  </r>
  <r>
    <s v="SERVICIO DE SALUD OSORNO"/>
    <s v="Bienes y Servicios"/>
    <x v="381"/>
    <s v="Proyecto operacional"/>
    <s v="Enviado"/>
    <n v="2281"/>
    <x v="373"/>
    <s v="Responder adecuadamente a las necesidades de salud de las personas beneficiarias del programa PRAIS, considerando su historial de vulneración de derechos.Enfoque aplicado:Biopsicosocial, es decir, integrando dimensiones biológicas, psicológicas y sociales de la atención en salud. Componentes de la adquisición: Prestaciones sanitarias.Insumos clínicos y no clínicos.Recursos para el funcionamiento operativo del programa. Materiales e insumos para actividades de promoción de Derechos Humanos .Apoyo para el dllo de hitos y actividads del programa"/>
    <n v="23"/>
    <s v="Eventos y actividades"/>
    <n v="4"/>
    <n v="1"/>
    <n v="600000"/>
    <n v="600000"/>
    <x v="7"/>
    <x v="49"/>
    <x v="104"/>
    <x v="67"/>
    <s v="64-2336694-"/>
    <s v="anamaria.diaz@redsalud.gob.cl"/>
    <x v="20"/>
    <m/>
    <n v="0"/>
    <m/>
    <n v="0"/>
    <n v="0"/>
    <m/>
    <x v="1"/>
    <x v="4"/>
  </r>
  <r>
    <s v="SERVICIO DE SALUD OSORNO"/>
    <s v="Bienes y Servicios"/>
    <x v="381"/>
    <s v="Proyecto operacional"/>
    <s v="Enviado"/>
    <n v="2281"/>
    <x v="373"/>
    <s v="Responder adecuadamente a las necesidades de salud de las personas beneficiarias del programa PRAIS, considerando su historial de vulneración de derechos.Enfoque aplicado:Biopsicosocial, es decir, integrando dimensiones biológicas, psicológicas y sociales de la atención en salud. Componentes de la adquisición: Prestaciones sanitarias.Insumos clínicos y no clínicos.Recursos para el funcionamiento operativo del programa. Materiales e insumos para actividades de promoción de Derechos Humanos .Apoyo para el dllo de hitos y actividads del programa"/>
    <n v="23"/>
    <s v="Servicio Relatoría"/>
    <n v="4"/>
    <n v="1"/>
    <n v="1000000"/>
    <n v="1000000"/>
    <x v="4"/>
    <x v="31"/>
    <x v="104"/>
    <x v="67"/>
    <s v="64-2336694-"/>
    <s v="anamaria.diaz@redsalud.gob.cl"/>
    <x v="14"/>
    <m/>
    <n v="0"/>
    <m/>
    <n v="0"/>
    <n v="0"/>
    <m/>
    <x v="1"/>
    <x v="4"/>
  </r>
  <r>
    <s v="SERVICIO DE SALUD OSORNO"/>
    <s v="Bienes y Servicios"/>
    <x v="381"/>
    <s v="Proyecto operacional"/>
    <s v="Enviado"/>
    <n v="2281"/>
    <x v="373"/>
    <s v="Responder adecuadamente a las necesidades de salud de las personas beneficiarias del programa PRAIS, considerando su historial de vulneración de derechos.Enfoque aplicado:Biopsicosocial, es decir, integrando dimensiones biológicas, psicológicas y sociales de la atención en salud. Componentes de la adquisición: Prestaciones sanitarias.Insumos clínicos y no clínicos.Recursos para el funcionamiento operativo del programa. Materiales e insumos para actividades de promoción de Derechos Humanos .Apoyo para el dllo de hitos y actividads del programa"/>
    <n v="23"/>
    <s v="Capacitación"/>
    <n v="4"/>
    <n v="1"/>
    <n v="1000000"/>
    <n v="1000000"/>
    <x v="4"/>
    <x v="25"/>
    <x v="104"/>
    <x v="67"/>
    <s v="64-2336694-"/>
    <s v="anamaria.diaz@redsalud.gob.cl"/>
    <x v="20"/>
    <m/>
    <n v="0"/>
    <m/>
    <n v="0"/>
    <n v="0"/>
    <m/>
    <x v="1"/>
    <x v="4"/>
  </r>
  <r>
    <s v="SERVICIO DE SALUD OSORNO"/>
    <s v="Bienes y Servicios"/>
    <x v="381"/>
    <s v="Proyecto operacional"/>
    <s v="Enviado"/>
    <n v="2281"/>
    <x v="373"/>
    <s v="Responder adecuadamente a las necesidades de salud de las personas beneficiarias del programa PRAIS, considerando su historial de vulneración de derechos.Enfoque aplicado:Biopsicosocial, es decir, integrando dimensiones biológicas, psicológicas y sociales de la atención en salud. Componentes de la adquisición: Prestaciones sanitarias.Insumos clínicos y no clínicos.Recursos para el funcionamiento operativo del programa. Materiales e insumos para actividades de promoción de Derechos Humanos .Apoyo para el dllo de hitos y actividads del programa"/>
    <n v="23"/>
    <s v="Alimentación"/>
    <n v="4"/>
    <n v="100"/>
    <n v="4900"/>
    <n v="490000"/>
    <x v="4"/>
    <x v="24"/>
    <x v="104"/>
    <x v="67"/>
    <s v="64-2336694-"/>
    <s v="anamaria.diaz@redsalud.gob.cl"/>
    <x v="21"/>
    <m/>
    <n v="0"/>
    <m/>
    <n v="0"/>
    <n v="0"/>
    <m/>
    <x v="1"/>
    <x v="4"/>
  </r>
  <r>
    <s v="SERVICIO DE SALUD OSORNO"/>
    <s v="Bienes y Servicios"/>
    <x v="381"/>
    <s v="Proyecto operacional"/>
    <s v="Enviado"/>
    <n v="2281"/>
    <x v="373"/>
    <s v="Responder adecuadamente a las necesidades de salud de las personas beneficiarias del programa PRAIS, considerando su historial de vulneración de derechos.Enfoque aplicado:Biopsicosocial, es decir, integrando dimensiones biológicas, psicológicas y sociales de la atención en salud. Componentes de la adquisición: Prestaciones sanitarias.Insumos clínicos y no clínicos.Recursos para el funcionamiento operativo del programa. Materiales e insumos para actividades de promoción de Derechos Humanos .Apoyo para el dllo de hitos y actividads del programa"/>
    <n v="23"/>
    <s v="Contratación Monitores"/>
    <n v="4"/>
    <n v="1"/>
    <n v="2000000"/>
    <n v="2000000"/>
    <x v="4"/>
    <x v="24"/>
    <x v="104"/>
    <x v="67"/>
    <s v="64-2336694-"/>
    <s v="anamaria.diaz@redsalud.gob.cl"/>
    <x v="21"/>
    <m/>
    <n v="0"/>
    <m/>
    <n v="0"/>
    <n v="0"/>
    <m/>
    <x v="1"/>
    <x v="4"/>
  </r>
  <r>
    <s v="SERVICIO DE SALUD OSORNO"/>
    <s v="Bienes y Servicios"/>
    <x v="381"/>
    <s v="Proyecto operacional"/>
    <s v="Enviado"/>
    <n v="2281"/>
    <x v="373"/>
    <s v="Responder adecuadamente a las necesidades de salud de las personas beneficiarias del programa PRAIS, considerando su historial de vulneración de derechos.Enfoque aplicado:Biopsicosocial, es decir, integrando dimensiones biológicas, psicológicas y sociales de la atención en salud. Componentes de la adquisición: Prestaciones sanitarias.Insumos clínicos y no clínicos.Recursos para el funcionamiento operativo del programa. Materiales e insumos para actividades de promoción de Derechos Humanos .Apoyo para el dllo de hitos y actividads del programa"/>
    <n v="23"/>
    <s v="Servicio Odontológico"/>
    <n v="4"/>
    <n v="1"/>
    <n v="4000000"/>
    <n v="4000000"/>
    <x v="4"/>
    <x v="25"/>
    <x v="104"/>
    <x v="67"/>
    <s v="64-2336694-"/>
    <s v="anamaria.diaz@redsalud.gob.cl"/>
    <x v="20"/>
    <m/>
    <n v="0"/>
    <m/>
    <n v="0"/>
    <n v="0"/>
    <m/>
    <x v="1"/>
    <x v="4"/>
  </r>
  <r>
    <s v="SERVICIO DE SALUD OSORNO"/>
    <s v="Bienes y Servicios"/>
    <x v="381"/>
    <s v="Proyecto operacional"/>
    <s v="Enviado"/>
    <n v="2281"/>
    <x v="373"/>
    <s v="Responder adecuadamente a las necesidades de salud de las personas beneficiarias del programa PRAIS, considerando su historial de vulneración de derechos.Enfoque aplicado:Biopsicosocial, es decir, integrando dimensiones biológicas, psicológicas y sociales de la atención en salud. Componentes de la adquisición: Prestaciones sanitarias.Insumos clínicos y no clínicos.Recursos para el funcionamiento operativo del programa. Materiales e insumos para actividades de promoción de Derechos Humanos .Apoyo para el dllo de hitos y actividads del programa"/>
    <n v="23"/>
    <s v="Medicamentos"/>
    <n v="4"/>
    <n v="1"/>
    <n v="6000000"/>
    <n v="6000000"/>
    <x v="4"/>
    <x v="31"/>
    <x v="104"/>
    <x v="67"/>
    <s v="64-2336694-"/>
    <s v="anamaria.diaz@redsalud.gob.cl"/>
    <x v="14"/>
    <m/>
    <n v="0"/>
    <m/>
    <n v="0"/>
    <n v="0"/>
    <m/>
    <x v="1"/>
    <x v="4"/>
  </r>
  <r>
    <s v="SERVICIO DE SALUD OSORNO"/>
    <s v="Bienes y Servicios"/>
    <x v="381"/>
    <s v="Proyecto operacional"/>
    <s v="Enviado"/>
    <n v="2281"/>
    <x v="373"/>
    <s v="Responder adecuadamente a las necesidades de salud de las personas beneficiarias del programa PRAIS, considerando su historial de vulneración de derechos.Enfoque aplicado:Biopsicosocial, es decir, integrando dimensiones biológicas, psicológicas y sociales de la atención en salud. Componentes de la adquisición: Prestaciones sanitarias.Insumos clínicos y no clínicos.Recursos para el funcionamiento operativo del programa. Materiales e insumos para actividades de promoción de Derechos Humanos .Apoyo para el dllo de hitos y actividads del programa"/>
    <n v="23"/>
    <s v="Servicios Médicos"/>
    <n v="4"/>
    <n v="1"/>
    <n v="2000000"/>
    <n v="2000000"/>
    <x v="4"/>
    <x v="31"/>
    <x v="104"/>
    <x v="67"/>
    <s v="64-2336694-"/>
    <s v="anamaria.diaz@redsalud.gob.cl"/>
    <x v="14"/>
    <m/>
    <n v="0"/>
    <m/>
    <n v="0"/>
    <n v="0"/>
    <m/>
    <x v="1"/>
    <x v="4"/>
  </r>
  <r>
    <s v="SERVICIO DE SALUD OSORNO"/>
    <s v="Bienes y Servicios"/>
    <x v="381"/>
    <s v="Proyecto operacional"/>
    <s v="Enviado"/>
    <n v="2281"/>
    <x v="373"/>
    <s v="Responder adecuadamente a las necesidades de salud de las personas beneficiarias del programa PRAIS, considerando su historial de vulneración de derechos.Enfoque aplicado:Biopsicosocial, es decir, integrando dimensiones biológicas, psicológicas y sociales de la atención en salud. Componentes de la adquisición: Prestaciones sanitarias.Insumos clínicos y no clínicos.Recursos para el funcionamiento operativo del programa. Materiales e insumos para actividades de promoción de Derechos Humanos .Apoyo para el dllo de hitos y actividads del programa"/>
    <n v="23"/>
    <s v="Cera"/>
    <n v="4"/>
    <n v="2"/>
    <n v="20000"/>
    <n v="40000"/>
    <x v="4"/>
    <x v="24"/>
    <x v="104"/>
    <x v="67"/>
    <s v="64-2336694-"/>
    <s v="anamaria.diaz@redsalud.gob.cl"/>
    <x v="21"/>
    <m/>
    <n v="0"/>
    <m/>
    <n v="0"/>
    <n v="0"/>
    <m/>
    <x v="1"/>
    <x v="4"/>
  </r>
  <r>
    <s v="SERVICIO DE SALUD OSORNO"/>
    <s v="Bienes y Servicios"/>
    <x v="381"/>
    <s v="Proyecto operacional"/>
    <s v="Enviado"/>
    <n v="2281"/>
    <x v="373"/>
    <s v="Responder adecuadamente a las necesidades de salud de las personas beneficiarias del programa PRAIS, considerando su historial de vulneración de derechos.Enfoque aplicado:Biopsicosocial, es decir, integrando dimensiones biológicas, psicológicas y sociales de la atención en salud. Componentes de la adquisición: Prestaciones sanitarias.Insumos clínicos y no clínicos.Recursos para el funcionamiento operativo del programa. Materiales e insumos para actividades de promoción de Derechos Humanos .Apoyo para el dllo de hitos y actividads del programa"/>
    <n v="23"/>
    <s v="Bloqueador Solar"/>
    <n v="4"/>
    <n v="1"/>
    <n v="35000"/>
    <n v="35000"/>
    <x v="4"/>
    <x v="24"/>
    <x v="104"/>
    <x v="67"/>
    <s v="64-2336694-"/>
    <s v="anamaria.diaz@redsalud.gob.cl"/>
    <x v="21"/>
    <m/>
    <n v="0"/>
    <m/>
    <n v="0"/>
    <n v="0"/>
    <m/>
    <x v="1"/>
    <x v="4"/>
  </r>
  <r>
    <s v="SERVICIO DE SALUD OSORNO"/>
    <s v="Bienes y Servicios"/>
    <x v="381"/>
    <s v="Proyecto operacional"/>
    <s v="Enviado"/>
    <n v="2281"/>
    <x v="373"/>
    <s v="Responder adecuadamente a las necesidades de salud de las personas beneficiarias del programa PRAIS, considerando su historial de vulneración de derechos.Enfoque aplicado:Biopsicosocial, es decir, integrando dimensiones biológicas, psicológicas y sociales de la atención en salud. Componentes de la adquisición: Prestaciones sanitarias.Insumos clínicos y no clínicos.Recursos para el funcionamiento operativo del programa. Materiales e insumos para actividades de promoción de Derechos Humanos .Apoyo para el dllo de hitos y actividads del programa"/>
    <n v="23"/>
    <s v="Guantes"/>
    <n v="4"/>
    <n v="24"/>
    <n v="6500"/>
    <n v="156000"/>
    <x v="4"/>
    <x v="24"/>
    <x v="104"/>
    <x v="67"/>
    <s v="64-2336694-"/>
    <s v="anamaria.diaz@redsalud.gob.cl"/>
    <x v="21"/>
    <m/>
    <n v="0"/>
    <m/>
    <n v="0"/>
    <n v="0"/>
    <m/>
    <x v="1"/>
    <x v="4"/>
  </r>
  <r>
    <s v="SERVICIO DE SALUD OSORNO"/>
    <s v="Activos Fijos"/>
    <x v="382"/>
    <s v="Proyecto operacional"/>
    <s v="Enviado"/>
    <n v="2584"/>
    <x v="374"/>
    <s v="Se requiere Hidrolavadora para poder limpiar accesos de vehiculos que se llenan de pasto y musgos, limpiar muros y ventanas del establecimiento con personal propio."/>
    <n v="1"/>
    <s v="Hidrolavadora"/>
    <n v="4"/>
    <n v="1"/>
    <n v="250000"/>
    <n v="250000"/>
    <x v="4"/>
    <x v="38"/>
    <x v="44"/>
    <x v="58"/>
    <s v="64-2335588-"/>
    <s v="roberto.nunez@redsalud.gob.cl"/>
    <x v="13"/>
    <m/>
    <n v="0"/>
    <m/>
    <n v="0"/>
    <n v="0"/>
    <m/>
    <x v="1"/>
    <x v="5"/>
  </r>
  <r>
    <s v="SERVICIO DE SALUD OSORNO"/>
    <s v="Bienes y Servicios"/>
    <x v="383"/>
    <s v="Proyecto operacional"/>
    <s v="Enviado"/>
    <n v="2380"/>
    <x v="375"/>
    <s v="Contar con servicio de cafetería (2 días) en horario am y snack frio para jornada pm, para asistentes y relatores externos, además de insumos de Liberia para el desarrollo de actividades practicas. mes ejecucion de la compra: Abril"/>
    <n v="4"/>
    <s v="Materiales de Enseñanza"/>
    <n v="4"/>
    <n v="62"/>
    <n v="2678"/>
    <n v="166036"/>
    <x v="4"/>
    <x v="24"/>
    <x v="2"/>
    <x v="3"/>
    <s v="64-2337728-"/>
    <s v="CATALINA.VERAC@REDSALUD.GOB.CL"/>
    <x v="14"/>
    <m/>
    <n v="0"/>
    <m/>
    <n v="0"/>
    <n v="0"/>
    <m/>
    <x v="1"/>
    <x v="4"/>
  </r>
  <r>
    <s v="SERVICIO DE SALUD OSORNO"/>
    <s v="Bienes y Servicios"/>
    <x v="383"/>
    <s v="Proyecto operacional"/>
    <s v="Enviado"/>
    <n v="2380"/>
    <x v="375"/>
    <s v="Contar con servicio de cafetería (2 días) en horario am y snack frio para jornada pm, para asistentes y relatores externos, además de insumos de Liberia para el desarrollo de actividades practicas. mes ejecucion de la compra: Abril"/>
    <n v="4"/>
    <s v="Servicio de Cafeteria"/>
    <n v="4"/>
    <n v="200"/>
    <n v="6750"/>
    <n v="1350000"/>
    <x v="4"/>
    <x v="24"/>
    <x v="2"/>
    <x v="3"/>
    <s v="64-2337728-"/>
    <s v="CATALINA.VERAC@REDSALUD.GOB.CL"/>
    <x v="14"/>
    <m/>
    <n v="0"/>
    <m/>
    <n v="0"/>
    <n v="0"/>
    <m/>
    <x v="1"/>
    <x v="4"/>
  </r>
  <r>
    <s v="SERVICIO DE SALUD OSORNO"/>
    <s v="Bienes y Servicios"/>
    <x v="383"/>
    <s v="Proyecto operacional"/>
    <s v="Enviado"/>
    <n v="2380"/>
    <x v="375"/>
    <s v="Contar con servicio de cafetería (2 días) en horario am y snack frio para jornada pm, para asistentes y relatores externos, además de insumos de Liberia para el desarrollo de actividades practicas. mes ejecucion de la compra: Abril"/>
    <n v="4"/>
    <s v="Menaje"/>
    <n v="4"/>
    <n v="656"/>
    <n v="112"/>
    <n v="73472"/>
    <x v="4"/>
    <x v="24"/>
    <x v="2"/>
    <x v="3"/>
    <s v="64-2337728-"/>
    <s v="CATALINA.VERAC@REDSALUD.GOB.CL"/>
    <x v="14"/>
    <m/>
    <n v="0"/>
    <m/>
    <n v="0"/>
    <n v="0"/>
    <m/>
    <x v="1"/>
    <x v="4"/>
  </r>
  <r>
    <s v="SERVICIO DE SALUD OSORNO"/>
    <s v="Bienes y Servicios"/>
    <x v="383"/>
    <s v="Proyecto operacional"/>
    <s v="Enviado"/>
    <n v="2380"/>
    <x v="375"/>
    <s v="Contar con servicio de cafetería (2 días) en horario am y snack frio para jornada pm, para asistentes y relatores externos, además de insumos de Liberia para el desarrollo de actividades practicas. mes ejecucion de la compra: Abril"/>
    <n v="4"/>
    <s v="Alimentación"/>
    <n v="4"/>
    <n v="1"/>
    <n v="364000"/>
    <n v="364000"/>
    <x v="4"/>
    <x v="24"/>
    <x v="2"/>
    <x v="3"/>
    <s v="64-2337728-"/>
    <s v="CATALINA.VERAC@REDSALUD.GOB.CL"/>
    <x v="14"/>
    <m/>
    <n v="0"/>
    <m/>
    <n v="0"/>
    <n v="0"/>
    <m/>
    <x v="1"/>
    <x v="4"/>
  </r>
  <r>
    <s v="SERVICIO DE SALUD OSORNO"/>
    <s v="Bienes y Servicios"/>
    <x v="384"/>
    <s v="Proyecto operacional"/>
    <s v="Enviado"/>
    <s v="22.04.002"/>
    <x v="376"/>
    <s v="MES DE EJECUCION DE LA COMPRA DE MATERIALES DE ESCRITORIO, DIDACTICOS E INSUMOS DE CAFETERIA SE REALIZARA EN EL MES DE FEBRERO DE 2026."/>
    <n v="5"/>
    <s v="Menaje"/>
    <n v="4"/>
    <n v="2160"/>
    <n v="73"/>
    <n v="157680"/>
    <x v="4"/>
    <x v="38"/>
    <x v="105"/>
    <x v="105"/>
    <s v="64-2335819-"/>
    <s v="sandra.rodriguez@redsalud.gob.cl"/>
    <x v="19"/>
    <m/>
    <n v="0"/>
    <m/>
    <n v="0"/>
    <n v="0"/>
    <m/>
    <x v="1"/>
    <x v="4"/>
  </r>
  <r>
    <s v="SERVICIO DE SALUD OSORNO"/>
    <s v="Bienes y Servicios"/>
    <x v="384"/>
    <s v="Proyecto operacional"/>
    <s v="Enviado"/>
    <s v="22.04.002"/>
    <x v="376"/>
    <s v="MES DE EJECUCION DE LA COMPRA DE MATERIALES DE ESCRITORIO, DIDACTICOS E INSUMOS DE CAFETERIA SE REALIZARA EN EL MES DE FEBRERO DE 2026."/>
    <n v="5"/>
    <s v="Alimentación"/>
    <n v="4"/>
    <n v="1405"/>
    <n v="461"/>
    <n v="647705"/>
    <x v="4"/>
    <x v="38"/>
    <x v="105"/>
    <x v="105"/>
    <s v="64-2335819-"/>
    <s v="sandra.rodriguez@redsalud.gob.cl"/>
    <x v="19"/>
    <m/>
    <n v="0"/>
    <m/>
    <n v="0"/>
    <n v="0"/>
    <m/>
    <x v="1"/>
    <x v="4"/>
  </r>
  <r>
    <s v="SERVICIO DE SALUD OSORNO"/>
    <s v="Bienes y Servicios"/>
    <x v="384"/>
    <s v="Proyecto operacional"/>
    <s v="Enviado"/>
    <s v="22.04.002"/>
    <x v="376"/>
    <s v="MES DE EJECUCION DE LA COMPRA DE MATERIALES DE ESCRITORIO, DIDACTICOS E INSUMOS DE CAFETERIA SE REALIZARA EN EL MES DE FEBRERO DE 2026."/>
    <n v="5"/>
    <s v="Material de Oficina"/>
    <n v="4"/>
    <n v="803"/>
    <n v="1053"/>
    <n v="845559"/>
    <x v="4"/>
    <x v="38"/>
    <x v="105"/>
    <x v="105"/>
    <s v="64-2335819-"/>
    <s v="sandra.rodriguez@redsalud.gob.cl"/>
    <x v="19"/>
    <m/>
    <n v="0"/>
    <m/>
    <n v="0"/>
    <n v="0"/>
    <m/>
    <x v="1"/>
    <x v="4"/>
  </r>
  <r>
    <s v="SERVICIO DE SALUD OSORNO"/>
    <s v="Bienes y Servicios"/>
    <x v="384"/>
    <s v="Proyecto operacional"/>
    <s v="Enviado"/>
    <s v="22.04.002"/>
    <x v="376"/>
    <s v="MES DE EJECUCION DE LA COMPRA DE MATERIALES DE ESCRITORIO, DIDACTICOS E INSUMOS DE CAFETERIA SE REALIZARA EN EL MES DE FEBRERO DE 2026."/>
    <n v="5"/>
    <s v="Marcos-Arreglo-Globo"/>
    <n v="4"/>
    <n v="566"/>
    <n v="7947"/>
    <n v="4498002"/>
    <x v="4"/>
    <x v="38"/>
    <x v="105"/>
    <x v="105"/>
    <s v="64-2335819-"/>
    <s v="sandra.rodriguez@redsalud.gob.cl"/>
    <x v="19"/>
    <m/>
    <n v="0"/>
    <m/>
    <n v="0"/>
    <n v="0"/>
    <m/>
    <x v="1"/>
    <x v="4"/>
  </r>
  <r>
    <s v="SERVICIO DE SALUD OSORNO"/>
    <s v="Bienes y Servicios"/>
    <x v="384"/>
    <s v="Proyecto operacional"/>
    <s v="Enviado"/>
    <s v="22.04.002"/>
    <x v="376"/>
    <s v="MES DE EJECUCION DE LA COMPRA DE MATERIALES DE ESCRITORIO, DIDACTICOS E INSUMOS DE CAFETERIA SE REALIZARA EN EL MES DE FEBRERO DE 2026."/>
    <n v="5"/>
    <s v="Material de Enseñanza"/>
    <n v="4"/>
    <n v="1170"/>
    <n v="375"/>
    <n v="438750"/>
    <x v="4"/>
    <x v="38"/>
    <x v="105"/>
    <x v="105"/>
    <s v="64-2335819-"/>
    <s v="sandra.rodriguez@redsalud.gob.cl"/>
    <x v="19"/>
    <m/>
    <n v="0"/>
    <m/>
    <n v="0"/>
    <n v="0"/>
    <m/>
    <x v="1"/>
    <x v="4"/>
  </r>
  <r>
    <s v="SERVICIO DE SALUD OSORNO"/>
    <s v="Bienes y Servicios"/>
    <x v="385"/>
    <s v="Proyecto operacional"/>
    <s v="Enviado"/>
    <s v="22.04.007"/>
    <x v="377"/>
    <s v="Adquisición de insumos para actividades programadas con usuarios/as de UID Newen a contar del mes de enero del 2026."/>
    <n v="2"/>
    <s v="Material de Enseñanza"/>
    <n v="4"/>
    <n v="396"/>
    <n v="1998"/>
    <n v="791208"/>
    <x v="4"/>
    <x v="35"/>
    <x v="22"/>
    <x v="67"/>
    <s v="64-2337766-"/>
    <s v="camila.roa@redsalud.gob.cl"/>
    <x v="13"/>
    <m/>
    <n v="0"/>
    <m/>
    <n v="0"/>
    <n v="0"/>
    <m/>
    <x v="1"/>
    <x v="4"/>
  </r>
  <r>
    <s v="SERVICIO DE SALUD OSORNO"/>
    <s v="Bienes y Servicios"/>
    <x v="385"/>
    <s v="Proyecto operacional"/>
    <s v="Enviado"/>
    <s v="22.04.007"/>
    <x v="377"/>
    <s v="Adquisición de insumos para actividades programadas con usuarios/as de UID Newen a contar del mes de enero del 2026."/>
    <n v="2"/>
    <s v="Toallas"/>
    <n v="4"/>
    <n v="12"/>
    <n v="2500"/>
    <n v="30000"/>
    <x v="4"/>
    <x v="35"/>
    <x v="22"/>
    <x v="67"/>
    <s v="64-2337766-"/>
    <s v="camila.roa@redsalud.gob.cl"/>
    <x v="13"/>
    <m/>
    <n v="0"/>
    <m/>
    <n v="0"/>
    <n v="0"/>
    <m/>
    <x v="1"/>
    <x v="4"/>
  </r>
  <r>
    <s v="SERVICIO DE SALUD OSORNO"/>
    <s v="Administración de Fondos"/>
    <x v="386"/>
    <s v="Proyecto operacional"/>
    <s v="Enviado"/>
    <s v="22.04"/>
    <x v="378"/>
    <s v="Se requiere la adquisición de equipos electrónicos y mobiliario de alto rendimiento, con el propósito de garantizar eficiencia, seguridad, durabilidad y funcionalidad en el desarrollo de las actividades de la unidad. Esta adquisición busca asegurar un funcionamiento óptimo en los ámbitos tecnológicos, educativos y residenciales, incluso frente a eventualidades u otras contingencias operativas."/>
    <n v="7"/>
    <s v="SIllas - Sillones"/>
    <n v="4"/>
    <n v="44"/>
    <n v="61364"/>
    <n v="2700016"/>
    <x v="4"/>
    <x v="38"/>
    <x v="43"/>
    <x v="48"/>
    <s v="64-2335492-"/>
    <s v="CAROLINA.SILVALL@REDSALUD.GOB.CL"/>
    <x v="19"/>
    <m/>
    <n v="0"/>
    <m/>
    <n v="0"/>
    <n v="0"/>
    <m/>
    <x v="1"/>
    <x v="2"/>
  </r>
  <r>
    <s v="SERVICIO DE SALUD OSORNO"/>
    <s v="Administración de Fondos"/>
    <x v="386"/>
    <s v="Proyecto operacional"/>
    <s v="Enviado"/>
    <s v="22.04"/>
    <x v="378"/>
    <s v="Se requiere la adquisición de equipos electrónicos y mobiliario de alto rendimiento, con el propósito de garantizar eficiencia, seguridad, durabilidad y funcionalidad en el desarrollo de las actividades de la unidad. Esta adquisición busca asegurar un funcionamiento óptimo en los ámbitos tecnológicos, educativos y residenciales, incluso frente a eventualidades u otras contingencias operativas."/>
    <n v="7"/>
    <s v="Televisor-Aire-Aspiradora"/>
    <n v="4"/>
    <n v="4"/>
    <n v="315000"/>
    <n v="1260000"/>
    <x v="4"/>
    <x v="38"/>
    <x v="43"/>
    <x v="48"/>
    <s v="64-2335492-"/>
    <s v="CAROLINA.SILVALL@REDSALUD.GOB.CL"/>
    <x v="19"/>
    <m/>
    <n v="0"/>
    <m/>
    <n v="0"/>
    <n v="0"/>
    <m/>
    <x v="1"/>
    <x v="2"/>
  </r>
  <r>
    <s v="SERVICIO DE SALUD OSORNO"/>
    <s v="Administración de Fondos"/>
    <x v="386"/>
    <s v="Proyecto operacional"/>
    <s v="Enviado"/>
    <s v="22.04"/>
    <x v="378"/>
    <s v="Se requiere la adquisición de equipos electrónicos y mobiliario de alto rendimiento, con el propósito de garantizar eficiencia, seguridad, durabilidad y funcionalidad en el desarrollo de las actividades de la unidad. Esta adquisición busca asegurar un funcionamiento óptimo en los ámbitos tecnológicos, educativos y residenciales, incluso frente a eventualidades u otras contingencias operativas."/>
    <n v="7"/>
    <s v="Escritorio-Mobiliario-BodegaLata"/>
    <n v="4"/>
    <n v="7"/>
    <n v="294286"/>
    <n v="2060002"/>
    <x v="4"/>
    <x v="25"/>
    <x v="43"/>
    <x v="48"/>
    <s v="64-2335492-"/>
    <s v="CAROLINA.SILVALL@REDSALUD.GOB.CL"/>
    <x v="15"/>
    <m/>
    <n v="0"/>
    <m/>
    <n v="0"/>
    <n v="0"/>
    <m/>
    <x v="1"/>
    <x v="2"/>
  </r>
  <r>
    <s v="SERVICIO DE SALUD OSORNO"/>
    <s v="Administración de Fondos"/>
    <x v="386"/>
    <s v="Proyecto operacional"/>
    <s v="Enviado"/>
    <s v="22.04"/>
    <x v="378"/>
    <s v="Se requiere la adquisición de equipos electrónicos y mobiliario de alto rendimiento, con el propósito de garantizar eficiencia, seguridad, durabilidad y funcionalidad en el desarrollo de las actividades de la unidad. Esta adquisición busca asegurar un funcionamiento óptimo en los ámbitos tecnológicos, educativos y residenciales, incluso frente a eventualidades u otras contingencias operativas."/>
    <n v="7"/>
    <s v="Equipos Menores"/>
    <n v="4"/>
    <n v="9"/>
    <n v="52223"/>
    <n v="470007"/>
    <x v="4"/>
    <x v="25"/>
    <x v="43"/>
    <x v="48"/>
    <s v="64-2335492-"/>
    <s v="CAROLINA.SILVALL@REDSALUD.GOB.CL"/>
    <x v="19"/>
    <m/>
    <n v="0"/>
    <m/>
    <n v="0"/>
    <n v="0"/>
    <m/>
    <x v="1"/>
    <x v="2"/>
  </r>
  <r>
    <s v="SERVICIO DE SALUD OSORNO"/>
    <s v="Administración de Fondos"/>
    <x v="386"/>
    <s v="Proyecto operacional"/>
    <s v="Enviado"/>
    <s v="22.04"/>
    <x v="378"/>
    <s v="Se requiere la adquisición de equipos electrónicos y mobiliario de alto rendimiento, con el propósito de garantizar eficiencia, seguridad, durabilidad y funcionalidad en el desarrollo de las actividades de la unidad. Esta adquisición busca asegurar un funcionamiento óptimo en los ámbitos tecnológicos, educativos y residenciales, incluso frente a eventualidades u otras contingencias operativas."/>
    <n v="7"/>
    <s v="Refrigerador"/>
    <n v="4"/>
    <n v="2"/>
    <n v="350000"/>
    <n v="700000"/>
    <x v="4"/>
    <x v="25"/>
    <x v="43"/>
    <x v="48"/>
    <s v="64-2335492-"/>
    <s v="CAROLINA.SILVALL@REDSALUD.GOB.CL"/>
    <x v="15"/>
    <m/>
    <n v="0"/>
    <m/>
    <n v="0"/>
    <n v="0"/>
    <m/>
    <x v="1"/>
    <x v="2"/>
  </r>
  <r>
    <s v="SERVICIO DE SALUD OSORNO"/>
    <s v="Administración de Fondos"/>
    <x v="386"/>
    <s v="Proyecto operacional"/>
    <s v="Enviado"/>
    <s v="22.04"/>
    <x v="378"/>
    <s v="Se requiere la adquisición de equipos electrónicos y mobiliario de alto rendimiento, con el propósito de garantizar eficiencia, seguridad, durabilidad y funcionalidad en el desarrollo de las actividades de la unidad. Esta adquisición busca asegurar un funcionamiento óptimo en los ámbitos tecnológicos, educativos y residenciales, incluso frente a eventualidades u otras contingencias operativas."/>
    <n v="7"/>
    <s v="Mesa Pegable"/>
    <n v="4"/>
    <n v="2"/>
    <n v="60000"/>
    <n v="120000"/>
    <x v="4"/>
    <x v="25"/>
    <x v="43"/>
    <x v="48"/>
    <s v="64-2335492-"/>
    <s v="CAROLINA.SILVALL@REDSALUD.GOB.CL"/>
    <x v="15"/>
    <m/>
    <n v="0"/>
    <m/>
    <n v="0"/>
    <n v="0"/>
    <m/>
    <x v="1"/>
    <x v="2"/>
  </r>
  <r>
    <s v="SERVICIO DE SALUD OSORNO"/>
    <s v="Administración de Fondos"/>
    <x v="386"/>
    <s v="Proyecto operacional"/>
    <s v="Enviado"/>
    <s v="22.04"/>
    <x v="378"/>
    <s v="Se requiere la adquisición de equipos electrónicos y mobiliario de alto rendimiento, con el propósito de garantizar eficiencia, seguridad, durabilidad y funcionalidad en el desarrollo de las actividades de la unidad. Esta adquisición busca asegurar un funcionamiento óptimo en los ámbitos tecnológicos, educativos y residenciales, incluso frente a eventualidades u otras contingencias operativas."/>
    <n v="7"/>
    <s v="Delantal de Cocina"/>
    <n v="4"/>
    <n v="1"/>
    <n v="500000"/>
    <n v="500000"/>
    <x v="4"/>
    <x v="25"/>
    <x v="43"/>
    <x v="48"/>
    <s v="64-2335492-"/>
    <s v="CAROLINA.SILVALL@REDSALUD.GOB.CL"/>
    <x v="19"/>
    <m/>
    <n v="0"/>
    <m/>
    <n v="0"/>
    <n v="0"/>
    <m/>
    <x v="1"/>
    <x v="2"/>
  </r>
  <r>
    <s v="SERVICIO DE SALUD OSORNO"/>
    <s v="Bienes y Servicios"/>
    <x v="387"/>
    <s v="Proyecto operacional"/>
    <s v="Enviado"/>
    <s v="22.04.001"/>
    <x v="379"/>
    <s v="Suministrar materiales y herramientas de oficina, tales como tijeras, corcheteras, lapices, pendon, timbres, hojas, etc. para funcionarios para facilitar su funcionamiento de trabajo."/>
    <n v="3"/>
    <s v="Material de Oficina"/>
    <n v="4"/>
    <n v="5298"/>
    <n v="52"/>
    <n v="275496"/>
    <x v="4"/>
    <x v="38"/>
    <x v="2"/>
    <x v="3"/>
    <s v="64-2337728-"/>
    <s v="CATALINA.VERAC@REDSALUD.GOB.CL"/>
    <x v="19"/>
    <m/>
    <n v="0"/>
    <m/>
    <n v="0"/>
    <n v="0"/>
    <m/>
    <x v="1"/>
    <x v="4"/>
  </r>
  <r>
    <s v="SERVICIO DE SALUD OSORNO"/>
    <s v="Bienes y Servicios"/>
    <x v="387"/>
    <s v="Proyecto operacional"/>
    <s v="Enviado"/>
    <s v="22.04.001"/>
    <x v="379"/>
    <s v="Suministrar materiales y herramientas de oficina, tales como tijeras, corcheteras, lapices, pendon, timbres, hojas, etc. para funcionarios para facilitar su funcionamiento de trabajo."/>
    <n v="3"/>
    <s v="Pendon"/>
    <n v="4"/>
    <n v="1"/>
    <n v="80000"/>
    <n v="80000"/>
    <x v="4"/>
    <x v="38"/>
    <x v="2"/>
    <x v="3"/>
    <s v="64-2337728-"/>
    <s v="CATALINA.VERAC@REDSALUD.GOB.CL"/>
    <x v="19"/>
    <m/>
    <n v="0"/>
    <m/>
    <n v="0"/>
    <n v="0"/>
    <m/>
    <x v="1"/>
    <x v="4"/>
  </r>
  <r>
    <s v="SERVICIO DE SALUD OSORNO"/>
    <s v="Bienes y Servicios"/>
    <x v="387"/>
    <s v="Proyecto operacional"/>
    <s v="Enviado"/>
    <s v="22.04.001"/>
    <x v="379"/>
    <s v="Suministrar materiales y herramientas de oficina, tales como tijeras, corcheteras, lapices, pendon, timbres, hojas, etc. para funcionarios para facilitar su funcionamiento de trabajo."/>
    <n v="3"/>
    <s v="Caja Plastica"/>
    <n v="4"/>
    <n v="4"/>
    <n v="10000"/>
    <n v="40000"/>
    <x v="4"/>
    <x v="38"/>
    <x v="2"/>
    <x v="3"/>
    <s v="64-2337728-"/>
    <s v="CATALINA.VERAC@REDSALUD.GOB.CL"/>
    <x v="19"/>
    <m/>
    <n v="0"/>
    <m/>
    <n v="0"/>
    <n v="0"/>
    <m/>
    <x v="1"/>
    <x v="4"/>
  </r>
  <r>
    <s v="SERVICIO DE SALUD OSORNO"/>
    <s v="Bienes y Servicios"/>
    <x v="388"/>
    <s v="Proyecto operacional"/>
    <s v="Enviado"/>
    <s v="22.04.002"/>
    <x v="380"/>
    <s v="MES DE EJECUCION DE LA COMPRA DE MATERIALES DE ESCRITORIO, DIDACTICOS E INSUMOS DE CAFETERIA SE REALIZARA EN EL MES DE FEBRERO DE 2026."/>
    <n v="3"/>
    <s v="Alimentación"/>
    <n v="4"/>
    <n v="1348"/>
    <n v="580"/>
    <n v="781840"/>
    <x v="4"/>
    <x v="38"/>
    <x v="106"/>
    <x v="106"/>
    <s v="64-2335819-"/>
    <s v="waleska.monsalvez@redsalud.gob.cl"/>
    <x v="19"/>
    <m/>
    <n v="0"/>
    <m/>
    <n v="0"/>
    <n v="0"/>
    <m/>
    <x v="1"/>
    <x v="4"/>
  </r>
  <r>
    <s v="SERVICIO DE SALUD OSORNO"/>
    <s v="Bienes y Servicios"/>
    <x v="388"/>
    <s v="Proyecto operacional"/>
    <s v="Enviado"/>
    <s v="22.04.002"/>
    <x v="380"/>
    <s v="MES DE EJECUCION DE LA COMPRA DE MATERIALES DE ESCRITORIO, DIDACTICOS E INSUMOS DE CAFETERIA SE REALIZARA EN EL MES DE FEBRERO DE 2026."/>
    <n v="3"/>
    <s v="Menaje"/>
    <n v="4"/>
    <n v="2210"/>
    <n v="75"/>
    <n v="165750"/>
    <x v="4"/>
    <x v="38"/>
    <x v="106"/>
    <x v="106"/>
    <s v="64-2335819-"/>
    <s v="waleska.monsalvez@redsalud.gob.cl"/>
    <x v="19"/>
    <m/>
    <n v="0"/>
    <m/>
    <n v="0"/>
    <n v="0"/>
    <m/>
    <x v="1"/>
    <x v="4"/>
  </r>
  <r>
    <s v="SERVICIO DE SALUD OSORNO"/>
    <s v="Bienes y Servicios"/>
    <x v="388"/>
    <s v="Proyecto operacional"/>
    <s v="Enviado"/>
    <s v="22.04.002"/>
    <x v="380"/>
    <s v="MES DE EJECUCION DE LA COMPRA DE MATERIALES DE ESCRITORIO, DIDACTICOS E INSUMOS DE CAFETERIA SE REALIZARA EN EL MES DE FEBRERO DE 2026."/>
    <n v="3"/>
    <s v="Material de Enseñanza"/>
    <n v="4"/>
    <n v="2554"/>
    <n v="227"/>
    <n v="579758"/>
    <x v="4"/>
    <x v="38"/>
    <x v="106"/>
    <x v="106"/>
    <s v="64-2335819-"/>
    <s v="waleska.monsalvez@redsalud.gob.cl"/>
    <x v="19"/>
    <m/>
    <n v="0"/>
    <m/>
    <n v="0"/>
    <n v="0"/>
    <m/>
    <x v="1"/>
    <x v="4"/>
  </r>
  <r>
    <s v="SERVICIO DE SALUD OSORNO"/>
    <s v="Bienes y Servicios"/>
    <x v="389"/>
    <s v="Proyecto operacional"/>
    <s v="Enviado"/>
    <s v="22.04"/>
    <x v="381"/>
    <s v="Pizarra de Corcho (50x30) Pizarra de Corcho (50x60) Pizarra mitad Corcho y mitad Blanca (50x60) Corchetera Isofit CM70 Regla acero 30 cm Tijeras chicas Disco Duro Externo 2TB BANDEJA DE ESCRITORIO TRIPLE DE MADERA, LAS MEDIDAS SON 38X35 (RESPETAR MEDIDAS)"/>
    <n v="2"/>
    <s v="Material de Oficina"/>
    <n v="4"/>
    <n v="20"/>
    <n v="11950"/>
    <n v="239000"/>
    <x v="4"/>
    <x v="35"/>
    <x v="95"/>
    <x v="107"/>
    <s v="64-2335752-"/>
    <s v="CRISTINA.COLLINAO@REDSALUD.GOB.CL"/>
    <x v="13"/>
    <m/>
    <n v="0"/>
    <m/>
    <n v="0"/>
    <n v="0"/>
    <m/>
    <x v="1"/>
    <x v="4"/>
  </r>
  <r>
    <s v="SERVICIO DE SALUD OSORNO"/>
    <s v="Bienes y Servicios"/>
    <x v="389"/>
    <s v="Proyecto operacional"/>
    <s v="Enviado"/>
    <s v="22.04"/>
    <x v="381"/>
    <s v="Pizarra de Corcho (50x30) Pizarra de Corcho (50x60) Pizarra mitad Corcho y mitad Blanca (50x60) Corchetera Isofit CM70 Regla acero 30 cm Tijeras chicas Disco Duro Externo 2TB BANDEJA DE ESCRITORIO TRIPLE DE MADERA, LAS MEDIDAS SON 38X35 (RESPETAR MEDIDAS)"/>
    <n v="2"/>
    <s v="Disco Duro"/>
    <n v="4"/>
    <n v="4"/>
    <n v="62500"/>
    <n v="250000"/>
    <x v="4"/>
    <x v="35"/>
    <x v="95"/>
    <x v="107"/>
    <s v="64-2335752-"/>
    <s v="CRISTINA.COLLINAO@REDSALUD.GOB.CL"/>
    <x v="13"/>
    <m/>
    <n v="0"/>
    <m/>
    <n v="0"/>
    <n v="0"/>
    <m/>
    <x v="1"/>
    <x v="4"/>
  </r>
  <r>
    <s v="SERVICIO DE SALUD OSORNO"/>
    <s v="Bienes y Servicios"/>
    <x v="390"/>
    <s v="Proyecto operacional"/>
    <s v="Enviado"/>
    <s v="22.04.003"/>
    <x v="382"/>
    <s v="Se adquieren cintas de glicemia y glucómetros en comodato"/>
    <n v="1"/>
    <s v="Test"/>
    <n v="4"/>
    <n v="250000"/>
    <n v="230"/>
    <n v="57500000"/>
    <x v="4"/>
    <x v="24"/>
    <x v="52"/>
    <x v="56"/>
    <s v="64-2335811-"/>
    <s v="eleuterio.roman@redsalud.gob.cl"/>
    <x v="14"/>
    <m/>
    <n v="0"/>
    <m/>
    <n v="0"/>
    <n v="0"/>
    <m/>
    <x v="1"/>
    <x v="4"/>
  </r>
  <r>
    <s v="SERVICIO DE SALUD OSORNO"/>
    <s v="Administración de Fondos"/>
    <x v="391"/>
    <s v="Proyecto operacional"/>
    <s v="Enviado"/>
    <s v="22.04"/>
    <x v="383"/>
    <s v="Se requiere la adquisición de equipos electrónicos de alto rendimiento, aparatos domésticos de última generación Y muebles firmes. La compra busca garantizar eficiencia, seguridad, durabilidad y funcionalidad, permitiendo el óptimo desarrollo de actividades tecnológicas, educativas y residenciales, incluso ante eventualidades que afecten la operación de la unidad."/>
    <n v="1"/>
    <s v="Articulos de Cocina"/>
    <n v="4"/>
    <n v="9"/>
    <n v="31112"/>
    <n v="280008"/>
    <x v="4"/>
    <x v="31"/>
    <x v="43"/>
    <x v="48"/>
    <s v="64-2335492-"/>
    <s v="CAROLINA.SILVALL@REDSALUD.GOB.CL"/>
    <x v="20"/>
    <m/>
    <n v="0"/>
    <m/>
    <n v="0"/>
    <n v="0"/>
    <m/>
    <x v="1"/>
    <x v="2"/>
  </r>
  <r>
    <s v="SERVICIO DE SALUD OSORNO"/>
    <s v="Bienes y Servicios"/>
    <x v="392"/>
    <s v="Proyecto operacional"/>
    <s v="Enviado"/>
    <s v="22.04"/>
    <x v="384"/>
    <s v="Se requiere la reposición de insumos y equipamiento destinados a la unidad residencial, con materiales de alta calidad, debido a que su uso es intenso y constante. Esta adquisición tiene como finalidad garantizar la seguridad, funcionalidad y durabilidad de los insumos y equipos utilizados en las distintas áreas de la unidad, contribuyendo al correcto desarrollo de las actividades diarias y la protección de los usuarios y el personal."/>
    <n v="11"/>
    <s v="Menaje"/>
    <n v="4"/>
    <n v="660"/>
    <n v="3884"/>
    <n v="2563440"/>
    <x v="4"/>
    <x v="31"/>
    <x v="43"/>
    <x v="48"/>
    <s v="64-2335492-"/>
    <s v="CAROLINA.SILVALL@REDSALUD.GOB.CL"/>
    <x v="20"/>
    <m/>
    <n v="0"/>
    <m/>
    <n v="0"/>
    <n v="0"/>
    <m/>
    <x v="1"/>
    <x v="4"/>
  </r>
  <r>
    <s v="SERVICIO DE SALUD OSORNO"/>
    <s v="Bienes y Servicios"/>
    <x v="392"/>
    <s v="Proyecto operacional"/>
    <s v="Enviado"/>
    <s v="22.04"/>
    <x v="384"/>
    <s v="Se requiere la reposición de insumos y equipamiento destinados a la unidad residencial, con materiales de alta calidad, debido a que su uso es intenso y constante. Esta adquisición tiene como finalidad garantizar la seguridad, funcionalidad y durabilidad de los insumos y equipos utilizados en las distintas áreas de la unidad, contribuyendo al correcto desarrollo de las actividades diarias y la protección de los usuarios y el personal."/>
    <n v="11"/>
    <s v="Textiles y Acabados Textiles"/>
    <n v="4"/>
    <n v="535"/>
    <n v="7651"/>
    <n v="4093285"/>
    <x v="4"/>
    <x v="31"/>
    <x v="43"/>
    <x v="48"/>
    <s v="64-2335492-"/>
    <s v="CAROLINA.SILVALL@REDSALUD.GOB.CL"/>
    <x v="20"/>
    <m/>
    <n v="0"/>
    <m/>
    <n v="0"/>
    <n v="0"/>
    <m/>
    <x v="1"/>
    <x v="4"/>
  </r>
  <r>
    <s v="SERVICIO DE SALUD OSORNO"/>
    <s v="Bienes y Servicios"/>
    <x v="392"/>
    <s v="Proyecto operacional"/>
    <s v="Enviado"/>
    <s v="22.04"/>
    <x v="384"/>
    <s v="Se requiere la reposición de insumos y equipamiento destinados a la unidad residencial, con materiales de alta calidad, debido a que su uso es intenso y constante. Esta adquisición tiene como finalidad garantizar la seguridad, funcionalidad y durabilidad de los insumos y equipos utilizados en las distintas áreas de la unidad, contribuyendo al correcto desarrollo de las actividades diarias y la protección de los usuarios y el personal."/>
    <n v="11"/>
    <s v="Materiales para Mantenimiento y Reparaciones de Inmuebles"/>
    <n v="4"/>
    <n v="77"/>
    <n v="15610"/>
    <n v="1201970"/>
    <x v="4"/>
    <x v="31"/>
    <x v="43"/>
    <x v="48"/>
    <s v="64-2335492-"/>
    <s v="CAROLINA.SILVALL@REDSALUD.GOB.CL"/>
    <x v="20"/>
    <m/>
    <n v="0"/>
    <m/>
    <n v="0"/>
    <n v="0"/>
    <m/>
    <x v="1"/>
    <x v="4"/>
  </r>
  <r>
    <s v="SERVICIO DE SALUD OSORNO"/>
    <s v="Bienes y Servicios"/>
    <x v="392"/>
    <s v="Proyecto operacional"/>
    <s v="Enviado"/>
    <s v="22.04"/>
    <x v="384"/>
    <s v="Se requiere la reposición de insumos y equipamiento destinados a la unidad residencial, con materiales de alta calidad, debido a que su uso es intenso y constante. Esta adquisición tiene como finalidad garantizar la seguridad, funcionalidad y durabilidad de los insumos y equipos utilizados en las distintas áreas de la unidad, contribuyendo al correcto desarrollo de las actividades diarias y la protección de los usuarios y el personal."/>
    <n v="11"/>
    <s v="Adquisición de Mobiliario y Otros (Bases de camas)"/>
    <n v="4"/>
    <n v="12"/>
    <n v="80000"/>
    <n v="960000"/>
    <x v="4"/>
    <x v="31"/>
    <x v="43"/>
    <x v="48"/>
    <s v="64-2335492-"/>
    <s v="CAROLINA.SILVALL@REDSALUD.GOB.CL"/>
    <x v="20"/>
    <m/>
    <n v="0"/>
    <m/>
    <n v="0"/>
    <n v="0"/>
    <m/>
    <x v="1"/>
    <x v="4"/>
  </r>
  <r>
    <s v="SERVICIO DE SALUD OSORNO"/>
    <s v="Bienes y Servicios"/>
    <x v="392"/>
    <s v="Proyecto operacional"/>
    <s v="Enviado"/>
    <s v="22.04"/>
    <x v="384"/>
    <s v="Se requiere la reposición de insumos y equipamiento destinados a la unidad residencial, con materiales de alta calidad, debido a que su uso es intenso y constante. Esta adquisición tiene como finalidad garantizar la seguridad, funcionalidad y durabilidad de los insumos y equipos utilizados en las distintas áreas de la unidad, contribuyendo al correcto desarrollo de las actividades diarias y la protección de los usuarios y el personal."/>
    <n v="11"/>
    <s v="Productos Elaborados de Cuero, Caucho y Plásticos"/>
    <n v="4"/>
    <n v="131"/>
    <n v="7237"/>
    <n v="948047"/>
    <x v="4"/>
    <x v="31"/>
    <x v="43"/>
    <x v="48"/>
    <s v="64-2335492-"/>
    <s v="CAROLINA.SILVALL@REDSALUD.GOB.CL"/>
    <x v="20"/>
    <m/>
    <n v="0"/>
    <m/>
    <n v="0"/>
    <n v="0"/>
    <m/>
    <x v="1"/>
    <x v="4"/>
  </r>
  <r>
    <s v="SERVICIO DE SALUD OSORNO"/>
    <s v="Bienes y Servicios"/>
    <x v="392"/>
    <s v="Proyecto operacional"/>
    <s v="Enviado"/>
    <s v="22.04"/>
    <x v="384"/>
    <s v="Se requiere la reposición de insumos y equipamiento destinados a la unidad residencial, con materiales de alta calidad, debido a que su uso es intenso y constante. Esta adquisición tiene como finalidad garantizar la seguridad, funcionalidad y durabilidad de los insumos y equipos utilizados en las distintas áreas de la unidad, contribuyendo al correcto desarrollo de las actividades diarias y la protección de los usuarios y el personal."/>
    <n v="11"/>
    <s v="Otros (Artículos de Ferretería y Equipamiento diverso)"/>
    <n v="4"/>
    <n v="61"/>
    <n v="9000"/>
    <n v="549000"/>
    <x v="4"/>
    <x v="31"/>
    <x v="43"/>
    <x v="48"/>
    <s v="64-2335492-"/>
    <s v="CAROLINA.SILVALL@REDSALUD.GOB.CL"/>
    <x v="20"/>
    <m/>
    <n v="0"/>
    <m/>
    <n v="0"/>
    <n v="0"/>
    <m/>
    <x v="1"/>
    <x v="4"/>
  </r>
  <r>
    <s v="SERVICIO DE SALUD OSORNO"/>
    <s v="Bienes y Servicios"/>
    <x v="392"/>
    <s v="Proyecto operacional"/>
    <s v="Enviado"/>
    <s v="22.04"/>
    <x v="384"/>
    <s v="Se requiere la reposición de insumos y equipamiento destinados a la unidad residencial, con materiales de alta calidad, debido a que su uso es intenso y constante. Esta adquisición tiene como finalidad garantizar la seguridad, funcionalidad y durabilidad de los insumos y equipos utilizados en las distintas áreas de la unidad, contribuyendo al correcto desarrollo de las actividades diarias y la protección de los usuarios y el personal."/>
    <n v="11"/>
    <s v="Calzado (Botas de goma)"/>
    <n v="4"/>
    <n v="12"/>
    <n v="41667"/>
    <n v="500004"/>
    <x v="4"/>
    <x v="31"/>
    <x v="43"/>
    <x v="48"/>
    <s v="64-2335492-"/>
    <s v="CAROLINA.SILVALL@REDSALUD.GOB.CL"/>
    <x v="20"/>
    <m/>
    <n v="0"/>
    <m/>
    <n v="0"/>
    <n v="0"/>
    <m/>
    <x v="1"/>
    <x v="4"/>
  </r>
  <r>
    <s v="SERVICIO DE SALUD OSORNO"/>
    <s v="Bienes y Servicios"/>
    <x v="392"/>
    <s v="Proyecto operacional"/>
    <s v="Enviado"/>
    <s v="22.04"/>
    <x v="384"/>
    <s v="Se requiere la reposición de insumos y equipamiento destinados a la unidad residencial, con materiales de alta calidad, debido a que su uso es intenso y constante. Esta adquisición tiene como finalidad garantizar la seguridad, funcionalidad y durabilidad de los insumos y equipos utilizados en las distintas áreas de la unidad, contribuyendo al correcto desarrollo de las actividades diarias y la protección de los usuarios y el personal."/>
    <n v="11"/>
    <s v="Productos Agropecuarios y Forestales (Artículos de Jardinería)"/>
    <n v="4"/>
    <n v="91"/>
    <n v="3187"/>
    <n v="290017"/>
    <x v="4"/>
    <x v="31"/>
    <x v="43"/>
    <x v="48"/>
    <s v="64-2335492-"/>
    <s v="CAROLINA.SILVALL@REDSALUD.GOB.CL"/>
    <x v="20"/>
    <m/>
    <n v="0"/>
    <m/>
    <n v="0"/>
    <n v="0"/>
    <m/>
    <x v="1"/>
    <x v="4"/>
  </r>
  <r>
    <s v="SERVICIO DE SALUD OSORNO"/>
    <s v="Bienes y Servicios"/>
    <x v="392"/>
    <s v="Proyecto operacional"/>
    <s v="Enviado"/>
    <s v="22.04"/>
    <x v="384"/>
    <s v="Se requiere la reposición de insumos y equipamiento destinados a la unidad residencial, con materiales de alta calidad, debido a que su uso es intenso y constante. Esta adquisición tiene como finalidad garantizar la seguridad, funcionalidad y durabilidad de los insumos y equipos utilizados en las distintas áreas de la unidad, contribuyendo al correcto desarrollo de las actividades diarias y la protección de los usuarios y el personal."/>
    <n v="11"/>
    <s v="Otros Materiales y Útiles de Aseo (Basureros)"/>
    <n v="4"/>
    <n v="4"/>
    <n v="30000"/>
    <n v="120000"/>
    <x v="4"/>
    <x v="31"/>
    <x v="43"/>
    <x v="48"/>
    <s v="64-2335492-"/>
    <s v="CAROLINA.SILVALL@REDSALUD.GOB.CL"/>
    <x v="20"/>
    <m/>
    <n v="0"/>
    <m/>
    <n v="0"/>
    <n v="0"/>
    <m/>
    <x v="1"/>
    <x v="4"/>
  </r>
  <r>
    <s v="SERVICIO DE SALUD OSORNO"/>
    <s v="Bienes y Servicios"/>
    <x v="392"/>
    <s v="Proyecto operacional"/>
    <s v="Enviado"/>
    <s v="22.04"/>
    <x v="384"/>
    <s v="Se requiere la reposición de insumos y equipamiento destinados a la unidad residencial, con materiales de alta calidad, debido a que su uso es intenso y constante. Esta adquisición tiene como finalidad garantizar la seguridad, funcionalidad y durabilidad de los insumos y equipos utilizados en las distintas áreas de la unidad, contribuyendo al correcto desarrollo de las actividades diarias y la protección de los usuarios y el personal."/>
    <n v="11"/>
    <s v="Otros Materiales para Mantenimiento (Hacha, Rodillos)"/>
    <n v="4"/>
    <n v="12"/>
    <n v="4584"/>
    <n v="55008"/>
    <x v="4"/>
    <x v="31"/>
    <x v="43"/>
    <x v="48"/>
    <s v="64-2335492-"/>
    <s v="CAROLINA.SILVALL@REDSALUD.GOB.CL"/>
    <x v="20"/>
    <m/>
    <n v="0"/>
    <m/>
    <n v="0"/>
    <n v="0"/>
    <m/>
    <x v="1"/>
    <x v="4"/>
  </r>
  <r>
    <s v="SERVICIO DE SALUD OSORNO"/>
    <s v="Bienes y Servicios"/>
    <x v="392"/>
    <s v="Proyecto operacional"/>
    <s v="Enviado"/>
    <s v="22.04"/>
    <x v="384"/>
    <s v="Se requiere la reposición de insumos y equipamiento destinados a la unidad residencial, con materiales de alta calidad, debido a que su uso es intenso y constante. Esta adquisición tiene como finalidad garantizar la seguridad, funcionalidad y durabilidad de los insumos y equipos utilizados en las distintas áreas de la unidad, contribuyendo al correcto desarrollo de las actividades diarias y la protección de los usuarios y el personal."/>
    <n v="11"/>
    <s v="Vestuario y Accesorios para el Personal (Overoles)"/>
    <n v="4"/>
    <n v="20"/>
    <n v="1500"/>
    <n v="30000"/>
    <x v="4"/>
    <x v="31"/>
    <x v="43"/>
    <x v="48"/>
    <s v="64-2335492-"/>
    <s v="CAROLINA.SILVALL@REDSALUD.GOB.CL"/>
    <x v="20"/>
    <m/>
    <n v="0"/>
    <m/>
    <n v="0"/>
    <n v="0"/>
    <m/>
    <x v="1"/>
    <x v="4"/>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93">
  <r>
    <s v="Arrastre"/>
    <x v="0"/>
    <s v="1057532-156-PC24"/>
    <s v="servicios de control de asistencia del servicio de salud osorno"/>
    <s v="Bruno Ojeda Alvarez"/>
    <s v="Jefe Depto. Tecnologías de la Información"/>
    <n v="30000000"/>
  </r>
  <r>
    <s v="Arrastre"/>
    <x v="0"/>
    <s v="1057532-162-PC25"/>
    <s v="Convenio - de Suministro para adquisición de medicamentos faltantes CENABAST para establecimientos dependientes del SSO."/>
    <s v="ELEUTERIO ROMAN"/>
    <s v="JEFE SUBDEPTO FARMACIA"/>
    <n v="75000000"/>
  </r>
  <r>
    <s v="Arrastre"/>
    <x v="0"/>
    <s v="1057532-163-PC24"/>
    <s v="Servicio gestión flota vehicular SSO"/>
    <s v="Bruno Ojeda Alvarez"/>
    <s v="Jefe Depto."/>
    <n v="6711996"/>
  </r>
  <r>
    <s v="Arrastre"/>
    <x v="0"/>
    <s v="1057532-172-PC25"/>
    <s v="Convenio - CONVENIO SERVICIO DE ASEO POR 18 MESES, PARA LA DIRECCION DEL SSO Y ESTABLECIMIENTOS DEPENDIENTES DE LA RED ASISTENCIAL"/>
    <s v="Lorena Torres Castillo"/>
    <s v="ENCARGADA (S) SECCIÓN DE ADMINISTRACIÓN DE CONTRATOS"/>
    <n v="144000000"/>
  </r>
  <r>
    <s v="Arrastre"/>
    <x v="0"/>
    <s v="1057532-173-PC25"/>
    <s v="Convenio - CONVENIO DE ADQUISICION DE KIT POINT OF CARE (POC) CON ARRIENDO DE EQUIPO PARA ANALISIS DE MUESTRAS, SSO"/>
    <s v="Sofia Reyes"/>
    <s v="Encargada"/>
    <n v="40833335"/>
  </r>
  <r>
    <s v="Arrastre"/>
    <x v="0"/>
    <s v="1057532-193-PC25"/>
    <s v="Convenio - ARRIENDO 159 EQUIPOS PC AIO PARA APOYAR LOS PORCESOS CLINICOS Y ADMINISTRATIVOS"/>
    <s v="Alvaro Montecinos"/>
    <s v="Jefe (S) Subdepto. Soporte TIC"/>
    <n v="111102840"/>
  </r>
  <r>
    <s v="Arrastre"/>
    <x v="0"/>
    <s v="1057532-195-PC25"/>
    <s v="Convenio - SERVICIO DE ASEO PARA LA DSSO (BASE SAMU, EDIFICIO PLAZA SUR Y EDIFICIO M. RODRIGUEZ) POR 18 MESES (DESDE 01 JULIO 2025)"/>
    <s v="Lorena Torres Castillo"/>
    <s v="Encargada (S) Sección Administración de Contratos"/>
    <n v="70333380"/>
  </r>
  <r>
    <s v="Arrastre"/>
    <x v="0"/>
    <s v="1057532-196-PC25"/>
    <s v="Convenio - SERVICIO DE SOPORTE Y MANTENCION RPT VHF SSO (PERIODO DOS AÑOS)"/>
    <s v="ESTEBAN ALARCON BOHLE"/>
    <s v="TECNICO RADIOCOMUNICACIONES"/>
    <n v="6255504"/>
  </r>
  <r>
    <s v="Arrastre"/>
    <x v="0"/>
    <s v="1057532-1-PC24"/>
    <s v="Sistema control de flota vehicular del Servicio de Salud Osorno"/>
    <s v="Felipe Salvo Barriga"/>
    <s v="Enc. Sección Mant. de Vehículos"/>
    <n v="6712008"/>
  </r>
  <r>
    <s v="Arrastre"/>
    <x v="0"/>
    <s v="1057532-209-PC25"/>
    <s v="Convenio - ADQUISICION DE 3 CUPOS DE RESIDENCIA PROTEGIDA PARA EL SERVICIO DE SALUD OSORNO EN LA PROVINCIA DE CONCEPCIÓN"/>
    <s v="Angelo Palma"/>
    <s v="Jefe (s) Subdepto. Gestión Clínica y Administrativa Red Temática de Salud Mental de Especialidad"/>
    <n v="48115128"/>
  </r>
  <r>
    <s v="Arrastre"/>
    <x v="0"/>
    <s v="1057532-210-PC25"/>
    <s v="Convenio - ADQUISICION DE 12 CUPOS DE RESIDENCIA PROTEGIDA PARA EL SERVICIO DE SALUD OSORNO EN LA CIUDAD DE OSORNO"/>
    <s v="Angelo Palma"/>
    <s v="Jefe (s) Subdepto. Gestión Clínica y Administrativa Red Temática de Salud Mental de Especialidad"/>
    <n v="237155100"/>
  </r>
  <r>
    <s v="Arrastre"/>
    <x v="0"/>
    <s v="1057532-211-PC25"/>
    <s v="Convenio - ADQUISICION DE 10 CUPOS RESIDENCIA PROTEGIDA DE ALTA COMPLEJIDAD PARA EL SERVICIO DE SALUD OSORNO DE LA CIUDAD DE OSORNO"/>
    <s v="Angelo Palma"/>
    <s v="Jefe (s) Subdepto. Gestión Clínica y Administrativa Red Temática de Salud Mental de Especialidad"/>
    <n v="284700000"/>
  </r>
  <r>
    <s v="Arrastre"/>
    <x v="0"/>
    <s v="1057532-308-PC24"/>
    <s v="Convenio - 3 cupos Residencia Protegida para el Servicio de Salud Osorno en la Región Metropolitana"/>
    <s v="Antonia Caifil"/>
    <s v="Jefa Subdepto. Gestión Clinica y Adm."/>
    <n v="40432878"/>
  </r>
  <r>
    <s v="Arrastre"/>
    <x v="0"/>
    <s v="1057532-30-PC24"/>
    <s v="SISTEMAS DE COMUNICACIONES LTE WAVE PTX SERVICIO DE SALUD OSORNO"/>
    <s v="CATALINA VERA"/>
    <s v="COORDINADORA EMERGENCIA"/>
    <n v="43333332"/>
  </r>
  <r>
    <s v="Arrastre"/>
    <x v="0"/>
    <s v="1057532-311-PC24"/>
    <s v="Convenio - ( cupos Hogar Protegido Varones para el Servicio de Salud Osorno en la ciudad de Osorno"/>
    <s v="Antonia Caifil"/>
    <s v="Jefa Subdepto. Gestión Clínica y Adm."/>
    <n v="78361124"/>
  </r>
  <r>
    <s v="Arrastre"/>
    <x v="0"/>
    <s v="1057532-315-PC24"/>
    <s v="Convenio - 08 Cupos Hogar Protegido Mujeres para el Servicio de Salud Osorno en la ciudad de Osorno"/>
    <s v="Antonia Caifil"/>
    <s v="Jefa Subdepto. Gestión Clínica y Adm."/>
    <n v="78361124"/>
  </r>
  <r>
    <s v="Arrastre"/>
    <x v="0"/>
    <s v="1057532-320-PC24"/>
    <s v="Convenio - SERVICIOS DE MANTENCIÓN, RECARGA E INSPECCION PREVENTIVA PARA RED HÚMEDA Y EXTINTORES EN ESTABLECIMIENTOS SSO"/>
    <s v="KARIN SCHOLZ"/>
    <s v="Jefatura Dpto. de Calidad de Vida"/>
    <n v="18060000"/>
  </r>
  <r>
    <s v="Arrastre"/>
    <x v="0"/>
    <s v="1057532-321-PC24"/>
    <s v="Convenio - DE SERVICIOS DE MANTENCIÓN PREVENTIVA, CORRECTIVA Y/O REPARATIVA PARA VEHÍCULOS MERCEDES-BENZ DEL SSO Y HOSPITA"/>
    <s v="Felipe Salvo"/>
    <s v="Encargado Mantenimineto"/>
    <n v="150000000"/>
  </r>
  <r>
    <s v="Arrastre"/>
    <x v="0"/>
    <s v="1057532-322-PC24"/>
    <s v="Convenio - SERVICIO DE MANEJO, RETIRO, TRANSPORTE Y DISPOSICIÓN FINAL DE RESIDUOS PELIGROSOS Y ESPECIALES"/>
    <s v="KARIN SCHOLZ"/>
    <s v="JEFA DE DEPTO DE CALIDAD DE VIDA"/>
    <n v="397359215"/>
  </r>
  <r>
    <s v="Arrastre"/>
    <x v="0"/>
    <s v="1057532-328-PC24"/>
    <s v="Convenio - BENEFICIO ALIMENTACION 2024"/>
    <s v="JORGE OYARZUN SILVA"/>
    <s v="REFERENTE TARJETA ALIMENTACION"/>
    <n v="496977708"/>
  </r>
  <r>
    <s v="Arrastre"/>
    <x v="0"/>
    <s v="1057532-331-PC24"/>
    <s v="Convenio - Suministro de oxígeno medicinal para Red de Hospitales de mediana y baja complejidad y SAMU"/>
    <s v="Mario Aburto Foitzich"/>
    <s v="Encargado Gestión Salud Respiratoria"/>
    <n v="118000004"/>
  </r>
  <r>
    <s v="Arrastre"/>
    <x v="0"/>
    <s v="1057532-333-PC24"/>
    <s v="Convenio - SOPORTE Y MANTENIMIENTO SISTEMA DE REPETICIÓN VHF SERVICIO DE SALUD OSORNO 2025-2026"/>
    <s v="CATALINA VERA CASTRO"/>
    <s v="COORDINADORA EMERGENCIA"/>
    <n v="10000004"/>
  </r>
  <r>
    <s v="Arrastre"/>
    <x v="0"/>
    <s v="1057532-356-PC24"/>
    <s v="Convenio servicio de guardias para la DSSO y sus establecimientos y dispositivos dependientes"/>
    <s v="Lorena Torres Castillo"/>
    <s v="Encargada (S) Sección Administración de Contratos"/>
    <n v="905196910"/>
  </r>
  <r>
    <s v="Arrastre"/>
    <x v="0"/>
    <s v="1057532-373-PC25"/>
    <s v="Convenio - Movilización para el traslado de usuarios y funcionarios CDR adulto mayor Kumelen año 2026"/>
    <s v="Luis Flores Merino"/>
    <s v="Coordinador"/>
    <n v="36208337"/>
  </r>
  <r>
    <s v="Arrastre"/>
    <x v="0"/>
    <s v="1057532-374-PC25"/>
    <s v="Convenio - Movilizacion para el traslado de funcionarios CDR Adulto Mayor KÜMELEN 2026"/>
    <s v="Luis Flores Merino"/>
    <s v="Coordinador"/>
    <n v="28875000"/>
  </r>
  <r>
    <s v="Arrastre"/>
    <x v="0"/>
    <s v="1057532-375-PC25"/>
    <s v="Convenio - ADQUISICION DE KIT POINT OF CARE (POC) CON ARRIENDO DE EQUIPO PARA ANALISIS DE MUESTRAS POR 12 MESES, SSO"/>
    <s v="SOFIA REYES ALARCON"/>
    <s v="COMPRADOR"/>
    <n v="52500000"/>
  </r>
  <r>
    <s v="Arrastre"/>
    <x v="0"/>
    <s v="1057532-376-PC25"/>
    <s v="Convenio - Pac PASAJES 2025-2026 DSSO"/>
    <s v="Sandra Espinoza"/>
    <s v="PAC Pasajes DSSO 2025-2026"/>
    <n v="11000004"/>
  </r>
  <r>
    <s v="Arrastre"/>
    <x v="0"/>
    <s v="1057532-377-PC25"/>
    <s v="Convenio - ALIMENTOS CT PEULLA"/>
    <s v="Maria Ines Asenjo Soto"/>
    <s v="DIRECTORA"/>
    <n v="30250000"/>
  </r>
  <r>
    <s v="Arrastre"/>
    <x v="0"/>
    <s v="1057532-378-PC25"/>
    <s v="Convenio - PAC Convenio Cafeteria DSSO"/>
    <s v="Sandra Espinoza"/>
    <s v="Jefa Subdepto Abastecimiento"/>
    <n v="80000000"/>
  </r>
  <r>
    <s v="Arrastre"/>
    <x v="0"/>
    <s v="1057532-379-PC25"/>
    <s v="Convenio - SERVICIO DE MOVILIZACION PARA EL AÑO 2026"/>
    <s v="Pedro Fritz Cardeans"/>
    <s v="DIRECTOR COSAM"/>
    <n v="16041663"/>
  </r>
  <r>
    <s v="Arrastre"/>
    <x v="0"/>
    <s v="1057532-380-PC25"/>
    <s v="Convenio - SERVICIO DE MOVILIZACION PARA EL AÑO 2026 Servicio movilización COSAM Rahue, Programa Atención Domiciliaria y PAZGA periodo 2026 (Financiamiento SSO)"/>
    <s v="Yuvit García-Chacur"/>
    <s v="DIRECTORA"/>
    <n v="16500000"/>
  </r>
  <r>
    <s v="Arrastre"/>
    <x v="0"/>
    <s v="1057532-381-PC25"/>
    <s v="Convenio - Servicio movilización UID Newen"/>
    <s v="Camila Roa"/>
    <s v="Coordinadora UID NEWEN"/>
    <n v="17416663"/>
  </r>
  <r>
    <s v="Arrastre"/>
    <x v="0"/>
    <s v="1057532-382-PC25"/>
    <s v="Convenio - Movilización para el traslado de funcionarios y cuidadores Unidad de Memoria Ayekan año 2026"/>
    <s v="Ximena Campos Gueicha"/>
    <s v="Coordinador"/>
    <n v="28875000"/>
  </r>
  <r>
    <s v="Arrastre"/>
    <x v="0"/>
    <s v="1057532-383-PC25"/>
    <s v="Convenio Movil CT Peulla"/>
    <s v="Maria Ines Asenjo Soto"/>
    <s v="DIRECTORA"/>
    <n v="23833337"/>
  </r>
  <r>
    <s v="Arrastre"/>
    <x v="0"/>
    <s v="1057532-384-PC25"/>
    <s v="Convenio - Servicio de arriendo (comodato) e informes de teleelectrocardiografía para población bajo control en PSCV."/>
    <s v="Consuelo Cordova"/>
    <s v="jefa subdepto gestión de programas en curso de vida"/>
    <n v="500000000"/>
  </r>
  <r>
    <s v="Arrastre"/>
    <x v="0"/>
    <s v="1057532-385-PC25"/>
    <s v="Convenio - CONVENIO PARA DESRATIZACION, SANITIZACION, DESINSECTACION PARA EL SERVICIO DE SALUD OSORNO"/>
    <s v="Carlos López"/>
    <s v="INGENIERO AMBIENTAL"/>
    <n v="87524976"/>
  </r>
  <r>
    <s v="Arrastre"/>
    <x v="0"/>
    <s v="1057532-386-PC25"/>
    <s v="Convenio - Adquisición de kit toma de muestra para Virus Papiloma Humano"/>
    <s v="Javiera Gajardo"/>
    <s v="Encargada Programas"/>
    <n v="48583326"/>
  </r>
  <r>
    <s v="Arrastre"/>
    <x v="0"/>
    <s v="1057532-389-PC25"/>
    <s v="Convenio - Servicio de Alimentación para usuarios CDR adulto Mayor Kumelen 2026"/>
    <s v="Luis Flores Merino"/>
    <s v="Coordinador"/>
    <n v="73333326"/>
  </r>
  <r>
    <s v="Arrastre"/>
    <x v="0"/>
    <s v="1057532-390-PC25"/>
    <s v="Convenio - CALEFACCION GASTOS PARA AMBULATORIO Y REDIDENCIAL - CT PEULLA"/>
    <s v="Maria Ines Asenjo Soto"/>
    <s v="DIRECTORA"/>
    <n v="6417500"/>
  </r>
  <r>
    <s v="Arrastre"/>
    <x v="0"/>
    <s v="1057532-391-PC25"/>
    <s v="Convenio - Arriendo 159 PC Computacionales para establecimientos dependientes de la Dirección de Servicio de Salud Osorno"/>
    <s v="Bruno Ojeda Alvarez"/>
    <s v="Jefe Depto. Tecnologías de la Información y Comunicaiciones"/>
    <n v="89478000"/>
  </r>
  <r>
    <s v="Arrastre"/>
    <x v="0"/>
    <s v="1057532-392-PC25"/>
    <s v="Convenio - Servicio de Sala Cuna, para el año 2026 de enero a diciembre, se requiere compra de 40 cupos para hijos/as de madres fun"/>
    <s v="Claudia Muñoz"/>
    <s v="Encargada Cuidados Infantiles y Conciliación"/>
    <n v="189933326"/>
  </r>
  <r>
    <s v="Arrastre"/>
    <x v="0"/>
    <s v="1057532-393-PC25"/>
    <s v="Convenio - Servicio DIAS PROGRAMA DE REHABILITACIÓN TIPO II Desde el 01/01/2026 hasta el 31/12/2026."/>
    <s v="Antonia Caifil Martínez"/>
    <s v="Jefa Subdepto. Gestión Clínica y Adm. Red Temática de Salud Mental de Especialidad"/>
    <n v="246357600"/>
  </r>
  <r>
    <s v="Arrastre"/>
    <x v="0"/>
    <s v="1057532-394-PC25"/>
    <s v="Convenio - 8 CUPOS HOGAR PROTEGIDO HOMBRES PARA EL SERVICIO DE SALUD OSORNO, 12 MESES, ENERO A DICIEMBRE AÑO 2026."/>
    <s v="Angelo Palma"/>
    <s v="Coordinador Unidad de Gestión de Procesos Clínicos de Atención de Especialidad Ambulatoria, Cerrada"/>
    <n v="114626790"/>
  </r>
  <r>
    <s v="Arrastre"/>
    <x v="0"/>
    <s v="1057532-395-PC25"/>
    <s v="Convenio - ARTICULOS LIBRERIA AÑO 2025-2026 (Pedidos Mensuales)"/>
    <s v="Cecilia Garay L"/>
    <s v="Encargado Bodega General"/>
    <n v="16817500"/>
  </r>
  <r>
    <s v="Arrastre"/>
    <x v="0"/>
    <s v="1057532-396-PC25"/>
    <s v="Convenio - SUMINISTRO DE CHIP PARA CALDERAS DE HOSPITALES PÜ MÜLEN Y FÜTA SRÜKA LAWENCHE KUNKO MAPU, AÑO 2026-2027"/>
    <s v="Daniela Jara Cerda"/>
    <s v="ENCARGADA (S) SECCIÓN DE ADMINISTRACIÓN DE CONTRATOS"/>
    <n v="72999996"/>
  </r>
  <r>
    <s v="Arrastre"/>
    <x v="0"/>
    <s v="1057532-397-PC25"/>
    <s v="Convenio - CONVENIO DE ARRIENDO DE AMBULANCIAS SAMU POR EL PERIODO COMPRENDIDO ENTRE SEPTIEMBRE 2025 A DICIEMBRE 2026"/>
    <s v="Raul Nuñez Vega"/>
    <s v="JEFE SAMU OSORNO"/>
    <n v="56250000"/>
  </r>
  <r>
    <s v="Arrastre"/>
    <x v="0"/>
    <s v="1057532-398-PC25"/>
    <s v="Convenio - MANTENCION Y OBRAS MENORES INFRAESTRUCTURA DE LOS ESTABLECIMIENTOS DEL SERVICIO DE SALUD OSORNO 2026"/>
    <s v="Garibe Gallardo Trujillo"/>
    <s v="PROFESIONAL"/>
    <n v="83594337"/>
  </r>
  <r>
    <s v="Arrastre"/>
    <x v="0"/>
    <s v="1057532-399-PC25"/>
    <s v="Convenio - Convenio de suministro de oxigenoterapia domiciliaria para pacientes del Programa Cuidados Paliativos Universales APS"/>
    <s v="María Teresa Jaramillo Vergara"/>
    <s v="Encargada Alivio del Dolor y Cuidados Paliativos Universales"/>
    <n v="10192001"/>
  </r>
  <r>
    <s v="Arrastre"/>
    <x v="0"/>
    <s v="1057532-400-PC25"/>
    <s v="Convenio - Convenio año 2026 Combustible calefacción para dispositivos del Servicio de Salud Osorno"/>
    <s v="Pablo Oyarzo"/>
    <s v="Encargado (S) Administracion Interna"/>
    <n v="40000000"/>
  </r>
  <r>
    <s v="Arrastre"/>
    <x v="0"/>
    <s v="1057532-401-PC25"/>
    <s v="Convenio - CONVENIO INSUMOS DE ASEO PARA DISPOSITIVOS DE LA RED AÑO 2026"/>
    <s v="Pablo Oyarzo"/>
    <s v="Encargado (S) Administracion Interna"/>
    <n v="80000000"/>
  </r>
  <r>
    <s v="Arrastre"/>
    <x v="0"/>
    <s v="1057532-402-PC25"/>
    <s v="Convenio - CONTRATACION DE SEGUROS GENERALES PARA VEHICULOS MOTORIZADOS PERTENECIENTES AL SERVICIO DE SALUD OSORNO 2026 - 2027"/>
    <s v="Felipe Salvo Barriga"/>
    <s v="Encargado Seccion"/>
    <n v="39999996"/>
  </r>
  <r>
    <s v="Arrastre"/>
    <x v="0"/>
    <s v="1057532-403-PC25"/>
    <s v="Convenio - CONVENIO SERVICIOS DE MANTENCION PREVENTIVA, CORRECTIVA Y/O REPARATIVAS PARA LAS CONVERSIONES EN AMBULANCIAS Y VEHÍCULOS"/>
    <s v="Felipe Salvo Barriga"/>
    <s v="Encargado Seccion"/>
    <n v="96100000"/>
  </r>
  <r>
    <s v="Arrastre"/>
    <x v="0"/>
    <s v="1057532-404-PC25"/>
    <s v="Convenio - SERVICIOS DE MANTENCION PREVENTIVA, CORRECTIVA Y/O REPARATIVAS PARA VEHICULOS MULTIMARCAS AÑO 2026-2027"/>
    <s v="Felipe Salvo"/>
    <s v="Encargado Sección Mantenimiento de Vehículos"/>
    <n v="100200000"/>
  </r>
  <r>
    <s v="Arrastre"/>
    <x v="0"/>
    <s v="1057532-405-PC25"/>
    <s v="Convenio - SERVICIOS DE MANTENCION PREVENTIVA, CORRECTIVA Y/O REPARATIVAS PARA BUS MITSUBISHI FUSO ROSA AÑO 2026"/>
    <s v="Felipe Salvo"/>
    <s v="Encargado Sección Mantenimiento de Vehículos"/>
    <n v="30000000"/>
  </r>
  <r>
    <s v="Arrastre"/>
    <x v="0"/>
    <s v="1057532-419-PC25"/>
    <s v="Convenio - ADQUISICIÓN E IMPLEMENTACIÓN DE SISTEMA DIGITAL DE COMUNICACIONES CON TECNOLOGÍA PTT Y CONTROL DE FLOTA DE SALUD OSORNO"/>
    <s v="CATALINA VERA CASTRO"/>
    <s v="COORDINADORA EMERGENCIA"/>
    <n v="69333336"/>
  </r>
  <r>
    <s v="Arrastre"/>
    <x v="0"/>
    <s v="1057532-66-PC25"/>
    <s v="Mantención de Equipos Médicos e Industriales"/>
    <s v="Khris Silva Vargas"/>
    <s v="Jefa Subdepto. Mantención de Equipos Médicos e Industriales"/>
    <n v="355624997"/>
  </r>
  <r>
    <s v="Arrastre"/>
    <x v="0"/>
    <s v="1077241-51-PC25"/>
    <s v="Convenio - Servicio movilización COSAM Rahue periodo 2026. (Financiamiento a través de fondo extrapresupuestario SENDA PAI)"/>
    <s v="Yuvit García-Chacur"/>
    <s v="DIRECTORA"/>
    <n v="17416663"/>
  </r>
  <r>
    <s v="Arrastre"/>
    <x v="0"/>
    <s v="1077241-52-PC25"/>
    <s v="Convenio - ADQUISICION AYUDAS TECNICAS. CONVENIO SUMINISTRO AÑO 2026"/>
    <s v="Camila Alvarez Velasquez"/>
    <s v="KINESIÓLOGA ENCARGADA PROGRAMA AYUDAS TÉCNICAS"/>
    <n v="394362600"/>
  </r>
  <r>
    <s v="Arrastre"/>
    <x v="0"/>
    <s v="1077241-53-PC25"/>
    <s v="Convenio - Servicio de arriendo e informes de teleelectrocardiografía (sospecha IAM), para 13 establecimientos de urgencia de APS"/>
    <s v="Consuelo Cordova"/>
    <s v="jefa subdepto gestión de programas en curso de vida"/>
    <n v="30800000"/>
  </r>
  <r>
    <s v="PC26"/>
    <x v="1"/>
    <s v="1057922-10-PC26"/>
    <s v="REPOSICION CESFAM CON SAR RAHUE ALTO, OSORNO"/>
    <s v="Maria Elena Muñoz"/>
    <s v="Jefa (S) Sub. Dpto. De Inversiones De Equipos Y Equipamiento"/>
    <n v="1578831000"/>
  </r>
  <r>
    <s v="PC26"/>
    <x v="1"/>
    <s v="1057922-11-PC26"/>
    <s v="HABILITACION ANGIOGRAFO HOSPITAL BASE DE OSORNO"/>
    <s v="Maria Elena Muñoz"/>
    <s v="Jefa (S) Sub. Dpto. De Inversiones De Equipos Y Equipamiento"/>
    <n v="1969068000"/>
  </r>
  <r>
    <s v="PC26"/>
    <x v="1"/>
    <s v="1057922-12-PC26"/>
    <s v="CONSTRUCCION COSAM RAHUE, COMUNA OSORNO"/>
    <s v="Maria Elena Muñoz"/>
    <s v="Jefa (S) Sub. Dpto. De Inversiones De Equipos Y Equipamiento"/>
    <n v="18632000"/>
  </r>
  <r>
    <s v="PC26"/>
    <x v="1"/>
    <s v="1057922-13-PC26"/>
    <s v="SUBTÍTULO 29 SECTORIAL 2026"/>
    <s v="Maria Elena Muñoz"/>
    <s v="Jefa (S) Sub. Dpto. De Inversiones De Equipos Y Equipamiento"/>
    <n v="280000000"/>
  </r>
  <r>
    <s v="PC26"/>
    <x v="1"/>
    <s v="1057922-14-PC26"/>
    <s v="SUBTÍTULO 29 OPERACIONAL SSO 2026"/>
    <s v="Maria Elena Muñoz"/>
    <s v="Jefa (S) Sub. Dpto. De Inversiones De Equipos Y Equipamiento"/>
    <n v="61000000"/>
  </r>
  <r>
    <s v="PC26"/>
    <x v="1"/>
    <s v="1057922-15-PC26"/>
    <s v="Equipamiento Ergonómico - Sillas"/>
    <s v="Venecia Recabarren"/>
    <s v="Jefatura Unidad Prev. Riesgos"/>
    <n v="1000000"/>
  </r>
  <r>
    <s v="PC26"/>
    <x v="1"/>
    <s v="1057922-16-PC26"/>
    <s v="Adquisición de micrófono y cámara para videoconferencias del Centro Comunitario Kümelen"/>
    <s v="Luis Flores"/>
    <s v="Coordinador"/>
    <n v="250000"/>
  </r>
  <r>
    <s v="PC26"/>
    <x v="1"/>
    <s v="1057922-17-PC26"/>
    <s v="Adquisición de megáfonos y gabinetes para la comunicación en emergencias, gestión de riesgos y protección de equipos"/>
    <s v="Yuvit Garcia-Chacur"/>
    <s v="DIRECTORA"/>
    <n v="780000"/>
  </r>
  <r>
    <s v="PC26"/>
    <x v="1"/>
    <s v="1057922-18-PC26"/>
    <s v="REPOSICION CECOSF EL ENCANTO, COMUNA DE PUYEHUE"/>
    <s v="Maria Elena Muñoz"/>
    <s v="Jefa (S) Sub. Dpto. De Inversiones De Equipos Y Equipamiento"/>
    <n v="6773000"/>
  </r>
  <r>
    <s v="PC26"/>
    <x v="1"/>
    <s v="1057922-19-PC26"/>
    <s v="Adquisición de productos e insumos para el programa de control y eliminación de la Tuberculosis"/>
    <s v="NMaria Paz Gomez"/>
    <s v="Referente Programa De Tuberculosis"/>
    <n v="19000000"/>
  </r>
  <r>
    <s v="PC26"/>
    <x v="1"/>
    <s v="1057922-20-PC26"/>
    <s v="Adquisición de herramientas"/>
    <s v="Pedro Fritz"/>
    <s v="Director"/>
    <n v="300000"/>
  </r>
  <r>
    <s v="PC26"/>
    <x v="1"/>
    <s v="1057922-21-PC26"/>
    <s v="Adquisicion equipamiento Servidor NAS y almacenamiento extra para respaldo y seguridad de la información"/>
    <s v="Alejandro Nuñez"/>
    <s v="Encargado Gestión De Sistemas"/>
    <n v="16000000"/>
  </r>
  <r>
    <s v="PC26"/>
    <x v="1"/>
    <s v="1057922-22-PC26"/>
    <s v="Adquisción de hidrolavadora 120BAR"/>
    <s v="Pedro Fritz"/>
    <s v="Director"/>
    <n v="250000"/>
  </r>
  <r>
    <s v="PC26"/>
    <x v="1"/>
    <s v="1057922-5-PC26"/>
    <s v="COMPRA DE AMBULANCIA PARA CESFAM CON SAR DE RAHUE ALTO"/>
    <s v="Felipe Salvo"/>
    <s v="Encargado Seccion"/>
    <n v="108183000"/>
  </r>
  <r>
    <s v="PC26"/>
    <x v="1"/>
    <s v="1057922-6-PC26"/>
    <s v="Sillas Ergonómicas"/>
    <s v="Pedro Fritz"/>
    <s v="DIRECTOR COSAM"/>
    <n v="4000005"/>
  </r>
  <r>
    <s v="PC26"/>
    <x v="1"/>
    <s v="1057922-7-PC26"/>
    <s v="CONSTRUCCION CESFAM CON SAR CHUYACA OSORNO; CODIGO BIP: 30430122 CONSTRUCCION CESFAM CON SAR CHUYACA, OSORNO"/>
    <s v="Maria Elena Muñoz"/>
    <s v="Jefa (S) Sub. Dpto. De Inversiones De Equipos Y Equipamiento"/>
    <n v="142663000"/>
  </r>
  <r>
    <s v="PC26"/>
    <x v="1"/>
    <s v="1057922-8-PC26"/>
    <s v="PLAN NACIONAL DEL CÁNCER 2026"/>
    <s v="Maria Elena Muñoz"/>
    <s v="Jefa (S) Sub. Dpto. De Inversiones De Equipos Y Equipamiento"/>
    <n v="210000000"/>
  </r>
  <r>
    <s v="PC26"/>
    <x v="1"/>
    <s v="1057922-9-PC26"/>
    <s v="REPOSICION POSTA DE SALUD RURAL LA POZA, COMUNA DE SAN PABLO"/>
    <s v="Maria Elena Muñoz"/>
    <s v="Jefa (S) Sub. Dpto. De Inversiones De Equipos Y Equipamiento"/>
    <n v="129075000"/>
  </r>
  <r>
    <s v="PC26"/>
    <x v="2"/>
    <s v="1057532-468-PC26"/>
    <s v="ARTICULOS DE FERRETERIA Y OTROS RESIDENCIAL CONVENIO SENDA"/>
    <s v="Carolina Silva"/>
    <s v="Encargada De Compras"/>
    <n v="295000"/>
  </r>
  <r>
    <s v="PC26"/>
    <x v="2"/>
    <s v="1077241-100-PC26"/>
    <s v="EQUIPAMIENTO RESIDENCIAL ? CONVENIO SENDA"/>
    <s v="Carolina Silva"/>
    <s v="Encargada De Compras"/>
    <n v="6710000"/>
  </r>
  <r>
    <s v="PC26"/>
    <x v="2"/>
    <s v="1077241-101-PC26"/>
    <s v="INSUMOS COMPUTACIONALES RESIDENCIAL CONVENIO SENDA"/>
    <s v="Carolina Silva"/>
    <s v="Encargada De Compras"/>
    <n v="360000"/>
  </r>
  <r>
    <s v="PC26"/>
    <x v="2"/>
    <s v="1077241-102-PC26"/>
    <s v="INSUMOS COMPUTACIONALES AMBULATORIO ? CONVENIO SENDA"/>
    <s v="Carolina Silva Carolina Silva"/>
    <s v="Encargada De Compras"/>
    <n v="4160004"/>
  </r>
  <r>
    <s v="PC26"/>
    <x v="2"/>
    <s v="1077241-103-PC26"/>
    <s v="ARTICULOS DE COCINA AMBULATORIO ? CONVENIO SENDA"/>
    <s v="Carolina Silva"/>
    <s v="Encargada De Compras"/>
    <n v="200004"/>
  </r>
  <r>
    <s v="PC26"/>
    <x v="2"/>
    <s v="1077241-104-PC26"/>
    <s v="ARTICULOS DE FERRETERIA Y OTROS AMBULATORIO ? CONVENIO SENDA"/>
    <s v="Carolina Silva"/>
    <s v="Encargada De Compras"/>
    <n v="280000"/>
  </r>
  <r>
    <s v="PC26"/>
    <x v="2"/>
    <s v="1077241-105-PC26"/>
    <s v="Adquisición de productos e insumos para el programa de control y eliminación de la Tuberculosis"/>
    <s v="Maria Paz Gomez"/>
    <s v="Referente Programa De Tuberculosis"/>
    <n v="18710018"/>
  </r>
  <r>
    <s v="PC26"/>
    <x v="2"/>
    <s v="1077241-106-PC26"/>
    <s v="Taller de habilidades para la vida 2026"/>
    <s v="Pedro Fritz"/>
    <s v="Director COSAM Oriente"/>
    <n v="207409"/>
  </r>
  <r>
    <s v="PC26"/>
    <x v="2"/>
    <s v="1077241-107-PC26"/>
    <s v="Adquisición insumos de promoción, prevención y tratamiento ADM para desarrollo Programa de Resolución de Ortodoncia NNA"/>
    <s v="Marco Gonzalez"/>
    <s v="Encargado Salud Oral"/>
    <n v="7584540"/>
  </r>
  <r>
    <s v="PC26"/>
    <x v="2"/>
    <s v="1077241-108-PC26"/>
    <s v="Taller de niños y niñas - Taller de padres"/>
    <s v="Pedro Fritz"/>
    <s v="DIRECTOR COSAM"/>
    <n v="350280"/>
  </r>
  <r>
    <s v="PC26"/>
    <x v="2"/>
    <s v="1077241-109-PC26"/>
    <s v="Taller Arte Terapia"/>
    <s v="Pedro Fritz"/>
    <s v="DIRECTOR COSAM"/>
    <n v="506160"/>
  </r>
  <r>
    <s v="PC26"/>
    <x v="2"/>
    <s v="1077241-110-PC26"/>
    <s v="Comité de Participación y Gestión Intercultural"/>
    <s v="Pedro Fritz"/>
    <s v="DIRECTOR COSAM"/>
    <n v="1303030"/>
  </r>
  <r>
    <s v="PC26"/>
    <x v="2"/>
    <s v="1077241-111-PC26"/>
    <s v="EQUIPAMIENTO AMBULATORIO ? CONVENIO SENDA"/>
    <s v="Carolina Silva"/>
    <s v="Encargada De Compras"/>
    <n v="7810025"/>
  </r>
  <r>
    <s v="PC26"/>
    <x v="2"/>
    <s v="1077241-112-PC26"/>
    <s v="ARTICULOS DE COCINA RESIDENCIAL ? CONVENIO SENDA"/>
    <s v="Carolina Silva"/>
    <s v="Encargada De Compras"/>
    <n v="280008"/>
  </r>
  <r>
    <s v="PC26"/>
    <x v="2"/>
    <s v="1077241-61-PC26"/>
    <s v="Adquisición de prestaciones de rehabilitación integral a niños, niñas y adolescentes con Trastorno del Espectro Autista"/>
    <s v="Karin Avila"/>
    <s v="Referente Rehabilitación Integral"/>
    <n v="56320000"/>
  </r>
  <r>
    <s v="PC26"/>
    <x v="2"/>
    <s v="1077241-62-PC26"/>
    <s v="PRAPS Fondo de Farmacia para enfermedades crónicas no transmisibles en APS (FOFAR)"/>
    <s v="Chessarina Tuchie Fischer"/>
    <s v="Encargada Programa Fofar"/>
    <n v="60000000"/>
  </r>
  <r>
    <s v="PC26"/>
    <x v="2"/>
    <s v="1077241-63-PC26"/>
    <s v="Adquisición de insumos para la atención en domicilio del Equipo Rehabilitación Rural SSO."/>
    <s v="Karin Avila"/>
    <s v="Referente Rehabilitación Integral"/>
    <n v="410000"/>
  </r>
  <r>
    <s v="PC26"/>
    <x v="2"/>
    <s v="1077241-64-PC26"/>
    <s v="Ceremonia de alta SENDA-PAI COSAM Rahue 2026"/>
    <s v="Camilo Martínez"/>
    <s v="Director(S)"/>
    <n v="225000"/>
  </r>
  <r>
    <s v="PC26"/>
    <x v="2"/>
    <s v="1077241-65-PC26"/>
    <s v="Anilladora e insumos para preparación de material Cosam Rahue. Fondo extrapresupuestarios SENDA PAI"/>
    <s v="Camilo Martínez"/>
    <s v="Director(S)"/>
    <n v="260000"/>
  </r>
  <r>
    <s v="PC26"/>
    <x v="2"/>
    <s v="1077241-66-PC26"/>
    <s v="Jornada de Autocuidado funcionarios COSAM Rahue, con cargo a fondo extrapresupuestario SENDA-PAI"/>
    <s v="Camilo Martínez"/>
    <s v="Director(S)"/>
    <n v="900000"/>
  </r>
  <r>
    <s v="PC26"/>
    <x v="2"/>
    <s v="1077241-67-PC26"/>
    <s v="Celebración fiestas patrias usuarios y cuidadores COSAM RAHUE."/>
    <s v="Camilo Martínez"/>
    <s v="Director(S)"/>
    <n v="625000"/>
  </r>
  <r>
    <s v="PC26"/>
    <x v="2"/>
    <s v="1077241-68-PC26"/>
    <s v="Adquisición de insumos para la atención en domicilio del Equipo Rehabilitación Rural SSO (material Ergoterapia)"/>
    <s v="Karin Avila"/>
    <s v="Referente Rehabilitación Integral"/>
    <n v="150000"/>
  </r>
  <r>
    <s v="PC26"/>
    <x v="2"/>
    <s v="1077241-69-PC26"/>
    <s v="Insumos cafetería actividades con usuarios Cosam Rahue y comunidad 2026, fondo extrapresupuestario SENDA PAI"/>
    <s v="Camilo Martínez"/>
    <s v="Director(S)"/>
    <n v="2772880"/>
  </r>
  <r>
    <s v="PC26"/>
    <x v="2"/>
    <s v="1077241-70-PC26"/>
    <s v="INSUMOS ESCRITORIO COSAM RAHUE, FONDO EXTRAPRESUPUESTARIO SENDA-PAI"/>
    <s v="Camilo Martínez"/>
    <s v="Director(S)"/>
    <n v="1468231"/>
  </r>
  <r>
    <s v="PC26"/>
    <x v="2"/>
    <s v="1077241-71-PC26"/>
    <s v="Compra de tintas de repuesto impresoras Cosam Rahue"/>
    <s v="Camilo Martínez"/>
    <s v="Director(S)"/>
    <n v="350000"/>
  </r>
  <r>
    <s v="PC26"/>
    <x v="2"/>
    <s v="1077241-74-PC26"/>
    <s v="Insumos alimenticios para el Programa SENDA Calle. Fondo extrapresupuestario SENDA PAI"/>
    <s v="Camilo Martínez"/>
    <s v="Director(S)"/>
    <n v="1287890"/>
  </r>
  <r>
    <s v="PC26"/>
    <x v="2"/>
    <s v="1077241-75-PC26"/>
    <s v="Taller de Herramientas Psicológicas, Taller PEERS"/>
    <s v="Pedro Fritz"/>
    <s v="DIRECTOR COSAM"/>
    <n v="283834"/>
  </r>
  <r>
    <s v="PC26"/>
    <x v="2"/>
    <s v="1077241-76-PC26"/>
    <s v="INTERVENCIÓN PSICOSOCIAL GRUPAL TALLER PARA JOVENES Y ADOLESCENTES EN TRATAMIENTO EN COSAM ORIENTE"/>
    <s v="Pedro Fritz"/>
    <s v="DIRECTOR COSAM"/>
    <n v="266424"/>
  </r>
  <r>
    <s v="PC26"/>
    <x v="2"/>
    <s v="1077241-77-PC26"/>
    <s v="Taller Huertos 2026"/>
    <s v="Pedro Fritz"/>
    <s v="DIRECTOR COSAM"/>
    <n v="503080"/>
  </r>
  <r>
    <s v="PC26"/>
    <x v="2"/>
    <s v="1077241-78-PC26"/>
    <s v="Comité de Participación y gestión Intercultural - Dia de la Mujer 2026"/>
    <s v="Pedro Fritz"/>
    <s v="DIRECTOR COSAM"/>
    <n v="85670"/>
  </r>
  <r>
    <s v="PC26"/>
    <x v="2"/>
    <s v="1077241-81-PC26"/>
    <s v="Taller de baile entretenido y acondicionamiento físico 2026"/>
    <s v="Pedro Fritz"/>
    <s v="DIRECTOR COSAM"/>
    <n v="450012"/>
  </r>
  <r>
    <s v="PC26"/>
    <x v="2"/>
    <s v="1077241-82-PC26"/>
    <s v="Yoga Sensible al Trauma: Regulación emocional desde el Cuerpo y la Conciencia."/>
    <s v="Pedro Fritz"/>
    <s v="DIRECTOR COSAM"/>
    <n v="150000"/>
  </r>
  <r>
    <s v="PC26"/>
    <x v="2"/>
    <s v="1077241-83-PC26"/>
    <s v="Comité de Participación y Gestión Intercultural - Dia del Niño 2026"/>
    <s v="Pedro Fritz"/>
    <s v="DIRECTOR COSAM"/>
    <n v="72793"/>
  </r>
  <r>
    <s v="PC26"/>
    <x v="2"/>
    <s v="1077241-84-PC26"/>
    <s v="Comité de Participación y Gestión Intercultural - Fiestas Patrias 2026"/>
    <s v="Pedro Fritz"/>
    <s v="DIRECTOR COSAM"/>
    <n v="589022"/>
  </r>
  <r>
    <s v="PC26"/>
    <x v="2"/>
    <s v="1077241-85-PC26"/>
    <s v="Intervención psicosocial grupal de Música"/>
    <s v="Pedro Fritz"/>
    <s v="DIRECTOR COSAM"/>
    <n v="300000"/>
  </r>
  <r>
    <s v="PC26"/>
    <x v="2"/>
    <s v="1077241-86-PC26"/>
    <s v="Comité de Participación y Gestión Intercultural - Navidad 2026"/>
    <s v="Pedro Fritz"/>
    <s v="DIRECTOR COSAM"/>
    <n v="399870"/>
  </r>
  <r>
    <s v="PC26"/>
    <x v="2"/>
    <s v="1077241-87-PC26"/>
    <s v="Implementos de Terapia Ocupacional."/>
    <s v="Pedro Fritz"/>
    <s v="DIRECTOR COSAM"/>
    <n v="159016"/>
  </r>
  <r>
    <s v="PC26"/>
    <x v="2"/>
    <s v="1077241-88-PC26"/>
    <s v="AUTOCUIDADO CONVENIO SENDA 2026"/>
    <s v="Pedro Fritz"/>
    <s v="DIRECTOR COSAM"/>
    <n v="1131791"/>
  </r>
  <r>
    <s v="PC26"/>
    <x v="2"/>
    <s v="1077241-89-PC26"/>
    <s v="PROGRAMA MEL"/>
    <s v="Kassandra Fernandez"/>
    <s v="Trabajadora Social"/>
    <n v="30400000"/>
  </r>
  <r>
    <s v="PC26"/>
    <x v="2"/>
    <s v="1077241-90-PC26"/>
    <s v="Intervención Psicosocial Grupal para Familiares de Usuarios/as con Diagnóstico de Esquizofrenia"/>
    <s v="Pedro Fritz"/>
    <s v="DIRECTOR COSAM"/>
    <n v="211860"/>
  </r>
  <r>
    <s v="PC26"/>
    <x v="2"/>
    <s v="1077241-91-PC26"/>
    <s v="Intervención Psicosocial Grupal para Usuarios y Usuarias con Consumo de Alcohol y Drogas"/>
    <s v="Pedro Fritz"/>
    <s v="DIRECTOR COSAM"/>
    <n v="263860"/>
  </r>
  <r>
    <s v="PC26"/>
    <x v="2"/>
    <s v="1077241-92-PC26"/>
    <s v="Jornada de Fortalecimiento OIRS 2026"/>
    <s v="Daniela Barria"/>
    <s v="Encargada Trato Usuario"/>
    <n v="1750000"/>
  </r>
  <r>
    <s v="PC26"/>
    <x v="2"/>
    <s v="1077241-93-PC26"/>
    <s v="Altas Senda año 2026"/>
    <s v="Pedro Fritz"/>
    <s v="DIRECTOR COSAM"/>
    <n v="249504"/>
  </r>
  <r>
    <s v="PC26"/>
    <x v="2"/>
    <s v="1077241-95-PC26"/>
    <s v="Formación facilitadores Talleres Prenatales para matronas y matrones de la red de atención primaria"/>
    <s v="Estrella Azocar"/>
    <s v="Enc. Chcc"/>
    <n v="672240"/>
  </r>
  <r>
    <s v="PC26"/>
    <x v="2"/>
    <s v="1077241-96-PC26"/>
    <s v="Insumos para aumentar la lactancia materna exclusiva"/>
    <s v="Estrella Azocar"/>
    <s v="Enc. Chcc"/>
    <n v="2975561"/>
  </r>
  <r>
    <s v="PC26"/>
    <x v="2"/>
    <s v="1077241-97-PC26"/>
    <s v="Jornada de Inducción a médicos EDF, sobre Interculturalidad en Salud con pueblos originarios"/>
    <s v="Pedro Huito"/>
    <s v="Apoyo Salud Intercultural"/>
    <n v="1500000"/>
  </r>
  <r>
    <s v="PC26"/>
    <x v="2"/>
    <s v="1077241-99-PC26"/>
    <s v="Taller Mindfulness - Anclando la Calma: Regulación Emocional y Conexión"/>
    <s v="Pedro Fritz"/>
    <s v="DIRECTOR COSAM"/>
    <n v="277131"/>
  </r>
  <r>
    <s v="PC26"/>
    <x v="3"/>
    <s v="1057532-281-PC26"/>
    <s v="Mantención Plotter Canon IPF 770, del depto. de Proyectos."/>
    <s v="Mario Barrientos"/>
    <s v="Jefe Subdepto. Diseño De Infraestructura De Salud"/>
    <n v="1250000"/>
  </r>
  <r>
    <s v="PC26"/>
    <x v="3"/>
    <s v="1057532-282-PC26"/>
    <s v="Compra rollos papel para impresión del Departamento de Proyectos SSO."/>
    <s v="Mario Barrientos"/>
    <s v="Jefe Subdepto. Diseño De Infraestructura De Salud"/>
    <n v="300000"/>
  </r>
  <r>
    <s v="PC26"/>
    <x v="3"/>
    <s v="1057532-283-PC26"/>
    <s v="Compra Tinta Plotter Canon IPF 770"/>
    <s v="Mario Barrientos"/>
    <s v="Jefe Subdepto. Diseño De Infraestructura De Salud"/>
    <n v="1320000"/>
  </r>
  <r>
    <s v="PC26"/>
    <x v="3"/>
    <s v="1057532-284-PC26"/>
    <s v="Adquisicición Hojas Prehospitalarias"/>
    <s v="Silvia Delgado"/>
    <s v="Encargada Proceso De Urgencia"/>
    <n v="2000700"/>
  </r>
  <r>
    <s v="PC26"/>
    <x v="3"/>
    <s v="1057532-285-PC26"/>
    <s v="Adquisicición Kit de Triage y Sistema de comando incidente"/>
    <s v="Silvia Delgado"/>
    <s v="Encargada Proceso De Urgencia"/>
    <n v="1510005"/>
  </r>
  <r>
    <s v="PC26"/>
    <x v="3"/>
    <s v="1057532-286-PC26"/>
    <s v="II Jornada de Capacitación Red de Urgencia"/>
    <s v="Silvia Delgado"/>
    <s v="Encargada Proceso De Urgencia"/>
    <n v="872500"/>
  </r>
  <r>
    <s v="PC26"/>
    <x v="3"/>
    <s v="1057532-287-PC26"/>
    <s v="?DIAGNÓSTICO Y DIALOGO PARTICIPATIVO COSAM RAHUE ?NOVIEMBRE 2026?"/>
    <s v="Camilo Martínez"/>
    <s v="Director(S)"/>
    <n v="540000"/>
  </r>
  <r>
    <s v="PC26"/>
    <x v="3"/>
    <s v="1057532-288-PC26"/>
    <s v="Jornadas de encuentro y autocuidado Para usuarios y cuidadores ?SALUDABLE-MENTE en dispositivo COSAM RAHUE 2026"/>
    <s v="Camilo Martínez"/>
    <s v="Director(S)"/>
    <n v="1080000"/>
  </r>
  <r>
    <s v="PC26"/>
    <x v="3"/>
    <s v="1057532-317-PC26"/>
    <s v="?Eco-huerto sustentable -Sistema de acuaponía sin suelo? COSAM RAHUE 2026"/>
    <s v="Camilo Martínez"/>
    <s v="Director(S)"/>
    <n v="1500000"/>
  </r>
  <r>
    <s v="PC26"/>
    <x v="3"/>
    <s v="1057532-320-PC26"/>
    <s v="Insumos y medicamentos Farmacia COSAM RAHUE"/>
    <s v="Camilo Martínez"/>
    <s v="Director(S)"/>
    <n v="850000"/>
  </r>
  <r>
    <s v="PC26"/>
    <x v="3"/>
    <s v="1057532-321-PC26"/>
    <s v="Capacitación en Salud Mental Intercultural COSAM Rahue."/>
    <s v="Camilo Martínez"/>
    <s v="Director(S)"/>
    <n v="900000"/>
  </r>
  <r>
    <s v="PC26"/>
    <x v="3"/>
    <s v="1057532-322-PC26"/>
    <s v="Celebración de We Tripantu en COSAM Rahue 2026"/>
    <s v="Camilo Martínez"/>
    <s v="Director(S)"/>
    <n v="630000"/>
  </r>
  <r>
    <s v="PC26"/>
    <x v="3"/>
    <s v="1057532-323-PC26"/>
    <s v="Jornadas de autocuidado equipo profesional PAI COSAM Rahue"/>
    <s v="Camilo Martínez"/>
    <s v="Director(S)"/>
    <n v="135000"/>
  </r>
  <r>
    <s v="PC26"/>
    <x v="3"/>
    <s v="1057532-324-PC26"/>
    <s v="CONVENIO - ADQUISICION DE 8 CUPOS HOGAR PROTEGIDO MUJERES PARA EL SERVICIO DE SALUD OSORNO POR PERIODO DE 12 MESES"/>
    <s v="Angelo Palma"/>
    <s v="Coordinador Unidad de Gestión de Procesos Clínicos de Atención de Especialidad Ambulatoria, Cerrada"/>
    <n v="101193519"/>
  </r>
  <r>
    <s v="PC26"/>
    <x v="3"/>
    <s v="1057532-325-PC26"/>
    <s v="SERVICIO CAFETERÍA CEREMONIA ANIVERSARIO COSAM RAHUE"/>
    <s v="Camilo Martínez"/>
    <s v="Director(S)"/>
    <n v="675000"/>
  </r>
  <r>
    <s v="PC26"/>
    <x v="3"/>
    <s v="1057532-326-PC26"/>
    <s v="Adquisición de insumos para la atención en domicilio del Equipo Rehabilitación Rural SSO. (Articulos de Libreria)"/>
    <s v="Karin Avila"/>
    <s v="Referente Rehabilitación Integral"/>
    <n v="190000"/>
  </r>
  <r>
    <s v="PC26"/>
    <x v="3"/>
    <s v="1057532-327-PC26"/>
    <s v="Convenio - 3 CUPOS DE RESIDENCIA PROTEGIDA PARA EL SERVICIO DE SALUD OSORNO EN LA PROVINCIA DE CONCEPCIÓN, POR PERIODO DE 24 MESES."/>
    <s v="Angelo Palma"/>
    <s v="Coordinador Unidad de Gestión de Procesos Clínicos de Atención de Especialidad Ambulatoria, Cerrada"/>
    <n v="49483210"/>
  </r>
  <r>
    <s v="PC26"/>
    <x v="3"/>
    <s v="1057532-328-PC26"/>
    <s v="Rollos Etiquetas para impresora ZEBRA ZD 220 y rollos de cinta para impresora SOME, COSAM RAHUE"/>
    <s v="Camilo Martínez"/>
    <s v="Director(S)"/>
    <n v="430010"/>
  </r>
  <r>
    <s v="PC26"/>
    <x v="3"/>
    <s v="1057532-329-PC26"/>
    <s v="Convenio - 10 CUPOS RESIDENCIA PROTEGIDA DE ALTA COMPLEJIDAD PARA EL SERVICIO DE SALUD OSORNO POR PERIODO DE 12 MESES."/>
    <s v="Angelo Palma"/>
    <s v="Coordinador Unidad de Gestión de Procesos Clínicos de Atención de Especialidad Ambulatoria, Cerrada"/>
    <n v="247689000"/>
  </r>
  <r>
    <s v="PC26"/>
    <x v="3"/>
    <s v="1057532-330-PC26"/>
    <s v="INSUMOS DE ASEO COSAM RAHUE"/>
    <s v="Camilo Martínez"/>
    <s v="Director(S)"/>
    <n v="990002"/>
  </r>
  <r>
    <s v="PC26"/>
    <x v="3"/>
    <s v="1057532-331-PC26"/>
    <s v="Compra de Insumos de Cafetería reuniones ordinarias anuales de Salud Pueblos Originarios"/>
    <s v="Pedro Huito"/>
    <s v="Apoyo Salud Intercultural"/>
    <n v="1352694"/>
  </r>
  <r>
    <s v="PC26"/>
    <x v="3"/>
    <s v="1057532-332-PC26"/>
    <s v="Protectores solares FPS 50 para funcionarios y usuarios taller huerto"/>
    <s v="Camilo Martínez"/>
    <s v="Director(S)"/>
    <n v="300000"/>
  </r>
  <r>
    <s v="PC26"/>
    <x v="3"/>
    <s v="1057532-333-PC26"/>
    <s v="TEST DE DETECCION DE DROGAS"/>
    <s v="Carolina Silva"/>
    <s v="Encargada De Compras"/>
    <n v="800000"/>
  </r>
  <r>
    <s v="PC26"/>
    <x v="3"/>
    <s v="1057532-334-PC26"/>
    <s v="PAC insumos clínicos unidad de enfermería 2026."/>
    <s v="Pedro Fritz"/>
    <s v="DIRECTOR COSAM"/>
    <n v="1166048"/>
  </r>
  <r>
    <s v="PC26"/>
    <x v="3"/>
    <s v="1057532-335-PC26"/>
    <s v="Compra de Insumos de Cafetería reuniones ordinarias anuales Participación, Trato Usuario, Salud Pueblos Originarios"/>
    <s v="Daniela Barria"/>
    <s v="Encargada Trato Usuario"/>
    <n v="1007461"/>
  </r>
  <r>
    <s v="PC26"/>
    <x v="3"/>
    <s v="1057532-336-PC26"/>
    <s v="Impresión Talonarios de Registro de Solicitudes Ciudadanas"/>
    <s v="Daniela Barria"/>
    <s v="Encargada Trato Usuario"/>
    <n v="400000"/>
  </r>
  <r>
    <s v="PC26"/>
    <x v="3"/>
    <s v="1057532-337-PC26"/>
    <s v="INSUMOS DE FARMACIA 2026"/>
    <s v="Pedro Fritz"/>
    <s v="DIRECTOR COSAM"/>
    <n v="5204058"/>
  </r>
  <r>
    <s v="PC26"/>
    <x v="3"/>
    <s v="1057532-338-PC26"/>
    <s v="ACTIVIDADES DE DIFUSIÓN Y DE PREVENCIÓN EN LA PROVINCIA DE OSORNO"/>
    <s v="Carolina Silva"/>
    <s v="Encargada De Compras"/>
    <n v="1697066"/>
  </r>
  <r>
    <s v="PC26"/>
    <x v="3"/>
    <s v="1057532-339-PC26"/>
    <s v="Jornada de Humanización del Trato Usuario"/>
    <s v="Daniela Barria"/>
    <s v="Encargada Trato Usuario"/>
    <n v="400000"/>
  </r>
  <r>
    <s v="PC26"/>
    <x v="3"/>
    <s v="1057532-340-PC26"/>
    <s v="Despensa para Unidad de Secretaria"/>
    <s v="Pedro Fritz"/>
    <s v="DIRECTOR COSAM"/>
    <n v="130000"/>
  </r>
  <r>
    <s v="PC26"/>
    <x v="3"/>
    <s v="1057532-342-PC26"/>
    <s v="COMPRA MATERIALES DE OFICINA DEPARTAMENTO DE PROYECTOS"/>
    <s v="Yanet Gutierrez"/>
    <s v="Secretaria"/>
    <n v="370107"/>
  </r>
  <r>
    <s v="PC26"/>
    <x v="3"/>
    <s v="1057532-345-PC26"/>
    <s v="Estudio e Informe Estructural COSAM Oriente."/>
    <s v="Mario Barrientos"/>
    <s v="Jefe Subdepto. Diseño De Infraestructura De Salud"/>
    <n v="3000000"/>
  </r>
  <r>
    <s v="PC26"/>
    <x v="3"/>
    <s v="1057532-347-PC26"/>
    <s v="ARTICULOS PARA TERAPIA OCUPACIONAL"/>
    <s v="Carolina Silva"/>
    <s v="Encargada De Compras"/>
    <n v="472004"/>
  </r>
  <r>
    <s v="PC26"/>
    <x v="3"/>
    <s v="1057532-348-PC26"/>
    <s v="TOLDOS"/>
    <s v="Carolina Silva"/>
    <s v="Encargada De Compras"/>
    <n v="600000"/>
  </r>
  <r>
    <s v="PC26"/>
    <x v="3"/>
    <s v="1057532-349-PC26"/>
    <s v="MANTENCIONES, REPUESTOS Y REPARACIONES"/>
    <s v="Carolina Silva"/>
    <s v="Encargada De Compras"/>
    <n v="6100024"/>
  </r>
  <r>
    <s v="PC26"/>
    <x v="3"/>
    <s v="1057532-350-PC26"/>
    <s v="INSUMOS COMPUTACIONALES"/>
    <s v="Carolina Silva"/>
    <s v="Encargada De Compras"/>
    <n v="2730006"/>
  </r>
  <r>
    <s v="PC26"/>
    <x v="3"/>
    <s v="1057532-351-PC26"/>
    <s v="Convenio - CONVENIO DE ADQUISICION DE KIT POINT OF CARE (POC) CON ARRIENDO DE EQUIPOS PARA ANALISIS DE MUESTRAS, SSO"/>
    <s v="Sofia Reyes"/>
    <s v="Encargada Apoyo Diagnóstico Laboratorio"/>
    <n v="31250000"/>
  </r>
  <r>
    <s v="PC26"/>
    <x v="3"/>
    <s v="1057532-352-PC26"/>
    <s v="Muestra tu Pausa Activa"/>
    <s v="Marcia Delarze"/>
    <s v="Kinesióloga"/>
    <n v="200000"/>
  </r>
  <r>
    <s v="PC26"/>
    <x v="3"/>
    <s v="1057532-353-PC26"/>
    <s v="PLAN DE COMPRAS AÑO 2026 LEY N°19.664 Y FORMACION DE ESPECIALISTAS S.S.O"/>
    <s v="Jocelyne Prieto"/>
    <s v="Jefa Seccion Gestion Y Desarrollo Ley Medica"/>
    <n v="46677001"/>
  </r>
  <r>
    <s v="PC26"/>
    <x v="3"/>
    <s v="1057532-354-PC26"/>
    <s v="Convenio - COMPRA DE KITS PARA DETECCION DE VIRUS Y BACTERIAS RESPIRATORIAS POR METODO MOLECULAR RAPIDO (POC MOLECULAR)"/>
    <s v="Daniela Soto"/>
    <s v="Encargada Apoyo Diagnóstico Laboratorio"/>
    <n v="23333328"/>
  </r>
  <r>
    <s v="PC26"/>
    <x v="3"/>
    <s v="1057532-355-PC26"/>
    <s v="MEDICINA INTEGRATIVA SAFU"/>
    <s v="Lhya Kortmann"/>
    <s v="Enfermera"/>
    <n v="681264"/>
  </r>
  <r>
    <s v="PC26"/>
    <x v="3"/>
    <s v="1057532-356-PC26"/>
    <s v="Adquisición Insumos para realizar el aseo y confort de usuarios/as con Dependencia Severa."/>
    <s v="Camila Alvarez"/>
    <s v="Kinesióloga Encargada Programa Atencion Domiciliaria Para Personas Con Dependencia Severa"/>
    <n v="12003336"/>
  </r>
  <r>
    <s v="PC26"/>
    <x v="3"/>
    <s v="1057532-357-PC26"/>
    <s v="INSUMOS LEY 20.000"/>
    <s v="Fernando Roman"/>
    <s v="Jefe Subdepartamento Farmacia"/>
    <n v="557936"/>
  </r>
  <r>
    <s v="PC26"/>
    <x v="3"/>
    <s v="1057532-358-PC26"/>
    <s v="Zumba a todo corazón"/>
    <s v="Daniela Cancino"/>
    <s v="Nutricionista"/>
    <n v="675200"/>
  </r>
  <r>
    <s v="PC26"/>
    <x v="3"/>
    <s v="1057532-359-PC26"/>
    <s v="Mantenimiento baños y camarines"/>
    <s v="Pedro Fritz"/>
    <s v="Director"/>
    <n v="700002"/>
  </r>
  <r>
    <s v="PC26"/>
    <x v="3"/>
    <s v="1057532-360-PC26"/>
    <s v="Construcción de radieres en estacionamiento"/>
    <s v="Pedro Fritz"/>
    <s v="Director"/>
    <n v="7000008"/>
  </r>
  <r>
    <s v="PC26"/>
    <x v="3"/>
    <s v="1057532-361-PC26"/>
    <s v="Mantención comedor lado patio interior"/>
    <s v="Pedro Fritz"/>
    <s v="Director"/>
    <n v="800000"/>
  </r>
  <r>
    <s v="PC26"/>
    <x v="3"/>
    <s v="1057532-362-PC26"/>
    <s v="Pintado de muros perimetrales de edificio."/>
    <s v="Pedro Fritz"/>
    <s v="Director"/>
    <n v="3500000"/>
  </r>
  <r>
    <s v="PC26"/>
    <x v="3"/>
    <s v="1057532-363-PC26"/>
    <s v="Mantenimiento caseta de guardias"/>
    <s v="Pedro Fritz"/>
    <s v="Director"/>
    <n v="2000000"/>
  </r>
  <r>
    <s v="PC26"/>
    <x v="3"/>
    <s v="1057532-364-PC26"/>
    <s v="Instalación de manillas en puertas metálicas de sala REAS, Caldera, Generador"/>
    <s v="Pedro Fritz"/>
    <s v="Director"/>
    <n v="800004"/>
  </r>
  <r>
    <s v="PC26"/>
    <x v="3"/>
    <s v="1057532-366-PC26"/>
    <s v="Reparar fuga red de agua alimentación invernadero."/>
    <s v="Pedro Fritz"/>
    <s v="Director"/>
    <n v="600000"/>
  </r>
  <r>
    <s v="PC26"/>
    <x v="3"/>
    <s v="1057532-367-PC26"/>
    <s v="Habilitación de sala pagoda como sala de recuperación pacientes."/>
    <s v="Pedro Fritz"/>
    <s v="Director"/>
    <n v="4000000"/>
  </r>
  <r>
    <s v="PC26"/>
    <x v="3"/>
    <s v="1057532-368-PC26"/>
    <s v="Mantenimiento de cámaras y red ed aguas lluvia y reemplazo de bomba de impulsión"/>
    <s v="Pedro Fritz"/>
    <s v="Director"/>
    <n v="5500000"/>
  </r>
  <r>
    <s v="PC26"/>
    <x v="3"/>
    <s v="1057532-369-PC26"/>
    <s v="Mantenimiento de cámaras y red de alcantarillado, artefactos sanitarios."/>
    <s v="Pedro Fritz"/>
    <s v="Director"/>
    <n v="3000000"/>
  </r>
  <r>
    <s v="PC26"/>
    <x v="3"/>
    <s v="1057532-370-PC26"/>
    <s v="TALONARIOS DE LICENCIA MÉDICA"/>
    <s v="Lhya Kortmann"/>
    <s v="Enfermera"/>
    <n v="60000"/>
  </r>
  <r>
    <s v="PC26"/>
    <x v="3"/>
    <s v="1057532-371-PC26"/>
    <s v="Mantenimiento planta elevadora aguas servidas"/>
    <s v="Pedro Fritz"/>
    <s v="Director"/>
    <n v="1500000"/>
  </r>
  <r>
    <s v="PC26"/>
    <x v="3"/>
    <s v="1057532-372-PC26"/>
    <s v="Suministro de Pellet para sistema de calefacción"/>
    <s v="Pedro Fritz"/>
    <s v="Director"/>
    <n v="17500000"/>
  </r>
  <r>
    <s v="PC26"/>
    <x v="3"/>
    <s v="1057532-373-PC26"/>
    <s v="Suministro de diesel para generador eléctrico"/>
    <s v="Pedro Fritz"/>
    <s v="Director"/>
    <n v="1820000"/>
  </r>
  <r>
    <s v="PC26"/>
    <x v="3"/>
    <s v="1057532-374-PC26"/>
    <s v="Reemplazo de equipo iluminación interior."/>
    <s v="Pedro Fritz"/>
    <s v="Director"/>
    <n v="1200000"/>
  </r>
  <r>
    <s v="PC26"/>
    <x v="3"/>
    <s v="1057532-375-PC26"/>
    <s v="Mantenimiento sensores de humo"/>
    <s v="Pedro Fritz"/>
    <s v="Director"/>
    <n v="2500020"/>
  </r>
  <r>
    <s v="PC26"/>
    <x v="3"/>
    <s v="1057532-376-PC26"/>
    <s v="Mantenimiento sistema de cierre/apertura puertas de PVC"/>
    <s v="Pedro Fritz"/>
    <s v="Director"/>
    <n v="2500000"/>
  </r>
  <r>
    <s v="PC26"/>
    <x v="3"/>
    <s v="1057532-377-PC26"/>
    <s v="Mantención de enchufes e interruptores lampistería instalación interior."/>
    <s v="Pedro Fritz"/>
    <s v="Director"/>
    <n v="2500000"/>
  </r>
  <r>
    <s v="PC26"/>
    <x v="3"/>
    <s v="1057532-378-PC26"/>
    <s v="MOVIL AÑO 2027"/>
    <s v="Pedro Fritz"/>
    <s v="DIRECTOR COSAM"/>
    <n v="0"/>
  </r>
  <r>
    <s v="PC26"/>
    <x v="3"/>
    <s v="1057532-379-PC26"/>
    <s v="Materiales de Secretaria para uso del Cosam 2026"/>
    <s v="Pedro Fritz"/>
    <s v="DIRECTOR COSAM"/>
    <n v="816730"/>
  </r>
  <r>
    <s v="PC26"/>
    <x v="3"/>
    <s v="1057532-380-PC26"/>
    <s v="Convenio - Convenio Adquisición de combustible móviles de la DSSO y Ambulancias SAMU año 2026"/>
    <s v="Pablo Oyarzo"/>
    <s v="Encargado (S) Administracion Interna"/>
    <n v="60000000"/>
  </r>
  <r>
    <s v="PC26"/>
    <x v="3"/>
    <s v="1057532-381-PC26"/>
    <s v="Convenio - Convenio Adquisición de combustible Diesel para equipos generadores dispositivos del SSO Cosam Rahue y Cosam Oriente"/>
    <s v="Pablo Oyarzo"/>
    <s v="Encargado (S) Administración Interna"/>
    <n v="11000000"/>
  </r>
  <r>
    <s v="PC26"/>
    <x v="3"/>
    <s v="1057532-383-PC26"/>
    <s v="Jornada de Buenas Prácticas en Hospital Amigo y Ley Mila 2026"/>
    <s v="Daniela Barria"/>
    <s v="Encargada Trato Usuario"/>
    <n v="510006"/>
  </r>
  <r>
    <s v="PC26"/>
    <x v="3"/>
    <s v="1057532-384-PC26"/>
    <s v="Jornada de Evaluación Comité de Gestión Usuaria 2026"/>
    <s v="Daniela Barria"/>
    <s v="Encargada Trato Usuario"/>
    <n v="450000"/>
  </r>
  <r>
    <s v="PC26"/>
    <x v="3"/>
    <s v="1057532-385-PC26"/>
    <s v="Recetarios Médicos SAFU"/>
    <s v="Lhya Kortmann"/>
    <s v="Enfermera"/>
    <n v="450000"/>
  </r>
  <r>
    <s v="PC26"/>
    <x v="3"/>
    <s v="1057532-386-PC26"/>
    <s v="MATERIALES DE OFICINA"/>
    <s v="Venecia Recabarren"/>
    <s v="Jefatura Unidad Prev. Riesgos"/>
    <n v="169000"/>
  </r>
  <r>
    <s v="PC26"/>
    <x v="3"/>
    <s v="1057532-387-PC26"/>
    <s v="Vestuario y equipamiento Tecnico Referentes Prevención de Riesgos DSSO"/>
    <s v="Venecia Recabarren"/>
    <s v="Jefatura Unidad Prev. Riesgos"/>
    <n v="100000"/>
  </r>
  <r>
    <s v="PC26"/>
    <x v="3"/>
    <s v="1057532-388-PC26"/>
    <s v="INSUMOS DE ENFERMERÍA SAFU"/>
    <s v="Lhya Kortmann"/>
    <s v="Enfermera"/>
    <n v="352600"/>
  </r>
  <r>
    <s v="PC26"/>
    <x v="3"/>
    <s v="1057532-389-PC26"/>
    <s v="Almacenamiento,organización y resguardo de los insumos clínicos del área de enfermería"/>
    <s v="Lhya Kortmann"/>
    <s v="Enfermera"/>
    <n v="50004"/>
  </r>
  <r>
    <s v="PC26"/>
    <x v="3"/>
    <s v="1057532-390-PC26"/>
    <s v="CONMEMORACIÓN DÍA INTERNACIONAL DE LA SALUD MENTAL 2026"/>
    <s v="Pilar Mora"/>
    <s v="Encargada Saludablemente Funcionarios"/>
    <n v="624234"/>
  </r>
  <r>
    <s v="PC26"/>
    <x v="3"/>
    <s v="1057532-391-PC26"/>
    <s v="&quot;JORNADA DE FORTALECIMIENTO DE COMPETENCIAS PARENTALES Y BIENESTAR FAMILIAR &quot;"/>
    <s v="Claudia Muñoz"/>
    <s v="Encargada Cuidados Infantiles y Conciliación"/>
    <n v="183238"/>
  </r>
  <r>
    <s v="PC26"/>
    <x v="3"/>
    <s v="1057532-392-PC26"/>
    <s v="Contratación de visitas obras civiles consultoría obra ?SALA DE ACOGIDA INTERCULTURAL (SRUKA) HBO."/>
    <s v="Raul Rojas"/>
    <s v="Itos"/>
    <n v="5696005"/>
  </r>
  <r>
    <s v="PC26"/>
    <x v="3"/>
    <s v="1057532-393-PC26"/>
    <s v="FESTIVAL DEL DÍA DE LA NIÑEZ"/>
    <s v="Claudia Muñoz"/>
    <s v="Encargada Cuidados Infantiles y Conciliación"/>
    <n v="225046"/>
  </r>
  <r>
    <s v="PC26"/>
    <x v="3"/>
    <s v="1057532-394-PC26"/>
    <s v="Convenio - CONVENIO SUMINISTRO DE REACTIVOS CON ARRIENDO DE EQUIPOS Y SISTEMA INFORMATICO INTEGRADO DE LABORATORIO CLINICO, SSO"/>
    <s v="Sofia Reyes"/>
    <s v="Encargada Apoyo Diagnóstico Laboratorio"/>
    <n v="371161848"/>
  </r>
  <r>
    <s v="PC26"/>
    <x v="3"/>
    <s v="1057532-395-PC26"/>
    <s v="Adquisición Carro de Transporte Droguería-Bodega General"/>
    <s v="Leonor Araneda"/>
    <s v="Directora Técnica Droguería"/>
    <n v="600000"/>
  </r>
  <r>
    <s v="PC26"/>
    <x v="3"/>
    <s v="1057532-396-PC26"/>
    <s v="Adquisición de Amarras Plásticas y Elásticos para Optimizar el Almacenamiento y Distribución"/>
    <s v="Leonor Araneda"/>
    <s v="Directora Técnica Droguería"/>
    <n v="1700000"/>
  </r>
  <r>
    <s v="PC26"/>
    <x v="3"/>
    <s v="1057532-397-PC26"/>
    <s v="EEPP para funcionarios de Droguería-Bodega General-Bodega Inversiones"/>
    <s v="Leonor Araneda"/>
    <s v="Directora Técnica Droguería"/>
    <n v="1670016"/>
  </r>
  <r>
    <s v="PC26"/>
    <x v="3"/>
    <s v="1057532-398-PC26"/>
    <s v="Implementación de Sistema de Cerradura Digital para Control de Acceso"/>
    <s v="Leonor Araneda"/>
    <s v="Directora Técnica Droguería"/>
    <n v="900000"/>
  </r>
  <r>
    <s v="PC26"/>
    <x v="3"/>
    <s v="1057532-399-PC26"/>
    <s v="Adquisición de Sensores de Temperatura para Droguería ( Bodega de Dispositivos Médicos)"/>
    <s v="Leonor Araneda"/>
    <s v="Directora Técnica Droguería"/>
    <n v="3500010"/>
  </r>
  <r>
    <s v="PC26"/>
    <x v="3"/>
    <s v="1057532-400-PC26"/>
    <s v="Mantención de Equipos Médicos e Industriales 2026"/>
    <s v="Khris Silva"/>
    <s v="Jefa Subdepto. Mantención de Equipos Médicos e Industriales"/>
    <n v="17750002"/>
  </r>
  <r>
    <s v="PC26"/>
    <x v="3"/>
    <s v="1057532-402-PC26"/>
    <s v="Convenio - Convenio de Accesorios para Equipos Médicos Criticos de Base SAMU Osorno año 2027"/>
    <s v="Khris Silva"/>
    <s v="Jefa Subdepto. Mantención de Equipos Médicos e Industriales"/>
    <n v="0"/>
  </r>
  <r>
    <s v="PC26"/>
    <x v="3"/>
    <s v="1057532-403-PC26"/>
    <s v="Insumos de Box de rehabilitación kinésica SAFU"/>
    <s v="Felipe Barriga"/>
    <s v="Kinesiólogo"/>
    <n v="696000"/>
  </r>
  <r>
    <s v="PC26"/>
    <x v="3"/>
    <s v="1057532-404-PC26"/>
    <s v="Cuenta Pública Gestión 2025"/>
    <s v="Daniela Barria"/>
    <s v="Encargada Trato Usuario"/>
    <n v="2885085"/>
  </r>
  <r>
    <s v="PC26"/>
    <x v="3"/>
    <s v="1057532-405-PC26"/>
    <s v="Diálogo Provincial en Salud"/>
    <s v="Daniela Barria"/>
    <s v="Encargada Trato Usuario"/>
    <n v="2997268"/>
  </r>
  <r>
    <s v="PC26"/>
    <x v="3"/>
    <s v="1057532-410-PC26"/>
    <s v="Artículos de limpieza y higiene"/>
    <s v="Luis Flores"/>
    <s v="Coordinador"/>
    <n v="198030"/>
  </r>
  <r>
    <s v="PC26"/>
    <x v="3"/>
    <s v="1057532-412-PC26"/>
    <s v="Insumos para actividades grupales con usuarios y familiares de UID Newen."/>
    <s v="Camila Roa"/>
    <s v="Coordinadora"/>
    <n v="126581"/>
  </r>
  <r>
    <s v="PC26"/>
    <x v="3"/>
    <s v="1057532-415-PC26"/>
    <s v="Insumos para actividades de promoción, prevención e intervención comunitaria con usuarios/as y familiares de UID Newen."/>
    <s v="Camila Roa"/>
    <s v="Coordinadora"/>
    <n v="172000"/>
  </r>
  <r>
    <s v="PC26"/>
    <x v="3"/>
    <s v="1057532-416-PC26"/>
    <s v="Material de papelería centro Kümelen"/>
    <s v="Luis Flores"/>
    <s v="Coordinador"/>
    <n v="715014"/>
  </r>
  <r>
    <s v="PC26"/>
    <x v="3"/>
    <s v="1057532-418-PC26"/>
    <s v="Mochilas e insumos EMT (Equipos Médicos de Emergencia)"/>
    <s v="CATALINA VERA"/>
    <s v="COORDINADORA EMERGENCIA"/>
    <n v="930000"/>
  </r>
  <r>
    <s v="PC26"/>
    <x v="3"/>
    <s v="1057532-421-PC26"/>
    <s v="software de cartografía web"/>
    <s v="CATALINA VERA"/>
    <s v="COORDINADORA EMERGENCIA"/>
    <n v="1400000"/>
  </r>
  <r>
    <s v="PC26"/>
    <x v="3"/>
    <s v="1057532-422-PC26"/>
    <s v="COMPRA ELEMENTOS DE PROTECCION PERSONAL SECCION MANT. DE VEHICULOS"/>
    <s v="Felipe Salvo"/>
    <s v="Encargado Seccion"/>
    <n v="610000"/>
  </r>
  <r>
    <s v="PC26"/>
    <x v="3"/>
    <s v="1057532-423-PC26"/>
    <s v="COMPRA DE TARJETAS BLANCAS PARA CREDENCIALES PARA CAMAPAÑA SELLO BUEN TRATO."/>
    <s v="Gustavo Aravena"/>
    <s v="Jefe Depto. Desarrollo Organizacional"/>
    <n v="52000"/>
  </r>
  <r>
    <s v="PC26"/>
    <x v="3"/>
    <s v="1057532-424-PC26"/>
    <s v="Adquisición de insumos clínicos para usuarios/as UID Newen."/>
    <s v="Camila Roa"/>
    <s v="Coordinadora"/>
    <n v="370100"/>
  </r>
  <r>
    <s v="PC26"/>
    <x v="3"/>
    <s v="1057532-425-PC26"/>
    <s v="CREDENCIAL DE IDENTIFICACION INSTITUCIONAL"/>
    <s v="Karen Silva"/>
    <s v="PROFESIONAL"/>
    <n v="603000"/>
  </r>
  <r>
    <s v="PC26"/>
    <x v="3"/>
    <s v="1057532-426-PC26"/>
    <s v="EPP PARA DEPTO. DE INGENIERÍA CLÍNICA"/>
    <s v="Maria Elena Muñoz"/>
    <s v="Jefa (S) Sub. Dpto. De Inversiones De Equipos Y Equipamiento"/>
    <n v="150000"/>
  </r>
  <r>
    <s v="PC26"/>
    <x v="3"/>
    <s v="1057532-427-PC26"/>
    <s v="Vestuario terreno y EPP funcionario nuevo"/>
    <s v="CATALINA VERA"/>
    <s v="COORDINADORA EMERGENCIA"/>
    <n v="500004"/>
  </r>
  <r>
    <s v="PC26"/>
    <x v="3"/>
    <s v="1057532-428-PC26"/>
    <s v="Conmemoración día internacional de la eliminación de la violencia contra la mujer 2026"/>
    <s v="Kassandra Fernandez"/>
    <s v="Trabajadora Social"/>
    <n v="173624"/>
  </r>
  <r>
    <s v="PC26"/>
    <x v="3"/>
    <s v="1057532-429-PC26"/>
    <s v="Adquisición de insumos para atención en domicilio del Equipo Rehabilitación Rural SSO. (Sarten electrico para ortesis)"/>
    <s v="Karin Avila"/>
    <s v="Referente Rehabilitación Integral"/>
    <n v="80000"/>
  </r>
  <r>
    <s v="PC26"/>
    <x v="3"/>
    <s v="1057532-430-PC26"/>
    <s v="MANTENCIÓN PREVENTIVA DE AGUA POTABLE DE LA BASE SAMU"/>
    <s v="Garibe Gallardo"/>
    <s v="PROFESIONAL"/>
    <n v="2000000"/>
  </r>
  <r>
    <s v="PC26"/>
    <x v="3"/>
    <s v="1057532-431-PC26"/>
    <s v="Mantenciones emergentes para establecimientos dependientes del Servicio de Salud Osorno"/>
    <s v="Garibe Gallardo"/>
    <s v="PROFESIONAL"/>
    <n v="6000000"/>
  </r>
  <r>
    <s v="PC26"/>
    <x v="3"/>
    <s v="1057532-432-PC26"/>
    <s v="Convenio - CONVENIO DE MANTENCION Y OBRAS MENORES INFRAESTRUCTURA DE LOS ESTABLECIMIENTOS DEL SERVICIO DE SALUD OSORNO 2027"/>
    <s v="Garibe Gallardo"/>
    <s v="PROFESIONAL"/>
    <n v="0"/>
  </r>
  <r>
    <s v="PC26"/>
    <x v="3"/>
    <s v="1057532-433-PC26"/>
    <s v="Mantención de Cubiertas de Edificios y Dispositivos dependientes del Servicio de Salud Osorno"/>
    <s v="Garibe Gallardo"/>
    <s v="PROFESIONAL"/>
    <n v="25000000"/>
  </r>
  <r>
    <s v="PC26"/>
    <x v="3"/>
    <s v="1057532-434-PC26"/>
    <s v="Mejoramiento Eléctrico y de Datos en Oficina 2do piso del Edificio Institucional de Manuel Rodríguez."/>
    <s v="Garibe Gallardo"/>
    <s v="PROFESIONAL"/>
    <n v="10000000"/>
  </r>
  <r>
    <s v="PC26"/>
    <x v="3"/>
    <s v="1057532-435-PC26"/>
    <s v="MANTENIMIENTO PREVENTIVO Y ADECUACIONES MENORES A TABLEROS ELECTRICOS DE LOS HOSPITALES Y DISPOSITIVOS DE LA RED 2027"/>
    <s v="Diego Saldivia"/>
    <s v="Referente"/>
    <n v="35304528"/>
  </r>
  <r>
    <s v="PC26"/>
    <x v="3"/>
    <s v="1057532-436-PC26"/>
    <s v="Materiales para simulacros"/>
    <s v="CATALINA VERA"/>
    <s v="COORDINADORA EMERGENCIA"/>
    <n v="500000"/>
  </r>
  <r>
    <s v="PC26"/>
    <x v="3"/>
    <s v="1057532-437-PC26"/>
    <s v="Conmemoración Día Mundial de Prevención Contra el Cáncer Cervicouterino"/>
    <s v="Francisca Contreras"/>
    <s v="Matrona"/>
    <n v="299940"/>
  </r>
  <r>
    <s v="PC26"/>
    <x v="3"/>
    <s v="1057532-438-PC26"/>
    <s v="Elementos de Protección Personal para el Subdepto. Prevención de Riesgos DSSO"/>
    <s v="Venecia Recabarren"/>
    <s v="Jefatura Unidad Prev. Riesgos"/>
    <n v="390000"/>
  </r>
  <r>
    <s v="PC26"/>
    <x v="3"/>
    <s v="1057532-439-PC26"/>
    <s v="Abordaje integral de trastornos de salud mental y conducta alimentaria en adolescentes"/>
    <s v="Francisca Contreras"/>
    <s v="Matrona"/>
    <n v="720000"/>
  </r>
  <r>
    <s v="PC26"/>
    <x v="3"/>
    <s v="1057532-443-PC26"/>
    <s v="Adquisición de herramientas básicas para mantenimiento Centro Comunitario Kümelen"/>
    <s v="Luis Flores"/>
    <s v="Coordinador"/>
    <n v="170001"/>
  </r>
  <r>
    <s v="PC26"/>
    <x v="3"/>
    <s v="1057532-444-PC26"/>
    <s v="Equipamiento Ergonómico"/>
    <s v="Venecia Recabarren"/>
    <s v="Jefatura Unidad Prev. Riesgos"/>
    <n v="8196174"/>
  </r>
  <r>
    <s v="PC26"/>
    <x v="3"/>
    <s v="1057532-445-PC26"/>
    <s v="TEST PSICOLOGICOS PARA LA UNIDAD DE RECLUTAMIENTO Y SELECCIÓN DEL S.S.O."/>
    <s v="Guissela Franco"/>
    <s v="Jefa Unidad Reclutamiento Y Seleccion"/>
    <n v="5000001"/>
  </r>
  <r>
    <s v="PC26"/>
    <x v="3"/>
    <s v="1057532-446-PC26"/>
    <s v="ADQUISICION INSUMOS MANTENCION RED DE RADIOCOMUNICACIONES EN EMERGENCIAS SERVICIO DE SALUD OSORNO"/>
    <s v="Esteban Alarcon"/>
    <s v="TECNICO RADIOCOMUNICACIONES"/>
    <n v="300006"/>
  </r>
  <r>
    <s v="PC26"/>
    <x v="3"/>
    <s v="1057532-447-PC26"/>
    <s v="Jornada SSYR Provincial"/>
    <s v="Francisca Contreras"/>
    <s v="Matrona"/>
    <n v="220000"/>
  </r>
  <r>
    <s v="PC26"/>
    <x v="3"/>
    <s v="1057532-448-PC26"/>
    <s v="REPOSICION Y MANTENIMIENTO COMPONENTES RADIOS PORTATILES VHF DIRECCION"/>
    <s v="Esteban Alarcon"/>
    <s v="TECNICO RADIOCOMUNICACIONES"/>
    <n v="1500018"/>
  </r>
  <r>
    <s v="PC26"/>
    <x v="3"/>
    <s v="1057532-449-PC26"/>
    <s v="Insumos y servicio de Coffee Break para Curso de Monitores 2026 del Centro Kümelen"/>
    <s v="Luis Flores"/>
    <s v="Coordinador"/>
    <n v="218020"/>
  </r>
  <r>
    <s v="PC26"/>
    <x v="3"/>
    <s v="1057532-450-PC26"/>
    <s v="Adquisición de insumos para la atención en domicilio del Equipo Rehabilitación Rural SSO. (Equipo Médico Fonoaudiologa)"/>
    <s v="Karin Avila"/>
    <s v="Referente Rehabilitación Integral"/>
    <n v="100000"/>
  </r>
  <r>
    <s v="PC26"/>
    <x v="3"/>
    <s v="1057532-451-PC26"/>
    <s v="Cintas de Seguridad"/>
    <s v="Venecia Recabarren"/>
    <s v="Jefatura Unidad Prev. Riesgos"/>
    <n v="335005"/>
  </r>
  <r>
    <s v="PC26"/>
    <x v="3"/>
    <s v="1057532-452-PC26"/>
    <s v="Reciclaje en Edificio Plaza Sur"/>
    <s v="Carlos Lopez Gutierrez"/>
    <s v="INGENIERO AMBIENTAL"/>
    <n v="2400000"/>
  </r>
  <r>
    <s v="PC26"/>
    <x v="3"/>
    <s v="1057532-453-PC26"/>
    <s v="Adquisición de insumos para la atención en domicilio del Equipo Rehabilitación Rural SSO. (Articulos de Fonoaudiología)"/>
    <s v="Karin Avila"/>
    <s v="Referente Rehabilitación Integral"/>
    <n v="300090"/>
  </r>
  <r>
    <s v="PC26"/>
    <x v="3"/>
    <s v="1057532-454-PC26"/>
    <s v="Protección Solar"/>
    <s v="Venecia Recabarren"/>
    <s v="Jefatura Unidad Prev. Riesgos"/>
    <n v="150000"/>
  </r>
  <r>
    <s v="PC26"/>
    <x v="3"/>
    <s v="1057532-455-PC26"/>
    <s v="EQUIPAMIENTO AMBULATORIO FONDOS PPV"/>
    <s v="Carolina Silva"/>
    <s v="Encargada De Compras"/>
    <n v="1660004"/>
  </r>
  <r>
    <s v="PC26"/>
    <x v="3"/>
    <s v="1057532-456-PC26"/>
    <s v="Reciclaje en Edificio Plaza Sur"/>
    <s v="Carlos Lopez Gutierrez"/>
    <s v="INGENIERO AMBIENTAL"/>
    <n v="3861900"/>
  </r>
  <r>
    <s v="PC26"/>
    <x v="3"/>
    <s v="1057532-457-PC26"/>
    <s v="Equipamiento Tecnologico"/>
    <s v="Venecia Recabarren"/>
    <s v="Jefatura Unidad Prev. Riesgos"/>
    <n v="36000"/>
  </r>
  <r>
    <s v="PC26"/>
    <x v="3"/>
    <s v="1057532-458-PC26"/>
    <s v="ARTICULOS DE FERRETERIA AMBULATORIO FONDOS PPV"/>
    <s v="Carolina Silva"/>
    <s v="Encargada De Compras"/>
    <n v="2740091"/>
  </r>
  <r>
    <s v="PC26"/>
    <x v="3"/>
    <s v="1057532-459-PC26"/>
    <s v="Ceremonia de Egreso del Curso de Formación de Monitores del centro Kümelen."/>
    <s v="Luis Flores"/>
    <s v="Coordinador"/>
    <n v="400000"/>
  </r>
  <r>
    <s v="PC26"/>
    <x v="3"/>
    <s v="1057532-460-PC26"/>
    <s v="Protección Visual RUV"/>
    <s v="Venecia Recabarren"/>
    <s v="Jefatura Unidad Prev. Riesgos"/>
    <n v="800000"/>
  </r>
  <r>
    <s v="PC26"/>
    <x v="3"/>
    <s v="1057532-461-PC26"/>
    <s v="ARTICULOS DE COCINA AMBULATORIO FONDOS PPV"/>
    <s v="Carolina Silva"/>
    <s v="Encargada De Compras"/>
    <n v="1322042"/>
  </r>
  <r>
    <s v="PC26"/>
    <x v="3"/>
    <s v="1057532-462-PC26"/>
    <s v="ARTICULOS DE JARDINERIA AMBULATORIO FONDOS PPV"/>
    <s v="Carolina Silva"/>
    <s v="Encargada De Compras"/>
    <n v="334061"/>
  </r>
  <r>
    <s v="PC26"/>
    <x v="3"/>
    <s v="1057532-463-PC26"/>
    <s v="Adquisición de 120 Endoscopias Digestivas Altas para establecimientos de la Red Asistencial del Servicio de Salud Osorno."/>
    <s v="Omar Contreras"/>
    <s v="Jefe Subdetpo. Apoyo Diagnóstico Y Terapéutico"/>
    <n v="14500000"/>
  </r>
  <r>
    <s v="PC26"/>
    <x v="3"/>
    <s v="1057532-464-PC26"/>
    <s v="Conmemoración día internacional de la eliminación de la violencia contra la mujer 2026"/>
    <s v="Kassandra Fernandez"/>
    <s v="Trabajadora Social"/>
    <n v="460000"/>
  </r>
  <r>
    <s v="PC26"/>
    <x v="3"/>
    <s v="1057532-465-PC26"/>
    <s v="Carro de carga plegable (Yegua)"/>
    <s v="Luis Flores"/>
    <s v="Coordinador"/>
    <n v="120000"/>
  </r>
  <r>
    <s v="PC26"/>
    <x v="3"/>
    <s v="1057532-466-PC26"/>
    <s v="Servicio de Movilización de 1 vehículo con conductor, por 2 meses, para ejecución vacunación en la provincia de Osorno"/>
    <s v="Carolina Lagos"/>
    <s v="Referente De Programa Nacional De Inmunizaciones"/>
    <n v="7000000"/>
  </r>
  <r>
    <s v="PC26"/>
    <x v="3"/>
    <s v="1057532-467-PC26"/>
    <s v="SERVICIO DE ELABORACIÓN Y DIFUSIÓN DE 4 AVISOS RADIALES PROMOCIONALES DE CAMPAÑA DE INVIERNO 2026 POR 2 MESES"/>
    <s v="Carolina Lagos"/>
    <s v="Referente De Programa Nacional De Inmunizaciones"/>
    <n v="1428000"/>
  </r>
  <r>
    <s v="PC26"/>
    <x v="3"/>
    <s v="1057532-469-PC26"/>
    <s v="1 Servicio de grabación y emisión de 4 mensajes radiales de vacunación escolar por 2 meses, en la provincia de Osorno."/>
    <s v="Carolina Lagos"/>
    <s v="Referente De Programa Nacional De Inmunizaciones"/>
    <n v="1428000"/>
  </r>
  <r>
    <s v="PC26"/>
    <x v="3"/>
    <s v="1057532-470-PC26"/>
    <s v="Insumos para dispensación de fármacos y entrega citas a usuarios COSAM Rahue"/>
    <s v="Yuvit Garcia-Chacur"/>
    <s v="DIRECTORA"/>
    <n v="1160000"/>
  </r>
  <r>
    <s v="PC26"/>
    <x v="3"/>
    <s v="1057532-471-PC26"/>
    <s v="ADQUISICIÓN PARA PROGRAMA DE PROMOCIÓN, PREVENCIÓN Y DIAGNÓSTICO PRECOZ CÁNCERES PREVALENTES EN MUJERES DE LA PROVINCIA"/>
    <s v="Franco Fuentes"/>
    <s v="Encargado De Gestión De Lista De Espera Y Programa Nacional De Cáncer"/>
    <n v="62432002"/>
  </r>
  <r>
    <s v="PC26"/>
    <x v="3"/>
    <s v="1057532-472-PC26"/>
    <s v="Adquisición de megáfonos y gabinetes para la comunicación en emergencias, gestión de riesgos y protección de equipos"/>
    <s v="Yuvit Garcia-Chacur"/>
    <s v="DIRECTORA"/>
    <n v="600000"/>
  </r>
  <r>
    <s v="PC26"/>
    <x v="3"/>
    <s v="1057532-473-PC26"/>
    <s v="Compra de insumos para la mantención de la cadena de frío de las vacunas de los establecimientos de la provincia."/>
    <s v="Carolina Lagos"/>
    <s v="Referente De Programa Nacional De Inmunizaciones"/>
    <n v="5580820"/>
  </r>
  <r>
    <s v="PC26"/>
    <x v="3"/>
    <s v="1057532-474-PC26"/>
    <s v="&quot;Día del autocuidado&quot; en la comunidad funcionaria el día 24 de julio del 2026"/>
    <s v="Lhya Kortmann"/>
    <s v="Enfermera"/>
    <n v="440000"/>
  </r>
  <r>
    <s v="PC26"/>
    <x v="3"/>
    <s v="1057532-475-PC26"/>
    <s v="Insumos de Box de rehabilitación kinésica SAFU"/>
    <s v="Felipe Barriga"/>
    <s v="Kinesiólogo"/>
    <n v="115003"/>
  </r>
  <r>
    <s v="PC26"/>
    <x v="3"/>
    <s v="1057532-476-PC26"/>
    <s v="Adquisición materiales de oficina Unidad de Memoria 2026"/>
    <s v="Ximena Campos"/>
    <s v="Coordinadora Unidad De Memoria"/>
    <n v="405000"/>
  </r>
  <r>
    <s v="PC26"/>
    <x v="3"/>
    <s v="1057532-477-PC26"/>
    <s v="Materiales e insumos para talleres y capacitaciones red de coordinadores"/>
    <s v="CATALINA VERA"/>
    <s v="COORDINADORA EMERGENCIA"/>
    <n v="542153"/>
  </r>
  <r>
    <s v="PC26"/>
    <x v="3"/>
    <s v="1057532-478-PC26"/>
    <s v="Adquisición de productos e insumos para el programa de control y eliminación de la Tuberculosis"/>
    <s v="Maria Paz Gomez"/>
    <s v="Referente Programa De Tuberculosis"/>
    <n v="2502600"/>
  </r>
  <r>
    <s v="PC26"/>
    <x v="3"/>
    <s v="1057532-479-PC26"/>
    <s v="Materiales de oficina no disponibles en Bodega Central"/>
    <s v="Claudia Muñoz"/>
    <s v="Encargada Unidad De Cuidados Infantiles Y Conciliación"/>
    <n v="222014"/>
  </r>
  <r>
    <s v="PC26"/>
    <x v="3"/>
    <s v="1057532-480-PC26"/>
    <s v="Adquisicion de recetarios y talonarios de examenes de Psiconeurogeriatría Ayekan y kumelen."/>
    <s v="Ximena Campos"/>
    <s v="Coordinadora Unidad De Memoria"/>
    <n v="200000"/>
  </r>
  <r>
    <s v="PC26"/>
    <x v="3"/>
    <s v="1057532-481-PC26"/>
    <s v="INSUMOS DE OFICINA"/>
    <s v="Marta Borquez"/>
    <s v="Secretaria"/>
    <n v="2026009"/>
  </r>
  <r>
    <s v="PC26"/>
    <x v="3"/>
    <s v="1057532-482-PC26"/>
    <s v="Adquisición de Material Educativo Visual y Didáctico para la Educación Alimentaria en la Red de APS"/>
    <s v="Consuelo Cordova"/>
    <s v="Jefe Sub Departamento Programa Curso De Vida"/>
    <n v="2500008"/>
  </r>
  <r>
    <s v="PC26"/>
    <x v="3"/>
    <s v="1057532-483-PC26"/>
    <s v="Adquisición de productos e insumos para el programa de control y eliminación de la Tuberculosis"/>
    <s v="Maria Paz Gomez"/>
    <s v="Referente Programa De Tuberculosis"/>
    <n v="500115"/>
  </r>
  <r>
    <s v="PC26"/>
    <x v="3"/>
    <s v="1057532-484-PC26"/>
    <s v="Compra de insumos de higiene oral de programa odontológico integral"/>
    <s v="Gonzalo Schulz"/>
    <s v="Odontologo"/>
    <n v="4059825"/>
  </r>
  <r>
    <s v="PC26"/>
    <x v="3"/>
    <s v="1057532-485-PC26"/>
    <s v="Pilas para equipos clínicos pesa, hemoglucotest y equipo de electroterapia"/>
    <s v="Daniela Cancino"/>
    <s v="Nutricionista"/>
    <n v="550000"/>
  </r>
  <r>
    <s v="PC26"/>
    <x v="3"/>
    <s v="1057532-486-PC26"/>
    <s v="Capacitación de Salud Respiratoria en el Curso de Vida, en contexto de campaña de invierno para 110 personas"/>
    <s v="Carolina Lagos"/>
    <s v="Referente De Programa Nacional De Inmunizaciones"/>
    <n v="783090"/>
  </r>
  <r>
    <s v="PC26"/>
    <x v="3"/>
    <s v="1057532-487-PC26"/>
    <s v="Escalera tijera plegable"/>
    <s v="Daniela Cancino"/>
    <s v="Nutricionista"/>
    <n v="60000"/>
  </r>
  <r>
    <s v="PC26"/>
    <x v="3"/>
    <s v="1057532-488-PC26"/>
    <s v="Convenio - Suministro de oxígeno medicinal para Red de Hospitales de mediana y baja complejidad, SAMU y Cosam"/>
    <s v="Mario Aburto"/>
    <s v="Encargado Gestión Salud Respiratoria"/>
    <n v="0"/>
  </r>
  <r>
    <s v="PC26"/>
    <x v="3"/>
    <s v="1057532-489-PC26"/>
    <s v="Mantención integral edificio Centro Kümelen"/>
    <s v="Luis Flores"/>
    <s v="Coordinador"/>
    <n v="900000"/>
  </r>
  <r>
    <s v="PC26"/>
    <x v="3"/>
    <s v="1057532-490-PC26"/>
    <s v="Mantención integral edificio Matta"/>
    <s v="Luis Flores"/>
    <s v="Coordinador"/>
    <n v="1500000"/>
  </r>
  <r>
    <s v="PC26"/>
    <x v="3"/>
    <s v="1057532-491-PC26"/>
    <s v="Material de librería para vacunatorios y para capacitaciones del Programa Nacional de Inmunizaciones 2025"/>
    <s v="Carolina Lagos"/>
    <s v="Referente De Programa Nacional De Inmunizaciones"/>
    <n v="726450"/>
  </r>
  <r>
    <s v="PC26"/>
    <x v="3"/>
    <s v="1057532-492-PC26"/>
    <s v="Estudio e Informe Estructural Edificio EX- PDI."/>
    <s v="Mario Barrientos"/>
    <s v="Jefe Subdepto. Diseño De Infraestructura De Salud"/>
    <n v="5000000"/>
  </r>
  <r>
    <s v="PC26"/>
    <x v="3"/>
    <s v="1057532-493-PC26"/>
    <s v="Adquisición servicio de cafetería para actividad de capacitación a profesionales de salud Campaña de Invierno"/>
    <s v="Mario Aburto"/>
    <s v="Encargado Gestión Salud Respiratoria"/>
    <n v="500000"/>
  </r>
  <r>
    <s v="PC26"/>
    <x v="3"/>
    <s v="1057532-494-PC26"/>
    <s v="Adquisición artículos de librería para Jornadas con la Red Asistencial"/>
    <s v="Munirih Soto"/>
    <s v="Jefatura Depto"/>
    <n v="316013"/>
  </r>
  <r>
    <s v="PC26"/>
    <x v="3"/>
    <s v="1057532-495-PC26"/>
    <s v="Plan de Compra Anual nuevos Boxes Dentales SAFU - Insumos Instrumentales"/>
    <s v="Luis Alfonso Oyarzun"/>
    <s v="Cirujano Dentista"/>
    <n v="10000000"/>
  </r>
  <r>
    <s v="PC26"/>
    <x v="3"/>
    <s v="1057532-496-PC26"/>
    <s v="Adquisicion Licencias de Software GstarCAD por 24 meses"/>
    <s v="Alejandro Nuñez"/>
    <s v="Encargado Gestión De Sistemas"/>
    <n v="15000018"/>
  </r>
  <r>
    <s v="PC26"/>
    <x v="3"/>
    <s v="1057532-497-PC26"/>
    <s v="Adquisicion Licencias de Software ArchiCAD por 24 meses"/>
    <s v="Alejandro Nuñez"/>
    <s v="Encargado Gestión De Sistemas"/>
    <n v="30000000"/>
  </r>
  <r>
    <s v="PC26"/>
    <x v="3"/>
    <s v="1057532-498-PC26"/>
    <s v="Implementación de impresoras termicas en Some De Edificio Matta"/>
    <s v="Ximena Campos"/>
    <s v="Coordinadora Unidad De Memoria"/>
    <n v="280000"/>
  </r>
  <r>
    <s v="PC26"/>
    <x v="3"/>
    <s v="1057532-499-PC26"/>
    <s v="SOPORTE Y MANTENCION ANUAL SOFTWARE CONTROL DE INVENTARIO"/>
    <s v="Pablo Miranda"/>
    <s v="Encargado De Inventario"/>
    <n v="7000000"/>
  </r>
  <r>
    <s v="PC26"/>
    <x v="3"/>
    <s v="1057532-500-PC26"/>
    <s v="Adquisición 2 coffee break para Jornada de Plan de Salud Comunal y Priorización"/>
    <s v="Munirih Soto"/>
    <s v="Jefatura Depto"/>
    <n v="1200000"/>
  </r>
  <r>
    <s v="PC26"/>
    <x v="3"/>
    <s v="1057532-501-PC26"/>
    <s v="Adquisición artículos de cafetería para Jornadas de planificación con Red Asistencial"/>
    <s v="Munirih Soto"/>
    <s v="Jefatura Depto"/>
    <n v="150100"/>
  </r>
  <r>
    <s v="PC26"/>
    <x v="3"/>
    <s v="1057532-502-PC26"/>
    <s v="Construcción de repisas para archivos en bodega ex COSAM Oriente"/>
    <s v="Pablo Miranda"/>
    <s v="Encargado De Inventario"/>
    <n v="1500000"/>
  </r>
  <r>
    <s v="PC26"/>
    <x v="3"/>
    <s v="1057532-503-PC26"/>
    <s v="3°Jornada para cuidadores/as &quot;Cuidar con sentido y acompañar con el corazón&quot;"/>
    <s v="Ximena Campos"/>
    <s v="Coordinadora Unidad De Memoria"/>
    <n v="118548"/>
  </r>
  <r>
    <s v="PC26"/>
    <x v="3"/>
    <s v="1057532-504-PC26"/>
    <s v="SERVICIO DE TRASLADO DE MOBILIARIO"/>
    <s v="Pablo Miranda"/>
    <s v="Encargado De Inventario"/>
    <n v="1000000"/>
  </r>
  <r>
    <s v="PC26"/>
    <x v="3"/>
    <s v="1057532-505-PC26"/>
    <s v="Accesorios de telecomunicación para actividades digitales de promoción y prevención de salud mental para la comunidad fu"/>
    <s v="Constanza García"/>
    <s v="Psicóloga Safu"/>
    <n v="110000"/>
  </r>
  <r>
    <s v="PC26"/>
    <x v="3"/>
    <s v="1057532-506-PC26"/>
    <s v="Adquisición Carpetas con bolsillo troquel de imprenta y logo institucional CPU"/>
    <s v="Maria Teresa Jaramillo"/>
    <s v="Encargada Alivio del Dolor y Cuidados Paliativos Universales"/>
    <n v="600000"/>
  </r>
  <r>
    <s v="PC26"/>
    <x v="3"/>
    <s v="1057532-507-PC26"/>
    <s v="Plan de Compra Anual nuevos Boxes Dentales SAFU - Insumos Dentales"/>
    <s v="Luis Alfonso Oyarzun"/>
    <s v="Cirujano Dentista"/>
    <n v="10000000"/>
  </r>
  <r>
    <s v="PC26"/>
    <x v="3"/>
    <s v="1057532-508-PC26"/>
    <s v="Material de trabajo terapéutico equipo salud mental unidad de salud funcionaria - Librería terapéutica"/>
    <s v="Constanza García"/>
    <s v="Psicóloga Safu"/>
    <n v="500000"/>
  </r>
  <r>
    <s v="PC26"/>
    <x v="3"/>
    <s v="1057532-509-PC26"/>
    <s v="Implementacion de talleres y renovacion de insumos de kinesiologia de Unidad de Memoria Ayekan."/>
    <s v="Ximena Campos"/>
    <s v="Coordinadora Unidad De Memoria"/>
    <n v="450008"/>
  </r>
  <r>
    <s v="PC26"/>
    <x v="3"/>
    <s v="1057532-510-PC26"/>
    <s v="Adquisición de boquillas espiratorias desechables para flujometría."/>
    <s v="Mario Aburto"/>
    <s v="Encargado Gestión Salud Respiratoria"/>
    <n v="700000"/>
  </r>
  <r>
    <s v="PC26"/>
    <x v="3"/>
    <s v="1057532-511-PC26"/>
    <s v="Adquisición Turbinas desechables espirometría"/>
    <s v="Mario Aburto"/>
    <s v="Encargado Gestión Salud Respiratoria"/>
    <n v="2000160"/>
  </r>
  <r>
    <s v="PC26"/>
    <x v="3"/>
    <s v="1057532-512-PC26"/>
    <s v="Servicio de cafetería para Jornada de Capacitación en Cuidados Paliativos para equipos CPU APS y Hospitales SSO"/>
    <s v="Maria Teresa Jaramillo"/>
    <s v="Encargada Alivio del Dolor y Cuidados Paliativos Universales"/>
    <n v="420000"/>
  </r>
  <r>
    <s v="PC26"/>
    <x v="3"/>
    <s v="1057532-513-PC26"/>
    <s v="Adquisición de insumos de folleteria y cuadernillos de stimulación para Unidad de Memoria."/>
    <s v="Ximena Campos"/>
    <s v="Coordinadora Unidad De Memoria"/>
    <n v="1000000"/>
  </r>
  <r>
    <s v="PC26"/>
    <x v="3"/>
    <s v="1057532-514-PC26"/>
    <s v="Talleres educativos y de respiro para cuidadoras/es de usuarios con deteriro cognitivo."/>
    <s v="Ximena Campos"/>
    <s v="Coordinadora Unidad De Memoria"/>
    <n v="440040"/>
  </r>
  <r>
    <s v="PC26"/>
    <x v="3"/>
    <s v="1057532-515-PC26"/>
    <s v="Compra de insumos clínicos para actividades de vacunación, en vacunatorios y colegios de la provincia."/>
    <s v="Carolina Lagos"/>
    <s v="Referente De Programa Nacional De Inmunizaciones"/>
    <n v="2578000"/>
  </r>
  <r>
    <s v="PC26"/>
    <x v="3"/>
    <s v="1057532-516-PC26"/>
    <s v="Adquisición de Neumáticos para vehículos de la Dirección Servicio de Salud Osorno y Base SAMU Osorno año 2026"/>
    <s v="Felipe Salvo"/>
    <s v="Encargado Seccion"/>
    <n v="3000000"/>
  </r>
  <r>
    <s v="PC26"/>
    <x v="3"/>
    <s v="1057532-517-PC26"/>
    <s v="Servicio de Coffe para 115 personas, Jornada Anual de Capacitación del Programa Nacional de Inmunizaciones, provincial"/>
    <s v="Carolina Lagos"/>
    <s v="Referente De Programa Nacional De Inmunizaciones"/>
    <n v="1428000"/>
  </r>
  <r>
    <s v="PC26"/>
    <x v="3"/>
    <s v="1057532-518-PC26"/>
    <s v="Elaboración e impresión de Carnet de Control Integral para la Red de APS de la provincia de Osorno."/>
    <s v="Consuelo Cordova"/>
    <s v="Jefa Subdepto. Gestión De Programas"/>
    <n v="9000000"/>
  </r>
  <r>
    <s v="PC26"/>
    <x v="3"/>
    <s v="1057532-519-PC26"/>
    <s v="Implementación autotoma de VPH"/>
    <s v="Francisca Contreras"/>
    <s v="Matrona"/>
    <n v="3000000"/>
  </r>
  <r>
    <s v="PC26"/>
    <x v="3"/>
    <s v="1057532-520-PC26"/>
    <s v="TEST DE EVALUACIONES PSICOLÓGICAS"/>
    <s v="Carolina Silva"/>
    <s v="Encargada De Compras"/>
    <n v="1250000"/>
  </r>
  <r>
    <s v="PC26"/>
    <x v="3"/>
    <s v="1057532-521-PC26"/>
    <s v="Conmemoración día Mundial de la Salud Mental 10 de octubre 2026 y Desarrollo de actividades de promoción de salud mental"/>
    <s v="Constanza García"/>
    <s v="Psicóloga Safu"/>
    <n v="449086"/>
  </r>
  <r>
    <s v="PC26"/>
    <x v="3"/>
    <s v="1057532-522-PC26"/>
    <s v="Insumos para CIRA SDGA"/>
    <s v="Esteban Oyarzo"/>
    <s v="Asistente Ejecutivo"/>
    <n v="506850"/>
  </r>
  <r>
    <s v="PC26"/>
    <x v="3"/>
    <s v="1057532-523-PC26"/>
    <s v="Festival de la Voz de las Mujeres 2026"/>
    <s v="Ignacio Sotomayor"/>
    <s v="Psicologo"/>
    <n v="505068"/>
  </r>
  <r>
    <s v="PC26"/>
    <x v="3"/>
    <s v="1057532-524-PC26"/>
    <s v="Obras civiles para montaje de 2 futuros contenedores de largo 20 pies"/>
    <s v="Pedro Fritz"/>
    <s v="Director"/>
    <n v="12000000"/>
  </r>
  <r>
    <s v="PC26"/>
    <x v="3"/>
    <s v="1057532-525-PC26"/>
    <s v="ADQUISICIÓN DISPOSITIVOS DE ALMACENAMIENTO PARA HABILITACION DE EQUIPOS COMPUTACIONALES"/>
    <s v="Alejandro Nuñez"/>
    <s v="Encargado Gestión De Sistemas"/>
    <n v="3550000"/>
  </r>
  <r>
    <s v="PC26"/>
    <x v="3"/>
    <s v="1057532-529-PC26"/>
    <s v="contendores de papel"/>
    <s v="Cristina Collinao"/>
    <s v="Sub. Dpto. Transparencia, Gestion Documental Y Lobby"/>
    <n v="70000"/>
  </r>
  <r>
    <s v="PC26"/>
    <x v="3"/>
    <s v="1057532-534-PC26"/>
    <s v="INSUMOS DE ATENCION PSICOLOGICA"/>
    <s v="Constanza García"/>
    <s v="Psicóloga Safu"/>
    <n v="335000"/>
  </r>
  <r>
    <s v="PC26"/>
    <x v="3"/>
    <s v="1057532-535-PC26"/>
    <s v="Eventos y resignificaciones anuales"/>
    <s v="Carolina Silva"/>
    <s v="Encargada De Compras"/>
    <n v="6517038"/>
  </r>
  <r>
    <s v="PC26"/>
    <x v="3"/>
    <s v="1057532-536-PC26"/>
    <s v="INSUMOS ALIMENTACIÓN PARA ACTIVIDADES DE SALUD MENTAL 2026"/>
    <s v="Constanza García"/>
    <s v="Psicóloga Safu"/>
    <n v="170000"/>
  </r>
  <r>
    <s v="PC26"/>
    <x v="3"/>
    <s v="1057532-537-PC26"/>
    <s v="MUEBLE DOCUMENTAL"/>
    <s v="Cristina Collinao"/>
    <s v="Sub. Dpto. Transparencia, Gestion Documental Y Lobby"/>
    <n v="100000"/>
  </r>
  <r>
    <s v="PC26"/>
    <x v="3"/>
    <s v="1057532-538-PC26"/>
    <s v="Olimpiadas del Adolescente"/>
    <s v="Francisca Contreras"/>
    <s v="Matrona"/>
    <n v="220000"/>
  </r>
  <r>
    <s v="PC26"/>
    <x v="3"/>
    <s v="1057532-539-PC26"/>
    <s v="Insumos para reuniones ministeriales"/>
    <s v="Claudia Vera"/>
    <s v="Asistente Ejecutivo"/>
    <n v="511508"/>
  </r>
  <r>
    <s v="PC26"/>
    <x v="3"/>
    <s v="1057532-540-PC26"/>
    <s v="Compra de Servicio de Docencia, Relatoría, Consultoría, Alimentación y Compra de insumos Año 2026"/>
    <s v="Angela Montesinos"/>
    <s v="Encargada Control De Gestion De Compras Y De Presupuesto"/>
    <n v="207808160"/>
  </r>
  <r>
    <s v="PC26"/>
    <x v="3"/>
    <s v="1057532-541-PC26"/>
    <s v="Insumos médicos"/>
    <s v="Carolina Silva"/>
    <s v="Encargada De Compras"/>
    <n v="1793388"/>
  </r>
  <r>
    <s v="PC26"/>
    <x v="3"/>
    <s v="1057532-542-PC26"/>
    <s v="Adquisición de Insumos para control cardiovascular/integral en atención primaria"/>
    <s v="Consuelo Cordova"/>
    <s v="Jefa Subdepto. Gestión De Programas"/>
    <n v="10002100"/>
  </r>
  <r>
    <s v="PC26"/>
    <x v="3"/>
    <s v="1057532-543-PC26"/>
    <s v="Materiales psicopedagógicos"/>
    <s v="Carolina Silva"/>
    <s v="Encargada De Compras"/>
    <n v="1149277"/>
  </r>
  <r>
    <s v="PC26"/>
    <x v="3"/>
    <s v="1057532-544-PC26"/>
    <s v="Adquisición de insumos para la atención y educación en salud, a personas bajo control en los Programas de Salud"/>
    <s v="Consuelo Cordova"/>
    <s v="Jefa Subdepto. Gestión De Programas"/>
    <n v="5560000"/>
  </r>
  <r>
    <s v="PC26"/>
    <x v="3"/>
    <s v="1057532-545-PC26"/>
    <s v="Conmemoración del aniversario del centro Kümelen"/>
    <s v="Carlos Utreras"/>
    <s v="Coordinador (S)"/>
    <n v="920000"/>
  </r>
  <r>
    <s v="PC26"/>
    <x v="3"/>
    <s v="1057532-546-PC26"/>
    <s v="Adquisicion ciclo de capacitaciones ECICEP para profesionales de la red asistencial"/>
    <s v="Maria Paz Gomez"/>
    <s v="Referente Estrategia De Cuidados Integrales Centrados En Las Personas - Ecicep"/>
    <n v="15984280"/>
  </r>
  <r>
    <s v="PC26"/>
    <x v="3"/>
    <s v="1057532-547-PC26"/>
    <s v="Adquisición insumos clínicos y de aseo general mamógrafo móvil/estrategias Programa Imágenes Diagnósticas 2026."/>
    <s v="Barbara Mendez"/>
    <s v="Enc. Apoyo Diagnóstico En Imagenología"/>
    <n v="901000"/>
  </r>
  <r>
    <s v="PC26"/>
    <x v="3"/>
    <s v="1057532-548-PC26"/>
    <s v="Adquisición de insumos validados para la medición de presión arterial en el curso de vida."/>
    <s v="Consuelo Cordova"/>
    <s v="Jefa Subdepto. Gestión De Programas"/>
    <n v="3500000"/>
  </r>
  <r>
    <s v="PC26"/>
    <x v="3"/>
    <s v="1057532-550-PC26"/>
    <s v="Adquisición Dispositivos médicos de Curación Avanzada. Presupuesto: PAGD, componente Salud Cardiovascular $15.000.000.-"/>
    <s v="Consuelo Cordova"/>
    <s v="Jefa Subdepto. Programas En Curso De Vida."/>
    <n v="15135390"/>
  </r>
  <r>
    <s v="PC26"/>
    <x v="3"/>
    <s v="1057532-551-PC26"/>
    <s v="Adquisición de servicio de catering para curso de Imagenología para Médicos generales y de APS."/>
    <s v="Barbara Mendez"/>
    <s v="Enc. Apoyo Diagnóstico En Imagenología"/>
    <n v="1200000"/>
  </r>
  <r>
    <s v="PC26"/>
    <x v="3"/>
    <s v="1057532-562-PC26"/>
    <s v="Convenio - Convenio de servicio de exámenes de ecotomografía abdominal y mamaria programa imágenes diagnósticas."/>
    <s v="Barbara Mendez"/>
    <s v="Enc. Apoyo Diagnóstico En Imagenología"/>
    <n v="20000000"/>
  </r>
  <r>
    <s v="PC26"/>
    <x v="3"/>
    <s v="1057532-564-PC26"/>
    <s v="Compra de insumos de oficina y cafetería"/>
    <s v="Guissela Franco"/>
    <s v="Jefa Unidad Reclutamiento y Selección"/>
    <n v="911311"/>
  </r>
  <r>
    <s v="PC26"/>
    <x v="3"/>
    <s v="1057532-565-PC26"/>
    <s v="Convenio - Convenio de servicio informes de radiografías y mamografías para los Hospitales Dependientes del S.S.O."/>
    <s v="Barbara Mendez"/>
    <s v="Enc. Apoyo Diagnóstico En Imagenología"/>
    <n v="50008000"/>
  </r>
  <r>
    <s v="PC26"/>
    <x v="3"/>
    <s v="1057532-566-PC26"/>
    <s v="Conmemoración día de la mujer"/>
    <s v="Carlos Utreras"/>
    <s v="Coordinador (S)"/>
    <n v="230032"/>
  </r>
  <r>
    <s v="PC26"/>
    <x v="3"/>
    <s v="1057532-567-PC26"/>
    <s v="servicio de dosimetría Trabajadores Ocupacionalmente expuestos del Programa Imágenes Diagnósticas."/>
    <s v="Barbara Mendez"/>
    <s v="Enc. Apoyo Diagnóstico En Imagenología"/>
    <n v="700005"/>
  </r>
  <r>
    <s v="PC26"/>
    <x v="3"/>
    <s v="1057532-568-PC26"/>
    <s v="Convenio - Convenio de servicio movilización funcionarios mamógrafo móvil. Descripción"/>
    <s v="Barbara Mendez"/>
    <s v="Enc. Apoyo Diagnóstico En Imagenología"/>
    <n v="10000000"/>
  </r>
  <r>
    <s v="PC26"/>
    <x v="3"/>
    <s v="1057532-569-PC26"/>
    <s v="Proyecto de Compra Insumos clínicos 2026"/>
    <s v="Camilo Martínez"/>
    <s v="Director(S)"/>
    <n v="2638010"/>
  </r>
  <r>
    <s v="PC26"/>
    <x v="3"/>
    <s v="1057532-570-PC26"/>
    <s v="Capacitación formación de facilitadores Nadie es Perfecto"/>
    <s v="Estrella Azócar"/>
    <s v="Encargada Chile Crece Contigo"/>
    <n v="1248835"/>
  </r>
  <r>
    <s v="PC26"/>
    <x v="3"/>
    <s v="1057532-572-PC26"/>
    <s v="Artículos de higiene, limpieza y mantención de áreas verdes para Edificio Matta."/>
    <s v="Ximena Campos"/>
    <s v="Coordinadora Unidad De Memoria"/>
    <n v="883038"/>
  </r>
  <r>
    <s v="PC26"/>
    <x v="3"/>
    <s v="1057532-573-PC26"/>
    <s v="Adquisición de insumos para la atención en domicilio del Equipo Rehabilitación Rural SSO. (Articulos de Escritorio)"/>
    <s v="Karin Avila"/>
    <s v="Referente Rehabilitación Integral"/>
    <n v="490280"/>
  </r>
  <r>
    <s v="PC26"/>
    <x v="3"/>
    <s v="1057532-574-PC26"/>
    <s v="Renovación de toma de presión digital para unidad de Memoria."/>
    <s v="Ximena Campos"/>
    <s v="Coordinadora Unidad De Memoria"/>
    <n v="70000"/>
  </r>
  <r>
    <s v="PC26"/>
    <x v="3"/>
    <s v="1057532-575-PC26"/>
    <s v="Compra de Insumos de Cafetería reuniones ordinarias anuales Participación, Trato Usuario, Salud Pueblos Originarios"/>
    <s v="Daniel Pereira"/>
    <s v="Apoyo Participación"/>
    <n v="2473910"/>
  </r>
  <r>
    <s v="PC26"/>
    <x v="3"/>
    <s v="1057532-576-PC26"/>
    <s v="Olimpiadas del Adolescente"/>
    <s v="Francisca Contreras"/>
    <s v="Matrona"/>
    <n v="200000"/>
  </r>
  <r>
    <s v="PC26"/>
    <x v="3"/>
    <s v="1057532-577-PC26"/>
    <s v="TALLER DE MANUALIDADES"/>
    <s v="Carolina Silva"/>
    <s v="Encargada De Compras"/>
    <n v="3287930"/>
  </r>
  <r>
    <s v="PC26"/>
    <x v="3"/>
    <s v="1057532-578-PC26"/>
    <s v="Adquisición de insumos atención en domicilio del Equipo Rehabilitación Rural SSO"/>
    <s v="Karin Avila"/>
    <s v="Referente Rehabilitación Integral"/>
    <n v="2173106"/>
  </r>
  <r>
    <s v="PC26"/>
    <x v="3"/>
    <s v="1057532-579-PC26"/>
    <s v="ARTICULOS DE OFICINA UNIDADES AMBULATORIO Y RESIDENCIAL"/>
    <s v="Carolina Silva"/>
    <s v="Encargada De Compras"/>
    <n v="2525004"/>
  </r>
  <r>
    <s v="PC26"/>
    <x v="3"/>
    <s v="1057532-580-PC26"/>
    <s v="EVENTOS EN MOVIMIENTO Y A UNA SOLA VOZ"/>
    <s v="Carolina Silva"/>
    <s v="Encargada De Compras"/>
    <n v="2225980"/>
  </r>
  <r>
    <s v="PC26"/>
    <x v="3"/>
    <s v="1057532-581-PC26"/>
    <s v="CONTRIBUYENDO A LA POLITICA PÚBLICA EN REPARACIÓN CON USUARIOS/AS PRAIS"/>
    <s v="Ana María Diaz"/>
    <s v="Coordinadora"/>
    <n v="29029170"/>
  </r>
  <r>
    <s v="PC26"/>
    <x v="3"/>
    <s v="1057532-582-PC26"/>
    <s v="Insumos para jornada provincial de Gestión del Riesgo de Desastres (2 días)"/>
    <s v="CATALINA VERA"/>
    <s v="COORDINADORA EMERGENCIA"/>
    <n v="1953508"/>
  </r>
  <r>
    <s v="PC26"/>
    <x v="3"/>
    <s v="1057532-583-PC26"/>
    <s v="COMPRA DE MATERIALES DE OFICINA E INSUMOS DE CAFETERIA PARA LA UNIDAD DE CICLO LABORAL DEL S.S.O."/>
    <s v="Sandra Rodriguez"/>
    <s v="Jefa Unidad Ciclo Laboral"/>
    <n v="6587696"/>
  </r>
  <r>
    <s v="PC26"/>
    <x v="3"/>
    <s v="1057532-584-PC26"/>
    <s v="Insumos para actividades individuales y grupales con usuarios/as y familiares de UID Newen."/>
    <s v="Camila Roa"/>
    <s v="Coordinadora"/>
    <n v="821208"/>
  </r>
  <r>
    <s v="PC26"/>
    <x v="3"/>
    <s v="1057532-585-PC26"/>
    <s v="Materiales y herramientas de oficina funcionarios Sub Depto."/>
    <s v="CATALINA VERA"/>
    <s v="COORDINADORA EMERGENCIA"/>
    <n v="395496"/>
  </r>
  <r>
    <s v="PC26"/>
    <x v="3"/>
    <s v="1057532-586-PC26"/>
    <s v="COMPRA DE MATERIALES DE OFICINA E INSUMOS DE CAFETERIA PARA DEL SUBDEPTO. DE CULTURA Y CLIMA ORGANIZACIONAL DEL S.S.O."/>
    <s v="Waleska Monsalvez"/>
    <s v="Jefa Subdepto. Cultura Y Clima Organizacional"/>
    <n v="1527348"/>
  </r>
  <r>
    <s v="PC26"/>
    <x v="3"/>
    <s v="1057532-587-PC26"/>
    <s v="INSUMOS PARA EL ORDEN ORPERACION Y DOCUMENTAL DE OFICINA DE PARTES."/>
    <s v="Cristina Collinao"/>
    <s v="Jefatura"/>
    <n v="489000"/>
  </r>
  <r>
    <s v="PC26"/>
    <x v="3"/>
    <s v="1057532-588-PC26"/>
    <s v="Compra Cintas de glicemia + equipos en comodato"/>
    <s v="Fernando Roman"/>
    <s v="Jefe Subdepartamento Farmacia"/>
    <n v="57500000"/>
  </r>
  <r>
    <s v="PC26"/>
    <x v="3"/>
    <s v="1057532-589-PC26"/>
    <s v="EQUIPAMIENTO RESIDENCIAL ? FONDOS PPV"/>
    <s v="Carolina Silva"/>
    <s v="Encargada De Compras"/>
    <n v="11310771"/>
  </r>
  <r>
    <s v="PC26"/>
    <x v="4"/>
    <s v="1057727-2-PC26"/>
    <s v="PAC General Bienestar 2026, se agrupa el total de actividades realizadas por Bienestar SSO."/>
    <s v="Claudia Centeno"/>
    <s v="Cajera"/>
    <n v="156000000"/>
  </r>
  <r>
    <s v="PC26"/>
    <x v="5"/>
    <s v="1180747-10-PC26"/>
    <s v="Consultorías adecuación Diseño PSR Forrahue, etapa 1"/>
    <s v="Mario Barrientos"/>
    <s v="Jefe Subdepto. Diseño De Infraestructura De Salud"/>
    <n v="25000000"/>
  </r>
  <r>
    <s v="PC26"/>
    <x v="5"/>
    <s v="1180747-11-PC26"/>
    <s v="Consultorías adecuación Diseño PSR Forrahue, Etapa 2."/>
    <s v="Mario Barrientos"/>
    <s v="Jefe Subdepto. Diseño De Infraestructura De Salud"/>
    <n v="37000000"/>
  </r>
  <r>
    <s v="PC26"/>
    <x v="5"/>
    <s v="1180747-12-PC26"/>
    <s v="Diseño SAR Puyehue."/>
    <s v="Mario Barrientos"/>
    <s v="Jefe Subdepto. Diseño De Infraestructura De Salud"/>
    <n v="60000000"/>
  </r>
  <r>
    <s v="PC26"/>
    <x v="5"/>
    <s v="1180747-13-PC26"/>
    <s v="CONSTRUCCION SALA DE ACOGIDA INTERCULTURAL (SRUKA) HOSPITAL BASE SAN JOSE, OSORNO"/>
    <s v="Maria Elena Muñoz"/>
    <s v="Jefa (S) Sub. Dpto. De Inversiones De Equipos Y Equipamiento"/>
    <n v="17187000"/>
  </r>
  <r>
    <s v="PC26"/>
    <x v="5"/>
    <s v="1180747-14-PC26"/>
    <s v="REPOSICION CONSULTORIO DE SALUD RURAL BAHIA MANSA, SAN JUAN DE LA COSTA"/>
    <s v="Maria Elena Muñoz"/>
    <s v="Jefa (S) Sub. Dpto. De Inversiones De Equipos Y Equipamiento"/>
    <n v="293779000"/>
  </r>
  <r>
    <s v="PC26"/>
    <x v="5"/>
    <s v="1180747-15-PC26"/>
    <s v="Consultorías adecuación Diseño PSR Cuinco, comuna de San Juan de La Costa."/>
    <s v="Mario Barrientos"/>
    <s v="Jefe Subdepto. Diseño De Infraestructura De Salud"/>
    <n v="37000000"/>
  </r>
  <r>
    <s v="PC26"/>
    <x v="5"/>
    <s v="1180747-16-PC26"/>
    <s v="CONSTRUCCION CECOSF URBANO CHIFIN, COMUNA DE RIO NEGRO"/>
    <s v="Maria Elena Muñoz"/>
    <s v="Jefa (S) Sub. Dpto. De Inversiones De Equipos Y Equipamiento"/>
    <n v="102410000"/>
  </r>
  <r>
    <s v="PC26"/>
    <x v="5"/>
    <s v="1180747-17-PC26"/>
    <s v="Diseño Ampliación CESFAM San Pablo"/>
    <s v="Mario Barrientos"/>
    <s v="Jefe Subdepto. Diseño De Infraestructura De Salud"/>
    <n v="103000000"/>
  </r>
  <r>
    <s v="PC26"/>
    <x v="5"/>
    <s v="1180747-18-PC26"/>
    <s v="CONSTRUCCIÓN POSTA DE SALUD RURAL COSTA RIO BLANCO, COMUNA DE RIO NEGRO"/>
    <s v="Maria Elena Muñoz"/>
    <s v="Jefa (S) Sub. Dpto. De Inversiones De Equipos Y Equipamiento"/>
    <n v="6442000"/>
  </r>
  <r>
    <s v="PC26"/>
    <x v="5"/>
    <s v="1180747-19-PC26"/>
    <s v="ADQUISICION Y REPOSICION EQUIPOS Y EQUIPAMIENTO OTORRINOLARINGOLOGIA HOSPITAL BASE OSORNO"/>
    <s v="Maria Elena Muñoz"/>
    <s v="Jefa (S) Sub. Dpto. De Inversiones De Equipos Y Equipamiento"/>
    <n v="356525000"/>
  </r>
  <r>
    <s v="PC26"/>
    <x v="5"/>
    <s v="1180747-20-PC26"/>
    <s v="Adquisición Equipamiento para evaluación saturación oxigeno en pacientes Piloto Cesación Tabáquica (Oxímetros)"/>
    <s v="Mario Aburto"/>
    <s v="Encargado Programa Prevención Cáncer Pulmonar"/>
    <n v="7200000"/>
  </r>
  <r>
    <s v="PC26"/>
    <x v="5"/>
    <s v="1180747-5-PC26"/>
    <s v="GORE: Apoyo de Rehabilitación Integral e Inclusión Social para niños, niñas y adolescentes con TEA"/>
    <s v="Karin Avila"/>
    <s v="Referente Rehabilitación Integral"/>
    <n v="278615006"/>
  </r>
  <r>
    <s v="PC26"/>
    <x v="5"/>
    <s v="1180747-6-PC26"/>
    <s v="Consultorías adecuación Diseño PSR Coligual, comuna de Purranque."/>
    <s v="Mario Barrientos"/>
    <s v="Jefe Subdepto. Diseño De Infraestructura De Salud"/>
    <n v="37000000"/>
  </r>
  <r>
    <s v="PC26"/>
    <x v="5"/>
    <s v="1180747-7-PC26"/>
    <s v="Consultorías adecuación Diseño PSR Caracol, comuna de San Pablo."/>
    <s v="Mario Barrientos"/>
    <s v="Jefe Subdepto. Diseño De Infraestructura De Salud"/>
    <n v="37000000"/>
  </r>
  <r>
    <s v="PC26"/>
    <x v="5"/>
    <s v="1180747-8-PC26"/>
    <s v="Contratación de visitas de Consultorías de Obra &quot; Mejoramiento Hospital de Río Negro&quot;"/>
    <s v="Gustavo Marin"/>
    <s v="PROFESIONAL"/>
    <n v="3430002"/>
  </r>
  <r>
    <s v="PC26"/>
    <x v="5"/>
    <s v="1180747-9-PC26"/>
    <s v="Consultorías adecuación Diseño PSR Hueyusca, comuna de Purranque."/>
    <s v="Mario Barrientos"/>
    <s v="Jefe Subdepto. Diseño De Infraestructura De Salud"/>
    <n v="37000000"/>
  </r>
  <r>
    <s v="PC26"/>
    <x v="6"/>
    <s v="1057976-10-PC26"/>
    <s v="CONSTRUCCION CESFAM CON SAR CHUYACA OSORNO; CODIGO BIP: 30430122"/>
    <s v="Fernando Wulf"/>
    <s v="Ito"/>
    <n v="525000"/>
  </r>
  <r>
    <s v="PC26"/>
    <x v="6"/>
    <s v="1057976-11-PC26"/>
    <s v="CONSTRUCCION POSTA SALUD RURAL EL PONCHO"/>
    <s v="Gustavo Marin"/>
    <s v="PROFESIONAL"/>
    <n v="1058222000"/>
  </r>
  <r>
    <s v="PC26"/>
    <x v="6"/>
    <s v="1057976-12-PC26"/>
    <s v="REPOSICION POSTA DE SALUD RURAL HUILMA, COMUNA DE RIO NEGRO"/>
    <s v="Gustavo Marin"/>
    <s v="PROFESIONAL"/>
    <n v="916961000"/>
  </r>
  <r>
    <s v="PC26"/>
    <x v="6"/>
    <s v="1057976-13-PC26"/>
    <s v="REPOSICION POSTA DE SALUD RURAL RUPANCO, COMUNA PUERTO OCTAY"/>
    <s v="Gustavo Marin"/>
    <s v="PROFESIONAL"/>
    <n v="888441000"/>
  </r>
  <r>
    <s v="PC26"/>
    <x v="6"/>
    <s v="1057976-14-PC26"/>
    <s v="CONTRATACION DE VISITA DE ESPECIALIDAD DE ARQUITECTURA PARA LA OBRA REPOSICION CESFAM CON SAR RAHUE ALTO."/>
    <s v="Fernando Wulf"/>
    <s v="Fos (S)"/>
    <n v="630000"/>
  </r>
  <r>
    <s v="PC26"/>
    <x v="6"/>
    <s v="1057976-15-PC26"/>
    <s v="Mejoramiento Hospital de Rio Negro(4 LICITACIONES) - Traspaso de año , modificación en emisiones de OC"/>
    <s v="Gustavo Marin"/>
    <s v="PROFESIONAL"/>
    <n v="2075079539"/>
  </r>
  <r>
    <s v="PC26"/>
    <x v="6"/>
    <s v="1057976-2-PC26"/>
    <s v="Diseño nuevo Hospital de Purranque."/>
    <s v="Mario Barrientos"/>
    <s v="Jefe Subdepto. Diseño De Infraestructura De Salud"/>
    <n v="1680000000"/>
  </r>
  <r>
    <s v="PC26"/>
    <x v="6"/>
    <s v="1057976-3-PC26"/>
    <s v="Diseño Centro de Diálisis Municipal, comuna de Osorno."/>
    <s v="Mario Barrientos"/>
    <s v="Jefe Subdepto. Diseño De Infraestructura De Salud"/>
    <n v="80000000"/>
  </r>
  <r>
    <s v="PC26"/>
    <x v="6"/>
    <s v="1057976-4-PC26"/>
    <s v="Consultoría Estudio Preinversional de Reposición Hospital de Alta Complejidad provincia de Osorno"/>
    <s v="Sandra Cardenas"/>
    <s v="Jefa Subdepartamento Estudios De Preinversión"/>
    <n v="250000000"/>
  </r>
  <r>
    <s v="PC26"/>
    <x v="6"/>
    <s v="1057976-5-PC26"/>
    <s v="Diseño SAMU Provincial y Centro de Despacho."/>
    <s v="Mario Barrientos"/>
    <s v="Jefe Subdepto. Diseño De Infraestructura De Salud"/>
    <n v="55000000"/>
  </r>
  <r>
    <s v="PC26"/>
    <x v="6"/>
    <s v="1057976-6-PC26"/>
    <s v="Consultoría Estudio Preinversional Reposición Hospital Hospital de Río Negro"/>
    <s v="Javier Donoso"/>
    <s v="Jefe (S) Subdepartamento De Pre Inversion"/>
    <n v="80000000"/>
  </r>
  <r>
    <s v="PC26"/>
    <x v="6"/>
    <s v="1057976-7-PC26"/>
    <s v="Consultoría Estudio Preinversional Reposición Hospital Hospital de Puerto Octay"/>
    <s v="Javier Donoso"/>
    <s v="Jefe (S) Subdepartamento De Pre Inversion"/>
    <n v="80000000"/>
  </r>
  <r>
    <s v="PC26"/>
    <x v="6"/>
    <s v="1057976-8-PC26"/>
    <s v="Diseño CESFAM Puerto Octay."/>
    <s v="Mario Barrientos"/>
    <s v="Jefe Subdepto. Diseño De Infraestructura De Salud"/>
    <n v="90000000"/>
  </r>
  <r>
    <s v="PC26"/>
    <x v="6"/>
    <s v="1057976-9-PC26"/>
    <s v="Contratación de Visita a Obra 2026 de las Consultorías: Especialidades y Arquitectura Obra CESFAM Bahía Mansa"/>
    <s v="Rodrigo Neira"/>
    <s v="Itos"/>
    <n v="9814756"/>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3C1056F6-AB7B-412C-A91C-B5B7B0D263D3}" name="TablaDinámica17" cacheId="2"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rowHeaderCaption="Unidad de Compra">
  <location ref="A3:C11" firstHeaderRow="0" firstDataRow="1" firstDataCol="1"/>
  <pivotFields count="7">
    <pivotField dataField="1" showAll="0"/>
    <pivotField axis="axisRow" showAll="0">
      <items count="8">
        <item x="3"/>
        <item x="1"/>
        <item x="2"/>
        <item x="4"/>
        <item x="5"/>
        <item x="6"/>
        <item n="Proyectos de Arrastre" x="0"/>
        <item t="default"/>
      </items>
    </pivotField>
    <pivotField showAll="0"/>
    <pivotField showAll="0"/>
    <pivotField showAll="0"/>
    <pivotField showAll="0"/>
    <pivotField dataField="1" numFmtId="42" showAll="0"/>
  </pivotFields>
  <rowFields count="1">
    <field x="1"/>
  </rowFields>
  <rowItems count="8">
    <i>
      <x/>
    </i>
    <i>
      <x v="1"/>
    </i>
    <i>
      <x v="2"/>
    </i>
    <i>
      <x v="3"/>
    </i>
    <i>
      <x v="4"/>
    </i>
    <i>
      <x v="5"/>
    </i>
    <i>
      <x v="6"/>
    </i>
    <i t="grand">
      <x/>
    </i>
  </rowItems>
  <colFields count="1">
    <field x="-2"/>
  </colFields>
  <colItems count="2">
    <i>
      <x/>
    </i>
    <i i="1">
      <x v="1"/>
    </i>
  </colItems>
  <dataFields count="2">
    <dataField name="Proyectos" fld="0" subtotal="count" baseField="0" baseItem="0"/>
    <dataField name="Monto" fld="6" baseField="0" baseItem="0" numFmtId="42"/>
  </dataFields>
  <formats count="2">
    <format dxfId="6">
      <pivotArea outline="0" collapsedLevelsAreSubtotals="1" fieldPosition="0"/>
    </format>
    <format dxfId="5">
      <pivotArea dataOnly="0" labelOnly="1" outline="0" fieldPosition="0">
        <references count="1">
          <reference field="4294967294" count="2">
            <x v="0"/>
            <x v="1"/>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7EE2C112-71D1-40C1-B945-CE3D9CAEA2D3}" name="TablaDinámica3" cacheId="0" applyNumberFormats="0" applyBorderFormats="0" applyFontFormats="0" applyPatternFormats="0" applyAlignmentFormats="0" applyWidthHeightFormats="1" dataCaption="Valores" updatedVersion="8" minRefreshableVersion="3" useAutoFormatting="1" itemPrintTitles="1" createdVersion="8" indent="0" compact="0" compactData="0" multipleFieldFilters="0">
  <location ref="A3:L707" firstHeaderRow="1" firstDataRow="1" firstDataCol="11"/>
  <pivotFields count="31">
    <pivotField compact="0" outline="0" showAll="0">
      <extLst>
        <ext xmlns:x14="http://schemas.microsoft.com/office/spreadsheetml/2009/9/main" uri="{2946ED86-A175-432a-8AC1-64E0C546D7DE}">
          <x14:pivotField fillDownLabels="1"/>
        </ext>
      </extLst>
    </pivotField>
    <pivotField axis="axisRow" compact="0" outline="0" showAll="0" defaultSubtotal="0">
      <items count="6">
        <item x="4"/>
        <item x="1"/>
        <item x="0"/>
        <item x="2"/>
        <item x="3"/>
        <item x="5"/>
      </items>
      <extLst>
        <ext xmlns:x14="http://schemas.microsoft.com/office/spreadsheetml/2009/9/main" uri="{2946ED86-A175-432a-8AC1-64E0C546D7DE}">
          <x14:pivotField fillDownLabels="1"/>
        </ext>
      </extLst>
    </pivotField>
    <pivotField axis="axisRow" compact="0" outline="0" showAll="0" defaultSubtotal="0">
      <items count="393">
        <item x="0"/>
        <item x="21"/>
        <item x="1"/>
        <item x="22"/>
        <item x="23"/>
        <item x="14"/>
        <item x="15"/>
        <item x="16"/>
        <item x="2"/>
        <item x="17"/>
        <item x="18"/>
        <item x="19"/>
        <item x="64"/>
        <item x="65"/>
        <item x="66"/>
        <item x="67"/>
        <item x="68"/>
        <item x="69"/>
        <item x="70"/>
        <item x="71"/>
        <item x="4"/>
        <item x="3"/>
        <item x="5"/>
        <item x="6"/>
        <item x="72"/>
        <item x="7"/>
        <item x="73"/>
        <item x="8"/>
        <item x="74"/>
        <item x="9"/>
        <item x="75"/>
        <item x="76"/>
        <item x="78"/>
        <item x="80"/>
        <item x="83"/>
        <item x="85"/>
        <item x="10"/>
        <item x="86"/>
        <item x="87"/>
        <item x="88"/>
        <item x="11"/>
        <item x="89"/>
        <item x="92"/>
        <item x="12"/>
        <item x="95"/>
        <item x="97"/>
        <item x="99"/>
        <item x="104"/>
        <item x="105"/>
        <item x="107"/>
        <item x="108"/>
        <item x="109"/>
        <item x="114"/>
        <item x="115"/>
        <item x="116"/>
        <item x="117"/>
        <item x="118"/>
        <item x="119"/>
        <item x="120"/>
        <item x="121"/>
        <item x="122"/>
        <item x="125"/>
        <item x="127"/>
        <item x="13"/>
        <item x="128"/>
        <item x="129"/>
        <item x="130"/>
        <item x="131"/>
        <item x="132"/>
        <item x="133"/>
        <item x="134"/>
        <item x="135"/>
        <item x="136"/>
        <item x="137"/>
        <item x="138"/>
        <item x="139"/>
        <item x="140"/>
        <item x="141"/>
        <item x="142"/>
        <item x="143"/>
        <item x="24"/>
        <item x="144"/>
        <item x="25"/>
        <item x="145"/>
        <item x="26"/>
        <item x="146"/>
        <item x="27"/>
        <item x="147"/>
        <item x="28"/>
        <item x="148"/>
        <item x="29"/>
        <item x="149"/>
        <item x="31"/>
        <item x="151"/>
        <item x="32"/>
        <item x="152"/>
        <item x="33"/>
        <item x="153"/>
        <item x="34"/>
        <item x="35"/>
        <item x="156"/>
        <item x="36"/>
        <item x="157"/>
        <item x="37"/>
        <item x="159"/>
        <item x="38"/>
        <item x="160"/>
        <item x="161"/>
        <item x="162"/>
        <item x="39"/>
        <item x="163"/>
        <item x="40"/>
        <item x="164"/>
        <item x="41"/>
        <item x="165"/>
        <item x="42"/>
        <item x="166"/>
        <item x="43"/>
        <item x="167"/>
        <item x="45"/>
        <item x="168"/>
        <item x="46"/>
        <item x="169"/>
        <item x="47"/>
        <item x="170"/>
        <item x="48"/>
        <item x="171"/>
        <item x="49"/>
        <item x="172"/>
        <item x="50"/>
        <item x="173"/>
        <item x="51"/>
        <item x="176"/>
        <item x="52"/>
        <item x="53"/>
        <item x="177"/>
        <item x="55"/>
        <item x="179"/>
        <item x="56"/>
        <item x="180"/>
        <item x="57"/>
        <item x="181"/>
        <item x="185"/>
        <item x="186"/>
        <item x="187"/>
        <item x="188"/>
        <item x="189"/>
        <item x="58"/>
        <item x="190"/>
        <item x="192"/>
        <item x="193"/>
        <item x="194"/>
        <item x="196"/>
        <item x="211"/>
        <item x="228"/>
        <item x="231"/>
        <item x="232"/>
        <item x="233"/>
        <item x="234"/>
        <item x="235"/>
        <item x="236"/>
        <item x="237"/>
        <item x="238"/>
        <item x="239"/>
        <item x="240"/>
        <item x="241"/>
        <item x="242"/>
        <item x="243"/>
        <item x="244"/>
        <item x="246"/>
        <item x="247"/>
        <item x="248"/>
        <item x="249"/>
        <item x="251"/>
        <item x="252"/>
        <item x="253"/>
        <item x="254"/>
        <item x="255"/>
        <item x="256"/>
        <item x="257"/>
        <item x="258"/>
        <item x="259"/>
        <item x="260"/>
        <item x="261"/>
        <item x="262"/>
        <item x="263"/>
        <item x="264"/>
        <item x="265"/>
        <item x="266"/>
        <item x="267"/>
        <item x="268"/>
        <item x="270"/>
        <item x="271"/>
        <item x="273"/>
        <item x="274"/>
        <item x="275"/>
        <item x="276"/>
        <item x="278"/>
        <item x="279"/>
        <item x="280"/>
        <item x="281"/>
        <item x="286"/>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4"/>
        <item x="325"/>
        <item x="326"/>
        <item x="327"/>
        <item x="328"/>
        <item x="329"/>
        <item x="330"/>
        <item x="331"/>
        <item x="332"/>
        <item x="333"/>
        <item x="334"/>
        <item x="335"/>
        <item x="336"/>
        <item x="338"/>
        <item x="339"/>
        <item x="340"/>
        <item x="341"/>
        <item x="342"/>
        <item x="343"/>
        <item x="344"/>
        <item x="345"/>
        <item x="346"/>
        <item x="347"/>
        <item x="348"/>
        <item x="349"/>
        <item x="350"/>
        <item x="352"/>
        <item x="353"/>
        <item x="354"/>
        <item x="355"/>
        <item x="356"/>
        <item x="357"/>
        <item x="358"/>
        <item x="359"/>
        <item x="360"/>
        <item x="361"/>
        <item x="362"/>
        <item x="365"/>
        <item x="366"/>
        <item x="367"/>
        <item x="369"/>
        <item x="370"/>
        <item x="371"/>
        <item x="373"/>
        <item x="375"/>
        <item x="376"/>
        <item x="378"/>
        <item x="380"/>
        <item x="381"/>
        <item x="383"/>
        <item x="384"/>
        <item x="385"/>
        <item x="387"/>
        <item x="388"/>
        <item x="389"/>
        <item x="390"/>
        <item x="392"/>
        <item x="20"/>
        <item x="59"/>
        <item x="219"/>
        <item x="224"/>
        <item x="225"/>
        <item x="227"/>
        <item x="229"/>
        <item x="245"/>
        <item x="250"/>
        <item x="277"/>
        <item x="287"/>
        <item x="364"/>
        <item x="368"/>
        <item x="377"/>
        <item x="382"/>
        <item x="191"/>
        <item x="200"/>
        <item x="201"/>
        <item x="212"/>
        <item x="213"/>
        <item x="210"/>
        <item x="220"/>
        <item x="221"/>
        <item x="222"/>
        <item x="226"/>
        <item x="337"/>
        <item x="202"/>
        <item x="203"/>
        <item x="204"/>
        <item x="205"/>
        <item x="206"/>
        <item x="207"/>
        <item x="208"/>
        <item x="209"/>
        <item x="269"/>
        <item x="272"/>
        <item x="282"/>
        <item x="283"/>
        <item x="284"/>
        <item x="285"/>
        <item x="351"/>
        <item x="363"/>
        <item x="372"/>
        <item x="374"/>
        <item x="379"/>
        <item x="386"/>
        <item x="391"/>
        <item x="30"/>
        <item x="44"/>
        <item x="54"/>
        <item x="60"/>
        <item x="62"/>
        <item x="63"/>
        <item x="77"/>
        <item x="79"/>
        <item x="81"/>
        <item x="82"/>
        <item x="84"/>
        <item x="90"/>
        <item x="91"/>
        <item x="93"/>
        <item x="94"/>
        <item x="96"/>
        <item x="98"/>
        <item x="100"/>
        <item x="101"/>
        <item x="106"/>
        <item x="110"/>
        <item x="111"/>
        <item x="112"/>
        <item x="113"/>
        <item x="123"/>
        <item x="124"/>
        <item x="126"/>
        <item x="150"/>
        <item x="154"/>
        <item x="155"/>
        <item x="158"/>
        <item x="174"/>
        <item x="175"/>
        <item x="178"/>
        <item x="182"/>
        <item x="195"/>
        <item x="197"/>
        <item x="198"/>
        <item x="199"/>
        <item x="214"/>
        <item x="215"/>
        <item x="216"/>
        <item x="217"/>
        <item x="218"/>
        <item x="223"/>
        <item x="230"/>
        <item x="323"/>
        <item x="61"/>
        <item x="102"/>
        <item x="103"/>
        <item x="183"/>
        <item x="184"/>
      </items>
      <extLst>
        <ext xmlns:x14="http://schemas.microsoft.com/office/spreadsheetml/2009/9/main" uri="{2946ED86-A175-432a-8AC1-64E0C546D7DE}">
          <x14:pivotField fillDownLabels="1"/>
        </ext>
      </extLst>
    </pivotField>
    <pivotField compact="0" outline="0" showAll="0">
      <extLst>
        <ext xmlns:x14="http://schemas.microsoft.com/office/spreadsheetml/2009/9/main" uri="{2946ED86-A175-432a-8AC1-64E0C546D7DE}">
          <x14:pivotField fillDownLabels="1"/>
        </ext>
      </extLst>
    </pivotField>
    <pivotField compact="0" outline="0" showAll="0">
      <extLst>
        <ext xmlns:x14="http://schemas.microsoft.com/office/spreadsheetml/2009/9/main" uri="{2946ED86-A175-432a-8AC1-64E0C546D7DE}">
          <x14:pivotField fillDownLabels="1"/>
        </ext>
      </extLst>
    </pivotField>
    <pivotField compact="0" outline="0" showAll="0">
      <extLst>
        <ext xmlns:x14="http://schemas.microsoft.com/office/spreadsheetml/2009/9/main" uri="{2946ED86-A175-432a-8AC1-64E0C546D7DE}">
          <x14:pivotField fillDownLabels="1"/>
        </ext>
      </extLst>
    </pivotField>
    <pivotField axis="axisRow" compact="0" outline="0" showAll="0" defaultSubtotal="0">
      <items count="385">
        <item x="277"/>
        <item x="166"/>
        <item x="71"/>
        <item x="73"/>
        <item x="272"/>
        <item x="308"/>
        <item x="243"/>
        <item x="310"/>
        <item x="108"/>
        <item x="374"/>
        <item x="68"/>
        <item x="69"/>
        <item x="305"/>
        <item x="306"/>
        <item x="299"/>
        <item x="311"/>
        <item x="170"/>
        <item x="347"/>
        <item x="265"/>
        <item x="171"/>
        <item x="315"/>
        <item x="362"/>
        <item x="244"/>
        <item x="368"/>
        <item x="195"/>
        <item x="319"/>
        <item x="233"/>
        <item x="342"/>
        <item x="85"/>
        <item x="64"/>
        <item x="363"/>
        <item x="256"/>
        <item x="84"/>
        <item x="253"/>
        <item x="344"/>
        <item x="349"/>
        <item x="288"/>
        <item x="275"/>
        <item x="251"/>
        <item x="322"/>
        <item x="61"/>
        <item x="282"/>
        <item x="286"/>
        <item x="174"/>
        <item x="351"/>
        <item x="331"/>
        <item x="350"/>
        <item x="318"/>
        <item x="369"/>
        <item x="348"/>
        <item x="358"/>
        <item x="248"/>
        <item x="129"/>
        <item x="302"/>
        <item x="301"/>
        <item x="278"/>
        <item x="274"/>
        <item x="298"/>
        <item x="316"/>
        <item x="231"/>
        <item x="164"/>
        <item x="175"/>
        <item x="80"/>
        <item x="280"/>
        <item x="263"/>
        <item x="383"/>
        <item x="260"/>
        <item x="281"/>
        <item x="270"/>
        <item x="361"/>
        <item x="264"/>
        <item x="186"/>
        <item x="370"/>
        <item x="117"/>
        <item x="127"/>
        <item x="291"/>
        <item x="75"/>
        <item x="360"/>
        <item x="266"/>
        <item x="76"/>
        <item x="83"/>
        <item x="78"/>
        <item x="261"/>
        <item x="254"/>
        <item x="371"/>
        <item x="102"/>
        <item x="112"/>
        <item x="113"/>
        <item x="124"/>
        <item x="382"/>
        <item x="192"/>
        <item x="321"/>
        <item x="90"/>
        <item x="100"/>
        <item x="289"/>
        <item x="353"/>
        <item x="276"/>
        <item x="380"/>
        <item x="376"/>
        <item x="340"/>
        <item x="194"/>
        <item x="94"/>
        <item x="193"/>
        <item x="115"/>
        <item x="66"/>
        <item x="67"/>
        <item x="345"/>
        <item x="355"/>
        <item x="232"/>
        <item x="165"/>
        <item x="327"/>
        <item x="241"/>
        <item x="218"/>
        <item x="211"/>
        <item x="202"/>
        <item x="226"/>
        <item x="133"/>
        <item x="307"/>
        <item x="224"/>
        <item x="221"/>
        <item x="215"/>
        <item x="205"/>
        <item x="208"/>
        <item x="207"/>
        <item x="104"/>
        <item x="103"/>
        <item x="217"/>
        <item x="198"/>
        <item x="199"/>
        <item x="185"/>
        <item x="333"/>
        <item x="210"/>
        <item x="227"/>
        <item x="184"/>
        <item x="167"/>
        <item x="373"/>
        <item x="5"/>
        <item x="6"/>
        <item x="88"/>
        <item x="86"/>
        <item x="4"/>
        <item x="46"/>
        <item x="45"/>
        <item x="20"/>
        <item x="19"/>
        <item x="18"/>
        <item x="79"/>
        <item x="27"/>
        <item x="39"/>
        <item x="59"/>
        <item x="29"/>
        <item x="15"/>
        <item x="14"/>
        <item x="42"/>
        <item x="47"/>
        <item x="10"/>
        <item x="41"/>
        <item x="126"/>
        <item x="54"/>
        <item x="154"/>
        <item x="153"/>
        <item x="52"/>
        <item x="178"/>
        <item x="24"/>
        <item x="121"/>
        <item x="49"/>
        <item x="236"/>
        <item x="352"/>
        <item x="354"/>
        <item x="357"/>
        <item x="51"/>
        <item x="53"/>
        <item x="38"/>
        <item x="23"/>
        <item x="56"/>
        <item x="169"/>
        <item x="8"/>
        <item x="22"/>
        <item x="50"/>
        <item x="26"/>
        <item x="35"/>
        <item x="25"/>
        <item x="30"/>
        <item x="28"/>
        <item x="40"/>
        <item x="37"/>
        <item x="55"/>
        <item x="16"/>
        <item x="9"/>
        <item x="32"/>
        <item x="33"/>
        <item x="43"/>
        <item x="17"/>
        <item x="44"/>
        <item x="31"/>
        <item x="34"/>
        <item x="58"/>
        <item x="57"/>
        <item x="7"/>
        <item x="12"/>
        <item x="48"/>
        <item x="11"/>
        <item x="293"/>
        <item x="36"/>
        <item x="13"/>
        <item x="197"/>
        <item x="181"/>
        <item x="110"/>
        <item x="182"/>
        <item x="219"/>
        <item x="204"/>
        <item x="209"/>
        <item x="203"/>
        <item x="206"/>
        <item x="200"/>
        <item x="172"/>
        <item x="324"/>
        <item x="242"/>
        <item x="212"/>
        <item x="378"/>
        <item x="258"/>
        <item x="245"/>
        <item x="246"/>
        <item x="268"/>
        <item x="384"/>
        <item x="259"/>
        <item x="292"/>
        <item x="116"/>
        <item x="297"/>
        <item x="372"/>
        <item x="335"/>
        <item x="329"/>
        <item x="168"/>
        <item x="176"/>
        <item x="62"/>
        <item x="225"/>
        <item x="139"/>
        <item x="70"/>
        <item x="325"/>
        <item x="303"/>
        <item x="173"/>
        <item x="314"/>
        <item x="125"/>
        <item x="105"/>
        <item x="137"/>
        <item x="336"/>
        <item x="95"/>
        <item x="91"/>
        <item x="120"/>
        <item x="279"/>
        <item x="271"/>
        <item x="89"/>
        <item x="334"/>
        <item x="180"/>
        <item x="163"/>
        <item x="106"/>
        <item x="287"/>
        <item x="92"/>
        <item x="130"/>
        <item x="341"/>
        <item x="188"/>
        <item x="187"/>
        <item x="377"/>
        <item x="179"/>
        <item x="328"/>
        <item x="273"/>
        <item x="381"/>
        <item x="375"/>
        <item x="339"/>
        <item x="74"/>
        <item x="252"/>
        <item x="114"/>
        <item x="155"/>
        <item x="156"/>
        <item x="99"/>
        <item x="82"/>
        <item x="157"/>
        <item x="158"/>
        <item x="159"/>
        <item x="109"/>
        <item x="183"/>
        <item x="249"/>
        <item x="77"/>
        <item x="72"/>
        <item x="134"/>
        <item x="237"/>
        <item x="149"/>
        <item x="21"/>
        <item x="177"/>
        <item x="294"/>
        <item x="295"/>
        <item x="65"/>
        <item x="234"/>
        <item x="235"/>
        <item x="119"/>
        <item x="132"/>
        <item x="136"/>
        <item x="141"/>
        <item x="140"/>
        <item x="143"/>
        <item x="239"/>
        <item x="147"/>
        <item x="148"/>
        <item x="296"/>
        <item x="189"/>
        <item x="313"/>
        <item x="161"/>
        <item x="285"/>
        <item x="152"/>
        <item x="283"/>
        <item x="240"/>
        <item x="343"/>
        <item x="379"/>
        <item x="128"/>
        <item x="238"/>
        <item x="332"/>
        <item x="190"/>
        <item x="150"/>
        <item x="337"/>
        <item x="122"/>
        <item x="330"/>
        <item x="338"/>
        <item x="60"/>
        <item x="98"/>
        <item x="290"/>
        <item x="135"/>
        <item x="312"/>
        <item x="300"/>
        <item x="123"/>
        <item x="213"/>
        <item x="63"/>
        <item x="151"/>
        <item x="257"/>
        <item x="262"/>
        <item x="93"/>
        <item x="359"/>
        <item x="160"/>
        <item x="255"/>
        <item x="146"/>
        <item x="364"/>
        <item x="138"/>
        <item x="284"/>
        <item x="220"/>
        <item x="216"/>
        <item x="222"/>
        <item x="214"/>
        <item x="223"/>
        <item x="250"/>
        <item x="87"/>
        <item x="81"/>
        <item x="317"/>
        <item x="323"/>
        <item x="356"/>
        <item x="269"/>
        <item x="267"/>
        <item x="309"/>
        <item x="1"/>
        <item x="0"/>
        <item x="201"/>
        <item x="2"/>
        <item x="3"/>
        <item x="191"/>
        <item x="304"/>
        <item x="230"/>
        <item x="228"/>
        <item x="145"/>
        <item x="144"/>
        <item x="366"/>
        <item x="107"/>
        <item x="346"/>
        <item x="97"/>
        <item x="367"/>
        <item x="365"/>
        <item x="101"/>
        <item x="196"/>
        <item x="320"/>
        <item x="142"/>
        <item x="96"/>
        <item x="326"/>
        <item x="247"/>
        <item x="118"/>
        <item x="229"/>
        <item x="162"/>
        <item x="111"/>
        <item x="131"/>
      </items>
      <extLst>
        <ext xmlns:x14="http://schemas.microsoft.com/office/spreadsheetml/2009/9/main" uri="{2946ED86-A175-432a-8AC1-64E0C546D7DE}">
          <x14:pivotField fillDownLabels="1"/>
        </ext>
      </extLst>
    </pivotField>
    <pivotField compact="0" outline="0" showAll="0">
      <extLst>
        <ext xmlns:x14="http://schemas.microsoft.com/office/spreadsheetml/2009/9/main" uri="{2946ED86-A175-432a-8AC1-64E0C546D7DE}">
          <x14:pivotField fillDownLabels="1"/>
        </ext>
      </extLst>
    </pivotField>
    <pivotField axis="axisRow" compact="0" outline="0" showAll="0" defaultSubtotal="0">
      <items count="12">
        <item x="1"/>
        <item x="0"/>
        <item x="5"/>
        <item x="6"/>
        <item x="7"/>
        <item x="4"/>
        <item x="8"/>
        <item x="3"/>
        <item x="9"/>
        <item x="11"/>
        <item x="2"/>
        <item x="10"/>
      </items>
      <extLst>
        <ext xmlns:x14="http://schemas.microsoft.com/office/spreadsheetml/2009/9/main" uri="{2946ED86-A175-432a-8AC1-64E0C546D7DE}">
          <x14:pivotField fillDownLabels="1"/>
        </ext>
      </extLst>
    </pivotField>
    <pivotField axis="axisRow" compact="0" outline="0" showAll="0" defaultSubtotal="0">
      <items count="357">
        <item x="177"/>
        <item x="306"/>
        <item x="349"/>
        <item x="239"/>
        <item x="217"/>
        <item x="310"/>
        <item x="216"/>
        <item x="31"/>
        <item x="58"/>
        <item x="82"/>
        <item x="78"/>
        <item x="279"/>
        <item x="146"/>
        <item x="172"/>
        <item x="325"/>
        <item x="319"/>
        <item x="193"/>
        <item x="129"/>
        <item x="152"/>
        <item x="61"/>
        <item x="45"/>
        <item x="37"/>
        <item x="62"/>
        <item x="211"/>
        <item x="258"/>
        <item x="242"/>
        <item x="286"/>
        <item x="288"/>
        <item x="316"/>
        <item x="320"/>
        <item x="312"/>
        <item x="267"/>
        <item x="308"/>
        <item x="165"/>
        <item x="240"/>
        <item x="276"/>
        <item x="213"/>
        <item x="194"/>
        <item x="280"/>
        <item x="12"/>
        <item x="313"/>
        <item x="40"/>
        <item x="304"/>
        <item x="198"/>
        <item x="272"/>
        <item x="207"/>
        <item x="253"/>
        <item x="235"/>
        <item x="90"/>
        <item x="175"/>
        <item x="311"/>
        <item x="303"/>
        <item x="219"/>
        <item x="298"/>
        <item x="96"/>
        <item x="105"/>
        <item x="128"/>
        <item x="236"/>
        <item x="32"/>
        <item x="93"/>
        <item x="212"/>
        <item x="278"/>
        <item x="86"/>
        <item x="220"/>
        <item x="173"/>
        <item x="352"/>
        <item x="195"/>
        <item x="141"/>
        <item x="332"/>
        <item x="145"/>
        <item x="266"/>
        <item x="336"/>
        <item x="148"/>
        <item x="189"/>
        <item x="196"/>
        <item x="180"/>
        <item x="178"/>
        <item x="201"/>
        <item x="48"/>
        <item x="137"/>
        <item x="52"/>
        <item x="185"/>
        <item x="97"/>
        <item x="203"/>
        <item x="333"/>
        <item x="1"/>
        <item x="44"/>
        <item x="34"/>
        <item x="144"/>
        <item x="121"/>
        <item x="35"/>
        <item x="300"/>
        <item x="47"/>
        <item x="254"/>
        <item x="59"/>
        <item x="49"/>
        <item x="92"/>
        <item x="205"/>
        <item x="132"/>
        <item x="265"/>
        <item x="290"/>
        <item x="135"/>
        <item x="268"/>
        <item x="346"/>
        <item x="227"/>
        <item x="285"/>
        <item x="322"/>
        <item x="269"/>
        <item x="299"/>
        <item x="293"/>
        <item x="294"/>
        <item x="214"/>
        <item x="147"/>
        <item x="159"/>
        <item x="282"/>
        <item x="202"/>
        <item x="26"/>
        <item x="16"/>
        <item x="15"/>
        <item x="91"/>
        <item x="184"/>
        <item x="65"/>
        <item x="187"/>
        <item x="139"/>
        <item x="241"/>
        <item x="18"/>
        <item x="14"/>
        <item x="345"/>
        <item x="223"/>
        <item x="344"/>
        <item x="317"/>
        <item x="222"/>
        <item x="228"/>
        <item x="162"/>
        <item x="331"/>
        <item x="231"/>
        <item x="53"/>
        <item x="225"/>
        <item x="243"/>
        <item x="98"/>
        <item x="289"/>
        <item x="110"/>
        <item x="55"/>
        <item x="54"/>
        <item x="104"/>
        <item x="142"/>
        <item x="161"/>
        <item x="17"/>
        <item x="337"/>
        <item x="114"/>
        <item x="208"/>
        <item x="338"/>
        <item x="328"/>
        <item x="42"/>
        <item x="41"/>
        <item x="77"/>
        <item x="76"/>
        <item x="19"/>
        <item x="64"/>
        <item x="226"/>
        <item x="296"/>
        <item x="297"/>
        <item x="134"/>
        <item x="122"/>
        <item x="11"/>
        <item x="158"/>
        <item x="89"/>
        <item x="101"/>
        <item x="270"/>
        <item x="81"/>
        <item x="143"/>
        <item x="229"/>
        <item x="176"/>
        <item x="329"/>
        <item x="301"/>
        <item x="252"/>
        <item x="160"/>
        <item x="66"/>
        <item x="255"/>
        <item x="260"/>
        <item x="199"/>
        <item x="75"/>
        <item x="244"/>
        <item x="182"/>
        <item x="72"/>
        <item x="151"/>
        <item x="210"/>
        <item x="261"/>
        <item x="256"/>
        <item x="283"/>
        <item x="209"/>
        <item x="74"/>
        <item x="237"/>
        <item x="20"/>
        <item x="68"/>
        <item x="46"/>
        <item x="22"/>
        <item x="157"/>
        <item x="246"/>
        <item x="21"/>
        <item x="154"/>
        <item x="24"/>
        <item x="23"/>
        <item x="118"/>
        <item x="155"/>
        <item x="156"/>
        <item x="6"/>
        <item x="188"/>
        <item x="341"/>
        <item x="327"/>
        <item x="284"/>
        <item x="94"/>
        <item x="263"/>
        <item x="43"/>
        <item x="112"/>
        <item x="111"/>
        <item x="309"/>
        <item x="116"/>
        <item x="318"/>
        <item x="230"/>
        <item x="103"/>
        <item x="109"/>
        <item x="192"/>
        <item x="67"/>
        <item x="281"/>
        <item x="339"/>
        <item x="206"/>
        <item x="125"/>
        <item x="348"/>
        <item x="25"/>
        <item x="233"/>
        <item x="113"/>
        <item x="127"/>
        <item x="107"/>
        <item x="215"/>
        <item x="170"/>
        <item x="190"/>
        <item x="28"/>
        <item x="138"/>
        <item x="27"/>
        <item x="108"/>
        <item x="234"/>
        <item x="57"/>
        <item x="264"/>
        <item x="56"/>
        <item x="73"/>
        <item x="224"/>
        <item x="351"/>
        <item x="355"/>
        <item x="354"/>
        <item x="262"/>
        <item x="131"/>
        <item x="140"/>
        <item x="87"/>
        <item x="115"/>
        <item x="250"/>
        <item x="168"/>
        <item x="30"/>
        <item x="136"/>
        <item x="106"/>
        <item x="249"/>
        <item x="124"/>
        <item x="247"/>
        <item x="330"/>
        <item x="277"/>
        <item x="79"/>
        <item x="326"/>
        <item x="221"/>
        <item x="271"/>
        <item x="179"/>
        <item x="248"/>
        <item x="204"/>
        <item x="130"/>
        <item x="353"/>
        <item x="291"/>
        <item x="166"/>
        <item x="350"/>
        <item x="95"/>
        <item x="238"/>
        <item x="39"/>
        <item x="83"/>
        <item x="51"/>
        <item x="126"/>
        <item x="245"/>
        <item x="50"/>
        <item x="5"/>
        <item x="99"/>
        <item x="100"/>
        <item x="169"/>
        <item x="164"/>
        <item x="257"/>
        <item x="119"/>
        <item x="4"/>
        <item x="80"/>
        <item x="197"/>
        <item x="305"/>
        <item x="69"/>
        <item x="102"/>
        <item x="38"/>
        <item x="149"/>
        <item x="3"/>
        <item x="63"/>
        <item x="153"/>
        <item x="0"/>
        <item x="340"/>
        <item x="275"/>
        <item x="10"/>
        <item x="33"/>
        <item x="60"/>
        <item x="334"/>
        <item x="273"/>
        <item x="13"/>
        <item x="7"/>
        <item x="123"/>
        <item x="302"/>
        <item x="335"/>
        <item x="321"/>
        <item x="186"/>
        <item x="183"/>
        <item x="218"/>
        <item x="342"/>
        <item x="167"/>
        <item x="2"/>
        <item x="171"/>
        <item x="29"/>
        <item x="9"/>
        <item x="71"/>
        <item x="8"/>
        <item x="181"/>
        <item x="274"/>
        <item x="150"/>
        <item x="200"/>
        <item x="343"/>
        <item x="307"/>
        <item x="259"/>
        <item x="85"/>
        <item x="347"/>
        <item x="324"/>
        <item x="70"/>
        <item x="84"/>
        <item x="251"/>
        <item x="88"/>
        <item x="292"/>
        <item x="117"/>
        <item x="323"/>
        <item x="315"/>
        <item x="314"/>
        <item x="133"/>
        <item x="287"/>
        <item x="36"/>
        <item x="295"/>
        <item x="174"/>
        <item x="356"/>
        <item x="232"/>
        <item x="120"/>
        <item x="163"/>
        <item x="191"/>
      </items>
      <extLst>
        <ext xmlns:x14="http://schemas.microsoft.com/office/spreadsheetml/2009/9/main" uri="{2946ED86-A175-432a-8AC1-64E0C546D7DE}">
          <x14:pivotField fillDownLabels="1"/>
        </ext>
      </extLst>
    </pivotField>
    <pivotField compact="0" outline="0" showAll="0">
      <extLst>
        <ext xmlns:x14="http://schemas.microsoft.com/office/spreadsheetml/2009/9/main" uri="{2946ED86-A175-432a-8AC1-64E0C546D7DE}">
          <x14:pivotField fillDownLabels="1"/>
        </ext>
      </extLst>
    </pivotField>
    <pivotField compact="0" outline="0" showAll="0">
      <extLst>
        <ext xmlns:x14="http://schemas.microsoft.com/office/spreadsheetml/2009/9/main" uri="{2946ED86-A175-432a-8AC1-64E0C546D7DE}">
          <x14:pivotField fillDownLabels="1"/>
        </ext>
      </extLst>
    </pivotField>
    <pivotField compact="0" numFmtId="42" outline="0" showAll="0" defaultSubtotal="0">
      <items count="483">
        <item x="119"/>
        <item x="157"/>
        <item x="470"/>
        <item x="241"/>
        <item x="366"/>
        <item x="383"/>
        <item x="117"/>
        <item x="351"/>
        <item x="445"/>
        <item x="459"/>
        <item x="472"/>
        <item x="200"/>
        <item x="164"/>
        <item x="407"/>
        <item x="457"/>
        <item x="246"/>
        <item x="240"/>
        <item x="432"/>
        <item x="229"/>
        <item x="169"/>
        <item x="391"/>
        <item x="210"/>
        <item x="433"/>
        <item x="358"/>
        <item x="378"/>
        <item x="447"/>
        <item x="114"/>
        <item x="473"/>
        <item x="475"/>
        <item x="406"/>
        <item x="204"/>
        <item x="155"/>
        <item x="463"/>
        <item x="357"/>
        <item x="81"/>
        <item x="403"/>
        <item x="460"/>
        <item x="446"/>
        <item x="217"/>
        <item x="344"/>
        <item x="203"/>
        <item x="165"/>
        <item x="245"/>
        <item x="436"/>
        <item x="471"/>
        <item x="131"/>
        <item x="379"/>
        <item x="346"/>
        <item x="94"/>
        <item x="133"/>
        <item x="355"/>
        <item x="426"/>
        <item x="172"/>
        <item x="158"/>
        <item x="160"/>
        <item x="329"/>
        <item x="350"/>
        <item x="385"/>
        <item x="402"/>
        <item x="396"/>
        <item x="416"/>
        <item x="138"/>
        <item x="367"/>
        <item x="387"/>
        <item x="444"/>
        <item x="244"/>
        <item x="292"/>
        <item x="154"/>
        <item x="319"/>
        <item x="461"/>
        <item x="207"/>
        <item x="206"/>
        <item x="393"/>
        <item x="113"/>
        <item x="377"/>
        <item x="359"/>
        <item x="418"/>
        <item x="136"/>
        <item x="330"/>
        <item x="419"/>
        <item x="414"/>
        <item x="173"/>
        <item x="388"/>
        <item x="437"/>
        <item x="218"/>
        <item x="427"/>
        <item x="243"/>
        <item x="159"/>
        <item x="111"/>
        <item x="399"/>
        <item x="232"/>
        <item x="109"/>
        <item x="435"/>
        <item x="430"/>
        <item x="139"/>
        <item x="363"/>
        <item x="408"/>
        <item x="400"/>
        <item x="118"/>
        <item x="398"/>
        <item x="95"/>
        <item x="88"/>
        <item x="439"/>
        <item x="228"/>
        <item x="443"/>
        <item x="464"/>
        <item x="334"/>
        <item x="411"/>
        <item x="202"/>
        <item x="450"/>
        <item x="280"/>
        <item x="141"/>
        <item x="386"/>
        <item x="166"/>
        <item x="242"/>
        <item x="163"/>
        <item x="390"/>
        <item x="465"/>
        <item x="116"/>
        <item x="360"/>
        <item x="192"/>
        <item x="183"/>
        <item x="102"/>
        <item x="455"/>
        <item x="103"/>
        <item x="356"/>
        <item x="434"/>
        <item x="93"/>
        <item x="410"/>
        <item x="198"/>
        <item x="338"/>
        <item x="305"/>
        <item x="481"/>
        <item x="382"/>
        <item x="364"/>
        <item x="409"/>
        <item x="392"/>
        <item x="122"/>
        <item x="381"/>
        <item x="307"/>
        <item x="420"/>
        <item x="449"/>
        <item x="477"/>
        <item x="137"/>
        <item x="121"/>
        <item x="428"/>
        <item x="297"/>
        <item x="295"/>
        <item x="195"/>
        <item x="380"/>
        <item x="115"/>
        <item x="100"/>
        <item x="28"/>
        <item x="365"/>
        <item x="482"/>
        <item x="97"/>
        <item x="289"/>
        <item x="231"/>
        <item x="394"/>
        <item x="453"/>
        <item x="197"/>
        <item x="129"/>
        <item x="194"/>
        <item x="352"/>
        <item x="135"/>
        <item x="96"/>
        <item x="412"/>
        <item x="214"/>
        <item x="315"/>
        <item x="189"/>
        <item x="161"/>
        <item x="91"/>
        <item x="87"/>
        <item x="452"/>
        <item x="454"/>
        <item x="397"/>
        <item x="456"/>
        <item x="182"/>
        <item x="193"/>
        <item x="341"/>
        <item x="480"/>
        <item x="339"/>
        <item x="130"/>
        <item x="196"/>
        <item x="368"/>
        <item x="478"/>
        <item x="79"/>
        <item x="438"/>
        <item x="462"/>
        <item x="101"/>
        <item x="421"/>
        <item x="201"/>
        <item x="306"/>
        <item x="451"/>
        <item x="429"/>
        <item x="104"/>
        <item x="302"/>
        <item x="127"/>
        <item x="225"/>
        <item x="224"/>
        <item x="448"/>
        <item x="333"/>
        <item x="389"/>
        <item x="168"/>
        <item x="215"/>
        <item x="167"/>
        <item x="424"/>
        <item x="128"/>
        <item x="474"/>
        <item x="170"/>
        <item x="298"/>
        <item x="318"/>
        <item x="86"/>
        <item x="125"/>
        <item x="106"/>
        <item x="284"/>
        <item x="441"/>
        <item x="98"/>
        <item x="43"/>
        <item x="303"/>
        <item x="479"/>
        <item x="185"/>
        <item x="300"/>
        <item x="353"/>
        <item x="323"/>
        <item x="369"/>
        <item x="126"/>
        <item x="405"/>
        <item x="376"/>
        <item x="335"/>
        <item x="107"/>
        <item x="216"/>
        <item x="143"/>
        <item x="286"/>
        <item x="77"/>
        <item x="199"/>
        <item x="48"/>
        <item x="301"/>
        <item x="235"/>
        <item x="425"/>
        <item x="110"/>
        <item x="105"/>
        <item x="211"/>
        <item x="325"/>
        <item x="89"/>
        <item x="293"/>
        <item x="476"/>
        <item x="233"/>
        <item x="148"/>
        <item x="354"/>
        <item x="431"/>
        <item x="440"/>
        <item x="146"/>
        <item x="296"/>
        <item x="149"/>
        <item x="75"/>
        <item x="422"/>
        <item x="442"/>
        <item x="287"/>
        <item x="234"/>
        <item x="227"/>
        <item x="413"/>
        <item x="283"/>
        <item x="140"/>
        <item x="469"/>
        <item x="320"/>
        <item x="321"/>
        <item x="44"/>
        <item x="340"/>
        <item x="291"/>
        <item x="45"/>
        <item x="156"/>
        <item x="466"/>
        <item x="108"/>
        <item x="123"/>
        <item x="348"/>
        <item x="184"/>
        <item x="99"/>
        <item x="112"/>
        <item x="132"/>
        <item x="174"/>
        <item x="239"/>
        <item x="277"/>
        <item x="327"/>
        <item x="49"/>
        <item x="84"/>
        <item x="371"/>
        <item x="222"/>
        <item x="395"/>
        <item x="423"/>
        <item x="147"/>
        <item x="80"/>
        <item x="288"/>
        <item x="151"/>
        <item x="299"/>
        <item x="337"/>
        <item x="171"/>
        <item x="336"/>
        <item x="311"/>
        <item x="309"/>
        <item x="134"/>
        <item x="145"/>
        <item x="178"/>
        <item x="20"/>
        <item x="144"/>
        <item x="349"/>
        <item x="404"/>
        <item x="322"/>
        <item x="415"/>
        <item x="209"/>
        <item x="290"/>
        <item x="213"/>
        <item x="83"/>
        <item x="247"/>
        <item x="25"/>
        <item x="68"/>
        <item x="52"/>
        <item x="468"/>
        <item x="212"/>
        <item x="467"/>
        <item x="281"/>
        <item x="313"/>
        <item x="312"/>
        <item x="162"/>
        <item x="314"/>
        <item x="285"/>
        <item x="458"/>
        <item x="316"/>
        <item x="304"/>
        <item x="18"/>
        <item x="282"/>
        <item x="27"/>
        <item x="236"/>
        <item x="23"/>
        <item x="152"/>
        <item x="22"/>
        <item x="72"/>
        <item x="347"/>
        <item x="254"/>
        <item x="230"/>
        <item x="226"/>
        <item x="175"/>
        <item x="179"/>
        <item x="220"/>
        <item x="362"/>
        <item x="276"/>
        <item x="78"/>
        <item x="324"/>
        <item x="253"/>
        <item x="73"/>
        <item x="124"/>
        <item x="176"/>
        <item x="205"/>
        <item x="82"/>
        <item x="343"/>
        <item x="21"/>
        <item x="26"/>
        <item x="64"/>
        <item x="332"/>
        <item x="219"/>
        <item x="417"/>
        <item x="76"/>
        <item x="223"/>
        <item x="237"/>
        <item x="361"/>
        <item x="19"/>
        <item x="153"/>
        <item x="24"/>
        <item x="317"/>
        <item x="13"/>
        <item x="58"/>
        <item x="12"/>
        <item x="294"/>
        <item x="328"/>
        <item x="35"/>
        <item x="142"/>
        <item x="384"/>
        <item x="71"/>
        <item x="177"/>
        <item x="401"/>
        <item x="180"/>
        <item x="326"/>
        <item x="54"/>
        <item x="345"/>
        <item x="181"/>
        <item x="331"/>
        <item x="63"/>
        <item x="275"/>
        <item x="221"/>
        <item x="271"/>
        <item x="310"/>
        <item x="260"/>
        <item x="188"/>
        <item x="259"/>
        <item x="255"/>
        <item x="191"/>
        <item x="370"/>
        <item x="14"/>
        <item x="274"/>
        <item x="56"/>
        <item x="50"/>
        <item x="308"/>
        <item x="67"/>
        <item x="34"/>
        <item x="74"/>
        <item x="38"/>
        <item x="39"/>
        <item x="186"/>
        <item x="37"/>
        <item x="85"/>
        <item x="10"/>
        <item x="1"/>
        <item x="187"/>
        <item x="51"/>
        <item x="70"/>
        <item x="65"/>
        <item x="40"/>
        <item x="69"/>
        <item x="92"/>
        <item x="62"/>
        <item x="33"/>
        <item x="15"/>
        <item x="59"/>
        <item x="66"/>
        <item x="120"/>
        <item x="32"/>
        <item x="16"/>
        <item x="90"/>
        <item x="57"/>
        <item x="278"/>
        <item x="258"/>
        <item x="263"/>
        <item x="5"/>
        <item x="252"/>
        <item x="17"/>
        <item x="264"/>
        <item x="190"/>
        <item x="272"/>
        <item x="249"/>
        <item x="31"/>
        <item x="150"/>
        <item x="248"/>
        <item x="36"/>
        <item x="3"/>
        <item x="55"/>
        <item x="257"/>
        <item x="0"/>
        <item x="42"/>
        <item x="60"/>
        <item x="261"/>
        <item x="265"/>
        <item x="238"/>
        <item x="2"/>
        <item x="53"/>
        <item x="29"/>
        <item x="4"/>
        <item x="262"/>
        <item x="256"/>
        <item x="61"/>
        <item x="47"/>
        <item x="30"/>
        <item x="9"/>
        <item x="251"/>
        <item x="46"/>
        <item x="373"/>
        <item x="342"/>
        <item x="6"/>
        <item x="279"/>
        <item x="375"/>
        <item x="374"/>
        <item x="41"/>
        <item x="266"/>
        <item x="7"/>
        <item x="267"/>
        <item x="372"/>
        <item x="270"/>
        <item x="269"/>
        <item x="268"/>
        <item x="8"/>
        <item x="250"/>
        <item x="11"/>
        <item x="273"/>
        <item x="208"/>
      </items>
      <extLst>
        <ext xmlns:x14="http://schemas.microsoft.com/office/spreadsheetml/2009/9/main" uri="{2946ED86-A175-432a-8AC1-64E0C546D7DE}">
          <x14:pivotField fillDownLabels="1"/>
        </ext>
      </extLst>
    </pivotField>
    <pivotField dataField="1" compact="0" numFmtId="42" outline="0" showAll="0" defaultSubtotal="0">
      <items count="502">
        <item x="221"/>
        <item x="425"/>
        <item x="316"/>
        <item x="431"/>
        <item x="151"/>
        <item x="193"/>
        <item x="160"/>
        <item x="158"/>
        <item x="379"/>
        <item x="178"/>
        <item x="274"/>
        <item x="275"/>
        <item x="315"/>
        <item x="365"/>
        <item x="265"/>
        <item x="229"/>
        <item x="380"/>
        <item x="116"/>
        <item x="196"/>
        <item x="143"/>
        <item x="150"/>
        <item x="424"/>
        <item x="359"/>
        <item x="157"/>
        <item x="144"/>
        <item x="266"/>
        <item x="400"/>
        <item x="175"/>
        <item x="228"/>
        <item x="174"/>
        <item x="201"/>
        <item x="421"/>
        <item x="358"/>
        <item x="195"/>
        <item x="423"/>
        <item x="173"/>
        <item x="435"/>
        <item x="258"/>
        <item x="207"/>
        <item x="466"/>
        <item x="231"/>
        <item x="235"/>
        <item x="145"/>
        <item x="501"/>
        <item x="389"/>
        <item x="216"/>
        <item x="238"/>
        <item x="350"/>
        <item x="381"/>
        <item x="434"/>
        <item x="394"/>
        <item x="149"/>
        <item x="159"/>
        <item x="477"/>
        <item x="176"/>
        <item x="279"/>
        <item x="241"/>
        <item x="331"/>
        <item x="317"/>
        <item x="378"/>
        <item x="194"/>
        <item x="155"/>
        <item x="246"/>
        <item x="271"/>
        <item x="339"/>
        <item x="233"/>
        <item x="166"/>
        <item x="172"/>
        <item x="277"/>
        <item x="189"/>
        <item x="247"/>
        <item x="230"/>
        <item x="422"/>
        <item x="353"/>
        <item x="168"/>
        <item x="152"/>
        <item x="192"/>
        <item x="436"/>
        <item x="391"/>
        <item x="449"/>
        <item x="237"/>
        <item x="148"/>
        <item x="262"/>
        <item x="263"/>
        <item x="171"/>
        <item x="407"/>
        <item x="392"/>
        <item x="119"/>
        <item x="167"/>
        <item x="471"/>
        <item x="153"/>
        <item x="130"/>
        <item x="240"/>
        <item x="377"/>
        <item x="314"/>
        <item x="475"/>
        <item x="479"/>
        <item x="430"/>
        <item x="197"/>
        <item x="269"/>
        <item x="278"/>
        <item x="491"/>
        <item x="476"/>
        <item x="232"/>
        <item x="412"/>
        <item x="405"/>
        <item x="323"/>
        <item x="451"/>
        <item x="169"/>
        <item x="227"/>
        <item x="401"/>
        <item x="142"/>
        <item x="364"/>
        <item x="209"/>
        <item x="467"/>
        <item x="129"/>
        <item x="454"/>
        <item x="276"/>
        <item x="261"/>
        <item x="185"/>
        <item x="355"/>
        <item x="448"/>
        <item x="328"/>
        <item x="208"/>
        <item x="460"/>
        <item x="332"/>
        <item x="45"/>
        <item x="321"/>
        <item x="366"/>
        <item x="458"/>
        <item x="493"/>
        <item x="414"/>
        <item x="345"/>
        <item x="146"/>
        <item x="69"/>
        <item x="70"/>
        <item x="273"/>
        <item x="164"/>
        <item x="126"/>
        <item x="248"/>
        <item x="210"/>
        <item x="388"/>
        <item x="489"/>
        <item x="272"/>
        <item x="446"/>
        <item x="500"/>
        <item x="67"/>
        <item x="68"/>
        <item x="320"/>
        <item x="112"/>
        <item x="326"/>
        <item x="393"/>
        <item x="470"/>
        <item x="375"/>
        <item x="341"/>
        <item x="329"/>
        <item x="419"/>
        <item x="457"/>
        <item x="139"/>
        <item x="427"/>
        <item x="455"/>
        <item x="249"/>
        <item x="234"/>
        <item x="347"/>
        <item x="478"/>
        <item x="360"/>
        <item x="179"/>
        <item x="406"/>
        <item x="472"/>
        <item x="390"/>
        <item x="270"/>
        <item x="200"/>
        <item x="438"/>
        <item x="162"/>
        <item x="120"/>
        <item x="110"/>
        <item x="319"/>
        <item x="132"/>
        <item x="483"/>
        <item x="385"/>
        <item x="464"/>
        <item x="121"/>
        <item x="382"/>
        <item x="461"/>
        <item x="156"/>
        <item x="488"/>
        <item x="181"/>
        <item x="340"/>
        <item x="416"/>
        <item x="474"/>
        <item x="452"/>
        <item x="403"/>
        <item x="177"/>
        <item x="311"/>
        <item x="450"/>
        <item x="137"/>
        <item x="369"/>
        <item x="465"/>
        <item x="456"/>
        <item x="206"/>
        <item x="26"/>
        <item x="25"/>
        <item x="29"/>
        <item x="28"/>
        <item x="289"/>
        <item x="27"/>
        <item x="118"/>
        <item x="499"/>
        <item x="371"/>
        <item x="445"/>
        <item x="428"/>
        <item x="1"/>
        <item x="2"/>
        <item x="492"/>
        <item x="255"/>
        <item x="182"/>
        <item x="236"/>
        <item x="128"/>
        <item x="122"/>
        <item x="480"/>
        <item x="334"/>
        <item x="127"/>
        <item x="468"/>
        <item x="202"/>
        <item x="447"/>
        <item x="264"/>
        <item x="256"/>
        <item x="147"/>
        <item x="199"/>
        <item x="211"/>
        <item x="437"/>
        <item x="469"/>
        <item x="322"/>
        <item x="373"/>
        <item x="432"/>
        <item x="411"/>
        <item x="338"/>
        <item x="259"/>
        <item x="404"/>
        <item x="349"/>
        <item x="490"/>
        <item x="372"/>
        <item x="484"/>
        <item x="141"/>
        <item x="213"/>
        <item x="418"/>
        <item x="443"/>
        <item x="224"/>
        <item x="444"/>
        <item x="18"/>
        <item x="19"/>
        <item x="20"/>
        <item x="481"/>
        <item x="84"/>
        <item x="85"/>
        <item x="117"/>
        <item x="187"/>
        <item x="53"/>
        <item x="54"/>
        <item x="154"/>
        <item x="439"/>
        <item x="498"/>
        <item x="333"/>
        <item x="134"/>
        <item x="254"/>
        <item x="95"/>
        <item x="473"/>
        <item x="186"/>
        <item x="362"/>
        <item x="170"/>
        <item x="415"/>
        <item x="336"/>
        <item x="337"/>
        <item x="440"/>
        <item x="441"/>
        <item x="219"/>
        <item x="497"/>
        <item x="111"/>
        <item x="486"/>
        <item x="140"/>
        <item x="363"/>
        <item x="113"/>
        <item x="253"/>
        <item x="135"/>
        <item x="267"/>
        <item x="190"/>
        <item x="346"/>
        <item x="163"/>
        <item x="59"/>
        <item x="138"/>
        <item x="60"/>
        <item x="327"/>
        <item x="10"/>
        <item x="115"/>
        <item x="462"/>
        <item x="58"/>
        <item x="244"/>
        <item x="203"/>
        <item x="243"/>
        <item x="44"/>
        <item x="367"/>
        <item x="409"/>
        <item x="218"/>
        <item x="442"/>
        <item x="165"/>
        <item x="463"/>
        <item x="77"/>
        <item x="78"/>
        <item x="96"/>
        <item x="383"/>
        <item x="114"/>
        <item x="487"/>
        <item x="61"/>
        <item x="205"/>
        <item x="184"/>
        <item x="136"/>
        <item x="453"/>
        <item x="344"/>
        <item x="352"/>
        <item x="459"/>
        <item x="330"/>
        <item x="79"/>
        <item x="0"/>
        <item x="368"/>
        <item x="220"/>
        <item x="495"/>
        <item x="386"/>
        <item x="51"/>
        <item x="485"/>
        <item x="55"/>
        <item x="343"/>
        <item x="89"/>
        <item x="257"/>
        <item x="180"/>
        <item x="413"/>
        <item x="351"/>
        <item x="50"/>
        <item x="86"/>
        <item x="87"/>
        <item x="4"/>
        <item x="5"/>
        <item x="260"/>
        <item x="42"/>
        <item x="106"/>
        <item x="245"/>
        <item x="395"/>
        <item x="3"/>
        <item x="251"/>
        <item x="183"/>
        <item x="335"/>
        <item x="420"/>
        <item x="214"/>
        <item x="280"/>
        <item x="30"/>
        <item x="31"/>
        <item x="370"/>
        <item x="496"/>
        <item x="354"/>
        <item x="65"/>
        <item x="250"/>
        <item x="482"/>
        <item x="356"/>
        <item x="81"/>
        <item x="374"/>
        <item x="325"/>
        <item x="107"/>
        <item x="402"/>
        <item x="410"/>
        <item x="215"/>
        <item x="239"/>
        <item x="361"/>
        <item x="93"/>
        <item x="48"/>
        <item x="49"/>
        <item x="24"/>
        <item x="310"/>
        <item x="252"/>
        <item x="80"/>
        <item x="46"/>
        <item x="357"/>
        <item x="306"/>
        <item x="6"/>
        <item x="8"/>
        <item x="9"/>
        <item x="7"/>
        <item x="56"/>
        <item x="66"/>
        <item x="88"/>
        <item x="57"/>
        <item x="82"/>
        <item x="83"/>
        <item x="36"/>
        <item x="212"/>
        <item x="384"/>
        <item x="71"/>
        <item x="52"/>
        <item x="75"/>
        <item x="76"/>
        <item x="295"/>
        <item x="39"/>
        <item x="40"/>
        <item x="64"/>
        <item x="90"/>
        <item x="91"/>
        <item x="204"/>
        <item x="324"/>
        <item x="92"/>
        <item x="387"/>
        <item x="223"/>
        <item x="23"/>
        <item x="294"/>
        <item x="288"/>
        <item x="15"/>
        <item x="16"/>
        <item x="17"/>
        <item x="290"/>
        <item x="417"/>
        <item x="34"/>
        <item x="226"/>
        <item x="43"/>
        <item x="47"/>
        <item x="38"/>
        <item x="11"/>
        <item x="309"/>
        <item x="342"/>
        <item x="99"/>
        <item x="376"/>
        <item x="429"/>
        <item x="426"/>
        <item x="124"/>
        <item x="72"/>
        <item x="217"/>
        <item x="101"/>
        <item x="32"/>
        <item x="125"/>
        <item x="100"/>
        <item x="73"/>
        <item x="222"/>
        <item x="198"/>
        <item x="33"/>
        <item x="105"/>
        <item x="97"/>
        <item x="103"/>
        <item x="109"/>
        <item x="188"/>
        <item x="74"/>
        <item x="12"/>
        <item x="13"/>
        <item x="98"/>
        <item x="318"/>
        <item x="35"/>
        <item x="161"/>
        <item x="94"/>
        <item x="433"/>
        <item x="312"/>
        <item x="41"/>
        <item x="14"/>
        <item x="62"/>
        <item x="63"/>
        <item x="293"/>
        <item x="298"/>
        <item x="191"/>
        <item x="37"/>
        <item x="131"/>
        <item x="348"/>
        <item x="286"/>
        <item x="102"/>
        <item x="494"/>
        <item x="299"/>
        <item x="225"/>
        <item x="307"/>
        <item x="123"/>
        <item x="282"/>
        <item x="21"/>
        <item x="22"/>
        <item x="281"/>
        <item x="284"/>
        <item x="292"/>
        <item x="287"/>
        <item x="104"/>
        <item x="296"/>
        <item x="300"/>
        <item x="268"/>
        <item x="108"/>
        <item x="408"/>
        <item x="297"/>
        <item x="291"/>
        <item x="133"/>
        <item x="285"/>
        <item x="397"/>
        <item x="313"/>
        <item x="242"/>
        <item x="399"/>
        <item x="398"/>
        <item x="301"/>
        <item x="302"/>
        <item x="396"/>
        <item x="305"/>
        <item x="304"/>
        <item x="303"/>
        <item x="283"/>
        <item x="308"/>
      </items>
      <extLst>
        <ext xmlns:x14="http://schemas.microsoft.com/office/spreadsheetml/2009/9/main" uri="{2946ED86-A175-432a-8AC1-64E0C546D7DE}">
          <x14:pivotField fillDownLabels="1"/>
        </ext>
      </extLst>
    </pivotField>
    <pivotField axis="axisRow" compact="0" outline="0" showAll="0" defaultSubtotal="0">
      <items count="16">
        <item x="4"/>
        <item x="8"/>
        <item x="15"/>
        <item x="7"/>
        <item x="9"/>
        <item x="6"/>
        <item x="10"/>
        <item x="14"/>
        <item x="11"/>
        <item x="13"/>
        <item x="12"/>
        <item x="5"/>
        <item x="1"/>
        <item x="2"/>
        <item x="3"/>
        <item x="0"/>
      </items>
      <extLst>
        <ext xmlns:x14="http://schemas.microsoft.com/office/spreadsheetml/2009/9/main" uri="{2946ED86-A175-432a-8AC1-64E0C546D7DE}">
          <x14:pivotField fillDownLabels="1"/>
        </ext>
      </extLst>
    </pivotField>
    <pivotField axis="axisRow" compact="0" outline="0" showAll="0">
      <items count="51">
        <item x="0"/>
        <item x="2"/>
        <item x="3"/>
        <item x="20"/>
        <item x="14"/>
        <item x="4"/>
        <item x="43"/>
        <item x="47"/>
        <item x="19"/>
        <item x="18"/>
        <item x="13"/>
        <item x="15"/>
        <item x="30"/>
        <item x="37"/>
        <item x="39"/>
        <item x="42"/>
        <item x="45"/>
        <item x="46"/>
        <item x="10"/>
        <item x="7"/>
        <item x="48"/>
        <item x="12"/>
        <item x="16"/>
        <item x="41"/>
        <item x="44"/>
        <item x="1"/>
        <item x="49"/>
        <item x="11"/>
        <item x="6"/>
        <item x="5"/>
        <item x="9"/>
        <item x="34"/>
        <item x="17"/>
        <item x="40"/>
        <item x="22"/>
        <item x="23"/>
        <item x="8"/>
        <item x="21"/>
        <item x="35"/>
        <item x="38"/>
        <item x="32"/>
        <item x="24"/>
        <item x="31"/>
        <item x="25"/>
        <item x="33"/>
        <item x="36"/>
        <item x="26"/>
        <item x="27"/>
        <item x="28"/>
        <item x="29"/>
        <item t="default"/>
      </items>
      <extLst>
        <ext xmlns:x14="http://schemas.microsoft.com/office/spreadsheetml/2009/9/main" uri="{2946ED86-A175-432a-8AC1-64E0C546D7DE}">
          <x14:pivotField fillDownLabels="1"/>
        </ext>
      </extLst>
    </pivotField>
    <pivotField axis="axisRow" compact="0" outline="0" showAll="0" defaultSubtotal="0">
      <items count="107">
        <item x="89"/>
        <item x="10"/>
        <item x="104"/>
        <item x="97"/>
        <item x="12"/>
        <item x="3"/>
        <item x="28"/>
        <item x="99"/>
        <item x="0"/>
        <item x="51"/>
        <item x="29"/>
        <item x="22"/>
        <item x="41"/>
        <item x="25"/>
        <item x="76"/>
        <item x="98"/>
        <item x="78"/>
        <item x="43"/>
        <item x="82"/>
        <item x="2"/>
        <item x="8"/>
        <item x="30"/>
        <item x="38"/>
        <item x="36"/>
        <item x="27"/>
        <item x="96"/>
        <item x="91"/>
        <item x="24"/>
        <item x="95"/>
        <item x="103"/>
        <item x="45"/>
        <item x="53"/>
        <item x="31"/>
        <item x="49"/>
        <item x="72"/>
        <item x="14"/>
        <item x="75"/>
        <item x="11"/>
        <item x="93"/>
        <item x="59"/>
        <item x="102"/>
        <item x="61"/>
        <item x="5"/>
        <item x="1"/>
        <item x="52"/>
        <item x="70"/>
        <item x="73"/>
        <item x="80"/>
        <item x="71"/>
        <item x="33"/>
        <item x="85"/>
        <item x="74"/>
        <item x="64"/>
        <item x="62"/>
        <item x="94"/>
        <item x="68"/>
        <item x="26"/>
        <item x="48"/>
        <item x="6"/>
        <item x="65"/>
        <item x="37"/>
        <item x="4"/>
        <item x="54"/>
        <item x="60"/>
        <item x="13"/>
        <item x="58"/>
        <item x="50"/>
        <item x="9"/>
        <item x="88"/>
        <item x="63"/>
        <item x="16"/>
        <item x="47"/>
        <item x="100"/>
        <item x="66"/>
        <item x="19"/>
        <item x="83"/>
        <item x="92"/>
        <item x="34"/>
        <item x="86"/>
        <item x="7"/>
        <item x="39"/>
        <item x="84"/>
        <item x="87"/>
        <item x="101"/>
        <item x="77"/>
        <item x="90"/>
        <item x="35"/>
        <item x="44"/>
        <item x="21"/>
        <item x="42"/>
        <item x="56"/>
        <item x="32"/>
        <item x="57"/>
        <item x="69"/>
        <item x="67"/>
        <item x="18"/>
        <item x="105"/>
        <item x="40"/>
        <item x="15"/>
        <item x="17"/>
        <item x="55"/>
        <item x="106"/>
        <item x="81"/>
        <item x="23"/>
        <item x="46"/>
        <item x="79"/>
        <item x="20"/>
      </items>
      <extLst>
        <ext xmlns:x14="http://schemas.microsoft.com/office/spreadsheetml/2009/9/main" uri="{2946ED86-A175-432a-8AC1-64E0C546D7DE}">
          <x14:pivotField fillDownLabels="1"/>
        </ext>
      </extLst>
    </pivotField>
    <pivotField axis="axisRow" compact="0" outline="0" showAll="0" defaultSubtotal="0">
      <items count="108">
        <item x="104"/>
        <item x="47"/>
        <item x="92"/>
        <item x="41"/>
        <item x="86"/>
        <item x="20"/>
        <item x="19"/>
        <item x="96"/>
        <item x="33"/>
        <item x="67"/>
        <item x="3"/>
        <item x="25"/>
        <item x="80"/>
        <item x="58"/>
        <item x="24"/>
        <item x="97"/>
        <item x="46"/>
        <item x="22"/>
        <item x="64"/>
        <item x="99"/>
        <item x="65"/>
        <item x="2"/>
        <item x="18"/>
        <item x="11"/>
        <item x="17"/>
        <item x="37"/>
        <item x="51"/>
        <item x="103"/>
        <item x="95"/>
        <item x="30"/>
        <item x="48"/>
        <item x="45"/>
        <item x="43"/>
        <item x="28"/>
        <item x="62"/>
        <item x="49"/>
        <item x="82"/>
        <item x="38"/>
        <item x="60"/>
        <item x="34"/>
        <item x="79"/>
        <item x="88"/>
        <item x="87"/>
        <item x="10"/>
        <item x="7"/>
        <item x="90"/>
        <item x="102"/>
        <item x="39"/>
        <item x="40"/>
        <item x="54"/>
        <item x="73"/>
        <item x="27"/>
        <item x="72"/>
        <item x="63"/>
        <item x="69"/>
        <item x="8"/>
        <item x="53"/>
        <item x="70"/>
        <item x="23"/>
        <item x="26"/>
        <item x="106"/>
        <item x="4"/>
        <item x="5"/>
        <item x="31"/>
        <item x="91"/>
        <item x="15"/>
        <item x="100"/>
        <item x="105"/>
        <item x="76"/>
        <item x="101"/>
        <item x="107"/>
        <item x="85"/>
        <item x="6"/>
        <item x="61"/>
        <item x="71"/>
        <item x="14"/>
        <item x="12"/>
        <item x="1"/>
        <item x="68"/>
        <item x="0"/>
        <item x="29"/>
        <item x="35"/>
        <item x="83"/>
        <item x="56"/>
        <item x="16"/>
        <item x="44"/>
        <item x="77"/>
        <item x="52"/>
        <item x="55"/>
        <item x="32"/>
        <item x="66"/>
        <item x="75"/>
        <item x="57"/>
        <item x="84"/>
        <item x="21"/>
        <item x="36"/>
        <item x="89"/>
        <item x="93"/>
        <item x="74"/>
        <item x="78"/>
        <item x="98"/>
        <item x="81"/>
        <item x="42"/>
        <item x="9"/>
        <item x="50"/>
        <item x="94"/>
        <item x="13"/>
        <item x="59"/>
      </items>
      <extLst>
        <ext xmlns:x14="http://schemas.microsoft.com/office/spreadsheetml/2009/9/main" uri="{2946ED86-A175-432a-8AC1-64E0C546D7DE}">
          <x14:pivotField fillDownLabels="1"/>
        </ext>
      </extLst>
    </pivotField>
    <pivotField compact="0" outline="0" showAll="0">
      <extLst>
        <ext xmlns:x14="http://schemas.microsoft.com/office/spreadsheetml/2009/9/main" uri="{2946ED86-A175-432a-8AC1-64E0C546D7DE}">
          <x14:pivotField fillDownLabels="1"/>
        </ext>
      </extLst>
    </pivotField>
    <pivotField compact="0" outline="0" showAll="0">
      <extLst>
        <ext xmlns:x14="http://schemas.microsoft.com/office/spreadsheetml/2009/9/main" uri="{2946ED86-A175-432a-8AC1-64E0C546D7DE}">
          <x14:pivotField fillDownLabels="1"/>
        </ext>
      </extLst>
    </pivotField>
    <pivotField axis="axisRow" compact="0" numFmtId="14" outline="0" showAll="0" defaultSubtotal="0">
      <items count="25">
        <item x="1"/>
        <item x="0"/>
        <item x="2"/>
        <item x="4"/>
        <item x="3"/>
        <item x="5"/>
        <item x="8"/>
        <item x="9"/>
        <item x="11"/>
        <item x="10"/>
        <item x="12"/>
        <item x="7"/>
        <item x="6"/>
        <item x="13"/>
        <item x="19"/>
        <item x="21"/>
        <item x="14"/>
        <item x="20"/>
        <item x="15"/>
        <item x="22"/>
        <item x="24"/>
        <item x="16"/>
        <item x="17"/>
        <item x="18"/>
        <item x="23"/>
      </items>
      <extLst>
        <ext xmlns:x14="http://schemas.microsoft.com/office/spreadsheetml/2009/9/main" uri="{2946ED86-A175-432a-8AC1-64E0C546D7DE}">
          <x14:pivotField fillDownLabels="1"/>
        </ext>
      </extLst>
    </pivotField>
    <pivotField compact="0" outline="0" showAll="0">
      <extLst>
        <ext xmlns:x14="http://schemas.microsoft.com/office/spreadsheetml/2009/9/main" uri="{2946ED86-A175-432a-8AC1-64E0C546D7DE}">
          <x14:pivotField fillDownLabels="1"/>
        </ext>
      </extLst>
    </pivotField>
    <pivotField compact="0" outline="0" showAll="0">
      <extLst>
        <ext xmlns:x14="http://schemas.microsoft.com/office/spreadsheetml/2009/9/main" uri="{2946ED86-A175-432a-8AC1-64E0C546D7DE}">
          <x14:pivotField fillDownLabels="1"/>
        </ext>
      </extLst>
    </pivotField>
    <pivotField compact="0" outline="0" showAll="0">
      <extLst>
        <ext xmlns:x14="http://schemas.microsoft.com/office/spreadsheetml/2009/9/main" uri="{2946ED86-A175-432a-8AC1-64E0C546D7DE}">
          <x14:pivotField fillDownLabels="1"/>
        </ext>
      </extLst>
    </pivotField>
    <pivotField compact="0" outline="0" showAll="0">
      <extLst>
        <ext xmlns:x14="http://schemas.microsoft.com/office/spreadsheetml/2009/9/main" uri="{2946ED86-A175-432a-8AC1-64E0C546D7DE}">
          <x14:pivotField fillDownLabels="1"/>
        </ext>
      </extLst>
    </pivotField>
    <pivotField compact="0" outline="0" showAll="0">
      <extLst>
        <ext xmlns:x14="http://schemas.microsoft.com/office/spreadsheetml/2009/9/main" uri="{2946ED86-A175-432a-8AC1-64E0C546D7DE}">
          <x14:pivotField fillDownLabels="1"/>
        </ext>
      </extLst>
    </pivotField>
    <pivotField compact="0" outline="0" showAll="0">
      <extLst>
        <ext xmlns:x14="http://schemas.microsoft.com/office/spreadsheetml/2009/9/main" uri="{2946ED86-A175-432a-8AC1-64E0C546D7DE}">
          <x14:pivotField fillDownLabels="1"/>
        </ext>
      </extLst>
    </pivotField>
    <pivotField axis="axisRow" compact="0" outline="0" showAll="0" defaultSubtotal="0">
      <items count="2">
        <item x="0"/>
        <item x="1"/>
      </items>
      <extLst>
        <ext xmlns:x14="http://schemas.microsoft.com/office/spreadsheetml/2009/9/main" uri="{2946ED86-A175-432a-8AC1-64E0C546D7DE}">
          <x14:pivotField fillDownLabels="1"/>
        </ext>
      </extLst>
    </pivotField>
    <pivotField compact="0" outline="0" showAll="0">
      <items count="15">
        <item sd="0" x="0"/>
        <item sd="0" x="1"/>
        <item sd="0" x="2"/>
        <item sd="0" x="3"/>
        <item sd="0" x="4"/>
        <item sd="0" x="5"/>
        <item sd="0" x="6"/>
        <item sd="0" x="7"/>
        <item sd="0" x="8"/>
        <item sd="0" x="9"/>
        <item sd="0" x="10"/>
        <item sd="0" x="11"/>
        <item sd="0" x="12"/>
        <item sd="0" x="13"/>
        <item t="default"/>
      </items>
      <extLst>
        <ext xmlns:x14="http://schemas.microsoft.com/office/spreadsheetml/2009/9/main" uri="{2946ED86-A175-432a-8AC1-64E0C546D7DE}">
          <x14:pivotField fillDownLabels="1"/>
        </ext>
      </extLst>
    </pivotField>
    <pivotField compact="0" outline="0" showAll="0">
      <items count="7">
        <item sd="0" x="0"/>
        <item sd="0" x="1"/>
        <item sd="0" x="2"/>
        <item sd="0" x="3"/>
        <item sd="0" x="4"/>
        <item sd="0" x="5"/>
        <item t="default"/>
      </items>
      <extLst>
        <ext xmlns:x14="http://schemas.microsoft.com/office/spreadsheetml/2009/9/main" uri="{2946ED86-A175-432a-8AC1-64E0C546D7DE}">
          <x14:pivotField fillDownLabels="1"/>
        </ext>
      </extLst>
    </pivotField>
    <pivotField compact="0" outline="0" showAll="0">
      <items count="7">
        <item sd="0" x="0"/>
        <item sd="0" x="1"/>
        <item sd="0" x="2"/>
        <item sd="0" x="3"/>
        <item sd="0" x="4"/>
        <item sd="0" x="5"/>
        <item t="default"/>
      </items>
      <extLst>
        <ext xmlns:x14="http://schemas.microsoft.com/office/spreadsheetml/2009/9/main" uri="{2946ED86-A175-432a-8AC1-64E0C546D7DE}">
          <x14:pivotField fillDownLabels="1"/>
        </ext>
      </extLst>
    </pivotField>
  </pivotFields>
  <rowFields count="11">
    <field x="2"/>
    <field x="27"/>
    <field x="1"/>
    <field x="6"/>
    <field x="9"/>
    <field x="8"/>
    <field x="16"/>
    <field x="20"/>
    <field x="17"/>
    <field x="14"/>
    <field x="15"/>
  </rowFields>
  <rowItems count="704">
    <i>
      <x/>
      <x/>
      <x v="2"/>
      <x v="357"/>
      <x v="303"/>
      <x v="1"/>
      <x v="8"/>
      <x v="1"/>
      <x v="79"/>
      <x v="15"/>
      <x/>
    </i>
    <i>
      <x v="1"/>
      <x/>
      <x v="2"/>
      <x v="177"/>
      <x v="229"/>
      <x/>
      <x v="35"/>
      <x v="8"/>
      <x v="84"/>
      <x v="12"/>
      <x v="22"/>
    </i>
    <i>
      <x v="2"/>
      <x/>
      <x v="2"/>
      <x v="356"/>
      <x v="85"/>
      <x v="1"/>
      <x v="8"/>
      <x/>
      <x v="77"/>
      <x v="15"/>
      <x/>
    </i>
    <i>
      <x v="3"/>
      <x/>
      <x v="2"/>
      <x v="173"/>
      <x v="39"/>
      <x/>
      <x v="67"/>
      <x v="10"/>
      <x v="24"/>
      <x v="11"/>
      <x v="29"/>
    </i>
    <i>
      <x v="4"/>
      <x/>
      <x v="2"/>
      <x v="163"/>
      <x v="116"/>
      <x/>
      <x v="98"/>
      <x v="10"/>
      <x v="22"/>
      <x v="8"/>
      <x v="32"/>
    </i>
    <i>
      <x v="5"/>
      <x/>
      <x v="2"/>
      <x v="151"/>
      <x v="164"/>
      <x v="1"/>
      <x v="1"/>
      <x v="11"/>
      <x v="76"/>
      <x/>
      <x v="5"/>
    </i>
    <i r="3">
      <x v="152"/>
      <x v="164"/>
      <x v="1"/>
      <x v="1"/>
      <x v="12"/>
      <x v="76"/>
      <x v="14"/>
      <x v="5"/>
    </i>
    <i>
      <x v="6"/>
      <x/>
      <x v="2"/>
      <x v="187"/>
      <x v="39"/>
      <x v="1"/>
      <x v="67"/>
      <x v="6"/>
      <x v="23"/>
      <x v="11"/>
      <x v="29"/>
    </i>
    <i>
      <x v="7"/>
      <x/>
      <x v="2"/>
      <x v="192"/>
      <x v="206"/>
      <x v="1"/>
      <x v="37"/>
      <x v="6"/>
      <x v="106"/>
      <x v="12"/>
      <x v="1"/>
    </i>
    <i>
      <x v="8"/>
      <x/>
      <x v="2"/>
      <x v="359"/>
      <x v="322"/>
      <x/>
      <x v="43"/>
      <x v="1"/>
      <x v="21"/>
      <x v="15"/>
      <x/>
    </i>
    <i>
      <x v="9"/>
      <x/>
      <x v="2"/>
      <x v="145"/>
      <x v="311"/>
      <x v="1"/>
      <x v="4"/>
      <x v="6"/>
      <x v="75"/>
      <x v="12"/>
      <x v="1"/>
    </i>
    <i>
      <x v="10"/>
      <x/>
      <x v="2"/>
      <x v="144"/>
      <x v="311"/>
      <x v="1"/>
      <x v="4"/>
      <x v="6"/>
      <x v="75"/>
      <x v="12"/>
      <x v="1"/>
    </i>
    <i>
      <x v="11"/>
      <x/>
      <x v="2"/>
      <x v="143"/>
      <x v="311"/>
      <x v="1"/>
      <x v="4"/>
      <x v="6"/>
      <x v="75"/>
      <x v="12"/>
      <x v="1"/>
    </i>
    <i>
      <x v="12"/>
      <x v="1"/>
      <x v="2"/>
      <x v="291"/>
      <x v="194"/>
      <x/>
      <x v="80"/>
      <x v="21"/>
      <x v="85"/>
      <x/>
      <x v="46"/>
    </i>
    <i>
      <x v="13"/>
      <x v="1"/>
      <x v="2"/>
      <x v="104"/>
      <x v="296"/>
      <x/>
      <x v="80"/>
      <x v="18"/>
      <x v="85"/>
      <x/>
      <x v="43"/>
    </i>
    <i>
      <x v="14"/>
      <x v="1"/>
      <x v="2"/>
      <x v="105"/>
      <x v="338"/>
      <x/>
      <x v="80"/>
      <x v="19"/>
      <x v="85"/>
      <x/>
      <x v="44"/>
    </i>
    <i>
      <x v="15"/>
      <x v="1"/>
      <x v="2"/>
      <x v="10"/>
      <x v="326"/>
      <x/>
      <x v="97"/>
      <x v="15"/>
      <x v="31"/>
      <x/>
      <x v="40"/>
    </i>
    <i>
      <x v="16"/>
      <x v="1"/>
      <x v="2"/>
      <x v="11"/>
      <x v="184"/>
      <x/>
      <x v="97"/>
      <x v="15"/>
      <x v="31"/>
      <x/>
      <x v="40"/>
    </i>
    <i>
      <x v="17"/>
      <x v="1"/>
      <x v="2"/>
      <x v="237"/>
      <x v="58"/>
      <x v="1"/>
      <x v="97"/>
      <x v="15"/>
      <x v="31"/>
      <x/>
      <x v="40"/>
    </i>
    <i r="4">
      <x v="245"/>
      <x v="1"/>
      <x v="97"/>
      <x v="15"/>
      <x v="31"/>
      <x/>
      <x v="40"/>
    </i>
    <i>
      <x v="18"/>
      <x v="1"/>
      <x v="2"/>
      <x v="2"/>
      <x v="58"/>
      <x/>
      <x v="12"/>
      <x v="23"/>
      <x v="16"/>
      <x/>
      <x v="48"/>
    </i>
    <i>
      <x v="19"/>
      <x v="1"/>
      <x v="2"/>
      <x v="283"/>
      <x v="7"/>
      <x v="5"/>
      <x v="12"/>
      <x v="16"/>
      <x v="16"/>
      <x/>
      <x v="41"/>
    </i>
    <i r="7">
      <x v="19"/>
      <x v="16"/>
      <x/>
      <x v="44"/>
    </i>
    <i r="7">
      <x v="21"/>
      <x v="16"/>
      <x/>
      <x v="46"/>
    </i>
    <i r="7">
      <x v="24"/>
      <x v="16"/>
      <x/>
      <x v="49"/>
    </i>
    <i r="4">
      <x v="58"/>
      <x v="5"/>
      <x v="12"/>
      <x v="16"/>
      <x v="16"/>
      <x/>
      <x v="41"/>
    </i>
    <i r="7">
      <x v="19"/>
      <x v="16"/>
      <x v="2"/>
      <x v="31"/>
    </i>
    <i>
      <x v="20"/>
      <x/>
      <x v="2"/>
      <x v="140"/>
      <x v="292"/>
      <x/>
      <x v="5"/>
      <x v="4"/>
      <x v="61"/>
      <x v="12"/>
      <x v="1"/>
    </i>
    <i>
      <x v="21"/>
      <x/>
      <x v="2"/>
      <x v="360"/>
      <x v="300"/>
      <x/>
      <x v="19"/>
      <x v="2"/>
      <x v="10"/>
      <x v="15"/>
      <x v="25"/>
    </i>
    <i>
      <x v="22"/>
      <x/>
      <x v="2"/>
      <x v="136"/>
      <x v="292"/>
      <x/>
      <x v="5"/>
      <x v="3"/>
      <x v="62"/>
      <x v="12"/>
      <x v="1"/>
    </i>
    <i>
      <x v="23"/>
      <x/>
      <x v="2"/>
      <x v="137"/>
      <x v="292"/>
      <x/>
      <x v="5"/>
      <x v="3"/>
      <x v="62"/>
      <x v="12"/>
      <x v="1"/>
    </i>
    <i>
      <x v="24"/>
      <x v="1"/>
      <x v="2"/>
      <x v="3"/>
      <x v="191"/>
      <x/>
      <x v="12"/>
      <x v="15"/>
      <x v="16"/>
      <x/>
      <x v="40"/>
    </i>
    <i>
      <x v="25"/>
      <x/>
      <x v="2"/>
      <x v="198"/>
      <x v="285"/>
      <x/>
      <x v="61"/>
      <x v="3"/>
      <x v="72"/>
      <x v="13"/>
      <x v="2"/>
    </i>
    <i>
      <x v="26"/>
      <x v="1"/>
      <x v="2"/>
      <x v="269"/>
      <x v="181"/>
      <x/>
      <x v="12"/>
      <x v="13"/>
      <x v="16"/>
      <x/>
      <x v="38"/>
    </i>
    <i>
      <x v="27"/>
      <x/>
      <x v="2"/>
      <x v="176"/>
      <x v="206"/>
      <x/>
      <x v="42"/>
      <x v="4"/>
      <x v="44"/>
      <x v="12"/>
      <x v="1"/>
    </i>
    <i>
      <x v="28"/>
      <x v="1"/>
      <x v="2"/>
      <x v="76"/>
      <x v="58"/>
      <x v="1"/>
      <x v="12"/>
      <x v="17"/>
      <x v="16"/>
      <x/>
      <x v="42"/>
    </i>
    <i r="7">
      <x v="23"/>
      <x v="16"/>
      <x/>
      <x v="42"/>
    </i>
    <i>
      <x v="29"/>
      <x/>
      <x v="2"/>
      <x v="188"/>
      <x v="312"/>
      <x/>
      <x v="61"/>
      <x v="5"/>
      <x v="55"/>
      <x v="12"/>
      <x v="1"/>
    </i>
    <i>
      <x v="30"/>
      <x v="1"/>
      <x v="2"/>
      <x v="79"/>
      <x v="58"/>
      <x/>
      <x v="12"/>
      <x v="18"/>
      <x v="16"/>
      <x/>
      <x v="43"/>
    </i>
    <i>
      <x v="31"/>
      <x v="1"/>
      <x v="2"/>
      <x v="282"/>
      <x v="58"/>
      <x/>
      <x v="12"/>
      <x v="20"/>
      <x v="16"/>
      <x/>
      <x v="45"/>
    </i>
    <i>
      <x v="32"/>
      <x v="1"/>
      <x v="2"/>
      <x v="146"/>
      <x v="155"/>
      <x v="2"/>
      <x v="4"/>
      <x v="15"/>
      <x v="8"/>
      <x v="8"/>
      <x v="13"/>
    </i>
    <i r="4">
      <x v="156"/>
      <x v="2"/>
      <x v="4"/>
      <x v="15"/>
      <x v="8"/>
      <x v="8"/>
      <x v="13"/>
    </i>
    <i>
      <x v="33"/>
      <x v="1"/>
      <x v="2"/>
      <x v="349"/>
      <x v="58"/>
      <x/>
      <x v="12"/>
      <x v="17"/>
      <x v="16"/>
      <x/>
      <x v="42"/>
    </i>
    <i>
      <x v="34"/>
      <x v="1"/>
      <x v="2"/>
      <x v="32"/>
      <x v="213"/>
      <x/>
      <x v="60"/>
      <x v="15"/>
      <x v="102"/>
      <x/>
      <x v="40"/>
    </i>
    <i>
      <x v="35"/>
      <x v="1"/>
      <x v="2"/>
      <x v="139"/>
      <x v="293"/>
      <x/>
      <x v="4"/>
      <x v="15"/>
      <x v="8"/>
      <x v="12"/>
      <x v="14"/>
    </i>
    <i>
      <x v="36"/>
      <x/>
      <x v="2"/>
      <x v="155"/>
      <x v="327"/>
      <x/>
      <x v="58"/>
      <x v="3"/>
      <x v="103"/>
      <x v="13"/>
      <x v="2"/>
    </i>
    <i>
      <x v="37"/>
      <x v="1"/>
      <x v="2"/>
      <x v="348"/>
      <x v="296"/>
      <x/>
      <x v="12"/>
      <x v="13"/>
      <x v="16"/>
      <x/>
      <x v="38"/>
    </i>
    <i>
      <x v="38"/>
      <x v="1"/>
      <x v="2"/>
      <x v="138"/>
      <x v="293"/>
      <x/>
      <x v="4"/>
      <x v="15"/>
      <x v="8"/>
      <x v="8"/>
      <x v="13"/>
    </i>
    <i>
      <x v="39"/>
      <x v="1"/>
      <x v="2"/>
      <x v="251"/>
      <x v="169"/>
      <x/>
      <x v="12"/>
      <x v="15"/>
      <x v="16"/>
      <x/>
      <x v="40"/>
    </i>
    <i>
      <x v="40"/>
      <x/>
      <x v="2"/>
      <x v="201"/>
      <x v="325"/>
      <x/>
      <x v="79"/>
      <x v="4"/>
      <x v="43"/>
      <x v="12"/>
      <x v="1"/>
    </i>
    <i>
      <x v="41"/>
      <x v="1"/>
      <x v="2"/>
      <x v="92"/>
      <x v="7"/>
      <x/>
      <x v="89"/>
      <x v="15"/>
      <x v="1"/>
      <x/>
      <x v="40"/>
    </i>
    <i>
      <x v="42"/>
      <x v="1"/>
      <x v="2"/>
      <x v="334"/>
      <x v="280"/>
      <x/>
      <x v="12"/>
      <x v="13"/>
      <x v="16"/>
      <x/>
      <x v="38"/>
    </i>
    <i>
      <x v="43"/>
      <x/>
      <x v="2"/>
      <x v="199"/>
      <x v="300"/>
      <x/>
      <x v="20"/>
      <x v="3"/>
      <x v="10"/>
      <x v="12"/>
      <x v="1"/>
    </i>
    <i>
      <x v="44"/>
      <x v="1"/>
      <x v="2"/>
      <x v="377"/>
      <x v="335"/>
      <x/>
      <x v="17"/>
      <x v="22"/>
      <x v="30"/>
      <x/>
      <x v="47"/>
    </i>
    <i>
      <x v="45"/>
      <x v="1"/>
      <x v="2"/>
      <x v="323"/>
      <x v="48"/>
      <x v="5"/>
      <x v="87"/>
      <x v="14"/>
      <x v="14"/>
      <x/>
      <x v="39"/>
    </i>
    <i r="4">
      <x v="59"/>
      <x v="5"/>
      <x v="87"/>
      <x v="14"/>
      <x v="14"/>
      <x/>
      <x v="39"/>
    </i>
    <i r="4">
      <x v="96"/>
      <x v="5"/>
      <x v="87"/>
      <x v="14"/>
      <x v="14"/>
      <x/>
      <x v="39"/>
    </i>
    <i r="4">
      <x v="119"/>
      <x v="5"/>
      <x v="87"/>
      <x v="14"/>
      <x v="14"/>
      <x/>
      <x v="39"/>
    </i>
    <i r="4">
      <x v="166"/>
      <x v="5"/>
      <x v="87"/>
      <x v="14"/>
      <x v="14"/>
      <x/>
      <x v="39"/>
    </i>
    <i r="4">
      <x v="341"/>
      <x v="5"/>
      <x v="87"/>
      <x v="14"/>
      <x v="14"/>
      <x/>
      <x v="39"/>
    </i>
    <i>
      <x v="46"/>
      <x v="1"/>
      <x v="2"/>
      <x v="93"/>
      <x v="7"/>
      <x v="1"/>
      <x v="30"/>
      <x v="15"/>
      <x v="35"/>
      <x/>
      <x v="40"/>
    </i>
    <i r="4">
      <x v="164"/>
      <x v="1"/>
      <x v="30"/>
      <x v="15"/>
      <x v="35"/>
      <x/>
      <x v="40"/>
    </i>
    <i>
      <x v="47"/>
      <x v="1"/>
      <x v="2"/>
      <x v="243"/>
      <x v="139"/>
      <x/>
      <x v="30"/>
      <x v="15"/>
      <x v="35"/>
      <x/>
      <x v="40"/>
    </i>
    <i>
      <x v="48"/>
      <x v="1"/>
      <x v="2"/>
      <x v="255"/>
      <x v="167"/>
      <x v="4"/>
      <x v="87"/>
      <x v="13"/>
      <x v="14"/>
      <x/>
      <x v="38"/>
    </i>
    <i r="7">
      <x v="15"/>
      <x v="14"/>
      <x/>
      <x v="40"/>
    </i>
    <i r="4">
      <x v="213"/>
      <x v="4"/>
      <x v="87"/>
      <x v="13"/>
      <x v="14"/>
      <x/>
      <x v="38"/>
    </i>
    <i r="4">
      <x v="286"/>
      <x v="4"/>
      <x v="87"/>
      <x v="16"/>
      <x v="14"/>
      <x/>
      <x v="41"/>
    </i>
    <i r="4">
      <x v="287"/>
      <x v="4"/>
      <x v="87"/>
      <x v="13"/>
      <x v="14"/>
      <x/>
      <x v="38"/>
    </i>
    <i>
      <x v="49"/>
      <x v="1"/>
      <x v="2"/>
      <x v="8"/>
      <x v="55"/>
      <x v="3"/>
      <x v="17"/>
      <x v="15"/>
      <x v="30"/>
      <x/>
      <x v="40"/>
    </i>
    <i r="4">
      <x v="144"/>
      <x v="3"/>
      <x v="17"/>
      <x v="15"/>
      <x v="30"/>
      <x/>
      <x v="40"/>
    </i>
    <i r="4">
      <x v="233"/>
      <x v="3"/>
      <x v="17"/>
      <x v="15"/>
      <x v="30"/>
      <x/>
      <x v="40"/>
    </i>
    <i r="4">
      <x v="259"/>
      <x v="3"/>
      <x v="17"/>
      <x v="13"/>
      <x v="30"/>
      <x/>
      <x v="38"/>
    </i>
    <i>
      <x v="50"/>
      <x v="1"/>
      <x v="2"/>
      <x v="279"/>
      <x v="58"/>
      <x/>
      <x v="30"/>
      <x v="19"/>
      <x v="35"/>
      <x/>
      <x v="44"/>
    </i>
    <i>
      <x v="51"/>
      <x v="1"/>
      <x v="2"/>
      <x v="207"/>
      <x v="240"/>
      <x/>
      <x v="87"/>
      <x v="13"/>
      <x v="14"/>
      <x/>
      <x v="38"/>
    </i>
    <i>
      <x v="52"/>
      <x v="1"/>
      <x v="2"/>
      <x v="103"/>
      <x v="254"/>
      <x/>
      <x v="104"/>
      <x v="13"/>
      <x v="104"/>
      <x/>
      <x v="38"/>
    </i>
    <i>
      <x v="53"/>
      <x v="1"/>
      <x v="2"/>
      <x v="227"/>
      <x v="82"/>
      <x/>
      <x v="80"/>
      <x v="17"/>
      <x v="85"/>
      <x/>
      <x v="42"/>
    </i>
    <i>
      <x v="54"/>
      <x v="1"/>
      <x v="2"/>
      <x v="73"/>
      <x v="217"/>
      <x/>
      <x v="17"/>
      <x v="19"/>
      <x v="30"/>
      <x/>
      <x v="44"/>
    </i>
    <i>
      <x v="55"/>
      <x v="1"/>
      <x v="2"/>
      <x v="380"/>
      <x v="343"/>
      <x/>
      <x v="17"/>
      <x v="15"/>
      <x v="30"/>
      <x/>
      <x v="40"/>
    </i>
    <i>
      <x v="56"/>
      <x v="1"/>
      <x v="2"/>
      <x v="294"/>
      <x v="203"/>
      <x v="2"/>
      <x v="17"/>
      <x v="17"/>
      <x v="30"/>
      <x/>
      <x v="42"/>
    </i>
    <i r="4">
      <x v="291"/>
      <x v="2"/>
      <x v="17"/>
      <x v="17"/>
      <x v="30"/>
      <x/>
      <x v="42"/>
    </i>
    <i r="4">
      <x v="300"/>
      <x v="2"/>
      <x v="17"/>
      <x v="17"/>
      <x v="30"/>
      <x/>
      <x v="42"/>
    </i>
    <i>
      <x v="57"/>
      <x v="1"/>
      <x v="2"/>
      <x v="248"/>
      <x v="167"/>
      <x v="2"/>
      <x v="17"/>
      <x v="16"/>
      <x v="30"/>
      <x/>
      <x v="41"/>
    </i>
    <i r="4">
      <x v="291"/>
      <x v="2"/>
      <x v="17"/>
      <x v="18"/>
      <x v="30"/>
      <x/>
      <x v="43"/>
    </i>
    <i r="4">
      <x v="354"/>
      <x v="2"/>
      <x v="17"/>
      <x v="13"/>
      <x v="30"/>
      <x/>
      <x v="38"/>
    </i>
    <i>
      <x v="58"/>
      <x v="1"/>
      <x v="2"/>
      <x v="164"/>
      <x v="89"/>
      <x/>
      <x v="98"/>
      <x v="19"/>
      <x v="26"/>
      <x v="8"/>
      <x v="33"/>
    </i>
    <i>
      <x v="59"/>
      <x v="1"/>
      <x v="2"/>
      <x v="319"/>
      <x v="163"/>
      <x/>
      <x v="71"/>
      <x v="15"/>
      <x v="87"/>
      <x/>
      <x v="40"/>
    </i>
    <i>
      <x v="60"/>
      <x v="1"/>
      <x v="2"/>
      <x v="328"/>
      <x v="7"/>
      <x v="6"/>
      <x v="57"/>
      <x v="14"/>
      <x v="56"/>
      <x/>
      <x v="39"/>
    </i>
    <i r="4">
      <x v="227"/>
      <x v="6"/>
      <x v="57"/>
      <x v="14"/>
      <x v="56"/>
      <x/>
      <x v="39"/>
    </i>
    <i r="4">
      <x v="232"/>
      <x v="6"/>
      <x v="57"/>
      <x v="14"/>
      <x v="56"/>
      <x/>
      <x v="39"/>
    </i>
    <i r="4">
      <x v="261"/>
      <x v="6"/>
      <x v="57"/>
      <x v="17"/>
      <x v="56"/>
      <x/>
      <x v="42"/>
    </i>
    <i r="4">
      <x v="282"/>
      <x v="6"/>
      <x v="57"/>
      <x v="23"/>
      <x v="56"/>
      <x/>
      <x v="48"/>
    </i>
    <i r="4">
      <x v="301"/>
      <x v="6"/>
      <x v="57"/>
      <x v="17"/>
      <x v="56"/>
      <x/>
      <x v="42"/>
    </i>
    <i r="4">
      <x v="313"/>
      <x v="6"/>
      <x v="57"/>
      <x v="17"/>
      <x v="56"/>
      <x/>
      <x v="42"/>
    </i>
    <i>
      <x v="61"/>
      <x v="1"/>
      <x v="2"/>
      <x v="157"/>
      <x v="89"/>
      <x/>
      <x v="33"/>
      <x v="17"/>
      <x v="26"/>
      <x v="8"/>
      <x v="23"/>
    </i>
    <i>
      <x v="62"/>
      <x v="1"/>
      <x v="2"/>
      <x v="313"/>
      <x v="17"/>
      <x/>
      <x v="66"/>
      <x v="13"/>
      <x v="49"/>
      <x/>
      <x v="38"/>
    </i>
    <i>
      <x v="63"/>
      <x/>
      <x v="2"/>
      <x v="204"/>
      <x v="306"/>
      <x/>
      <x v="67"/>
      <x v="3"/>
      <x v="23"/>
      <x v="12"/>
      <x v="1"/>
    </i>
    <i>
      <x v="64"/>
      <x v="1"/>
      <x v="2"/>
      <x v="52"/>
      <x v="98"/>
      <x v="2"/>
      <x v="9"/>
      <x v="16"/>
      <x v="88"/>
      <x/>
      <x v="41"/>
    </i>
    <i r="4">
      <x v="251"/>
      <x v="2"/>
      <x v="9"/>
      <x v="16"/>
      <x v="88"/>
      <x/>
      <x v="41"/>
    </i>
    <i r="4">
      <x v="272"/>
      <x v="2"/>
      <x v="9"/>
      <x v="16"/>
      <x v="88"/>
      <x/>
      <x v="41"/>
    </i>
    <i>
      <x v="65"/>
      <x v="1"/>
      <x v="2"/>
      <x v="258"/>
      <x v="213"/>
      <x v="1"/>
      <x v="44"/>
      <x v="15"/>
      <x v="83"/>
      <x/>
      <x v="40"/>
    </i>
    <i r="4">
      <x v="347"/>
      <x v="1"/>
      <x v="44"/>
      <x v="15"/>
      <x v="83"/>
      <x/>
      <x v="40"/>
    </i>
    <i>
      <x v="66"/>
      <x v="1"/>
      <x v="2"/>
      <x v="384"/>
      <x v="7"/>
      <x v="2"/>
      <x v="31"/>
      <x v="20"/>
      <x v="92"/>
      <x/>
      <x v="45"/>
    </i>
    <i r="4">
      <x v="101"/>
      <x v="2"/>
      <x v="31"/>
      <x v="20"/>
      <x v="92"/>
      <x/>
      <x v="45"/>
    </i>
    <i r="4">
      <x v="162"/>
      <x v="2"/>
      <x v="31"/>
      <x v="20"/>
      <x v="92"/>
      <x/>
      <x v="45"/>
    </i>
    <i>
      <x v="67"/>
      <x v="1"/>
      <x v="2"/>
      <x v="295"/>
      <x v="194"/>
      <x/>
      <x v="87"/>
      <x v="14"/>
      <x v="13"/>
      <x/>
      <x v="39"/>
    </i>
    <i>
      <x v="68"/>
      <x v="1"/>
      <x v="2"/>
      <x v="116"/>
      <x v="194"/>
      <x/>
      <x v="87"/>
      <x v="14"/>
      <x v="13"/>
      <x/>
      <x v="39"/>
    </i>
    <i>
      <x v="69"/>
      <x v="1"/>
      <x v="2"/>
      <x v="284"/>
      <x v="194"/>
      <x/>
      <x v="87"/>
      <x v="15"/>
      <x v="13"/>
      <x/>
      <x v="40"/>
    </i>
    <i>
      <x v="70"/>
      <x v="1"/>
      <x v="2"/>
      <x v="325"/>
      <x v="194"/>
      <x/>
      <x v="87"/>
      <x v="14"/>
      <x v="13"/>
      <x/>
      <x v="39"/>
    </i>
    <i>
      <x v="71"/>
      <x v="1"/>
      <x v="2"/>
      <x v="296"/>
      <x v="194"/>
      <x/>
      <x v="87"/>
      <x v="15"/>
      <x v="13"/>
      <x/>
      <x v="40"/>
    </i>
    <i>
      <x v="72"/>
      <x v="1"/>
      <x v="2"/>
      <x v="244"/>
      <x v="194"/>
      <x/>
      <x v="87"/>
      <x v="16"/>
      <x v="13"/>
      <x/>
      <x v="41"/>
    </i>
    <i>
      <x v="73"/>
      <x v="1"/>
      <x v="2"/>
      <x v="340"/>
      <x v="194"/>
      <x/>
      <x v="87"/>
      <x v="13"/>
      <x v="13"/>
      <x/>
      <x v="38"/>
    </i>
    <i>
      <x v="74"/>
      <x v="1"/>
      <x v="2"/>
      <x v="236"/>
      <x v="194"/>
      <x/>
      <x v="87"/>
      <x v="19"/>
      <x v="13"/>
      <x/>
      <x v="44"/>
    </i>
    <i>
      <x v="75"/>
      <x v="1"/>
      <x v="2"/>
      <x v="298"/>
      <x v="194"/>
      <x/>
      <x v="87"/>
      <x v="15"/>
      <x v="13"/>
      <x/>
      <x v="40"/>
    </i>
    <i>
      <x v="76"/>
      <x v="1"/>
      <x v="2"/>
      <x v="297"/>
      <x v="194"/>
      <x/>
      <x v="87"/>
      <x v="16"/>
      <x v="13"/>
      <x/>
      <x v="41"/>
    </i>
    <i>
      <x v="77"/>
      <x v="1"/>
      <x v="2"/>
      <x v="376"/>
      <x v="213"/>
      <x/>
      <x v="66"/>
      <x v="13"/>
      <x v="49"/>
      <x/>
      <x v="38"/>
    </i>
    <i>
      <x v="78"/>
      <x v="1"/>
      <x v="2"/>
      <x v="299"/>
      <x v="194"/>
      <x/>
      <x v="87"/>
      <x v="19"/>
      <x v="13"/>
      <x/>
      <x v="43"/>
    </i>
    <i>
      <x v="79"/>
      <x v="1"/>
      <x v="2"/>
      <x v="366"/>
      <x v="258"/>
      <x/>
      <x v="87"/>
      <x v="15"/>
      <x v="13"/>
      <x v="3"/>
      <x v="15"/>
    </i>
    <i>
      <x v="80"/>
      <x/>
      <x v="2"/>
      <x v="181"/>
      <x v="239"/>
      <x/>
      <x v="70"/>
      <x v="10"/>
      <x v="6"/>
      <x v="8"/>
      <x v="9"/>
    </i>
    <i>
      <x v="81"/>
      <x v="1"/>
      <x v="2"/>
      <x v="365"/>
      <x v="79"/>
      <x/>
      <x v="87"/>
      <x v="17"/>
      <x v="13"/>
      <x/>
      <x v="42"/>
    </i>
    <i>
      <x v="82"/>
      <x/>
      <x v="2"/>
      <x v="179"/>
      <x v="237"/>
      <x/>
      <x v="70"/>
      <x v="11"/>
      <x v="6"/>
      <x v="8"/>
      <x v="9"/>
    </i>
    <i>
      <x v="83"/>
      <x v="1"/>
      <x v="2"/>
      <x v="338"/>
      <x v="194"/>
      <x/>
      <x v="87"/>
      <x v="15"/>
      <x v="13"/>
      <x/>
      <x v="40"/>
    </i>
    <i>
      <x v="84"/>
      <x/>
      <x v="2"/>
      <x v="147"/>
      <x v="324"/>
      <x/>
      <x v="99"/>
      <x v="10"/>
      <x v="5"/>
      <x v="8"/>
      <x v="32"/>
    </i>
    <i>
      <x v="85"/>
      <x v="1"/>
      <x v="2"/>
      <x v="301"/>
      <x v="194"/>
      <x/>
      <x v="87"/>
      <x v="18"/>
      <x v="13"/>
      <x/>
      <x v="43"/>
    </i>
    <i>
      <x v="86"/>
      <x/>
      <x v="2"/>
      <x v="183"/>
      <x v="257"/>
      <x/>
      <x v="95"/>
      <x v="9"/>
      <x v="94"/>
      <x v="11"/>
      <x v="29"/>
    </i>
    <i>
      <x v="87"/>
      <x v="1"/>
      <x v="2"/>
      <x v="302"/>
      <x v="206"/>
      <x/>
      <x v="87"/>
      <x v="20"/>
      <x v="13"/>
      <x/>
      <x v="45"/>
    </i>
    <i>
      <x v="88"/>
      <x/>
      <x v="2"/>
      <x v="150"/>
      <x v="7"/>
      <x/>
      <x v="74"/>
      <x v="11"/>
      <x v="17"/>
      <x v="8"/>
      <x v="9"/>
    </i>
    <i>
      <x v="89"/>
      <x v="1"/>
      <x v="2"/>
      <x v="286"/>
      <x v="194"/>
      <x/>
      <x v="87"/>
      <x v="20"/>
      <x v="13"/>
      <x/>
      <x v="45"/>
    </i>
    <i>
      <x v="90"/>
      <x/>
      <x v="2"/>
      <x v="182"/>
      <x v="58"/>
      <x/>
      <x v="95"/>
      <x v="11"/>
      <x v="58"/>
      <x v="8"/>
      <x v="8"/>
    </i>
    <i>
      <x v="91"/>
      <x v="1"/>
      <x v="2"/>
      <x v="317"/>
      <x v="238"/>
      <x/>
      <x v="87"/>
      <x v="23"/>
      <x v="14"/>
      <x v="8"/>
      <x v="6"/>
    </i>
    <i>
      <x v="92"/>
      <x/>
      <x v="2"/>
      <x v="189"/>
      <x v="237"/>
      <x/>
      <x v="88"/>
      <x v="11"/>
      <x v="14"/>
      <x v="8"/>
      <x v="9"/>
    </i>
    <i>
      <x v="93"/>
      <x v="1"/>
      <x v="2"/>
      <x v="308"/>
      <x v="213"/>
      <x/>
      <x v="87"/>
      <x v="15"/>
      <x v="14"/>
      <x/>
      <x v="40"/>
    </i>
    <i>
      <x v="94"/>
      <x/>
      <x v="2"/>
      <x v="190"/>
      <x v="237"/>
      <x/>
      <x v="106"/>
      <x v="11"/>
      <x v="17"/>
      <x v="8"/>
      <x v="9"/>
    </i>
    <i>
      <x v="95"/>
      <x v="1"/>
      <x v="2"/>
      <x v="160"/>
      <x v="79"/>
      <x/>
      <x v="86"/>
      <x v="13"/>
      <x v="37"/>
      <x v="8"/>
      <x v="3"/>
    </i>
    <i>
      <x v="96"/>
      <x/>
      <x v="2"/>
      <x v="195"/>
      <x v="237"/>
      <x/>
      <x v="11"/>
      <x v="11"/>
      <x v="11"/>
      <x v="8"/>
      <x v="9"/>
    </i>
    <i>
      <x v="97"/>
      <x v="1"/>
      <x v="2"/>
      <x v="159"/>
      <x v="79"/>
      <x/>
      <x v="86"/>
      <x v="13"/>
      <x v="38"/>
      <x v="8"/>
      <x v="3"/>
    </i>
    <i>
      <x v="98"/>
      <x/>
      <x v="2"/>
      <x v="180"/>
      <x v="237"/>
      <x/>
      <x v="103"/>
      <x v="11"/>
      <x v="6"/>
      <x v="8"/>
      <x v="9"/>
    </i>
    <i>
      <x v="99"/>
      <x/>
      <x v="2"/>
      <x v="203"/>
      <x v="237"/>
      <x/>
      <x v="74"/>
      <x v="11"/>
      <x v="17"/>
      <x v="8"/>
      <x v="9"/>
    </i>
    <i>
      <x v="100"/>
      <x v="1"/>
      <x v="2"/>
      <x v="276"/>
      <x v="67"/>
      <x v="1"/>
      <x v="30"/>
      <x v="22"/>
      <x v="35"/>
      <x/>
      <x v="47"/>
    </i>
    <i r="4">
      <x v="213"/>
      <x v="1"/>
      <x v="30"/>
      <x v="22"/>
      <x v="35"/>
      <x/>
      <x v="47"/>
    </i>
    <i>
      <x v="101"/>
      <x/>
      <x v="2"/>
      <x v="185"/>
      <x v="307"/>
      <x/>
      <x v="27"/>
      <x v="11"/>
      <x v="59"/>
      <x v="8"/>
      <x v="3"/>
    </i>
    <i>
      <x v="102"/>
      <x v="1"/>
      <x v="2"/>
      <x v="277"/>
      <x v="213"/>
      <x v="1"/>
      <x v="30"/>
      <x v="22"/>
      <x v="35"/>
      <x/>
      <x v="47"/>
    </i>
    <i r="4">
      <x v="301"/>
      <x v="1"/>
      <x v="30"/>
      <x v="22"/>
      <x v="35"/>
      <x/>
      <x v="47"/>
    </i>
    <i>
      <x v="103"/>
      <x/>
      <x v="2"/>
      <x v="172"/>
      <x v="87"/>
      <x/>
      <x v="13"/>
      <x v="11"/>
      <x v="51"/>
      <x v="8"/>
      <x v="9"/>
    </i>
    <i>
      <x v="104"/>
      <x v="1"/>
      <x v="2"/>
      <x v="336"/>
      <x v="286"/>
      <x/>
      <x v="66"/>
      <x v="13"/>
      <x v="49"/>
      <x/>
      <x v="38"/>
    </i>
    <i>
      <x v="105"/>
      <x/>
      <x v="2"/>
      <x v="148"/>
      <x v="307"/>
      <x/>
      <x v="56"/>
      <x v="11"/>
      <x v="33"/>
      <x v="8"/>
      <x v="9"/>
    </i>
    <i>
      <x v="106"/>
      <x v="1"/>
      <x v="2"/>
      <x v="306"/>
      <x v="213"/>
      <x/>
      <x v="100"/>
      <x v="14"/>
      <x v="73"/>
      <x/>
      <x v="39"/>
    </i>
    <i>
      <x v="107"/>
      <x v="1"/>
      <x v="2"/>
      <x v="382"/>
      <x v="145"/>
      <x/>
      <x v="100"/>
      <x v="15"/>
      <x v="73"/>
      <x/>
      <x v="40"/>
    </i>
    <i>
      <x v="108"/>
      <x v="1"/>
      <x v="2"/>
      <x v="254"/>
      <x v="170"/>
      <x/>
      <x v="66"/>
      <x v="13"/>
      <x v="49"/>
      <x/>
      <x v="38"/>
    </i>
    <i>
      <x v="109"/>
      <x/>
      <x v="2"/>
      <x v="184"/>
      <x v="7"/>
      <x/>
      <x v="70"/>
      <x v="11"/>
      <x v="6"/>
      <x v="8"/>
      <x v="9"/>
    </i>
    <i>
      <x v="110"/>
      <x v="1"/>
      <x v="2"/>
      <x v="60"/>
      <x v="59"/>
      <x/>
      <x v="66"/>
      <x v="14"/>
      <x v="49"/>
      <x/>
      <x v="39"/>
    </i>
    <i>
      <x v="111"/>
      <x/>
      <x v="2"/>
      <x v="156"/>
      <x v="90"/>
      <x v="1"/>
      <x v="74"/>
      <x v="11"/>
      <x v="17"/>
      <x v="8"/>
      <x v="3"/>
    </i>
    <i r="4">
      <x v="349"/>
      <x v="1"/>
      <x v="74"/>
      <x v="11"/>
      <x v="17"/>
      <x v="8"/>
      <x v="3"/>
    </i>
    <i>
      <x v="112"/>
      <x v="1"/>
      <x v="2"/>
      <x v="109"/>
      <x v="213"/>
      <x/>
      <x v="90"/>
      <x v="22"/>
      <x v="34"/>
      <x/>
      <x v="47"/>
    </i>
    <i>
      <x v="113"/>
      <x/>
      <x v="2"/>
      <x v="153"/>
      <x v="21"/>
      <x/>
      <x v="8"/>
      <x v="11"/>
      <x v="80"/>
      <x v="14"/>
      <x v="37"/>
    </i>
    <i>
      <x v="114"/>
      <x v="1"/>
      <x v="2"/>
      <x v="1"/>
      <x v="7"/>
      <x v="1"/>
      <x v="24"/>
      <x v="18"/>
      <x v="29"/>
      <x/>
      <x v="43"/>
    </i>
    <i r="4">
      <x v="231"/>
      <x v="1"/>
      <x v="24"/>
      <x v="18"/>
      <x v="29"/>
      <x/>
      <x v="43"/>
    </i>
    <i>
      <x v="115"/>
      <x/>
      <x v="2"/>
      <x v="191"/>
      <x v="298"/>
      <x/>
      <x v="24"/>
      <x v="11"/>
      <x v="29"/>
      <x v="8"/>
      <x v="9"/>
    </i>
    <i>
      <x v="116"/>
      <x v="1"/>
      <x v="2"/>
      <x v="134"/>
      <x v="82"/>
      <x/>
      <x v="92"/>
      <x v="22"/>
      <x v="53"/>
      <x/>
      <x v="47"/>
    </i>
    <i>
      <x v="117"/>
      <x/>
      <x v="2"/>
      <x v="193"/>
      <x v="279"/>
      <x/>
      <x v="6"/>
      <x v="12"/>
      <x v="63"/>
      <x v="8"/>
      <x v="3"/>
    </i>
    <i>
      <x v="118"/>
      <x v="1"/>
      <x v="2"/>
      <x v="232"/>
      <x v="7"/>
      <x v="1"/>
      <x v="24"/>
      <x v="19"/>
      <x v="29"/>
      <x/>
      <x v="44"/>
    </i>
    <i r="4">
      <x v="101"/>
      <x v="1"/>
      <x v="24"/>
      <x v="19"/>
      <x v="29"/>
      <x/>
      <x v="44"/>
    </i>
    <i>
      <x v="119"/>
      <x/>
      <x v="2"/>
      <x v="141"/>
      <x v="153"/>
      <x v="1"/>
      <x v="4"/>
      <x v="11"/>
      <x v="8"/>
      <x v="8"/>
      <x v="3"/>
    </i>
    <i r="4">
      <x v="154"/>
      <x v="1"/>
      <x v="4"/>
      <x v="13"/>
      <x v="8"/>
      <x v="8"/>
      <x v="3"/>
    </i>
    <i>
      <x v="120"/>
      <x v="1"/>
      <x v="2"/>
      <x v="175"/>
      <x v="88"/>
      <x/>
      <x v="98"/>
      <x v="16"/>
      <x v="26"/>
      <x v="14"/>
      <x v="24"/>
    </i>
    <i>
      <x v="121"/>
      <x/>
      <x v="2"/>
      <x v="154"/>
      <x v="213"/>
      <x/>
      <x v="21"/>
      <x v="11"/>
      <x v="39"/>
      <x v="8"/>
      <x v="32"/>
    </i>
    <i>
      <x v="122"/>
      <x v="1"/>
      <x v="2"/>
      <x v="16"/>
      <x v="69"/>
      <x/>
      <x v="65"/>
      <x v="15"/>
      <x v="18"/>
      <x/>
      <x v="40"/>
    </i>
    <i>
      <x v="123"/>
      <x/>
      <x v="2"/>
      <x v="200"/>
      <x v="86"/>
      <x/>
      <x v="32"/>
      <x v="11"/>
      <x v="24"/>
      <x v="12"/>
      <x v="4"/>
    </i>
    <i>
      <x v="124"/>
      <x v="1"/>
      <x v="2"/>
      <x v="19"/>
      <x v="12"/>
      <x/>
      <x v="65"/>
      <x v="15"/>
      <x v="18"/>
      <x/>
      <x v="40"/>
    </i>
    <i>
      <x v="125"/>
      <x/>
      <x v="2"/>
      <x v="165"/>
      <x v="20"/>
      <x/>
      <x v="91"/>
      <x v="11"/>
      <x v="81"/>
      <x v="10"/>
      <x v="34"/>
    </i>
    <i>
      <x v="126"/>
      <x v="1"/>
      <x v="2"/>
      <x v="215"/>
      <x v="112"/>
      <x/>
      <x v="65"/>
      <x v="15"/>
      <x v="18"/>
      <x/>
      <x v="40"/>
    </i>
    <i>
      <x v="127"/>
      <x/>
      <x v="2"/>
      <x v="178"/>
      <x v="195"/>
      <x/>
      <x v="49"/>
      <x v="11"/>
      <x v="95"/>
      <x v="8"/>
      <x v="3"/>
    </i>
    <i>
      <x v="128"/>
      <x v="1"/>
      <x v="2"/>
      <x v="240"/>
      <x v="72"/>
      <x/>
      <x v="65"/>
      <x v="15"/>
      <x v="18"/>
      <x/>
      <x v="40"/>
    </i>
    <i>
      <x v="129"/>
      <x/>
      <x v="2"/>
      <x v="170"/>
      <x v="92"/>
      <x/>
      <x v="77"/>
      <x v="11"/>
      <x v="25"/>
      <x v="9"/>
      <x v="35"/>
    </i>
    <i>
      <x v="130"/>
      <x v="1"/>
      <x v="2"/>
      <x v="43"/>
      <x v="299"/>
      <x/>
      <x v="65"/>
      <x v="15"/>
      <x v="18"/>
      <x/>
      <x v="40"/>
    </i>
    <i>
      <x v="131"/>
      <x/>
      <x v="2"/>
      <x v="161"/>
      <x v="78"/>
      <x/>
      <x v="86"/>
      <x v="11"/>
      <x v="37"/>
      <x v="8"/>
      <x v="3"/>
    </i>
    <i>
      <x v="132"/>
      <x v="1"/>
      <x v="2"/>
      <x v="288"/>
      <x v="197"/>
      <x v="4"/>
      <x v="63"/>
      <x v="18"/>
      <x v="65"/>
      <x/>
      <x v="43"/>
    </i>
    <i r="4">
      <x v="200"/>
      <x v="4"/>
      <x v="63"/>
      <x v="18"/>
      <x v="65"/>
      <x/>
      <x v="43"/>
    </i>
    <i r="4">
      <x v="204"/>
      <x v="4"/>
      <x v="63"/>
      <x v="18"/>
      <x v="65"/>
      <x/>
      <x v="43"/>
    </i>
    <i r="4">
      <x v="205"/>
      <x v="4"/>
      <x v="63"/>
      <x v="18"/>
      <x v="65"/>
      <x/>
      <x v="43"/>
    </i>
    <i r="4">
      <x v="302"/>
      <x v="4"/>
      <x v="63"/>
      <x v="15"/>
      <x v="65"/>
      <x v="2"/>
      <x v="16"/>
    </i>
    <i>
      <x v="133"/>
      <x/>
      <x v="2"/>
      <x v="171"/>
      <x v="86"/>
      <x/>
      <x v="86"/>
      <x v="11"/>
      <x v="37"/>
      <x v="8"/>
      <x v="3"/>
    </i>
    <i>
      <x v="134"/>
      <x/>
      <x v="2"/>
      <x v="158"/>
      <x v="95"/>
      <x/>
      <x v="43"/>
      <x v="11"/>
      <x v="47"/>
      <x v="12"/>
      <x v="4"/>
    </i>
    <i>
      <x v="135"/>
      <x v="1"/>
      <x v="2"/>
      <x v="162"/>
      <x v="86"/>
      <x/>
      <x v="63"/>
      <x v="21"/>
      <x v="65"/>
      <x v="8"/>
      <x v="6"/>
    </i>
    <i>
      <x v="136"/>
      <x/>
      <x v="2"/>
      <x v="174"/>
      <x v="86"/>
      <x/>
      <x v="43"/>
      <x v="11"/>
      <x v="47"/>
      <x v="8"/>
      <x v="3"/>
    </i>
    <i>
      <x v="137"/>
      <x v="1"/>
      <x v="2"/>
      <x v="253"/>
      <x v="176"/>
      <x/>
      <x v="41"/>
      <x v="15"/>
      <x v="90"/>
      <x/>
      <x v="40"/>
    </i>
    <i>
      <x v="138"/>
      <x/>
      <x v="2"/>
      <x v="197"/>
      <x v="195"/>
      <x/>
      <x v="42"/>
      <x v="11"/>
      <x v="48"/>
      <x v="12"/>
      <x v="4"/>
    </i>
    <i>
      <x v="139"/>
      <x v="1"/>
      <x v="2"/>
      <x v="206"/>
      <x v="146"/>
      <x/>
      <x v="30"/>
      <x v="17"/>
      <x v="35"/>
      <x/>
      <x v="42"/>
    </i>
    <i>
      <x v="140"/>
      <x/>
      <x v="2"/>
      <x v="196"/>
      <x v="86"/>
      <x/>
      <x v="42"/>
      <x v="11"/>
      <x v="48"/>
      <x v="8"/>
      <x v="3"/>
    </i>
    <i>
      <x v="141"/>
      <x v="1"/>
      <x v="2"/>
      <x v="208"/>
      <x v="133"/>
      <x v="4"/>
      <x v="30"/>
      <x v="22"/>
      <x v="35"/>
      <x/>
      <x v="47"/>
    </i>
    <i r="4">
      <x v="213"/>
      <x v="4"/>
      <x v="30"/>
      <x v="22"/>
      <x v="35"/>
      <x/>
      <x v="47"/>
    </i>
    <i r="4">
      <x v="231"/>
      <x v="4"/>
      <x v="30"/>
      <x v="22"/>
      <x v="35"/>
      <x/>
      <x v="47"/>
    </i>
    <i r="4">
      <x v="301"/>
      <x v="4"/>
      <x v="30"/>
      <x v="22"/>
      <x v="35"/>
      <x/>
      <x v="47"/>
    </i>
    <i r="4">
      <x v="355"/>
      <x v="4"/>
      <x v="30"/>
      <x v="22"/>
      <x v="35"/>
      <x/>
      <x v="47"/>
    </i>
    <i>
      <x v="142"/>
      <x v="1"/>
      <x v="2"/>
      <x v="71"/>
      <x v="33"/>
      <x/>
      <x v="69"/>
      <x v="15"/>
      <x v="6"/>
      <x/>
      <x v="41"/>
    </i>
    <i>
      <x v="143"/>
      <x v="1"/>
      <x v="2"/>
      <x v="261"/>
      <x v="275"/>
      <x/>
      <x v="11"/>
      <x v="13"/>
      <x v="9"/>
      <x/>
      <x v="38"/>
    </i>
    <i>
      <x v="144"/>
      <x v="1"/>
      <x v="2"/>
      <x v="260"/>
      <x v="256"/>
      <x v="1"/>
      <x v="11"/>
      <x v="13"/>
      <x v="9"/>
      <x/>
      <x v="38"/>
    </i>
    <i r="4">
      <x v="321"/>
      <x v="1"/>
      <x v="11"/>
      <x v="13"/>
      <x v="9"/>
      <x/>
      <x v="38"/>
    </i>
    <i>
      <x v="145"/>
      <x v="1"/>
      <x v="2"/>
      <x v="304"/>
      <x v="213"/>
      <x v="1"/>
      <x v="69"/>
      <x v="16"/>
      <x v="6"/>
      <x/>
      <x v="41"/>
    </i>
    <i r="4">
      <x v="288"/>
      <x v="1"/>
      <x v="69"/>
      <x v="16"/>
      <x v="6"/>
      <x/>
      <x v="41"/>
    </i>
    <i>
      <x v="146"/>
      <x v="1"/>
      <x v="2"/>
      <x v="316"/>
      <x v="59"/>
      <x v="1"/>
      <x v="19"/>
      <x v="13"/>
      <x v="10"/>
      <x/>
      <x v="38"/>
    </i>
    <i r="4">
      <x v="235"/>
      <x v="1"/>
      <x v="19"/>
      <x v="13"/>
      <x v="10"/>
      <x/>
      <x v="38"/>
    </i>
    <i>
      <x v="147"/>
      <x/>
      <x v="2"/>
      <x v="149"/>
      <x v="284"/>
      <x/>
      <x v="20"/>
      <x v="12"/>
      <x v="10"/>
      <x v="14"/>
      <x v="5"/>
    </i>
    <i>
      <x v="148"/>
      <x v="1"/>
      <x v="2"/>
      <x v="361"/>
      <x v="323"/>
      <x/>
      <x v="19"/>
      <x v="13"/>
      <x v="10"/>
      <x/>
      <x v="39"/>
    </i>
    <i>
      <x v="149"/>
      <x v="1"/>
      <x v="2"/>
      <x v="102"/>
      <x v="49"/>
      <x v="2"/>
      <x v="42"/>
      <x v="14"/>
      <x v="47"/>
      <x/>
      <x v="39"/>
    </i>
    <i r="4">
      <x v="64"/>
      <x v="2"/>
      <x v="42"/>
      <x v="14"/>
      <x v="47"/>
      <x/>
      <x v="39"/>
    </i>
    <i r="4">
      <x v="351"/>
      <x v="2"/>
      <x v="42"/>
      <x v="14"/>
      <x v="47"/>
      <x/>
      <x v="39"/>
    </i>
    <i>
      <x v="150"/>
      <x v="1"/>
      <x v="2"/>
      <x v="100"/>
      <x v="327"/>
      <x/>
      <x v="52"/>
      <x v="14"/>
      <x v="78"/>
      <x/>
      <x v="39"/>
    </i>
    <i>
      <x v="151"/>
      <x v="1"/>
      <x v="2"/>
      <x v="24"/>
      <x v="166"/>
      <x v="1"/>
      <x v="11"/>
      <x v="13"/>
      <x v="9"/>
      <x/>
      <x v="38"/>
    </i>
    <i r="4">
      <x v="172"/>
      <x v="1"/>
      <x v="11"/>
      <x v="13"/>
      <x v="9"/>
      <x/>
      <x v="38"/>
    </i>
    <i>
      <x v="152"/>
      <x v="1"/>
      <x v="2"/>
      <x v="205"/>
      <x v="75"/>
      <x v="4"/>
      <x v="59"/>
      <x v="15"/>
      <x v="95"/>
      <x/>
      <x v="40"/>
    </i>
    <i r="4">
      <x v="76"/>
      <x v="4"/>
      <x v="59"/>
      <x v="13"/>
      <x v="95"/>
      <x/>
      <x v="38"/>
    </i>
    <i r="4">
      <x v="183"/>
      <x v="4"/>
      <x v="59"/>
      <x v="15"/>
      <x v="95"/>
      <x/>
      <x v="40"/>
    </i>
    <i r="4">
      <x v="269"/>
      <x v="4"/>
      <x v="59"/>
      <x v="13"/>
      <x v="95"/>
      <x/>
      <x v="38"/>
    </i>
    <i r="4">
      <x v="328"/>
      <x v="4"/>
      <x v="59"/>
      <x v="15"/>
      <x v="95"/>
      <x/>
      <x v="40"/>
    </i>
    <i>
      <x v="153"/>
      <x v="1"/>
      <x v="2"/>
      <x v="218"/>
      <x v="112"/>
      <x/>
      <x v="73"/>
      <x v="16"/>
      <x v="54"/>
      <x/>
      <x v="41"/>
    </i>
    <i>
      <x v="154"/>
      <x v="1"/>
      <x v="2"/>
      <x v="381"/>
      <x v="112"/>
      <x/>
      <x v="19"/>
      <x v="14"/>
      <x v="10"/>
      <x/>
      <x v="39"/>
    </i>
    <i>
      <x v="155"/>
      <x v="1"/>
      <x v="2"/>
      <x v="108"/>
      <x v="7"/>
      <x v="2"/>
      <x v="62"/>
      <x v="23"/>
      <x v="107"/>
      <x/>
      <x v="48"/>
    </i>
    <i r="4">
      <x v="231"/>
      <x v="2"/>
      <x v="62"/>
      <x v="23"/>
      <x v="107"/>
      <x/>
      <x v="48"/>
    </i>
    <i r="4">
      <x v="317"/>
      <x v="2"/>
      <x v="62"/>
      <x v="23"/>
      <x v="107"/>
      <x/>
      <x v="48"/>
    </i>
    <i>
      <x v="156"/>
      <x v="1"/>
      <x v="2"/>
      <x v="26"/>
      <x v="122"/>
      <x/>
      <x v="60"/>
      <x v="15"/>
      <x v="102"/>
      <x/>
      <x v="40"/>
    </i>
    <i>
      <x v="157"/>
      <x v="1"/>
      <x v="2"/>
      <x v="292"/>
      <x v="203"/>
      <x/>
      <x v="48"/>
      <x v="18"/>
      <x v="95"/>
      <x/>
      <x v="43"/>
    </i>
    <i>
      <x v="158"/>
      <x v="1"/>
      <x v="2"/>
      <x v="293"/>
      <x v="194"/>
      <x/>
      <x v="48"/>
      <x v="24"/>
      <x v="95"/>
      <x/>
      <x v="49"/>
    </i>
    <i>
      <x v="159"/>
      <x v="1"/>
      <x v="2"/>
      <x v="166"/>
      <x v="203"/>
      <x/>
      <x v="48"/>
      <x v="24"/>
      <x v="95"/>
      <x v="8"/>
      <x v="6"/>
    </i>
    <i>
      <x v="160"/>
      <x v="1"/>
      <x v="2"/>
      <x v="285"/>
      <x v="207"/>
      <x/>
      <x v="48"/>
      <x v="23"/>
      <x v="95"/>
      <x/>
      <x v="48"/>
    </i>
    <i>
      <x v="161"/>
      <x v="1"/>
      <x v="2"/>
      <x v="314"/>
      <x v="194"/>
      <x/>
      <x v="48"/>
      <x v="23"/>
      <x v="95"/>
      <x/>
      <x v="48"/>
    </i>
    <i>
      <x v="162"/>
      <x v="1"/>
      <x v="2"/>
      <x v="300"/>
      <x v="194"/>
      <x/>
      <x v="34"/>
      <x v="22"/>
      <x v="98"/>
      <x/>
      <x v="47"/>
    </i>
    <i>
      <x v="163"/>
      <x v="1"/>
      <x v="2"/>
      <x v="310"/>
      <x v="73"/>
      <x v="2"/>
      <x v="19"/>
      <x v="20"/>
      <x v="10"/>
      <x/>
      <x v="45"/>
    </i>
    <i r="4">
      <x v="236"/>
      <x v="2"/>
      <x v="19"/>
      <x v="20"/>
      <x v="10"/>
      <x/>
      <x v="45"/>
    </i>
    <i r="4">
      <x v="269"/>
      <x v="2"/>
      <x v="19"/>
      <x v="20"/>
      <x v="10"/>
      <x/>
      <x v="45"/>
    </i>
    <i>
      <x v="164"/>
      <x v="1"/>
      <x v="2"/>
      <x v="111"/>
      <x v="211"/>
      <x/>
      <x v="46"/>
      <x v="14"/>
      <x v="91"/>
      <x/>
      <x v="39"/>
    </i>
    <i>
      <x v="165"/>
      <x v="1"/>
      <x v="2"/>
      <x v="217"/>
      <x v="112"/>
      <x v="1"/>
      <x v="100"/>
      <x v="15"/>
      <x v="73"/>
      <x/>
      <x v="40"/>
    </i>
    <i r="4">
      <x v="356"/>
      <x v="1"/>
      <x v="100"/>
      <x v="13"/>
      <x v="73"/>
      <x/>
      <x v="38"/>
    </i>
    <i>
      <x v="166"/>
      <x v="1"/>
      <x v="2"/>
      <x v="6"/>
      <x v="301"/>
      <x/>
      <x v="46"/>
      <x v="16"/>
      <x v="91"/>
      <x/>
      <x v="41"/>
    </i>
    <i>
      <x v="167"/>
      <x v="1"/>
      <x v="2"/>
      <x v="22"/>
      <x v="222"/>
      <x/>
      <x v="69"/>
      <x v="14"/>
      <x v="6"/>
      <x/>
      <x v="39"/>
    </i>
    <i>
      <x v="168"/>
      <x v="1"/>
      <x v="2"/>
      <x v="221"/>
      <x v="16"/>
      <x/>
      <x v="100"/>
      <x v="13"/>
      <x v="73"/>
      <x/>
      <x v="38"/>
    </i>
    <i>
      <x v="169"/>
      <x v="1"/>
      <x v="2"/>
      <x v="379"/>
      <x v="335"/>
      <x/>
      <x v="51"/>
      <x v="14"/>
      <x v="68"/>
      <x/>
      <x v="39"/>
    </i>
    <i>
      <x v="170"/>
      <x v="1"/>
      <x v="2"/>
      <x v="51"/>
      <x v="37"/>
      <x/>
      <x v="36"/>
      <x v="13"/>
      <x v="106"/>
      <x/>
      <x v="38"/>
    </i>
    <i>
      <x v="171"/>
      <x v="1"/>
      <x v="2"/>
      <x v="281"/>
      <x v="301"/>
      <x/>
      <x v="46"/>
      <x v="16"/>
      <x v="91"/>
      <x/>
      <x v="42"/>
    </i>
    <i>
      <x v="172"/>
      <x v="1"/>
      <x v="2"/>
      <x v="347"/>
      <x v="222"/>
      <x/>
      <x v="36"/>
      <x v="13"/>
      <x v="106"/>
      <x/>
      <x v="38"/>
    </i>
    <i>
      <x v="173"/>
      <x v="1"/>
      <x v="2"/>
      <x v="270"/>
      <x v="7"/>
      <x/>
      <x v="69"/>
      <x v="16"/>
      <x v="6"/>
      <x/>
      <x v="41"/>
    </i>
    <i>
      <x v="174"/>
      <x v="1"/>
      <x v="2"/>
      <x v="33"/>
      <x v="122"/>
      <x/>
      <x v="60"/>
      <x v="15"/>
      <x v="102"/>
      <x/>
      <x v="40"/>
    </i>
    <i>
      <x v="175"/>
      <x v="1"/>
      <x v="2"/>
      <x v="83"/>
      <x v="74"/>
      <x/>
      <x v="100"/>
      <x v="15"/>
      <x v="73"/>
      <x/>
      <x v="40"/>
    </i>
    <i>
      <x v="176"/>
      <x v="1"/>
      <x v="2"/>
      <x v="337"/>
      <x v="294"/>
      <x/>
      <x v="14"/>
      <x v="13"/>
      <x v="51"/>
      <x v="8"/>
      <x v="3"/>
    </i>
    <i>
      <x v="177"/>
      <x v="1"/>
      <x v="2"/>
      <x v="31"/>
      <x v="43"/>
      <x v="1"/>
      <x v="60"/>
      <x v="16"/>
      <x v="102"/>
      <x/>
      <x v="41"/>
    </i>
    <i r="4">
      <x v="180"/>
      <x v="1"/>
      <x v="60"/>
      <x v="16"/>
      <x v="102"/>
      <x/>
      <x v="41"/>
    </i>
    <i>
      <x v="178"/>
      <x v="1"/>
      <x v="2"/>
      <x v="332"/>
      <x v="49"/>
      <x/>
      <x v="100"/>
      <x v="20"/>
      <x v="73"/>
      <x/>
      <x v="46"/>
    </i>
    <i>
      <x v="179"/>
      <x v="1"/>
      <x v="2"/>
      <x v="220"/>
      <x v="77"/>
      <x v="2"/>
      <x v="17"/>
      <x v="17"/>
      <x v="30"/>
      <x/>
      <x v="42"/>
    </i>
    <i r="4">
      <x v="115"/>
      <x v="2"/>
      <x v="17"/>
      <x v="17"/>
      <x v="30"/>
      <x/>
      <x v="42"/>
    </i>
    <i r="4">
      <x v="331"/>
      <x v="2"/>
      <x v="17"/>
      <x v="17"/>
      <x v="30"/>
      <x/>
      <x v="42"/>
    </i>
    <i>
      <x v="180"/>
      <x v="1"/>
      <x v="2"/>
      <x v="337"/>
      <x v="83"/>
      <x/>
      <x v="14"/>
      <x v="13"/>
      <x v="51"/>
      <x/>
      <x v="38"/>
    </i>
    <i>
      <x v="181"/>
      <x v="1"/>
      <x v="2"/>
      <x v="225"/>
      <x v="261"/>
      <x v="1"/>
      <x v="100"/>
      <x v="17"/>
      <x v="73"/>
      <x/>
      <x v="42"/>
    </i>
    <i r="4">
      <x v="271"/>
      <x v="1"/>
      <x v="100"/>
      <x v="17"/>
      <x v="73"/>
      <x/>
      <x v="42"/>
    </i>
    <i>
      <x v="182"/>
      <x v="1"/>
      <x v="2"/>
      <x v="66"/>
      <x v="45"/>
      <x v="4"/>
      <x v="17"/>
      <x v="17"/>
      <x v="30"/>
      <x/>
      <x v="42"/>
    </i>
    <i r="4">
      <x v="97"/>
      <x v="4"/>
      <x v="17"/>
      <x v="17"/>
      <x v="30"/>
      <x/>
      <x v="42"/>
    </i>
    <i r="4">
      <x v="150"/>
      <x v="4"/>
      <x v="17"/>
      <x v="17"/>
      <x v="30"/>
      <x/>
      <x v="42"/>
    </i>
    <i r="4">
      <x v="190"/>
      <x v="4"/>
      <x v="17"/>
      <x v="17"/>
      <x v="30"/>
      <x/>
      <x v="42"/>
    </i>
    <i r="4">
      <x v="226"/>
      <x v="4"/>
      <x v="17"/>
      <x v="17"/>
      <x v="30"/>
      <x/>
      <x v="42"/>
    </i>
    <i>
      <x v="183"/>
      <x v="1"/>
      <x v="2"/>
      <x v="82"/>
      <x v="133"/>
      <x/>
      <x v="69"/>
      <x v="23"/>
      <x v="6"/>
      <x/>
      <x v="48"/>
    </i>
    <i>
      <x v="184"/>
      <x v="1"/>
      <x v="2"/>
      <x v="333"/>
      <x v="186"/>
      <x/>
      <x v="100"/>
      <x v="19"/>
      <x v="73"/>
      <x/>
      <x v="44"/>
    </i>
    <i>
      <x v="185"/>
      <x v="1"/>
      <x v="2"/>
      <x v="64"/>
      <x v="23"/>
      <x v="2"/>
      <x v="17"/>
      <x v="17"/>
      <x v="30"/>
      <x/>
      <x v="42"/>
    </i>
    <i r="4">
      <x v="60"/>
      <x v="2"/>
      <x v="17"/>
      <x v="17"/>
      <x v="30"/>
      <x/>
      <x v="42"/>
    </i>
    <i r="4">
      <x v="288"/>
      <x v="2"/>
      <x v="17"/>
      <x v="17"/>
      <x v="30"/>
      <x/>
      <x v="42"/>
    </i>
    <i>
      <x v="186"/>
      <x v="1"/>
      <x v="2"/>
      <x v="70"/>
      <x v="36"/>
      <x/>
      <x v="17"/>
      <x v="17"/>
      <x v="30"/>
      <x/>
      <x v="42"/>
    </i>
    <i>
      <x v="187"/>
      <x v="1"/>
      <x v="2"/>
      <x v="18"/>
      <x v="111"/>
      <x/>
      <x v="84"/>
      <x v="15"/>
      <x v="86"/>
      <x/>
      <x v="41"/>
    </i>
    <i>
      <x v="188"/>
      <x v="1"/>
      <x v="2"/>
      <x v="108"/>
      <x v="139"/>
      <x v="1"/>
      <x v="62"/>
      <x v="23"/>
      <x v="107"/>
      <x/>
      <x v="48"/>
    </i>
    <i r="4">
      <x v="162"/>
      <x v="1"/>
      <x v="62"/>
      <x v="23"/>
      <x v="107"/>
      <x/>
      <x v="48"/>
    </i>
    <i>
      <x v="189"/>
      <x v="1"/>
      <x v="2"/>
      <x v="78"/>
      <x v="69"/>
      <x/>
      <x v="69"/>
      <x v="14"/>
      <x v="6"/>
      <x/>
      <x v="39"/>
    </i>
    <i>
      <x v="190"/>
      <x v="1"/>
      <x v="2"/>
      <x v="354"/>
      <x v="308"/>
      <x/>
      <x v="16"/>
      <x v="15"/>
      <x v="99"/>
      <x/>
      <x v="40"/>
    </i>
    <i>
      <x v="191"/>
      <x v="1"/>
      <x v="2"/>
      <x v="353"/>
      <x v="131"/>
      <x/>
      <x v="16"/>
      <x v="15"/>
      <x v="99"/>
      <x/>
      <x v="40"/>
    </i>
    <i>
      <x v="192"/>
      <x v="1"/>
      <x v="1"/>
      <x v="68"/>
      <x v="128"/>
      <x v="2"/>
      <x v="17"/>
      <x v="17"/>
      <x v="30"/>
      <x/>
      <x v="42"/>
    </i>
    <i r="4">
      <x v="137"/>
      <x v="2"/>
      <x v="17"/>
      <x v="17"/>
      <x v="30"/>
      <x/>
      <x v="42"/>
    </i>
    <i r="4">
      <x v="246"/>
      <x v="2"/>
      <x v="17"/>
      <x v="17"/>
      <x v="30"/>
      <x/>
      <x v="42"/>
    </i>
    <i>
      <x v="193"/>
      <x v="1"/>
      <x v="2"/>
      <x v="4"/>
      <x v="104"/>
      <x/>
      <x v="16"/>
      <x v="20"/>
      <x v="99"/>
      <x/>
      <x v="45"/>
    </i>
    <i>
      <x v="194"/>
      <x v="1"/>
      <x v="2"/>
      <x v="265"/>
      <x v="132"/>
      <x v="1"/>
      <x v="105"/>
      <x v="13"/>
      <x v="17"/>
      <x/>
      <x v="38"/>
    </i>
    <i r="4">
      <x v="171"/>
      <x v="1"/>
      <x v="105"/>
      <x v="13"/>
      <x v="17"/>
      <x/>
      <x v="38"/>
    </i>
    <i>
      <x v="195"/>
      <x v="1"/>
      <x v="2"/>
      <x v="56"/>
      <x v="135"/>
      <x v="3"/>
      <x v="47"/>
      <x v="14"/>
      <x v="40"/>
      <x/>
      <x v="39"/>
    </i>
    <i r="4">
      <x v="219"/>
      <x v="3"/>
      <x v="47"/>
      <x v="15"/>
      <x v="40"/>
      <x/>
      <x v="40"/>
    </i>
    <i r="4">
      <x v="301"/>
      <x v="3"/>
      <x v="47"/>
      <x v="14"/>
      <x v="40"/>
      <x/>
      <x v="39"/>
    </i>
    <i r="4">
      <x v="353"/>
      <x v="3"/>
      <x v="47"/>
      <x v="13"/>
      <x v="40"/>
      <x/>
      <x v="38"/>
    </i>
    <i>
      <x v="196"/>
      <x v="1"/>
      <x v="2"/>
      <x v="37"/>
      <x v="230"/>
      <x/>
      <x v="105"/>
      <x v="13"/>
      <x v="17"/>
      <x/>
      <x v="38"/>
    </i>
    <i>
      <x v="197"/>
      <x v="1"/>
      <x v="2"/>
      <x v="96"/>
      <x v="47"/>
      <x v="2"/>
      <x v="16"/>
      <x v="16"/>
      <x v="99"/>
      <x/>
      <x v="41"/>
    </i>
    <i r="4">
      <x v="57"/>
      <x v="2"/>
      <x v="16"/>
      <x v="16"/>
      <x v="99"/>
      <x/>
      <x v="41"/>
    </i>
    <i r="4">
      <x v="192"/>
      <x v="2"/>
      <x v="16"/>
      <x v="16"/>
      <x v="99"/>
      <x/>
      <x v="41"/>
    </i>
    <i>
      <x v="198"/>
      <x v="1"/>
      <x v="2"/>
      <x/>
      <x v="3"/>
      <x v="1"/>
      <x v="66"/>
      <x v="19"/>
      <x v="49"/>
      <x/>
      <x v="44"/>
    </i>
    <i r="4">
      <x v="278"/>
      <x v="1"/>
      <x v="66"/>
      <x v="19"/>
      <x v="49"/>
      <x/>
      <x v="44"/>
    </i>
    <i>
      <x v="199"/>
      <x v="1"/>
      <x v="2"/>
      <x v="253"/>
      <x v="176"/>
      <x/>
      <x v="41"/>
      <x v="15"/>
      <x v="90"/>
      <x/>
      <x v="40"/>
    </i>
    <i>
      <x v="200"/>
      <x v="1"/>
      <x v="2"/>
      <x v="55"/>
      <x v="34"/>
      <x/>
      <x v="102"/>
      <x v="15"/>
      <x v="12"/>
      <x/>
      <x v="40"/>
    </i>
    <i>
      <x v="201"/>
      <x v="1"/>
      <x v="2"/>
      <x v="309"/>
      <x v="7"/>
      <x v="2"/>
      <x v="19"/>
      <x v="15"/>
      <x v="10"/>
      <x v="3"/>
      <x v="17"/>
    </i>
    <i r="4">
      <x v="262"/>
      <x v="2"/>
      <x v="19"/>
      <x v="14"/>
      <x v="10"/>
      <x/>
      <x v="39"/>
    </i>
    <i r="4">
      <x v="270"/>
      <x v="2"/>
      <x v="19"/>
      <x v="14"/>
      <x v="10"/>
      <x/>
      <x v="39"/>
    </i>
    <i>
      <x v="202"/>
      <x v="1"/>
      <x v="2"/>
      <x v="41"/>
      <x v="219"/>
      <x v="1"/>
      <x v="75"/>
      <x v="18"/>
      <x v="101"/>
      <x/>
      <x v="43"/>
    </i>
    <i r="4">
      <x v="260"/>
      <x v="1"/>
      <x v="75"/>
      <x v="18"/>
      <x v="101"/>
      <x/>
      <x v="43"/>
    </i>
    <i>
      <x v="203"/>
      <x v="1"/>
      <x v="2"/>
      <x v="307"/>
      <x v="60"/>
      <x v="2"/>
      <x v="24"/>
      <x v="13"/>
      <x v="36"/>
      <x/>
      <x v="38"/>
    </i>
    <i r="4">
      <x v="213"/>
      <x v="2"/>
      <x v="24"/>
      <x v="13"/>
      <x v="36"/>
      <x/>
      <x v="38"/>
    </i>
    <i r="4">
      <x v="255"/>
      <x v="2"/>
      <x v="24"/>
      <x v="13"/>
      <x v="36"/>
      <x/>
      <x v="38"/>
    </i>
    <i>
      <x v="204"/>
      <x v="1"/>
      <x v="2"/>
      <x v="42"/>
      <x v="326"/>
      <x/>
      <x v="102"/>
      <x v="14"/>
      <x v="12"/>
      <x/>
      <x v="39"/>
    </i>
    <i>
      <x v="205"/>
      <x v="1"/>
      <x v="2"/>
      <x v="256"/>
      <x v="213"/>
      <x v="1"/>
      <x v="81"/>
      <x v="15"/>
      <x v="104"/>
      <x/>
      <x v="40"/>
    </i>
    <i r="4">
      <x v="340"/>
      <x v="1"/>
      <x v="81"/>
      <x v="15"/>
      <x v="104"/>
      <x/>
      <x v="40"/>
    </i>
    <i>
      <x v="206"/>
      <x v="1"/>
      <x v="2"/>
      <x v="36"/>
      <x v="139"/>
      <x/>
      <x v="27"/>
      <x v="17"/>
      <x v="82"/>
      <x/>
      <x v="42"/>
    </i>
    <i>
      <x v="207"/>
      <x v="1"/>
      <x v="2"/>
      <x v="41"/>
      <x v="213"/>
      <x/>
      <x v="75"/>
      <x v="18"/>
      <x v="101"/>
      <x/>
      <x v="43"/>
    </i>
    <i>
      <x v="208"/>
      <x v="1"/>
      <x v="2"/>
      <x v="94"/>
      <x v="175"/>
      <x/>
      <x v="50"/>
      <x v="17"/>
      <x v="93"/>
      <x/>
      <x v="42"/>
    </i>
    <i>
      <x v="209"/>
      <x v="1"/>
      <x v="2"/>
      <x v="324"/>
      <x v="46"/>
      <x/>
      <x v="31"/>
      <x v="13"/>
      <x v="92"/>
      <x/>
      <x v="38"/>
    </i>
    <i>
      <x v="210"/>
      <x v="1"/>
      <x v="2"/>
      <x v="75"/>
      <x v="301"/>
      <x/>
      <x v="16"/>
      <x v="15"/>
      <x v="99"/>
      <x/>
      <x v="40"/>
    </i>
    <i>
      <x v="211"/>
      <x v="1"/>
      <x v="2"/>
      <x v="226"/>
      <x v="128"/>
      <x/>
      <x v="31"/>
      <x v="13"/>
      <x v="92"/>
      <x/>
      <x v="38"/>
    </i>
    <i>
      <x v="212"/>
      <x v="1"/>
      <x v="2"/>
      <x v="202"/>
      <x v="93"/>
      <x/>
      <x v="78"/>
      <x v="18"/>
      <x v="43"/>
      <x v="12"/>
      <x v="7"/>
    </i>
    <i>
      <x v="213"/>
      <x v="1"/>
      <x v="2"/>
      <x v="289"/>
      <x v="194"/>
      <x/>
      <x v="69"/>
      <x v="17"/>
      <x v="6"/>
      <x/>
      <x v="42"/>
    </i>
    <i>
      <x v="214"/>
      <x v="1"/>
      <x v="2"/>
      <x v="290"/>
      <x v="203"/>
      <x/>
      <x v="69"/>
      <x v="24"/>
      <x v="6"/>
      <x/>
      <x v="49"/>
    </i>
    <i>
      <x v="215"/>
      <x v="1"/>
      <x v="2"/>
      <x v="303"/>
      <x v="34"/>
      <x/>
      <x v="16"/>
      <x v="15"/>
      <x v="99"/>
      <x/>
      <x v="40"/>
    </i>
    <i>
      <x v="216"/>
      <x v="1"/>
      <x v="2"/>
      <x v="228"/>
      <x v="82"/>
      <x/>
      <x v="80"/>
      <x v="17"/>
      <x v="85"/>
      <x/>
      <x v="42"/>
    </i>
    <i>
      <x v="217"/>
      <x v="1"/>
      <x v="2"/>
      <x v="57"/>
      <x v="301"/>
      <x/>
      <x v="78"/>
      <x v="16"/>
      <x v="43"/>
      <x/>
      <x v="41"/>
    </i>
    <i>
      <x v="218"/>
      <x v="1"/>
      <x v="2"/>
      <x v="14"/>
      <x v="213"/>
      <x/>
      <x v="82"/>
      <x v="15"/>
      <x v="71"/>
      <x/>
      <x v="40"/>
    </i>
    <i>
      <x v="219"/>
      <x v="1"/>
      <x v="2"/>
      <x v="327"/>
      <x v="178"/>
      <x/>
      <x v="68"/>
      <x v="13"/>
      <x v="4"/>
      <x/>
      <x v="38"/>
    </i>
    <i>
      <x v="220"/>
      <x v="1"/>
      <x v="2"/>
      <x v="54"/>
      <x v="323"/>
      <x/>
      <x/>
      <x v="18"/>
      <x v="42"/>
      <x/>
      <x v="46"/>
    </i>
    <i>
      <x v="221"/>
      <x v="1"/>
      <x v="2"/>
      <x v="53"/>
      <x v="188"/>
      <x/>
      <x/>
      <x v="18"/>
      <x v="42"/>
      <x/>
      <x v="44"/>
    </i>
    <i>
      <x v="222"/>
      <x v="1"/>
      <x v="2"/>
      <x v="239"/>
      <x v="159"/>
      <x v="1"/>
      <x v="102"/>
      <x v="15"/>
      <x v="12"/>
      <x/>
      <x v="40"/>
    </i>
    <i r="4">
      <x v="296"/>
      <x v="1"/>
      <x v="102"/>
      <x v="15"/>
      <x v="12"/>
      <x/>
      <x v="40"/>
    </i>
    <i>
      <x v="223"/>
      <x v="1"/>
      <x v="2"/>
      <x v="362"/>
      <x v="323"/>
      <x/>
      <x v="85"/>
      <x v="16"/>
      <x v="41"/>
      <x/>
      <x v="41"/>
    </i>
    <i>
      <x v="224"/>
      <x v="1"/>
      <x v="2"/>
      <x v="12"/>
      <x v="301"/>
      <x/>
      <x v="82"/>
      <x v="17"/>
      <x v="71"/>
      <x/>
      <x v="42"/>
    </i>
    <i>
      <x v="225"/>
      <x v="1"/>
      <x v="2"/>
      <x v="13"/>
      <x v="7"/>
      <x/>
      <x v="82"/>
      <x v="15"/>
      <x v="71"/>
      <x/>
      <x v="40"/>
    </i>
    <i>
      <x v="226"/>
      <x v="1"/>
      <x v="2"/>
      <x v="117"/>
      <x v="290"/>
      <x/>
      <x v="85"/>
      <x v="15"/>
      <x v="41"/>
      <x/>
      <x v="40"/>
    </i>
    <i>
      <x v="227"/>
      <x v="1"/>
      <x v="2"/>
      <x v="5"/>
      <x v="7"/>
      <x v="2"/>
      <x v="102"/>
      <x v="21"/>
      <x v="12"/>
      <x/>
      <x v="46"/>
    </i>
    <i r="4">
      <x v="213"/>
      <x v="2"/>
      <x v="102"/>
      <x v="21"/>
      <x v="12"/>
      <x/>
      <x v="46"/>
    </i>
    <i r="4">
      <x v="231"/>
      <x v="2"/>
      <x v="102"/>
      <x v="21"/>
      <x v="12"/>
      <x/>
      <x v="46"/>
    </i>
    <i>
      <x v="228"/>
      <x v="1"/>
      <x v="2"/>
      <x v="355"/>
      <x v="313"/>
      <x/>
      <x v="85"/>
      <x v="14"/>
      <x v="41"/>
      <x/>
      <x v="39"/>
    </i>
    <i>
      <x v="229"/>
      <x v="1"/>
      <x v="2"/>
      <x v="7"/>
      <x v="24"/>
      <x v="1"/>
      <x v="26"/>
      <x v="13"/>
      <x v="96"/>
      <x/>
      <x v="38"/>
    </i>
    <i r="4">
      <x v="334"/>
      <x v="1"/>
      <x v="26"/>
      <x v="13"/>
      <x v="96"/>
      <x/>
      <x v="38"/>
    </i>
    <i>
      <x v="230"/>
      <x v="1"/>
      <x v="2"/>
      <x v="15"/>
      <x v="213"/>
      <x/>
      <x v="76"/>
      <x v="14"/>
      <x v="25"/>
      <x/>
      <x v="39"/>
    </i>
    <i>
      <x v="231"/>
      <x v="1"/>
      <x v="2"/>
      <x v="326"/>
      <x v="179"/>
      <x/>
      <x v="68"/>
      <x v="13"/>
      <x v="4"/>
      <x/>
      <x v="38"/>
    </i>
    <i>
      <x v="232"/>
      <x v="1"/>
      <x v="2"/>
      <x v="305"/>
      <x v="187"/>
      <x/>
      <x v="26"/>
      <x v="13"/>
      <x v="96"/>
      <x/>
      <x v="38"/>
    </i>
    <i>
      <x v="233"/>
      <x v="1"/>
      <x v="2"/>
      <x v="241"/>
      <x v="176"/>
      <x/>
      <x v="102"/>
      <x v="16"/>
      <x v="12"/>
      <x/>
      <x v="41"/>
    </i>
    <i>
      <x v="234"/>
      <x v="1"/>
      <x v="2"/>
      <x v="20"/>
      <x v="165"/>
      <x/>
      <x v="78"/>
      <x v="18"/>
      <x v="43"/>
      <x/>
      <x v="43"/>
    </i>
    <i>
      <x v="235"/>
      <x v="1"/>
      <x v="2"/>
      <x v="58"/>
      <x v="166"/>
      <x/>
      <x v="78"/>
      <x v="16"/>
      <x v="43"/>
      <x/>
      <x v="41"/>
    </i>
    <i>
      <x v="236"/>
      <x v="1"/>
      <x v="2"/>
      <x v="350"/>
      <x v="301"/>
      <x/>
      <x v="76"/>
      <x v="16"/>
      <x v="25"/>
      <x/>
      <x v="41"/>
    </i>
    <i>
      <x v="237"/>
      <x v="1"/>
      <x v="2"/>
      <x v="25"/>
      <x v="139"/>
      <x v="1"/>
      <x v="102"/>
      <x v="18"/>
      <x v="12"/>
      <x/>
      <x v="43"/>
    </i>
    <i r="4">
      <x v="213"/>
      <x v="1"/>
      <x v="102"/>
      <x v="18"/>
      <x v="12"/>
      <x/>
      <x v="43"/>
    </i>
    <i>
      <x v="238"/>
      <x v="1"/>
      <x v="2"/>
      <x v="375"/>
      <x v="212"/>
      <x/>
      <x v="102"/>
      <x v="20"/>
      <x v="12"/>
      <x/>
      <x v="45"/>
    </i>
    <i>
      <x v="239"/>
      <x v="1"/>
      <x v="2"/>
      <x v="91"/>
      <x v="166"/>
      <x/>
      <x v="16"/>
      <x v="16"/>
      <x v="99"/>
      <x/>
      <x v="41"/>
    </i>
    <i>
      <x v="240"/>
      <x v="1"/>
      <x v="2"/>
      <x v="39"/>
      <x v="243"/>
      <x/>
      <x v="42"/>
      <x v="17"/>
      <x v="47"/>
      <x/>
      <x v="42"/>
    </i>
    <i>
      <x v="241"/>
      <x v="1"/>
      <x v="2"/>
      <x v="351"/>
      <x v="301"/>
      <x/>
      <x v="16"/>
      <x v="21"/>
      <x v="99"/>
      <x/>
      <x v="46"/>
    </i>
    <i>
      <x v="242"/>
      <x v="1"/>
      <x v="2"/>
      <x v="216"/>
      <x v="99"/>
      <x/>
      <x v="27"/>
      <x v="15"/>
      <x v="64"/>
      <x/>
      <x v="40"/>
    </i>
    <i>
      <x v="243"/>
      <x v="1"/>
      <x v="2"/>
      <x v="238"/>
      <x v="113"/>
      <x/>
      <x v="46"/>
      <x v="14"/>
      <x v="91"/>
      <x/>
      <x v="39"/>
    </i>
    <i>
      <x v="244"/>
      <x v="1"/>
      <x v="2"/>
      <x v="378"/>
      <x v="335"/>
      <x/>
      <x v="17"/>
      <x v="18"/>
      <x v="30"/>
      <x/>
      <x v="43"/>
    </i>
    <i>
      <x v="245"/>
      <x v="1"/>
      <x v="2"/>
      <x v="110"/>
      <x v="31"/>
      <x v="2"/>
      <x v="26"/>
      <x v="13"/>
      <x v="96"/>
      <x/>
      <x v="39"/>
    </i>
    <i r="4">
      <x v="70"/>
      <x v="2"/>
      <x v="26"/>
      <x v="13"/>
      <x v="96"/>
      <x/>
      <x v="39"/>
    </i>
    <i r="4">
      <x v="213"/>
      <x v="2"/>
      <x v="26"/>
      <x v="13"/>
      <x v="96"/>
      <x/>
      <x v="39"/>
    </i>
    <i>
      <x v="246"/>
      <x v="1"/>
      <x v="2"/>
      <x v="264"/>
      <x v="7"/>
      <x v="1"/>
      <x v="38"/>
      <x v="13"/>
      <x v="2"/>
      <x/>
      <x v="38"/>
    </i>
    <i r="4">
      <x v="231"/>
      <x v="1"/>
      <x v="38"/>
      <x v="13"/>
      <x v="2"/>
      <x/>
      <x v="38"/>
    </i>
    <i>
      <x v="247"/>
      <x v="1"/>
      <x v="2"/>
      <x v="231"/>
      <x v="7"/>
      <x v="2"/>
      <x v="54"/>
      <x v="15"/>
      <x v="97"/>
      <x/>
      <x v="40"/>
    </i>
    <i r="4">
      <x v="102"/>
      <x v="2"/>
      <x v="54"/>
      <x v="15"/>
      <x v="97"/>
      <x/>
      <x v="40"/>
    </i>
    <i r="4">
      <x v="213"/>
      <x v="2"/>
      <x v="54"/>
      <x v="15"/>
      <x v="97"/>
      <x/>
      <x v="40"/>
    </i>
    <i>
      <x v="248"/>
      <x v="1"/>
      <x v="2"/>
      <x v="320"/>
      <x v="81"/>
      <x/>
      <x v="87"/>
      <x v="20"/>
      <x v="13"/>
      <x/>
      <x v="45"/>
    </i>
    <i>
      <x v="249"/>
      <x v="1"/>
      <x v="2"/>
      <x v="45"/>
      <x v="107"/>
      <x/>
      <x/>
      <x v="15"/>
      <x v="42"/>
      <x/>
      <x v="40"/>
    </i>
    <i>
      <x v="250"/>
      <x v="1"/>
      <x v="2"/>
      <x v="130"/>
      <x v="83"/>
      <x/>
      <x v="28"/>
      <x v="13"/>
      <x v="105"/>
      <x/>
      <x v="38"/>
    </i>
    <i>
      <x v="251"/>
      <x v="1"/>
      <x v="2"/>
      <x v="252"/>
      <x v="60"/>
      <x v="2"/>
      <x v="26"/>
      <x v="13"/>
      <x v="96"/>
      <x/>
      <x v="38"/>
    </i>
    <i r="4">
      <x v="213"/>
      <x v="2"/>
      <x v="26"/>
      <x v="13"/>
      <x v="96"/>
      <x/>
      <x v="38"/>
    </i>
    <i r="4">
      <x v="252"/>
      <x v="2"/>
      <x v="26"/>
      <x v="13"/>
      <x v="96"/>
      <x/>
      <x v="38"/>
    </i>
    <i>
      <x v="252"/>
      <x v="1"/>
      <x v="2"/>
      <x v="230"/>
      <x v="7"/>
      <x v="2"/>
      <x v="17"/>
      <x v="13"/>
      <x v="30"/>
      <x/>
      <x v="39"/>
    </i>
    <i r="4">
      <x v="168"/>
      <x v="2"/>
      <x v="17"/>
      <x v="13"/>
      <x v="30"/>
      <x/>
      <x v="39"/>
    </i>
    <i>
      <x v="253"/>
      <x v="1"/>
      <x v="2"/>
      <x v="245"/>
      <x v="9"/>
      <x/>
      <x v="26"/>
      <x v="13"/>
      <x v="96"/>
      <x/>
      <x v="38"/>
    </i>
    <i>
      <x v="254"/>
      <x v="1"/>
      <x v="2"/>
      <x v="318"/>
      <x v="240"/>
      <x/>
      <x v="28"/>
      <x v="13"/>
      <x v="105"/>
      <x/>
      <x v="38"/>
    </i>
    <i>
      <x v="255"/>
      <x v="1"/>
      <x v="2"/>
      <x v="321"/>
      <x v="44"/>
      <x v="1"/>
      <x v="46"/>
      <x v="14"/>
      <x v="91"/>
      <x/>
      <x v="40"/>
    </i>
    <i r="4">
      <x v="268"/>
      <x v="1"/>
      <x v="46"/>
      <x v="14"/>
      <x v="91"/>
      <x/>
      <x v="40"/>
    </i>
    <i>
      <x v="256"/>
      <x v="1"/>
      <x v="2"/>
      <x v="268"/>
      <x v="7"/>
      <x v="1"/>
      <x v="25"/>
      <x v="13"/>
      <x v="2"/>
      <x/>
      <x v="38"/>
    </i>
    <i r="4">
      <x v="231"/>
      <x v="1"/>
      <x v="25"/>
      <x v="13"/>
      <x v="2"/>
      <x/>
      <x v="38"/>
    </i>
    <i>
      <x v="257"/>
      <x v="1"/>
      <x v="2"/>
      <x v="99"/>
      <x v="7"/>
      <x v="8"/>
      <x v="3"/>
      <x v="18"/>
      <x v="28"/>
      <x/>
      <x v="44"/>
    </i>
    <i r="4">
      <x v="11"/>
      <x v="8"/>
      <x v="3"/>
      <x v="20"/>
      <x v="28"/>
      <x/>
      <x v="46"/>
    </i>
    <i r="4">
      <x v="35"/>
      <x v="8"/>
      <x v="3"/>
      <x v="18"/>
      <x v="28"/>
      <x/>
      <x v="44"/>
    </i>
    <i r="4">
      <x v="61"/>
      <x v="8"/>
      <x v="3"/>
      <x v="18"/>
      <x v="28"/>
      <x/>
      <x v="44"/>
    </i>
    <i r="4">
      <x v="168"/>
      <x v="8"/>
      <x v="3"/>
      <x v="18"/>
      <x v="28"/>
      <x/>
      <x v="44"/>
    </i>
    <i r="4">
      <x v="264"/>
      <x v="8"/>
      <x v="3"/>
      <x v="18"/>
      <x v="28"/>
      <x/>
      <x v="44"/>
    </i>
    <i r="4">
      <x v="305"/>
      <x v="8"/>
      <x v="3"/>
      <x v="20"/>
      <x v="28"/>
      <x/>
      <x v="46"/>
    </i>
    <i r="4">
      <x v="310"/>
      <x v="8"/>
      <x v="3"/>
      <x v="18"/>
      <x v="28"/>
      <x/>
      <x v="44"/>
    </i>
    <i r="4">
      <x v="329"/>
      <x v="8"/>
      <x v="3"/>
      <x v="18"/>
      <x v="28"/>
      <x/>
      <x v="44"/>
    </i>
    <i>
      <x v="258"/>
      <x v="1"/>
      <x v="2"/>
      <x v="259"/>
      <x v="38"/>
      <x v="2"/>
      <x v="17"/>
      <x v="18"/>
      <x v="30"/>
      <x/>
      <x v="44"/>
    </i>
    <i r="4">
      <x v="114"/>
      <x v="2"/>
      <x v="17"/>
      <x v="18"/>
      <x v="30"/>
      <x/>
      <x v="44"/>
    </i>
    <i r="4">
      <x v="224"/>
      <x v="2"/>
      <x v="17"/>
      <x v="18"/>
      <x v="30"/>
      <x/>
      <x v="44"/>
    </i>
    <i>
      <x v="259"/>
      <x v="1"/>
      <x v="2"/>
      <x v="27"/>
      <x v="166"/>
      <x/>
      <x v="27"/>
      <x v="15"/>
      <x v="64"/>
      <x/>
      <x v="40"/>
    </i>
    <i>
      <x v="260"/>
      <x v="1"/>
      <x v="2"/>
      <x v="311"/>
      <x v="31"/>
      <x v="1"/>
      <x v="17"/>
      <x v="15"/>
      <x v="30"/>
      <x/>
      <x v="41"/>
    </i>
    <i r="4">
      <x v="35"/>
      <x v="1"/>
      <x v="17"/>
      <x v="15"/>
      <x v="30"/>
      <x/>
      <x v="41"/>
    </i>
    <i>
      <x v="261"/>
      <x v="1"/>
      <x v="2"/>
      <x v="34"/>
      <x v="120"/>
      <x v="2"/>
      <x v="27"/>
      <x v="15"/>
      <x v="64"/>
      <x/>
      <x v="40"/>
    </i>
    <i r="4">
      <x v="189"/>
      <x v="2"/>
      <x v="27"/>
      <x v="15"/>
      <x v="64"/>
      <x/>
      <x v="40"/>
    </i>
    <i r="4">
      <x v="210"/>
      <x v="2"/>
      <x v="27"/>
      <x v="15"/>
      <x v="64"/>
      <x/>
      <x v="40"/>
    </i>
    <i>
      <x v="262"/>
      <x v="1"/>
      <x v="2"/>
      <x v="106"/>
      <x v="101"/>
      <x v="2"/>
      <x v="15"/>
      <x v="21"/>
      <x v="7"/>
      <x/>
      <x v="46"/>
    </i>
    <i r="4">
      <x v="105"/>
      <x v="2"/>
      <x v="15"/>
      <x v="21"/>
      <x v="7"/>
      <x/>
      <x v="46"/>
    </i>
    <i r="4">
      <x v="301"/>
      <x v="2"/>
      <x v="15"/>
      <x v="21"/>
      <x v="7"/>
      <x/>
      <x v="46"/>
    </i>
    <i>
      <x v="263"/>
      <x v="1"/>
      <x v="2"/>
      <x v="17"/>
      <x v="100"/>
      <x/>
      <x v="75"/>
      <x v="16"/>
      <x v="100"/>
      <x/>
      <x v="41"/>
    </i>
    <i>
      <x v="264"/>
      <x v="1"/>
      <x v="2"/>
      <x v="49"/>
      <x v="274"/>
      <x v="1"/>
      <x v="7"/>
      <x v="13"/>
      <x v="19"/>
      <x/>
      <x v="38"/>
    </i>
    <i r="4">
      <x v="342"/>
      <x v="1"/>
      <x v="7"/>
      <x v="13"/>
      <x v="19"/>
      <x/>
      <x v="38"/>
    </i>
    <i>
      <x v="265"/>
      <x v="1"/>
      <x v="2"/>
      <x v="35"/>
      <x v="120"/>
      <x/>
      <x v="27"/>
      <x v="15"/>
      <x v="64"/>
      <x/>
      <x v="41"/>
    </i>
    <i>
      <x v="266"/>
      <x v="1"/>
      <x v="2"/>
      <x v="46"/>
      <x v="210"/>
      <x/>
      <x v="27"/>
      <x v="15"/>
      <x v="66"/>
      <x/>
      <x v="40"/>
    </i>
    <i>
      <x v="267"/>
      <x v="1"/>
      <x v="2"/>
      <x v="44"/>
      <x v="301"/>
      <x/>
      <x v="7"/>
      <x v="16"/>
      <x v="19"/>
      <x/>
      <x v="41"/>
    </i>
    <i>
      <x v="268"/>
      <x v="1"/>
      <x v="2"/>
      <x v="167"/>
      <x v="109"/>
      <x v="1"/>
      <x v="7"/>
      <x v="13"/>
      <x v="19"/>
      <x v="8"/>
      <x v="3"/>
    </i>
    <i r="4">
      <x v="110"/>
      <x v="1"/>
      <x v="7"/>
      <x v="13"/>
      <x v="19"/>
      <x v="8"/>
      <x v="3"/>
    </i>
    <i>
      <x v="269"/>
      <x v="1"/>
      <x v="2"/>
      <x v="95"/>
      <x v="7"/>
      <x v="3"/>
      <x v="51"/>
      <x v="15"/>
      <x v="69"/>
      <x/>
      <x v="41"/>
    </i>
    <i r="4">
      <x v="35"/>
      <x v="3"/>
      <x v="51"/>
      <x v="14"/>
      <x v="69"/>
      <x/>
      <x v="40"/>
    </i>
    <i r="4">
      <x v="317"/>
      <x v="3"/>
      <x v="51"/>
      <x v="17"/>
      <x v="69"/>
      <x/>
      <x v="43"/>
    </i>
    <i r="4">
      <x v="350"/>
      <x v="3"/>
      <x v="51"/>
      <x v="17"/>
      <x v="69"/>
      <x/>
      <x v="43"/>
    </i>
    <i>
      <x v="270"/>
      <x v="1"/>
      <x v="2"/>
      <x v="168"/>
      <x v="160"/>
      <x v="1"/>
      <x v="7"/>
      <x v="13"/>
      <x v="19"/>
      <x v="8"/>
      <x v="3"/>
    </i>
    <i r="4">
      <x v="161"/>
      <x v="1"/>
      <x v="7"/>
      <x v="13"/>
      <x v="19"/>
      <x v="8"/>
      <x v="3"/>
    </i>
    <i>
      <x v="271"/>
      <x v="1"/>
      <x v="2"/>
      <x v="107"/>
      <x v="9"/>
      <x v="2"/>
      <x v="15"/>
      <x v="15"/>
      <x v="7"/>
      <x/>
      <x v="40"/>
    </i>
    <i r="4">
      <x v="53"/>
      <x v="2"/>
      <x v="15"/>
      <x v="15"/>
      <x v="7"/>
      <x/>
      <x v="40"/>
    </i>
    <i r="4">
      <x v="101"/>
      <x v="2"/>
      <x v="15"/>
      <x v="15"/>
      <x v="7"/>
      <x/>
      <x v="40"/>
    </i>
    <i>
      <x v="272"/>
      <x v="1"/>
      <x v="2"/>
      <x v="352"/>
      <x v="108"/>
      <x/>
      <x v="7"/>
      <x v="13"/>
      <x v="19"/>
      <x/>
      <x v="38"/>
    </i>
    <i>
      <x v="273"/>
      <x v="1"/>
      <x v="2"/>
      <x v="169"/>
      <x v="91"/>
      <x/>
      <x v="7"/>
      <x v="13"/>
      <x v="19"/>
      <x v="8"/>
      <x v="3"/>
    </i>
    <i>
      <x v="274"/>
      <x v="1"/>
      <x v="2"/>
      <x v="335"/>
      <x v="1"/>
      <x v="5"/>
      <x v="12"/>
      <x v="13"/>
      <x v="16"/>
      <x/>
      <x v="38"/>
    </i>
    <i r="4">
      <x v="166"/>
      <x v="5"/>
      <x v="12"/>
      <x v="13"/>
      <x v="16"/>
      <x/>
      <x v="38"/>
    </i>
    <i r="4">
      <x v="167"/>
      <x v="5"/>
      <x v="12"/>
      <x v="13"/>
      <x v="16"/>
      <x/>
      <x v="38"/>
    </i>
    <i r="4">
      <x v="295"/>
      <x v="5"/>
      <x v="12"/>
      <x v="13"/>
      <x v="16"/>
      <x/>
      <x v="38"/>
    </i>
    <i r="4">
      <x v="333"/>
      <x v="5"/>
      <x v="12"/>
      <x v="13"/>
      <x v="16"/>
      <x/>
      <x v="38"/>
    </i>
    <i r="4">
      <x v="335"/>
      <x v="5"/>
      <x v="12"/>
      <x v="13"/>
      <x v="16"/>
      <x/>
      <x v="38"/>
    </i>
    <i>
      <x v="275"/>
      <x v="1"/>
      <x v="2"/>
      <x v="77"/>
      <x v="32"/>
      <x v="2"/>
      <x v="40"/>
      <x v="17"/>
      <x v="27"/>
      <x/>
      <x v="43"/>
    </i>
    <i r="4">
      <x v="216"/>
      <x v="2"/>
      <x v="40"/>
      <x v="17"/>
      <x v="27"/>
      <x/>
      <x v="43"/>
    </i>
    <i r="4">
      <x v="305"/>
      <x v="2"/>
      <x v="40"/>
      <x v="17"/>
      <x v="27"/>
      <x/>
      <x v="43"/>
    </i>
    <i>
      <x v="276"/>
      <x v="1"/>
      <x v="2"/>
      <x v="69"/>
      <x v="5"/>
      <x v="4"/>
      <x v="102"/>
      <x v="15"/>
      <x v="12"/>
      <x/>
      <x v="41"/>
    </i>
    <i r="4">
      <x v="30"/>
      <x v="4"/>
      <x v="102"/>
      <x v="18"/>
      <x v="12"/>
      <x/>
      <x v="44"/>
    </i>
    <i r="4">
      <x v="50"/>
      <x v="4"/>
      <x v="102"/>
      <x v="15"/>
      <x v="12"/>
      <x/>
      <x v="41"/>
    </i>
    <i r="4">
      <x v="72"/>
      <x v="4"/>
      <x v="102"/>
      <x v="15"/>
      <x v="12"/>
      <x/>
      <x v="41"/>
    </i>
    <i r="4">
      <x v="348"/>
      <x v="4"/>
      <x v="102"/>
      <x v="15"/>
      <x v="12"/>
      <x/>
      <x v="41"/>
    </i>
    <i>
      <x v="277"/>
      <x v="1"/>
      <x v="2"/>
      <x v="30"/>
      <x v="213"/>
      <x/>
      <x v="60"/>
      <x v="15"/>
      <x v="102"/>
      <x/>
      <x v="40"/>
    </i>
    <i>
      <x v="278"/>
      <x v="1"/>
      <x v="2"/>
      <x v="339"/>
      <x v="346"/>
      <x/>
      <x v="102"/>
      <x v="16"/>
      <x v="12"/>
      <x/>
      <x v="42"/>
    </i>
    <i>
      <x v="279"/>
      <x v="1"/>
      <x v="2"/>
      <x v="93"/>
      <x v="7"/>
      <x v="1"/>
      <x v="29"/>
      <x v="15"/>
      <x/>
      <x/>
      <x v="40"/>
    </i>
    <i r="4">
      <x v="231"/>
      <x v="1"/>
      <x v="29"/>
      <x v="15"/>
      <x/>
      <x/>
      <x v="40"/>
    </i>
    <i>
      <x v="280"/>
      <x v="1"/>
      <x v="2"/>
      <x v="321"/>
      <x v="345"/>
      <x/>
      <x v="46"/>
      <x v="14"/>
      <x v="91"/>
      <x/>
      <x v="40"/>
    </i>
    <i>
      <x v="281"/>
      <x v="1"/>
      <x v="2"/>
      <x v="371"/>
      <x v="15"/>
      <x v="5"/>
      <x v="17"/>
      <x v="16"/>
      <x v="30"/>
      <x/>
      <x v="42"/>
    </i>
    <i r="4">
      <x v="28"/>
      <x v="5"/>
      <x v="17"/>
      <x v="16"/>
      <x v="30"/>
      <x/>
      <x v="42"/>
    </i>
    <i r="4">
      <x v="31"/>
      <x v="5"/>
      <x v="17"/>
      <x v="16"/>
      <x v="30"/>
      <x/>
      <x v="42"/>
    </i>
    <i r="4">
      <x v="35"/>
      <x v="5"/>
      <x v="17"/>
      <x v="16"/>
      <x v="30"/>
      <x/>
      <x v="42"/>
    </i>
    <i r="4">
      <x v="130"/>
      <x v="5"/>
      <x v="17"/>
      <x v="16"/>
      <x v="30"/>
      <x/>
      <x v="42"/>
    </i>
    <i r="4">
      <x v="218"/>
      <x v="5"/>
      <x v="17"/>
      <x v="16"/>
      <x v="30"/>
      <x/>
      <x v="42"/>
    </i>
    <i>
      <x v="282"/>
      <x v="1"/>
      <x v="2"/>
      <x v="23"/>
      <x v="29"/>
      <x v="2"/>
      <x v="60"/>
      <x v="16"/>
      <x v="102"/>
      <x/>
      <x v="42"/>
    </i>
    <i r="4">
      <x v="61"/>
      <x v="2"/>
      <x v="60"/>
      <x v="16"/>
      <x v="102"/>
      <x/>
      <x v="42"/>
    </i>
    <i r="4">
      <x v="216"/>
      <x v="2"/>
      <x v="60"/>
      <x v="15"/>
      <x v="102"/>
      <x/>
      <x v="41"/>
    </i>
    <i>
      <x v="283"/>
      <x v="1"/>
      <x v="2"/>
      <x v="72"/>
      <x v="213"/>
      <x v="2"/>
      <x v="17"/>
      <x v="14"/>
      <x v="30"/>
      <x/>
      <x v="39"/>
    </i>
    <i r="4">
      <x v="255"/>
      <x v="2"/>
      <x v="17"/>
      <x v="14"/>
      <x v="30"/>
      <x/>
      <x v="39"/>
    </i>
    <i r="4">
      <x v="347"/>
      <x v="2"/>
      <x v="17"/>
      <x v="14"/>
      <x v="30"/>
      <x/>
      <x v="39"/>
    </i>
    <i>
      <x v="284"/>
      <x v="1"/>
      <x v="2"/>
      <x v="229"/>
      <x v="7"/>
      <x v="3"/>
      <x v="17"/>
      <x v="21"/>
      <x v="30"/>
      <x/>
      <x v="46"/>
    </i>
    <i r="4">
      <x v="14"/>
      <x v="3"/>
      <x v="17"/>
      <x v="21"/>
      <x v="30"/>
      <x/>
      <x v="46"/>
    </i>
    <i r="4">
      <x v="209"/>
      <x v="3"/>
      <x v="17"/>
      <x v="21"/>
      <x v="30"/>
      <x/>
      <x v="46"/>
    </i>
    <i r="4">
      <x v="266"/>
      <x v="3"/>
      <x v="17"/>
      <x v="21"/>
      <x v="30"/>
      <x/>
      <x v="46"/>
    </i>
    <i>
      <x v="285"/>
      <x v="1"/>
      <x v="2"/>
      <x v="135"/>
      <x v="5"/>
      <x v="11"/>
      <x v="2"/>
      <x v="15"/>
      <x v="9"/>
      <x/>
      <x v="41"/>
    </i>
    <i r="4">
      <x v="7"/>
      <x v="11"/>
      <x v="2"/>
      <x v="15"/>
      <x v="9"/>
      <x/>
      <x v="41"/>
    </i>
    <i r="4">
      <x v="31"/>
      <x v="11"/>
      <x v="2"/>
      <x v="15"/>
      <x v="9"/>
      <x/>
      <x v="41"/>
    </i>
    <i r="4">
      <x v="35"/>
      <x v="11"/>
      <x v="2"/>
      <x v="15"/>
      <x v="9"/>
      <x/>
      <x v="41"/>
    </i>
    <i r="4">
      <x v="49"/>
      <x v="11"/>
      <x v="2"/>
      <x v="15"/>
      <x v="9"/>
      <x/>
      <x v="41"/>
    </i>
    <i r="4">
      <x v="68"/>
      <x v="11"/>
      <x v="2"/>
      <x v="17"/>
      <x v="9"/>
      <x/>
      <x v="43"/>
    </i>
    <i r="4">
      <x v="71"/>
      <x v="11"/>
      <x v="2"/>
      <x v="15"/>
      <x v="9"/>
      <x/>
      <x v="41"/>
    </i>
    <i r="4">
      <x v="84"/>
      <x v="11"/>
      <x v="2"/>
      <x v="15"/>
      <x v="9"/>
      <x/>
      <x v="41"/>
    </i>
    <i r="4">
      <x v="134"/>
      <x v="11"/>
      <x v="2"/>
      <x v="17"/>
      <x v="9"/>
      <x v="3"/>
      <x v="26"/>
    </i>
    <i r="4">
      <x v="148"/>
      <x v="11"/>
      <x v="2"/>
      <x v="15"/>
      <x v="9"/>
      <x/>
      <x v="41"/>
    </i>
    <i r="4">
      <x v="152"/>
      <x v="11"/>
      <x v="2"/>
      <x v="15"/>
      <x v="9"/>
      <x/>
      <x v="41"/>
    </i>
    <i r="4">
      <x v="173"/>
      <x v="11"/>
      <x v="2"/>
      <x v="15"/>
      <x v="9"/>
      <x/>
      <x v="41"/>
    </i>
    <i r="4">
      <x v="195"/>
      <x v="11"/>
      <x v="2"/>
      <x v="16"/>
      <x v="9"/>
      <x v="2"/>
      <x v="20"/>
    </i>
    <i r="4">
      <x v="218"/>
      <x v="11"/>
      <x v="2"/>
      <x v="15"/>
      <x v="9"/>
      <x/>
      <x v="41"/>
    </i>
    <i r="4">
      <x v="219"/>
      <x v="11"/>
      <x v="2"/>
      <x v="17"/>
      <x v="9"/>
      <x/>
      <x v="43"/>
    </i>
    <i r="4">
      <x v="227"/>
      <x v="11"/>
      <x v="2"/>
      <x v="15"/>
      <x v="9"/>
      <x/>
      <x v="41"/>
    </i>
    <i r="4">
      <x v="229"/>
      <x v="11"/>
      <x v="2"/>
      <x v="16"/>
      <x v="9"/>
      <x/>
      <x v="42"/>
    </i>
    <i r="4">
      <x v="263"/>
      <x v="11"/>
      <x v="2"/>
      <x v="17"/>
      <x v="9"/>
      <x/>
      <x v="43"/>
    </i>
    <i r="4">
      <x v="264"/>
      <x v="11"/>
      <x v="2"/>
      <x v="15"/>
      <x v="9"/>
      <x/>
      <x v="41"/>
    </i>
    <i r="4">
      <x v="305"/>
      <x v="11"/>
      <x v="2"/>
      <x v="17"/>
      <x v="9"/>
      <x/>
      <x v="43"/>
    </i>
    <i r="4">
      <x v="309"/>
      <x v="11"/>
      <x v="2"/>
      <x v="17"/>
      <x v="9"/>
      <x/>
      <x v="43"/>
    </i>
    <i r="4">
      <x v="310"/>
      <x v="11"/>
      <x v="2"/>
      <x v="16"/>
      <x v="9"/>
      <x/>
      <x v="42"/>
    </i>
    <i r="4">
      <x v="315"/>
      <x v="11"/>
      <x v="2"/>
      <x v="16"/>
      <x v="9"/>
      <x/>
      <x v="42"/>
    </i>
    <i>
      <x v="286"/>
      <x v="1"/>
      <x v="2"/>
      <x v="267"/>
      <x v="7"/>
      <x v="3"/>
      <x v="19"/>
      <x v="16"/>
      <x v="10"/>
      <x/>
      <x v="41"/>
    </i>
    <i r="4">
      <x v="225"/>
      <x v="3"/>
      <x v="19"/>
      <x v="16"/>
      <x v="10"/>
      <x/>
      <x v="41"/>
    </i>
    <i r="4">
      <x v="231"/>
      <x v="3"/>
      <x v="19"/>
      <x v="16"/>
      <x v="10"/>
      <x/>
      <x v="41"/>
    </i>
    <i r="4">
      <x v="304"/>
      <x v="3"/>
      <x v="19"/>
      <x v="16"/>
      <x v="10"/>
      <x/>
      <x v="41"/>
    </i>
    <i>
      <x v="287"/>
      <x v="1"/>
      <x v="2"/>
      <x v="98"/>
      <x v="7"/>
      <x v="4"/>
      <x v="96"/>
      <x v="14"/>
      <x v="67"/>
      <x/>
      <x v="39"/>
    </i>
    <i r="4">
      <x v="208"/>
      <x v="4"/>
      <x v="96"/>
      <x v="14"/>
      <x v="67"/>
      <x/>
      <x v="39"/>
    </i>
    <i r="4">
      <x v="211"/>
      <x v="4"/>
      <x v="96"/>
      <x v="14"/>
      <x v="67"/>
      <x/>
      <x v="39"/>
    </i>
    <i r="4">
      <x v="213"/>
      <x v="4"/>
      <x v="96"/>
      <x v="14"/>
      <x v="67"/>
      <x/>
      <x v="39"/>
    </i>
    <i r="4">
      <x v="231"/>
      <x v="4"/>
      <x v="96"/>
      <x v="14"/>
      <x v="67"/>
      <x/>
      <x v="39"/>
    </i>
    <i>
      <x v="288"/>
      <x v="1"/>
      <x v="2"/>
      <x v="262"/>
      <x v="211"/>
      <x v="1"/>
      <x v="11"/>
      <x v="13"/>
      <x v="9"/>
      <x/>
      <x v="38"/>
    </i>
    <i r="4">
      <x v="342"/>
      <x v="1"/>
      <x v="11"/>
      <x v="13"/>
      <x v="9"/>
      <x/>
      <x v="38"/>
    </i>
    <i>
      <x v="289"/>
      <x v="1"/>
      <x v="2"/>
      <x v="312"/>
      <x v="60"/>
      <x v="2"/>
      <x v="19"/>
      <x v="14"/>
      <x v="10"/>
      <x/>
      <x v="39"/>
    </i>
    <i r="4">
      <x v="213"/>
      <x v="2"/>
      <x v="19"/>
      <x v="14"/>
      <x v="10"/>
      <x/>
      <x v="39"/>
    </i>
    <i r="4">
      <x v="259"/>
      <x v="2"/>
      <x v="19"/>
      <x v="14"/>
      <x v="10"/>
      <x/>
      <x v="39"/>
    </i>
    <i>
      <x v="290"/>
      <x v="1"/>
      <x v="2"/>
      <x v="97"/>
      <x v="7"/>
      <x v="2"/>
      <x v="101"/>
      <x v="14"/>
      <x v="60"/>
      <x/>
      <x v="39"/>
    </i>
    <i r="4">
      <x v="211"/>
      <x v="2"/>
      <x v="101"/>
      <x v="14"/>
      <x v="60"/>
      <x/>
      <x v="39"/>
    </i>
    <i r="4">
      <x v="231"/>
      <x v="2"/>
      <x v="101"/>
      <x v="14"/>
      <x v="60"/>
      <x/>
      <x v="39"/>
    </i>
    <i>
      <x v="291"/>
      <x v="1"/>
      <x v="2"/>
      <x v="266"/>
      <x v="106"/>
      <x v="1"/>
      <x v="28"/>
      <x v="13"/>
      <x v="70"/>
      <x/>
      <x v="38"/>
    </i>
    <i r="4">
      <x v="213"/>
      <x v="1"/>
      <x v="28"/>
      <x v="13"/>
      <x v="70"/>
      <x/>
      <x v="38"/>
    </i>
    <i>
      <x v="292"/>
      <x v="1"/>
      <x v="2"/>
      <x v="89"/>
      <x v="335"/>
      <x/>
      <x v="44"/>
      <x v="16"/>
      <x v="83"/>
      <x/>
      <x v="41"/>
    </i>
    <i>
      <x v="293"/>
      <x v="1"/>
      <x v="2"/>
      <x v="224"/>
      <x v="2"/>
      <x v="9"/>
      <x v="17"/>
      <x v="17"/>
      <x v="30"/>
      <x/>
      <x v="42"/>
    </i>
    <i r="4">
      <x v="65"/>
      <x v="9"/>
      <x v="17"/>
      <x v="17"/>
      <x v="30"/>
      <x/>
      <x v="42"/>
    </i>
    <i r="4">
      <x v="228"/>
      <x v="9"/>
      <x v="17"/>
      <x v="17"/>
      <x v="30"/>
      <x/>
      <x v="42"/>
    </i>
    <i r="4">
      <x v="231"/>
      <x v="9"/>
      <x v="17"/>
      <x v="17"/>
      <x v="30"/>
      <x/>
      <x v="42"/>
    </i>
    <i r="4">
      <x v="247"/>
      <x v="9"/>
      <x v="17"/>
      <x v="17"/>
      <x v="30"/>
      <x/>
      <x v="42"/>
    </i>
    <i r="4">
      <x v="248"/>
      <x v="9"/>
      <x v="17"/>
      <x v="17"/>
      <x v="30"/>
      <x/>
      <x v="42"/>
    </i>
    <i r="4">
      <x v="249"/>
      <x v="9"/>
      <x v="17"/>
      <x v="17"/>
      <x v="30"/>
      <x/>
      <x v="42"/>
    </i>
    <i r="4">
      <x v="273"/>
      <x v="9"/>
      <x v="17"/>
      <x v="17"/>
      <x v="30"/>
      <x/>
      <x v="42"/>
    </i>
    <i r="4">
      <x v="276"/>
      <x v="9"/>
      <x v="17"/>
      <x v="17"/>
      <x v="30"/>
      <x/>
      <x v="42"/>
    </i>
    <i r="4">
      <x v="336"/>
      <x v="9"/>
      <x v="17"/>
      <x v="17"/>
      <x v="30"/>
      <x/>
      <x v="42"/>
    </i>
    <i r="4">
      <x v="352"/>
      <x v="9"/>
      <x v="17"/>
      <x v="17"/>
      <x v="30"/>
      <x/>
      <x v="42"/>
    </i>
    <i>
      <x v="294"/>
      <x/>
      <x v="2"/>
      <x v="287"/>
      <x v="117"/>
      <x v="10"/>
      <x v="64"/>
      <x v="7"/>
      <x v="65"/>
      <x v="1"/>
      <x v="36"/>
    </i>
    <i r="4">
      <x v="118"/>
      <x v="10"/>
      <x v="64"/>
      <x v="7"/>
      <x v="65"/>
      <x v="3"/>
      <x v="19"/>
    </i>
    <i r="4">
      <x v="125"/>
      <x v="10"/>
      <x v="64"/>
      <x v="7"/>
      <x v="65"/>
      <x v="3"/>
      <x v="18"/>
    </i>
    <i r="4">
      <x v="126"/>
      <x v="10"/>
      <x v="64"/>
      <x v="7"/>
      <x v="65"/>
      <x v="5"/>
      <x v="28"/>
    </i>
    <i r="4">
      <x v="147"/>
      <x v="10"/>
      <x v="64"/>
      <x v="7"/>
      <x v="65"/>
      <x v="1"/>
      <x v="30"/>
    </i>
    <i r="4">
      <x v="157"/>
      <x v="10"/>
      <x v="64"/>
      <x v="7"/>
      <x v="65"/>
      <x v="4"/>
      <x v="27"/>
    </i>
    <i r="4">
      <x v="193"/>
      <x v="10"/>
      <x v="64"/>
      <x v="7"/>
      <x v="65"/>
      <x v="3"/>
      <x v="28"/>
    </i>
    <i r="4">
      <x v="196"/>
      <x v="10"/>
      <x v="64"/>
      <x v="7"/>
      <x v="65"/>
      <x v="6"/>
      <x v="10"/>
    </i>
    <i r="4">
      <x v="199"/>
      <x v="10"/>
      <x v="64"/>
      <x v="7"/>
      <x v="65"/>
      <x v="6"/>
      <x v="21"/>
    </i>
    <i r="4">
      <x v="201"/>
      <x v="10"/>
      <x v="64"/>
      <x v="9"/>
      <x v="65"/>
      <x v="1"/>
      <x v="11"/>
    </i>
    <i r="4">
      <x v="202"/>
      <x v="10"/>
      <x v="64"/>
      <x v="7"/>
      <x v="65"/>
      <x v="12"/>
      <x v="4"/>
    </i>
    <i>
      <x v="295"/>
      <x v="1"/>
      <x v="3"/>
      <x v="322"/>
      <x v="8"/>
      <x v="7"/>
      <x v="23"/>
      <x v="23"/>
      <x v="3"/>
      <x/>
      <x v="49"/>
    </i>
    <i r="4">
      <x v="80"/>
      <x v="7"/>
      <x v="23"/>
      <x v="18"/>
      <x v="3"/>
      <x/>
      <x v="43"/>
    </i>
    <i r="4">
      <x v="136"/>
      <x v="7"/>
      <x v="23"/>
      <x v="18"/>
      <x v="3"/>
      <x/>
      <x v="43"/>
    </i>
    <i r="4">
      <x v="142"/>
      <x v="7"/>
      <x v="23"/>
      <x v="22"/>
      <x v="3"/>
      <x/>
      <x v="47"/>
    </i>
    <i r="4">
      <x v="143"/>
      <x v="7"/>
      <x v="23"/>
      <x v="21"/>
      <x v="3"/>
      <x/>
      <x v="46"/>
    </i>
    <i r="4">
      <x v="242"/>
      <x v="7"/>
      <x v="23"/>
      <x v="23"/>
      <x v="3"/>
      <x/>
      <x v="49"/>
    </i>
    <i r="4">
      <x v="244"/>
      <x v="7"/>
      <x v="23"/>
      <x v="23"/>
      <x v="3"/>
      <x/>
      <x v="48"/>
    </i>
    <i r="4">
      <x v="281"/>
      <x v="7"/>
      <x v="23"/>
      <x v="16"/>
      <x v="3"/>
      <x/>
      <x v="41"/>
    </i>
    <i>
      <x v="296"/>
      <x v="1"/>
      <x/>
      <x v="342"/>
      <x v="113"/>
      <x v="1"/>
      <x v="73"/>
      <x v="16"/>
      <x v="54"/>
      <x/>
      <x v="41"/>
    </i>
    <i r="4">
      <x v="120"/>
      <x v="1"/>
      <x v="73"/>
      <x v="16"/>
      <x v="54"/>
      <x/>
      <x v="41"/>
    </i>
    <i>
      <x v="297"/>
      <x v="1"/>
      <x/>
      <x v="235"/>
      <x v="113"/>
      <x v="1"/>
      <x v="73"/>
      <x v="16"/>
      <x v="54"/>
      <x/>
      <x v="41"/>
    </i>
    <i r="4">
      <x v="120"/>
      <x v="1"/>
      <x v="73"/>
      <x v="16"/>
      <x v="54"/>
      <x/>
      <x v="41"/>
    </i>
    <i>
      <x v="298"/>
      <x v="1"/>
      <x/>
      <x v="115"/>
      <x v="113"/>
      <x v="1"/>
      <x v="73"/>
      <x v="16"/>
      <x v="54"/>
      <x/>
      <x v="41"/>
    </i>
    <i r="4">
      <x v="120"/>
      <x v="1"/>
      <x v="73"/>
      <x v="16"/>
      <x v="54"/>
      <x/>
      <x v="41"/>
    </i>
    <i>
      <x v="299"/>
      <x v="1"/>
      <x/>
      <x v="364"/>
      <x v="113"/>
      <x v="1"/>
      <x v="73"/>
      <x v="16"/>
      <x v="54"/>
      <x/>
      <x v="41"/>
    </i>
    <i r="4">
      <x v="120"/>
      <x v="1"/>
      <x v="73"/>
      <x v="16"/>
      <x v="54"/>
      <x/>
      <x v="41"/>
    </i>
    <i>
      <x v="300"/>
      <x v="1"/>
      <x/>
      <x v="363"/>
      <x v="113"/>
      <x v="1"/>
      <x v="73"/>
      <x v="17"/>
      <x v="54"/>
      <x/>
      <x v="42"/>
    </i>
    <i r="4">
      <x v="120"/>
      <x v="1"/>
      <x v="73"/>
      <x v="17"/>
      <x v="54"/>
      <x/>
      <x v="42"/>
    </i>
    <i>
      <x v="301"/>
      <x v="1"/>
      <x/>
      <x v="222"/>
      <x v="318"/>
      <x/>
      <x v="100"/>
      <x v="13"/>
      <x v="73"/>
      <x/>
      <x v="38"/>
    </i>
    <i>
      <x v="302"/>
      <x v="1"/>
      <x/>
      <x v="38"/>
      <x v="66"/>
      <x/>
      <x v="69"/>
      <x v="14"/>
      <x v="6"/>
      <x/>
      <x v="39"/>
    </i>
    <i>
      <x v="303"/>
      <x v="1"/>
      <x/>
      <x v="37"/>
      <x v="241"/>
      <x/>
      <x v="105"/>
      <x v="13"/>
      <x v="17"/>
      <x/>
      <x v="38"/>
    </i>
    <i>
      <x v="304"/>
      <x v="1"/>
      <x/>
      <x v="341"/>
      <x v="113"/>
      <x v="1"/>
      <x v="73"/>
      <x v="16"/>
      <x v="54"/>
      <x/>
      <x v="41"/>
    </i>
    <i r="4">
      <x v="120"/>
      <x v="1"/>
      <x v="73"/>
      <x v="16"/>
      <x v="54"/>
      <x/>
      <x v="41"/>
    </i>
    <i>
      <x v="305"/>
      <x v="1"/>
      <x/>
      <x v="41"/>
      <x v="42"/>
      <x v="1"/>
      <x v="83"/>
      <x v="18"/>
      <x v="101"/>
      <x/>
      <x v="43"/>
    </i>
    <i r="4">
      <x v="51"/>
      <x v="1"/>
      <x v="83"/>
      <x v="18"/>
      <x v="101"/>
      <x/>
      <x v="43"/>
    </i>
    <i>
      <x v="306"/>
      <x v="1"/>
      <x/>
      <x v="21"/>
      <x v="40"/>
      <x/>
      <x v="87"/>
      <x v="13"/>
      <x v="13"/>
      <x/>
      <x v="38"/>
    </i>
    <i>
      <x v="307"/>
      <x v="1"/>
      <x/>
      <x v="48"/>
      <x v="106"/>
      <x v="1"/>
      <x/>
      <x v="15"/>
      <x v="42"/>
      <x/>
      <x v="40"/>
    </i>
    <i r="4">
      <x v="316"/>
      <x v="1"/>
      <x/>
      <x v="15"/>
      <x v="42"/>
      <x/>
      <x v="40"/>
    </i>
    <i>
      <x v="308"/>
      <x v="1"/>
      <x/>
      <x v="9"/>
      <x v="151"/>
      <x/>
      <x v="87"/>
      <x v="13"/>
      <x v="13"/>
      <x/>
      <x v="39"/>
    </i>
    <i>
      <x v="309"/>
      <x v="1"/>
      <x/>
      <x v="90"/>
      <x v="13"/>
      <x/>
      <x v="42"/>
      <x v="16"/>
      <x v="47"/>
      <x/>
      <x v="41"/>
    </i>
    <i>
      <x v="310"/>
      <x v="1"/>
      <x/>
      <x v="358"/>
      <x v="318"/>
      <x/>
      <x v="87"/>
      <x v="13"/>
      <x v="14"/>
      <x/>
      <x v="38"/>
    </i>
    <i>
      <x v="311"/>
      <x v="1"/>
      <x/>
      <x v="114"/>
      <x v="113"/>
      <x v="1"/>
      <x v="73"/>
      <x v="16"/>
      <x v="54"/>
      <x/>
      <x v="41"/>
    </i>
    <i r="4">
      <x v="120"/>
      <x v="1"/>
      <x v="73"/>
      <x v="16"/>
      <x v="54"/>
      <x/>
      <x v="41"/>
    </i>
    <i>
      <x v="312"/>
      <x v="1"/>
      <x/>
      <x v="329"/>
      <x v="113"/>
      <x v="1"/>
      <x v="73"/>
      <x v="16"/>
      <x v="54"/>
      <x/>
      <x v="41"/>
    </i>
    <i r="4">
      <x v="120"/>
      <x v="1"/>
      <x v="73"/>
      <x v="16"/>
      <x v="54"/>
      <x/>
      <x v="41"/>
    </i>
    <i>
      <x v="313"/>
      <x v="1"/>
      <x/>
      <x v="345"/>
      <x v="113"/>
      <x v="1"/>
      <x v="73"/>
      <x v="19"/>
      <x v="54"/>
      <x/>
      <x v="44"/>
    </i>
    <i r="4">
      <x v="120"/>
      <x v="1"/>
      <x v="73"/>
      <x v="19"/>
      <x v="54"/>
      <x/>
      <x v="44"/>
    </i>
    <i>
      <x v="314"/>
      <x v="1"/>
      <x v="5"/>
      <x v="113"/>
      <x v="82"/>
      <x/>
      <x v="45"/>
      <x v="18"/>
      <x v="52"/>
      <x/>
      <x v="43"/>
    </i>
    <i>
      <x v="315"/>
      <x v="1"/>
      <x v="5"/>
      <x v="119"/>
      <x v="81"/>
      <x/>
      <x v="53"/>
      <x v="16"/>
      <x v="95"/>
      <x/>
      <x v="43"/>
    </i>
    <i>
      <x v="316"/>
      <x v="1"/>
      <x v="5"/>
      <x v="344"/>
      <x v="81"/>
      <x/>
      <x v="53"/>
      <x v="16"/>
      <x v="95"/>
      <x/>
      <x v="43"/>
    </i>
    <i>
      <x v="317"/>
      <x v="1"/>
      <x v="5"/>
      <x v="346"/>
      <x v="81"/>
      <x/>
      <x v="53"/>
      <x v="16"/>
      <x v="95"/>
      <x/>
      <x v="41"/>
    </i>
    <i>
      <x v="318"/>
      <x v="1"/>
      <x v="5"/>
      <x v="132"/>
      <x v="82"/>
      <x/>
      <x v="45"/>
      <x v="18"/>
      <x v="50"/>
      <x/>
      <x v="43"/>
    </i>
    <i>
      <x v="319"/>
      <x v="1"/>
      <x v="5"/>
      <x v="315"/>
      <x v="289"/>
      <x v="3"/>
      <x v="53"/>
      <x v="15"/>
      <x v="95"/>
      <x/>
      <x v="40"/>
    </i>
    <i r="7">
      <x v="16"/>
      <x v="95"/>
      <x/>
      <x v="41"/>
    </i>
    <i r="7">
      <x v="24"/>
      <x v="95"/>
      <x/>
      <x v="49"/>
    </i>
    <i>
      <x v="320"/>
      <x v="1"/>
      <x v="5"/>
      <x v="212"/>
      <x v="82"/>
      <x/>
      <x v="80"/>
      <x v="21"/>
      <x v="85"/>
      <x/>
      <x v="48"/>
    </i>
    <i>
      <x v="321"/>
      <x v="1"/>
      <x v="5"/>
      <x v="210"/>
      <x v="82"/>
      <x/>
      <x v="80"/>
      <x v="23"/>
      <x v="85"/>
      <x/>
      <x v="48"/>
    </i>
    <i>
      <x v="322"/>
      <x v="1"/>
      <x v="5"/>
      <x v="121"/>
      <x v="82"/>
      <x/>
      <x v="94"/>
      <x v="21"/>
      <x v="57"/>
      <x/>
      <x v="48"/>
    </i>
    <i>
      <x v="323"/>
      <x v="1"/>
      <x v="5"/>
      <x v="213"/>
      <x v="82"/>
      <x/>
      <x v="80"/>
      <x v="20"/>
      <x v="85"/>
      <x/>
      <x v="46"/>
    </i>
    <i>
      <x v="324"/>
      <x v="1"/>
      <x v="5"/>
      <x v="123"/>
      <x v="82"/>
      <x/>
      <x v="55"/>
      <x v="22"/>
      <x v="74"/>
      <x/>
      <x v="47"/>
    </i>
    <i>
      <x v="325"/>
      <x v="1"/>
      <x v="5"/>
      <x v="122"/>
      <x v="82"/>
      <x/>
      <x v="55"/>
      <x v="22"/>
      <x v="74"/>
      <x/>
      <x v="47"/>
    </i>
    <i>
      <x v="326"/>
      <x v="1"/>
      <x v="5"/>
      <x v="211"/>
      <x v="82"/>
      <x/>
      <x v="80"/>
      <x v="22"/>
      <x v="85"/>
      <x/>
      <x v="47"/>
    </i>
    <i>
      <x v="327"/>
      <x v="1"/>
      <x v="5"/>
      <x v="131"/>
      <x v="82"/>
      <x/>
      <x v="93"/>
      <x v="24"/>
      <x v="53"/>
      <x/>
      <x v="49"/>
    </i>
    <i>
      <x v="328"/>
      <x v="1"/>
      <x v="1"/>
      <x v="223"/>
      <x v="4"/>
      <x v="6"/>
      <x v="17"/>
      <x v="14"/>
      <x v="30"/>
      <x/>
      <x v="39"/>
    </i>
    <i r="4">
      <x v="6"/>
      <x v="6"/>
      <x v="17"/>
      <x v="14"/>
      <x v="30"/>
      <x/>
      <x v="39"/>
    </i>
    <i r="4">
      <x v="52"/>
      <x v="6"/>
      <x v="17"/>
      <x v="14"/>
      <x v="30"/>
      <x/>
      <x v="39"/>
    </i>
    <i r="4">
      <x v="63"/>
      <x v="6"/>
      <x v="17"/>
      <x v="14"/>
      <x v="30"/>
      <x/>
      <x v="39"/>
    </i>
    <i r="4">
      <x v="234"/>
      <x v="6"/>
      <x v="17"/>
      <x v="14"/>
      <x v="30"/>
      <x/>
      <x v="42"/>
    </i>
    <i r="4">
      <x v="267"/>
      <x v="6"/>
      <x v="17"/>
      <x v="14"/>
      <x v="30"/>
      <x/>
      <x v="39"/>
    </i>
    <i r="4">
      <x v="319"/>
      <x v="6"/>
      <x v="17"/>
      <x v="14"/>
      <x v="30"/>
      <x/>
      <x v="39"/>
    </i>
    <i>
      <x v="329"/>
      <x v="1"/>
      <x v="1"/>
      <x v="250"/>
      <x v="159"/>
      <x/>
      <x v="17"/>
      <x v="14"/>
      <x v="30"/>
      <x/>
      <x v="39"/>
    </i>
    <i>
      <x v="330"/>
      <x v="1"/>
      <x v="1"/>
      <x v="249"/>
      <x v="124"/>
      <x/>
      <x v="18"/>
      <x v="20"/>
      <x v="30"/>
      <x/>
      <x v="45"/>
    </i>
    <i>
      <x v="331"/>
      <x v="1"/>
      <x v="1"/>
      <x v="63"/>
      <x v="25"/>
      <x/>
      <x v="17"/>
      <x v="17"/>
      <x v="30"/>
      <x/>
      <x v="42"/>
    </i>
    <i>
      <x v="332"/>
      <x v="1"/>
      <x v="1"/>
      <x v="67"/>
      <x v="128"/>
      <x v="2"/>
      <x v="17"/>
      <x v="17"/>
      <x v="30"/>
      <x/>
      <x v="42"/>
    </i>
    <i r="4">
      <x v="138"/>
      <x v="2"/>
      <x v="17"/>
      <x v="17"/>
      <x v="30"/>
      <x/>
      <x v="42"/>
    </i>
    <i r="4">
      <x v="246"/>
      <x v="2"/>
      <x v="17"/>
      <x v="17"/>
      <x v="30"/>
      <x/>
      <x v="42"/>
    </i>
    <i>
      <x v="333"/>
      <x v="1"/>
      <x v="1"/>
      <x v="41"/>
      <x v="7"/>
      <x v="5"/>
      <x v="75"/>
      <x v="20"/>
      <x v="101"/>
      <x/>
      <x v="46"/>
    </i>
    <i r="4">
      <x v="182"/>
      <x v="5"/>
      <x v="75"/>
      <x v="20"/>
      <x v="101"/>
      <x/>
      <x v="46"/>
    </i>
    <i r="4">
      <x v="198"/>
      <x v="5"/>
      <x v="75"/>
      <x v="20"/>
      <x v="101"/>
      <x/>
      <x v="46"/>
    </i>
    <i r="4">
      <x v="231"/>
      <x v="5"/>
      <x v="75"/>
      <x v="20"/>
      <x v="101"/>
      <x/>
      <x v="46"/>
    </i>
    <i r="4">
      <x v="283"/>
      <x v="5"/>
      <x v="75"/>
      <x v="20"/>
      <x v="101"/>
      <x/>
      <x v="46"/>
    </i>
    <i r="4">
      <x v="301"/>
      <x v="5"/>
      <x v="75"/>
      <x v="20"/>
      <x v="101"/>
      <x/>
      <x v="45"/>
    </i>
    <i>
      <x v="334"/>
      <x v="1"/>
      <x v="1"/>
      <x v="369"/>
      <x v="7"/>
      <x v="4"/>
      <x v="87"/>
      <x v="13"/>
      <x v="15"/>
      <x/>
      <x v="39"/>
    </i>
    <i r="4">
      <x v="26"/>
      <x v="4"/>
      <x v="87"/>
      <x v="13"/>
      <x v="15"/>
      <x/>
      <x v="39"/>
    </i>
    <i r="4">
      <x v="27"/>
      <x v="4"/>
      <x v="87"/>
      <x v="13"/>
      <x v="15"/>
      <x/>
      <x v="39"/>
    </i>
    <i r="4">
      <x v="140"/>
      <x v="4"/>
      <x v="87"/>
      <x v="13"/>
      <x v="15"/>
      <x/>
      <x v="39"/>
    </i>
    <i r="4">
      <x v="348"/>
      <x v="4"/>
      <x v="87"/>
      <x v="13"/>
      <x v="15"/>
      <x/>
      <x v="39"/>
    </i>
    <i>
      <x v="335"/>
      <x v="1"/>
      <x v="1"/>
      <x v="50"/>
      <x v="55"/>
      <x v="7"/>
      <x v="72"/>
      <x v="15"/>
      <x v="46"/>
      <x/>
      <x v="40"/>
    </i>
    <i r="4">
      <x v="58"/>
      <x v="7"/>
      <x v="72"/>
      <x v="15"/>
      <x v="46"/>
      <x/>
      <x v="40"/>
    </i>
    <i r="4">
      <x v="165"/>
      <x v="7"/>
      <x v="72"/>
      <x v="15"/>
      <x v="46"/>
      <x/>
      <x v="40"/>
    </i>
    <i r="4">
      <x v="174"/>
      <x v="7"/>
      <x v="72"/>
      <x v="15"/>
      <x v="46"/>
      <x/>
      <x v="40"/>
    </i>
    <i r="4">
      <x v="183"/>
      <x v="7"/>
      <x v="72"/>
      <x v="15"/>
      <x v="46"/>
      <x/>
      <x v="40"/>
    </i>
    <i r="4">
      <x v="213"/>
      <x v="7"/>
      <x v="72"/>
      <x v="15"/>
      <x v="46"/>
      <x/>
      <x v="40"/>
    </i>
    <i r="4">
      <x v="260"/>
      <x v="7"/>
      <x v="72"/>
      <x v="15"/>
      <x v="46"/>
      <x/>
      <x v="40"/>
    </i>
    <i r="4">
      <x v="314"/>
      <x v="7"/>
      <x v="72"/>
      <x v="15"/>
      <x v="46"/>
      <x/>
      <x v="40"/>
    </i>
    <i>
      <x v="336"/>
      <x v="1"/>
      <x v="1"/>
      <x v="372"/>
      <x v="211"/>
      <x/>
      <x v="87"/>
      <x v="15"/>
      <x v="14"/>
      <x/>
      <x v="40"/>
    </i>
    <i>
      <x v="337"/>
      <x v="1"/>
      <x v="1"/>
      <x v="367"/>
      <x v="211"/>
      <x/>
      <x v="87"/>
      <x v="14"/>
      <x v="14"/>
      <x/>
      <x v="40"/>
    </i>
    <i>
      <x v="338"/>
      <x v="1"/>
      <x v="1"/>
      <x v="84"/>
      <x v="7"/>
      <x v="4"/>
      <x v="87"/>
      <x v="13"/>
      <x v="14"/>
      <x/>
      <x v="38"/>
    </i>
    <i r="4">
      <x v="213"/>
      <x v="4"/>
      <x v="87"/>
      <x v="13"/>
      <x v="14"/>
      <x/>
      <x v="38"/>
    </i>
    <i r="4">
      <x v="231"/>
      <x v="4"/>
      <x v="87"/>
      <x v="13"/>
      <x v="14"/>
      <x/>
      <x v="38"/>
    </i>
    <i r="4">
      <x v="337"/>
      <x v="4"/>
      <x v="87"/>
      <x v="13"/>
      <x v="14"/>
      <x/>
      <x v="38"/>
    </i>
    <i r="4">
      <x v="344"/>
      <x v="4"/>
      <x v="87"/>
      <x v="13"/>
      <x v="14"/>
      <x/>
      <x v="38"/>
    </i>
    <i>
      <x v="339"/>
      <x v="1"/>
      <x v="1"/>
      <x v="219"/>
      <x v="103"/>
      <x v="6"/>
      <x v="17"/>
      <x v="14"/>
      <x v="30"/>
      <x/>
      <x v="43"/>
    </i>
    <i r="4">
      <x v="127"/>
      <x v="6"/>
      <x v="17"/>
      <x v="14"/>
      <x v="30"/>
      <x/>
      <x v="43"/>
    </i>
    <i r="4">
      <x v="129"/>
      <x v="6"/>
      <x v="17"/>
      <x v="18"/>
      <x v="30"/>
      <x/>
      <x v="43"/>
    </i>
    <i r="4">
      <x v="234"/>
      <x v="6"/>
      <x v="17"/>
      <x v="18"/>
      <x v="30"/>
      <x/>
      <x v="43"/>
    </i>
    <i r="4">
      <x v="287"/>
      <x v="6"/>
      <x v="17"/>
      <x v="18"/>
      <x v="30"/>
      <x/>
      <x v="43"/>
    </i>
    <i r="4">
      <x v="320"/>
      <x v="6"/>
      <x v="17"/>
      <x v="14"/>
      <x v="30"/>
      <x/>
      <x v="39"/>
    </i>
    <i r="4">
      <x v="332"/>
      <x v="6"/>
      <x v="17"/>
      <x v="14"/>
      <x v="30"/>
      <x/>
      <x v="39"/>
    </i>
    <i>
      <x v="340"/>
      <x v="1"/>
      <x v="1"/>
      <x v="65"/>
      <x v="25"/>
      <x/>
      <x v="17"/>
      <x v="17"/>
      <x v="30"/>
      <x/>
      <x v="42"/>
    </i>
    <i>
      <x v="341"/>
      <x/>
      <x v="1"/>
      <x v="194"/>
      <x v="237"/>
      <x/>
      <x v="106"/>
      <x v="10"/>
      <x v="17"/>
      <x v="8"/>
      <x v="9"/>
    </i>
    <i>
      <x v="342"/>
      <x/>
      <x v="1"/>
      <x v="142"/>
      <x v="41"/>
      <x/>
      <x v="10"/>
      <x v="11"/>
      <x v="89"/>
      <x v="8"/>
      <x v="3"/>
    </i>
    <i>
      <x v="343"/>
      <x/>
      <x v="1"/>
      <x v="186"/>
      <x v="86"/>
      <x/>
      <x v="27"/>
      <x v="11"/>
      <x v="59"/>
      <x v="8"/>
      <x v="9"/>
    </i>
    <i>
      <x v="344"/>
      <x v="1"/>
      <x v="1"/>
      <x v="40"/>
      <x v="94"/>
      <x/>
      <x v="60"/>
      <x v="14"/>
      <x v="102"/>
      <x v="7"/>
      <x v="12"/>
    </i>
    <i>
      <x v="345"/>
      <x v="1"/>
      <x v="1"/>
      <x v="330"/>
      <x v="177"/>
      <x v="1"/>
      <x v="22"/>
      <x v="17"/>
      <x v="32"/>
      <x/>
      <x v="42"/>
    </i>
    <i r="4">
      <x v="229"/>
      <x v="1"/>
      <x v="22"/>
      <x v="16"/>
      <x v="32"/>
      <x/>
      <x v="41"/>
    </i>
    <i>
      <x v="346"/>
      <x v="1"/>
      <x v="1"/>
      <x v="29"/>
      <x v="223"/>
      <x/>
      <x v="60"/>
      <x v="15"/>
      <x v="102"/>
      <x/>
      <x v="40"/>
    </i>
    <i>
      <x v="347"/>
      <x v="1"/>
      <x v="1"/>
      <x v="81"/>
      <x v="58"/>
      <x/>
      <x v="12"/>
      <x v="20"/>
      <x v="16"/>
      <x/>
      <x v="45"/>
    </i>
    <i>
      <x v="348"/>
      <x v="1"/>
      <x v="1"/>
      <x v="62"/>
      <x v="213"/>
      <x/>
      <x v="12"/>
      <x v="14"/>
      <x v="16"/>
      <x/>
      <x v="39"/>
    </i>
    <i>
      <x v="349"/>
      <x v="1"/>
      <x v="1"/>
      <x v="275"/>
      <x v="58"/>
      <x v="1"/>
      <x v="12"/>
      <x v="18"/>
      <x v="16"/>
      <x/>
      <x v="43"/>
    </i>
    <i r="7">
      <x v="24"/>
      <x v="16"/>
      <x/>
      <x v="49"/>
    </i>
    <i>
      <x v="350"/>
      <x v="1"/>
      <x v="1"/>
      <x v="80"/>
      <x v="10"/>
      <x/>
      <x v="12"/>
      <x v="21"/>
      <x v="16"/>
      <x/>
      <x v="46"/>
    </i>
    <i>
      <x v="351"/>
      <x v="1"/>
      <x v="1"/>
      <x v="28"/>
      <x v="265"/>
      <x/>
      <x v="60"/>
      <x v="15"/>
      <x v="102"/>
      <x/>
      <x v="40"/>
    </i>
    <i>
      <x v="352"/>
      <x v="1"/>
      <x v="1"/>
      <x v="247"/>
      <x v="9"/>
      <x v="1"/>
      <x v="12"/>
      <x v="13"/>
      <x v="16"/>
      <x/>
      <x v="38"/>
    </i>
    <i r="4">
      <x v="164"/>
      <x v="1"/>
      <x v="12"/>
      <x v="13"/>
      <x v="16"/>
      <x/>
      <x v="38"/>
    </i>
    <i>
      <x v="353"/>
      <x v="1"/>
      <x v="1"/>
      <x v="257"/>
      <x v="213"/>
      <x/>
      <x v="12"/>
      <x v="15"/>
      <x v="16"/>
      <x/>
      <x v="40"/>
    </i>
    <i>
      <x v="354"/>
      <x v="1"/>
      <x v="1"/>
      <x v="101"/>
      <x v="339"/>
      <x/>
      <x v="12"/>
      <x v="16"/>
      <x v="16"/>
      <x/>
      <x v="41"/>
    </i>
    <i>
      <x v="355"/>
      <x v="1"/>
      <x v="1"/>
      <x v="246"/>
      <x v="7"/>
      <x/>
      <x v="12"/>
      <x v="15"/>
      <x v="16"/>
      <x/>
      <x v="40"/>
    </i>
    <i>
      <x v="356"/>
      <x v="1"/>
      <x v="1"/>
      <x v="370"/>
      <x v="7"/>
      <x v="3"/>
      <x v="87"/>
      <x v="15"/>
      <x v="14"/>
      <x/>
      <x v="40"/>
    </i>
    <i r="4">
      <x v="62"/>
      <x v="3"/>
      <x v="87"/>
      <x v="15"/>
      <x v="14"/>
      <x/>
      <x v="40"/>
    </i>
    <i r="4">
      <x v="164"/>
      <x v="3"/>
      <x v="87"/>
      <x v="15"/>
      <x v="14"/>
      <x/>
      <x v="40"/>
    </i>
    <i r="4">
      <x v="253"/>
      <x v="3"/>
      <x v="87"/>
      <x v="15"/>
      <x v="14"/>
      <x/>
      <x v="40"/>
    </i>
    <i>
      <x v="357"/>
      <x v="1"/>
      <x v="1"/>
      <x v="274"/>
      <x v="7"/>
      <x v="1"/>
      <x v="87"/>
      <x v="13"/>
      <x v="14"/>
      <x/>
      <x v="38"/>
    </i>
    <i r="4">
      <x v="211"/>
      <x v="1"/>
      <x v="87"/>
      <x v="13"/>
      <x v="14"/>
      <x/>
      <x v="38"/>
    </i>
    <i>
      <x v="358"/>
      <x v="1"/>
      <x v="1"/>
      <x v="373"/>
      <x v="9"/>
      <x v="2"/>
      <x v="87"/>
      <x v="13"/>
      <x v="14"/>
      <x/>
      <x v="38"/>
    </i>
    <i r="4">
      <x v="54"/>
      <x v="2"/>
      <x v="87"/>
      <x v="13"/>
      <x v="14"/>
      <x/>
      <x v="38"/>
    </i>
    <i r="4">
      <x v="277"/>
      <x v="2"/>
      <x v="87"/>
      <x v="13"/>
      <x v="14"/>
      <x/>
      <x v="38"/>
    </i>
    <i>
      <x v="359"/>
      <x v="1"/>
      <x v="1"/>
      <x v="85"/>
      <x v="7"/>
      <x v="1"/>
      <x v="87"/>
      <x v="14"/>
      <x v="14"/>
      <x/>
      <x v="39"/>
    </i>
    <i r="4">
      <x v="211"/>
      <x v="1"/>
      <x v="87"/>
      <x v="14"/>
      <x v="14"/>
      <x/>
      <x v="39"/>
    </i>
    <i>
      <x v="360"/>
      <x v="1"/>
      <x v="1"/>
      <x v="368"/>
      <x v="7"/>
      <x v="2"/>
      <x v="87"/>
      <x v="13"/>
      <x v="14"/>
      <x/>
      <x v="38"/>
    </i>
    <i r="4">
      <x v="220"/>
      <x v="2"/>
      <x v="87"/>
      <x v="13"/>
      <x v="14"/>
      <x/>
      <x v="38"/>
    </i>
    <i r="4">
      <x v="297"/>
      <x v="2"/>
      <x v="87"/>
      <x v="13"/>
      <x v="14"/>
      <x/>
      <x v="38"/>
    </i>
    <i>
      <x v="361"/>
      <x v="1"/>
      <x v="1"/>
      <x v="383"/>
      <x v="141"/>
      <x v="1"/>
      <x v="87"/>
      <x v="13"/>
      <x v="14"/>
      <x/>
      <x v="38"/>
    </i>
    <i r="4">
      <x v="221"/>
      <x v="1"/>
      <x v="87"/>
      <x v="13"/>
      <x v="14"/>
      <x/>
      <x v="38"/>
    </i>
    <i>
      <x v="362"/>
      <x v="1"/>
      <x v="1"/>
      <x v="86"/>
      <x v="7"/>
      <x v="1"/>
      <x v="87"/>
      <x v="19"/>
      <x v="14"/>
      <x/>
      <x v="44"/>
    </i>
    <i r="4">
      <x v="215"/>
      <x v="1"/>
      <x v="87"/>
      <x v="19"/>
      <x v="14"/>
      <x/>
      <x v="44"/>
    </i>
    <i>
      <x v="363"/>
      <x v="1"/>
      <x v="1"/>
      <x v="87"/>
      <x v="214"/>
      <x v="2"/>
      <x v="87"/>
      <x v="20"/>
      <x v="14"/>
      <x/>
      <x v="45"/>
    </i>
    <i r="4">
      <x v="231"/>
      <x v="2"/>
      <x v="87"/>
      <x v="20"/>
      <x v="14"/>
      <x/>
      <x v="45"/>
    </i>
    <i r="4">
      <x v="301"/>
      <x v="2"/>
      <x v="87"/>
      <x v="20"/>
      <x v="14"/>
      <x/>
      <x v="45"/>
    </i>
    <i>
      <x v="364"/>
      <x v="1"/>
      <x v="1"/>
      <x v="271"/>
      <x v="149"/>
      <x/>
      <x v="87"/>
      <x v="15"/>
      <x v="14"/>
      <x/>
      <x v="40"/>
    </i>
    <i>
      <x v="365"/>
      <x v="1"/>
      <x v="1"/>
      <x v="88"/>
      <x v="7"/>
      <x v="3"/>
      <x v="87"/>
      <x v="23"/>
      <x v="14"/>
      <x/>
      <x v="48"/>
    </i>
    <i r="4">
      <x v="56"/>
      <x v="3"/>
      <x v="87"/>
      <x v="23"/>
      <x v="14"/>
      <x/>
      <x v="48"/>
    </i>
    <i r="4">
      <x v="211"/>
      <x v="3"/>
      <x v="87"/>
      <x v="23"/>
      <x v="14"/>
      <x/>
      <x v="48"/>
    </i>
    <i r="4">
      <x v="301"/>
      <x v="3"/>
      <x v="87"/>
      <x v="23"/>
      <x v="14"/>
      <x/>
      <x v="48"/>
    </i>
    <i>
      <x v="366"/>
      <x v="1"/>
      <x v="1"/>
      <x v="242"/>
      <x v="211"/>
      <x/>
      <x v="87"/>
      <x v="13"/>
      <x v="14"/>
      <x/>
      <x v="38"/>
    </i>
    <i>
      <x v="367"/>
      <x v="1"/>
      <x v="1"/>
      <x v="74"/>
      <x v="7"/>
      <x v="2"/>
      <x v="87"/>
      <x v="14"/>
      <x v="14"/>
      <x/>
      <x v="39"/>
    </i>
    <i r="4">
      <x v="231"/>
      <x v="2"/>
      <x v="87"/>
      <x v="14"/>
      <x v="14"/>
      <x/>
      <x v="39"/>
    </i>
    <i r="4">
      <x v="301"/>
      <x v="2"/>
      <x v="87"/>
      <x v="14"/>
      <x v="14"/>
      <x/>
      <x v="39"/>
    </i>
    <i>
      <x v="368"/>
      <x v="1"/>
      <x v="1"/>
      <x v="331"/>
      <x v="7"/>
      <x v="1"/>
      <x v="62"/>
      <x v="15"/>
      <x v="107"/>
      <x/>
      <x v="40"/>
    </i>
    <i r="4">
      <x v="123"/>
      <x v="1"/>
      <x v="62"/>
      <x v="15"/>
      <x v="107"/>
      <x/>
      <x v="40"/>
    </i>
    <i>
      <x v="369"/>
      <x v="1"/>
      <x v="1"/>
      <x v="272"/>
      <x v="7"/>
      <x v="1"/>
      <x v="87"/>
      <x v="15"/>
      <x v="14"/>
      <x/>
      <x v="40"/>
    </i>
    <i r="4">
      <x v="231"/>
      <x v="1"/>
      <x v="87"/>
      <x v="15"/>
      <x v="14"/>
      <x/>
      <x v="40"/>
    </i>
    <i>
      <x v="370"/>
      <x v="1"/>
      <x v="1"/>
      <x v="273"/>
      <x v="7"/>
      <x v="3"/>
      <x v="87"/>
      <x v="15"/>
      <x v="14"/>
      <x/>
      <x v="40"/>
    </i>
    <i r="4">
      <x v="213"/>
      <x v="3"/>
      <x v="87"/>
      <x v="15"/>
      <x v="14"/>
      <x/>
      <x v="40"/>
    </i>
    <i r="4">
      <x v="231"/>
      <x v="3"/>
      <x v="87"/>
      <x v="15"/>
      <x v="14"/>
      <x/>
      <x v="40"/>
    </i>
    <i r="4">
      <x v="252"/>
      <x v="3"/>
      <x v="87"/>
      <x v="15"/>
      <x v="14"/>
      <x/>
      <x v="40"/>
    </i>
    <i>
      <x v="371"/>
      <x v="1"/>
      <x v="1"/>
      <x v="278"/>
      <x v="213"/>
      <x v="1"/>
      <x v="30"/>
      <x v="21"/>
      <x v="35"/>
      <x/>
      <x v="47"/>
    </i>
    <i r="4">
      <x v="301"/>
      <x v="1"/>
      <x v="30"/>
      <x v="22"/>
      <x v="35"/>
      <x/>
      <x v="47"/>
    </i>
    <i>
      <x v="372"/>
      <x v="1"/>
      <x v="1"/>
      <x v="61"/>
      <x v="7"/>
      <x v="3"/>
      <x v="87"/>
      <x v="20"/>
      <x v="14"/>
      <x/>
      <x v="45"/>
    </i>
    <i r="4">
      <x v="18"/>
      <x v="3"/>
      <x v="87"/>
      <x v="20"/>
      <x v="14"/>
      <x/>
      <x v="45"/>
    </i>
    <i r="4">
      <x v="185"/>
      <x v="3"/>
      <x v="87"/>
      <x v="20"/>
      <x v="14"/>
      <x/>
      <x v="45"/>
    </i>
    <i r="4">
      <x v="330"/>
      <x v="3"/>
      <x v="87"/>
      <x v="20"/>
      <x v="14"/>
      <x/>
      <x v="45"/>
    </i>
    <i>
      <x v="373"/>
      <x v="1"/>
      <x v="1"/>
      <x v="233"/>
      <x v="55"/>
      <x v="2"/>
      <x v="39"/>
      <x v="16"/>
      <x v="20"/>
      <x/>
      <x v="41"/>
    </i>
    <i r="4">
      <x v="213"/>
      <x v="2"/>
      <x v="39"/>
      <x v="16"/>
      <x v="20"/>
      <x/>
      <x v="41"/>
    </i>
    <i r="4">
      <x v="301"/>
      <x v="2"/>
      <x v="39"/>
      <x v="16"/>
      <x v="20"/>
      <x/>
      <x v="41"/>
    </i>
    <i>
      <x v="374"/>
      <x v="1"/>
      <x v="1"/>
      <x v="263"/>
      <x v="96"/>
      <x v="3"/>
      <x v="39"/>
      <x v="18"/>
      <x v="20"/>
      <x/>
      <x v="43"/>
    </i>
    <i r="4">
      <x v="113"/>
      <x v="3"/>
      <x v="39"/>
      <x v="18"/>
      <x v="20"/>
      <x/>
      <x v="43"/>
    </i>
    <i r="4">
      <x v="165"/>
      <x v="3"/>
      <x v="39"/>
      <x v="18"/>
      <x v="20"/>
      <x/>
      <x v="43"/>
    </i>
    <i r="4">
      <x v="217"/>
      <x v="3"/>
      <x v="39"/>
      <x v="18"/>
      <x v="20"/>
      <x/>
      <x v="43"/>
    </i>
    <i>
      <x v="375"/>
      <x v="1"/>
      <x v="1"/>
      <x v="280"/>
      <x v="301"/>
      <x v="1"/>
      <x v="89"/>
      <x v="19"/>
      <x v="1"/>
      <x/>
      <x v="44"/>
    </i>
    <i r="7">
      <x v="22"/>
      <x v="1"/>
      <x/>
      <x v="47"/>
    </i>
    <i>
      <x v="376"/>
      <x v="1"/>
      <x v="1"/>
      <x v="374"/>
      <x/>
      <x v="2"/>
      <x v="87"/>
      <x v="15"/>
      <x v="14"/>
      <x/>
      <x v="40"/>
    </i>
    <i r="4">
      <x v="211"/>
      <x v="2"/>
      <x v="87"/>
      <x v="15"/>
      <x v="14"/>
      <x/>
      <x v="40"/>
    </i>
    <i r="4">
      <x v="253"/>
      <x v="2"/>
      <x v="87"/>
      <x v="15"/>
      <x v="14"/>
      <x/>
      <x v="40"/>
    </i>
    <i>
      <x v="377"/>
      <x v="1"/>
      <x v="4"/>
      <x v="127"/>
      <x v="82"/>
      <x/>
      <x v="80"/>
      <x v="22"/>
      <x v="85"/>
      <x/>
      <x v="47"/>
    </i>
    <i>
      <x v="378"/>
      <x v="1"/>
      <x v="4"/>
      <x v="128"/>
      <x v="82"/>
      <x/>
      <x v="80"/>
      <x v="23"/>
      <x v="85"/>
      <x/>
      <x v="48"/>
    </i>
    <i>
      <x v="379"/>
      <x v="1"/>
      <x v="4"/>
      <x v="214"/>
      <x v="82"/>
      <x/>
      <x v="80"/>
      <x v="20"/>
      <x v="85"/>
      <x/>
      <x v="45"/>
    </i>
    <i>
      <x v="380"/>
      <x v="1"/>
      <x v="4"/>
      <x v="120"/>
      <x v="113"/>
      <x v="1"/>
      <x v="73"/>
      <x v="19"/>
      <x v="54"/>
      <x/>
      <x v="44"/>
    </i>
    <i r="4">
      <x v="120"/>
      <x v="1"/>
      <x v="73"/>
      <x v="19"/>
      <x v="54"/>
      <x/>
      <x v="44"/>
    </i>
    <i>
      <x v="381"/>
      <x v="1"/>
      <x v="4"/>
      <x v="343"/>
      <x v="113"/>
      <x v="1"/>
      <x v="73"/>
      <x v="18"/>
      <x v="54"/>
      <x/>
      <x v="43"/>
    </i>
    <i r="4">
      <x v="120"/>
      <x v="1"/>
      <x v="73"/>
      <x v="18"/>
      <x v="54"/>
      <x/>
      <x v="43"/>
    </i>
    <i>
      <x v="382"/>
      <x v="1"/>
      <x v="4"/>
      <x v="126"/>
      <x v="82"/>
      <x/>
      <x v="80"/>
      <x v="21"/>
      <x v="85"/>
      <x/>
      <x v="46"/>
    </i>
    <i>
      <x v="383"/>
      <x v="1"/>
      <x v="4"/>
      <x v="112"/>
      <x v="113"/>
      <x v="1"/>
      <x v="73"/>
      <x v="17"/>
      <x v="54"/>
      <x/>
      <x v="42"/>
    </i>
    <i r="4">
      <x v="120"/>
      <x v="1"/>
      <x v="73"/>
      <x v="17"/>
      <x v="54"/>
      <x/>
      <x v="42"/>
    </i>
    <i>
      <x v="384"/>
      <x v="1"/>
      <x v="4"/>
      <x v="209"/>
      <x v="82"/>
      <x/>
      <x v="80"/>
      <x v="21"/>
      <x v="85"/>
      <x/>
      <x v="46"/>
    </i>
    <i>
      <x v="385"/>
      <x v="1"/>
      <x v="4"/>
      <x v="118"/>
      <x v="113"/>
      <x/>
      <x v="73"/>
      <x v="16"/>
      <x v="54"/>
      <x/>
      <x v="41"/>
    </i>
    <i>
      <x v="386"/>
      <x v="1"/>
      <x v="4"/>
      <x v="59"/>
      <x v="113"/>
      <x v="1"/>
      <x v="73"/>
      <x v="17"/>
      <x v="54"/>
      <x/>
      <x v="42"/>
    </i>
    <i r="4">
      <x v="120"/>
      <x v="1"/>
      <x v="73"/>
      <x v="17"/>
      <x v="54"/>
      <x/>
      <x v="42"/>
    </i>
    <i>
      <x v="387"/>
      <x v="1"/>
      <x v="4"/>
      <x v="47"/>
      <x v="250"/>
      <x/>
      <x v="78"/>
      <x v="13"/>
      <x v="45"/>
      <x/>
      <x v="38"/>
    </i>
    <i>
      <x v="388"/>
      <x v="1"/>
      <x v="4"/>
      <x v="234"/>
      <x v="19"/>
      <x v="5"/>
      <x v="60"/>
      <x v="17"/>
      <x v="102"/>
      <x/>
      <x v="42"/>
    </i>
    <i r="4">
      <x v="22"/>
      <x v="5"/>
      <x v="60"/>
      <x v="15"/>
      <x v="102"/>
      <x/>
      <x v="40"/>
    </i>
    <i r="4">
      <x v="121"/>
      <x v="5"/>
      <x v="60"/>
      <x v="17"/>
      <x v="102"/>
      <x/>
      <x v="42"/>
    </i>
    <i r="4">
      <x v="158"/>
      <x v="5"/>
      <x v="60"/>
      <x v="17"/>
      <x v="102"/>
      <x/>
      <x v="42"/>
    </i>
    <i r="4">
      <x v="301"/>
      <x v="5"/>
      <x v="60"/>
      <x v="21"/>
      <x v="102"/>
      <x/>
      <x v="46"/>
    </i>
    <i r="4">
      <x v="308"/>
      <x v="5"/>
      <x v="60"/>
      <x v="17"/>
      <x v="102"/>
      <x/>
      <x v="42"/>
    </i>
    <i>
      <x v="389"/>
      <x v="1"/>
      <x v="4"/>
      <x v="125"/>
      <x v="82"/>
      <x/>
      <x v="80"/>
      <x v="21"/>
      <x v="85"/>
      <x/>
      <x v="46"/>
    </i>
    <i>
      <x v="390"/>
      <x v="1"/>
      <x v="4"/>
      <x v="124"/>
      <x v="82"/>
      <x/>
      <x v="80"/>
      <x v="22"/>
      <x v="85"/>
      <x/>
      <x v="47"/>
    </i>
    <i>
      <x v="391"/>
      <x v="1"/>
      <x v="4"/>
      <x v="133"/>
      <x v="289"/>
      <x/>
      <x v="53"/>
      <x v="24"/>
      <x v="95"/>
      <x/>
      <x v="49"/>
    </i>
    <i>
      <x v="392"/>
      <x v="1"/>
      <x v="4"/>
      <x v="129"/>
      <x v="82"/>
      <x/>
      <x v="80"/>
      <x v="23"/>
      <x v="85"/>
      <x/>
      <x v="48"/>
    </i>
    <i t="grand">
      <x/>
    </i>
  </rowItems>
  <colItems count="1">
    <i/>
  </colItems>
  <dataFields count="1">
    <dataField name="Suma de Monto Total Ítem Año 2026" fld="13" baseField="0" baseItem="0" numFmtId="42"/>
  </dataFields>
  <pivotTableStyleInfo name="PivotStyleMedium12" showRowHeaders="1" showColHeaders="1" showRowStripes="1" showColStripes="1" showLastColumn="1"/>
  <extLst>
    <ext xmlns:x14="http://schemas.microsoft.com/office/spreadsheetml/2009/9/main" uri="{962EF5D1-5CA2-4c93-8EF4-DBF5C05439D2}">
      <x14:pivotTableDefinition xmlns:xm="http://schemas.microsoft.com/office/excel/2006/main" fillDownLabelsDefault="1"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8EDCA9B1-CCF9-4105-8CAA-2583623BB7D5}" name="TablaDinámica4" cacheId="1" applyNumberFormats="0" applyBorderFormats="0" applyFontFormats="0" applyPatternFormats="0" applyAlignmentFormats="0" applyWidthHeightFormats="1" dataCaption="Valores" updatedVersion="8" minRefreshableVersion="3" useAutoFormatting="1" itemPrintTitles="1" createdVersion="8" indent="0" compact="0" compactData="0" multipleFieldFilters="0">
  <location ref="A1:I447" firstHeaderRow="1" firstDataRow="1" firstDataCol="8"/>
  <pivotFields count="32">
    <pivotField compact="0" outline="0" showAl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axis="axisRow" compact="0" outline="0" showAll="0" defaultSubtotal="0">
      <items count="393">
        <item x="0"/>
        <item x="21"/>
        <item x="1"/>
        <item x="22"/>
        <item x="23"/>
        <item x="14"/>
        <item x="15"/>
        <item x="16"/>
        <item x="2"/>
        <item x="17"/>
        <item x="18"/>
        <item x="19"/>
        <item x="64"/>
        <item x="65"/>
        <item x="66"/>
        <item x="67"/>
        <item x="68"/>
        <item x="69"/>
        <item x="70"/>
        <item x="71"/>
        <item x="4"/>
        <item x="3"/>
        <item x="5"/>
        <item x="6"/>
        <item x="72"/>
        <item x="7"/>
        <item x="73"/>
        <item x="8"/>
        <item x="74"/>
        <item x="9"/>
        <item x="75"/>
        <item x="76"/>
        <item x="78"/>
        <item x="80"/>
        <item x="83"/>
        <item x="85"/>
        <item x="10"/>
        <item x="86"/>
        <item x="87"/>
        <item x="88"/>
        <item x="11"/>
        <item x="89"/>
        <item x="92"/>
        <item x="12"/>
        <item x="95"/>
        <item x="97"/>
        <item x="99"/>
        <item x="104"/>
        <item x="105"/>
        <item x="107"/>
        <item x="108"/>
        <item x="109"/>
        <item x="114"/>
        <item x="115"/>
        <item x="116"/>
        <item x="117"/>
        <item x="118"/>
        <item x="119"/>
        <item x="120"/>
        <item x="121"/>
        <item x="122"/>
        <item x="125"/>
        <item x="127"/>
        <item x="13"/>
        <item x="128"/>
        <item x="129"/>
        <item x="130"/>
        <item x="131"/>
        <item x="132"/>
        <item x="133"/>
        <item x="134"/>
        <item x="135"/>
        <item x="136"/>
        <item x="137"/>
        <item x="138"/>
        <item x="139"/>
        <item x="140"/>
        <item x="141"/>
        <item x="142"/>
        <item x="143"/>
        <item x="24"/>
        <item x="144"/>
        <item x="25"/>
        <item x="145"/>
        <item x="26"/>
        <item x="146"/>
        <item x="27"/>
        <item x="147"/>
        <item x="28"/>
        <item x="148"/>
        <item x="29"/>
        <item x="149"/>
        <item x="31"/>
        <item x="151"/>
        <item x="32"/>
        <item x="152"/>
        <item x="33"/>
        <item x="153"/>
        <item x="34"/>
        <item x="35"/>
        <item x="156"/>
        <item x="36"/>
        <item x="157"/>
        <item x="37"/>
        <item x="159"/>
        <item x="38"/>
        <item x="160"/>
        <item x="161"/>
        <item x="162"/>
        <item x="39"/>
        <item x="163"/>
        <item x="40"/>
        <item x="164"/>
        <item x="41"/>
        <item x="165"/>
        <item x="42"/>
        <item x="166"/>
        <item x="43"/>
        <item x="167"/>
        <item x="45"/>
        <item x="168"/>
        <item x="46"/>
        <item x="169"/>
        <item x="47"/>
        <item x="170"/>
        <item x="48"/>
        <item x="171"/>
        <item x="49"/>
        <item x="172"/>
        <item x="50"/>
        <item x="173"/>
        <item x="51"/>
        <item x="176"/>
        <item x="52"/>
        <item x="53"/>
        <item x="177"/>
        <item x="55"/>
        <item x="179"/>
        <item x="56"/>
        <item x="180"/>
        <item x="57"/>
        <item x="181"/>
        <item x="185"/>
        <item x="186"/>
        <item x="187"/>
        <item x="188"/>
        <item x="189"/>
        <item x="58"/>
        <item x="190"/>
        <item x="192"/>
        <item x="193"/>
        <item x="194"/>
        <item x="196"/>
        <item x="211"/>
        <item x="228"/>
        <item x="231"/>
        <item x="232"/>
        <item x="233"/>
        <item x="234"/>
        <item x="235"/>
        <item x="236"/>
        <item x="237"/>
        <item x="238"/>
        <item x="239"/>
        <item x="240"/>
        <item x="241"/>
        <item x="242"/>
        <item x="243"/>
        <item x="244"/>
        <item x="246"/>
        <item x="247"/>
        <item x="248"/>
        <item x="249"/>
        <item x="251"/>
        <item x="252"/>
        <item x="253"/>
        <item x="254"/>
        <item x="255"/>
        <item x="256"/>
        <item x="257"/>
        <item x="258"/>
        <item x="259"/>
        <item x="260"/>
        <item x="261"/>
        <item x="262"/>
        <item x="263"/>
        <item x="264"/>
        <item x="265"/>
        <item x="266"/>
        <item x="267"/>
        <item x="268"/>
        <item x="270"/>
        <item x="271"/>
        <item x="273"/>
        <item x="274"/>
        <item x="275"/>
        <item x="276"/>
        <item x="278"/>
        <item x="279"/>
        <item x="280"/>
        <item x="281"/>
        <item x="286"/>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4"/>
        <item x="325"/>
        <item x="326"/>
        <item x="327"/>
        <item x="328"/>
        <item x="329"/>
        <item x="330"/>
        <item x="331"/>
        <item x="332"/>
        <item x="333"/>
        <item x="334"/>
        <item x="335"/>
        <item x="336"/>
        <item x="338"/>
        <item x="339"/>
        <item x="340"/>
        <item x="341"/>
        <item x="342"/>
        <item x="343"/>
        <item x="344"/>
        <item x="345"/>
        <item x="346"/>
        <item x="347"/>
        <item x="348"/>
        <item x="349"/>
        <item x="350"/>
        <item x="352"/>
        <item x="353"/>
        <item x="354"/>
        <item x="355"/>
        <item x="356"/>
        <item x="357"/>
        <item x="358"/>
        <item x="359"/>
        <item x="360"/>
        <item x="361"/>
        <item x="362"/>
        <item x="365"/>
        <item x="366"/>
        <item x="367"/>
        <item x="369"/>
        <item x="370"/>
        <item x="371"/>
        <item x="373"/>
        <item x="375"/>
        <item x="376"/>
        <item x="378"/>
        <item x="380"/>
        <item x="381"/>
        <item x="383"/>
        <item x="384"/>
        <item x="385"/>
        <item x="387"/>
        <item x="388"/>
        <item x="389"/>
        <item x="390"/>
        <item x="392"/>
        <item x="20"/>
        <item x="59"/>
        <item x="219"/>
        <item x="224"/>
        <item x="225"/>
        <item x="227"/>
        <item x="229"/>
        <item x="245"/>
        <item x="250"/>
        <item x="277"/>
        <item x="287"/>
        <item x="364"/>
        <item x="368"/>
        <item x="377"/>
        <item x="382"/>
        <item x="191"/>
        <item x="200"/>
        <item x="201"/>
        <item x="212"/>
        <item x="213"/>
        <item x="210"/>
        <item x="220"/>
        <item x="221"/>
        <item x="222"/>
        <item x="226"/>
        <item x="337"/>
        <item x="202"/>
        <item x="203"/>
        <item x="204"/>
        <item x="205"/>
        <item x="206"/>
        <item x="207"/>
        <item x="208"/>
        <item x="209"/>
        <item x="269"/>
        <item x="272"/>
        <item x="282"/>
        <item x="283"/>
        <item x="284"/>
        <item x="285"/>
        <item x="351"/>
        <item x="363"/>
        <item x="372"/>
        <item x="374"/>
        <item x="379"/>
        <item x="386"/>
        <item x="391"/>
        <item x="30"/>
        <item x="44"/>
        <item x="54"/>
        <item x="60"/>
        <item x="62"/>
        <item x="63"/>
        <item x="77"/>
        <item x="79"/>
        <item x="81"/>
        <item x="82"/>
        <item x="84"/>
        <item x="90"/>
        <item x="91"/>
        <item x="93"/>
        <item x="94"/>
        <item x="96"/>
        <item x="98"/>
        <item x="100"/>
        <item x="101"/>
        <item x="106"/>
        <item x="110"/>
        <item x="111"/>
        <item x="112"/>
        <item x="113"/>
        <item x="123"/>
        <item x="124"/>
        <item x="126"/>
        <item x="150"/>
        <item x="154"/>
        <item x="155"/>
        <item x="158"/>
        <item x="174"/>
        <item x="175"/>
        <item x="178"/>
        <item x="182"/>
        <item x="195"/>
        <item x="197"/>
        <item x="198"/>
        <item x="199"/>
        <item x="214"/>
        <item x="215"/>
        <item x="216"/>
        <item x="217"/>
        <item x="218"/>
        <item x="223"/>
        <item x="230"/>
        <item x="323"/>
        <item x="61"/>
        <item x="102"/>
        <item x="103"/>
        <item x="183"/>
        <item x="184"/>
      </items>
      <extLst>
        <ext xmlns:x14="http://schemas.microsoft.com/office/spreadsheetml/2009/9/main" uri="{2946ED86-A175-432a-8AC1-64E0C546D7DE}">
          <x14:pivotField fillDownLabels="1"/>
        </ext>
      </extLst>
    </pivotField>
    <pivotField compact="0" outline="0" showAll="0">
      <extLst>
        <ext xmlns:x14="http://schemas.microsoft.com/office/spreadsheetml/2009/9/main" uri="{2946ED86-A175-432a-8AC1-64E0C546D7DE}">
          <x14:pivotField fillDownLabels="1"/>
        </ext>
      </extLst>
    </pivotField>
    <pivotField compact="0" outline="0" showAll="0">
      <extLst>
        <ext xmlns:x14="http://schemas.microsoft.com/office/spreadsheetml/2009/9/main" uri="{2946ED86-A175-432a-8AC1-64E0C546D7DE}">
          <x14:pivotField fillDownLabels="1"/>
        </ext>
      </extLst>
    </pivotField>
    <pivotField compact="0" outline="0" showAll="0">
      <extLst>
        <ext xmlns:x14="http://schemas.microsoft.com/office/spreadsheetml/2009/9/main" uri="{2946ED86-A175-432a-8AC1-64E0C546D7DE}">
          <x14:pivotField fillDownLabels="1"/>
        </ext>
      </extLst>
    </pivotField>
    <pivotField axis="axisRow" compact="0" outline="0" showAll="0" defaultSubtotal="0">
      <items count="385">
        <item x="277"/>
        <item x="166"/>
        <item x="71"/>
        <item x="73"/>
        <item x="272"/>
        <item x="308"/>
        <item x="243"/>
        <item x="310"/>
        <item x="108"/>
        <item x="374"/>
        <item x="68"/>
        <item x="69"/>
        <item x="305"/>
        <item x="306"/>
        <item x="299"/>
        <item x="311"/>
        <item x="170"/>
        <item x="347"/>
        <item x="265"/>
        <item x="171"/>
        <item x="315"/>
        <item x="362"/>
        <item x="244"/>
        <item x="368"/>
        <item x="195"/>
        <item x="319"/>
        <item x="233"/>
        <item x="342"/>
        <item x="85"/>
        <item x="64"/>
        <item x="363"/>
        <item x="256"/>
        <item x="84"/>
        <item x="253"/>
        <item x="344"/>
        <item x="349"/>
        <item x="288"/>
        <item x="275"/>
        <item x="251"/>
        <item x="322"/>
        <item x="61"/>
        <item x="282"/>
        <item x="286"/>
        <item x="174"/>
        <item x="351"/>
        <item x="331"/>
        <item x="350"/>
        <item x="318"/>
        <item x="369"/>
        <item x="348"/>
        <item x="358"/>
        <item x="248"/>
        <item x="129"/>
        <item x="302"/>
        <item x="301"/>
        <item x="278"/>
        <item x="274"/>
        <item x="298"/>
        <item x="316"/>
        <item x="231"/>
        <item x="164"/>
        <item x="175"/>
        <item x="80"/>
        <item x="280"/>
        <item x="263"/>
        <item x="383"/>
        <item x="260"/>
        <item x="281"/>
        <item x="270"/>
        <item x="361"/>
        <item x="264"/>
        <item x="186"/>
        <item x="370"/>
        <item x="117"/>
        <item x="127"/>
        <item x="291"/>
        <item x="75"/>
        <item x="360"/>
        <item x="266"/>
        <item x="76"/>
        <item x="83"/>
        <item x="78"/>
        <item x="261"/>
        <item x="254"/>
        <item x="371"/>
        <item x="102"/>
        <item x="112"/>
        <item x="113"/>
        <item x="124"/>
        <item x="382"/>
        <item x="192"/>
        <item x="321"/>
        <item x="90"/>
        <item x="100"/>
        <item x="289"/>
        <item x="353"/>
        <item x="276"/>
        <item x="380"/>
        <item x="376"/>
        <item x="340"/>
        <item x="194"/>
        <item x="94"/>
        <item x="193"/>
        <item x="115"/>
        <item x="66"/>
        <item x="67"/>
        <item x="345"/>
        <item x="355"/>
        <item x="232"/>
        <item x="165"/>
        <item x="327"/>
        <item x="241"/>
        <item x="218"/>
        <item x="211"/>
        <item x="202"/>
        <item x="226"/>
        <item x="133"/>
        <item x="307"/>
        <item x="224"/>
        <item x="221"/>
        <item x="215"/>
        <item x="205"/>
        <item x="208"/>
        <item x="207"/>
        <item x="104"/>
        <item x="103"/>
        <item x="217"/>
        <item x="198"/>
        <item x="199"/>
        <item x="185"/>
        <item x="333"/>
        <item x="210"/>
        <item x="227"/>
        <item x="184"/>
        <item x="167"/>
        <item x="373"/>
        <item x="5"/>
        <item x="6"/>
        <item x="88"/>
        <item x="86"/>
        <item x="4"/>
        <item x="46"/>
        <item x="45"/>
        <item x="20"/>
        <item x="19"/>
        <item x="18"/>
        <item x="79"/>
        <item x="27"/>
        <item x="39"/>
        <item x="59"/>
        <item x="29"/>
        <item x="15"/>
        <item x="14"/>
        <item x="42"/>
        <item x="47"/>
        <item x="10"/>
        <item x="41"/>
        <item x="126"/>
        <item x="54"/>
        <item x="154"/>
        <item x="153"/>
        <item x="52"/>
        <item x="178"/>
        <item x="24"/>
        <item x="121"/>
        <item x="49"/>
        <item x="236"/>
        <item x="352"/>
        <item x="354"/>
        <item x="357"/>
        <item x="51"/>
        <item x="53"/>
        <item x="38"/>
        <item x="23"/>
        <item x="56"/>
        <item x="169"/>
        <item x="8"/>
        <item x="22"/>
        <item x="50"/>
        <item x="26"/>
        <item x="35"/>
        <item x="25"/>
        <item x="30"/>
        <item x="28"/>
        <item x="40"/>
        <item x="37"/>
        <item x="55"/>
        <item x="16"/>
        <item x="9"/>
        <item x="32"/>
        <item x="33"/>
        <item x="43"/>
        <item x="17"/>
        <item x="44"/>
        <item x="31"/>
        <item x="34"/>
        <item x="58"/>
        <item x="57"/>
        <item x="7"/>
        <item x="12"/>
        <item x="48"/>
        <item x="11"/>
        <item x="293"/>
        <item x="36"/>
        <item x="13"/>
        <item x="197"/>
        <item x="181"/>
        <item x="110"/>
        <item x="182"/>
        <item x="219"/>
        <item x="204"/>
        <item x="209"/>
        <item x="203"/>
        <item x="206"/>
        <item x="200"/>
        <item x="172"/>
        <item x="324"/>
        <item x="242"/>
        <item x="212"/>
        <item x="378"/>
        <item x="258"/>
        <item x="245"/>
        <item x="246"/>
        <item x="268"/>
        <item x="384"/>
        <item x="259"/>
        <item x="292"/>
        <item x="116"/>
        <item x="297"/>
        <item x="372"/>
        <item x="335"/>
        <item x="329"/>
        <item x="168"/>
        <item x="176"/>
        <item x="62"/>
        <item x="225"/>
        <item x="139"/>
        <item x="70"/>
        <item x="325"/>
        <item x="303"/>
        <item x="173"/>
        <item x="314"/>
        <item x="125"/>
        <item x="105"/>
        <item x="137"/>
        <item x="336"/>
        <item x="95"/>
        <item x="91"/>
        <item x="120"/>
        <item x="279"/>
        <item x="271"/>
        <item x="89"/>
        <item x="334"/>
        <item x="180"/>
        <item x="163"/>
        <item x="106"/>
        <item x="287"/>
        <item x="92"/>
        <item x="130"/>
        <item x="341"/>
        <item x="188"/>
        <item x="187"/>
        <item x="377"/>
        <item x="179"/>
        <item x="328"/>
        <item x="273"/>
        <item x="381"/>
        <item x="375"/>
        <item x="339"/>
        <item x="74"/>
        <item x="252"/>
        <item x="114"/>
        <item x="155"/>
        <item x="156"/>
        <item x="99"/>
        <item x="82"/>
        <item x="157"/>
        <item x="158"/>
        <item x="159"/>
        <item x="109"/>
        <item x="183"/>
        <item x="249"/>
        <item x="77"/>
        <item x="72"/>
        <item x="134"/>
        <item x="237"/>
        <item x="149"/>
        <item x="21"/>
        <item x="177"/>
        <item x="294"/>
        <item x="295"/>
        <item x="65"/>
        <item x="234"/>
        <item x="235"/>
        <item x="119"/>
        <item x="132"/>
        <item x="136"/>
        <item x="141"/>
        <item x="140"/>
        <item x="143"/>
        <item x="239"/>
        <item x="147"/>
        <item x="148"/>
        <item x="296"/>
        <item x="189"/>
        <item x="313"/>
        <item x="161"/>
        <item x="285"/>
        <item x="152"/>
        <item x="283"/>
        <item x="240"/>
        <item x="343"/>
        <item x="379"/>
        <item x="128"/>
        <item x="238"/>
        <item x="332"/>
        <item x="190"/>
        <item x="150"/>
        <item x="337"/>
        <item x="122"/>
        <item x="330"/>
        <item x="338"/>
        <item x="60"/>
        <item x="98"/>
        <item x="290"/>
        <item x="135"/>
        <item x="312"/>
        <item x="300"/>
        <item x="123"/>
        <item x="213"/>
        <item x="63"/>
        <item x="151"/>
        <item x="257"/>
        <item x="262"/>
        <item x="93"/>
        <item x="359"/>
        <item x="160"/>
        <item x="255"/>
        <item x="146"/>
        <item x="364"/>
        <item x="138"/>
        <item x="284"/>
        <item x="220"/>
        <item x="216"/>
        <item x="222"/>
        <item x="214"/>
        <item x="223"/>
        <item x="250"/>
        <item x="87"/>
        <item x="81"/>
        <item x="317"/>
        <item x="323"/>
        <item x="356"/>
        <item x="269"/>
        <item x="267"/>
        <item x="309"/>
        <item x="1"/>
        <item x="0"/>
        <item x="201"/>
        <item x="2"/>
        <item x="3"/>
        <item x="191"/>
        <item x="304"/>
        <item x="230"/>
        <item x="228"/>
        <item x="145"/>
        <item x="144"/>
        <item x="366"/>
        <item x="107"/>
        <item x="346"/>
        <item x="97"/>
        <item x="367"/>
        <item x="365"/>
        <item x="101"/>
        <item x="196"/>
        <item x="320"/>
        <item x="142"/>
        <item x="96"/>
        <item x="326"/>
        <item x="247"/>
        <item x="118"/>
        <item x="229"/>
        <item x="162"/>
        <item x="111"/>
        <item x="131"/>
      </items>
      <extLst>
        <ext xmlns:x14="http://schemas.microsoft.com/office/spreadsheetml/2009/9/main" uri="{2946ED86-A175-432a-8AC1-64E0C546D7DE}">
          <x14:pivotField fillDownLabels="1"/>
        </ext>
      </extLst>
    </pivotField>
    <pivotField compact="0" outline="0" showAl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extLst>
        <ext xmlns:x14="http://schemas.microsoft.com/office/spreadsheetml/2009/9/main" uri="{2946ED86-A175-432a-8AC1-64E0C546D7DE}">
          <x14:pivotField fillDownLabels="1"/>
        </ext>
      </extLst>
    </pivotField>
    <pivotField compact="0" outline="0" showAll="0">
      <extLst>
        <ext xmlns:x14="http://schemas.microsoft.com/office/spreadsheetml/2009/9/main" uri="{2946ED86-A175-432a-8AC1-64E0C546D7DE}">
          <x14:pivotField fillDownLabels="1"/>
        </ext>
      </extLst>
    </pivotField>
    <pivotField compact="0" numFmtId="42" outline="0" showAll="0" defaultSubtotal="0">
      <extLst>
        <ext xmlns:x14="http://schemas.microsoft.com/office/spreadsheetml/2009/9/main" uri="{2946ED86-A175-432a-8AC1-64E0C546D7DE}">
          <x14:pivotField fillDownLabels="1"/>
        </ext>
      </extLst>
    </pivotField>
    <pivotField dataField="1" compact="0" numFmtId="42" outline="0" showAll="0" defaultSubtotal="0">
      <extLst>
        <ext xmlns:x14="http://schemas.microsoft.com/office/spreadsheetml/2009/9/main" uri="{2946ED86-A175-432a-8AC1-64E0C546D7DE}">
          <x14:pivotField fillDownLabels="1"/>
        </ext>
      </extLst>
    </pivotField>
    <pivotField axis="axisRow" compact="0" outline="0" showAll="0" defaultSubtotal="0">
      <items count="16">
        <item x="4"/>
        <item x="8"/>
        <item x="15"/>
        <item x="7"/>
        <item x="9"/>
        <item x="6"/>
        <item x="10"/>
        <item x="14"/>
        <item x="11"/>
        <item x="13"/>
        <item x="12"/>
        <item x="5"/>
        <item x="1"/>
        <item x="2"/>
        <item x="3"/>
        <item x="0"/>
      </items>
      <extLst>
        <ext xmlns:x14="http://schemas.microsoft.com/office/spreadsheetml/2009/9/main" uri="{2946ED86-A175-432a-8AC1-64E0C546D7DE}">
          <x14:pivotField fillDownLabels="1"/>
        </ext>
      </extLst>
    </pivotField>
    <pivotField axis="axisRow" compact="0" outline="0" showAll="0">
      <items count="51">
        <item x="0"/>
        <item x="2"/>
        <item x="3"/>
        <item x="20"/>
        <item x="14"/>
        <item x="4"/>
        <item x="43"/>
        <item x="47"/>
        <item x="19"/>
        <item x="18"/>
        <item x="13"/>
        <item x="15"/>
        <item x="30"/>
        <item x="37"/>
        <item x="39"/>
        <item x="42"/>
        <item x="45"/>
        <item x="46"/>
        <item x="10"/>
        <item x="7"/>
        <item x="48"/>
        <item x="12"/>
        <item x="16"/>
        <item x="41"/>
        <item x="44"/>
        <item x="1"/>
        <item x="49"/>
        <item x="11"/>
        <item x="6"/>
        <item x="5"/>
        <item x="9"/>
        <item x="34"/>
        <item x="17"/>
        <item x="40"/>
        <item x="22"/>
        <item x="23"/>
        <item x="8"/>
        <item x="21"/>
        <item x="35"/>
        <item x="38"/>
        <item x="32"/>
        <item x="24"/>
        <item x="31"/>
        <item x="25"/>
        <item x="33"/>
        <item x="36"/>
        <item x="26"/>
        <item x="27"/>
        <item x="28"/>
        <item x="29"/>
        <item t="default"/>
      </items>
      <extLst>
        <ext xmlns:x14="http://schemas.microsoft.com/office/spreadsheetml/2009/9/main" uri="{2946ED86-A175-432a-8AC1-64E0C546D7DE}">
          <x14:pivotField fillDownLabels="1"/>
        </ext>
      </extLst>
    </pivotField>
    <pivotField axis="axisRow" compact="0" outline="0" showAll="0" defaultSubtotal="0">
      <items count="107">
        <item x="89"/>
        <item x="10"/>
        <item x="104"/>
        <item x="97"/>
        <item x="12"/>
        <item x="3"/>
        <item x="28"/>
        <item x="99"/>
        <item x="0"/>
        <item x="51"/>
        <item x="29"/>
        <item x="22"/>
        <item x="41"/>
        <item x="25"/>
        <item x="76"/>
        <item x="98"/>
        <item x="78"/>
        <item x="43"/>
        <item x="82"/>
        <item x="2"/>
        <item x="8"/>
        <item x="30"/>
        <item x="38"/>
        <item x="36"/>
        <item x="27"/>
        <item x="96"/>
        <item x="91"/>
        <item x="24"/>
        <item x="95"/>
        <item x="103"/>
        <item x="45"/>
        <item x="53"/>
        <item x="31"/>
        <item x="49"/>
        <item x="72"/>
        <item x="14"/>
        <item x="75"/>
        <item x="11"/>
        <item x="93"/>
        <item x="59"/>
        <item x="102"/>
        <item x="61"/>
        <item x="5"/>
        <item x="1"/>
        <item x="52"/>
        <item x="70"/>
        <item x="73"/>
        <item x="80"/>
        <item x="71"/>
        <item x="33"/>
        <item x="85"/>
        <item x="74"/>
        <item x="64"/>
        <item x="62"/>
        <item x="94"/>
        <item x="68"/>
        <item x="26"/>
        <item x="48"/>
        <item x="6"/>
        <item x="65"/>
        <item x="37"/>
        <item x="4"/>
        <item x="54"/>
        <item x="60"/>
        <item x="13"/>
        <item x="58"/>
        <item x="50"/>
        <item x="9"/>
        <item x="88"/>
        <item x="63"/>
        <item x="16"/>
        <item x="47"/>
        <item x="100"/>
        <item x="66"/>
        <item x="19"/>
        <item x="83"/>
        <item x="92"/>
        <item x="34"/>
        <item x="86"/>
        <item x="7"/>
        <item x="39"/>
        <item x="84"/>
        <item x="87"/>
        <item x="101"/>
        <item x="77"/>
        <item x="90"/>
        <item x="35"/>
        <item x="44"/>
        <item x="21"/>
        <item x="42"/>
        <item x="56"/>
        <item x="32"/>
        <item x="57"/>
        <item x="69"/>
        <item x="67"/>
        <item x="18"/>
        <item x="105"/>
        <item x="40"/>
        <item x="15"/>
        <item x="17"/>
        <item x="55"/>
        <item x="106"/>
        <item x="81"/>
        <item x="23"/>
        <item x="46"/>
        <item x="79"/>
        <item x="20"/>
      </items>
      <extLst>
        <ext xmlns:x14="http://schemas.microsoft.com/office/spreadsheetml/2009/9/main" uri="{2946ED86-A175-432a-8AC1-64E0C546D7DE}">
          <x14:pivotField fillDownLabels="1"/>
        </ext>
      </extLst>
    </pivotField>
    <pivotField axis="axisRow" compact="0" outline="0" showAll="0" defaultSubtotal="0">
      <items count="108">
        <item x="104"/>
        <item x="47"/>
        <item x="92"/>
        <item x="41"/>
        <item x="86"/>
        <item x="20"/>
        <item x="19"/>
        <item x="96"/>
        <item x="33"/>
        <item x="67"/>
        <item x="3"/>
        <item x="25"/>
        <item x="80"/>
        <item x="58"/>
        <item x="24"/>
        <item x="97"/>
        <item x="46"/>
        <item x="22"/>
        <item x="64"/>
        <item x="99"/>
        <item x="65"/>
        <item x="2"/>
        <item x="18"/>
        <item x="11"/>
        <item x="17"/>
        <item x="37"/>
        <item x="51"/>
        <item x="103"/>
        <item x="95"/>
        <item x="30"/>
        <item x="48"/>
        <item x="45"/>
        <item x="43"/>
        <item x="28"/>
        <item x="62"/>
        <item x="49"/>
        <item x="82"/>
        <item x="38"/>
        <item x="60"/>
        <item x="34"/>
        <item x="79"/>
        <item x="88"/>
        <item x="87"/>
        <item x="10"/>
        <item x="7"/>
        <item x="90"/>
        <item x="102"/>
        <item x="39"/>
        <item x="40"/>
        <item x="54"/>
        <item x="73"/>
        <item x="27"/>
        <item x="72"/>
        <item x="63"/>
        <item x="69"/>
        <item x="8"/>
        <item x="53"/>
        <item x="70"/>
        <item x="23"/>
        <item x="26"/>
        <item x="106"/>
        <item x="4"/>
        <item x="5"/>
        <item x="31"/>
        <item x="91"/>
        <item x="15"/>
        <item x="100"/>
        <item x="105"/>
        <item x="76"/>
        <item x="101"/>
        <item x="107"/>
        <item x="85"/>
        <item x="6"/>
        <item x="61"/>
        <item x="71"/>
        <item x="14"/>
        <item x="12"/>
        <item x="1"/>
        <item x="68"/>
        <item x="0"/>
        <item x="29"/>
        <item x="35"/>
        <item x="83"/>
        <item x="56"/>
        <item x="16"/>
        <item x="44"/>
        <item x="77"/>
        <item x="52"/>
        <item x="55"/>
        <item x="32"/>
        <item x="66"/>
        <item x="75"/>
        <item x="57"/>
        <item x="84"/>
        <item x="21"/>
        <item x="36"/>
        <item x="89"/>
        <item x="93"/>
        <item x="74"/>
        <item x="78"/>
        <item x="98"/>
        <item x="81"/>
        <item x="42"/>
        <item x="9"/>
        <item x="50"/>
        <item x="94"/>
        <item x="13"/>
        <item x="59"/>
      </items>
      <extLst>
        <ext xmlns:x14="http://schemas.microsoft.com/office/spreadsheetml/2009/9/main" uri="{2946ED86-A175-432a-8AC1-64E0C546D7DE}">
          <x14:pivotField fillDownLabels="1"/>
        </ext>
      </extLst>
    </pivotField>
    <pivotField compact="0" outline="0" showAll="0">
      <extLst>
        <ext xmlns:x14="http://schemas.microsoft.com/office/spreadsheetml/2009/9/main" uri="{2946ED86-A175-432a-8AC1-64E0C546D7DE}">
          <x14:pivotField fillDownLabels="1"/>
        </ext>
      </extLst>
    </pivotField>
    <pivotField compact="0" outline="0" showAll="0">
      <extLst>
        <ext xmlns:x14="http://schemas.microsoft.com/office/spreadsheetml/2009/9/main" uri="{2946ED86-A175-432a-8AC1-64E0C546D7DE}">
          <x14:pivotField fillDownLabels="1"/>
        </ext>
      </extLst>
    </pivotField>
    <pivotField compact="0" numFmtId="14" outline="0" showAll="0" defaultSubtotal="0">
      <items count="25">
        <item x="1"/>
        <item x="0"/>
        <item x="2"/>
        <item x="4"/>
        <item x="3"/>
        <item x="5"/>
        <item x="8"/>
        <item x="9"/>
        <item x="11"/>
        <item x="10"/>
        <item x="12"/>
        <item x="7"/>
        <item x="6"/>
        <item x="13"/>
        <item x="19"/>
        <item x="21"/>
        <item x="14"/>
        <item x="20"/>
        <item x="15"/>
        <item x="22"/>
        <item x="24"/>
        <item x="16"/>
        <item x="17"/>
        <item x="18"/>
        <item x="23"/>
      </items>
      <extLst>
        <ext xmlns:x14="http://schemas.microsoft.com/office/spreadsheetml/2009/9/main" uri="{2946ED86-A175-432a-8AC1-64E0C546D7DE}">
          <x14:pivotField fillDownLabels="1"/>
        </ext>
      </extLst>
    </pivotField>
    <pivotField compact="0" outline="0" showAll="0">
      <extLst>
        <ext xmlns:x14="http://schemas.microsoft.com/office/spreadsheetml/2009/9/main" uri="{2946ED86-A175-432a-8AC1-64E0C546D7DE}">
          <x14:pivotField fillDownLabels="1"/>
        </ext>
      </extLst>
    </pivotField>
    <pivotField compact="0" outline="0" showAll="0">
      <extLst>
        <ext xmlns:x14="http://schemas.microsoft.com/office/spreadsheetml/2009/9/main" uri="{2946ED86-A175-432a-8AC1-64E0C546D7DE}">
          <x14:pivotField fillDownLabels="1"/>
        </ext>
      </extLst>
    </pivotField>
    <pivotField compact="0" outline="0" showAll="0">
      <extLst>
        <ext xmlns:x14="http://schemas.microsoft.com/office/spreadsheetml/2009/9/main" uri="{2946ED86-A175-432a-8AC1-64E0C546D7DE}">
          <x14:pivotField fillDownLabels="1"/>
        </ext>
      </extLst>
    </pivotField>
    <pivotField compact="0" outline="0" showAll="0">
      <extLst>
        <ext xmlns:x14="http://schemas.microsoft.com/office/spreadsheetml/2009/9/main" uri="{2946ED86-A175-432a-8AC1-64E0C546D7DE}">
          <x14:pivotField fillDownLabels="1"/>
        </ext>
      </extLst>
    </pivotField>
    <pivotField compact="0" outline="0" showAll="0">
      <extLst>
        <ext xmlns:x14="http://schemas.microsoft.com/office/spreadsheetml/2009/9/main" uri="{2946ED86-A175-432a-8AC1-64E0C546D7DE}">
          <x14:pivotField fillDownLabels="1"/>
        </ext>
      </extLst>
    </pivotField>
    <pivotField compact="0" outline="0" showAll="0">
      <extLst>
        <ext xmlns:x14="http://schemas.microsoft.com/office/spreadsheetml/2009/9/main" uri="{2946ED86-A175-432a-8AC1-64E0C546D7DE}">
          <x14:pivotField fillDownLabels="1"/>
        </ext>
      </extLst>
    </pivotField>
    <pivotField axis="axisRow" compact="0" outline="0" showAll="0" defaultSubtotal="0">
      <items count="2">
        <item x="0"/>
        <item x="1"/>
      </items>
      <extLst>
        <ext xmlns:x14="http://schemas.microsoft.com/office/spreadsheetml/2009/9/main" uri="{2946ED86-A175-432a-8AC1-64E0C546D7DE}">
          <x14:pivotField fillDownLabels="1"/>
        </ext>
      </extLst>
    </pivotField>
    <pivotField axis="axisRow" compact="0" outline="0" showAll="0" defaultSubtotal="0">
      <items count="7">
        <item x="5"/>
        <item x="2"/>
        <item x="0"/>
        <item x="4"/>
        <item x="1"/>
        <item x="3"/>
        <item x="6"/>
      </items>
      <extLst>
        <ext xmlns:x14="http://schemas.microsoft.com/office/spreadsheetml/2009/9/main" uri="{2946ED86-A175-432a-8AC1-64E0C546D7DE}">
          <x14:pivotField fillDownLabels="1"/>
        </ext>
      </extLst>
    </pivotField>
    <pivotField compact="0" outline="0" showAll="0">
      <items count="15">
        <item sd="0" x="0"/>
        <item sd="0" x="1"/>
        <item sd="0" x="2"/>
        <item sd="0" x="3"/>
        <item sd="0" x="4"/>
        <item sd="0" x="5"/>
        <item sd="0" x="6"/>
        <item sd="0" x="7"/>
        <item sd="0" x="8"/>
        <item sd="0" x="9"/>
        <item sd="0" x="10"/>
        <item sd="0" x="11"/>
        <item sd="0" x="12"/>
        <item sd="0" x="13"/>
        <item t="default"/>
      </items>
      <extLst>
        <ext xmlns:x14="http://schemas.microsoft.com/office/spreadsheetml/2009/9/main" uri="{2946ED86-A175-432a-8AC1-64E0C546D7DE}">
          <x14:pivotField fillDownLabels="1"/>
        </ext>
      </extLst>
    </pivotField>
    <pivotField compact="0" outline="0" showAll="0">
      <items count="7">
        <item sd="0" x="0"/>
        <item sd="0" x="1"/>
        <item sd="0" x="2"/>
        <item sd="0" x="3"/>
        <item sd="0" x="4"/>
        <item sd="0" x="5"/>
        <item t="default"/>
      </items>
      <extLst>
        <ext xmlns:x14="http://schemas.microsoft.com/office/spreadsheetml/2009/9/main" uri="{2946ED86-A175-432a-8AC1-64E0C546D7DE}">
          <x14:pivotField fillDownLabels="1"/>
        </ext>
      </extLst>
    </pivotField>
    <pivotField compact="0" outline="0" showAll="0">
      <items count="7">
        <item sd="0" x="0"/>
        <item sd="0" x="1"/>
        <item sd="0" x="2"/>
        <item sd="0" x="3"/>
        <item sd="0" x="4"/>
        <item sd="0" x="5"/>
        <item t="default"/>
      </items>
      <extLst>
        <ext xmlns:x14="http://schemas.microsoft.com/office/spreadsheetml/2009/9/main" uri="{2946ED86-A175-432a-8AC1-64E0C546D7DE}">
          <x14:pivotField fillDownLabels="1"/>
        </ext>
      </extLst>
    </pivotField>
  </pivotFields>
  <rowFields count="8">
    <field x="27"/>
    <field x="28"/>
    <field x="2"/>
    <field x="6"/>
    <field x="16"/>
    <field x="17"/>
    <field x="14"/>
    <field x="15"/>
  </rowFields>
  <rowItems count="446">
    <i>
      <x/>
      <x v="2"/>
      <x/>
      <x v="357"/>
      <x v="8"/>
      <x v="79"/>
      <x v="15"/>
      <x/>
    </i>
    <i r="2">
      <x v="1"/>
      <x v="177"/>
      <x v="35"/>
      <x v="84"/>
      <x v="12"/>
      <x v="22"/>
    </i>
    <i r="2">
      <x v="2"/>
      <x v="356"/>
      <x v="8"/>
      <x v="77"/>
      <x v="15"/>
      <x/>
    </i>
    <i r="2">
      <x v="3"/>
      <x v="173"/>
      <x v="67"/>
      <x v="24"/>
      <x v="11"/>
      <x v="29"/>
    </i>
    <i r="2">
      <x v="4"/>
      <x v="163"/>
      <x v="98"/>
      <x v="22"/>
      <x v="8"/>
      <x v="32"/>
    </i>
    <i r="2">
      <x v="5"/>
      <x v="151"/>
      <x v="1"/>
      <x v="76"/>
      <x/>
      <x v="5"/>
    </i>
    <i r="3">
      <x v="152"/>
      <x v="1"/>
      <x v="76"/>
      <x v="14"/>
      <x v="5"/>
    </i>
    <i r="2">
      <x v="6"/>
      <x v="187"/>
      <x v="67"/>
      <x v="23"/>
      <x v="11"/>
      <x v="29"/>
    </i>
    <i r="2">
      <x v="7"/>
      <x v="192"/>
      <x v="37"/>
      <x v="106"/>
      <x v="12"/>
      <x v="1"/>
    </i>
    <i r="2">
      <x v="8"/>
      <x v="359"/>
      <x v="43"/>
      <x v="21"/>
      <x v="15"/>
      <x/>
    </i>
    <i r="2">
      <x v="9"/>
      <x v="145"/>
      <x v="4"/>
      <x v="75"/>
      <x v="12"/>
      <x v="1"/>
    </i>
    <i r="2">
      <x v="10"/>
      <x v="144"/>
      <x v="4"/>
      <x v="75"/>
      <x v="12"/>
      <x v="1"/>
    </i>
    <i r="2">
      <x v="11"/>
      <x v="143"/>
      <x v="4"/>
      <x v="75"/>
      <x v="12"/>
      <x v="1"/>
    </i>
    <i r="2">
      <x v="20"/>
      <x v="140"/>
      <x v="5"/>
      <x v="61"/>
      <x v="12"/>
      <x v="1"/>
    </i>
    <i r="2">
      <x v="21"/>
      <x v="360"/>
      <x v="19"/>
      <x v="10"/>
      <x v="15"/>
      <x v="25"/>
    </i>
    <i r="2">
      <x v="22"/>
      <x v="136"/>
      <x v="5"/>
      <x v="62"/>
      <x v="12"/>
      <x v="1"/>
    </i>
    <i r="2">
      <x v="23"/>
      <x v="137"/>
      <x v="5"/>
      <x v="62"/>
      <x v="12"/>
      <x v="1"/>
    </i>
    <i r="2">
      <x v="25"/>
      <x v="198"/>
      <x v="61"/>
      <x v="72"/>
      <x v="13"/>
      <x v="2"/>
    </i>
    <i r="2">
      <x v="27"/>
      <x v="176"/>
      <x v="42"/>
      <x v="44"/>
      <x v="12"/>
      <x v="1"/>
    </i>
    <i r="2">
      <x v="29"/>
      <x v="188"/>
      <x v="61"/>
      <x v="55"/>
      <x v="12"/>
      <x v="1"/>
    </i>
    <i r="2">
      <x v="36"/>
      <x v="155"/>
      <x v="58"/>
      <x v="103"/>
      <x v="13"/>
      <x v="2"/>
    </i>
    <i r="2">
      <x v="40"/>
      <x v="201"/>
      <x v="79"/>
      <x v="43"/>
      <x v="12"/>
      <x v="1"/>
    </i>
    <i r="2">
      <x v="43"/>
      <x v="199"/>
      <x v="20"/>
      <x v="10"/>
      <x v="12"/>
      <x v="1"/>
    </i>
    <i r="2">
      <x v="63"/>
      <x v="204"/>
      <x v="67"/>
      <x v="23"/>
      <x v="12"/>
      <x v="1"/>
    </i>
    <i r="2">
      <x v="80"/>
      <x v="181"/>
      <x v="70"/>
      <x v="6"/>
      <x v="8"/>
      <x v="9"/>
    </i>
    <i r="2">
      <x v="82"/>
      <x v="179"/>
      <x v="70"/>
      <x v="6"/>
      <x v="8"/>
      <x v="9"/>
    </i>
    <i r="2">
      <x v="84"/>
      <x v="147"/>
      <x v="99"/>
      <x v="5"/>
      <x v="8"/>
      <x v="32"/>
    </i>
    <i r="2">
      <x v="86"/>
      <x v="183"/>
      <x v="95"/>
      <x v="94"/>
      <x v="11"/>
      <x v="29"/>
    </i>
    <i r="2">
      <x v="88"/>
      <x v="150"/>
      <x v="74"/>
      <x v="17"/>
      <x v="8"/>
      <x v="9"/>
    </i>
    <i r="2">
      <x v="90"/>
      <x v="182"/>
      <x v="95"/>
      <x v="58"/>
      <x v="8"/>
      <x v="8"/>
    </i>
    <i r="2">
      <x v="92"/>
      <x v="189"/>
      <x v="88"/>
      <x v="14"/>
      <x v="8"/>
      <x v="9"/>
    </i>
    <i r="2">
      <x v="94"/>
      <x v="190"/>
      <x v="106"/>
      <x v="17"/>
      <x v="8"/>
      <x v="9"/>
    </i>
    <i r="2">
      <x v="96"/>
      <x v="195"/>
      <x v="11"/>
      <x v="11"/>
      <x v="8"/>
      <x v="9"/>
    </i>
    <i r="2">
      <x v="98"/>
      <x v="180"/>
      <x v="103"/>
      <x v="6"/>
      <x v="8"/>
      <x v="9"/>
    </i>
    <i r="2">
      <x v="99"/>
      <x v="203"/>
      <x v="74"/>
      <x v="17"/>
      <x v="8"/>
      <x v="9"/>
    </i>
    <i r="2">
      <x v="101"/>
      <x v="185"/>
      <x v="27"/>
      <x v="59"/>
      <x v="8"/>
      <x v="3"/>
    </i>
    <i r="2">
      <x v="103"/>
      <x v="172"/>
      <x v="13"/>
      <x v="51"/>
      <x v="8"/>
      <x v="9"/>
    </i>
    <i r="2">
      <x v="105"/>
      <x v="148"/>
      <x v="56"/>
      <x v="33"/>
      <x v="8"/>
      <x v="9"/>
    </i>
    <i r="2">
      <x v="109"/>
      <x v="184"/>
      <x v="70"/>
      <x v="6"/>
      <x v="8"/>
      <x v="9"/>
    </i>
    <i r="2">
      <x v="111"/>
      <x v="156"/>
      <x v="74"/>
      <x v="17"/>
      <x v="8"/>
      <x v="3"/>
    </i>
    <i r="2">
      <x v="113"/>
      <x v="153"/>
      <x v="8"/>
      <x v="80"/>
      <x v="14"/>
      <x v="37"/>
    </i>
    <i r="2">
      <x v="115"/>
      <x v="191"/>
      <x v="24"/>
      <x v="29"/>
      <x v="8"/>
      <x v="9"/>
    </i>
    <i r="2">
      <x v="117"/>
      <x v="193"/>
      <x v="6"/>
      <x v="63"/>
      <x v="8"/>
      <x v="3"/>
    </i>
    <i r="2">
      <x v="119"/>
      <x v="141"/>
      <x v="4"/>
      <x v="8"/>
      <x v="8"/>
      <x v="3"/>
    </i>
    <i r="2">
      <x v="121"/>
      <x v="154"/>
      <x v="21"/>
      <x v="39"/>
      <x v="8"/>
      <x v="32"/>
    </i>
    <i r="2">
      <x v="123"/>
      <x v="200"/>
      <x v="32"/>
      <x v="24"/>
      <x v="12"/>
      <x v="4"/>
    </i>
    <i r="2">
      <x v="125"/>
      <x v="165"/>
      <x v="91"/>
      <x v="81"/>
      <x v="10"/>
      <x v="34"/>
    </i>
    <i r="2">
      <x v="127"/>
      <x v="178"/>
      <x v="49"/>
      <x v="95"/>
      <x v="8"/>
      <x v="3"/>
    </i>
    <i r="2">
      <x v="129"/>
      <x v="170"/>
      <x v="77"/>
      <x v="25"/>
      <x v="9"/>
      <x v="35"/>
    </i>
    <i r="2">
      <x v="131"/>
      <x v="161"/>
      <x v="86"/>
      <x v="37"/>
      <x v="8"/>
      <x v="3"/>
    </i>
    <i r="2">
      <x v="133"/>
      <x v="171"/>
      <x v="86"/>
      <x v="37"/>
      <x v="8"/>
      <x v="3"/>
    </i>
    <i r="2">
      <x v="134"/>
      <x v="158"/>
      <x v="43"/>
      <x v="47"/>
      <x v="12"/>
      <x v="4"/>
    </i>
    <i r="2">
      <x v="136"/>
      <x v="174"/>
      <x v="43"/>
      <x v="47"/>
      <x v="8"/>
      <x v="3"/>
    </i>
    <i r="2">
      <x v="138"/>
      <x v="197"/>
      <x v="42"/>
      <x v="48"/>
      <x v="12"/>
      <x v="4"/>
    </i>
    <i r="2">
      <x v="140"/>
      <x v="196"/>
      <x v="42"/>
      <x v="48"/>
      <x v="8"/>
      <x v="3"/>
    </i>
    <i r="2">
      <x v="147"/>
      <x v="149"/>
      <x v="20"/>
      <x v="10"/>
      <x v="14"/>
      <x v="5"/>
    </i>
    <i r="2">
      <x v="294"/>
      <x v="287"/>
      <x v="64"/>
      <x v="65"/>
      <x v="1"/>
      <x v="11"/>
    </i>
    <i r="7">
      <x v="30"/>
    </i>
    <i r="7">
      <x v="36"/>
    </i>
    <i r="6">
      <x v="3"/>
      <x v="18"/>
    </i>
    <i r="7">
      <x v="19"/>
    </i>
    <i r="7">
      <x v="28"/>
    </i>
    <i r="6">
      <x v="4"/>
      <x v="27"/>
    </i>
    <i r="6">
      <x v="5"/>
      <x v="28"/>
    </i>
    <i r="6">
      <x v="6"/>
      <x v="10"/>
    </i>
    <i r="7">
      <x v="21"/>
    </i>
    <i r="6">
      <x v="12"/>
      <x v="4"/>
    </i>
    <i r="2">
      <x v="341"/>
      <x v="194"/>
      <x v="106"/>
      <x v="17"/>
      <x v="8"/>
      <x v="9"/>
    </i>
    <i r="2">
      <x v="342"/>
      <x v="142"/>
      <x v="10"/>
      <x v="89"/>
      <x v="8"/>
      <x v="3"/>
    </i>
    <i r="2">
      <x v="343"/>
      <x v="186"/>
      <x v="27"/>
      <x v="59"/>
      <x v="8"/>
      <x v="9"/>
    </i>
    <i>
      <x v="1"/>
      <x/>
      <x v="296"/>
      <x v="342"/>
      <x v="73"/>
      <x v="54"/>
      <x/>
      <x v="41"/>
    </i>
    <i r="2">
      <x v="297"/>
      <x v="235"/>
      <x v="73"/>
      <x v="54"/>
      <x/>
      <x v="41"/>
    </i>
    <i r="2">
      <x v="298"/>
      <x v="115"/>
      <x v="73"/>
      <x v="54"/>
      <x/>
      <x v="41"/>
    </i>
    <i r="2">
      <x v="299"/>
      <x v="364"/>
      <x v="73"/>
      <x v="54"/>
      <x/>
      <x v="41"/>
    </i>
    <i r="2">
      <x v="300"/>
      <x v="363"/>
      <x v="73"/>
      <x v="54"/>
      <x/>
      <x v="42"/>
    </i>
    <i r="2">
      <x v="301"/>
      <x v="222"/>
      <x v="100"/>
      <x v="73"/>
      <x/>
      <x v="38"/>
    </i>
    <i r="2">
      <x v="302"/>
      <x v="38"/>
      <x v="69"/>
      <x v="6"/>
      <x/>
      <x v="39"/>
    </i>
    <i r="2">
      <x v="303"/>
      <x v="37"/>
      <x v="105"/>
      <x v="17"/>
      <x/>
      <x v="38"/>
    </i>
    <i r="2">
      <x v="304"/>
      <x v="341"/>
      <x v="73"/>
      <x v="54"/>
      <x/>
      <x v="41"/>
    </i>
    <i r="2">
      <x v="305"/>
      <x v="41"/>
      <x v="83"/>
      <x v="101"/>
      <x/>
      <x v="43"/>
    </i>
    <i r="2">
      <x v="306"/>
      <x v="21"/>
      <x v="87"/>
      <x v="13"/>
      <x/>
      <x v="38"/>
    </i>
    <i r="2">
      <x v="307"/>
      <x v="48"/>
      <x/>
      <x v="42"/>
      <x/>
      <x v="40"/>
    </i>
    <i r="2">
      <x v="308"/>
      <x v="9"/>
      <x v="87"/>
      <x v="13"/>
      <x/>
      <x v="39"/>
    </i>
    <i r="2">
      <x v="309"/>
      <x v="90"/>
      <x v="42"/>
      <x v="47"/>
      <x/>
      <x v="41"/>
    </i>
    <i r="2">
      <x v="310"/>
      <x v="358"/>
      <x v="87"/>
      <x v="14"/>
      <x/>
      <x v="38"/>
    </i>
    <i r="2">
      <x v="311"/>
      <x v="114"/>
      <x v="73"/>
      <x v="54"/>
      <x/>
      <x v="41"/>
    </i>
    <i r="2">
      <x v="312"/>
      <x v="329"/>
      <x v="73"/>
      <x v="54"/>
      <x/>
      <x v="41"/>
    </i>
    <i r="2">
      <x v="313"/>
      <x v="345"/>
      <x v="73"/>
      <x v="54"/>
      <x/>
      <x v="44"/>
    </i>
    <i r="1">
      <x v="1"/>
      <x v="192"/>
      <x v="68"/>
      <x v="17"/>
      <x v="30"/>
      <x/>
      <x v="42"/>
    </i>
    <i r="2">
      <x v="328"/>
      <x v="223"/>
      <x v="17"/>
      <x v="30"/>
      <x/>
      <x v="39"/>
    </i>
    <i r="7">
      <x v="42"/>
    </i>
    <i r="2">
      <x v="329"/>
      <x v="250"/>
      <x v="17"/>
      <x v="30"/>
      <x/>
      <x v="39"/>
    </i>
    <i r="2">
      <x v="330"/>
      <x v="249"/>
      <x v="18"/>
      <x v="30"/>
      <x/>
      <x v="45"/>
    </i>
    <i r="2">
      <x v="331"/>
      <x v="63"/>
      <x v="17"/>
      <x v="30"/>
      <x/>
      <x v="42"/>
    </i>
    <i r="2">
      <x v="332"/>
      <x v="67"/>
      <x v="17"/>
      <x v="30"/>
      <x/>
      <x v="42"/>
    </i>
    <i r="2">
      <x v="333"/>
      <x v="41"/>
      <x v="75"/>
      <x v="101"/>
      <x/>
      <x v="45"/>
    </i>
    <i r="7">
      <x v="46"/>
    </i>
    <i r="2">
      <x v="334"/>
      <x v="369"/>
      <x v="87"/>
      <x v="15"/>
      <x/>
      <x v="39"/>
    </i>
    <i r="2">
      <x v="335"/>
      <x v="50"/>
      <x v="72"/>
      <x v="46"/>
      <x/>
      <x v="40"/>
    </i>
    <i r="2">
      <x v="336"/>
      <x v="372"/>
      <x v="87"/>
      <x v="14"/>
      <x/>
      <x v="40"/>
    </i>
    <i r="2">
      <x v="337"/>
      <x v="367"/>
      <x v="87"/>
      <x v="14"/>
      <x/>
      <x v="40"/>
    </i>
    <i r="2">
      <x v="338"/>
      <x v="84"/>
      <x v="87"/>
      <x v="14"/>
      <x/>
      <x v="38"/>
    </i>
    <i r="2">
      <x v="339"/>
      <x v="219"/>
      <x v="17"/>
      <x v="30"/>
      <x/>
      <x v="39"/>
    </i>
    <i r="7">
      <x v="43"/>
    </i>
    <i r="2">
      <x v="340"/>
      <x v="65"/>
      <x v="17"/>
      <x v="30"/>
      <x/>
      <x v="42"/>
    </i>
    <i r="2">
      <x v="344"/>
      <x v="40"/>
      <x v="60"/>
      <x v="102"/>
      <x v="7"/>
      <x v="12"/>
    </i>
    <i r="2">
      <x v="345"/>
      <x v="330"/>
      <x v="22"/>
      <x v="32"/>
      <x/>
      <x v="41"/>
    </i>
    <i r="7">
      <x v="42"/>
    </i>
    <i r="2">
      <x v="346"/>
      <x v="29"/>
      <x v="60"/>
      <x v="102"/>
      <x/>
      <x v="40"/>
    </i>
    <i r="2">
      <x v="347"/>
      <x v="81"/>
      <x v="12"/>
      <x v="16"/>
      <x/>
      <x v="45"/>
    </i>
    <i r="2">
      <x v="348"/>
      <x v="62"/>
      <x v="12"/>
      <x v="16"/>
      <x/>
      <x v="39"/>
    </i>
    <i r="2">
      <x v="349"/>
      <x v="275"/>
      <x v="12"/>
      <x v="16"/>
      <x/>
      <x v="43"/>
    </i>
    <i r="7">
      <x v="49"/>
    </i>
    <i r="2">
      <x v="350"/>
      <x v="80"/>
      <x v="12"/>
      <x v="16"/>
      <x/>
      <x v="46"/>
    </i>
    <i r="2">
      <x v="351"/>
      <x v="28"/>
      <x v="60"/>
      <x v="102"/>
      <x/>
      <x v="40"/>
    </i>
    <i r="2">
      <x v="352"/>
      <x v="247"/>
      <x v="12"/>
      <x v="16"/>
      <x/>
      <x v="38"/>
    </i>
    <i r="2">
      <x v="353"/>
      <x v="257"/>
      <x v="12"/>
      <x v="16"/>
      <x/>
      <x v="40"/>
    </i>
    <i r="2">
      <x v="354"/>
      <x v="101"/>
      <x v="12"/>
      <x v="16"/>
      <x/>
      <x v="41"/>
    </i>
    <i r="2">
      <x v="355"/>
      <x v="246"/>
      <x v="12"/>
      <x v="16"/>
      <x/>
      <x v="40"/>
    </i>
    <i r="2">
      <x v="356"/>
      <x v="370"/>
      <x v="87"/>
      <x v="14"/>
      <x/>
      <x v="40"/>
    </i>
    <i r="2">
      <x v="357"/>
      <x v="274"/>
      <x v="87"/>
      <x v="14"/>
      <x/>
      <x v="38"/>
    </i>
    <i r="2">
      <x v="358"/>
      <x v="373"/>
      <x v="87"/>
      <x v="14"/>
      <x/>
      <x v="38"/>
    </i>
    <i r="2">
      <x v="359"/>
      <x v="85"/>
      <x v="87"/>
      <x v="14"/>
      <x/>
      <x v="39"/>
    </i>
    <i r="2">
      <x v="360"/>
      <x v="368"/>
      <x v="87"/>
      <x v="14"/>
      <x/>
      <x v="38"/>
    </i>
    <i r="2">
      <x v="361"/>
      <x v="383"/>
      <x v="87"/>
      <x v="14"/>
      <x/>
      <x v="38"/>
    </i>
    <i r="2">
      <x v="362"/>
      <x v="86"/>
      <x v="87"/>
      <x v="14"/>
      <x/>
      <x v="44"/>
    </i>
    <i r="2">
      <x v="363"/>
      <x v="87"/>
      <x v="87"/>
      <x v="14"/>
      <x/>
      <x v="45"/>
    </i>
    <i r="2">
      <x v="364"/>
      <x v="271"/>
      <x v="87"/>
      <x v="14"/>
      <x/>
      <x v="40"/>
    </i>
    <i r="2">
      <x v="365"/>
      <x v="88"/>
      <x v="87"/>
      <x v="14"/>
      <x/>
      <x v="48"/>
    </i>
    <i r="2">
      <x v="366"/>
      <x v="242"/>
      <x v="87"/>
      <x v="14"/>
      <x/>
      <x v="38"/>
    </i>
    <i r="2">
      <x v="367"/>
      <x v="74"/>
      <x v="87"/>
      <x v="14"/>
      <x/>
      <x v="39"/>
    </i>
    <i r="2">
      <x v="368"/>
      <x v="331"/>
      <x v="62"/>
      <x v="107"/>
      <x/>
      <x v="40"/>
    </i>
    <i r="2">
      <x v="369"/>
      <x v="272"/>
      <x v="87"/>
      <x v="14"/>
      <x/>
      <x v="40"/>
    </i>
    <i r="2">
      <x v="370"/>
      <x v="273"/>
      <x v="87"/>
      <x v="14"/>
      <x/>
      <x v="40"/>
    </i>
    <i r="2">
      <x v="371"/>
      <x v="278"/>
      <x v="30"/>
      <x v="35"/>
      <x/>
      <x v="47"/>
    </i>
    <i r="2">
      <x v="372"/>
      <x v="61"/>
      <x v="87"/>
      <x v="14"/>
      <x/>
      <x v="45"/>
    </i>
    <i r="2">
      <x v="373"/>
      <x v="233"/>
      <x v="39"/>
      <x v="20"/>
      <x/>
      <x v="41"/>
    </i>
    <i r="2">
      <x v="374"/>
      <x v="263"/>
      <x v="39"/>
      <x v="20"/>
      <x/>
      <x v="43"/>
    </i>
    <i r="2">
      <x v="375"/>
      <x v="280"/>
      <x v="89"/>
      <x v="1"/>
      <x/>
      <x v="44"/>
    </i>
    <i r="7">
      <x v="47"/>
    </i>
    <i r="2">
      <x v="376"/>
      <x v="374"/>
      <x v="87"/>
      <x v="14"/>
      <x/>
      <x v="40"/>
    </i>
    <i r="1">
      <x v="3"/>
      <x v="12"/>
      <x v="291"/>
      <x v="80"/>
      <x v="85"/>
      <x/>
      <x v="46"/>
    </i>
    <i r="2">
      <x v="13"/>
      <x v="104"/>
      <x v="80"/>
      <x v="85"/>
      <x/>
      <x v="43"/>
    </i>
    <i r="2">
      <x v="14"/>
      <x v="105"/>
      <x v="80"/>
      <x v="85"/>
      <x/>
      <x v="44"/>
    </i>
    <i r="2">
      <x v="15"/>
      <x v="10"/>
      <x v="97"/>
      <x v="31"/>
      <x/>
      <x v="40"/>
    </i>
    <i r="2">
      <x v="16"/>
      <x v="11"/>
      <x v="97"/>
      <x v="31"/>
      <x/>
      <x v="40"/>
    </i>
    <i r="2">
      <x v="17"/>
      <x v="237"/>
      <x v="97"/>
      <x v="31"/>
      <x/>
      <x v="40"/>
    </i>
    <i r="2">
      <x v="18"/>
      <x v="2"/>
      <x v="12"/>
      <x v="16"/>
      <x/>
      <x v="48"/>
    </i>
    <i r="2">
      <x v="19"/>
      <x v="283"/>
      <x v="12"/>
      <x v="16"/>
      <x/>
      <x v="41"/>
    </i>
    <i r="7">
      <x v="44"/>
    </i>
    <i r="7">
      <x v="46"/>
    </i>
    <i r="7">
      <x v="49"/>
    </i>
    <i r="6">
      <x v="2"/>
      <x v="31"/>
    </i>
    <i r="2">
      <x v="24"/>
      <x v="3"/>
      <x v="12"/>
      <x v="16"/>
      <x/>
      <x v="40"/>
    </i>
    <i r="2">
      <x v="26"/>
      <x v="269"/>
      <x v="12"/>
      <x v="16"/>
      <x/>
      <x v="38"/>
    </i>
    <i r="2">
      <x v="28"/>
      <x v="76"/>
      <x v="12"/>
      <x v="16"/>
      <x/>
      <x v="42"/>
    </i>
    <i r="2">
      <x v="30"/>
      <x v="79"/>
      <x v="12"/>
      <x v="16"/>
      <x/>
      <x v="43"/>
    </i>
    <i r="2">
      <x v="31"/>
      <x v="282"/>
      <x v="12"/>
      <x v="16"/>
      <x/>
      <x v="45"/>
    </i>
    <i r="2">
      <x v="32"/>
      <x v="146"/>
      <x v="4"/>
      <x v="8"/>
      <x v="8"/>
      <x v="13"/>
    </i>
    <i r="2">
      <x v="33"/>
      <x v="349"/>
      <x v="12"/>
      <x v="16"/>
      <x/>
      <x v="42"/>
    </i>
    <i r="2">
      <x v="34"/>
      <x v="32"/>
      <x v="60"/>
      <x v="102"/>
      <x/>
      <x v="40"/>
    </i>
    <i r="2">
      <x v="35"/>
      <x v="139"/>
      <x v="4"/>
      <x v="8"/>
      <x v="12"/>
      <x v="14"/>
    </i>
    <i r="2">
      <x v="37"/>
      <x v="348"/>
      <x v="12"/>
      <x v="16"/>
      <x/>
      <x v="38"/>
    </i>
    <i r="2">
      <x v="38"/>
      <x v="138"/>
      <x v="4"/>
      <x v="8"/>
      <x v="8"/>
      <x v="13"/>
    </i>
    <i r="2">
      <x v="39"/>
      <x v="251"/>
      <x v="12"/>
      <x v="16"/>
      <x/>
      <x v="40"/>
    </i>
    <i r="2">
      <x v="41"/>
      <x v="92"/>
      <x v="89"/>
      <x v="1"/>
      <x/>
      <x v="40"/>
    </i>
    <i r="2">
      <x v="42"/>
      <x v="334"/>
      <x v="12"/>
      <x v="16"/>
      <x/>
      <x v="38"/>
    </i>
    <i r="2">
      <x v="44"/>
      <x v="377"/>
      <x v="17"/>
      <x v="30"/>
      <x/>
      <x v="47"/>
    </i>
    <i r="2">
      <x v="45"/>
      <x v="323"/>
      <x v="87"/>
      <x v="14"/>
      <x/>
      <x v="39"/>
    </i>
    <i r="2">
      <x v="46"/>
      <x v="93"/>
      <x v="30"/>
      <x v="35"/>
      <x/>
      <x v="40"/>
    </i>
    <i r="2">
      <x v="47"/>
      <x v="243"/>
      <x v="30"/>
      <x v="35"/>
      <x/>
      <x v="40"/>
    </i>
    <i r="2">
      <x v="48"/>
      <x v="255"/>
      <x v="87"/>
      <x v="14"/>
      <x/>
      <x v="38"/>
    </i>
    <i r="7">
      <x v="40"/>
    </i>
    <i r="7">
      <x v="41"/>
    </i>
    <i r="2">
      <x v="49"/>
      <x v="8"/>
      <x v="17"/>
      <x v="30"/>
      <x/>
      <x v="38"/>
    </i>
    <i r="7">
      <x v="40"/>
    </i>
    <i r="2">
      <x v="50"/>
      <x v="279"/>
      <x v="30"/>
      <x v="35"/>
      <x/>
      <x v="44"/>
    </i>
    <i r="2">
      <x v="51"/>
      <x v="207"/>
      <x v="87"/>
      <x v="14"/>
      <x/>
      <x v="38"/>
    </i>
    <i r="2">
      <x v="52"/>
      <x v="103"/>
      <x v="104"/>
      <x v="104"/>
      <x/>
      <x v="38"/>
    </i>
    <i r="2">
      <x v="53"/>
      <x v="227"/>
      <x v="80"/>
      <x v="85"/>
      <x/>
      <x v="42"/>
    </i>
    <i r="2">
      <x v="54"/>
      <x v="73"/>
      <x v="17"/>
      <x v="30"/>
      <x/>
      <x v="44"/>
    </i>
    <i r="2">
      <x v="55"/>
      <x v="380"/>
      <x v="17"/>
      <x v="30"/>
      <x/>
      <x v="40"/>
    </i>
    <i r="2">
      <x v="56"/>
      <x v="294"/>
      <x v="17"/>
      <x v="30"/>
      <x/>
      <x v="42"/>
    </i>
    <i r="2">
      <x v="57"/>
      <x v="248"/>
      <x v="17"/>
      <x v="30"/>
      <x/>
      <x v="38"/>
    </i>
    <i r="7">
      <x v="41"/>
    </i>
    <i r="7">
      <x v="43"/>
    </i>
    <i r="2">
      <x v="58"/>
      <x v="164"/>
      <x v="98"/>
      <x v="26"/>
      <x v="8"/>
      <x v="33"/>
    </i>
    <i r="2">
      <x v="59"/>
      <x v="319"/>
      <x v="71"/>
      <x v="87"/>
      <x/>
      <x v="40"/>
    </i>
    <i r="2">
      <x v="60"/>
      <x v="328"/>
      <x v="57"/>
      <x v="56"/>
      <x/>
      <x v="39"/>
    </i>
    <i r="7">
      <x v="42"/>
    </i>
    <i r="7">
      <x v="48"/>
    </i>
    <i r="2">
      <x v="61"/>
      <x v="157"/>
      <x v="33"/>
      <x v="26"/>
      <x v="8"/>
      <x v="23"/>
    </i>
    <i r="2">
      <x v="62"/>
      <x v="313"/>
      <x v="66"/>
      <x v="49"/>
      <x/>
      <x v="38"/>
    </i>
    <i r="2">
      <x v="64"/>
      <x v="52"/>
      <x v="9"/>
      <x v="88"/>
      <x/>
      <x v="41"/>
    </i>
    <i r="2">
      <x v="65"/>
      <x v="258"/>
      <x v="44"/>
      <x v="83"/>
      <x/>
      <x v="40"/>
    </i>
    <i r="2">
      <x v="66"/>
      <x v="384"/>
      <x v="31"/>
      <x v="92"/>
      <x/>
      <x v="45"/>
    </i>
    <i r="2">
      <x v="67"/>
      <x v="295"/>
      <x v="87"/>
      <x v="13"/>
      <x/>
      <x v="39"/>
    </i>
    <i r="2">
      <x v="68"/>
      <x v="116"/>
      <x v="87"/>
      <x v="13"/>
      <x/>
      <x v="39"/>
    </i>
    <i r="2">
      <x v="69"/>
      <x v="284"/>
      <x v="87"/>
      <x v="13"/>
      <x/>
      <x v="40"/>
    </i>
    <i r="2">
      <x v="70"/>
      <x v="325"/>
      <x v="87"/>
      <x v="13"/>
      <x/>
      <x v="39"/>
    </i>
    <i r="2">
      <x v="71"/>
      <x v="296"/>
      <x v="87"/>
      <x v="13"/>
      <x/>
      <x v="40"/>
    </i>
    <i r="2">
      <x v="72"/>
      <x v="244"/>
      <x v="87"/>
      <x v="13"/>
      <x/>
      <x v="41"/>
    </i>
    <i r="2">
      <x v="73"/>
      <x v="340"/>
      <x v="87"/>
      <x v="13"/>
      <x/>
      <x v="38"/>
    </i>
    <i r="2">
      <x v="74"/>
      <x v="236"/>
      <x v="87"/>
      <x v="13"/>
      <x/>
      <x v="44"/>
    </i>
    <i r="2">
      <x v="75"/>
      <x v="298"/>
      <x v="87"/>
      <x v="13"/>
      <x/>
      <x v="40"/>
    </i>
    <i r="2">
      <x v="76"/>
      <x v="297"/>
      <x v="87"/>
      <x v="13"/>
      <x/>
      <x v="41"/>
    </i>
    <i r="2">
      <x v="77"/>
      <x v="376"/>
      <x v="66"/>
      <x v="49"/>
      <x/>
      <x v="38"/>
    </i>
    <i r="2">
      <x v="78"/>
      <x v="299"/>
      <x v="87"/>
      <x v="13"/>
      <x/>
      <x v="43"/>
    </i>
    <i r="2">
      <x v="79"/>
      <x v="366"/>
      <x v="87"/>
      <x v="13"/>
      <x v="3"/>
      <x v="15"/>
    </i>
    <i r="2">
      <x v="81"/>
      <x v="365"/>
      <x v="87"/>
      <x v="13"/>
      <x/>
      <x v="42"/>
    </i>
    <i r="2">
      <x v="83"/>
      <x v="338"/>
      <x v="87"/>
      <x v="13"/>
      <x/>
      <x v="40"/>
    </i>
    <i r="2">
      <x v="85"/>
      <x v="301"/>
      <x v="87"/>
      <x v="13"/>
      <x/>
      <x v="43"/>
    </i>
    <i r="2">
      <x v="87"/>
      <x v="302"/>
      <x v="87"/>
      <x v="13"/>
      <x/>
      <x v="45"/>
    </i>
    <i r="2">
      <x v="89"/>
      <x v="286"/>
      <x v="87"/>
      <x v="13"/>
      <x/>
      <x v="45"/>
    </i>
    <i r="2">
      <x v="91"/>
      <x v="317"/>
      <x v="87"/>
      <x v="14"/>
      <x v="8"/>
      <x v="6"/>
    </i>
    <i r="2">
      <x v="93"/>
      <x v="308"/>
      <x v="87"/>
      <x v="14"/>
      <x/>
      <x v="40"/>
    </i>
    <i r="2">
      <x v="95"/>
      <x v="160"/>
      <x v="86"/>
      <x v="37"/>
      <x v="8"/>
      <x v="3"/>
    </i>
    <i r="2">
      <x v="97"/>
      <x v="159"/>
      <x v="86"/>
      <x v="38"/>
      <x v="8"/>
      <x v="3"/>
    </i>
    <i r="2">
      <x v="100"/>
      <x v="276"/>
      <x v="30"/>
      <x v="35"/>
      <x/>
      <x v="47"/>
    </i>
    <i r="2">
      <x v="102"/>
      <x v="277"/>
      <x v="30"/>
      <x v="35"/>
      <x/>
      <x v="47"/>
    </i>
    <i r="2">
      <x v="104"/>
      <x v="336"/>
      <x v="66"/>
      <x v="49"/>
      <x/>
      <x v="38"/>
    </i>
    <i r="2">
      <x v="106"/>
      <x v="306"/>
      <x v="100"/>
      <x v="73"/>
      <x/>
      <x v="39"/>
    </i>
    <i r="2">
      <x v="107"/>
      <x v="382"/>
      <x v="100"/>
      <x v="73"/>
      <x/>
      <x v="40"/>
    </i>
    <i r="2">
      <x v="108"/>
      <x v="254"/>
      <x v="66"/>
      <x v="49"/>
      <x/>
      <x v="38"/>
    </i>
    <i r="2">
      <x v="110"/>
      <x v="60"/>
      <x v="66"/>
      <x v="49"/>
      <x/>
      <x v="39"/>
    </i>
    <i r="2">
      <x v="112"/>
      <x v="109"/>
      <x v="90"/>
      <x v="34"/>
      <x/>
      <x v="47"/>
    </i>
    <i r="2">
      <x v="114"/>
      <x v="1"/>
      <x v="24"/>
      <x v="29"/>
      <x/>
      <x v="43"/>
    </i>
    <i r="2">
      <x v="116"/>
      <x v="134"/>
      <x v="92"/>
      <x v="53"/>
      <x/>
      <x v="47"/>
    </i>
    <i r="2">
      <x v="118"/>
      <x v="232"/>
      <x v="24"/>
      <x v="29"/>
      <x/>
      <x v="44"/>
    </i>
    <i r="2">
      <x v="120"/>
      <x v="175"/>
      <x v="98"/>
      <x v="26"/>
      <x v="14"/>
      <x v="24"/>
    </i>
    <i r="2">
      <x v="122"/>
      <x v="16"/>
      <x v="65"/>
      <x v="18"/>
      <x/>
      <x v="40"/>
    </i>
    <i r="2">
      <x v="124"/>
      <x v="19"/>
      <x v="65"/>
      <x v="18"/>
      <x/>
      <x v="40"/>
    </i>
    <i r="2">
      <x v="126"/>
      <x v="215"/>
      <x v="65"/>
      <x v="18"/>
      <x/>
      <x v="40"/>
    </i>
    <i r="2">
      <x v="128"/>
      <x v="240"/>
      <x v="65"/>
      <x v="18"/>
      <x/>
      <x v="40"/>
    </i>
    <i r="2">
      <x v="130"/>
      <x v="43"/>
      <x v="65"/>
      <x v="18"/>
      <x/>
      <x v="40"/>
    </i>
    <i r="2">
      <x v="132"/>
      <x v="288"/>
      <x v="63"/>
      <x v="65"/>
      <x/>
      <x v="43"/>
    </i>
    <i r="6">
      <x v="2"/>
      <x v="16"/>
    </i>
    <i r="2">
      <x v="135"/>
      <x v="162"/>
      <x v="63"/>
      <x v="65"/>
      <x v="8"/>
      <x v="6"/>
    </i>
    <i r="2">
      <x v="137"/>
      <x v="253"/>
      <x v="41"/>
      <x v="90"/>
      <x/>
      <x v="40"/>
    </i>
    <i r="2">
      <x v="139"/>
      <x v="206"/>
      <x v="30"/>
      <x v="35"/>
      <x/>
      <x v="42"/>
    </i>
    <i r="2">
      <x v="141"/>
      <x v="208"/>
      <x v="30"/>
      <x v="35"/>
      <x/>
      <x v="47"/>
    </i>
    <i r="2">
      <x v="142"/>
      <x v="71"/>
      <x v="69"/>
      <x v="6"/>
      <x/>
      <x v="41"/>
    </i>
    <i r="2">
      <x v="143"/>
      <x v="261"/>
      <x v="11"/>
      <x v="9"/>
      <x/>
      <x v="38"/>
    </i>
    <i r="2">
      <x v="144"/>
      <x v="260"/>
      <x v="11"/>
      <x v="9"/>
      <x/>
      <x v="38"/>
    </i>
    <i r="2">
      <x v="145"/>
      <x v="304"/>
      <x v="69"/>
      <x v="6"/>
      <x/>
      <x v="41"/>
    </i>
    <i r="2">
      <x v="146"/>
      <x v="316"/>
      <x v="19"/>
      <x v="10"/>
      <x/>
      <x v="38"/>
    </i>
    <i r="2">
      <x v="148"/>
      <x v="361"/>
      <x v="19"/>
      <x v="10"/>
      <x/>
      <x v="39"/>
    </i>
    <i r="2">
      <x v="149"/>
      <x v="102"/>
      <x v="42"/>
      <x v="47"/>
      <x/>
      <x v="39"/>
    </i>
    <i r="2">
      <x v="150"/>
      <x v="100"/>
      <x v="52"/>
      <x v="78"/>
      <x/>
      <x v="39"/>
    </i>
    <i r="2">
      <x v="151"/>
      <x v="24"/>
      <x v="11"/>
      <x v="9"/>
      <x/>
      <x v="38"/>
    </i>
    <i r="2">
      <x v="152"/>
      <x v="205"/>
      <x v="59"/>
      <x v="95"/>
      <x/>
      <x v="38"/>
    </i>
    <i r="7">
      <x v="40"/>
    </i>
    <i r="2">
      <x v="153"/>
      <x v="218"/>
      <x v="73"/>
      <x v="54"/>
      <x/>
      <x v="41"/>
    </i>
    <i r="2">
      <x v="154"/>
      <x v="381"/>
      <x v="19"/>
      <x v="10"/>
      <x/>
      <x v="39"/>
    </i>
    <i r="2">
      <x v="155"/>
      <x v="108"/>
      <x v="62"/>
      <x v="107"/>
      <x/>
      <x v="48"/>
    </i>
    <i r="2">
      <x v="156"/>
      <x v="26"/>
      <x v="60"/>
      <x v="102"/>
      <x/>
      <x v="40"/>
    </i>
    <i r="2">
      <x v="157"/>
      <x v="292"/>
      <x v="48"/>
      <x v="95"/>
      <x/>
      <x v="43"/>
    </i>
    <i r="2">
      <x v="158"/>
      <x v="293"/>
      <x v="48"/>
      <x v="95"/>
      <x/>
      <x v="49"/>
    </i>
    <i r="2">
      <x v="159"/>
      <x v="166"/>
      <x v="48"/>
      <x v="95"/>
      <x v="8"/>
      <x v="6"/>
    </i>
    <i r="2">
      <x v="160"/>
      <x v="285"/>
      <x v="48"/>
      <x v="95"/>
      <x/>
      <x v="48"/>
    </i>
    <i r="2">
      <x v="161"/>
      <x v="314"/>
      <x v="48"/>
      <x v="95"/>
      <x/>
      <x v="48"/>
    </i>
    <i r="2">
      <x v="162"/>
      <x v="300"/>
      <x v="34"/>
      <x v="98"/>
      <x/>
      <x v="47"/>
    </i>
    <i r="2">
      <x v="163"/>
      <x v="310"/>
      <x v="19"/>
      <x v="10"/>
      <x/>
      <x v="45"/>
    </i>
    <i r="2">
      <x v="164"/>
      <x v="111"/>
      <x v="46"/>
      <x v="91"/>
      <x/>
      <x v="39"/>
    </i>
    <i r="2">
      <x v="165"/>
      <x v="217"/>
      <x v="100"/>
      <x v="73"/>
      <x/>
      <x v="38"/>
    </i>
    <i r="7">
      <x v="40"/>
    </i>
    <i r="2">
      <x v="166"/>
      <x v="6"/>
      <x v="46"/>
      <x v="91"/>
      <x/>
      <x v="41"/>
    </i>
    <i r="2">
      <x v="167"/>
      <x v="22"/>
      <x v="69"/>
      <x v="6"/>
      <x/>
      <x v="39"/>
    </i>
    <i r="2">
      <x v="168"/>
      <x v="221"/>
      <x v="100"/>
      <x v="73"/>
      <x/>
      <x v="38"/>
    </i>
    <i r="2">
      <x v="169"/>
      <x v="379"/>
      <x v="51"/>
      <x v="68"/>
      <x/>
      <x v="39"/>
    </i>
    <i r="2">
      <x v="170"/>
      <x v="51"/>
      <x v="36"/>
      <x v="106"/>
      <x/>
      <x v="38"/>
    </i>
    <i r="2">
      <x v="171"/>
      <x v="281"/>
      <x v="46"/>
      <x v="91"/>
      <x/>
      <x v="42"/>
    </i>
    <i r="2">
      <x v="172"/>
      <x v="347"/>
      <x v="36"/>
      <x v="106"/>
      <x/>
      <x v="38"/>
    </i>
    <i r="2">
      <x v="173"/>
      <x v="270"/>
      <x v="69"/>
      <x v="6"/>
      <x/>
      <x v="41"/>
    </i>
    <i r="2">
      <x v="174"/>
      <x v="33"/>
      <x v="60"/>
      <x v="102"/>
      <x/>
      <x v="40"/>
    </i>
    <i r="2">
      <x v="175"/>
      <x v="83"/>
      <x v="100"/>
      <x v="73"/>
      <x/>
      <x v="40"/>
    </i>
    <i r="2">
      <x v="176"/>
      <x v="337"/>
      <x v="14"/>
      <x v="51"/>
      <x v="8"/>
      <x v="3"/>
    </i>
    <i r="2">
      <x v="177"/>
      <x v="31"/>
      <x v="60"/>
      <x v="102"/>
      <x/>
      <x v="41"/>
    </i>
    <i r="2">
      <x v="178"/>
      <x v="332"/>
      <x v="100"/>
      <x v="73"/>
      <x/>
      <x v="46"/>
    </i>
    <i r="2">
      <x v="179"/>
      <x v="220"/>
      <x v="17"/>
      <x v="30"/>
      <x/>
      <x v="42"/>
    </i>
    <i r="2">
      <x v="180"/>
      <x v="337"/>
      <x v="14"/>
      <x v="51"/>
      <x/>
      <x v="38"/>
    </i>
    <i r="2">
      <x v="181"/>
      <x v="225"/>
      <x v="100"/>
      <x v="73"/>
      <x/>
      <x v="42"/>
    </i>
    <i r="2">
      <x v="182"/>
      <x v="66"/>
      <x v="17"/>
      <x v="30"/>
      <x/>
      <x v="42"/>
    </i>
    <i r="2">
      <x v="183"/>
      <x v="82"/>
      <x v="69"/>
      <x v="6"/>
      <x/>
      <x v="48"/>
    </i>
    <i r="2">
      <x v="184"/>
      <x v="333"/>
      <x v="100"/>
      <x v="73"/>
      <x/>
      <x v="44"/>
    </i>
    <i r="2">
      <x v="185"/>
      <x v="64"/>
      <x v="17"/>
      <x v="30"/>
      <x/>
      <x v="42"/>
    </i>
    <i r="2">
      <x v="186"/>
      <x v="70"/>
      <x v="17"/>
      <x v="30"/>
      <x/>
      <x v="42"/>
    </i>
    <i r="2">
      <x v="187"/>
      <x v="18"/>
      <x v="84"/>
      <x v="86"/>
      <x/>
      <x v="41"/>
    </i>
    <i r="2">
      <x v="188"/>
      <x v="108"/>
      <x v="62"/>
      <x v="107"/>
      <x/>
      <x v="48"/>
    </i>
    <i r="2">
      <x v="189"/>
      <x v="78"/>
      <x v="69"/>
      <x v="6"/>
      <x/>
      <x v="39"/>
    </i>
    <i r="2">
      <x v="190"/>
      <x v="354"/>
      <x v="16"/>
      <x v="99"/>
      <x/>
      <x v="40"/>
    </i>
    <i r="2">
      <x v="191"/>
      <x v="353"/>
      <x v="16"/>
      <x v="99"/>
      <x/>
      <x v="40"/>
    </i>
    <i r="2">
      <x v="193"/>
      <x v="4"/>
      <x v="16"/>
      <x v="99"/>
      <x/>
      <x v="45"/>
    </i>
    <i r="2">
      <x v="194"/>
      <x v="265"/>
      <x v="105"/>
      <x v="17"/>
      <x/>
      <x v="38"/>
    </i>
    <i r="2">
      <x v="195"/>
      <x v="56"/>
      <x v="47"/>
      <x v="40"/>
      <x/>
      <x v="38"/>
    </i>
    <i r="7">
      <x v="39"/>
    </i>
    <i r="7">
      <x v="40"/>
    </i>
    <i r="2">
      <x v="196"/>
      <x v="37"/>
      <x v="105"/>
      <x v="17"/>
      <x/>
      <x v="38"/>
    </i>
    <i r="2">
      <x v="197"/>
      <x v="96"/>
      <x v="16"/>
      <x v="99"/>
      <x/>
      <x v="41"/>
    </i>
    <i r="2">
      <x v="198"/>
      <x/>
      <x v="66"/>
      <x v="49"/>
      <x/>
      <x v="44"/>
    </i>
    <i r="2">
      <x v="199"/>
      <x v="253"/>
      <x v="41"/>
      <x v="90"/>
      <x/>
      <x v="40"/>
    </i>
    <i r="2">
      <x v="200"/>
      <x v="55"/>
      <x v="102"/>
      <x v="12"/>
      <x/>
      <x v="40"/>
    </i>
    <i r="2">
      <x v="201"/>
      <x v="309"/>
      <x v="19"/>
      <x v="10"/>
      <x/>
      <x v="39"/>
    </i>
    <i r="6">
      <x v="3"/>
      <x v="17"/>
    </i>
    <i r="2">
      <x v="202"/>
      <x v="41"/>
      <x v="75"/>
      <x v="101"/>
      <x/>
      <x v="43"/>
    </i>
    <i r="2">
      <x v="203"/>
      <x v="307"/>
      <x v="24"/>
      <x v="36"/>
      <x/>
      <x v="38"/>
    </i>
    <i r="2">
      <x v="204"/>
      <x v="42"/>
      <x v="102"/>
      <x v="12"/>
      <x/>
      <x v="39"/>
    </i>
    <i r="2">
      <x v="205"/>
      <x v="256"/>
      <x v="81"/>
      <x v="104"/>
      <x/>
      <x v="40"/>
    </i>
    <i r="2">
      <x v="206"/>
      <x v="36"/>
      <x v="27"/>
      <x v="82"/>
      <x/>
      <x v="42"/>
    </i>
    <i r="2">
      <x v="207"/>
      <x v="41"/>
      <x v="75"/>
      <x v="101"/>
      <x/>
      <x v="43"/>
    </i>
    <i r="2">
      <x v="208"/>
      <x v="94"/>
      <x v="50"/>
      <x v="93"/>
      <x/>
      <x v="42"/>
    </i>
    <i r="2">
      <x v="209"/>
      <x v="324"/>
      <x v="31"/>
      <x v="92"/>
      <x/>
      <x v="38"/>
    </i>
    <i r="2">
      <x v="210"/>
      <x v="75"/>
      <x v="16"/>
      <x v="99"/>
      <x/>
      <x v="40"/>
    </i>
    <i r="2">
      <x v="211"/>
      <x v="226"/>
      <x v="31"/>
      <x v="92"/>
      <x/>
      <x v="38"/>
    </i>
    <i r="2">
      <x v="212"/>
      <x v="202"/>
      <x v="78"/>
      <x v="43"/>
      <x v="12"/>
      <x v="7"/>
    </i>
    <i r="2">
      <x v="213"/>
      <x v="289"/>
      <x v="69"/>
      <x v="6"/>
      <x/>
      <x v="42"/>
    </i>
    <i r="2">
      <x v="214"/>
      <x v="290"/>
      <x v="69"/>
      <x v="6"/>
      <x/>
      <x v="49"/>
    </i>
    <i r="2">
      <x v="215"/>
      <x v="303"/>
      <x v="16"/>
      <x v="99"/>
      <x/>
      <x v="40"/>
    </i>
    <i r="2">
      <x v="216"/>
      <x v="228"/>
      <x v="80"/>
      <x v="85"/>
      <x/>
      <x v="42"/>
    </i>
    <i r="2">
      <x v="217"/>
      <x v="57"/>
      <x v="78"/>
      <x v="43"/>
      <x/>
      <x v="41"/>
    </i>
    <i r="2">
      <x v="218"/>
      <x v="14"/>
      <x v="82"/>
      <x v="71"/>
      <x/>
      <x v="40"/>
    </i>
    <i r="2">
      <x v="219"/>
      <x v="327"/>
      <x v="68"/>
      <x v="4"/>
      <x/>
      <x v="38"/>
    </i>
    <i r="2">
      <x v="220"/>
      <x v="54"/>
      <x/>
      <x v="42"/>
      <x/>
      <x v="46"/>
    </i>
    <i r="2">
      <x v="221"/>
      <x v="53"/>
      <x/>
      <x v="42"/>
      <x/>
      <x v="44"/>
    </i>
    <i r="2">
      <x v="222"/>
      <x v="239"/>
      <x v="102"/>
      <x v="12"/>
      <x/>
      <x v="40"/>
    </i>
    <i r="2">
      <x v="223"/>
      <x v="362"/>
      <x v="85"/>
      <x v="41"/>
      <x/>
      <x v="41"/>
    </i>
    <i r="2">
      <x v="224"/>
      <x v="12"/>
      <x v="82"/>
      <x v="71"/>
      <x/>
      <x v="42"/>
    </i>
    <i r="2">
      <x v="225"/>
      <x v="13"/>
      <x v="82"/>
      <x v="71"/>
      <x/>
      <x v="40"/>
    </i>
    <i r="2">
      <x v="226"/>
      <x v="117"/>
      <x v="85"/>
      <x v="41"/>
      <x/>
      <x v="40"/>
    </i>
    <i r="2">
      <x v="227"/>
      <x v="5"/>
      <x v="102"/>
      <x v="12"/>
      <x/>
      <x v="46"/>
    </i>
    <i r="2">
      <x v="228"/>
      <x v="355"/>
      <x v="85"/>
      <x v="41"/>
      <x/>
      <x v="39"/>
    </i>
    <i r="2">
      <x v="229"/>
      <x v="7"/>
      <x v="26"/>
      <x v="96"/>
      <x/>
      <x v="38"/>
    </i>
    <i r="2">
      <x v="230"/>
      <x v="15"/>
      <x v="76"/>
      <x v="25"/>
      <x/>
      <x v="39"/>
    </i>
    <i r="2">
      <x v="231"/>
      <x v="326"/>
      <x v="68"/>
      <x v="4"/>
      <x/>
      <x v="38"/>
    </i>
    <i r="2">
      <x v="232"/>
      <x v="305"/>
      <x v="26"/>
      <x v="96"/>
      <x/>
      <x v="38"/>
    </i>
    <i r="2">
      <x v="233"/>
      <x v="241"/>
      <x v="102"/>
      <x v="12"/>
      <x/>
      <x v="41"/>
    </i>
    <i r="2">
      <x v="234"/>
      <x v="20"/>
      <x v="78"/>
      <x v="43"/>
      <x/>
      <x v="43"/>
    </i>
    <i r="2">
      <x v="235"/>
      <x v="58"/>
      <x v="78"/>
      <x v="43"/>
      <x/>
      <x v="41"/>
    </i>
    <i r="2">
      <x v="236"/>
      <x v="350"/>
      <x v="76"/>
      <x v="25"/>
      <x/>
      <x v="41"/>
    </i>
    <i r="2">
      <x v="237"/>
      <x v="25"/>
      <x v="102"/>
      <x v="12"/>
      <x/>
      <x v="43"/>
    </i>
    <i r="2">
      <x v="238"/>
      <x v="375"/>
      <x v="102"/>
      <x v="12"/>
      <x/>
      <x v="45"/>
    </i>
    <i r="2">
      <x v="239"/>
      <x v="91"/>
      <x v="16"/>
      <x v="99"/>
      <x/>
      <x v="41"/>
    </i>
    <i r="2">
      <x v="240"/>
      <x v="39"/>
      <x v="42"/>
      <x v="47"/>
      <x/>
      <x v="42"/>
    </i>
    <i r="2">
      <x v="241"/>
      <x v="351"/>
      <x v="16"/>
      <x v="99"/>
      <x/>
      <x v="46"/>
    </i>
    <i r="2">
      <x v="242"/>
      <x v="216"/>
      <x v="27"/>
      <x v="64"/>
      <x/>
      <x v="40"/>
    </i>
    <i r="2">
      <x v="243"/>
      <x v="238"/>
      <x v="46"/>
      <x v="91"/>
      <x/>
      <x v="39"/>
    </i>
    <i r="2">
      <x v="244"/>
      <x v="378"/>
      <x v="17"/>
      <x v="30"/>
      <x/>
      <x v="43"/>
    </i>
    <i r="2">
      <x v="245"/>
      <x v="110"/>
      <x v="26"/>
      <x v="96"/>
      <x/>
      <x v="39"/>
    </i>
    <i r="2">
      <x v="246"/>
      <x v="264"/>
      <x v="38"/>
      <x v="2"/>
      <x/>
      <x v="38"/>
    </i>
    <i r="2">
      <x v="247"/>
      <x v="231"/>
      <x v="54"/>
      <x v="97"/>
      <x/>
      <x v="40"/>
    </i>
    <i r="2">
      <x v="248"/>
      <x v="320"/>
      <x v="87"/>
      <x v="13"/>
      <x/>
      <x v="45"/>
    </i>
    <i r="2">
      <x v="249"/>
      <x v="45"/>
      <x/>
      <x v="42"/>
      <x/>
      <x v="40"/>
    </i>
    <i r="2">
      <x v="250"/>
      <x v="130"/>
      <x v="28"/>
      <x v="105"/>
      <x/>
      <x v="38"/>
    </i>
    <i r="2">
      <x v="251"/>
      <x v="252"/>
      <x v="26"/>
      <x v="96"/>
      <x/>
      <x v="38"/>
    </i>
    <i r="2">
      <x v="252"/>
      <x v="230"/>
      <x v="17"/>
      <x v="30"/>
      <x/>
      <x v="39"/>
    </i>
    <i r="2">
      <x v="253"/>
      <x v="245"/>
      <x v="26"/>
      <x v="96"/>
      <x/>
      <x v="38"/>
    </i>
    <i r="2">
      <x v="254"/>
      <x v="318"/>
      <x v="28"/>
      <x v="105"/>
      <x/>
      <x v="38"/>
    </i>
    <i r="2">
      <x v="255"/>
      <x v="321"/>
      <x v="46"/>
      <x v="91"/>
      <x/>
      <x v="40"/>
    </i>
    <i r="2">
      <x v="256"/>
      <x v="268"/>
      <x v="25"/>
      <x v="2"/>
      <x/>
      <x v="38"/>
    </i>
    <i r="2">
      <x v="257"/>
      <x v="99"/>
      <x v="3"/>
      <x v="28"/>
      <x/>
      <x v="44"/>
    </i>
    <i r="7">
      <x v="46"/>
    </i>
    <i r="2">
      <x v="258"/>
      <x v="259"/>
      <x v="17"/>
      <x v="30"/>
      <x/>
      <x v="44"/>
    </i>
    <i r="2">
      <x v="259"/>
      <x v="27"/>
      <x v="27"/>
      <x v="64"/>
      <x/>
      <x v="40"/>
    </i>
    <i r="2">
      <x v="260"/>
      <x v="311"/>
      <x v="17"/>
      <x v="30"/>
      <x/>
      <x v="41"/>
    </i>
    <i r="2">
      <x v="261"/>
      <x v="34"/>
      <x v="27"/>
      <x v="64"/>
      <x/>
      <x v="40"/>
    </i>
    <i r="2">
      <x v="262"/>
      <x v="106"/>
      <x v="15"/>
      <x v="7"/>
      <x/>
      <x v="46"/>
    </i>
    <i r="2">
      <x v="263"/>
      <x v="17"/>
      <x v="75"/>
      <x v="100"/>
      <x/>
      <x v="41"/>
    </i>
    <i r="2">
      <x v="264"/>
      <x v="49"/>
      <x v="7"/>
      <x v="19"/>
      <x/>
      <x v="38"/>
    </i>
    <i r="2">
      <x v="265"/>
      <x v="35"/>
      <x v="27"/>
      <x v="64"/>
      <x/>
      <x v="41"/>
    </i>
    <i r="2">
      <x v="266"/>
      <x v="46"/>
      <x v="27"/>
      <x v="66"/>
      <x/>
      <x v="40"/>
    </i>
    <i r="2">
      <x v="267"/>
      <x v="44"/>
      <x v="7"/>
      <x v="19"/>
      <x/>
      <x v="41"/>
    </i>
    <i r="2">
      <x v="268"/>
      <x v="167"/>
      <x v="7"/>
      <x v="19"/>
      <x v="8"/>
      <x v="3"/>
    </i>
    <i r="2">
      <x v="269"/>
      <x v="95"/>
      <x v="51"/>
      <x v="69"/>
      <x/>
      <x v="40"/>
    </i>
    <i r="7">
      <x v="41"/>
    </i>
    <i r="7">
      <x v="43"/>
    </i>
    <i r="2">
      <x v="270"/>
      <x v="168"/>
      <x v="7"/>
      <x v="19"/>
      <x v="8"/>
      <x v="3"/>
    </i>
    <i r="2">
      <x v="271"/>
      <x v="107"/>
      <x v="15"/>
      <x v="7"/>
      <x/>
      <x v="40"/>
    </i>
    <i r="2">
      <x v="272"/>
      <x v="352"/>
      <x v="7"/>
      <x v="19"/>
      <x/>
      <x v="38"/>
    </i>
    <i r="2">
      <x v="273"/>
      <x v="169"/>
      <x v="7"/>
      <x v="19"/>
      <x v="8"/>
      <x v="3"/>
    </i>
    <i r="2">
      <x v="274"/>
      <x v="335"/>
      <x v="12"/>
      <x v="16"/>
      <x/>
      <x v="38"/>
    </i>
    <i r="2">
      <x v="275"/>
      <x v="77"/>
      <x v="40"/>
      <x v="27"/>
      <x/>
      <x v="43"/>
    </i>
    <i r="2">
      <x v="276"/>
      <x v="69"/>
      <x v="102"/>
      <x v="12"/>
      <x/>
      <x v="41"/>
    </i>
    <i r="7">
      <x v="44"/>
    </i>
    <i r="2">
      <x v="277"/>
      <x v="30"/>
      <x v="60"/>
      <x v="102"/>
      <x/>
      <x v="40"/>
    </i>
    <i r="2">
      <x v="278"/>
      <x v="339"/>
      <x v="102"/>
      <x v="12"/>
      <x/>
      <x v="42"/>
    </i>
    <i r="2">
      <x v="279"/>
      <x v="93"/>
      <x v="29"/>
      <x/>
      <x/>
      <x v="40"/>
    </i>
    <i r="2">
      <x v="280"/>
      <x v="321"/>
      <x v="46"/>
      <x v="91"/>
      <x/>
      <x v="40"/>
    </i>
    <i r="2">
      <x v="281"/>
      <x v="371"/>
      <x v="17"/>
      <x v="30"/>
      <x/>
      <x v="42"/>
    </i>
    <i r="2">
      <x v="282"/>
      <x v="23"/>
      <x v="60"/>
      <x v="102"/>
      <x/>
      <x v="41"/>
    </i>
    <i r="7">
      <x v="42"/>
    </i>
    <i r="2">
      <x v="283"/>
      <x v="72"/>
      <x v="17"/>
      <x v="30"/>
      <x/>
      <x v="39"/>
    </i>
    <i r="2">
      <x v="284"/>
      <x v="229"/>
      <x v="17"/>
      <x v="30"/>
      <x/>
      <x v="46"/>
    </i>
    <i r="2">
      <x v="285"/>
      <x v="135"/>
      <x v="2"/>
      <x v="9"/>
      <x/>
      <x v="41"/>
    </i>
    <i r="7">
      <x v="42"/>
    </i>
    <i r="7">
      <x v="43"/>
    </i>
    <i r="6">
      <x v="2"/>
      <x v="20"/>
    </i>
    <i r="6">
      <x v="3"/>
      <x v="26"/>
    </i>
    <i r="2">
      <x v="286"/>
      <x v="267"/>
      <x v="19"/>
      <x v="10"/>
      <x/>
      <x v="41"/>
    </i>
    <i r="2">
      <x v="287"/>
      <x v="98"/>
      <x v="96"/>
      <x v="67"/>
      <x/>
      <x v="39"/>
    </i>
    <i r="2">
      <x v="288"/>
      <x v="262"/>
      <x v="11"/>
      <x v="9"/>
      <x/>
      <x v="38"/>
    </i>
    <i r="2">
      <x v="289"/>
      <x v="312"/>
      <x v="19"/>
      <x v="10"/>
      <x/>
      <x v="39"/>
    </i>
    <i r="2">
      <x v="290"/>
      <x v="97"/>
      <x v="101"/>
      <x v="60"/>
      <x/>
      <x v="39"/>
    </i>
    <i r="2">
      <x v="291"/>
      <x v="266"/>
      <x v="28"/>
      <x v="70"/>
      <x/>
      <x v="38"/>
    </i>
    <i r="2">
      <x v="292"/>
      <x v="89"/>
      <x v="44"/>
      <x v="83"/>
      <x/>
      <x v="41"/>
    </i>
    <i r="2">
      <x v="293"/>
      <x v="224"/>
      <x v="17"/>
      <x v="30"/>
      <x/>
      <x v="42"/>
    </i>
    <i r="1">
      <x v="4"/>
      <x v="295"/>
      <x v="322"/>
      <x v="23"/>
      <x v="3"/>
      <x/>
      <x v="41"/>
    </i>
    <i r="7">
      <x v="43"/>
    </i>
    <i r="7">
      <x v="46"/>
    </i>
    <i r="7">
      <x v="47"/>
    </i>
    <i r="7">
      <x v="48"/>
    </i>
    <i r="7">
      <x v="49"/>
    </i>
    <i r="1">
      <x v="5"/>
      <x v="377"/>
      <x v="127"/>
      <x v="80"/>
      <x v="85"/>
      <x/>
      <x v="47"/>
    </i>
    <i r="2">
      <x v="378"/>
      <x v="128"/>
      <x v="80"/>
      <x v="85"/>
      <x/>
      <x v="48"/>
    </i>
    <i r="2">
      <x v="379"/>
      <x v="214"/>
      <x v="80"/>
      <x v="85"/>
      <x/>
      <x v="45"/>
    </i>
    <i r="2">
      <x v="380"/>
      <x v="120"/>
      <x v="73"/>
      <x v="54"/>
      <x/>
      <x v="44"/>
    </i>
    <i r="2">
      <x v="381"/>
      <x v="343"/>
      <x v="73"/>
      <x v="54"/>
      <x/>
      <x v="43"/>
    </i>
    <i r="2">
      <x v="382"/>
      <x v="126"/>
      <x v="80"/>
      <x v="85"/>
      <x/>
      <x v="46"/>
    </i>
    <i r="2">
      <x v="383"/>
      <x v="112"/>
      <x v="73"/>
      <x v="54"/>
      <x/>
      <x v="42"/>
    </i>
    <i r="2">
      <x v="384"/>
      <x v="209"/>
      <x v="80"/>
      <x v="85"/>
      <x/>
      <x v="46"/>
    </i>
    <i r="2">
      <x v="385"/>
      <x v="118"/>
      <x v="73"/>
      <x v="54"/>
      <x/>
      <x v="41"/>
    </i>
    <i r="2">
      <x v="386"/>
      <x v="59"/>
      <x v="73"/>
      <x v="54"/>
      <x/>
      <x v="42"/>
    </i>
    <i r="2">
      <x v="387"/>
      <x v="47"/>
      <x v="78"/>
      <x v="45"/>
      <x/>
      <x v="38"/>
    </i>
    <i r="2">
      <x v="388"/>
      <x v="234"/>
      <x v="60"/>
      <x v="102"/>
      <x/>
      <x v="40"/>
    </i>
    <i r="7">
      <x v="42"/>
    </i>
    <i r="7">
      <x v="46"/>
    </i>
    <i r="2">
      <x v="389"/>
      <x v="125"/>
      <x v="80"/>
      <x v="85"/>
      <x/>
      <x v="46"/>
    </i>
    <i r="2">
      <x v="390"/>
      <x v="124"/>
      <x v="80"/>
      <x v="85"/>
      <x/>
      <x v="47"/>
    </i>
    <i r="2">
      <x v="391"/>
      <x v="133"/>
      <x v="53"/>
      <x v="95"/>
      <x/>
      <x v="49"/>
    </i>
    <i r="2">
      <x v="392"/>
      <x v="129"/>
      <x v="80"/>
      <x v="85"/>
      <x/>
      <x v="48"/>
    </i>
    <i r="1">
      <x v="6"/>
      <x v="314"/>
      <x v="113"/>
      <x v="45"/>
      <x v="52"/>
      <x/>
      <x v="43"/>
    </i>
    <i r="2">
      <x v="315"/>
      <x v="119"/>
      <x v="53"/>
      <x v="95"/>
      <x/>
      <x v="43"/>
    </i>
    <i r="2">
      <x v="316"/>
      <x v="344"/>
      <x v="53"/>
      <x v="95"/>
      <x/>
      <x v="43"/>
    </i>
    <i r="2">
      <x v="317"/>
      <x v="346"/>
      <x v="53"/>
      <x v="95"/>
      <x/>
      <x v="41"/>
    </i>
    <i r="2">
      <x v="318"/>
      <x v="132"/>
      <x v="45"/>
      <x v="50"/>
      <x/>
      <x v="43"/>
    </i>
    <i r="2">
      <x v="319"/>
      <x v="315"/>
      <x v="53"/>
      <x v="95"/>
      <x/>
      <x v="40"/>
    </i>
    <i r="7">
      <x v="41"/>
    </i>
    <i r="7">
      <x v="49"/>
    </i>
    <i r="2">
      <x v="320"/>
      <x v="212"/>
      <x v="80"/>
      <x v="85"/>
      <x/>
      <x v="48"/>
    </i>
    <i r="2">
      <x v="321"/>
      <x v="210"/>
      <x v="80"/>
      <x v="85"/>
      <x/>
      <x v="48"/>
    </i>
    <i r="2">
      <x v="322"/>
      <x v="121"/>
      <x v="94"/>
      <x v="57"/>
      <x/>
      <x v="48"/>
    </i>
    <i r="2">
      <x v="323"/>
      <x v="213"/>
      <x v="80"/>
      <x v="85"/>
      <x/>
      <x v="46"/>
    </i>
    <i r="2">
      <x v="324"/>
      <x v="123"/>
      <x v="55"/>
      <x v="74"/>
      <x/>
      <x v="47"/>
    </i>
    <i r="2">
      <x v="325"/>
      <x v="122"/>
      <x v="55"/>
      <x v="74"/>
      <x/>
      <x v="47"/>
    </i>
    <i r="2">
      <x v="326"/>
      <x v="211"/>
      <x v="80"/>
      <x v="85"/>
      <x/>
      <x v="47"/>
    </i>
    <i r="2">
      <x v="327"/>
      <x v="131"/>
      <x v="93"/>
      <x v="53"/>
      <x/>
      <x v="49"/>
    </i>
    <i t="grand">
      <x/>
    </i>
  </rowItems>
  <colItems count="1">
    <i/>
  </colItems>
  <dataFields count="1">
    <dataField name="Suma de Monto Total Ítem Año 2026" fld="13" baseField="0" baseItem="0" numFmtId="42"/>
  </dataFields>
  <pivotTableStyleInfo name="PivotStyleMedium12" showRowHeaders="1" showColHeaders="1" showRowStripes="1" showColStripes="1" showLastColumn="1"/>
  <extLst>
    <ext xmlns:x14="http://schemas.microsoft.com/office/spreadsheetml/2009/9/main" uri="{962EF5D1-5CA2-4c93-8EF4-DBF5C05439D2}">
      <x14:pivotTableDefinition xmlns:xm="http://schemas.microsoft.com/office/excel/2006/main" fillDownLabelsDefault="1"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0607CC9E-3ACE-4D5C-99EE-54F3DDFE721A}" name="TablaDinámica17" cacheId="2"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rowHeaderCaption="Unidad de Compra">
  <location ref="A3:C11" firstHeaderRow="0" firstDataRow="1" firstDataCol="1"/>
  <pivotFields count="7">
    <pivotField dataField="1" showAll="0"/>
    <pivotField axis="axisRow" showAll="0">
      <items count="8">
        <item x="3"/>
        <item x="1"/>
        <item x="2"/>
        <item x="4"/>
        <item x="5"/>
        <item x="6"/>
        <item n="Proyectos de Arrastre" x="0"/>
        <item t="default"/>
      </items>
    </pivotField>
    <pivotField showAll="0"/>
    <pivotField showAll="0"/>
    <pivotField showAll="0"/>
    <pivotField showAll="0"/>
    <pivotField dataField="1" numFmtId="42" showAll="0"/>
  </pivotFields>
  <rowFields count="1">
    <field x="1"/>
  </rowFields>
  <rowItems count="8">
    <i>
      <x/>
    </i>
    <i>
      <x v="1"/>
    </i>
    <i>
      <x v="2"/>
    </i>
    <i>
      <x v="3"/>
    </i>
    <i>
      <x v="4"/>
    </i>
    <i>
      <x v="5"/>
    </i>
    <i>
      <x v="6"/>
    </i>
    <i t="grand">
      <x/>
    </i>
  </rowItems>
  <colFields count="1">
    <field x="-2"/>
  </colFields>
  <colItems count="2">
    <i>
      <x/>
    </i>
    <i i="1">
      <x v="1"/>
    </i>
  </colItems>
  <dataFields count="2">
    <dataField name="Proyectos" fld="0" subtotal="count" baseField="0" baseItem="0"/>
    <dataField name="Monto" fld="6" baseField="0" baseItem="0" numFmtId="42"/>
  </dataFields>
  <formats count="2">
    <format dxfId="4">
      <pivotArea outline="0" collapsedLevelsAreSubtotals="1" fieldPosition="0"/>
    </format>
    <format dxfId="3">
      <pivotArea dataOnly="0" labelOnly="1" outline="0" fieldPosition="0">
        <references count="1">
          <reference field="4294967294" count="2">
            <x v="0"/>
            <x v="1"/>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heme/theme1.xml><?xml version="1.0" encoding="utf-8"?>
<a:theme xmlns:a="http://schemas.openxmlformats.org/drawingml/2006/main" name="Tema d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pivotTable" Target="../pivotTables/pivotTable1.xml"/></Relationships>
</file>

<file path=xl/worksheets/_rels/sheet3.xml.rels><?xml version="1.0" encoding="UTF-8" standalone="yes"?>
<Relationships xmlns="http://schemas.openxmlformats.org/package/2006/relationships"><Relationship Id="rId2" Type="http://schemas.openxmlformats.org/officeDocument/2006/relationships/printerSettings" Target="../printerSettings/printerSettings2.bin"/><Relationship Id="rId1" Type="http://schemas.openxmlformats.org/officeDocument/2006/relationships/pivotTable" Target="../pivotTables/pivotTable2.xml"/></Relationships>
</file>

<file path=xl/worksheets/_rels/sheet4.xml.rels><?xml version="1.0" encoding="UTF-8" standalone="yes"?>
<Relationships xmlns="http://schemas.openxmlformats.org/package/2006/relationships"><Relationship Id="rId1" Type="http://schemas.openxmlformats.org/officeDocument/2006/relationships/pivotTable" Target="../pivotTables/pivotTable3.xml"/></Relationships>
</file>

<file path=xl/worksheets/_rels/sheet5.xml.rels><?xml version="1.0" encoding="UTF-8" standalone="yes"?>
<Relationships xmlns="http://schemas.openxmlformats.org/package/2006/relationships"><Relationship Id="rId2" Type="http://schemas.openxmlformats.org/officeDocument/2006/relationships/printerSettings" Target="../printerSettings/printerSettings3.bin"/><Relationship Id="rId1" Type="http://schemas.openxmlformats.org/officeDocument/2006/relationships/pivotTable" Target="../pivotTables/pivotTable4.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DBDB83-6B00-4255-90A1-B0AEB7079051}">
  <dimension ref="A3:C11"/>
  <sheetViews>
    <sheetView workbookViewId="0">
      <selection activeCell="B30" sqref="B30"/>
    </sheetView>
  </sheetViews>
  <sheetFormatPr baseColWidth="10" defaultRowHeight="15" x14ac:dyDescent="0.25"/>
  <cols>
    <col min="1" max="1" width="41.5703125" bestFit="1" customWidth="1"/>
    <col min="2" max="2" width="14.42578125" bestFit="1" customWidth="1"/>
    <col min="3" max="3" width="15.5703125" bestFit="1" customWidth="1"/>
    <col min="4" max="4" width="15" customWidth="1"/>
  </cols>
  <sheetData>
    <row r="3" spans="1:3" x14ac:dyDescent="0.25">
      <c r="A3" t="s">
        <v>1</v>
      </c>
      <c r="B3" s="3" t="s">
        <v>2214</v>
      </c>
      <c r="C3" s="3" t="s">
        <v>2200</v>
      </c>
    </row>
    <row r="4" spans="1:3" x14ac:dyDescent="0.25">
      <c r="A4" s="5" t="s">
        <v>28</v>
      </c>
      <c r="B4" s="3">
        <v>238</v>
      </c>
      <c r="C4" s="48">
        <v>1932801598</v>
      </c>
    </row>
    <row r="5" spans="1:3" x14ac:dyDescent="0.25">
      <c r="A5" s="5" t="s">
        <v>1238</v>
      </c>
      <c r="B5" s="3">
        <v>18</v>
      </c>
      <c r="C5" s="48">
        <v>4545805005</v>
      </c>
    </row>
    <row r="6" spans="1:3" x14ac:dyDescent="0.25">
      <c r="A6" s="5" t="s">
        <v>374</v>
      </c>
      <c r="B6" s="3">
        <v>47</v>
      </c>
      <c r="C6" s="48">
        <v>216217147</v>
      </c>
    </row>
    <row r="7" spans="1:3" x14ac:dyDescent="0.25">
      <c r="A7" s="5" t="s">
        <v>567</v>
      </c>
      <c r="B7" s="3">
        <v>1</v>
      </c>
      <c r="C7" s="48">
        <v>156000000</v>
      </c>
    </row>
    <row r="8" spans="1:3" x14ac:dyDescent="0.25">
      <c r="A8" s="5" t="s">
        <v>594</v>
      </c>
      <c r="B8" s="3">
        <v>16</v>
      </c>
      <c r="C8" s="48">
        <v>1438588008</v>
      </c>
    </row>
    <row r="9" spans="1:3" x14ac:dyDescent="0.25">
      <c r="A9" s="5" t="s">
        <v>1304</v>
      </c>
      <c r="B9" s="3">
        <v>14</v>
      </c>
      <c r="C9" s="48">
        <v>7264673295</v>
      </c>
    </row>
    <row r="10" spans="1:3" x14ac:dyDescent="0.25">
      <c r="A10" s="5" t="s">
        <v>2212</v>
      </c>
      <c r="B10" s="3">
        <v>59</v>
      </c>
      <c r="C10" s="48">
        <v>6588447864</v>
      </c>
    </row>
    <row r="11" spans="1:3" x14ac:dyDescent="0.25">
      <c r="A11" s="5" t="s">
        <v>2198</v>
      </c>
      <c r="B11" s="3">
        <v>393</v>
      </c>
      <c r="C11" s="48">
        <v>22142532917</v>
      </c>
    </row>
  </sheetData>
  <pageMargins left="0.7" right="0.7" top="0.75" bottom="0.75" header="0.3" footer="0.3"/>
  <pageSetup orientation="portrait"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BF0FE4F-CA4A-4422-8121-04A786FAFC3A}">
  <sheetPr filterMode="1"/>
  <dimension ref="A1:G394"/>
  <sheetViews>
    <sheetView topLeftCell="A374" workbookViewId="0">
      <selection activeCell="D388" sqref="D388"/>
    </sheetView>
  </sheetViews>
  <sheetFormatPr baseColWidth="10" defaultRowHeight="15" x14ac:dyDescent="0.25"/>
  <cols>
    <col min="3" max="3" width="24.85546875" customWidth="1"/>
    <col min="4" max="4" width="107.42578125" customWidth="1"/>
    <col min="5" max="5" width="28.85546875" bestFit="1" customWidth="1"/>
    <col min="7" max="7" width="15.5703125" style="2" bestFit="1" customWidth="1"/>
  </cols>
  <sheetData>
    <row r="1" spans="1:7" x14ac:dyDescent="0.25">
      <c r="A1" s="9" t="s">
        <v>2197</v>
      </c>
      <c r="B1" s="9" t="s">
        <v>2213</v>
      </c>
      <c r="C1" s="9" t="s">
        <v>2</v>
      </c>
      <c r="D1" s="9" t="s">
        <v>6</v>
      </c>
      <c r="E1" s="9" t="s">
        <v>16</v>
      </c>
      <c r="F1" s="9" t="s">
        <v>17</v>
      </c>
      <c r="G1" s="33" t="s">
        <v>2202</v>
      </c>
    </row>
    <row r="2" spans="1:7" x14ac:dyDescent="0.25">
      <c r="A2" t="s">
        <v>2199</v>
      </c>
      <c r="B2" t="s">
        <v>1238</v>
      </c>
      <c r="C2" t="s">
        <v>1369</v>
      </c>
      <c r="D2" t="s">
        <v>1370</v>
      </c>
      <c r="E2" t="s">
        <v>1299</v>
      </c>
      <c r="F2" t="s">
        <v>1300</v>
      </c>
      <c r="G2" s="2">
        <v>1578831000</v>
      </c>
    </row>
    <row r="3" spans="1:7" x14ac:dyDescent="0.25">
      <c r="A3" t="s">
        <v>2199</v>
      </c>
      <c r="B3" t="s">
        <v>1238</v>
      </c>
      <c r="C3" t="s">
        <v>1385</v>
      </c>
      <c r="D3" t="s">
        <v>1386</v>
      </c>
      <c r="E3" t="s">
        <v>1299</v>
      </c>
      <c r="F3" t="s">
        <v>1300</v>
      </c>
      <c r="G3" s="2">
        <v>1969068000</v>
      </c>
    </row>
    <row r="4" spans="1:7" x14ac:dyDescent="0.25">
      <c r="A4" t="s">
        <v>2199</v>
      </c>
      <c r="B4" t="s">
        <v>1238</v>
      </c>
      <c r="C4" t="s">
        <v>1387</v>
      </c>
      <c r="D4" t="s">
        <v>1388</v>
      </c>
      <c r="E4" t="s">
        <v>1299</v>
      </c>
      <c r="F4" t="s">
        <v>1300</v>
      </c>
      <c r="G4" s="2">
        <v>18632000</v>
      </c>
    </row>
    <row r="5" spans="1:7" x14ac:dyDescent="0.25">
      <c r="A5" t="s">
        <v>2199</v>
      </c>
      <c r="B5" t="s">
        <v>1238</v>
      </c>
      <c r="C5" t="s">
        <v>1393</v>
      </c>
      <c r="D5" t="s">
        <v>1394</v>
      </c>
      <c r="E5" t="s">
        <v>1299</v>
      </c>
      <c r="F5" t="s">
        <v>1300</v>
      </c>
      <c r="G5" s="2">
        <v>280000000</v>
      </c>
    </row>
    <row r="6" spans="1:7" x14ac:dyDescent="0.25">
      <c r="A6" t="s">
        <v>2199</v>
      </c>
      <c r="B6" t="s">
        <v>1238</v>
      </c>
      <c r="C6" t="s">
        <v>1398</v>
      </c>
      <c r="D6" t="s">
        <v>1399</v>
      </c>
      <c r="E6" t="s">
        <v>1299</v>
      </c>
      <c r="F6" t="s">
        <v>1300</v>
      </c>
      <c r="G6" s="2">
        <v>61000000</v>
      </c>
    </row>
    <row r="7" spans="1:7" x14ac:dyDescent="0.25">
      <c r="A7" t="s">
        <v>2199</v>
      </c>
      <c r="B7" t="s">
        <v>1238</v>
      </c>
      <c r="C7" t="s">
        <v>1464</v>
      </c>
      <c r="D7" t="s">
        <v>1465</v>
      </c>
      <c r="E7" t="s">
        <v>1075</v>
      </c>
      <c r="F7" t="s">
        <v>1076</v>
      </c>
      <c r="G7" s="2">
        <v>1000000</v>
      </c>
    </row>
    <row r="8" spans="1:7" x14ac:dyDescent="0.25">
      <c r="A8" t="s">
        <v>2199</v>
      </c>
      <c r="B8" t="s">
        <v>1238</v>
      </c>
      <c r="C8" t="s">
        <v>1485</v>
      </c>
      <c r="D8" t="s">
        <v>1486</v>
      </c>
      <c r="E8" t="s">
        <v>1211</v>
      </c>
      <c r="F8" t="s">
        <v>320</v>
      </c>
      <c r="G8" s="2">
        <v>250000</v>
      </c>
    </row>
    <row r="9" spans="1:7" x14ac:dyDescent="0.25">
      <c r="A9" t="s">
        <v>2199</v>
      </c>
      <c r="B9" t="s">
        <v>1238</v>
      </c>
      <c r="C9" t="s">
        <v>1624</v>
      </c>
      <c r="D9" t="s">
        <v>1621</v>
      </c>
      <c r="E9" t="s">
        <v>1608</v>
      </c>
      <c r="F9" t="s">
        <v>361</v>
      </c>
      <c r="G9" s="2">
        <v>780000</v>
      </c>
    </row>
    <row r="10" spans="1:7" x14ac:dyDescent="0.25">
      <c r="A10" t="s">
        <v>2199</v>
      </c>
      <c r="B10" t="s">
        <v>1238</v>
      </c>
      <c r="C10" t="s">
        <v>1673</v>
      </c>
      <c r="D10" t="s">
        <v>1674</v>
      </c>
      <c r="E10" t="s">
        <v>1299</v>
      </c>
      <c r="F10" t="s">
        <v>1300</v>
      </c>
      <c r="G10" s="2">
        <v>6773000</v>
      </c>
    </row>
    <row r="11" spans="1:7" x14ac:dyDescent="0.25">
      <c r="A11" t="s">
        <v>2199</v>
      </c>
      <c r="B11" t="s">
        <v>1238</v>
      </c>
      <c r="C11" t="s">
        <v>2037</v>
      </c>
      <c r="D11" t="s">
        <v>1658</v>
      </c>
      <c r="E11" t="s">
        <v>2039</v>
      </c>
      <c r="F11" t="s">
        <v>1661</v>
      </c>
      <c r="G11" s="2">
        <v>19000000</v>
      </c>
    </row>
    <row r="12" spans="1:7" x14ac:dyDescent="0.25">
      <c r="A12" t="s">
        <v>2199</v>
      </c>
      <c r="B12" t="s">
        <v>1238</v>
      </c>
      <c r="C12" t="s">
        <v>2063</v>
      </c>
      <c r="D12" t="s">
        <v>2064</v>
      </c>
      <c r="E12" t="s">
        <v>768</v>
      </c>
      <c r="F12" t="s">
        <v>966</v>
      </c>
      <c r="G12" s="2">
        <v>300000</v>
      </c>
    </row>
    <row r="13" spans="1:7" x14ac:dyDescent="0.25">
      <c r="A13" t="s">
        <v>2199</v>
      </c>
      <c r="B13" t="s">
        <v>1238</v>
      </c>
      <c r="C13" t="s">
        <v>2102</v>
      </c>
      <c r="D13" t="s">
        <v>2103</v>
      </c>
      <c r="E13" t="s">
        <v>1759</v>
      </c>
      <c r="F13" t="s">
        <v>1760</v>
      </c>
      <c r="G13" s="2">
        <v>16000000</v>
      </c>
    </row>
    <row r="14" spans="1:7" x14ac:dyDescent="0.25">
      <c r="A14" t="s">
        <v>2199</v>
      </c>
      <c r="B14" t="s">
        <v>1238</v>
      </c>
      <c r="C14" t="s">
        <v>2140</v>
      </c>
      <c r="D14" t="s">
        <v>2141</v>
      </c>
      <c r="E14" t="s">
        <v>768</v>
      </c>
      <c r="F14" t="s">
        <v>966</v>
      </c>
      <c r="G14" s="2">
        <v>250000</v>
      </c>
    </row>
    <row r="15" spans="1:7" x14ac:dyDescent="0.25">
      <c r="A15" t="s">
        <v>2199</v>
      </c>
      <c r="B15" t="s">
        <v>1238</v>
      </c>
      <c r="C15" t="s">
        <v>1239</v>
      </c>
      <c r="D15" t="s">
        <v>1241</v>
      </c>
      <c r="E15" t="s">
        <v>122</v>
      </c>
      <c r="F15" t="s">
        <v>544</v>
      </c>
      <c r="G15" s="2">
        <v>108183000</v>
      </c>
    </row>
    <row r="16" spans="1:7" x14ac:dyDescent="0.25">
      <c r="A16" t="s">
        <v>2199</v>
      </c>
      <c r="B16" t="s">
        <v>1238</v>
      </c>
      <c r="C16" t="s">
        <v>1289</v>
      </c>
      <c r="D16" t="s">
        <v>1291</v>
      </c>
      <c r="E16" t="s">
        <v>768</v>
      </c>
      <c r="F16" t="s">
        <v>386</v>
      </c>
      <c r="G16" s="2">
        <v>4000005</v>
      </c>
    </row>
    <row r="17" spans="1:7" x14ac:dyDescent="0.25">
      <c r="A17" t="s">
        <v>2199</v>
      </c>
      <c r="B17" t="s">
        <v>1238</v>
      </c>
      <c r="C17" t="s">
        <v>1295</v>
      </c>
      <c r="D17" t="s">
        <v>1297</v>
      </c>
      <c r="E17" t="s">
        <v>1299</v>
      </c>
      <c r="F17" t="s">
        <v>1300</v>
      </c>
      <c r="G17" s="2">
        <v>142663000</v>
      </c>
    </row>
    <row r="18" spans="1:7" x14ac:dyDescent="0.25">
      <c r="A18" t="s">
        <v>2199</v>
      </c>
      <c r="B18" t="s">
        <v>1238</v>
      </c>
      <c r="C18" t="s">
        <v>1349</v>
      </c>
      <c r="D18" t="s">
        <v>1350</v>
      </c>
      <c r="E18" t="s">
        <v>1299</v>
      </c>
      <c r="F18" t="s">
        <v>1300</v>
      </c>
      <c r="G18" s="2">
        <v>210000000</v>
      </c>
    </row>
    <row r="19" spans="1:7" x14ac:dyDescent="0.25">
      <c r="A19" t="s">
        <v>2199</v>
      </c>
      <c r="B19" t="s">
        <v>1238</v>
      </c>
      <c r="C19" t="s">
        <v>1352</v>
      </c>
      <c r="D19" t="s">
        <v>1353</v>
      </c>
      <c r="E19" t="s">
        <v>1299</v>
      </c>
      <c r="F19" t="s">
        <v>1300</v>
      </c>
      <c r="G19" s="2">
        <v>129075000</v>
      </c>
    </row>
    <row r="20" spans="1:7" x14ac:dyDescent="0.25">
      <c r="A20" t="s">
        <v>2199</v>
      </c>
      <c r="B20" t="s">
        <v>374</v>
      </c>
      <c r="C20" t="s">
        <v>1590</v>
      </c>
      <c r="D20" t="s">
        <v>1591</v>
      </c>
      <c r="E20" t="s">
        <v>761</v>
      </c>
      <c r="F20" t="s">
        <v>762</v>
      </c>
      <c r="G20" s="2">
        <v>295000</v>
      </c>
    </row>
    <row r="21" spans="1:7" x14ac:dyDescent="0.25">
      <c r="A21" t="s">
        <v>2199</v>
      </c>
      <c r="B21" t="s">
        <v>374</v>
      </c>
      <c r="C21" t="s">
        <v>1575</v>
      </c>
      <c r="D21" t="s">
        <v>1576</v>
      </c>
      <c r="E21" t="s">
        <v>761</v>
      </c>
      <c r="F21" t="s">
        <v>762</v>
      </c>
      <c r="G21" s="2">
        <v>6710000</v>
      </c>
    </row>
    <row r="22" spans="1:7" x14ac:dyDescent="0.25">
      <c r="A22" t="s">
        <v>2199</v>
      </c>
      <c r="B22" t="s">
        <v>374</v>
      </c>
      <c r="C22" t="s">
        <v>1595</v>
      </c>
      <c r="D22" t="s">
        <v>1597</v>
      </c>
      <c r="E22" t="s">
        <v>761</v>
      </c>
      <c r="F22" t="s">
        <v>762</v>
      </c>
      <c r="G22" s="2">
        <v>360000</v>
      </c>
    </row>
    <row r="23" spans="1:7" x14ac:dyDescent="0.25">
      <c r="A23" t="s">
        <v>2199</v>
      </c>
      <c r="B23" t="s">
        <v>374</v>
      </c>
      <c r="C23" t="s">
        <v>1645</v>
      </c>
      <c r="D23" t="s">
        <v>1646</v>
      </c>
      <c r="E23" t="s">
        <v>1649</v>
      </c>
      <c r="F23" t="s">
        <v>762</v>
      </c>
      <c r="G23" s="2">
        <v>4160004</v>
      </c>
    </row>
    <row r="24" spans="1:7" x14ac:dyDescent="0.25">
      <c r="A24" t="s">
        <v>2199</v>
      </c>
      <c r="B24" t="s">
        <v>374</v>
      </c>
      <c r="C24" t="s">
        <v>1650</v>
      </c>
      <c r="D24" t="s">
        <v>1651</v>
      </c>
      <c r="E24" t="s">
        <v>761</v>
      </c>
      <c r="F24" t="s">
        <v>762</v>
      </c>
      <c r="G24" s="2">
        <v>200004</v>
      </c>
    </row>
    <row r="25" spans="1:7" x14ac:dyDescent="0.25">
      <c r="A25" t="s">
        <v>2199</v>
      </c>
      <c r="B25" t="s">
        <v>374</v>
      </c>
      <c r="C25" t="s">
        <v>1654</v>
      </c>
      <c r="D25" t="s">
        <v>1655</v>
      </c>
      <c r="E25" t="s">
        <v>761</v>
      </c>
      <c r="F25" t="s">
        <v>762</v>
      </c>
      <c r="G25" s="2">
        <v>280000</v>
      </c>
    </row>
    <row r="26" spans="1:7" x14ac:dyDescent="0.25">
      <c r="A26" t="s">
        <v>2199</v>
      </c>
      <c r="B26" t="s">
        <v>374</v>
      </c>
      <c r="C26" t="s">
        <v>1657</v>
      </c>
      <c r="D26" t="s">
        <v>1658</v>
      </c>
      <c r="E26" t="s">
        <v>1660</v>
      </c>
      <c r="F26" t="s">
        <v>1661</v>
      </c>
      <c r="G26" s="2">
        <v>18710018</v>
      </c>
    </row>
    <row r="27" spans="1:7" x14ac:dyDescent="0.25">
      <c r="A27" t="s">
        <v>2199</v>
      </c>
      <c r="B27" t="s">
        <v>374</v>
      </c>
      <c r="C27" t="s">
        <v>1967</v>
      </c>
      <c r="D27" t="s">
        <v>1969</v>
      </c>
      <c r="E27" t="s">
        <v>768</v>
      </c>
      <c r="F27" t="s">
        <v>1972</v>
      </c>
      <c r="G27" s="2">
        <v>207409</v>
      </c>
    </row>
    <row r="28" spans="1:7" x14ac:dyDescent="0.25">
      <c r="A28" t="s">
        <v>2199</v>
      </c>
      <c r="B28" t="s">
        <v>374</v>
      </c>
      <c r="C28" t="s">
        <v>2028</v>
      </c>
      <c r="D28" t="s">
        <v>2029</v>
      </c>
      <c r="E28" t="s">
        <v>2032</v>
      </c>
      <c r="F28" t="s">
        <v>2033</v>
      </c>
      <c r="G28" s="2">
        <v>7584540</v>
      </c>
    </row>
    <row r="29" spans="1:7" x14ac:dyDescent="0.25">
      <c r="A29" t="s">
        <v>2199</v>
      </c>
      <c r="B29" t="s">
        <v>374</v>
      </c>
      <c r="C29" t="s">
        <v>2080</v>
      </c>
      <c r="D29" t="s">
        <v>2081</v>
      </c>
      <c r="E29" t="s">
        <v>768</v>
      </c>
      <c r="F29" t="s">
        <v>386</v>
      </c>
      <c r="G29" s="2">
        <v>350280</v>
      </c>
    </row>
    <row r="30" spans="1:7" x14ac:dyDescent="0.25">
      <c r="A30" t="s">
        <v>2199</v>
      </c>
      <c r="B30" t="s">
        <v>374</v>
      </c>
      <c r="C30" t="s">
        <v>2086</v>
      </c>
      <c r="D30" t="s">
        <v>2087</v>
      </c>
      <c r="E30" t="s">
        <v>768</v>
      </c>
      <c r="F30" t="s">
        <v>386</v>
      </c>
      <c r="G30" s="2">
        <v>506160</v>
      </c>
    </row>
    <row r="31" spans="1:7" x14ac:dyDescent="0.25">
      <c r="A31" t="s">
        <v>2199</v>
      </c>
      <c r="B31" t="s">
        <v>374</v>
      </c>
      <c r="C31" t="s">
        <v>2110</v>
      </c>
      <c r="D31" t="s">
        <v>2111</v>
      </c>
      <c r="E31" t="s">
        <v>768</v>
      </c>
      <c r="F31" t="s">
        <v>386</v>
      </c>
      <c r="G31" s="2">
        <v>1303030</v>
      </c>
    </row>
    <row r="32" spans="1:7" x14ac:dyDescent="0.25">
      <c r="A32" t="s">
        <v>2199</v>
      </c>
      <c r="B32" t="s">
        <v>374</v>
      </c>
      <c r="C32" t="s">
        <v>2159</v>
      </c>
      <c r="D32" t="s">
        <v>2160</v>
      </c>
      <c r="E32" t="s">
        <v>761</v>
      </c>
      <c r="F32" t="s">
        <v>762</v>
      </c>
      <c r="G32" s="2">
        <v>7810025</v>
      </c>
    </row>
    <row r="33" spans="1:7" x14ac:dyDescent="0.25">
      <c r="A33" t="s">
        <v>2199</v>
      </c>
      <c r="B33" t="s">
        <v>374</v>
      </c>
      <c r="C33" t="s">
        <v>2181</v>
      </c>
      <c r="D33" t="s">
        <v>2182</v>
      </c>
      <c r="E33" t="s">
        <v>761</v>
      </c>
      <c r="F33" t="s">
        <v>762</v>
      </c>
      <c r="G33" s="2">
        <v>280008</v>
      </c>
    </row>
    <row r="34" spans="1:7" x14ac:dyDescent="0.25">
      <c r="A34" t="s">
        <v>2199</v>
      </c>
      <c r="B34" t="s">
        <v>374</v>
      </c>
      <c r="C34" t="s">
        <v>584</v>
      </c>
      <c r="D34" t="s">
        <v>586</v>
      </c>
      <c r="E34" t="s">
        <v>590</v>
      </c>
      <c r="F34" t="s">
        <v>591</v>
      </c>
      <c r="G34" s="2">
        <v>56320000</v>
      </c>
    </row>
    <row r="35" spans="1:7" x14ac:dyDescent="0.25">
      <c r="A35" t="s">
        <v>2199</v>
      </c>
      <c r="B35" t="s">
        <v>374</v>
      </c>
      <c r="C35" t="s">
        <v>605</v>
      </c>
      <c r="D35" t="s">
        <v>607</v>
      </c>
      <c r="E35" t="s">
        <v>609</v>
      </c>
      <c r="F35" t="s">
        <v>610</v>
      </c>
      <c r="G35" s="2">
        <v>60000000</v>
      </c>
    </row>
    <row r="36" spans="1:7" x14ac:dyDescent="0.25">
      <c r="A36" t="s">
        <v>2199</v>
      </c>
      <c r="B36" t="s">
        <v>374</v>
      </c>
      <c r="C36" t="s">
        <v>614</v>
      </c>
      <c r="D36" t="s">
        <v>616</v>
      </c>
      <c r="E36" t="s">
        <v>590</v>
      </c>
      <c r="F36" t="s">
        <v>591</v>
      </c>
      <c r="G36" s="2">
        <v>410000</v>
      </c>
    </row>
    <row r="37" spans="1:7" x14ac:dyDescent="0.25">
      <c r="A37" t="s">
        <v>2199</v>
      </c>
      <c r="B37" t="s">
        <v>374</v>
      </c>
      <c r="C37" t="s">
        <v>683</v>
      </c>
      <c r="D37" t="s">
        <v>684</v>
      </c>
      <c r="E37" t="s">
        <v>657</v>
      </c>
      <c r="F37" t="s">
        <v>658</v>
      </c>
      <c r="G37" s="2">
        <v>225000</v>
      </c>
    </row>
    <row r="38" spans="1:7" x14ac:dyDescent="0.25">
      <c r="A38" t="s">
        <v>2199</v>
      </c>
      <c r="B38" t="s">
        <v>374</v>
      </c>
      <c r="C38" t="s">
        <v>693</v>
      </c>
      <c r="D38" t="s">
        <v>694</v>
      </c>
      <c r="E38" t="s">
        <v>657</v>
      </c>
      <c r="F38" t="s">
        <v>658</v>
      </c>
      <c r="G38" s="2">
        <v>260000</v>
      </c>
    </row>
    <row r="39" spans="1:7" x14ac:dyDescent="0.25">
      <c r="A39" t="s">
        <v>2199</v>
      </c>
      <c r="B39" t="s">
        <v>374</v>
      </c>
      <c r="C39" t="s">
        <v>699</v>
      </c>
      <c r="D39" t="s">
        <v>700</v>
      </c>
      <c r="E39" t="s">
        <v>657</v>
      </c>
      <c r="F39" t="s">
        <v>658</v>
      </c>
      <c r="G39" s="2">
        <v>900000</v>
      </c>
    </row>
    <row r="40" spans="1:7" x14ac:dyDescent="0.25">
      <c r="A40" t="s">
        <v>2199</v>
      </c>
      <c r="B40" t="s">
        <v>374</v>
      </c>
      <c r="C40" t="s">
        <v>702</v>
      </c>
      <c r="D40" t="s">
        <v>703</v>
      </c>
      <c r="E40" t="s">
        <v>657</v>
      </c>
      <c r="F40" t="s">
        <v>658</v>
      </c>
      <c r="G40" s="2">
        <v>625000</v>
      </c>
    </row>
    <row r="41" spans="1:7" x14ac:dyDescent="0.25">
      <c r="A41" t="s">
        <v>2199</v>
      </c>
      <c r="B41" t="s">
        <v>374</v>
      </c>
      <c r="C41" t="s">
        <v>709</v>
      </c>
      <c r="D41" t="s">
        <v>710</v>
      </c>
      <c r="E41" t="s">
        <v>590</v>
      </c>
      <c r="F41" t="s">
        <v>591</v>
      </c>
      <c r="G41" s="2">
        <v>150000</v>
      </c>
    </row>
    <row r="42" spans="1:7" x14ac:dyDescent="0.25">
      <c r="A42" t="s">
        <v>2199</v>
      </c>
      <c r="B42" t="s">
        <v>374</v>
      </c>
      <c r="C42" t="s">
        <v>737</v>
      </c>
      <c r="D42" t="s">
        <v>738</v>
      </c>
      <c r="E42" t="s">
        <v>657</v>
      </c>
      <c r="F42" t="s">
        <v>658</v>
      </c>
      <c r="G42" s="2">
        <v>2772880</v>
      </c>
    </row>
    <row r="43" spans="1:7" x14ac:dyDescent="0.25">
      <c r="A43" t="s">
        <v>2199</v>
      </c>
      <c r="B43" t="s">
        <v>374</v>
      </c>
      <c r="C43" t="s">
        <v>741</v>
      </c>
      <c r="D43" t="s">
        <v>742</v>
      </c>
      <c r="E43" t="s">
        <v>657</v>
      </c>
      <c r="F43" t="s">
        <v>658</v>
      </c>
      <c r="G43" s="2">
        <v>1468231</v>
      </c>
    </row>
    <row r="44" spans="1:7" x14ac:dyDescent="0.25">
      <c r="A44" t="s">
        <v>2199</v>
      </c>
      <c r="B44" t="s">
        <v>374</v>
      </c>
      <c r="C44" t="s">
        <v>749</v>
      </c>
      <c r="D44" t="s">
        <v>750</v>
      </c>
      <c r="E44" t="s">
        <v>657</v>
      </c>
      <c r="F44" t="s">
        <v>658</v>
      </c>
      <c r="G44" s="2">
        <v>350000</v>
      </c>
    </row>
    <row r="45" spans="1:7" x14ac:dyDescent="0.25">
      <c r="A45" t="s">
        <v>2199</v>
      </c>
      <c r="B45" t="s">
        <v>374</v>
      </c>
      <c r="C45" t="s">
        <v>753</v>
      </c>
      <c r="D45" t="s">
        <v>754</v>
      </c>
      <c r="E45" t="s">
        <v>657</v>
      </c>
      <c r="F45" t="s">
        <v>658</v>
      </c>
      <c r="G45" s="2">
        <v>1287890</v>
      </c>
    </row>
    <row r="46" spans="1:7" x14ac:dyDescent="0.25">
      <c r="A46" t="s">
        <v>2199</v>
      </c>
      <c r="B46" t="s">
        <v>374</v>
      </c>
      <c r="C46" t="s">
        <v>765</v>
      </c>
      <c r="D46" t="s">
        <v>766</v>
      </c>
      <c r="E46" t="s">
        <v>768</v>
      </c>
      <c r="F46" t="s">
        <v>386</v>
      </c>
      <c r="G46" s="2">
        <v>283834</v>
      </c>
    </row>
    <row r="47" spans="1:7" x14ac:dyDescent="0.25">
      <c r="A47" t="s">
        <v>2199</v>
      </c>
      <c r="B47" t="s">
        <v>374</v>
      </c>
      <c r="C47" t="s">
        <v>782</v>
      </c>
      <c r="D47" t="s">
        <v>784</v>
      </c>
      <c r="E47" t="s">
        <v>768</v>
      </c>
      <c r="F47" t="s">
        <v>386</v>
      </c>
      <c r="G47" s="2">
        <v>266424</v>
      </c>
    </row>
    <row r="48" spans="1:7" x14ac:dyDescent="0.25">
      <c r="A48" t="s">
        <v>2199</v>
      </c>
      <c r="B48" t="s">
        <v>374</v>
      </c>
      <c r="C48" t="s">
        <v>794</v>
      </c>
      <c r="D48" t="s">
        <v>795</v>
      </c>
      <c r="E48" t="s">
        <v>768</v>
      </c>
      <c r="F48" t="s">
        <v>386</v>
      </c>
      <c r="G48" s="2">
        <v>503080</v>
      </c>
    </row>
    <row r="49" spans="1:7" x14ac:dyDescent="0.25">
      <c r="A49" t="s">
        <v>2199</v>
      </c>
      <c r="B49" t="s">
        <v>374</v>
      </c>
      <c r="C49" t="s">
        <v>799</v>
      </c>
      <c r="D49" t="s">
        <v>801</v>
      </c>
      <c r="E49" t="s">
        <v>768</v>
      </c>
      <c r="F49" t="s">
        <v>386</v>
      </c>
      <c r="G49" s="2">
        <v>85670</v>
      </c>
    </row>
    <row r="50" spans="1:7" x14ac:dyDescent="0.25">
      <c r="A50" t="s">
        <v>2199</v>
      </c>
      <c r="B50" t="s">
        <v>374</v>
      </c>
      <c r="C50" t="s">
        <v>822</v>
      </c>
      <c r="D50" t="s">
        <v>823</v>
      </c>
      <c r="E50" t="s">
        <v>768</v>
      </c>
      <c r="F50" t="s">
        <v>386</v>
      </c>
      <c r="G50" s="2">
        <v>450012</v>
      </c>
    </row>
    <row r="51" spans="1:7" x14ac:dyDescent="0.25">
      <c r="A51" t="s">
        <v>2199</v>
      </c>
      <c r="B51" t="s">
        <v>374</v>
      </c>
      <c r="C51" t="s">
        <v>841</v>
      </c>
      <c r="D51" t="s">
        <v>843</v>
      </c>
      <c r="E51" t="s">
        <v>768</v>
      </c>
      <c r="F51" t="s">
        <v>386</v>
      </c>
      <c r="G51" s="2">
        <v>150000</v>
      </c>
    </row>
    <row r="52" spans="1:7" x14ac:dyDescent="0.25">
      <c r="A52" t="s">
        <v>2199</v>
      </c>
      <c r="B52" t="s">
        <v>374</v>
      </c>
      <c r="C52" t="s">
        <v>847</v>
      </c>
      <c r="D52" t="s">
        <v>848</v>
      </c>
      <c r="E52" t="s">
        <v>768</v>
      </c>
      <c r="F52" t="s">
        <v>386</v>
      </c>
      <c r="G52" s="2">
        <v>72793</v>
      </c>
    </row>
    <row r="53" spans="1:7" x14ac:dyDescent="0.25">
      <c r="A53" t="s">
        <v>2199</v>
      </c>
      <c r="B53" t="s">
        <v>374</v>
      </c>
      <c r="C53" t="s">
        <v>851</v>
      </c>
      <c r="D53" t="s">
        <v>852</v>
      </c>
      <c r="E53" t="s">
        <v>768</v>
      </c>
      <c r="F53" t="s">
        <v>386</v>
      </c>
      <c r="G53" s="2">
        <v>589022</v>
      </c>
    </row>
    <row r="54" spans="1:7" x14ac:dyDescent="0.25">
      <c r="A54" t="s">
        <v>2199</v>
      </c>
      <c r="B54" t="s">
        <v>374</v>
      </c>
      <c r="C54" t="s">
        <v>856</v>
      </c>
      <c r="D54" t="s">
        <v>857</v>
      </c>
      <c r="E54" t="s">
        <v>768</v>
      </c>
      <c r="F54" t="s">
        <v>386</v>
      </c>
      <c r="G54" s="2">
        <v>300000</v>
      </c>
    </row>
    <row r="55" spans="1:7" x14ac:dyDescent="0.25">
      <c r="A55" t="s">
        <v>2199</v>
      </c>
      <c r="B55" t="s">
        <v>374</v>
      </c>
      <c r="C55" t="s">
        <v>915</v>
      </c>
      <c r="D55" t="s">
        <v>916</v>
      </c>
      <c r="E55" t="s">
        <v>768</v>
      </c>
      <c r="F55" t="s">
        <v>386</v>
      </c>
      <c r="G55" s="2">
        <v>399870</v>
      </c>
    </row>
    <row r="56" spans="1:7" x14ac:dyDescent="0.25">
      <c r="A56" t="s">
        <v>2199</v>
      </c>
      <c r="B56" t="s">
        <v>374</v>
      </c>
      <c r="C56" t="s">
        <v>919</v>
      </c>
      <c r="D56" t="s">
        <v>920</v>
      </c>
      <c r="E56" t="s">
        <v>768</v>
      </c>
      <c r="F56" t="s">
        <v>386</v>
      </c>
      <c r="G56" s="2">
        <v>159016</v>
      </c>
    </row>
    <row r="57" spans="1:7" x14ac:dyDescent="0.25">
      <c r="A57" t="s">
        <v>2199</v>
      </c>
      <c r="B57" t="s">
        <v>374</v>
      </c>
      <c r="C57" t="s">
        <v>927</v>
      </c>
      <c r="D57" t="s">
        <v>928</v>
      </c>
      <c r="E57" t="s">
        <v>768</v>
      </c>
      <c r="F57" t="s">
        <v>386</v>
      </c>
      <c r="G57" s="2">
        <v>1131791</v>
      </c>
    </row>
    <row r="58" spans="1:7" x14ac:dyDescent="0.25">
      <c r="A58" t="s">
        <v>2199</v>
      </c>
      <c r="B58" t="s">
        <v>374</v>
      </c>
      <c r="C58" t="s">
        <v>1030</v>
      </c>
      <c r="D58" t="s">
        <v>1032</v>
      </c>
      <c r="E58" t="s">
        <v>1035</v>
      </c>
      <c r="F58" t="s">
        <v>1036</v>
      </c>
      <c r="G58" s="2">
        <v>30400000</v>
      </c>
    </row>
    <row r="59" spans="1:7" x14ac:dyDescent="0.25">
      <c r="A59" t="s">
        <v>2199</v>
      </c>
      <c r="B59" t="s">
        <v>374</v>
      </c>
      <c r="C59" t="s">
        <v>1052</v>
      </c>
      <c r="D59" t="s">
        <v>1053</v>
      </c>
      <c r="E59" t="s">
        <v>768</v>
      </c>
      <c r="F59" t="s">
        <v>386</v>
      </c>
      <c r="G59" s="2">
        <v>211860</v>
      </c>
    </row>
    <row r="60" spans="1:7" x14ac:dyDescent="0.25">
      <c r="A60" t="s">
        <v>2199</v>
      </c>
      <c r="B60" t="s">
        <v>374</v>
      </c>
      <c r="C60" t="s">
        <v>1055</v>
      </c>
      <c r="D60" t="s">
        <v>1056</v>
      </c>
      <c r="E60" t="s">
        <v>768</v>
      </c>
      <c r="F60" t="s">
        <v>386</v>
      </c>
      <c r="G60" s="2">
        <v>263860</v>
      </c>
    </row>
    <row r="61" spans="1:7" x14ac:dyDescent="0.25">
      <c r="A61" t="s">
        <v>2199</v>
      </c>
      <c r="B61" t="s">
        <v>374</v>
      </c>
      <c r="C61" t="s">
        <v>1066</v>
      </c>
      <c r="D61" t="s">
        <v>1067</v>
      </c>
      <c r="E61" t="s">
        <v>790</v>
      </c>
      <c r="F61" t="s">
        <v>791</v>
      </c>
      <c r="G61" s="2">
        <v>1750000</v>
      </c>
    </row>
    <row r="62" spans="1:7" x14ac:dyDescent="0.25">
      <c r="A62" t="s">
        <v>2199</v>
      </c>
      <c r="B62" t="s">
        <v>374</v>
      </c>
      <c r="C62" t="s">
        <v>1143</v>
      </c>
      <c r="D62" t="s">
        <v>1144</v>
      </c>
      <c r="E62" t="s">
        <v>768</v>
      </c>
      <c r="F62" t="s">
        <v>386</v>
      </c>
      <c r="G62" s="2">
        <v>249504</v>
      </c>
    </row>
    <row r="63" spans="1:7" x14ac:dyDescent="0.25">
      <c r="A63" t="s">
        <v>2199</v>
      </c>
      <c r="B63" t="s">
        <v>374</v>
      </c>
      <c r="C63" t="s">
        <v>1149</v>
      </c>
      <c r="D63" t="s">
        <v>1150</v>
      </c>
      <c r="E63" t="s">
        <v>1152</v>
      </c>
      <c r="F63" t="s">
        <v>1153</v>
      </c>
      <c r="G63" s="2">
        <v>672240</v>
      </c>
    </row>
    <row r="64" spans="1:7" x14ac:dyDescent="0.25">
      <c r="A64" t="s">
        <v>2199</v>
      </c>
      <c r="B64" t="s">
        <v>374</v>
      </c>
      <c r="C64" t="s">
        <v>1171</v>
      </c>
      <c r="D64" t="s">
        <v>1172</v>
      </c>
      <c r="E64" t="s">
        <v>1152</v>
      </c>
      <c r="F64" t="s">
        <v>1153</v>
      </c>
      <c r="G64" s="2">
        <v>2975561</v>
      </c>
    </row>
    <row r="65" spans="1:7" x14ac:dyDescent="0.25">
      <c r="A65" t="s">
        <v>2199</v>
      </c>
      <c r="B65" t="s">
        <v>374</v>
      </c>
      <c r="C65" t="s">
        <v>1193</v>
      </c>
      <c r="D65" t="s">
        <v>1194</v>
      </c>
      <c r="E65" t="s">
        <v>733</v>
      </c>
      <c r="F65" t="s">
        <v>734</v>
      </c>
      <c r="G65" s="2">
        <v>1500000</v>
      </c>
    </row>
    <row r="66" spans="1:7" x14ac:dyDescent="0.25">
      <c r="A66" t="s">
        <v>2199</v>
      </c>
      <c r="B66" t="s">
        <v>374</v>
      </c>
      <c r="C66" t="s">
        <v>1264</v>
      </c>
      <c r="D66" t="s">
        <v>1266</v>
      </c>
      <c r="E66" t="s">
        <v>768</v>
      </c>
      <c r="F66" t="s">
        <v>386</v>
      </c>
      <c r="G66" s="2">
        <v>277131</v>
      </c>
    </row>
    <row r="67" spans="1:7" hidden="1" x14ac:dyDescent="0.25">
      <c r="A67" t="s">
        <v>2196</v>
      </c>
      <c r="B67" t="s">
        <v>2196</v>
      </c>
      <c r="C67" t="s">
        <v>29</v>
      </c>
      <c r="D67" t="s">
        <v>33</v>
      </c>
      <c r="E67" t="s">
        <v>37</v>
      </c>
      <c r="F67" t="s">
        <v>38</v>
      </c>
      <c r="G67" s="2">
        <v>30000000</v>
      </c>
    </row>
    <row r="68" spans="1:7" hidden="1" x14ac:dyDescent="0.25">
      <c r="A68" t="s">
        <v>2196</v>
      </c>
      <c r="B68" t="s">
        <v>2196</v>
      </c>
      <c r="C68" t="s">
        <v>284</v>
      </c>
      <c r="D68" t="s">
        <v>286</v>
      </c>
      <c r="E68" t="s">
        <v>290</v>
      </c>
      <c r="F68" t="s">
        <v>291</v>
      </c>
      <c r="G68" s="2">
        <v>75000000</v>
      </c>
    </row>
    <row r="69" spans="1:7" hidden="1" x14ac:dyDescent="0.25">
      <c r="A69" t="s">
        <v>2196</v>
      </c>
      <c r="B69" t="s">
        <v>2196</v>
      </c>
      <c r="C69" t="s">
        <v>44</v>
      </c>
      <c r="D69" t="s">
        <v>46</v>
      </c>
      <c r="E69" t="s">
        <v>37</v>
      </c>
      <c r="F69" t="s">
        <v>49</v>
      </c>
      <c r="G69" s="2">
        <v>6711996</v>
      </c>
    </row>
    <row r="70" spans="1:7" hidden="1" x14ac:dyDescent="0.25">
      <c r="A70" t="s">
        <v>2196</v>
      </c>
      <c r="B70" t="s">
        <v>2196</v>
      </c>
      <c r="C70" t="s">
        <v>298</v>
      </c>
      <c r="D70" t="s">
        <v>300</v>
      </c>
      <c r="E70" t="s">
        <v>182</v>
      </c>
      <c r="F70" t="s">
        <v>302</v>
      </c>
      <c r="G70" s="2">
        <v>144000000</v>
      </c>
    </row>
    <row r="71" spans="1:7" hidden="1" x14ac:dyDescent="0.25">
      <c r="A71" t="s">
        <v>2196</v>
      </c>
      <c r="B71" t="s">
        <v>2196</v>
      </c>
      <c r="C71" t="s">
        <v>304</v>
      </c>
      <c r="D71" t="s">
        <v>305</v>
      </c>
      <c r="E71" t="s">
        <v>309</v>
      </c>
      <c r="F71" t="s">
        <v>310</v>
      </c>
      <c r="G71" s="2">
        <v>40833335</v>
      </c>
    </row>
    <row r="72" spans="1:7" hidden="1" x14ac:dyDescent="0.25">
      <c r="A72" t="s">
        <v>2196</v>
      </c>
      <c r="B72" t="s">
        <v>2196</v>
      </c>
      <c r="C72" t="s">
        <v>191</v>
      </c>
      <c r="D72" t="s">
        <v>201</v>
      </c>
      <c r="E72" t="s">
        <v>197</v>
      </c>
      <c r="F72" t="s">
        <v>198</v>
      </c>
      <c r="G72" s="8">
        <v>111102840</v>
      </c>
    </row>
    <row r="73" spans="1:7" hidden="1" x14ac:dyDescent="0.25">
      <c r="A73" t="s">
        <v>2196</v>
      </c>
      <c r="B73" t="s">
        <v>2196</v>
      </c>
      <c r="C73" t="s">
        <v>202</v>
      </c>
      <c r="D73" t="s">
        <v>203</v>
      </c>
      <c r="E73" t="s">
        <v>182</v>
      </c>
      <c r="F73" t="s">
        <v>183</v>
      </c>
      <c r="G73" s="2">
        <v>70333380</v>
      </c>
    </row>
    <row r="74" spans="1:7" hidden="1" x14ac:dyDescent="0.25">
      <c r="A74" t="s">
        <v>2196</v>
      </c>
      <c r="B74" t="s">
        <v>2196</v>
      </c>
      <c r="C74" t="s">
        <v>214</v>
      </c>
      <c r="D74" t="s">
        <v>216</v>
      </c>
      <c r="E74" t="s">
        <v>218</v>
      </c>
      <c r="F74" t="s">
        <v>219</v>
      </c>
      <c r="G74" s="2">
        <v>6255504</v>
      </c>
    </row>
    <row r="75" spans="1:7" hidden="1" x14ac:dyDescent="0.25">
      <c r="A75" t="s">
        <v>2196</v>
      </c>
      <c r="B75" t="s">
        <v>2196</v>
      </c>
      <c r="C75" t="s">
        <v>51</v>
      </c>
      <c r="D75" t="s">
        <v>52</v>
      </c>
      <c r="E75" t="s">
        <v>55</v>
      </c>
      <c r="F75" t="s">
        <v>56</v>
      </c>
      <c r="G75" s="2">
        <v>6712008</v>
      </c>
    </row>
    <row r="76" spans="1:7" hidden="1" x14ac:dyDescent="0.25">
      <c r="A76" t="s">
        <v>2196</v>
      </c>
      <c r="B76" t="s">
        <v>2196</v>
      </c>
      <c r="C76" t="s">
        <v>222</v>
      </c>
      <c r="D76" t="s">
        <v>224</v>
      </c>
      <c r="E76" t="s">
        <v>227</v>
      </c>
      <c r="F76" t="s">
        <v>228</v>
      </c>
      <c r="G76" s="2">
        <v>48115128</v>
      </c>
    </row>
    <row r="77" spans="1:7" hidden="1" x14ac:dyDescent="0.25">
      <c r="A77" t="s">
        <v>2196</v>
      </c>
      <c r="B77" t="s">
        <v>2196</v>
      </c>
      <c r="C77" t="s">
        <v>238</v>
      </c>
      <c r="D77" t="s">
        <v>239</v>
      </c>
      <c r="E77" t="s">
        <v>227</v>
      </c>
      <c r="F77" t="s">
        <v>228</v>
      </c>
      <c r="G77" s="2">
        <v>237155100</v>
      </c>
    </row>
    <row r="78" spans="1:7" hidden="1" x14ac:dyDescent="0.25">
      <c r="A78" t="s">
        <v>2196</v>
      </c>
      <c r="B78" t="s">
        <v>2196</v>
      </c>
      <c r="C78" t="s">
        <v>244</v>
      </c>
      <c r="D78" t="s">
        <v>245</v>
      </c>
      <c r="E78" t="s">
        <v>227</v>
      </c>
      <c r="F78" t="s">
        <v>228</v>
      </c>
      <c r="G78" s="2">
        <v>284700000</v>
      </c>
    </row>
    <row r="79" spans="1:7" hidden="1" x14ac:dyDescent="0.25">
      <c r="A79" t="s">
        <v>2196</v>
      </c>
      <c r="B79" t="s">
        <v>2196</v>
      </c>
      <c r="C79" t="s">
        <v>68</v>
      </c>
      <c r="D79" t="s">
        <v>70</v>
      </c>
      <c r="E79" t="s">
        <v>74</v>
      </c>
      <c r="F79" t="s">
        <v>75</v>
      </c>
      <c r="G79" s="2">
        <v>40432878</v>
      </c>
    </row>
    <row r="80" spans="1:7" hidden="1" x14ac:dyDescent="0.25">
      <c r="A80" t="s">
        <v>2196</v>
      </c>
      <c r="B80" t="s">
        <v>2196</v>
      </c>
      <c r="C80" t="s">
        <v>59</v>
      </c>
      <c r="D80" t="s">
        <v>60</v>
      </c>
      <c r="E80" t="s">
        <v>64</v>
      </c>
      <c r="F80" t="s">
        <v>65</v>
      </c>
      <c r="G80" s="2">
        <v>43333332</v>
      </c>
    </row>
    <row r="81" spans="1:7" hidden="1" x14ac:dyDescent="0.25">
      <c r="A81" t="s">
        <v>2196</v>
      </c>
      <c r="B81" t="s">
        <v>2196</v>
      </c>
      <c r="C81" t="s">
        <v>82</v>
      </c>
      <c r="D81" t="s">
        <v>83</v>
      </c>
      <c r="E81" t="s">
        <v>74</v>
      </c>
      <c r="F81" t="s">
        <v>85</v>
      </c>
      <c r="G81" s="2">
        <v>78361124</v>
      </c>
    </row>
    <row r="82" spans="1:7" hidden="1" x14ac:dyDescent="0.25">
      <c r="A82" t="s">
        <v>2196</v>
      </c>
      <c r="B82" t="s">
        <v>2196</v>
      </c>
      <c r="C82" t="s">
        <v>91</v>
      </c>
      <c r="D82" t="s">
        <v>92</v>
      </c>
      <c r="E82" t="s">
        <v>74</v>
      </c>
      <c r="F82" t="s">
        <v>85</v>
      </c>
      <c r="G82" s="2">
        <v>78361124</v>
      </c>
    </row>
    <row r="83" spans="1:7" hidden="1" x14ac:dyDescent="0.25">
      <c r="A83" t="s">
        <v>2196</v>
      </c>
      <c r="B83" t="s">
        <v>2196</v>
      </c>
      <c r="C83" t="s">
        <v>103</v>
      </c>
      <c r="D83" t="s">
        <v>105</v>
      </c>
      <c r="E83" t="s">
        <v>109</v>
      </c>
      <c r="F83" t="s">
        <v>110</v>
      </c>
      <c r="G83" s="2">
        <v>18060000</v>
      </c>
    </row>
    <row r="84" spans="1:7" hidden="1" x14ac:dyDescent="0.25">
      <c r="A84" t="s">
        <v>2196</v>
      </c>
      <c r="B84" t="s">
        <v>2196</v>
      </c>
      <c r="C84" t="s">
        <v>117</v>
      </c>
      <c r="D84" t="s">
        <v>119</v>
      </c>
      <c r="E84" t="s">
        <v>122</v>
      </c>
      <c r="F84" t="s">
        <v>123</v>
      </c>
      <c r="G84" s="2">
        <v>150000000</v>
      </c>
    </row>
    <row r="85" spans="1:7" hidden="1" x14ac:dyDescent="0.25">
      <c r="A85" t="s">
        <v>2196</v>
      </c>
      <c r="B85" t="s">
        <v>2196</v>
      </c>
      <c r="C85" t="s">
        <v>128</v>
      </c>
      <c r="D85" t="s">
        <v>130</v>
      </c>
      <c r="E85" t="s">
        <v>109</v>
      </c>
      <c r="F85" t="s">
        <v>133</v>
      </c>
      <c r="G85" s="2">
        <v>397359215</v>
      </c>
    </row>
    <row r="86" spans="1:7" hidden="1" x14ac:dyDescent="0.25">
      <c r="A86" t="s">
        <v>2196</v>
      </c>
      <c r="B86" t="s">
        <v>2196</v>
      </c>
      <c r="C86" t="s">
        <v>136</v>
      </c>
      <c r="D86" t="s">
        <v>138</v>
      </c>
      <c r="E86" t="s">
        <v>141</v>
      </c>
      <c r="F86" t="s">
        <v>142</v>
      </c>
      <c r="G86" s="2">
        <v>496977708</v>
      </c>
    </row>
    <row r="87" spans="1:7" hidden="1" x14ac:dyDescent="0.25">
      <c r="A87" t="s">
        <v>2196</v>
      </c>
      <c r="B87" t="s">
        <v>2196</v>
      </c>
      <c r="C87" t="s">
        <v>148</v>
      </c>
      <c r="D87" t="s">
        <v>150</v>
      </c>
      <c r="E87" t="s">
        <v>153</v>
      </c>
      <c r="F87" t="s">
        <v>154</v>
      </c>
      <c r="G87" s="2">
        <v>118000004</v>
      </c>
    </row>
    <row r="88" spans="1:7" hidden="1" x14ac:dyDescent="0.25">
      <c r="A88" t="s">
        <v>2196</v>
      </c>
      <c r="B88" t="s">
        <v>2196</v>
      </c>
      <c r="C88" t="s">
        <v>165</v>
      </c>
      <c r="D88" t="s">
        <v>167</v>
      </c>
      <c r="E88" t="s">
        <v>169</v>
      </c>
      <c r="F88" t="s">
        <v>65</v>
      </c>
      <c r="G88" s="2">
        <v>10000004</v>
      </c>
    </row>
    <row r="89" spans="1:7" hidden="1" x14ac:dyDescent="0.25">
      <c r="A89" t="s">
        <v>2196</v>
      </c>
      <c r="B89" t="s">
        <v>2196</v>
      </c>
      <c r="C89" t="s">
        <v>177</v>
      </c>
      <c r="D89" t="s">
        <v>179</v>
      </c>
      <c r="E89" t="s">
        <v>182</v>
      </c>
      <c r="F89" t="s">
        <v>183</v>
      </c>
      <c r="G89" s="2">
        <v>905196910</v>
      </c>
    </row>
    <row r="90" spans="1:7" hidden="1" x14ac:dyDescent="0.25">
      <c r="A90" t="s">
        <v>2196</v>
      </c>
      <c r="B90" t="s">
        <v>2196</v>
      </c>
      <c r="C90" t="s">
        <v>313</v>
      </c>
      <c r="D90" t="s">
        <v>315</v>
      </c>
      <c r="E90" t="s">
        <v>319</v>
      </c>
      <c r="F90" t="s">
        <v>320</v>
      </c>
      <c r="G90" s="2">
        <v>36208337</v>
      </c>
    </row>
    <row r="91" spans="1:7" hidden="1" x14ac:dyDescent="0.25">
      <c r="A91" t="s">
        <v>2196</v>
      </c>
      <c r="B91" t="s">
        <v>2196</v>
      </c>
      <c r="C91" t="s">
        <v>323</v>
      </c>
      <c r="D91" t="s">
        <v>324</v>
      </c>
      <c r="E91" t="s">
        <v>319</v>
      </c>
      <c r="F91" t="s">
        <v>320</v>
      </c>
      <c r="G91" s="2">
        <v>28875000</v>
      </c>
    </row>
    <row r="92" spans="1:7" hidden="1" x14ac:dyDescent="0.25">
      <c r="A92" t="s">
        <v>2196</v>
      </c>
      <c r="B92" t="s">
        <v>2196</v>
      </c>
      <c r="C92" t="s">
        <v>328</v>
      </c>
      <c r="D92" t="s">
        <v>329</v>
      </c>
      <c r="E92" t="s">
        <v>332</v>
      </c>
      <c r="F92" t="s">
        <v>333</v>
      </c>
      <c r="G92" s="2">
        <v>52500000</v>
      </c>
    </row>
    <row r="93" spans="1:7" hidden="1" x14ac:dyDescent="0.25">
      <c r="A93" t="s">
        <v>2196</v>
      </c>
      <c r="B93" t="s">
        <v>2196</v>
      </c>
      <c r="C93" t="s">
        <v>337</v>
      </c>
      <c r="D93" t="s">
        <v>338</v>
      </c>
      <c r="E93" t="s">
        <v>341</v>
      </c>
      <c r="F93" t="s">
        <v>342</v>
      </c>
      <c r="G93" s="2">
        <v>11000004</v>
      </c>
    </row>
    <row r="94" spans="1:7" hidden="1" x14ac:dyDescent="0.25">
      <c r="A94" t="s">
        <v>2196</v>
      </c>
      <c r="B94" t="s">
        <v>2196</v>
      </c>
      <c r="C94" t="s">
        <v>355</v>
      </c>
      <c r="D94" t="s">
        <v>357</v>
      </c>
      <c r="E94" t="s">
        <v>360</v>
      </c>
      <c r="F94" t="s">
        <v>361</v>
      </c>
      <c r="G94" s="2">
        <v>30250000</v>
      </c>
    </row>
    <row r="95" spans="1:7" hidden="1" x14ac:dyDescent="0.25">
      <c r="A95" t="s">
        <v>2196</v>
      </c>
      <c r="B95" t="s">
        <v>2196</v>
      </c>
      <c r="C95" t="s">
        <v>366</v>
      </c>
      <c r="D95" t="s">
        <v>368</v>
      </c>
      <c r="E95" t="s">
        <v>341</v>
      </c>
      <c r="F95" t="s">
        <v>372</v>
      </c>
      <c r="G95" s="2">
        <v>80000000</v>
      </c>
    </row>
    <row r="96" spans="1:7" hidden="1" x14ac:dyDescent="0.25">
      <c r="A96" t="s">
        <v>2196</v>
      </c>
      <c r="B96" t="s">
        <v>2196</v>
      </c>
      <c r="C96" t="s">
        <v>382</v>
      </c>
      <c r="D96" t="s">
        <v>383</v>
      </c>
      <c r="E96" t="s">
        <v>385</v>
      </c>
      <c r="F96" t="s">
        <v>386</v>
      </c>
      <c r="G96" s="2">
        <v>16041663</v>
      </c>
    </row>
    <row r="97" spans="1:7" hidden="1" x14ac:dyDescent="0.25">
      <c r="A97" t="s">
        <v>2196</v>
      </c>
      <c r="B97" t="s">
        <v>2196</v>
      </c>
      <c r="C97" t="s">
        <v>389</v>
      </c>
      <c r="D97" t="s">
        <v>390</v>
      </c>
      <c r="E97" t="s">
        <v>378</v>
      </c>
      <c r="F97" t="s">
        <v>361</v>
      </c>
      <c r="G97" s="2">
        <v>16500000</v>
      </c>
    </row>
    <row r="98" spans="1:7" hidden="1" x14ac:dyDescent="0.25">
      <c r="A98" t="s">
        <v>2196</v>
      </c>
      <c r="B98" t="s">
        <v>2196</v>
      </c>
      <c r="C98" t="s">
        <v>392</v>
      </c>
      <c r="D98" t="s">
        <v>393</v>
      </c>
      <c r="E98" t="s">
        <v>395</v>
      </c>
      <c r="F98" t="s">
        <v>396</v>
      </c>
      <c r="G98" s="2">
        <v>17416663</v>
      </c>
    </row>
    <row r="99" spans="1:7" hidden="1" x14ac:dyDescent="0.25">
      <c r="A99" t="s">
        <v>2196</v>
      </c>
      <c r="B99" t="s">
        <v>2196</v>
      </c>
      <c r="C99" t="s">
        <v>399</v>
      </c>
      <c r="D99" t="s">
        <v>400</v>
      </c>
      <c r="E99" t="s">
        <v>402</v>
      </c>
      <c r="F99" t="s">
        <v>320</v>
      </c>
      <c r="G99" s="2">
        <v>28875000</v>
      </c>
    </row>
    <row r="100" spans="1:7" hidden="1" x14ac:dyDescent="0.25">
      <c r="A100" s="49" t="s">
        <v>2196</v>
      </c>
      <c r="B100" s="49" t="s">
        <v>2196</v>
      </c>
      <c r="C100" s="49" t="s">
        <v>405</v>
      </c>
      <c r="D100" s="49" t="s">
        <v>406</v>
      </c>
      <c r="E100" t="s">
        <v>360</v>
      </c>
      <c r="F100" t="s">
        <v>361</v>
      </c>
      <c r="G100" s="2">
        <v>23833337</v>
      </c>
    </row>
    <row r="101" spans="1:7" hidden="1" x14ac:dyDescent="0.25">
      <c r="A101" t="s">
        <v>2196</v>
      </c>
      <c r="B101" t="s">
        <v>2196</v>
      </c>
      <c r="C101" t="s">
        <v>408</v>
      </c>
      <c r="D101" t="s">
        <v>410</v>
      </c>
      <c r="E101" t="s">
        <v>414</v>
      </c>
      <c r="F101" t="s">
        <v>415</v>
      </c>
      <c r="G101" s="2">
        <v>500000000</v>
      </c>
    </row>
    <row r="102" spans="1:7" hidden="1" x14ac:dyDescent="0.25">
      <c r="A102" t="s">
        <v>2196</v>
      </c>
      <c r="B102" t="s">
        <v>2196</v>
      </c>
      <c r="C102" t="s">
        <v>418</v>
      </c>
      <c r="D102" t="s">
        <v>419</v>
      </c>
      <c r="E102" t="s">
        <v>422</v>
      </c>
      <c r="F102" t="s">
        <v>423</v>
      </c>
      <c r="G102" s="2">
        <v>87524976</v>
      </c>
    </row>
    <row r="103" spans="1:7" hidden="1" x14ac:dyDescent="0.25">
      <c r="A103" t="s">
        <v>2196</v>
      </c>
      <c r="B103" t="s">
        <v>2196</v>
      </c>
      <c r="C103" t="s">
        <v>426</v>
      </c>
      <c r="D103" t="s">
        <v>428</v>
      </c>
      <c r="E103" t="s">
        <v>430</v>
      </c>
      <c r="F103" t="s">
        <v>431</v>
      </c>
      <c r="G103" s="2">
        <v>48583326</v>
      </c>
    </row>
    <row r="104" spans="1:7" hidden="1" x14ac:dyDescent="0.25">
      <c r="A104" t="s">
        <v>2196</v>
      </c>
      <c r="B104" t="s">
        <v>2196</v>
      </c>
      <c r="C104" t="s">
        <v>434</v>
      </c>
      <c r="D104" t="s">
        <v>435</v>
      </c>
      <c r="E104" t="s">
        <v>319</v>
      </c>
      <c r="F104" t="s">
        <v>320</v>
      </c>
      <c r="G104" s="2">
        <v>73333326</v>
      </c>
    </row>
    <row r="105" spans="1:7" hidden="1" x14ac:dyDescent="0.25">
      <c r="A105" t="s">
        <v>2196</v>
      </c>
      <c r="B105" t="s">
        <v>2196</v>
      </c>
      <c r="C105" t="s">
        <v>438</v>
      </c>
      <c r="D105" t="s">
        <v>440</v>
      </c>
      <c r="E105" t="s">
        <v>360</v>
      </c>
      <c r="F105" t="s">
        <v>361</v>
      </c>
      <c r="G105" s="2">
        <v>6417500</v>
      </c>
    </row>
    <row r="106" spans="1:7" hidden="1" x14ac:dyDescent="0.25">
      <c r="A106" t="s">
        <v>2196</v>
      </c>
      <c r="B106" t="s">
        <v>2196</v>
      </c>
      <c r="C106" t="s">
        <v>444</v>
      </c>
      <c r="D106" t="s">
        <v>445</v>
      </c>
      <c r="E106" t="s">
        <v>37</v>
      </c>
      <c r="F106" t="s">
        <v>449</v>
      </c>
      <c r="G106" s="2">
        <v>89478000</v>
      </c>
    </row>
    <row r="107" spans="1:7" hidden="1" x14ac:dyDescent="0.25">
      <c r="A107" t="s">
        <v>2196</v>
      </c>
      <c r="B107" t="s">
        <v>2196</v>
      </c>
      <c r="C107" t="s">
        <v>452</v>
      </c>
      <c r="D107" t="s">
        <v>454</v>
      </c>
      <c r="E107" t="s">
        <v>457</v>
      </c>
      <c r="F107" t="s">
        <v>458</v>
      </c>
      <c r="G107" s="2">
        <v>189933326</v>
      </c>
    </row>
    <row r="108" spans="1:7" hidden="1" x14ac:dyDescent="0.25">
      <c r="A108" t="s">
        <v>2196</v>
      </c>
      <c r="B108" t="s">
        <v>2196</v>
      </c>
      <c r="C108" t="s">
        <v>461</v>
      </c>
      <c r="D108" t="s">
        <v>462</v>
      </c>
      <c r="E108" t="s">
        <v>465</v>
      </c>
      <c r="F108" t="s">
        <v>466</v>
      </c>
      <c r="G108" s="2">
        <v>246357600</v>
      </c>
    </row>
    <row r="109" spans="1:7" hidden="1" x14ac:dyDescent="0.25">
      <c r="A109" t="s">
        <v>2196</v>
      </c>
      <c r="B109" t="s">
        <v>2196</v>
      </c>
      <c r="C109" t="s">
        <v>476</v>
      </c>
      <c r="D109" t="s">
        <v>477</v>
      </c>
      <c r="E109" t="s">
        <v>227</v>
      </c>
      <c r="F109" t="s">
        <v>480</v>
      </c>
      <c r="G109" s="2">
        <v>114626790</v>
      </c>
    </row>
    <row r="110" spans="1:7" hidden="1" x14ac:dyDescent="0.25">
      <c r="A110" t="s">
        <v>2196</v>
      </c>
      <c r="B110" t="s">
        <v>2196</v>
      </c>
      <c r="C110" t="s">
        <v>482</v>
      </c>
      <c r="D110" t="s">
        <v>484</v>
      </c>
      <c r="E110" t="s">
        <v>487</v>
      </c>
      <c r="F110" t="s">
        <v>488</v>
      </c>
      <c r="G110" s="2">
        <v>16817500</v>
      </c>
    </row>
    <row r="111" spans="1:7" hidden="1" x14ac:dyDescent="0.25">
      <c r="A111" t="s">
        <v>2196</v>
      </c>
      <c r="B111" t="s">
        <v>2196</v>
      </c>
      <c r="C111" t="s">
        <v>493</v>
      </c>
      <c r="D111" t="s">
        <v>494</v>
      </c>
      <c r="E111" t="s">
        <v>497</v>
      </c>
      <c r="F111" t="s">
        <v>302</v>
      </c>
      <c r="G111" s="2">
        <v>72999996</v>
      </c>
    </row>
    <row r="112" spans="1:7" hidden="1" x14ac:dyDescent="0.25">
      <c r="A112" t="s">
        <v>2196</v>
      </c>
      <c r="B112" t="s">
        <v>2196</v>
      </c>
      <c r="C112" t="s">
        <v>499</v>
      </c>
      <c r="D112" t="s">
        <v>501</v>
      </c>
      <c r="E112" t="s">
        <v>505</v>
      </c>
      <c r="F112" t="s">
        <v>506</v>
      </c>
      <c r="G112" s="2">
        <v>56250000</v>
      </c>
    </row>
    <row r="113" spans="1:7" hidden="1" x14ac:dyDescent="0.25">
      <c r="A113" t="s">
        <v>2196</v>
      </c>
      <c r="B113" t="s">
        <v>2196</v>
      </c>
      <c r="C113" t="s">
        <v>509</v>
      </c>
      <c r="D113" t="s">
        <v>510</v>
      </c>
      <c r="E113" t="s">
        <v>513</v>
      </c>
      <c r="F113" t="s">
        <v>514</v>
      </c>
      <c r="G113" s="2">
        <v>83594337</v>
      </c>
    </row>
    <row r="114" spans="1:7" hidden="1" x14ac:dyDescent="0.25">
      <c r="A114" t="s">
        <v>2196</v>
      </c>
      <c r="B114" t="s">
        <v>2196</v>
      </c>
      <c r="C114" t="s">
        <v>517</v>
      </c>
      <c r="D114" t="s">
        <v>518</v>
      </c>
      <c r="E114" t="s">
        <v>522</v>
      </c>
      <c r="F114" t="s">
        <v>523</v>
      </c>
      <c r="G114" s="2">
        <v>10192001</v>
      </c>
    </row>
    <row r="115" spans="1:7" hidden="1" x14ac:dyDescent="0.25">
      <c r="A115" t="s">
        <v>2196</v>
      </c>
      <c r="B115" t="s">
        <v>2196</v>
      </c>
      <c r="C115" t="s">
        <v>527</v>
      </c>
      <c r="D115" t="s">
        <v>528</v>
      </c>
      <c r="E115" t="s">
        <v>531</v>
      </c>
      <c r="F115" t="s">
        <v>532</v>
      </c>
      <c r="G115" s="2">
        <v>40000000</v>
      </c>
    </row>
    <row r="116" spans="1:7" hidden="1" x14ac:dyDescent="0.25">
      <c r="A116" t="s">
        <v>2196</v>
      </c>
      <c r="B116" t="s">
        <v>2196</v>
      </c>
      <c r="C116" t="s">
        <v>535</v>
      </c>
      <c r="D116" t="s">
        <v>537</v>
      </c>
      <c r="E116" t="s">
        <v>531</v>
      </c>
      <c r="F116" t="s">
        <v>532</v>
      </c>
      <c r="G116" s="2">
        <v>80000000</v>
      </c>
    </row>
    <row r="117" spans="1:7" hidden="1" x14ac:dyDescent="0.25">
      <c r="A117" t="s">
        <v>2196</v>
      </c>
      <c r="B117" t="s">
        <v>2196</v>
      </c>
      <c r="C117" t="s">
        <v>539</v>
      </c>
      <c r="D117" t="s">
        <v>541</v>
      </c>
      <c r="E117" t="s">
        <v>55</v>
      </c>
      <c r="F117" t="s">
        <v>544</v>
      </c>
      <c r="G117" s="2">
        <v>39999996</v>
      </c>
    </row>
    <row r="118" spans="1:7" hidden="1" x14ac:dyDescent="0.25">
      <c r="A118" t="s">
        <v>2196</v>
      </c>
      <c r="B118" t="s">
        <v>2196</v>
      </c>
      <c r="C118" t="s">
        <v>548</v>
      </c>
      <c r="D118" t="s">
        <v>550</v>
      </c>
      <c r="E118" t="s">
        <v>55</v>
      </c>
      <c r="F118" t="s">
        <v>544</v>
      </c>
      <c r="G118" s="2">
        <v>96100000</v>
      </c>
    </row>
    <row r="119" spans="1:7" hidden="1" x14ac:dyDescent="0.25">
      <c r="A119" t="s">
        <v>2196</v>
      </c>
      <c r="B119" t="s">
        <v>2196</v>
      </c>
      <c r="C119" t="s">
        <v>552</v>
      </c>
      <c r="D119" t="s">
        <v>553</v>
      </c>
      <c r="E119" t="s">
        <v>122</v>
      </c>
      <c r="F119" t="s">
        <v>555</v>
      </c>
      <c r="G119" s="2">
        <v>100200000</v>
      </c>
    </row>
    <row r="120" spans="1:7" hidden="1" x14ac:dyDescent="0.25">
      <c r="A120" t="s">
        <v>2196</v>
      </c>
      <c r="B120" t="s">
        <v>2196</v>
      </c>
      <c r="C120" t="s">
        <v>557</v>
      </c>
      <c r="D120" t="s">
        <v>558</v>
      </c>
      <c r="E120" t="s">
        <v>122</v>
      </c>
      <c r="F120" t="s">
        <v>555</v>
      </c>
      <c r="G120" s="2">
        <v>30000000</v>
      </c>
    </row>
    <row r="121" spans="1:7" hidden="1" x14ac:dyDescent="0.25">
      <c r="A121" t="s">
        <v>2196</v>
      </c>
      <c r="B121" t="s">
        <v>2196</v>
      </c>
      <c r="C121" t="s">
        <v>560</v>
      </c>
      <c r="D121" t="s">
        <v>562</v>
      </c>
      <c r="E121" t="s">
        <v>169</v>
      </c>
      <c r="F121" t="s">
        <v>65</v>
      </c>
      <c r="G121" s="2">
        <v>69333336</v>
      </c>
    </row>
    <row r="122" spans="1:7" hidden="1" x14ac:dyDescent="0.25">
      <c r="A122" t="s">
        <v>2196</v>
      </c>
      <c r="B122" t="s">
        <v>2196</v>
      </c>
      <c r="C122" t="s">
        <v>251</v>
      </c>
      <c r="D122" t="s">
        <v>253</v>
      </c>
      <c r="E122" t="s">
        <v>257</v>
      </c>
      <c r="F122" t="s">
        <v>258</v>
      </c>
      <c r="G122" s="2">
        <v>355624997</v>
      </c>
    </row>
    <row r="123" spans="1:7" hidden="1" x14ac:dyDescent="0.25">
      <c r="A123" t="s">
        <v>2196</v>
      </c>
      <c r="B123" t="s">
        <v>2196</v>
      </c>
      <c r="C123" t="s">
        <v>375</v>
      </c>
      <c r="D123" t="s">
        <v>376</v>
      </c>
      <c r="E123" t="s">
        <v>378</v>
      </c>
      <c r="F123" t="s">
        <v>361</v>
      </c>
      <c r="G123" s="2">
        <v>17416663</v>
      </c>
    </row>
    <row r="124" spans="1:7" hidden="1" x14ac:dyDescent="0.25">
      <c r="A124" t="s">
        <v>2196</v>
      </c>
      <c r="B124" t="s">
        <v>2196</v>
      </c>
      <c r="C124" t="s">
        <v>468</v>
      </c>
      <c r="D124" t="s">
        <v>470</v>
      </c>
      <c r="E124" t="s">
        <v>473</v>
      </c>
      <c r="F124" t="s">
        <v>474</v>
      </c>
      <c r="G124" s="2">
        <v>394362600</v>
      </c>
    </row>
    <row r="125" spans="1:7" hidden="1" x14ac:dyDescent="0.25">
      <c r="A125" t="s">
        <v>2196</v>
      </c>
      <c r="B125" t="s">
        <v>2196</v>
      </c>
      <c r="C125" t="s">
        <v>545</v>
      </c>
      <c r="D125" t="s">
        <v>546</v>
      </c>
      <c r="E125" t="s">
        <v>414</v>
      </c>
      <c r="F125" t="s">
        <v>415</v>
      </c>
      <c r="G125" s="2">
        <v>30800000</v>
      </c>
    </row>
    <row r="126" spans="1:7" x14ac:dyDescent="0.25">
      <c r="A126" t="s">
        <v>2199</v>
      </c>
      <c r="B126" t="s">
        <v>28</v>
      </c>
      <c r="C126" t="s">
        <v>619</v>
      </c>
      <c r="D126" t="s">
        <v>621</v>
      </c>
      <c r="E126" t="s">
        <v>624</v>
      </c>
      <c r="F126" t="s">
        <v>625</v>
      </c>
      <c r="G126" s="2">
        <v>1250000</v>
      </c>
    </row>
    <row r="127" spans="1:7" x14ac:dyDescent="0.25">
      <c r="A127" t="s">
        <v>2199</v>
      </c>
      <c r="B127" t="s">
        <v>28</v>
      </c>
      <c r="C127" t="s">
        <v>628</v>
      </c>
      <c r="D127" t="s">
        <v>629</v>
      </c>
      <c r="E127" t="s">
        <v>624</v>
      </c>
      <c r="F127" t="s">
        <v>625</v>
      </c>
      <c r="G127" s="2">
        <v>300000</v>
      </c>
    </row>
    <row r="128" spans="1:7" x14ac:dyDescent="0.25">
      <c r="A128" t="s">
        <v>2199</v>
      </c>
      <c r="B128" t="s">
        <v>28</v>
      </c>
      <c r="C128" t="s">
        <v>632</v>
      </c>
      <c r="D128" t="s">
        <v>634</v>
      </c>
      <c r="E128" t="s">
        <v>624</v>
      </c>
      <c r="F128" t="s">
        <v>625</v>
      </c>
      <c r="G128" s="2">
        <v>1320000</v>
      </c>
    </row>
    <row r="129" spans="1:7" x14ac:dyDescent="0.25">
      <c r="A129" t="s">
        <v>2199</v>
      </c>
      <c r="B129" t="s">
        <v>28</v>
      </c>
      <c r="C129" t="s">
        <v>637</v>
      </c>
      <c r="D129" t="s">
        <v>638</v>
      </c>
      <c r="E129" t="s">
        <v>640</v>
      </c>
      <c r="F129" t="s">
        <v>641</v>
      </c>
      <c r="G129" s="2">
        <v>2000700</v>
      </c>
    </row>
    <row r="130" spans="1:7" x14ac:dyDescent="0.25">
      <c r="A130" t="s">
        <v>2199</v>
      </c>
      <c r="B130" t="s">
        <v>28</v>
      </c>
      <c r="C130" t="s">
        <v>644</v>
      </c>
      <c r="D130" t="s">
        <v>646</v>
      </c>
      <c r="E130" t="s">
        <v>640</v>
      </c>
      <c r="F130" t="s">
        <v>641</v>
      </c>
      <c r="G130" s="2">
        <v>1510005</v>
      </c>
    </row>
    <row r="131" spans="1:7" x14ac:dyDescent="0.25">
      <c r="A131" t="s">
        <v>2199</v>
      </c>
      <c r="B131" t="s">
        <v>28</v>
      </c>
      <c r="C131" t="s">
        <v>649</v>
      </c>
      <c r="D131" t="s">
        <v>650</v>
      </c>
      <c r="E131" t="s">
        <v>640</v>
      </c>
      <c r="F131" t="s">
        <v>641</v>
      </c>
      <c r="G131" s="2">
        <v>872500</v>
      </c>
    </row>
    <row r="132" spans="1:7" x14ac:dyDescent="0.25">
      <c r="A132" t="s">
        <v>2199</v>
      </c>
      <c r="B132" t="s">
        <v>28</v>
      </c>
      <c r="C132" t="s">
        <v>653</v>
      </c>
      <c r="D132" t="s">
        <v>655</v>
      </c>
      <c r="E132" t="s">
        <v>657</v>
      </c>
      <c r="F132" t="s">
        <v>658</v>
      </c>
      <c r="G132" s="2">
        <v>540000</v>
      </c>
    </row>
    <row r="133" spans="1:7" x14ac:dyDescent="0.25">
      <c r="A133" t="s">
        <v>2199</v>
      </c>
      <c r="B133" t="s">
        <v>28</v>
      </c>
      <c r="C133" t="s">
        <v>661</v>
      </c>
      <c r="D133" t="s">
        <v>662</v>
      </c>
      <c r="E133" t="s">
        <v>657</v>
      </c>
      <c r="F133" t="s">
        <v>658</v>
      </c>
      <c r="G133" s="2">
        <v>1080000</v>
      </c>
    </row>
    <row r="134" spans="1:7" x14ac:dyDescent="0.25">
      <c r="A134" t="s">
        <v>2199</v>
      </c>
      <c r="B134" t="s">
        <v>28</v>
      </c>
      <c r="C134" t="s">
        <v>665</v>
      </c>
      <c r="D134" t="s">
        <v>667</v>
      </c>
      <c r="E134" t="s">
        <v>657</v>
      </c>
      <c r="F134" t="s">
        <v>658</v>
      </c>
      <c r="G134" s="2">
        <v>1500000</v>
      </c>
    </row>
    <row r="135" spans="1:7" x14ac:dyDescent="0.25">
      <c r="A135" t="s">
        <v>2199</v>
      </c>
      <c r="B135" t="s">
        <v>28</v>
      </c>
      <c r="C135" t="s">
        <v>670</v>
      </c>
      <c r="D135" t="s">
        <v>671</v>
      </c>
      <c r="E135" t="s">
        <v>657</v>
      </c>
      <c r="F135" t="s">
        <v>658</v>
      </c>
      <c r="G135" s="2">
        <v>850000</v>
      </c>
    </row>
    <row r="136" spans="1:7" x14ac:dyDescent="0.25">
      <c r="A136" t="s">
        <v>2199</v>
      </c>
      <c r="B136" t="s">
        <v>28</v>
      </c>
      <c r="C136" t="s">
        <v>674</v>
      </c>
      <c r="D136" t="s">
        <v>675</v>
      </c>
      <c r="E136" t="s">
        <v>657</v>
      </c>
      <c r="F136" t="s">
        <v>658</v>
      </c>
      <c r="G136" s="2">
        <v>900000</v>
      </c>
    </row>
    <row r="137" spans="1:7" x14ac:dyDescent="0.25">
      <c r="A137" t="s">
        <v>2199</v>
      </c>
      <c r="B137" t="s">
        <v>28</v>
      </c>
      <c r="C137" t="s">
        <v>677</v>
      </c>
      <c r="D137" t="s">
        <v>678</v>
      </c>
      <c r="E137" t="s">
        <v>657</v>
      </c>
      <c r="F137" t="s">
        <v>658</v>
      </c>
      <c r="G137" s="2">
        <v>630000</v>
      </c>
    </row>
    <row r="138" spans="1:7" x14ac:dyDescent="0.25">
      <c r="A138" t="s">
        <v>2199</v>
      </c>
      <c r="B138" t="s">
        <v>28</v>
      </c>
      <c r="C138" t="s">
        <v>680</v>
      </c>
      <c r="D138" t="s">
        <v>681</v>
      </c>
      <c r="E138" t="s">
        <v>657</v>
      </c>
      <c r="F138" t="s">
        <v>658</v>
      </c>
      <c r="G138" s="2">
        <v>135000</v>
      </c>
    </row>
    <row r="139" spans="1:7" x14ac:dyDescent="0.25">
      <c r="A139" t="s">
        <v>2199</v>
      </c>
      <c r="B139" t="s">
        <v>28</v>
      </c>
      <c r="C139" t="s">
        <v>686</v>
      </c>
      <c r="D139" t="s">
        <v>687</v>
      </c>
      <c r="E139" t="s">
        <v>227</v>
      </c>
      <c r="F139" t="s">
        <v>480</v>
      </c>
      <c r="G139" s="2">
        <v>101193519</v>
      </c>
    </row>
    <row r="140" spans="1:7" x14ac:dyDescent="0.25">
      <c r="A140" t="s">
        <v>2199</v>
      </c>
      <c r="B140" t="s">
        <v>28</v>
      </c>
      <c r="C140" t="s">
        <v>696</v>
      </c>
      <c r="D140" t="s">
        <v>697</v>
      </c>
      <c r="E140" t="s">
        <v>657</v>
      </c>
      <c r="F140" t="s">
        <v>658</v>
      </c>
      <c r="G140" s="2">
        <v>675000</v>
      </c>
    </row>
    <row r="141" spans="1:7" x14ac:dyDescent="0.25">
      <c r="A141" t="s">
        <v>2199</v>
      </c>
      <c r="B141" t="s">
        <v>28</v>
      </c>
      <c r="C141" t="s">
        <v>706</v>
      </c>
      <c r="D141" t="s">
        <v>707</v>
      </c>
      <c r="E141" t="s">
        <v>590</v>
      </c>
      <c r="F141" t="s">
        <v>591</v>
      </c>
      <c r="G141" s="2">
        <v>190000</v>
      </c>
    </row>
    <row r="142" spans="1:7" x14ac:dyDescent="0.25">
      <c r="A142" t="s">
        <v>2199</v>
      </c>
      <c r="B142" t="s">
        <v>28</v>
      </c>
      <c r="C142" t="s">
        <v>713</v>
      </c>
      <c r="D142" t="s">
        <v>714</v>
      </c>
      <c r="E142" t="s">
        <v>227</v>
      </c>
      <c r="F142" t="s">
        <v>480</v>
      </c>
      <c r="G142" s="2">
        <v>49483210</v>
      </c>
    </row>
    <row r="143" spans="1:7" x14ac:dyDescent="0.25">
      <c r="A143" t="s">
        <v>2199</v>
      </c>
      <c r="B143" t="s">
        <v>28</v>
      </c>
      <c r="C143" t="s">
        <v>718</v>
      </c>
      <c r="D143" t="s">
        <v>719</v>
      </c>
      <c r="E143" t="s">
        <v>657</v>
      </c>
      <c r="F143" t="s">
        <v>658</v>
      </c>
      <c r="G143" s="2">
        <v>430010</v>
      </c>
    </row>
    <row r="144" spans="1:7" x14ac:dyDescent="0.25">
      <c r="A144" t="s">
        <v>2199</v>
      </c>
      <c r="B144" t="s">
        <v>28</v>
      </c>
      <c r="C144" t="s">
        <v>721</v>
      </c>
      <c r="D144" t="s">
        <v>722</v>
      </c>
      <c r="E144" t="s">
        <v>227</v>
      </c>
      <c r="F144" t="s">
        <v>480</v>
      </c>
      <c r="G144" s="2">
        <v>247689000</v>
      </c>
    </row>
    <row r="145" spans="1:7" x14ac:dyDescent="0.25">
      <c r="A145" t="s">
        <v>2199</v>
      </c>
      <c r="B145" t="s">
        <v>28</v>
      </c>
      <c r="C145" t="s">
        <v>724</v>
      </c>
      <c r="D145" t="s">
        <v>726</v>
      </c>
      <c r="E145" t="s">
        <v>657</v>
      </c>
      <c r="F145" t="s">
        <v>658</v>
      </c>
      <c r="G145" s="2">
        <v>990002</v>
      </c>
    </row>
    <row r="146" spans="1:7" x14ac:dyDescent="0.25">
      <c r="A146" t="s">
        <v>2199</v>
      </c>
      <c r="B146" t="s">
        <v>28</v>
      </c>
      <c r="C146" t="s">
        <v>729</v>
      </c>
      <c r="D146" t="s">
        <v>731</v>
      </c>
      <c r="E146" t="s">
        <v>733</v>
      </c>
      <c r="F146" t="s">
        <v>734</v>
      </c>
      <c r="G146" s="2">
        <v>1352694</v>
      </c>
    </row>
    <row r="147" spans="1:7" x14ac:dyDescent="0.25">
      <c r="A147" t="s">
        <v>2199</v>
      </c>
      <c r="B147" t="s">
        <v>28</v>
      </c>
      <c r="C147" t="s">
        <v>744</v>
      </c>
      <c r="D147" t="s">
        <v>746</v>
      </c>
      <c r="E147" t="s">
        <v>657</v>
      </c>
      <c r="F147" t="s">
        <v>658</v>
      </c>
      <c r="G147" s="2">
        <v>300000</v>
      </c>
    </row>
    <row r="148" spans="1:7" x14ac:dyDescent="0.25">
      <c r="A148" t="s">
        <v>2199</v>
      </c>
      <c r="B148" t="s">
        <v>28</v>
      </c>
      <c r="C148" t="s">
        <v>756</v>
      </c>
      <c r="D148" t="s">
        <v>758</v>
      </c>
      <c r="E148" t="s">
        <v>761</v>
      </c>
      <c r="F148" t="s">
        <v>762</v>
      </c>
      <c r="G148" s="2">
        <v>800000</v>
      </c>
    </row>
    <row r="149" spans="1:7" x14ac:dyDescent="0.25">
      <c r="A149" t="s">
        <v>2199</v>
      </c>
      <c r="B149" t="s">
        <v>28</v>
      </c>
      <c r="C149" t="s">
        <v>773</v>
      </c>
      <c r="D149" t="s">
        <v>774</v>
      </c>
      <c r="E149" t="s">
        <v>768</v>
      </c>
      <c r="F149" t="s">
        <v>386</v>
      </c>
      <c r="G149" s="2">
        <v>1166048</v>
      </c>
    </row>
    <row r="150" spans="1:7" x14ac:dyDescent="0.25">
      <c r="A150" t="s">
        <v>2199</v>
      </c>
      <c r="B150" t="s">
        <v>28</v>
      </c>
      <c r="C150" t="s">
        <v>787</v>
      </c>
      <c r="D150" t="s">
        <v>788</v>
      </c>
      <c r="E150" t="s">
        <v>790</v>
      </c>
      <c r="F150" t="s">
        <v>791</v>
      </c>
      <c r="G150" s="2">
        <v>1007461</v>
      </c>
    </row>
    <row r="151" spans="1:7" x14ac:dyDescent="0.25">
      <c r="A151" t="s">
        <v>2199</v>
      </c>
      <c r="B151" t="s">
        <v>28</v>
      </c>
      <c r="C151" t="s">
        <v>811</v>
      </c>
      <c r="D151" t="s">
        <v>813</v>
      </c>
      <c r="E151" t="s">
        <v>790</v>
      </c>
      <c r="F151" t="s">
        <v>791</v>
      </c>
      <c r="G151" s="2">
        <v>400000</v>
      </c>
    </row>
    <row r="152" spans="1:7" x14ac:dyDescent="0.25">
      <c r="A152" t="s">
        <v>2199</v>
      </c>
      <c r="B152" t="s">
        <v>28</v>
      </c>
      <c r="C152" t="s">
        <v>816</v>
      </c>
      <c r="D152" t="s">
        <v>817</v>
      </c>
      <c r="E152" t="s">
        <v>768</v>
      </c>
      <c r="F152" t="s">
        <v>386</v>
      </c>
      <c r="G152" s="2">
        <v>5204058</v>
      </c>
    </row>
    <row r="153" spans="1:7" x14ac:dyDescent="0.25">
      <c r="A153" t="s">
        <v>2199</v>
      </c>
      <c r="B153" t="s">
        <v>28</v>
      </c>
      <c r="C153" t="s">
        <v>827</v>
      </c>
      <c r="D153" t="s">
        <v>828</v>
      </c>
      <c r="E153" t="s">
        <v>761</v>
      </c>
      <c r="F153" t="s">
        <v>762</v>
      </c>
      <c r="G153" s="2">
        <v>1697066</v>
      </c>
    </row>
    <row r="154" spans="1:7" x14ac:dyDescent="0.25">
      <c r="A154" t="s">
        <v>2199</v>
      </c>
      <c r="B154" t="s">
        <v>28</v>
      </c>
      <c r="C154" t="s">
        <v>834</v>
      </c>
      <c r="D154" t="s">
        <v>835</v>
      </c>
      <c r="E154" t="s">
        <v>790</v>
      </c>
      <c r="F154" t="s">
        <v>791</v>
      </c>
      <c r="G154" s="2">
        <v>400000</v>
      </c>
    </row>
    <row r="155" spans="1:7" x14ac:dyDescent="0.25">
      <c r="A155" t="s">
        <v>2199</v>
      </c>
      <c r="B155" t="s">
        <v>28</v>
      </c>
      <c r="C155" t="s">
        <v>837</v>
      </c>
      <c r="D155" t="s">
        <v>838</v>
      </c>
      <c r="E155" t="s">
        <v>768</v>
      </c>
      <c r="F155" t="s">
        <v>386</v>
      </c>
      <c r="G155" s="2">
        <v>130000</v>
      </c>
    </row>
    <row r="156" spans="1:7" x14ac:dyDescent="0.25">
      <c r="A156" t="s">
        <v>2199</v>
      </c>
      <c r="B156" t="s">
        <v>28</v>
      </c>
      <c r="C156" t="s">
        <v>860</v>
      </c>
      <c r="D156" t="s">
        <v>861</v>
      </c>
      <c r="E156" t="s">
        <v>864</v>
      </c>
      <c r="F156" t="s">
        <v>865</v>
      </c>
      <c r="G156" s="2">
        <v>370107</v>
      </c>
    </row>
    <row r="157" spans="1:7" x14ac:dyDescent="0.25">
      <c r="A157" t="s">
        <v>2199</v>
      </c>
      <c r="B157" t="s">
        <v>28</v>
      </c>
      <c r="C157" t="s">
        <v>868</v>
      </c>
      <c r="D157" t="s">
        <v>869</v>
      </c>
      <c r="E157" t="s">
        <v>624</v>
      </c>
      <c r="F157" t="s">
        <v>625</v>
      </c>
      <c r="G157" s="2">
        <v>3000000</v>
      </c>
    </row>
    <row r="158" spans="1:7" x14ac:dyDescent="0.25">
      <c r="A158" t="s">
        <v>2199</v>
      </c>
      <c r="B158" t="s">
        <v>28</v>
      </c>
      <c r="C158" t="s">
        <v>871</v>
      </c>
      <c r="D158" t="s">
        <v>872</v>
      </c>
      <c r="E158" t="s">
        <v>761</v>
      </c>
      <c r="F158" t="s">
        <v>762</v>
      </c>
      <c r="G158" s="2">
        <v>472004</v>
      </c>
    </row>
    <row r="159" spans="1:7" x14ac:dyDescent="0.25">
      <c r="A159" t="s">
        <v>2199</v>
      </c>
      <c r="B159" t="s">
        <v>28</v>
      </c>
      <c r="C159" t="s">
        <v>875</v>
      </c>
      <c r="D159" t="s">
        <v>876</v>
      </c>
      <c r="E159" t="s">
        <v>761</v>
      </c>
      <c r="F159" t="s">
        <v>762</v>
      </c>
      <c r="G159" s="2">
        <v>600000</v>
      </c>
    </row>
    <row r="160" spans="1:7" x14ac:dyDescent="0.25">
      <c r="A160" t="s">
        <v>2199</v>
      </c>
      <c r="B160" t="s">
        <v>28</v>
      </c>
      <c r="C160" t="s">
        <v>879</v>
      </c>
      <c r="D160" t="s">
        <v>880</v>
      </c>
      <c r="E160" t="s">
        <v>761</v>
      </c>
      <c r="F160" t="s">
        <v>762</v>
      </c>
      <c r="G160" s="2">
        <v>6100024</v>
      </c>
    </row>
    <row r="161" spans="1:7" x14ac:dyDescent="0.25">
      <c r="A161" t="s">
        <v>2199</v>
      </c>
      <c r="B161" t="s">
        <v>28</v>
      </c>
      <c r="C161" t="s">
        <v>884</v>
      </c>
      <c r="D161" t="s">
        <v>885</v>
      </c>
      <c r="E161" t="s">
        <v>761</v>
      </c>
      <c r="F161" t="s">
        <v>762</v>
      </c>
      <c r="G161" s="2">
        <v>2730006</v>
      </c>
    </row>
    <row r="162" spans="1:7" x14ac:dyDescent="0.25">
      <c r="A162" t="s">
        <v>2199</v>
      </c>
      <c r="B162" t="s">
        <v>28</v>
      </c>
      <c r="C162" t="s">
        <v>888</v>
      </c>
      <c r="D162" t="s">
        <v>889</v>
      </c>
      <c r="E162" t="s">
        <v>309</v>
      </c>
      <c r="F162" t="s">
        <v>893</v>
      </c>
      <c r="G162" s="2">
        <v>31250000</v>
      </c>
    </row>
    <row r="163" spans="1:7" x14ac:dyDescent="0.25">
      <c r="A163" t="s">
        <v>2199</v>
      </c>
      <c r="B163" t="s">
        <v>28</v>
      </c>
      <c r="C163" t="s">
        <v>895</v>
      </c>
      <c r="D163" t="s">
        <v>896</v>
      </c>
      <c r="E163" t="s">
        <v>899</v>
      </c>
      <c r="F163" t="s">
        <v>900</v>
      </c>
      <c r="G163" s="2">
        <v>200000</v>
      </c>
    </row>
    <row r="164" spans="1:7" x14ac:dyDescent="0.25">
      <c r="A164" t="s">
        <v>2199</v>
      </c>
      <c r="B164" t="s">
        <v>28</v>
      </c>
      <c r="C164" t="s">
        <v>903</v>
      </c>
      <c r="D164" t="s">
        <v>904</v>
      </c>
      <c r="E164" t="s">
        <v>906</v>
      </c>
      <c r="F164" t="s">
        <v>907</v>
      </c>
      <c r="G164" s="2">
        <v>46677001</v>
      </c>
    </row>
    <row r="165" spans="1:7" x14ac:dyDescent="0.25">
      <c r="A165" t="s">
        <v>2199</v>
      </c>
      <c r="B165" t="s">
        <v>28</v>
      </c>
      <c r="C165" t="s">
        <v>922</v>
      </c>
      <c r="D165" t="s">
        <v>923</v>
      </c>
      <c r="E165" t="s">
        <v>926</v>
      </c>
      <c r="F165" t="s">
        <v>893</v>
      </c>
      <c r="G165" s="2">
        <v>23333328</v>
      </c>
    </row>
    <row r="166" spans="1:7" x14ac:dyDescent="0.25">
      <c r="A166" t="s">
        <v>2199</v>
      </c>
      <c r="B166" t="s">
        <v>28</v>
      </c>
      <c r="C166" t="s">
        <v>930</v>
      </c>
      <c r="D166" t="s">
        <v>931</v>
      </c>
      <c r="E166" t="s">
        <v>934</v>
      </c>
      <c r="F166" t="s">
        <v>935</v>
      </c>
      <c r="G166" s="2">
        <v>681264</v>
      </c>
    </row>
    <row r="167" spans="1:7" x14ac:dyDescent="0.25">
      <c r="A167" t="s">
        <v>2199</v>
      </c>
      <c r="B167" t="s">
        <v>28</v>
      </c>
      <c r="C167" t="s">
        <v>938</v>
      </c>
      <c r="D167" t="s">
        <v>939</v>
      </c>
      <c r="E167" t="s">
        <v>942</v>
      </c>
      <c r="F167" t="s">
        <v>943</v>
      </c>
      <c r="G167" s="2">
        <v>12003336</v>
      </c>
    </row>
    <row r="168" spans="1:7" x14ac:dyDescent="0.25">
      <c r="A168" t="s">
        <v>2199</v>
      </c>
      <c r="B168" t="s">
        <v>28</v>
      </c>
      <c r="C168" t="s">
        <v>947</v>
      </c>
      <c r="D168" t="s">
        <v>948</v>
      </c>
      <c r="E168" t="s">
        <v>950</v>
      </c>
      <c r="F168" t="s">
        <v>951</v>
      </c>
      <c r="G168" s="2">
        <v>557936</v>
      </c>
    </row>
    <row r="169" spans="1:7" x14ac:dyDescent="0.25">
      <c r="A169" t="s">
        <v>2199</v>
      </c>
      <c r="B169" t="s">
        <v>28</v>
      </c>
      <c r="C169" t="s">
        <v>954</v>
      </c>
      <c r="D169" t="s">
        <v>955</v>
      </c>
      <c r="E169" t="s">
        <v>958</v>
      </c>
      <c r="F169" t="s">
        <v>959</v>
      </c>
      <c r="G169" s="2">
        <v>675200</v>
      </c>
    </row>
    <row r="170" spans="1:7" x14ac:dyDescent="0.25">
      <c r="A170" t="s">
        <v>2199</v>
      </c>
      <c r="B170" t="s">
        <v>28</v>
      </c>
      <c r="C170" t="s">
        <v>963</v>
      </c>
      <c r="D170" t="s">
        <v>964</v>
      </c>
      <c r="E170" t="s">
        <v>768</v>
      </c>
      <c r="F170" t="s">
        <v>966</v>
      </c>
      <c r="G170" s="2">
        <v>700002</v>
      </c>
    </row>
    <row r="171" spans="1:7" x14ac:dyDescent="0.25">
      <c r="A171" t="s">
        <v>2199</v>
      </c>
      <c r="B171" t="s">
        <v>28</v>
      </c>
      <c r="C171" t="s">
        <v>969</v>
      </c>
      <c r="D171" t="s">
        <v>970</v>
      </c>
      <c r="E171" t="s">
        <v>768</v>
      </c>
      <c r="F171" t="s">
        <v>966</v>
      </c>
      <c r="G171" s="2">
        <v>7000008</v>
      </c>
    </row>
    <row r="172" spans="1:7" x14ac:dyDescent="0.25">
      <c r="A172" t="s">
        <v>2199</v>
      </c>
      <c r="B172" t="s">
        <v>28</v>
      </c>
      <c r="C172" t="s">
        <v>972</v>
      </c>
      <c r="D172" t="s">
        <v>973</v>
      </c>
      <c r="E172" t="s">
        <v>768</v>
      </c>
      <c r="F172" t="s">
        <v>966</v>
      </c>
      <c r="G172" s="2">
        <v>800000</v>
      </c>
    </row>
    <row r="173" spans="1:7" x14ac:dyDescent="0.25">
      <c r="A173" t="s">
        <v>2199</v>
      </c>
      <c r="B173" t="s">
        <v>28</v>
      </c>
      <c r="C173" t="s">
        <v>975</v>
      </c>
      <c r="D173" t="s">
        <v>976</v>
      </c>
      <c r="E173" t="s">
        <v>768</v>
      </c>
      <c r="F173" t="s">
        <v>966</v>
      </c>
      <c r="G173" s="2">
        <v>3500000</v>
      </c>
    </row>
    <row r="174" spans="1:7" x14ac:dyDescent="0.25">
      <c r="A174" t="s">
        <v>2199</v>
      </c>
      <c r="B174" t="s">
        <v>28</v>
      </c>
      <c r="C174" t="s">
        <v>978</v>
      </c>
      <c r="D174" t="s">
        <v>979</v>
      </c>
      <c r="E174" t="s">
        <v>768</v>
      </c>
      <c r="F174" t="s">
        <v>966</v>
      </c>
      <c r="G174" s="2">
        <v>2000000</v>
      </c>
    </row>
    <row r="175" spans="1:7" x14ac:dyDescent="0.25">
      <c r="A175" t="s">
        <v>2199</v>
      </c>
      <c r="B175" t="s">
        <v>28</v>
      </c>
      <c r="C175" t="s">
        <v>981</v>
      </c>
      <c r="D175" t="s">
        <v>982</v>
      </c>
      <c r="E175" t="s">
        <v>768</v>
      </c>
      <c r="F175" t="s">
        <v>966</v>
      </c>
      <c r="G175" s="2">
        <v>800004</v>
      </c>
    </row>
    <row r="176" spans="1:7" x14ac:dyDescent="0.25">
      <c r="A176" t="s">
        <v>2199</v>
      </c>
      <c r="B176" t="s">
        <v>28</v>
      </c>
      <c r="C176" t="s">
        <v>984</v>
      </c>
      <c r="D176" t="s">
        <v>985</v>
      </c>
      <c r="E176" t="s">
        <v>768</v>
      </c>
      <c r="F176" t="s">
        <v>966</v>
      </c>
      <c r="G176" s="2">
        <v>600000</v>
      </c>
    </row>
    <row r="177" spans="1:7" x14ac:dyDescent="0.25">
      <c r="A177" t="s">
        <v>2199</v>
      </c>
      <c r="B177" t="s">
        <v>28</v>
      </c>
      <c r="C177" t="s">
        <v>987</v>
      </c>
      <c r="D177" t="s">
        <v>988</v>
      </c>
      <c r="E177" t="s">
        <v>768</v>
      </c>
      <c r="F177" t="s">
        <v>966</v>
      </c>
      <c r="G177" s="2">
        <v>4000000</v>
      </c>
    </row>
    <row r="178" spans="1:7" x14ac:dyDescent="0.25">
      <c r="A178" t="s">
        <v>2199</v>
      </c>
      <c r="B178" t="s">
        <v>28</v>
      </c>
      <c r="C178" t="s">
        <v>990</v>
      </c>
      <c r="D178" t="s">
        <v>991</v>
      </c>
      <c r="E178" t="s">
        <v>768</v>
      </c>
      <c r="F178" t="s">
        <v>966</v>
      </c>
      <c r="G178" s="2">
        <v>5500000</v>
      </c>
    </row>
    <row r="179" spans="1:7" x14ac:dyDescent="0.25">
      <c r="A179" t="s">
        <v>2199</v>
      </c>
      <c r="B179" t="s">
        <v>28</v>
      </c>
      <c r="C179" t="s">
        <v>993</v>
      </c>
      <c r="D179" t="s">
        <v>994</v>
      </c>
      <c r="E179" t="s">
        <v>768</v>
      </c>
      <c r="F179" t="s">
        <v>966</v>
      </c>
      <c r="G179" s="2">
        <v>3000000</v>
      </c>
    </row>
    <row r="180" spans="1:7" x14ac:dyDescent="0.25">
      <c r="A180" t="s">
        <v>2199</v>
      </c>
      <c r="B180" t="s">
        <v>28</v>
      </c>
      <c r="C180" t="s">
        <v>996</v>
      </c>
      <c r="D180" t="s">
        <v>997</v>
      </c>
      <c r="E180" t="s">
        <v>934</v>
      </c>
      <c r="F180" t="s">
        <v>935</v>
      </c>
      <c r="G180" s="2">
        <v>60000</v>
      </c>
    </row>
    <row r="181" spans="1:7" x14ac:dyDescent="0.25">
      <c r="A181" t="s">
        <v>2199</v>
      </c>
      <c r="B181" t="s">
        <v>28</v>
      </c>
      <c r="C181" t="s">
        <v>1000</v>
      </c>
      <c r="D181" t="s">
        <v>1001</v>
      </c>
      <c r="E181" t="s">
        <v>768</v>
      </c>
      <c r="F181" t="s">
        <v>966</v>
      </c>
      <c r="G181" s="2">
        <v>1500000</v>
      </c>
    </row>
    <row r="182" spans="1:7" x14ac:dyDescent="0.25">
      <c r="A182" t="s">
        <v>2199</v>
      </c>
      <c r="B182" t="s">
        <v>28</v>
      </c>
      <c r="C182" t="s">
        <v>1003</v>
      </c>
      <c r="D182" t="s">
        <v>1004</v>
      </c>
      <c r="E182" t="s">
        <v>768</v>
      </c>
      <c r="F182" t="s">
        <v>966</v>
      </c>
      <c r="G182" s="2">
        <v>17500000</v>
      </c>
    </row>
    <row r="183" spans="1:7" x14ac:dyDescent="0.25">
      <c r="A183" t="s">
        <v>2199</v>
      </c>
      <c r="B183" t="s">
        <v>28</v>
      </c>
      <c r="C183" t="s">
        <v>1008</v>
      </c>
      <c r="D183" t="s">
        <v>1010</v>
      </c>
      <c r="E183" t="s">
        <v>768</v>
      </c>
      <c r="F183" t="s">
        <v>966</v>
      </c>
      <c r="G183" s="2">
        <v>1820000</v>
      </c>
    </row>
    <row r="184" spans="1:7" x14ac:dyDescent="0.25">
      <c r="A184" t="s">
        <v>2199</v>
      </c>
      <c r="B184" t="s">
        <v>28</v>
      </c>
      <c r="C184" t="s">
        <v>1013</v>
      </c>
      <c r="D184" t="s">
        <v>1014</v>
      </c>
      <c r="E184" t="s">
        <v>768</v>
      </c>
      <c r="F184" t="s">
        <v>966</v>
      </c>
      <c r="G184" s="2">
        <v>1200000</v>
      </c>
    </row>
    <row r="185" spans="1:7" x14ac:dyDescent="0.25">
      <c r="A185" t="s">
        <v>2199</v>
      </c>
      <c r="B185" t="s">
        <v>28</v>
      </c>
      <c r="C185" t="s">
        <v>1016</v>
      </c>
      <c r="D185" t="s">
        <v>1017</v>
      </c>
      <c r="E185" t="s">
        <v>768</v>
      </c>
      <c r="F185" t="s">
        <v>966</v>
      </c>
      <c r="G185" s="2">
        <v>2500020</v>
      </c>
    </row>
    <row r="186" spans="1:7" x14ac:dyDescent="0.25">
      <c r="A186" t="s">
        <v>2199</v>
      </c>
      <c r="B186" t="s">
        <v>28</v>
      </c>
      <c r="C186" t="s">
        <v>1019</v>
      </c>
      <c r="D186" t="s">
        <v>1020</v>
      </c>
      <c r="E186" t="s">
        <v>768</v>
      </c>
      <c r="F186" t="s">
        <v>966</v>
      </c>
      <c r="G186" s="2">
        <v>2500000</v>
      </c>
    </row>
    <row r="187" spans="1:7" x14ac:dyDescent="0.25">
      <c r="A187" t="s">
        <v>2199</v>
      </c>
      <c r="B187" t="s">
        <v>28</v>
      </c>
      <c r="C187" t="s">
        <v>1022</v>
      </c>
      <c r="D187" t="s">
        <v>1023</v>
      </c>
      <c r="E187" t="s">
        <v>768</v>
      </c>
      <c r="F187" t="s">
        <v>966</v>
      </c>
      <c r="G187" s="2">
        <v>2500000</v>
      </c>
    </row>
    <row r="188" spans="1:7" x14ac:dyDescent="0.25">
      <c r="A188" t="s">
        <v>2199</v>
      </c>
      <c r="B188" t="s">
        <v>28</v>
      </c>
      <c r="C188" t="s">
        <v>1025</v>
      </c>
      <c r="D188" t="s">
        <v>1026</v>
      </c>
      <c r="E188" t="s">
        <v>768</v>
      </c>
      <c r="F188" t="s">
        <v>386</v>
      </c>
      <c r="G188" s="2">
        <v>0</v>
      </c>
    </row>
    <row r="189" spans="1:7" x14ac:dyDescent="0.25">
      <c r="A189" t="s">
        <v>2199</v>
      </c>
      <c r="B189" t="s">
        <v>28</v>
      </c>
      <c r="C189" t="s">
        <v>1039</v>
      </c>
      <c r="D189" t="s">
        <v>1040</v>
      </c>
      <c r="E189" t="s">
        <v>768</v>
      </c>
      <c r="F189" t="s">
        <v>386</v>
      </c>
      <c r="G189" s="2">
        <v>816730</v>
      </c>
    </row>
    <row r="190" spans="1:7" x14ac:dyDescent="0.25">
      <c r="A190" t="s">
        <v>2199</v>
      </c>
      <c r="B190" t="s">
        <v>28</v>
      </c>
      <c r="C190" t="s">
        <v>1042</v>
      </c>
      <c r="D190" t="s">
        <v>1044</v>
      </c>
      <c r="E190" t="s">
        <v>531</v>
      </c>
      <c r="F190" t="s">
        <v>532</v>
      </c>
      <c r="G190" s="2">
        <v>60000000</v>
      </c>
    </row>
    <row r="191" spans="1:7" x14ac:dyDescent="0.25">
      <c r="A191" t="s">
        <v>2199</v>
      </c>
      <c r="B191" t="s">
        <v>28</v>
      </c>
      <c r="C191" t="s">
        <v>1047</v>
      </c>
      <c r="D191" t="s">
        <v>1049</v>
      </c>
      <c r="E191" t="s">
        <v>531</v>
      </c>
      <c r="F191" t="s">
        <v>1051</v>
      </c>
      <c r="G191" s="2">
        <v>11000000</v>
      </c>
    </row>
    <row r="192" spans="1:7" x14ac:dyDescent="0.25">
      <c r="A192" t="s">
        <v>2199</v>
      </c>
      <c r="B192" t="s">
        <v>28</v>
      </c>
      <c r="C192" t="s">
        <v>1059</v>
      </c>
      <c r="D192" t="s">
        <v>1060</v>
      </c>
      <c r="E192" t="s">
        <v>790</v>
      </c>
      <c r="F192" t="s">
        <v>791</v>
      </c>
      <c r="G192" s="2">
        <v>510006</v>
      </c>
    </row>
    <row r="193" spans="1:7" x14ac:dyDescent="0.25">
      <c r="A193" t="s">
        <v>2199</v>
      </c>
      <c r="B193" t="s">
        <v>28</v>
      </c>
      <c r="C193" t="s">
        <v>1063</v>
      </c>
      <c r="D193" t="s">
        <v>1064</v>
      </c>
      <c r="E193" t="s">
        <v>790</v>
      </c>
      <c r="F193" t="s">
        <v>791</v>
      </c>
      <c r="G193" s="2">
        <v>450000</v>
      </c>
    </row>
    <row r="194" spans="1:7" x14ac:dyDescent="0.25">
      <c r="A194" t="s">
        <v>2199</v>
      </c>
      <c r="B194" t="s">
        <v>28</v>
      </c>
      <c r="C194" t="s">
        <v>1069</v>
      </c>
      <c r="D194" t="s">
        <v>1070</v>
      </c>
      <c r="E194" t="s">
        <v>934</v>
      </c>
      <c r="F194" t="s">
        <v>935</v>
      </c>
      <c r="G194" s="2">
        <v>450000</v>
      </c>
    </row>
    <row r="195" spans="1:7" x14ac:dyDescent="0.25">
      <c r="A195" t="s">
        <v>2199</v>
      </c>
      <c r="B195" t="s">
        <v>28</v>
      </c>
      <c r="C195" t="s">
        <v>1072</v>
      </c>
      <c r="D195" t="s">
        <v>1073</v>
      </c>
      <c r="E195" t="s">
        <v>1075</v>
      </c>
      <c r="F195" t="s">
        <v>1076</v>
      </c>
      <c r="G195" s="2">
        <v>169000</v>
      </c>
    </row>
    <row r="196" spans="1:7" x14ac:dyDescent="0.25">
      <c r="A196" t="s">
        <v>2199</v>
      </c>
      <c r="B196" t="s">
        <v>28</v>
      </c>
      <c r="C196" t="s">
        <v>1079</v>
      </c>
      <c r="D196" t="s">
        <v>1081</v>
      </c>
      <c r="E196" t="s">
        <v>1075</v>
      </c>
      <c r="F196" t="s">
        <v>1076</v>
      </c>
      <c r="G196" s="2">
        <v>100000</v>
      </c>
    </row>
    <row r="197" spans="1:7" x14ac:dyDescent="0.25">
      <c r="A197" t="s">
        <v>2199</v>
      </c>
      <c r="B197" t="s">
        <v>28</v>
      </c>
      <c r="C197" t="s">
        <v>1085</v>
      </c>
      <c r="D197" t="s">
        <v>1086</v>
      </c>
      <c r="E197" t="s">
        <v>934</v>
      </c>
      <c r="F197" t="s">
        <v>935</v>
      </c>
      <c r="G197" s="2">
        <v>352600</v>
      </c>
    </row>
    <row r="198" spans="1:7" x14ac:dyDescent="0.25">
      <c r="A198" t="s">
        <v>2199</v>
      </c>
      <c r="B198" t="s">
        <v>28</v>
      </c>
      <c r="C198" t="s">
        <v>1089</v>
      </c>
      <c r="D198" t="s">
        <v>1090</v>
      </c>
      <c r="E198" t="s">
        <v>934</v>
      </c>
      <c r="F198" t="s">
        <v>935</v>
      </c>
      <c r="G198" s="2">
        <v>50004</v>
      </c>
    </row>
    <row r="199" spans="1:7" x14ac:dyDescent="0.25">
      <c r="A199" t="s">
        <v>2199</v>
      </c>
      <c r="B199" t="s">
        <v>28</v>
      </c>
      <c r="C199" t="s">
        <v>1092</v>
      </c>
      <c r="D199" t="s">
        <v>1093</v>
      </c>
      <c r="E199" t="s">
        <v>1095</v>
      </c>
      <c r="F199" t="s">
        <v>1096</v>
      </c>
      <c r="G199" s="2">
        <v>624234</v>
      </c>
    </row>
    <row r="200" spans="1:7" x14ac:dyDescent="0.25">
      <c r="A200" t="s">
        <v>2199</v>
      </c>
      <c r="B200" t="s">
        <v>28</v>
      </c>
      <c r="C200" t="s">
        <v>1099</v>
      </c>
      <c r="D200" t="s">
        <v>1100</v>
      </c>
      <c r="E200" t="s">
        <v>457</v>
      </c>
      <c r="F200" t="s">
        <v>458</v>
      </c>
      <c r="G200" s="2">
        <v>183238</v>
      </c>
    </row>
    <row r="201" spans="1:7" x14ac:dyDescent="0.25">
      <c r="A201" t="s">
        <v>2199</v>
      </c>
      <c r="B201" t="s">
        <v>28</v>
      </c>
      <c r="C201" t="s">
        <v>1103</v>
      </c>
      <c r="D201" t="s">
        <v>1104</v>
      </c>
      <c r="E201" t="s">
        <v>1106</v>
      </c>
      <c r="F201" t="s">
        <v>1107</v>
      </c>
      <c r="G201" s="2">
        <v>5696005</v>
      </c>
    </row>
    <row r="202" spans="1:7" x14ac:dyDescent="0.25">
      <c r="A202" t="s">
        <v>2199</v>
      </c>
      <c r="B202" t="s">
        <v>28</v>
      </c>
      <c r="C202" t="s">
        <v>1110</v>
      </c>
      <c r="D202" t="s">
        <v>1111</v>
      </c>
      <c r="E202" t="s">
        <v>457</v>
      </c>
      <c r="F202" t="s">
        <v>458</v>
      </c>
      <c r="G202" s="2">
        <v>225046</v>
      </c>
    </row>
    <row r="203" spans="1:7" x14ac:dyDescent="0.25">
      <c r="A203" t="s">
        <v>2199</v>
      </c>
      <c r="B203" t="s">
        <v>28</v>
      </c>
      <c r="C203" t="s">
        <v>1113</v>
      </c>
      <c r="D203" t="s">
        <v>1115</v>
      </c>
      <c r="E203" t="s">
        <v>309</v>
      </c>
      <c r="F203" t="s">
        <v>893</v>
      </c>
      <c r="G203" s="2">
        <v>371161848</v>
      </c>
    </row>
    <row r="204" spans="1:7" x14ac:dyDescent="0.25">
      <c r="A204" t="s">
        <v>2199</v>
      </c>
      <c r="B204" t="s">
        <v>28</v>
      </c>
      <c r="C204" t="s">
        <v>1119</v>
      </c>
      <c r="D204" t="s">
        <v>1120</v>
      </c>
      <c r="E204" t="s">
        <v>1122</v>
      </c>
      <c r="F204" t="s">
        <v>1123</v>
      </c>
      <c r="G204" s="2">
        <v>600000</v>
      </c>
    </row>
    <row r="205" spans="1:7" x14ac:dyDescent="0.25">
      <c r="A205" t="s">
        <v>2199</v>
      </c>
      <c r="B205" t="s">
        <v>28</v>
      </c>
      <c r="C205" t="s">
        <v>1126</v>
      </c>
      <c r="D205" t="s">
        <v>1127</v>
      </c>
      <c r="E205" t="s">
        <v>1122</v>
      </c>
      <c r="F205" t="s">
        <v>1123</v>
      </c>
      <c r="G205" s="2">
        <v>1700000</v>
      </c>
    </row>
    <row r="206" spans="1:7" x14ac:dyDescent="0.25">
      <c r="A206" t="s">
        <v>2199</v>
      </c>
      <c r="B206" t="s">
        <v>28</v>
      </c>
      <c r="C206" t="s">
        <v>1130</v>
      </c>
      <c r="D206" t="s">
        <v>1131</v>
      </c>
      <c r="E206" t="s">
        <v>1122</v>
      </c>
      <c r="F206" t="s">
        <v>1123</v>
      </c>
      <c r="G206" s="2">
        <v>1670016</v>
      </c>
    </row>
    <row r="207" spans="1:7" x14ac:dyDescent="0.25">
      <c r="A207" t="s">
        <v>2199</v>
      </c>
      <c r="B207" t="s">
        <v>28</v>
      </c>
      <c r="C207" t="s">
        <v>1134</v>
      </c>
      <c r="D207" t="s">
        <v>1135</v>
      </c>
      <c r="E207" t="s">
        <v>1122</v>
      </c>
      <c r="F207" t="s">
        <v>1123</v>
      </c>
      <c r="G207" s="2">
        <v>900000</v>
      </c>
    </row>
    <row r="208" spans="1:7" x14ac:dyDescent="0.25">
      <c r="A208" t="s">
        <v>2199</v>
      </c>
      <c r="B208" t="s">
        <v>28</v>
      </c>
      <c r="C208" t="s">
        <v>1138</v>
      </c>
      <c r="D208" t="s">
        <v>1140</v>
      </c>
      <c r="E208" t="s">
        <v>1122</v>
      </c>
      <c r="F208" t="s">
        <v>1123</v>
      </c>
      <c r="G208" s="2">
        <v>3500010</v>
      </c>
    </row>
    <row r="209" spans="1:7" x14ac:dyDescent="0.25">
      <c r="A209" t="s">
        <v>2199</v>
      </c>
      <c r="B209" t="s">
        <v>28</v>
      </c>
      <c r="C209" t="s">
        <v>1156</v>
      </c>
      <c r="D209" t="s">
        <v>1158</v>
      </c>
      <c r="E209" t="s">
        <v>1162</v>
      </c>
      <c r="F209" t="s">
        <v>258</v>
      </c>
      <c r="G209" s="2">
        <v>17750002</v>
      </c>
    </row>
    <row r="210" spans="1:7" x14ac:dyDescent="0.25">
      <c r="A210" t="s">
        <v>2199</v>
      </c>
      <c r="B210" t="s">
        <v>28</v>
      </c>
      <c r="C210" t="s">
        <v>1168</v>
      </c>
      <c r="D210" t="s">
        <v>1169</v>
      </c>
      <c r="E210" t="s">
        <v>1162</v>
      </c>
      <c r="F210" t="s">
        <v>258</v>
      </c>
      <c r="G210" s="2">
        <v>0</v>
      </c>
    </row>
    <row r="211" spans="1:7" x14ac:dyDescent="0.25">
      <c r="A211" t="s">
        <v>2199</v>
      </c>
      <c r="B211" t="s">
        <v>28</v>
      </c>
      <c r="C211" t="s">
        <v>1176</v>
      </c>
      <c r="D211" t="s">
        <v>1177</v>
      </c>
      <c r="E211" t="s">
        <v>1180</v>
      </c>
      <c r="F211" t="s">
        <v>1181</v>
      </c>
      <c r="G211" s="2">
        <v>696000</v>
      </c>
    </row>
    <row r="212" spans="1:7" x14ac:dyDescent="0.25">
      <c r="A212" t="s">
        <v>2199</v>
      </c>
      <c r="B212" t="s">
        <v>28</v>
      </c>
      <c r="C212" t="s">
        <v>1183</v>
      </c>
      <c r="D212" t="s">
        <v>1185</v>
      </c>
      <c r="E212" t="s">
        <v>790</v>
      </c>
      <c r="F212" t="s">
        <v>791</v>
      </c>
      <c r="G212" s="2">
        <v>2885085</v>
      </c>
    </row>
    <row r="213" spans="1:7" x14ac:dyDescent="0.25">
      <c r="A213" t="s">
        <v>2199</v>
      </c>
      <c r="B213" t="s">
        <v>28</v>
      </c>
      <c r="C213" t="s">
        <v>1188</v>
      </c>
      <c r="D213" t="s">
        <v>1189</v>
      </c>
      <c r="E213" t="s">
        <v>790</v>
      </c>
      <c r="F213" t="s">
        <v>791</v>
      </c>
      <c r="G213" s="2">
        <v>2997268</v>
      </c>
    </row>
    <row r="214" spans="1:7" x14ac:dyDescent="0.25">
      <c r="A214" t="s">
        <v>2199</v>
      </c>
      <c r="B214" t="s">
        <v>28</v>
      </c>
      <c r="C214" t="s">
        <v>1207</v>
      </c>
      <c r="D214" t="s">
        <v>1208</v>
      </c>
      <c r="E214" t="s">
        <v>1211</v>
      </c>
      <c r="F214" t="s">
        <v>320</v>
      </c>
      <c r="G214" s="2">
        <v>198030</v>
      </c>
    </row>
    <row r="215" spans="1:7" x14ac:dyDescent="0.25">
      <c r="A215" t="s">
        <v>2199</v>
      </c>
      <c r="B215" t="s">
        <v>28</v>
      </c>
      <c r="C215" t="s">
        <v>1213</v>
      </c>
      <c r="D215" t="s">
        <v>1214</v>
      </c>
      <c r="E215" t="s">
        <v>395</v>
      </c>
      <c r="F215" t="s">
        <v>1217</v>
      </c>
      <c r="G215" s="2">
        <v>126581</v>
      </c>
    </row>
    <row r="216" spans="1:7" x14ac:dyDescent="0.25">
      <c r="A216" t="s">
        <v>2199</v>
      </c>
      <c r="B216" t="s">
        <v>28</v>
      </c>
      <c r="C216" t="s">
        <v>1219</v>
      </c>
      <c r="D216" t="s">
        <v>1220</v>
      </c>
      <c r="E216" t="s">
        <v>395</v>
      </c>
      <c r="F216" t="s">
        <v>1217</v>
      </c>
      <c r="G216" s="2">
        <v>172000</v>
      </c>
    </row>
    <row r="217" spans="1:7" x14ac:dyDescent="0.25">
      <c r="A217" t="s">
        <v>2199</v>
      </c>
      <c r="B217" t="s">
        <v>28</v>
      </c>
      <c r="C217" t="s">
        <v>1224</v>
      </c>
      <c r="D217" t="s">
        <v>1225</v>
      </c>
      <c r="E217" t="s">
        <v>1211</v>
      </c>
      <c r="F217" t="s">
        <v>320</v>
      </c>
      <c r="G217" s="2">
        <v>715014</v>
      </c>
    </row>
    <row r="218" spans="1:7" x14ac:dyDescent="0.25">
      <c r="A218" t="s">
        <v>2199</v>
      </c>
      <c r="B218" t="s">
        <v>28</v>
      </c>
      <c r="C218" t="s">
        <v>1228</v>
      </c>
      <c r="D218" t="s">
        <v>1229</v>
      </c>
      <c r="E218" t="s">
        <v>64</v>
      </c>
      <c r="F218" t="s">
        <v>65</v>
      </c>
      <c r="G218" s="2">
        <v>930000</v>
      </c>
    </row>
    <row r="219" spans="1:7" x14ac:dyDescent="0.25">
      <c r="A219" t="s">
        <v>2199</v>
      </c>
      <c r="B219" t="s">
        <v>28</v>
      </c>
      <c r="C219" t="s">
        <v>1234</v>
      </c>
      <c r="D219" t="s">
        <v>1235</v>
      </c>
      <c r="E219" t="s">
        <v>64</v>
      </c>
      <c r="F219" t="s">
        <v>65</v>
      </c>
      <c r="G219" s="2">
        <v>1400000</v>
      </c>
    </row>
    <row r="220" spans="1:7" x14ac:dyDescent="0.25">
      <c r="A220" t="s">
        <v>2199</v>
      </c>
      <c r="B220" t="s">
        <v>28</v>
      </c>
      <c r="C220" t="s">
        <v>1245</v>
      </c>
      <c r="D220" t="s">
        <v>1247</v>
      </c>
      <c r="E220" t="s">
        <v>122</v>
      </c>
      <c r="F220" t="s">
        <v>544</v>
      </c>
      <c r="G220" s="2">
        <v>610000</v>
      </c>
    </row>
    <row r="221" spans="1:7" x14ac:dyDescent="0.25">
      <c r="A221" t="s">
        <v>2199</v>
      </c>
      <c r="B221" t="s">
        <v>28</v>
      </c>
      <c r="C221" t="s">
        <v>1252</v>
      </c>
      <c r="D221" t="s">
        <v>1253</v>
      </c>
      <c r="E221" t="s">
        <v>1255</v>
      </c>
      <c r="F221" t="s">
        <v>1256</v>
      </c>
      <c r="G221" s="2">
        <v>52000</v>
      </c>
    </row>
    <row r="222" spans="1:7" x14ac:dyDescent="0.25">
      <c r="A222" t="s">
        <v>2199</v>
      </c>
      <c r="B222" t="s">
        <v>28</v>
      </c>
      <c r="C222" t="s">
        <v>1259</v>
      </c>
      <c r="D222" t="s">
        <v>1260</v>
      </c>
      <c r="E222" t="s">
        <v>395</v>
      </c>
      <c r="F222" t="s">
        <v>1217</v>
      </c>
      <c r="G222" s="2">
        <v>370100</v>
      </c>
    </row>
    <row r="223" spans="1:7" x14ac:dyDescent="0.25">
      <c r="A223" t="s">
        <v>2199</v>
      </c>
      <c r="B223" t="s">
        <v>28</v>
      </c>
      <c r="C223" t="s">
        <v>1269</v>
      </c>
      <c r="D223" t="s">
        <v>1270</v>
      </c>
      <c r="E223" t="s">
        <v>1273</v>
      </c>
      <c r="F223" t="s">
        <v>514</v>
      </c>
      <c r="G223" s="2">
        <v>603000</v>
      </c>
    </row>
    <row r="224" spans="1:7" x14ac:dyDescent="0.25">
      <c r="A224" t="s">
        <v>2199</v>
      </c>
      <c r="B224" t="s">
        <v>28</v>
      </c>
      <c r="C224" t="s">
        <v>1345</v>
      </c>
      <c r="D224" t="s">
        <v>1347</v>
      </c>
      <c r="E224" t="s">
        <v>1299</v>
      </c>
      <c r="F224" t="s">
        <v>1300</v>
      </c>
      <c r="G224" s="2">
        <v>150000</v>
      </c>
    </row>
    <row r="225" spans="1:7" x14ac:dyDescent="0.25">
      <c r="A225" t="s">
        <v>2199</v>
      </c>
      <c r="B225" t="s">
        <v>28</v>
      </c>
      <c r="C225" t="s">
        <v>1395</v>
      </c>
      <c r="D225" t="s">
        <v>1396</v>
      </c>
      <c r="E225" t="s">
        <v>64</v>
      </c>
      <c r="F225" t="s">
        <v>65</v>
      </c>
      <c r="G225" s="2">
        <v>500004</v>
      </c>
    </row>
    <row r="226" spans="1:7" x14ac:dyDescent="0.25">
      <c r="A226" t="s">
        <v>2199</v>
      </c>
      <c r="B226" t="s">
        <v>28</v>
      </c>
      <c r="C226" t="s">
        <v>1403</v>
      </c>
      <c r="D226" t="s">
        <v>1404</v>
      </c>
      <c r="E226" t="s">
        <v>1035</v>
      </c>
      <c r="F226" t="s">
        <v>1036</v>
      </c>
      <c r="G226" s="2">
        <v>173624</v>
      </c>
    </row>
    <row r="227" spans="1:7" x14ac:dyDescent="0.25">
      <c r="A227" t="s">
        <v>2199</v>
      </c>
      <c r="B227" t="s">
        <v>28</v>
      </c>
      <c r="C227" t="s">
        <v>1407</v>
      </c>
      <c r="D227" t="s">
        <v>1408</v>
      </c>
      <c r="E227" t="s">
        <v>590</v>
      </c>
      <c r="F227" t="s">
        <v>591</v>
      </c>
      <c r="G227" s="2">
        <v>80000</v>
      </c>
    </row>
    <row r="228" spans="1:7" x14ac:dyDescent="0.25">
      <c r="A228" t="s">
        <v>2199</v>
      </c>
      <c r="B228" t="s">
        <v>28</v>
      </c>
      <c r="C228" t="s">
        <v>1411</v>
      </c>
      <c r="D228" t="s">
        <v>1413</v>
      </c>
      <c r="E228" t="s">
        <v>1415</v>
      </c>
      <c r="F228" t="s">
        <v>514</v>
      </c>
      <c r="G228" s="2">
        <v>2000000</v>
      </c>
    </row>
    <row r="229" spans="1:7" x14ac:dyDescent="0.25">
      <c r="A229" t="s">
        <v>2199</v>
      </c>
      <c r="B229" t="s">
        <v>28</v>
      </c>
      <c r="C229" t="s">
        <v>1416</v>
      </c>
      <c r="D229" t="s">
        <v>1417</v>
      </c>
      <c r="E229" t="s">
        <v>1415</v>
      </c>
      <c r="F229" t="s">
        <v>514</v>
      </c>
      <c r="G229" s="2">
        <v>6000000</v>
      </c>
    </row>
    <row r="230" spans="1:7" x14ac:dyDescent="0.25">
      <c r="A230" t="s">
        <v>2199</v>
      </c>
      <c r="B230" t="s">
        <v>28</v>
      </c>
      <c r="C230" t="s">
        <v>1419</v>
      </c>
      <c r="D230" t="s">
        <v>1420</v>
      </c>
      <c r="E230" t="s">
        <v>1415</v>
      </c>
      <c r="F230" t="s">
        <v>514</v>
      </c>
      <c r="G230" s="2">
        <v>0</v>
      </c>
    </row>
    <row r="231" spans="1:7" x14ac:dyDescent="0.25">
      <c r="A231" t="s">
        <v>2199</v>
      </c>
      <c r="B231" t="s">
        <v>28</v>
      </c>
      <c r="C231" t="s">
        <v>1422</v>
      </c>
      <c r="D231" t="s">
        <v>1423</v>
      </c>
      <c r="E231" t="s">
        <v>1415</v>
      </c>
      <c r="F231" t="s">
        <v>514</v>
      </c>
      <c r="G231" s="2">
        <v>25000000</v>
      </c>
    </row>
    <row r="232" spans="1:7" x14ac:dyDescent="0.25">
      <c r="A232" t="s">
        <v>2199</v>
      </c>
      <c r="B232" t="s">
        <v>28</v>
      </c>
      <c r="C232" t="s">
        <v>1426</v>
      </c>
      <c r="D232" t="s">
        <v>1427</v>
      </c>
      <c r="E232" t="s">
        <v>1415</v>
      </c>
      <c r="F232" t="s">
        <v>514</v>
      </c>
      <c r="G232" s="2">
        <v>10000000</v>
      </c>
    </row>
    <row r="233" spans="1:7" x14ac:dyDescent="0.25">
      <c r="A233" t="s">
        <v>2199</v>
      </c>
      <c r="B233" t="s">
        <v>28</v>
      </c>
      <c r="C233" t="s">
        <v>1429</v>
      </c>
      <c r="D233" t="s">
        <v>1430</v>
      </c>
      <c r="E233" t="s">
        <v>1432</v>
      </c>
      <c r="F233" t="s">
        <v>1433</v>
      </c>
      <c r="G233" s="2">
        <v>35304528</v>
      </c>
    </row>
    <row r="234" spans="1:7" x14ac:dyDescent="0.25">
      <c r="A234" t="s">
        <v>2199</v>
      </c>
      <c r="B234" t="s">
        <v>28</v>
      </c>
      <c r="C234" t="s">
        <v>1436</v>
      </c>
      <c r="D234" t="s">
        <v>1438</v>
      </c>
      <c r="E234" t="s">
        <v>64</v>
      </c>
      <c r="F234" t="s">
        <v>65</v>
      </c>
      <c r="G234" s="2">
        <v>500000</v>
      </c>
    </row>
    <row r="235" spans="1:7" x14ac:dyDescent="0.25">
      <c r="A235" t="s">
        <v>2199</v>
      </c>
      <c r="B235" t="s">
        <v>28</v>
      </c>
      <c r="C235" t="s">
        <v>1442</v>
      </c>
      <c r="D235" t="s">
        <v>1443</v>
      </c>
      <c r="E235" t="s">
        <v>1445</v>
      </c>
      <c r="F235" t="s">
        <v>1446</v>
      </c>
      <c r="G235" s="2">
        <v>299940</v>
      </c>
    </row>
    <row r="236" spans="1:7" x14ac:dyDescent="0.25">
      <c r="A236" t="s">
        <v>2199</v>
      </c>
      <c r="B236" t="s">
        <v>28</v>
      </c>
      <c r="C236" t="s">
        <v>1449</v>
      </c>
      <c r="D236" t="s">
        <v>1450</v>
      </c>
      <c r="E236" t="s">
        <v>1075</v>
      </c>
      <c r="F236" t="s">
        <v>1076</v>
      </c>
      <c r="G236" s="2">
        <v>390000</v>
      </c>
    </row>
    <row r="237" spans="1:7" x14ac:dyDescent="0.25">
      <c r="A237" t="s">
        <v>2199</v>
      </c>
      <c r="B237" t="s">
        <v>28</v>
      </c>
      <c r="C237" t="s">
        <v>1453</v>
      </c>
      <c r="D237" t="s">
        <v>1454</v>
      </c>
      <c r="E237" t="s">
        <v>1445</v>
      </c>
      <c r="F237" t="s">
        <v>1446</v>
      </c>
      <c r="G237" s="2">
        <v>720000</v>
      </c>
    </row>
    <row r="238" spans="1:7" x14ac:dyDescent="0.25">
      <c r="A238" t="s">
        <v>2199</v>
      </c>
      <c r="B238" t="s">
        <v>28</v>
      </c>
      <c r="C238" t="s">
        <v>1456</v>
      </c>
      <c r="D238" t="s">
        <v>1457</v>
      </c>
      <c r="E238" t="s">
        <v>1211</v>
      </c>
      <c r="F238" t="s">
        <v>320</v>
      </c>
      <c r="G238" s="2">
        <v>170001</v>
      </c>
    </row>
    <row r="239" spans="1:7" x14ac:dyDescent="0.25">
      <c r="A239" t="s">
        <v>2199</v>
      </c>
      <c r="B239" t="s">
        <v>28</v>
      </c>
      <c r="C239" t="s">
        <v>1460</v>
      </c>
      <c r="D239" t="s">
        <v>1461</v>
      </c>
      <c r="E239" t="s">
        <v>1075</v>
      </c>
      <c r="F239" t="s">
        <v>1076</v>
      </c>
      <c r="G239" s="2">
        <v>8196174</v>
      </c>
    </row>
    <row r="240" spans="1:7" x14ac:dyDescent="0.25">
      <c r="A240" t="s">
        <v>2199</v>
      </c>
      <c r="B240" t="s">
        <v>28</v>
      </c>
      <c r="C240" t="s">
        <v>1466</v>
      </c>
      <c r="D240" t="s">
        <v>1467</v>
      </c>
      <c r="E240" t="s">
        <v>1469</v>
      </c>
      <c r="F240" t="s">
        <v>1470</v>
      </c>
      <c r="G240" s="2">
        <v>5000001</v>
      </c>
    </row>
    <row r="241" spans="1:7" x14ac:dyDescent="0.25">
      <c r="A241" t="s">
        <v>2199</v>
      </c>
      <c r="B241" t="s">
        <v>28</v>
      </c>
      <c r="C241" t="s">
        <v>1473</v>
      </c>
      <c r="D241" t="s">
        <v>1474</v>
      </c>
      <c r="E241" t="s">
        <v>1477</v>
      </c>
      <c r="F241" t="s">
        <v>219</v>
      </c>
      <c r="G241" s="2">
        <v>300006</v>
      </c>
    </row>
    <row r="242" spans="1:7" x14ac:dyDescent="0.25">
      <c r="A242" t="s">
        <v>2199</v>
      </c>
      <c r="B242" t="s">
        <v>28</v>
      </c>
      <c r="C242" t="s">
        <v>1479</v>
      </c>
      <c r="D242" t="s">
        <v>1480</v>
      </c>
      <c r="E242" t="s">
        <v>1445</v>
      </c>
      <c r="F242" t="s">
        <v>1446</v>
      </c>
      <c r="G242" s="2">
        <v>220000</v>
      </c>
    </row>
    <row r="243" spans="1:7" x14ac:dyDescent="0.25">
      <c r="A243" t="s">
        <v>2199</v>
      </c>
      <c r="B243" t="s">
        <v>28</v>
      </c>
      <c r="C243" t="s">
        <v>1482</v>
      </c>
      <c r="D243" t="s">
        <v>1483</v>
      </c>
      <c r="E243" t="s">
        <v>1477</v>
      </c>
      <c r="F243" t="s">
        <v>219</v>
      </c>
      <c r="G243" s="2">
        <v>1500018</v>
      </c>
    </row>
    <row r="244" spans="1:7" x14ac:dyDescent="0.25">
      <c r="A244" t="s">
        <v>2199</v>
      </c>
      <c r="B244" t="s">
        <v>28</v>
      </c>
      <c r="C244" t="s">
        <v>1489</v>
      </c>
      <c r="D244" t="s">
        <v>1490</v>
      </c>
      <c r="E244" t="s">
        <v>1211</v>
      </c>
      <c r="F244" t="s">
        <v>320</v>
      </c>
      <c r="G244" s="2">
        <v>218020</v>
      </c>
    </row>
    <row r="245" spans="1:7" x14ac:dyDescent="0.25">
      <c r="A245" t="s">
        <v>2199</v>
      </c>
      <c r="B245" t="s">
        <v>28</v>
      </c>
      <c r="C245" t="s">
        <v>1492</v>
      </c>
      <c r="D245" t="s">
        <v>1494</v>
      </c>
      <c r="E245" t="s">
        <v>590</v>
      </c>
      <c r="F245" t="s">
        <v>591</v>
      </c>
      <c r="G245" s="2">
        <v>100000</v>
      </c>
    </row>
    <row r="246" spans="1:7" x14ac:dyDescent="0.25">
      <c r="A246" t="s">
        <v>2199</v>
      </c>
      <c r="B246" t="s">
        <v>28</v>
      </c>
      <c r="C246" t="s">
        <v>1497</v>
      </c>
      <c r="D246" t="s">
        <v>1498</v>
      </c>
      <c r="E246" t="s">
        <v>1075</v>
      </c>
      <c r="F246" t="s">
        <v>1076</v>
      </c>
      <c r="G246" s="2">
        <v>335005</v>
      </c>
    </row>
    <row r="247" spans="1:7" x14ac:dyDescent="0.25">
      <c r="A247" t="s">
        <v>2199</v>
      </c>
      <c r="B247" t="s">
        <v>28</v>
      </c>
      <c r="C247" t="s">
        <v>1501</v>
      </c>
      <c r="D247" t="s">
        <v>1502</v>
      </c>
      <c r="E247" t="s">
        <v>1505</v>
      </c>
      <c r="F247" t="s">
        <v>423</v>
      </c>
      <c r="G247" s="2">
        <v>2400000</v>
      </c>
    </row>
    <row r="248" spans="1:7" x14ac:dyDescent="0.25">
      <c r="A248" t="s">
        <v>2199</v>
      </c>
      <c r="B248" t="s">
        <v>28</v>
      </c>
      <c r="C248" t="s">
        <v>1509</v>
      </c>
      <c r="D248" t="s">
        <v>1510</v>
      </c>
      <c r="E248" t="s">
        <v>590</v>
      </c>
      <c r="F248" t="s">
        <v>591</v>
      </c>
      <c r="G248" s="2">
        <v>300090</v>
      </c>
    </row>
    <row r="249" spans="1:7" x14ac:dyDescent="0.25">
      <c r="A249" t="s">
        <v>2199</v>
      </c>
      <c r="B249" t="s">
        <v>28</v>
      </c>
      <c r="C249" t="s">
        <v>1514</v>
      </c>
      <c r="D249" t="s">
        <v>1515</v>
      </c>
      <c r="E249" t="s">
        <v>1075</v>
      </c>
      <c r="F249" t="s">
        <v>1076</v>
      </c>
      <c r="G249" s="2">
        <v>150000</v>
      </c>
    </row>
    <row r="250" spans="1:7" x14ac:dyDescent="0.25">
      <c r="A250" t="s">
        <v>2199</v>
      </c>
      <c r="B250" t="s">
        <v>28</v>
      </c>
      <c r="C250" t="s">
        <v>1518</v>
      </c>
      <c r="D250" t="s">
        <v>1520</v>
      </c>
      <c r="E250" t="s">
        <v>761</v>
      </c>
      <c r="F250" t="s">
        <v>762</v>
      </c>
      <c r="G250" s="2">
        <v>1660004</v>
      </c>
    </row>
    <row r="251" spans="1:7" x14ac:dyDescent="0.25">
      <c r="A251" t="s">
        <v>2199</v>
      </c>
      <c r="B251" t="s">
        <v>28</v>
      </c>
      <c r="C251" t="s">
        <v>1525</v>
      </c>
      <c r="D251" t="s">
        <v>1502</v>
      </c>
      <c r="E251" t="s">
        <v>1505</v>
      </c>
      <c r="F251" t="s">
        <v>423</v>
      </c>
      <c r="G251" s="2">
        <v>3861900</v>
      </c>
    </row>
    <row r="252" spans="1:7" x14ac:dyDescent="0.25">
      <c r="A252" t="s">
        <v>2199</v>
      </c>
      <c r="B252" t="s">
        <v>28</v>
      </c>
      <c r="C252" t="s">
        <v>1528</v>
      </c>
      <c r="D252" t="s">
        <v>1529</v>
      </c>
      <c r="E252" t="s">
        <v>1075</v>
      </c>
      <c r="F252" t="s">
        <v>1076</v>
      </c>
      <c r="G252" s="2">
        <v>36000</v>
      </c>
    </row>
    <row r="253" spans="1:7" x14ac:dyDescent="0.25">
      <c r="A253" t="s">
        <v>2199</v>
      </c>
      <c r="B253" t="s">
        <v>28</v>
      </c>
      <c r="C253" t="s">
        <v>1532</v>
      </c>
      <c r="D253" t="s">
        <v>1533</v>
      </c>
      <c r="E253" t="s">
        <v>761</v>
      </c>
      <c r="F253" t="s">
        <v>762</v>
      </c>
      <c r="G253" s="2">
        <v>2740091</v>
      </c>
    </row>
    <row r="254" spans="1:7" x14ac:dyDescent="0.25">
      <c r="A254" t="s">
        <v>2199</v>
      </c>
      <c r="B254" t="s">
        <v>28</v>
      </c>
      <c r="C254" t="s">
        <v>1539</v>
      </c>
      <c r="D254" t="s">
        <v>1540</v>
      </c>
      <c r="E254" t="s">
        <v>1211</v>
      </c>
      <c r="F254" t="s">
        <v>320</v>
      </c>
      <c r="G254" s="2">
        <v>400000</v>
      </c>
    </row>
    <row r="255" spans="1:7" x14ac:dyDescent="0.25">
      <c r="A255" t="s">
        <v>2199</v>
      </c>
      <c r="B255" t="s">
        <v>28</v>
      </c>
      <c r="C255" t="s">
        <v>1542</v>
      </c>
      <c r="D255" t="s">
        <v>1543</v>
      </c>
      <c r="E255" t="s">
        <v>1075</v>
      </c>
      <c r="F255" t="s">
        <v>1076</v>
      </c>
      <c r="G255" s="2">
        <v>800000</v>
      </c>
    </row>
    <row r="256" spans="1:7" x14ac:dyDescent="0.25">
      <c r="A256" t="s">
        <v>2199</v>
      </c>
      <c r="B256" t="s">
        <v>28</v>
      </c>
      <c r="C256" t="s">
        <v>1546</v>
      </c>
      <c r="D256" t="s">
        <v>1548</v>
      </c>
      <c r="E256" t="s">
        <v>761</v>
      </c>
      <c r="F256" t="s">
        <v>762</v>
      </c>
      <c r="G256" s="2">
        <v>1322042</v>
      </c>
    </row>
    <row r="257" spans="1:7" x14ac:dyDescent="0.25">
      <c r="A257" t="s">
        <v>2199</v>
      </c>
      <c r="B257" t="s">
        <v>28</v>
      </c>
      <c r="C257" t="s">
        <v>1551</v>
      </c>
      <c r="D257" t="s">
        <v>1553</v>
      </c>
      <c r="E257" t="s">
        <v>761</v>
      </c>
      <c r="F257" t="s">
        <v>762</v>
      </c>
      <c r="G257" s="2">
        <v>334061</v>
      </c>
    </row>
    <row r="258" spans="1:7" x14ac:dyDescent="0.25">
      <c r="A258" t="s">
        <v>2199</v>
      </c>
      <c r="B258" t="s">
        <v>28</v>
      </c>
      <c r="C258" t="s">
        <v>1555</v>
      </c>
      <c r="D258" t="s">
        <v>1556</v>
      </c>
      <c r="E258" t="s">
        <v>1559</v>
      </c>
      <c r="F258" t="s">
        <v>1560</v>
      </c>
      <c r="G258" s="2">
        <v>14500000</v>
      </c>
    </row>
    <row r="259" spans="1:7" x14ac:dyDescent="0.25">
      <c r="A259" t="s">
        <v>2199</v>
      </c>
      <c r="B259" t="s">
        <v>28</v>
      </c>
      <c r="C259" t="s">
        <v>1563</v>
      </c>
      <c r="D259" t="s">
        <v>1404</v>
      </c>
      <c r="E259" t="s">
        <v>1035</v>
      </c>
      <c r="F259" t="s">
        <v>1036</v>
      </c>
      <c r="G259" s="2">
        <v>460000</v>
      </c>
    </row>
    <row r="260" spans="1:7" x14ac:dyDescent="0.25">
      <c r="A260" t="s">
        <v>2199</v>
      </c>
      <c r="B260" t="s">
        <v>28</v>
      </c>
      <c r="C260" t="s">
        <v>1566</v>
      </c>
      <c r="D260" t="s">
        <v>1567</v>
      </c>
      <c r="E260" t="s">
        <v>1211</v>
      </c>
      <c r="F260" t="s">
        <v>320</v>
      </c>
      <c r="G260" s="2">
        <v>120000</v>
      </c>
    </row>
    <row r="261" spans="1:7" x14ac:dyDescent="0.25">
      <c r="A261" t="s">
        <v>2199</v>
      </c>
      <c r="B261" t="s">
        <v>28</v>
      </c>
      <c r="C261" t="s">
        <v>1569</v>
      </c>
      <c r="D261" t="s">
        <v>1570</v>
      </c>
      <c r="E261" t="s">
        <v>1572</v>
      </c>
      <c r="F261" t="s">
        <v>1573</v>
      </c>
      <c r="G261" s="2">
        <v>7000000</v>
      </c>
    </row>
    <row r="262" spans="1:7" x14ac:dyDescent="0.25">
      <c r="A262" t="s">
        <v>2199</v>
      </c>
      <c r="B262" t="s">
        <v>28</v>
      </c>
      <c r="C262" t="s">
        <v>1585</v>
      </c>
      <c r="D262" t="s">
        <v>1587</v>
      </c>
      <c r="E262" t="s">
        <v>1572</v>
      </c>
      <c r="F262" t="s">
        <v>1573</v>
      </c>
      <c r="G262" s="2">
        <v>1428000</v>
      </c>
    </row>
    <row r="263" spans="1:7" x14ac:dyDescent="0.25">
      <c r="A263" t="s">
        <v>2199</v>
      </c>
      <c r="B263" t="s">
        <v>28</v>
      </c>
      <c r="C263" t="s">
        <v>1600</v>
      </c>
      <c r="D263" t="s">
        <v>1601</v>
      </c>
      <c r="E263" t="s">
        <v>1572</v>
      </c>
      <c r="F263" t="s">
        <v>1573</v>
      </c>
      <c r="G263" s="2">
        <v>1428000</v>
      </c>
    </row>
    <row r="264" spans="1:7" x14ac:dyDescent="0.25">
      <c r="A264" t="s">
        <v>2199</v>
      </c>
      <c r="B264" t="s">
        <v>28</v>
      </c>
      <c r="C264" t="s">
        <v>1604</v>
      </c>
      <c r="D264" t="s">
        <v>1605</v>
      </c>
      <c r="E264" t="s">
        <v>1608</v>
      </c>
      <c r="F264" t="s">
        <v>361</v>
      </c>
      <c r="G264" s="2">
        <v>1160000</v>
      </c>
    </row>
    <row r="265" spans="1:7" x14ac:dyDescent="0.25">
      <c r="A265" t="s">
        <v>2199</v>
      </c>
      <c r="B265" t="s">
        <v>28</v>
      </c>
      <c r="C265" t="s">
        <v>1610</v>
      </c>
      <c r="D265" t="s">
        <v>1611</v>
      </c>
      <c r="E265" t="s">
        <v>1613</v>
      </c>
      <c r="F265" t="s">
        <v>1614</v>
      </c>
      <c r="G265" s="2">
        <v>62432002</v>
      </c>
    </row>
    <row r="266" spans="1:7" x14ac:dyDescent="0.25">
      <c r="A266" t="s">
        <v>2199</v>
      </c>
      <c r="B266" t="s">
        <v>28</v>
      </c>
      <c r="C266" t="s">
        <v>1620</v>
      </c>
      <c r="D266" t="s">
        <v>1621</v>
      </c>
      <c r="E266" t="s">
        <v>1608</v>
      </c>
      <c r="F266" t="s">
        <v>361</v>
      </c>
      <c r="G266" s="2">
        <v>600000</v>
      </c>
    </row>
    <row r="267" spans="1:7" x14ac:dyDescent="0.25">
      <c r="A267" t="s">
        <v>2199</v>
      </c>
      <c r="B267" t="s">
        <v>28</v>
      </c>
      <c r="C267" t="s">
        <v>1626</v>
      </c>
      <c r="D267" t="s">
        <v>1627</v>
      </c>
      <c r="E267" t="s">
        <v>1572</v>
      </c>
      <c r="F267" t="s">
        <v>1573</v>
      </c>
      <c r="G267" s="2">
        <v>5580820</v>
      </c>
    </row>
    <row r="268" spans="1:7" x14ac:dyDescent="0.25">
      <c r="A268" t="s">
        <v>2199</v>
      </c>
      <c r="B268" t="s">
        <v>28</v>
      </c>
      <c r="C268" t="s">
        <v>1632</v>
      </c>
      <c r="D268" t="s">
        <v>1633</v>
      </c>
      <c r="E268" t="s">
        <v>934</v>
      </c>
      <c r="F268" t="s">
        <v>935</v>
      </c>
      <c r="G268" s="2">
        <v>440000</v>
      </c>
    </row>
    <row r="269" spans="1:7" x14ac:dyDescent="0.25">
      <c r="A269" t="s">
        <v>2199</v>
      </c>
      <c r="B269" t="s">
        <v>28</v>
      </c>
      <c r="C269" t="s">
        <v>1637</v>
      </c>
      <c r="D269" t="s">
        <v>1177</v>
      </c>
      <c r="E269" t="s">
        <v>1180</v>
      </c>
      <c r="F269" t="s">
        <v>1181</v>
      </c>
      <c r="G269" s="2">
        <v>115003</v>
      </c>
    </row>
    <row r="270" spans="1:7" x14ac:dyDescent="0.25">
      <c r="A270" t="s">
        <v>2199</v>
      </c>
      <c r="B270" t="s">
        <v>28</v>
      </c>
      <c r="C270" t="s">
        <v>1638</v>
      </c>
      <c r="D270" t="s">
        <v>1639</v>
      </c>
      <c r="E270" t="s">
        <v>1642</v>
      </c>
      <c r="F270" t="s">
        <v>1643</v>
      </c>
      <c r="G270" s="2">
        <v>405000</v>
      </c>
    </row>
    <row r="271" spans="1:7" x14ac:dyDescent="0.25">
      <c r="A271" t="s">
        <v>2199</v>
      </c>
      <c r="B271" t="s">
        <v>28</v>
      </c>
      <c r="C271" t="s">
        <v>1667</v>
      </c>
      <c r="D271" t="s">
        <v>1668</v>
      </c>
      <c r="E271" t="s">
        <v>64</v>
      </c>
      <c r="F271" t="s">
        <v>65</v>
      </c>
      <c r="G271" s="2">
        <v>542153</v>
      </c>
    </row>
    <row r="272" spans="1:7" x14ac:dyDescent="0.25">
      <c r="A272" t="s">
        <v>2199</v>
      </c>
      <c r="B272" t="s">
        <v>28</v>
      </c>
      <c r="C272" t="s">
        <v>1675</v>
      </c>
      <c r="D272" t="s">
        <v>1658</v>
      </c>
      <c r="E272" t="s">
        <v>1660</v>
      </c>
      <c r="F272" t="s">
        <v>1661</v>
      </c>
      <c r="G272" s="2">
        <v>2502600</v>
      </c>
    </row>
    <row r="273" spans="1:7" x14ac:dyDescent="0.25">
      <c r="A273" t="s">
        <v>2199</v>
      </c>
      <c r="B273" t="s">
        <v>28</v>
      </c>
      <c r="C273" t="s">
        <v>1679</v>
      </c>
      <c r="D273" t="s">
        <v>1680</v>
      </c>
      <c r="E273" t="s">
        <v>457</v>
      </c>
      <c r="F273" t="s">
        <v>1682</v>
      </c>
      <c r="G273" s="2">
        <v>222014</v>
      </c>
    </row>
    <row r="274" spans="1:7" x14ac:dyDescent="0.25">
      <c r="A274" t="s">
        <v>2199</v>
      </c>
      <c r="B274" t="s">
        <v>28</v>
      </c>
      <c r="C274" t="s">
        <v>1684</v>
      </c>
      <c r="D274" t="s">
        <v>1685</v>
      </c>
      <c r="E274" t="s">
        <v>1642</v>
      </c>
      <c r="F274" t="s">
        <v>1643</v>
      </c>
      <c r="G274" s="2">
        <v>200000</v>
      </c>
    </row>
    <row r="275" spans="1:7" x14ac:dyDescent="0.25">
      <c r="A275" t="s">
        <v>2199</v>
      </c>
      <c r="B275" t="s">
        <v>28</v>
      </c>
      <c r="C275" t="s">
        <v>1687</v>
      </c>
      <c r="D275" t="s">
        <v>1688</v>
      </c>
      <c r="E275" t="s">
        <v>1690</v>
      </c>
      <c r="F275" t="s">
        <v>865</v>
      </c>
      <c r="G275" s="2">
        <v>2026009</v>
      </c>
    </row>
    <row r="276" spans="1:7" x14ac:dyDescent="0.25">
      <c r="A276" t="s">
        <v>2199</v>
      </c>
      <c r="B276" t="s">
        <v>28</v>
      </c>
      <c r="C276" t="s">
        <v>1694</v>
      </c>
      <c r="D276" t="s">
        <v>1695</v>
      </c>
      <c r="E276" t="s">
        <v>414</v>
      </c>
      <c r="F276" t="s">
        <v>1697</v>
      </c>
      <c r="G276" s="2">
        <v>2500008</v>
      </c>
    </row>
    <row r="277" spans="1:7" x14ac:dyDescent="0.25">
      <c r="A277" t="s">
        <v>2199</v>
      </c>
      <c r="B277" t="s">
        <v>28</v>
      </c>
      <c r="C277" t="s">
        <v>1699</v>
      </c>
      <c r="D277" t="s">
        <v>1658</v>
      </c>
      <c r="E277" t="s">
        <v>1660</v>
      </c>
      <c r="F277" t="s">
        <v>1661</v>
      </c>
      <c r="G277" s="2">
        <v>500115</v>
      </c>
    </row>
    <row r="278" spans="1:7" x14ac:dyDescent="0.25">
      <c r="A278" t="s">
        <v>2199</v>
      </c>
      <c r="B278" t="s">
        <v>28</v>
      </c>
      <c r="C278" t="s">
        <v>1700</v>
      </c>
      <c r="D278" t="s">
        <v>1701</v>
      </c>
      <c r="E278" t="s">
        <v>1704</v>
      </c>
      <c r="F278" t="s">
        <v>1705</v>
      </c>
      <c r="G278" s="2">
        <v>4059825</v>
      </c>
    </row>
    <row r="279" spans="1:7" x14ac:dyDescent="0.25">
      <c r="A279" t="s">
        <v>2199</v>
      </c>
      <c r="B279" t="s">
        <v>28</v>
      </c>
      <c r="C279" t="s">
        <v>1708</v>
      </c>
      <c r="D279" t="s">
        <v>1709</v>
      </c>
      <c r="E279" t="s">
        <v>958</v>
      </c>
      <c r="F279" t="s">
        <v>959</v>
      </c>
      <c r="G279" s="2">
        <v>550000</v>
      </c>
    </row>
    <row r="280" spans="1:7" x14ac:dyDescent="0.25">
      <c r="A280" t="s">
        <v>2199</v>
      </c>
      <c r="B280" t="s">
        <v>28</v>
      </c>
      <c r="C280" t="s">
        <v>1712</v>
      </c>
      <c r="D280" t="s">
        <v>1713</v>
      </c>
      <c r="E280" t="s">
        <v>1572</v>
      </c>
      <c r="F280" t="s">
        <v>1573</v>
      </c>
      <c r="G280" s="2">
        <v>783090</v>
      </c>
    </row>
    <row r="281" spans="1:7" x14ac:dyDescent="0.25">
      <c r="A281" t="s">
        <v>2199</v>
      </c>
      <c r="B281" t="s">
        <v>28</v>
      </c>
      <c r="C281" t="s">
        <v>1715</v>
      </c>
      <c r="D281" t="s">
        <v>1716</v>
      </c>
      <c r="E281" t="s">
        <v>958</v>
      </c>
      <c r="F281" t="s">
        <v>959</v>
      </c>
      <c r="G281" s="2">
        <v>60000</v>
      </c>
    </row>
    <row r="282" spans="1:7" x14ac:dyDescent="0.25">
      <c r="A282" t="s">
        <v>2199</v>
      </c>
      <c r="B282" t="s">
        <v>28</v>
      </c>
      <c r="C282" t="s">
        <v>1718</v>
      </c>
      <c r="D282" t="s">
        <v>1719</v>
      </c>
      <c r="E282" t="s">
        <v>1723</v>
      </c>
      <c r="F282" t="s">
        <v>154</v>
      </c>
      <c r="G282" s="2">
        <v>0</v>
      </c>
    </row>
    <row r="283" spans="1:7" x14ac:dyDescent="0.25">
      <c r="A283" t="s">
        <v>2199</v>
      </c>
      <c r="B283" t="s">
        <v>28</v>
      </c>
      <c r="C283" t="s">
        <v>1725</v>
      </c>
      <c r="D283" t="s">
        <v>1726</v>
      </c>
      <c r="E283" t="s">
        <v>1211</v>
      </c>
      <c r="F283" t="s">
        <v>320</v>
      </c>
      <c r="G283" s="2">
        <v>900000</v>
      </c>
    </row>
    <row r="284" spans="1:7" x14ac:dyDescent="0.25">
      <c r="A284" t="s">
        <v>2199</v>
      </c>
      <c r="B284" t="s">
        <v>28</v>
      </c>
      <c r="C284" t="s">
        <v>1728</v>
      </c>
      <c r="D284" t="s">
        <v>1729</v>
      </c>
      <c r="E284" t="s">
        <v>1211</v>
      </c>
      <c r="F284" t="s">
        <v>320</v>
      </c>
      <c r="G284" s="2">
        <v>1500000</v>
      </c>
    </row>
    <row r="285" spans="1:7" x14ac:dyDescent="0.25">
      <c r="A285" t="s">
        <v>2199</v>
      </c>
      <c r="B285" t="s">
        <v>28</v>
      </c>
      <c r="C285" t="s">
        <v>1731</v>
      </c>
      <c r="D285" t="s">
        <v>1732</v>
      </c>
      <c r="E285" t="s">
        <v>1572</v>
      </c>
      <c r="F285" t="s">
        <v>1573</v>
      </c>
      <c r="G285" s="2">
        <v>726450</v>
      </c>
    </row>
    <row r="286" spans="1:7" x14ac:dyDescent="0.25">
      <c r="A286" t="s">
        <v>2199</v>
      </c>
      <c r="B286" t="s">
        <v>28</v>
      </c>
      <c r="C286" t="s">
        <v>1734</v>
      </c>
      <c r="D286" t="s">
        <v>1736</v>
      </c>
      <c r="E286" t="s">
        <v>624</v>
      </c>
      <c r="F286" t="s">
        <v>625</v>
      </c>
      <c r="G286" s="2">
        <v>5000000</v>
      </c>
    </row>
    <row r="287" spans="1:7" x14ac:dyDescent="0.25">
      <c r="A287" t="s">
        <v>2199</v>
      </c>
      <c r="B287" t="s">
        <v>28</v>
      </c>
      <c r="C287" t="s">
        <v>1738</v>
      </c>
      <c r="D287" t="s">
        <v>1739</v>
      </c>
      <c r="E287" t="s">
        <v>1723</v>
      </c>
      <c r="F287" t="s">
        <v>154</v>
      </c>
      <c r="G287" s="2">
        <v>500000</v>
      </c>
    </row>
    <row r="288" spans="1:7" x14ac:dyDescent="0.25">
      <c r="A288" t="s">
        <v>2199</v>
      </c>
      <c r="B288" t="s">
        <v>28</v>
      </c>
      <c r="C288" t="s">
        <v>1741</v>
      </c>
      <c r="D288" t="s">
        <v>1742</v>
      </c>
      <c r="E288" t="s">
        <v>1744</v>
      </c>
      <c r="F288" t="s">
        <v>1745</v>
      </c>
      <c r="G288" s="2">
        <v>316013</v>
      </c>
    </row>
    <row r="289" spans="1:7" x14ac:dyDescent="0.25">
      <c r="A289" t="s">
        <v>2199</v>
      </c>
      <c r="B289" t="s">
        <v>28</v>
      </c>
      <c r="C289" t="s">
        <v>1748</v>
      </c>
      <c r="D289" t="s">
        <v>1749</v>
      </c>
      <c r="E289" t="s">
        <v>1752</v>
      </c>
      <c r="F289" t="s">
        <v>1753</v>
      </c>
      <c r="G289" s="2">
        <v>10000000</v>
      </c>
    </row>
    <row r="290" spans="1:7" x14ac:dyDescent="0.25">
      <c r="A290" t="s">
        <v>2199</v>
      </c>
      <c r="B290" t="s">
        <v>28</v>
      </c>
      <c r="C290" t="s">
        <v>1756</v>
      </c>
      <c r="D290" t="s">
        <v>1757</v>
      </c>
      <c r="E290" t="s">
        <v>1759</v>
      </c>
      <c r="F290" t="s">
        <v>1760</v>
      </c>
      <c r="G290" s="2">
        <v>15000018</v>
      </c>
    </row>
    <row r="291" spans="1:7" x14ac:dyDescent="0.25">
      <c r="A291" t="s">
        <v>2199</v>
      </c>
      <c r="B291" t="s">
        <v>28</v>
      </c>
      <c r="C291" t="s">
        <v>1763</v>
      </c>
      <c r="D291" t="s">
        <v>1764</v>
      </c>
      <c r="E291" t="s">
        <v>1759</v>
      </c>
      <c r="F291" t="s">
        <v>1760</v>
      </c>
      <c r="G291" s="2">
        <v>30000000</v>
      </c>
    </row>
    <row r="292" spans="1:7" x14ac:dyDescent="0.25">
      <c r="A292" t="s">
        <v>2199</v>
      </c>
      <c r="B292" t="s">
        <v>28</v>
      </c>
      <c r="C292" t="s">
        <v>1767</v>
      </c>
      <c r="D292" t="s">
        <v>1768</v>
      </c>
      <c r="E292" t="s">
        <v>1642</v>
      </c>
      <c r="F292" t="s">
        <v>1643</v>
      </c>
      <c r="G292" s="2">
        <v>280000</v>
      </c>
    </row>
    <row r="293" spans="1:7" x14ac:dyDescent="0.25">
      <c r="A293" t="s">
        <v>2199</v>
      </c>
      <c r="B293" t="s">
        <v>28</v>
      </c>
      <c r="C293" t="s">
        <v>1770</v>
      </c>
      <c r="D293" t="s">
        <v>1771</v>
      </c>
      <c r="E293" t="s">
        <v>1773</v>
      </c>
      <c r="F293" t="s">
        <v>1774</v>
      </c>
      <c r="G293" s="2">
        <v>7000000</v>
      </c>
    </row>
    <row r="294" spans="1:7" x14ac:dyDescent="0.25">
      <c r="A294" t="s">
        <v>2199</v>
      </c>
      <c r="B294" t="s">
        <v>28</v>
      </c>
      <c r="C294" t="s">
        <v>1777</v>
      </c>
      <c r="D294" t="s">
        <v>1778</v>
      </c>
      <c r="E294" t="s">
        <v>1744</v>
      </c>
      <c r="F294" t="s">
        <v>1745</v>
      </c>
      <c r="G294" s="2">
        <v>1200000</v>
      </c>
    </row>
    <row r="295" spans="1:7" x14ac:dyDescent="0.25">
      <c r="A295" t="s">
        <v>2199</v>
      </c>
      <c r="B295" t="s">
        <v>28</v>
      </c>
      <c r="C295" t="s">
        <v>1780</v>
      </c>
      <c r="D295" t="s">
        <v>1781</v>
      </c>
      <c r="E295" t="s">
        <v>1744</v>
      </c>
      <c r="F295" t="s">
        <v>1745</v>
      </c>
      <c r="G295" s="2">
        <v>150100</v>
      </c>
    </row>
    <row r="296" spans="1:7" x14ac:dyDescent="0.25">
      <c r="A296" t="s">
        <v>2199</v>
      </c>
      <c r="B296" t="s">
        <v>28</v>
      </c>
      <c r="C296" t="s">
        <v>1783</v>
      </c>
      <c r="D296" t="s">
        <v>1784</v>
      </c>
      <c r="E296" t="s">
        <v>1773</v>
      </c>
      <c r="F296" t="s">
        <v>1774</v>
      </c>
      <c r="G296" s="2">
        <v>1500000</v>
      </c>
    </row>
    <row r="297" spans="1:7" x14ac:dyDescent="0.25">
      <c r="A297" t="s">
        <v>2199</v>
      </c>
      <c r="B297" t="s">
        <v>28</v>
      </c>
      <c r="C297" t="s">
        <v>1787</v>
      </c>
      <c r="D297" t="s">
        <v>1788</v>
      </c>
      <c r="E297" t="s">
        <v>1642</v>
      </c>
      <c r="F297" t="s">
        <v>1643</v>
      </c>
      <c r="G297" s="2">
        <v>118548</v>
      </c>
    </row>
    <row r="298" spans="1:7" x14ac:dyDescent="0.25">
      <c r="A298" t="s">
        <v>2199</v>
      </c>
      <c r="B298" t="s">
        <v>28</v>
      </c>
      <c r="C298" t="s">
        <v>1790</v>
      </c>
      <c r="D298" t="s">
        <v>1791</v>
      </c>
      <c r="E298" t="s">
        <v>1773</v>
      </c>
      <c r="F298" t="s">
        <v>1774</v>
      </c>
      <c r="G298" s="2">
        <v>1000000</v>
      </c>
    </row>
    <row r="299" spans="1:7" x14ac:dyDescent="0.25">
      <c r="A299" t="s">
        <v>2199</v>
      </c>
      <c r="B299" t="s">
        <v>28</v>
      </c>
      <c r="C299" t="s">
        <v>1793</v>
      </c>
      <c r="D299" t="s">
        <v>1794</v>
      </c>
      <c r="E299" t="s">
        <v>1797</v>
      </c>
      <c r="F299" t="s">
        <v>1798</v>
      </c>
      <c r="G299" s="2">
        <v>110000</v>
      </c>
    </row>
    <row r="300" spans="1:7" x14ac:dyDescent="0.25">
      <c r="A300" t="s">
        <v>2199</v>
      </c>
      <c r="B300" t="s">
        <v>28</v>
      </c>
      <c r="C300" t="s">
        <v>1802</v>
      </c>
      <c r="D300" t="s">
        <v>1803</v>
      </c>
      <c r="E300" t="s">
        <v>1805</v>
      </c>
      <c r="F300" t="s">
        <v>523</v>
      </c>
      <c r="G300" s="2">
        <v>600000</v>
      </c>
    </row>
    <row r="301" spans="1:7" x14ac:dyDescent="0.25">
      <c r="A301" t="s">
        <v>2199</v>
      </c>
      <c r="B301" t="s">
        <v>28</v>
      </c>
      <c r="C301" t="s">
        <v>1807</v>
      </c>
      <c r="D301" t="s">
        <v>1808</v>
      </c>
      <c r="E301" t="s">
        <v>1752</v>
      </c>
      <c r="F301" t="s">
        <v>1753</v>
      </c>
      <c r="G301" s="2">
        <v>10000000</v>
      </c>
    </row>
    <row r="302" spans="1:7" x14ac:dyDescent="0.25">
      <c r="A302" t="s">
        <v>2199</v>
      </c>
      <c r="B302" t="s">
        <v>28</v>
      </c>
      <c r="C302" t="s">
        <v>1811</v>
      </c>
      <c r="D302" t="s">
        <v>1812</v>
      </c>
      <c r="E302" t="s">
        <v>1797</v>
      </c>
      <c r="F302" t="s">
        <v>1798</v>
      </c>
      <c r="G302" s="2">
        <v>500000</v>
      </c>
    </row>
    <row r="303" spans="1:7" x14ac:dyDescent="0.25">
      <c r="A303" t="s">
        <v>2199</v>
      </c>
      <c r="B303" t="s">
        <v>28</v>
      </c>
      <c r="C303" t="s">
        <v>1815</v>
      </c>
      <c r="D303" t="s">
        <v>1816</v>
      </c>
      <c r="E303" t="s">
        <v>1642</v>
      </c>
      <c r="F303" t="s">
        <v>1643</v>
      </c>
      <c r="G303" s="2">
        <v>450008</v>
      </c>
    </row>
    <row r="304" spans="1:7" x14ac:dyDescent="0.25">
      <c r="A304" t="s">
        <v>2199</v>
      </c>
      <c r="B304" t="s">
        <v>28</v>
      </c>
      <c r="C304" t="s">
        <v>1818</v>
      </c>
      <c r="D304" t="s">
        <v>1819</v>
      </c>
      <c r="E304" t="s">
        <v>1723</v>
      </c>
      <c r="F304" t="s">
        <v>154</v>
      </c>
      <c r="G304" s="2">
        <v>700000</v>
      </c>
    </row>
    <row r="305" spans="1:7" x14ac:dyDescent="0.25">
      <c r="A305" t="s">
        <v>2199</v>
      </c>
      <c r="B305" t="s">
        <v>28</v>
      </c>
      <c r="C305" t="s">
        <v>1821</v>
      </c>
      <c r="D305" t="s">
        <v>1822</v>
      </c>
      <c r="E305" t="s">
        <v>1723</v>
      </c>
      <c r="F305" t="s">
        <v>154</v>
      </c>
      <c r="G305" s="2">
        <v>2000160</v>
      </c>
    </row>
    <row r="306" spans="1:7" x14ac:dyDescent="0.25">
      <c r="A306" t="s">
        <v>2199</v>
      </c>
      <c r="B306" t="s">
        <v>28</v>
      </c>
      <c r="C306" t="s">
        <v>1824</v>
      </c>
      <c r="D306" t="s">
        <v>1825</v>
      </c>
      <c r="E306" t="s">
        <v>1805</v>
      </c>
      <c r="F306" t="s">
        <v>523</v>
      </c>
      <c r="G306" s="2">
        <v>420000</v>
      </c>
    </row>
    <row r="307" spans="1:7" x14ac:dyDescent="0.25">
      <c r="A307" t="s">
        <v>2199</v>
      </c>
      <c r="B307" t="s">
        <v>28</v>
      </c>
      <c r="C307" t="s">
        <v>1832</v>
      </c>
      <c r="D307" t="s">
        <v>1833</v>
      </c>
      <c r="E307" t="s">
        <v>1642</v>
      </c>
      <c r="F307" t="s">
        <v>1643</v>
      </c>
      <c r="G307" s="2">
        <v>1000000</v>
      </c>
    </row>
    <row r="308" spans="1:7" x14ac:dyDescent="0.25">
      <c r="A308" t="s">
        <v>2199</v>
      </c>
      <c r="B308" t="s">
        <v>28</v>
      </c>
      <c r="C308" t="s">
        <v>1835</v>
      </c>
      <c r="D308" t="s">
        <v>1836</v>
      </c>
      <c r="E308" t="s">
        <v>1642</v>
      </c>
      <c r="F308" t="s">
        <v>1643</v>
      </c>
      <c r="G308" s="2">
        <v>440040</v>
      </c>
    </row>
    <row r="309" spans="1:7" x14ac:dyDescent="0.25">
      <c r="A309" t="s">
        <v>2199</v>
      </c>
      <c r="B309" t="s">
        <v>28</v>
      </c>
      <c r="C309" t="s">
        <v>1839</v>
      </c>
      <c r="D309" t="s">
        <v>1840</v>
      </c>
      <c r="E309" t="s">
        <v>1572</v>
      </c>
      <c r="F309" t="s">
        <v>1573</v>
      </c>
      <c r="G309" s="2">
        <v>2578000</v>
      </c>
    </row>
    <row r="310" spans="1:7" x14ac:dyDescent="0.25">
      <c r="A310" t="s">
        <v>2199</v>
      </c>
      <c r="B310" t="s">
        <v>28</v>
      </c>
      <c r="C310" t="s">
        <v>1842</v>
      </c>
      <c r="D310" t="s">
        <v>1843</v>
      </c>
      <c r="E310" t="s">
        <v>122</v>
      </c>
      <c r="F310" t="s">
        <v>544</v>
      </c>
      <c r="G310" s="2">
        <v>3000000</v>
      </c>
    </row>
    <row r="311" spans="1:7" x14ac:dyDescent="0.25">
      <c r="A311" t="s">
        <v>2199</v>
      </c>
      <c r="B311" t="s">
        <v>28</v>
      </c>
      <c r="C311" t="s">
        <v>1845</v>
      </c>
      <c r="D311" t="s">
        <v>1846</v>
      </c>
      <c r="E311" t="s">
        <v>1572</v>
      </c>
      <c r="F311" t="s">
        <v>1573</v>
      </c>
      <c r="G311" s="2">
        <v>1428000</v>
      </c>
    </row>
    <row r="312" spans="1:7" x14ac:dyDescent="0.25">
      <c r="A312" t="s">
        <v>2199</v>
      </c>
      <c r="B312" t="s">
        <v>28</v>
      </c>
      <c r="C312" t="s">
        <v>1848</v>
      </c>
      <c r="D312" t="s">
        <v>1849</v>
      </c>
      <c r="E312" t="s">
        <v>414</v>
      </c>
      <c r="F312" t="s">
        <v>1852</v>
      </c>
      <c r="G312" s="2">
        <v>9000000</v>
      </c>
    </row>
    <row r="313" spans="1:7" x14ac:dyDescent="0.25">
      <c r="A313" t="s">
        <v>2199</v>
      </c>
      <c r="B313" t="s">
        <v>28</v>
      </c>
      <c r="C313" t="s">
        <v>1853</v>
      </c>
      <c r="D313" t="s">
        <v>1854</v>
      </c>
      <c r="E313" t="s">
        <v>1445</v>
      </c>
      <c r="F313" t="s">
        <v>1446</v>
      </c>
      <c r="G313" s="2">
        <v>3000000</v>
      </c>
    </row>
    <row r="314" spans="1:7" x14ac:dyDescent="0.25">
      <c r="A314" t="s">
        <v>2199</v>
      </c>
      <c r="B314" t="s">
        <v>28</v>
      </c>
      <c r="C314" t="s">
        <v>1856</v>
      </c>
      <c r="D314" t="s">
        <v>1857</v>
      </c>
      <c r="E314" t="s">
        <v>761</v>
      </c>
      <c r="F314" t="s">
        <v>762</v>
      </c>
      <c r="G314" s="2">
        <v>1250000</v>
      </c>
    </row>
    <row r="315" spans="1:7" x14ac:dyDescent="0.25">
      <c r="A315" t="s">
        <v>2199</v>
      </c>
      <c r="B315" t="s">
        <v>28</v>
      </c>
      <c r="C315" t="s">
        <v>1860</v>
      </c>
      <c r="D315" t="s">
        <v>1861</v>
      </c>
      <c r="E315" t="s">
        <v>1797</v>
      </c>
      <c r="F315" t="s">
        <v>1798</v>
      </c>
      <c r="G315" s="2">
        <v>449086</v>
      </c>
    </row>
    <row r="316" spans="1:7" x14ac:dyDescent="0.25">
      <c r="A316" t="s">
        <v>2199</v>
      </c>
      <c r="B316" t="s">
        <v>28</v>
      </c>
      <c r="C316" t="s">
        <v>1865</v>
      </c>
      <c r="D316" t="s">
        <v>1866</v>
      </c>
      <c r="E316" t="s">
        <v>1868</v>
      </c>
      <c r="F316" t="s">
        <v>1869</v>
      </c>
      <c r="G316" s="2">
        <v>506850</v>
      </c>
    </row>
    <row r="317" spans="1:7" x14ac:dyDescent="0.25">
      <c r="A317" t="s">
        <v>2199</v>
      </c>
      <c r="B317" t="s">
        <v>28</v>
      </c>
      <c r="C317" t="s">
        <v>1872</v>
      </c>
      <c r="D317" t="s">
        <v>1873</v>
      </c>
      <c r="E317" t="s">
        <v>1875</v>
      </c>
      <c r="F317" t="s">
        <v>1876</v>
      </c>
      <c r="G317" s="2">
        <v>505068</v>
      </c>
    </row>
    <row r="318" spans="1:7" x14ac:dyDescent="0.25">
      <c r="A318" t="s">
        <v>2199</v>
      </c>
      <c r="B318" t="s">
        <v>28</v>
      </c>
      <c r="C318" t="s">
        <v>1879</v>
      </c>
      <c r="D318" t="s">
        <v>1880</v>
      </c>
      <c r="E318" t="s">
        <v>768</v>
      </c>
      <c r="F318" t="s">
        <v>966</v>
      </c>
      <c r="G318" s="2">
        <v>12000000</v>
      </c>
    </row>
    <row r="319" spans="1:7" x14ac:dyDescent="0.25">
      <c r="A319" t="s">
        <v>2199</v>
      </c>
      <c r="B319" t="s">
        <v>28</v>
      </c>
      <c r="C319" t="s">
        <v>1883</v>
      </c>
      <c r="D319" t="s">
        <v>1884</v>
      </c>
      <c r="E319" t="s">
        <v>1759</v>
      </c>
      <c r="F319" t="s">
        <v>1760</v>
      </c>
      <c r="G319" s="2">
        <v>3550000</v>
      </c>
    </row>
    <row r="320" spans="1:7" x14ac:dyDescent="0.25">
      <c r="A320" t="s">
        <v>2199</v>
      </c>
      <c r="B320" t="s">
        <v>28</v>
      </c>
      <c r="C320" t="s">
        <v>1890</v>
      </c>
      <c r="D320" t="s">
        <v>1891</v>
      </c>
      <c r="E320" t="s">
        <v>1893</v>
      </c>
      <c r="F320" t="s">
        <v>1894</v>
      </c>
      <c r="G320" s="2">
        <v>70000</v>
      </c>
    </row>
    <row r="321" spans="1:7" x14ac:dyDescent="0.25">
      <c r="A321" t="s">
        <v>2199</v>
      </c>
      <c r="B321" t="s">
        <v>28</v>
      </c>
      <c r="C321" t="s">
        <v>1897</v>
      </c>
      <c r="D321" t="s">
        <v>1898</v>
      </c>
      <c r="E321" t="s">
        <v>1797</v>
      </c>
      <c r="F321" t="s">
        <v>1798</v>
      </c>
      <c r="G321" s="2">
        <v>335000</v>
      </c>
    </row>
    <row r="322" spans="1:7" x14ac:dyDescent="0.25">
      <c r="A322" t="s">
        <v>2199</v>
      </c>
      <c r="B322" t="s">
        <v>28</v>
      </c>
      <c r="C322" t="s">
        <v>1901</v>
      </c>
      <c r="D322" t="s">
        <v>1903</v>
      </c>
      <c r="E322" t="s">
        <v>761</v>
      </c>
      <c r="F322" t="s">
        <v>762</v>
      </c>
      <c r="G322" s="2">
        <v>6517038</v>
      </c>
    </row>
    <row r="323" spans="1:7" x14ac:dyDescent="0.25">
      <c r="A323" t="s">
        <v>2199</v>
      </c>
      <c r="B323" t="s">
        <v>28</v>
      </c>
      <c r="C323" t="s">
        <v>1908</v>
      </c>
      <c r="D323" t="s">
        <v>1909</v>
      </c>
      <c r="E323" t="s">
        <v>1797</v>
      </c>
      <c r="F323" t="s">
        <v>1798</v>
      </c>
      <c r="G323" s="2">
        <v>170000</v>
      </c>
    </row>
    <row r="324" spans="1:7" x14ac:dyDescent="0.25">
      <c r="A324" t="s">
        <v>2199</v>
      </c>
      <c r="B324" t="s">
        <v>28</v>
      </c>
      <c r="C324" t="s">
        <v>1911</v>
      </c>
      <c r="D324" t="s">
        <v>1912</v>
      </c>
      <c r="E324" t="s">
        <v>1893</v>
      </c>
      <c r="F324" t="s">
        <v>1894</v>
      </c>
      <c r="G324" s="2">
        <v>100000</v>
      </c>
    </row>
    <row r="325" spans="1:7" x14ac:dyDescent="0.25">
      <c r="A325" t="s">
        <v>2199</v>
      </c>
      <c r="B325" t="s">
        <v>28</v>
      </c>
      <c r="C325" t="s">
        <v>1914</v>
      </c>
      <c r="D325" t="s">
        <v>1916</v>
      </c>
      <c r="E325" t="s">
        <v>1445</v>
      </c>
      <c r="F325" t="s">
        <v>1446</v>
      </c>
      <c r="G325" s="2">
        <v>220000</v>
      </c>
    </row>
    <row r="326" spans="1:7" x14ac:dyDescent="0.25">
      <c r="A326" t="s">
        <v>2199</v>
      </c>
      <c r="B326" t="s">
        <v>28</v>
      </c>
      <c r="C326" t="s">
        <v>1921</v>
      </c>
      <c r="D326" t="s">
        <v>1922</v>
      </c>
      <c r="E326" t="s">
        <v>1924</v>
      </c>
      <c r="F326" t="s">
        <v>1869</v>
      </c>
      <c r="G326" s="2">
        <v>511508</v>
      </c>
    </row>
    <row r="327" spans="1:7" x14ac:dyDescent="0.25">
      <c r="A327" t="s">
        <v>2199</v>
      </c>
      <c r="B327" t="s">
        <v>28</v>
      </c>
      <c r="C327" t="s">
        <v>1927</v>
      </c>
      <c r="D327" t="s">
        <v>1928</v>
      </c>
      <c r="E327" t="s">
        <v>1931</v>
      </c>
      <c r="F327" t="s">
        <v>1932</v>
      </c>
      <c r="G327" s="2">
        <v>207808160</v>
      </c>
    </row>
    <row r="328" spans="1:7" x14ac:dyDescent="0.25">
      <c r="A328" t="s">
        <v>2199</v>
      </c>
      <c r="B328" t="s">
        <v>28</v>
      </c>
      <c r="C328" t="s">
        <v>1942</v>
      </c>
      <c r="D328" t="s">
        <v>1943</v>
      </c>
      <c r="E328" t="s">
        <v>761</v>
      </c>
      <c r="F328" t="s">
        <v>762</v>
      </c>
      <c r="G328" s="2">
        <v>1793388</v>
      </c>
    </row>
    <row r="329" spans="1:7" x14ac:dyDescent="0.25">
      <c r="A329" t="s">
        <v>2199</v>
      </c>
      <c r="B329" t="s">
        <v>28</v>
      </c>
      <c r="C329" t="s">
        <v>1948</v>
      </c>
      <c r="D329" t="s">
        <v>1949</v>
      </c>
      <c r="E329" t="s">
        <v>414</v>
      </c>
      <c r="F329" t="s">
        <v>1852</v>
      </c>
      <c r="G329" s="2">
        <v>10002100</v>
      </c>
    </row>
    <row r="330" spans="1:7" x14ac:dyDescent="0.25">
      <c r="A330" t="s">
        <v>2199</v>
      </c>
      <c r="B330" t="s">
        <v>28</v>
      </c>
      <c r="C330" t="s">
        <v>1951</v>
      </c>
      <c r="D330" t="s">
        <v>1952</v>
      </c>
      <c r="E330" t="s">
        <v>761</v>
      </c>
      <c r="F330" t="s">
        <v>762</v>
      </c>
      <c r="G330" s="2">
        <v>1149277</v>
      </c>
    </row>
    <row r="331" spans="1:7" x14ac:dyDescent="0.25">
      <c r="A331" t="s">
        <v>2199</v>
      </c>
      <c r="B331" t="s">
        <v>28</v>
      </c>
      <c r="C331" t="s">
        <v>1955</v>
      </c>
      <c r="D331" t="s">
        <v>1956</v>
      </c>
      <c r="E331" t="s">
        <v>414</v>
      </c>
      <c r="F331" t="s">
        <v>1852</v>
      </c>
      <c r="G331" s="2">
        <v>5560000</v>
      </c>
    </row>
    <row r="332" spans="1:7" x14ac:dyDescent="0.25">
      <c r="A332" t="s">
        <v>2199</v>
      </c>
      <c r="B332" t="s">
        <v>28</v>
      </c>
      <c r="C332" t="s">
        <v>1960</v>
      </c>
      <c r="D332" t="s">
        <v>1961</v>
      </c>
      <c r="E332" t="s">
        <v>1963</v>
      </c>
      <c r="F332" t="s">
        <v>1964</v>
      </c>
      <c r="G332" s="2">
        <v>920000</v>
      </c>
    </row>
    <row r="333" spans="1:7" x14ac:dyDescent="0.25">
      <c r="A333" t="s">
        <v>2199</v>
      </c>
      <c r="B333" t="s">
        <v>28</v>
      </c>
      <c r="C333" t="s">
        <v>1976</v>
      </c>
      <c r="D333" t="s">
        <v>1977</v>
      </c>
      <c r="E333" t="s">
        <v>1660</v>
      </c>
      <c r="F333" t="s">
        <v>1980</v>
      </c>
      <c r="G333" s="2">
        <v>15984280</v>
      </c>
    </row>
    <row r="334" spans="1:7" x14ac:dyDescent="0.25">
      <c r="A334" t="s">
        <v>2199</v>
      </c>
      <c r="B334" t="s">
        <v>28</v>
      </c>
      <c r="C334" t="s">
        <v>1981</v>
      </c>
      <c r="D334" t="s">
        <v>1982</v>
      </c>
      <c r="E334" t="s">
        <v>1985</v>
      </c>
      <c r="F334" t="s">
        <v>1986</v>
      </c>
      <c r="G334" s="2">
        <v>901000</v>
      </c>
    </row>
    <row r="335" spans="1:7" x14ac:dyDescent="0.25">
      <c r="A335" t="s">
        <v>2199</v>
      </c>
      <c r="B335" t="s">
        <v>28</v>
      </c>
      <c r="C335" t="s">
        <v>1990</v>
      </c>
      <c r="D335" t="s">
        <v>1991</v>
      </c>
      <c r="E335" t="s">
        <v>414</v>
      </c>
      <c r="F335" t="s">
        <v>1852</v>
      </c>
      <c r="G335" s="2">
        <v>3500000</v>
      </c>
    </row>
    <row r="336" spans="1:7" x14ac:dyDescent="0.25">
      <c r="A336" t="s">
        <v>2199</v>
      </c>
      <c r="B336" t="s">
        <v>28</v>
      </c>
      <c r="C336" t="s">
        <v>1993</v>
      </c>
      <c r="D336" t="s">
        <v>1994</v>
      </c>
      <c r="E336" t="s">
        <v>414</v>
      </c>
      <c r="F336" t="s">
        <v>1996</v>
      </c>
      <c r="G336" s="2">
        <v>15135390</v>
      </c>
    </row>
    <row r="337" spans="1:7" x14ac:dyDescent="0.25">
      <c r="A337" t="s">
        <v>2199</v>
      </c>
      <c r="B337" t="s">
        <v>28</v>
      </c>
      <c r="C337" t="s">
        <v>1997</v>
      </c>
      <c r="D337" t="s">
        <v>1998</v>
      </c>
      <c r="E337" t="s">
        <v>1985</v>
      </c>
      <c r="F337" t="s">
        <v>1986</v>
      </c>
      <c r="G337" s="2">
        <v>1200000</v>
      </c>
    </row>
    <row r="338" spans="1:7" x14ac:dyDescent="0.25">
      <c r="A338" t="s">
        <v>2199</v>
      </c>
      <c r="B338" t="s">
        <v>28</v>
      </c>
      <c r="C338" t="s">
        <v>2000</v>
      </c>
      <c r="D338" t="s">
        <v>2001</v>
      </c>
      <c r="E338" t="s">
        <v>1985</v>
      </c>
      <c r="F338" t="s">
        <v>1986</v>
      </c>
      <c r="G338" s="2">
        <v>20000000</v>
      </c>
    </row>
    <row r="339" spans="1:7" x14ac:dyDescent="0.25">
      <c r="A339" t="s">
        <v>2199</v>
      </c>
      <c r="B339" t="s">
        <v>28</v>
      </c>
      <c r="C339" t="s">
        <v>2005</v>
      </c>
      <c r="D339" t="s">
        <v>2006</v>
      </c>
      <c r="E339" t="s">
        <v>1469</v>
      </c>
      <c r="F339" t="s">
        <v>2008</v>
      </c>
      <c r="G339" s="2">
        <v>911311</v>
      </c>
    </row>
    <row r="340" spans="1:7" x14ac:dyDescent="0.25">
      <c r="A340" t="s">
        <v>2199</v>
      </c>
      <c r="B340" t="s">
        <v>28</v>
      </c>
      <c r="C340" t="s">
        <v>2011</v>
      </c>
      <c r="D340" t="s">
        <v>2012</v>
      </c>
      <c r="E340" t="s">
        <v>1985</v>
      </c>
      <c r="F340" t="s">
        <v>1986</v>
      </c>
      <c r="G340" s="2">
        <v>50008000</v>
      </c>
    </row>
    <row r="341" spans="1:7" x14ac:dyDescent="0.25">
      <c r="A341" t="s">
        <v>2199</v>
      </c>
      <c r="B341" t="s">
        <v>28</v>
      </c>
      <c r="C341" t="s">
        <v>2016</v>
      </c>
      <c r="D341" t="s">
        <v>2017</v>
      </c>
      <c r="E341" t="s">
        <v>1963</v>
      </c>
      <c r="F341" t="s">
        <v>1964</v>
      </c>
      <c r="G341" s="2">
        <v>230032</v>
      </c>
    </row>
    <row r="342" spans="1:7" x14ac:dyDescent="0.25">
      <c r="A342" t="s">
        <v>2199</v>
      </c>
      <c r="B342" t="s">
        <v>28</v>
      </c>
      <c r="C342" t="s">
        <v>2020</v>
      </c>
      <c r="D342" t="s">
        <v>2021</v>
      </c>
      <c r="E342" t="s">
        <v>1985</v>
      </c>
      <c r="F342" t="s">
        <v>1986</v>
      </c>
      <c r="G342" s="2">
        <v>700005</v>
      </c>
    </row>
    <row r="343" spans="1:7" x14ac:dyDescent="0.25">
      <c r="A343" t="s">
        <v>2199</v>
      </c>
      <c r="B343" t="s">
        <v>28</v>
      </c>
      <c r="C343" t="s">
        <v>2024</v>
      </c>
      <c r="D343" t="s">
        <v>2025</v>
      </c>
      <c r="E343" t="s">
        <v>1985</v>
      </c>
      <c r="F343" t="s">
        <v>1986</v>
      </c>
      <c r="G343" s="2">
        <v>10000000</v>
      </c>
    </row>
    <row r="344" spans="1:7" x14ac:dyDescent="0.25">
      <c r="A344" t="s">
        <v>2199</v>
      </c>
      <c r="B344" t="s">
        <v>28</v>
      </c>
      <c r="C344" t="s">
        <v>2041</v>
      </c>
      <c r="D344" t="s">
        <v>2042</v>
      </c>
      <c r="E344" t="s">
        <v>657</v>
      </c>
      <c r="F344" t="s">
        <v>658</v>
      </c>
      <c r="G344" s="2">
        <v>2638010</v>
      </c>
    </row>
    <row r="345" spans="1:7" x14ac:dyDescent="0.25">
      <c r="A345" t="s">
        <v>2199</v>
      </c>
      <c r="B345" t="s">
        <v>28</v>
      </c>
      <c r="C345" t="s">
        <v>2047</v>
      </c>
      <c r="D345" t="s">
        <v>2048</v>
      </c>
      <c r="E345" t="s">
        <v>2051</v>
      </c>
      <c r="F345" t="s">
        <v>2052</v>
      </c>
      <c r="G345" s="2">
        <v>1248835</v>
      </c>
    </row>
    <row r="346" spans="1:7" x14ac:dyDescent="0.25">
      <c r="A346" t="s">
        <v>2199</v>
      </c>
      <c r="B346" t="s">
        <v>28</v>
      </c>
      <c r="C346" t="s">
        <v>2056</v>
      </c>
      <c r="D346" t="s">
        <v>2057</v>
      </c>
      <c r="E346" t="s">
        <v>1642</v>
      </c>
      <c r="F346" t="s">
        <v>1643</v>
      </c>
      <c r="G346" s="2">
        <v>883038</v>
      </c>
    </row>
    <row r="347" spans="1:7" x14ac:dyDescent="0.25">
      <c r="A347" t="s">
        <v>2199</v>
      </c>
      <c r="B347" t="s">
        <v>28</v>
      </c>
      <c r="C347" t="s">
        <v>2067</v>
      </c>
      <c r="D347" t="s">
        <v>2068</v>
      </c>
      <c r="E347" t="s">
        <v>590</v>
      </c>
      <c r="F347" t="s">
        <v>591</v>
      </c>
      <c r="G347" s="2">
        <v>490280</v>
      </c>
    </row>
    <row r="348" spans="1:7" x14ac:dyDescent="0.25">
      <c r="A348" t="s">
        <v>2199</v>
      </c>
      <c r="B348" t="s">
        <v>28</v>
      </c>
      <c r="C348" t="s">
        <v>2070</v>
      </c>
      <c r="D348" t="s">
        <v>2071</v>
      </c>
      <c r="E348" t="s">
        <v>1642</v>
      </c>
      <c r="F348" t="s">
        <v>1643</v>
      </c>
      <c r="G348" s="2">
        <v>70000</v>
      </c>
    </row>
    <row r="349" spans="1:7" x14ac:dyDescent="0.25">
      <c r="A349" t="s">
        <v>2199</v>
      </c>
      <c r="B349" t="s">
        <v>28</v>
      </c>
      <c r="C349" t="s">
        <v>2074</v>
      </c>
      <c r="D349" t="s">
        <v>788</v>
      </c>
      <c r="E349" t="s">
        <v>2076</v>
      </c>
      <c r="F349" t="s">
        <v>2077</v>
      </c>
      <c r="G349" s="2">
        <v>2473910</v>
      </c>
    </row>
    <row r="350" spans="1:7" x14ac:dyDescent="0.25">
      <c r="A350" t="s">
        <v>2199</v>
      </c>
      <c r="B350" t="s">
        <v>28</v>
      </c>
      <c r="C350" t="s">
        <v>2083</v>
      </c>
      <c r="D350" t="s">
        <v>1916</v>
      </c>
      <c r="E350" t="s">
        <v>1445</v>
      </c>
      <c r="F350" t="s">
        <v>1446</v>
      </c>
      <c r="G350" s="2">
        <v>200000</v>
      </c>
    </row>
    <row r="351" spans="1:7" x14ac:dyDescent="0.25">
      <c r="A351" t="s">
        <v>2199</v>
      </c>
      <c r="B351" t="s">
        <v>28</v>
      </c>
      <c r="C351" t="s">
        <v>2089</v>
      </c>
      <c r="D351" t="s">
        <v>2090</v>
      </c>
      <c r="E351" t="s">
        <v>761</v>
      </c>
      <c r="F351" t="s">
        <v>762</v>
      </c>
      <c r="G351" s="2">
        <v>3287930</v>
      </c>
    </row>
    <row r="352" spans="1:7" x14ac:dyDescent="0.25">
      <c r="A352" t="s">
        <v>2199</v>
      </c>
      <c r="B352" t="s">
        <v>28</v>
      </c>
      <c r="C352" t="s">
        <v>2097</v>
      </c>
      <c r="D352" t="s">
        <v>2098</v>
      </c>
      <c r="E352" t="s">
        <v>590</v>
      </c>
      <c r="F352" t="s">
        <v>591</v>
      </c>
      <c r="G352" s="2">
        <v>2173106</v>
      </c>
    </row>
    <row r="353" spans="1:7" x14ac:dyDescent="0.25">
      <c r="A353" t="s">
        <v>2199</v>
      </c>
      <c r="B353" t="s">
        <v>28</v>
      </c>
      <c r="C353" t="s">
        <v>2107</v>
      </c>
      <c r="D353" t="s">
        <v>2108</v>
      </c>
      <c r="E353" t="s">
        <v>761</v>
      </c>
      <c r="F353" t="s">
        <v>762</v>
      </c>
      <c r="G353" s="2">
        <v>2525004</v>
      </c>
    </row>
    <row r="354" spans="1:7" x14ac:dyDescent="0.25">
      <c r="A354" t="s">
        <v>2199</v>
      </c>
      <c r="B354" t="s">
        <v>28</v>
      </c>
      <c r="C354" t="s">
        <v>2115</v>
      </c>
      <c r="D354" t="s">
        <v>2116</v>
      </c>
      <c r="E354" t="s">
        <v>761</v>
      </c>
      <c r="F354" t="s">
        <v>762</v>
      </c>
      <c r="G354" s="2">
        <v>2225980</v>
      </c>
    </row>
    <row r="355" spans="1:7" x14ac:dyDescent="0.25">
      <c r="A355" t="s">
        <v>2199</v>
      </c>
      <c r="B355" t="s">
        <v>28</v>
      </c>
      <c r="C355" t="s">
        <v>2121</v>
      </c>
      <c r="D355" t="s">
        <v>2122</v>
      </c>
      <c r="E355" t="s">
        <v>2124</v>
      </c>
      <c r="F355" t="s">
        <v>1217</v>
      </c>
      <c r="G355" s="2">
        <v>29029170</v>
      </c>
    </row>
    <row r="356" spans="1:7" x14ac:dyDescent="0.25">
      <c r="A356" t="s">
        <v>2199</v>
      </c>
      <c r="B356" t="s">
        <v>28</v>
      </c>
      <c r="C356" t="s">
        <v>2144</v>
      </c>
      <c r="D356" t="s">
        <v>2145</v>
      </c>
      <c r="E356" t="s">
        <v>64</v>
      </c>
      <c r="F356" t="s">
        <v>65</v>
      </c>
      <c r="G356" s="2">
        <v>1953508</v>
      </c>
    </row>
    <row r="357" spans="1:7" x14ac:dyDescent="0.25">
      <c r="A357" t="s">
        <v>2199</v>
      </c>
      <c r="B357" t="s">
        <v>28</v>
      </c>
      <c r="C357" t="s">
        <v>2149</v>
      </c>
      <c r="D357" t="s">
        <v>2150</v>
      </c>
      <c r="E357" t="s">
        <v>2152</v>
      </c>
      <c r="F357" t="s">
        <v>2153</v>
      </c>
      <c r="G357" s="2">
        <v>6587696</v>
      </c>
    </row>
    <row r="358" spans="1:7" x14ac:dyDescent="0.25">
      <c r="A358" t="s">
        <v>2199</v>
      </c>
      <c r="B358" t="s">
        <v>28</v>
      </c>
      <c r="C358" t="s">
        <v>2156</v>
      </c>
      <c r="D358" t="s">
        <v>2157</v>
      </c>
      <c r="E358" t="s">
        <v>395</v>
      </c>
      <c r="F358" t="s">
        <v>1217</v>
      </c>
      <c r="G358" s="2">
        <v>821208</v>
      </c>
    </row>
    <row r="359" spans="1:7" x14ac:dyDescent="0.25">
      <c r="A359" t="s">
        <v>2199</v>
      </c>
      <c r="B359" t="s">
        <v>28</v>
      </c>
      <c r="C359" t="s">
        <v>2166</v>
      </c>
      <c r="D359" t="s">
        <v>2167</v>
      </c>
      <c r="E359" t="s">
        <v>64</v>
      </c>
      <c r="F359" t="s">
        <v>65</v>
      </c>
      <c r="G359" s="2">
        <v>395496</v>
      </c>
    </row>
    <row r="360" spans="1:7" x14ac:dyDescent="0.25">
      <c r="A360" t="s">
        <v>2199</v>
      </c>
      <c r="B360" t="s">
        <v>28</v>
      </c>
      <c r="C360" t="s">
        <v>2169</v>
      </c>
      <c r="D360" t="s">
        <v>2170</v>
      </c>
      <c r="E360" t="s">
        <v>2171</v>
      </c>
      <c r="F360" t="s">
        <v>2172</v>
      </c>
      <c r="G360" s="2">
        <v>1527348</v>
      </c>
    </row>
    <row r="361" spans="1:7" x14ac:dyDescent="0.25">
      <c r="A361" t="s">
        <v>2199</v>
      </c>
      <c r="B361" t="s">
        <v>28</v>
      </c>
      <c r="C361" t="s">
        <v>2174</v>
      </c>
      <c r="D361" t="s">
        <v>2175</v>
      </c>
      <c r="E361" t="s">
        <v>1893</v>
      </c>
      <c r="F361" t="s">
        <v>2177</v>
      </c>
      <c r="G361" s="2">
        <v>489000</v>
      </c>
    </row>
    <row r="362" spans="1:7" x14ac:dyDescent="0.25">
      <c r="A362" t="s">
        <v>2199</v>
      </c>
      <c r="B362" t="s">
        <v>28</v>
      </c>
      <c r="C362" t="s">
        <v>2178</v>
      </c>
      <c r="D362" t="s">
        <v>2179</v>
      </c>
      <c r="E362" t="s">
        <v>950</v>
      </c>
      <c r="F362" t="s">
        <v>951</v>
      </c>
      <c r="G362" s="2">
        <v>57500000</v>
      </c>
    </row>
    <row r="363" spans="1:7" x14ac:dyDescent="0.25">
      <c r="A363" t="s">
        <v>2199</v>
      </c>
      <c r="B363" t="s">
        <v>28</v>
      </c>
      <c r="C363" t="s">
        <v>2183</v>
      </c>
      <c r="D363" t="s">
        <v>2184</v>
      </c>
      <c r="E363" t="s">
        <v>761</v>
      </c>
      <c r="F363" t="s">
        <v>762</v>
      </c>
      <c r="G363" s="2">
        <v>11310771</v>
      </c>
    </row>
    <row r="364" spans="1:7" x14ac:dyDescent="0.25">
      <c r="A364" t="s">
        <v>2199</v>
      </c>
      <c r="B364" t="s">
        <v>567</v>
      </c>
      <c r="C364" t="s">
        <v>568</v>
      </c>
      <c r="D364" t="s">
        <v>570</v>
      </c>
      <c r="E364" t="s">
        <v>573</v>
      </c>
      <c r="F364" t="s">
        <v>574</v>
      </c>
      <c r="G364" s="2">
        <v>156000000</v>
      </c>
    </row>
    <row r="365" spans="1:7" x14ac:dyDescent="0.25">
      <c r="A365" t="s">
        <v>2199</v>
      </c>
      <c r="B365" t="s">
        <v>594</v>
      </c>
      <c r="C365" t="s">
        <v>1280</v>
      </c>
      <c r="D365" t="s">
        <v>1281</v>
      </c>
      <c r="E365" t="s">
        <v>624</v>
      </c>
      <c r="F365" t="s">
        <v>625</v>
      </c>
      <c r="G365" s="2">
        <v>25000000</v>
      </c>
    </row>
    <row r="366" spans="1:7" x14ac:dyDescent="0.25">
      <c r="A366" t="s">
        <v>2199</v>
      </c>
      <c r="B366" t="s">
        <v>594</v>
      </c>
      <c r="C366" t="s">
        <v>1283</v>
      </c>
      <c r="D366" t="s">
        <v>1284</v>
      </c>
      <c r="E366" t="s">
        <v>624</v>
      </c>
      <c r="F366" t="s">
        <v>625</v>
      </c>
      <c r="G366" s="2">
        <v>37000000</v>
      </c>
    </row>
    <row r="367" spans="1:7" x14ac:dyDescent="0.25">
      <c r="A367" t="s">
        <v>2199</v>
      </c>
      <c r="B367" t="s">
        <v>594</v>
      </c>
      <c r="C367" t="s">
        <v>1286</v>
      </c>
      <c r="D367" t="s">
        <v>1287</v>
      </c>
      <c r="E367" t="s">
        <v>624</v>
      </c>
      <c r="F367" t="s">
        <v>625</v>
      </c>
      <c r="G367" s="2">
        <v>60000000</v>
      </c>
    </row>
    <row r="368" spans="1:7" x14ac:dyDescent="0.25">
      <c r="A368" t="s">
        <v>2199</v>
      </c>
      <c r="B368" t="s">
        <v>594</v>
      </c>
      <c r="C368" t="s">
        <v>1355</v>
      </c>
      <c r="D368" t="s">
        <v>1356</v>
      </c>
      <c r="E368" t="s">
        <v>1299</v>
      </c>
      <c r="F368" t="s">
        <v>1300</v>
      </c>
      <c r="G368" s="2">
        <v>17187000</v>
      </c>
    </row>
    <row r="369" spans="1:7" x14ac:dyDescent="0.25">
      <c r="A369" t="s">
        <v>2199</v>
      </c>
      <c r="B369" t="s">
        <v>594</v>
      </c>
      <c r="C369" t="s">
        <v>1357</v>
      </c>
      <c r="D369" t="s">
        <v>1358</v>
      </c>
      <c r="E369" t="s">
        <v>1299</v>
      </c>
      <c r="F369" t="s">
        <v>1300</v>
      </c>
      <c r="G369" s="2">
        <v>293779000</v>
      </c>
    </row>
    <row r="370" spans="1:7" x14ac:dyDescent="0.25">
      <c r="A370" t="s">
        <v>2199</v>
      </c>
      <c r="B370" t="s">
        <v>594</v>
      </c>
      <c r="C370" t="s">
        <v>1360</v>
      </c>
      <c r="D370" t="s">
        <v>1361</v>
      </c>
      <c r="E370" t="s">
        <v>624</v>
      </c>
      <c r="F370" t="s">
        <v>625</v>
      </c>
      <c r="G370" s="2">
        <v>37000000</v>
      </c>
    </row>
    <row r="371" spans="1:7" x14ac:dyDescent="0.25">
      <c r="A371" t="s">
        <v>2199</v>
      </c>
      <c r="B371" t="s">
        <v>594</v>
      </c>
      <c r="C371" t="s">
        <v>1363</v>
      </c>
      <c r="D371" t="s">
        <v>1364</v>
      </c>
      <c r="E371" t="s">
        <v>1299</v>
      </c>
      <c r="F371" t="s">
        <v>1300</v>
      </c>
      <c r="G371" s="2">
        <v>102410000</v>
      </c>
    </row>
    <row r="372" spans="1:7" x14ac:dyDescent="0.25">
      <c r="A372" t="s">
        <v>2199</v>
      </c>
      <c r="B372" t="s">
        <v>594</v>
      </c>
      <c r="C372" t="s">
        <v>1366</v>
      </c>
      <c r="D372" t="s">
        <v>1367</v>
      </c>
      <c r="E372" t="s">
        <v>624</v>
      </c>
      <c r="F372" t="s">
        <v>625</v>
      </c>
      <c r="G372" s="2">
        <v>103000000</v>
      </c>
    </row>
    <row r="373" spans="1:7" x14ac:dyDescent="0.25">
      <c r="A373" t="s">
        <v>2199</v>
      </c>
      <c r="B373" t="s">
        <v>594</v>
      </c>
      <c r="C373" t="s">
        <v>1382</v>
      </c>
      <c r="D373" t="s">
        <v>1383</v>
      </c>
      <c r="E373" t="s">
        <v>1299</v>
      </c>
      <c r="F373" t="s">
        <v>1300</v>
      </c>
      <c r="G373" s="2">
        <v>6442000</v>
      </c>
    </row>
    <row r="374" spans="1:7" x14ac:dyDescent="0.25">
      <c r="A374" t="s">
        <v>2199</v>
      </c>
      <c r="B374" t="s">
        <v>594</v>
      </c>
      <c r="C374" t="s">
        <v>1401</v>
      </c>
      <c r="D374" t="s">
        <v>1402</v>
      </c>
      <c r="E374" t="s">
        <v>1299</v>
      </c>
      <c r="F374" t="s">
        <v>1300</v>
      </c>
      <c r="G374" s="2">
        <v>356525000</v>
      </c>
    </row>
    <row r="375" spans="1:7" x14ac:dyDescent="0.25">
      <c r="A375" t="s">
        <v>2199</v>
      </c>
      <c r="B375" t="s">
        <v>594</v>
      </c>
      <c r="C375" t="s">
        <v>1827</v>
      </c>
      <c r="D375" t="s">
        <v>1828</v>
      </c>
      <c r="E375" t="s">
        <v>1723</v>
      </c>
      <c r="F375" t="s">
        <v>1831</v>
      </c>
      <c r="G375" s="2">
        <v>7200000</v>
      </c>
    </row>
    <row r="376" spans="1:7" x14ac:dyDescent="0.25">
      <c r="A376" t="s">
        <v>2199</v>
      </c>
      <c r="B376" t="s">
        <v>594</v>
      </c>
      <c r="C376" t="s">
        <v>595</v>
      </c>
      <c r="D376" t="s">
        <v>597</v>
      </c>
      <c r="E376" t="s">
        <v>590</v>
      </c>
      <c r="F376" t="s">
        <v>591</v>
      </c>
      <c r="G376" s="2">
        <v>278615006</v>
      </c>
    </row>
    <row r="377" spans="1:7" x14ac:dyDescent="0.25">
      <c r="A377" t="s">
        <v>2199</v>
      </c>
      <c r="B377" t="s">
        <v>594</v>
      </c>
      <c r="C377" t="s">
        <v>803</v>
      </c>
      <c r="D377" t="s">
        <v>805</v>
      </c>
      <c r="E377" t="s">
        <v>624</v>
      </c>
      <c r="F377" t="s">
        <v>625</v>
      </c>
      <c r="G377" s="2">
        <v>37000000</v>
      </c>
    </row>
    <row r="378" spans="1:7" x14ac:dyDescent="0.25">
      <c r="A378" t="s">
        <v>2199</v>
      </c>
      <c r="B378" t="s">
        <v>594</v>
      </c>
      <c r="C378" t="s">
        <v>808</v>
      </c>
      <c r="D378" t="s">
        <v>809</v>
      </c>
      <c r="E378" t="s">
        <v>624</v>
      </c>
      <c r="F378" t="s">
        <v>625</v>
      </c>
      <c r="G378" s="2">
        <v>37000000</v>
      </c>
    </row>
    <row r="379" spans="1:7" x14ac:dyDescent="0.25">
      <c r="A379" t="s">
        <v>2199</v>
      </c>
      <c r="B379" t="s">
        <v>594</v>
      </c>
      <c r="C379" t="s">
        <v>1196</v>
      </c>
      <c r="D379" t="s">
        <v>1197</v>
      </c>
      <c r="E379" t="s">
        <v>1200</v>
      </c>
      <c r="F379" t="s">
        <v>514</v>
      </c>
      <c r="G379" s="2">
        <v>3430002</v>
      </c>
    </row>
    <row r="380" spans="1:7" x14ac:dyDescent="0.25">
      <c r="A380" t="s">
        <v>2199</v>
      </c>
      <c r="B380" t="s">
        <v>594</v>
      </c>
      <c r="C380" t="s">
        <v>1204</v>
      </c>
      <c r="D380" t="s">
        <v>1205</v>
      </c>
      <c r="E380" t="s">
        <v>624</v>
      </c>
      <c r="F380" t="s">
        <v>625</v>
      </c>
      <c r="G380" s="2">
        <v>37000000</v>
      </c>
    </row>
    <row r="381" spans="1:7" x14ac:dyDescent="0.25">
      <c r="A381" t="s">
        <v>2199</v>
      </c>
      <c r="B381" t="s">
        <v>1304</v>
      </c>
      <c r="C381" t="s">
        <v>1339</v>
      </c>
      <c r="D381" t="s">
        <v>1340</v>
      </c>
      <c r="E381" t="s">
        <v>1342</v>
      </c>
      <c r="F381" t="s">
        <v>1343</v>
      </c>
      <c r="G381" s="2">
        <v>525000</v>
      </c>
    </row>
    <row r="382" spans="1:7" x14ac:dyDescent="0.25">
      <c r="A382" t="s">
        <v>2199</v>
      </c>
      <c r="B382" t="s">
        <v>1304</v>
      </c>
      <c r="C382" t="s">
        <v>1371</v>
      </c>
      <c r="D382" t="s">
        <v>1373</v>
      </c>
      <c r="E382" t="s">
        <v>1200</v>
      </c>
      <c r="F382" t="s">
        <v>514</v>
      </c>
      <c r="G382" s="2">
        <v>1058222000</v>
      </c>
    </row>
    <row r="383" spans="1:7" x14ac:dyDescent="0.25">
      <c r="A383" t="s">
        <v>2199</v>
      </c>
      <c r="B383" t="s">
        <v>1304</v>
      </c>
      <c r="C383" t="s">
        <v>1376</v>
      </c>
      <c r="D383" t="s">
        <v>1377</v>
      </c>
      <c r="E383" t="s">
        <v>1200</v>
      </c>
      <c r="F383" t="s">
        <v>514</v>
      </c>
      <c r="G383" s="2">
        <v>916961000</v>
      </c>
    </row>
    <row r="384" spans="1:7" x14ac:dyDescent="0.25">
      <c r="A384" t="s">
        <v>2199</v>
      </c>
      <c r="B384" t="s">
        <v>1304</v>
      </c>
      <c r="C384" t="s">
        <v>1379</v>
      </c>
      <c r="D384" t="s">
        <v>1380</v>
      </c>
      <c r="E384" t="s">
        <v>1200</v>
      </c>
      <c r="F384" t="s">
        <v>514</v>
      </c>
      <c r="G384" s="2">
        <v>888441000</v>
      </c>
    </row>
    <row r="385" spans="1:7" x14ac:dyDescent="0.25">
      <c r="A385" t="s">
        <v>2199</v>
      </c>
      <c r="B385" t="s">
        <v>1304</v>
      </c>
      <c r="C385" t="s">
        <v>1389</v>
      </c>
      <c r="D385" t="s">
        <v>1390</v>
      </c>
      <c r="E385" t="s">
        <v>1342</v>
      </c>
      <c r="F385" t="s">
        <v>1392</v>
      </c>
      <c r="G385" s="2">
        <v>630000</v>
      </c>
    </row>
    <row r="386" spans="1:7" x14ac:dyDescent="0.25">
      <c r="A386" t="s">
        <v>2199</v>
      </c>
      <c r="B386" t="s">
        <v>1304</v>
      </c>
      <c r="C386" t="s">
        <v>1887</v>
      </c>
      <c r="D386" t="s">
        <v>1888</v>
      </c>
      <c r="E386" t="s">
        <v>1200</v>
      </c>
      <c r="F386" t="s">
        <v>514</v>
      </c>
      <c r="G386" s="2">
        <v>2075079539</v>
      </c>
    </row>
    <row r="387" spans="1:7" x14ac:dyDescent="0.25">
      <c r="A387" t="s">
        <v>2199</v>
      </c>
      <c r="B387" t="s">
        <v>1304</v>
      </c>
      <c r="C387" t="s">
        <v>1305</v>
      </c>
      <c r="D387" t="s">
        <v>1306</v>
      </c>
      <c r="E387" t="s">
        <v>624</v>
      </c>
      <c r="F387" t="s">
        <v>625</v>
      </c>
      <c r="G387" s="2">
        <v>1680000000</v>
      </c>
    </row>
    <row r="388" spans="1:7" x14ac:dyDescent="0.25">
      <c r="A388" t="s">
        <v>2199</v>
      </c>
      <c r="B388" t="s">
        <v>1304</v>
      </c>
      <c r="C388" t="s">
        <v>1308</v>
      </c>
      <c r="D388" t="s">
        <v>1309</v>
      </c>
      <c r="E388" t="s">
        <v>624</v>
      </c>
      <c r="F388" t="s">
        <v>625</v>
      </c>
      <c r="G388" s="2">
        <v>80000000</v>
      </c>
    </row>
    <row r="389" spans="1:7" x14ac:dyDescent="0.25">
      <c r="A389" t="s">
        <v>2199</v>
      </c>
      <c r="B389" t="s">
        <v>1304</v>
      </c>
      <c r="C389" t="s">
        <v>1311</v>
      </c>
      <c r="D389" t="s">
        <v>1313</v>
      </c>
      <c r="E389" t="s">
        <v>1315</v>
      </c>
      <c r="F389" t="s">
        <v>1316</v>
      </c>
      <c r="G389" s="2">
        <v>250000000</v>
      </c>
    </row>
    <row r="390" spans="1:7" x14ac:dyDescent="0.25">
      <c r="A390" t="s">
        <v>2199</v>
      </c>
      <c r="B390" t="s">
        <v>1304</v>
      </c>
      <c r="C390" t="s">
        <v>1319</v>
      </c>
      <c r="D390" t="s">
        <v>1320</v>
      </c>
      <c r="E390" t="s">
        <v>624</v>
      </c>
      <c r="F390" t="s">
        <v>625</v>
      </c>
      <c r="G390" s="2">
        <v>55000000</v>
      </c>
    </row>
    <row r="391" spans="1:7" x14ac:dyDescent="0.25">
      <c r="A391" t="s">
        <v>2199</v>
      </c>
      <c r="B391" t="s">
        <v>1304</v>
      </c>
      <c r="C391" t="s">
        <v>1322</v>
      </c>
      <c r="D391" t="s">
        <v>1323</v>
      </c>
      <c r="E391" t="s">
        <v>1325</v>
      </c>
      <c r="F391" t="s">
        <v>1326</v>
      </c>
      <c r="G391" s="2">
        <v>80000000</v>
      </c>
    </row>
    <row r="392" spans="1:7" x14ac:dyDescent="0.25">
      <c r="A392" t="s">
        <v>2199</v>
      </c>
      <c r="B392" t="s">
        <v>1304</v>
      </c>
      <c r="C392" t="s">
        <v>1328</v>
      </c>
      <c r="D392" t="s">
        <v>1329</v>
      </c>
      <c r="E392" t="s">
        <v>1325</v>
      </c>
      <c r="F392" t="s">
        <v>1326</v>
      </c>
      <c r="G392" s="2">
        <v>80000000</v>
      </c>
    </row>
    <row r="393" spans="1:7" x14ac:dyDescent="0.25">
      <c r="A393" t="s">
        <v>2199</v>
      </c>
      <c r="B393" t="s">
        <v>1304</v>
      </c>
      <c r="C393" t="s">
        <v>1331</v>
      </c>
      <c r="D393" t="s">
        <v>1332</v>
      </c>
      <c r="E393" t="s">
        <v>624</v>
      </c>
      <c r="F393" t="s">
        <v>625</v>
      </c>
      <c r="G393" s="2">
        <v>90000000</v>
      </c>
    </row>
    <row r="394" spans="1:7" x14ac:dyDescent="0.25">
      <c r="A394" t="s">
        <v>2199</v>
      </c>
      <c r="B394" t="s">
        <v>1304</v>
      </c>
      <c r="C394" t="s">
        <v>1334</v>
      </c>
      <c r="D394" t="s">
        <v>1335</v>
      </c>
      <c r="E394" t="s">
        <v>1337</v>
      </c>
      <c r="F394" t="s">
        <v>1107</v>
      </c>
      <c r="G394" s="2">
        <v>9814756</v>
      </c>
    </row>
  </sheetData>
  <autoFilter ref="A1:G394" xr:uid="{DBF0FE4F-CA4A-4422-8121-04A786FAFC3A}">
    <filterColumn colId="1">
      <filters>
        <filter val="Activos Fijos"/>
        <filter val="Administración de Fondos"/>
        <filter val="Bienes y Servicios"/>
        <filter val="Bienestar"/>
        <filter val="Compras Convenio GORE Region de Los Lagos"/>
        <filter val="Obras Civiles"/>
      </filters>
    </filterColumn>
  </autoFilter>
  <sortState xmlns:xlrd2="http://schemas.microsoft.com/office/spreadsheetml/2017/richdata2" ref="A2:G394">
    <sortCondition ref="B60:B394"/>
  </sortState>
  <conditionalFormatting sqref="C1:C1048576">
    <cfRule type="duplicateValues" dxfId="2" priority="1"/>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8B46B4B-379E-4D3F-8410-D71DEF10A217}">
  <dimension ref="A3:L707"/>
  <sheetViews>
    <sheetView workbookViewId="0">
      <selection activeCell="L706" sqref="A3:L706"/>
    </sheetView>
  </sheetViews>
  <sheetFormatPr baseColWidth="10" defaultRowHeight="15" x14ac:dyDescent="0.25"/>
  <cols>
    <col min="1" max="1" width="20.42578125" customWidth="1"/>
    <col min="2" max="3" width="25.7109375" customWidth="1"/>
    <col min="4" max="4" width="75.42578125" bestFit="1" customWidth="1"/>
    <col min="5" max="5" width="29.42578125" customWidth="1"/>
    <col min="6" max="6" width="28.85546875" bestFit="1" customWidth="1"/>
    <col min="7" max="7" width="26.28515625" customWidth="1"/>
    <col min="8" max="8" width="31.140625" customWidth="1"/>
    <col min="9" max="9" width="94.28515625" bestFit="1" customWidth="1"/>
    <col min="10" max="10" width="13.7109375" bestFit="1" customWidth="1"/>
    <col min="11" max="11" width="255.7109375" bestFit="1" customWidth="1"/>
    <col min="12" max="12" width="30.42578125" bestFit="1" customWidth="1"/>
  </cols>
  <sheetData>
    <row r="3" spans="1:12" x14ac:dyDescent="0.25">
      <c r="A3" s="4" t="s">
        <v>2</v>
      </c>
      <c r="B3" s="4" t="s">
        <v>2197</v>
      </c>
      <c r="C3" s="4" t="s">
        <v>1</v>
      </c>
      <c r="D3" s="4" t="s">
        <v>6</v>
      </c>
      <c r="E3" s="4" t="s">
        <v>9</v>
      </c>
      <c r="F3" s="4" t="s">
        <v>8</v>
      </c>
      <c r="G3" s="4" t="s">
        <v>16</v>
      </c>
      <c r="H3" s="4" t="s">
        <v>20</v>
      </c>
      <c r="I3" s="4" t="s">
        <v>17</v>
      </c>
      <c r="J3" s="4" t="s">
        <v>14</v>
      </c>
      <c r="K3" s="4" t="s">
        <v>15</v>
      </c>
      <c r="L3" t="s">
        <v>2202</v>
      </c>
    </row>
    <row r="4" spans="1:12" x14ac:dyDescent="0.25">
      <c r="A4" t="s">
        <v>29</v>
      </c>
      <c r="B4" t="s">
        <v>2196</v>
      </c>
      <c r="C4" t="s">
        <v>28</v>
      </c>
      <c r="D4" t="s">
        <v>33</v>
      </c>
      <c r="E4" t="s">
        <v>35</v>
      </c>
      <c r="F4">
        <v>2</v>
      </c>
      <c r="G4" t="s">
        <v>37</v>
      </c>
      <c r="H4" s="1">
        <v>45292</v>
      </c>
      <c r="I4" t="s">
        <v>38</v>
      </c>
      <c r="J4">
        <v>36</v>
      </c>
      <c r="K4" t="s">
        <v>36</v>
      </c>
      <c r="L4" s="8">
        <v>30000000</v>
      </c>
    </row>
    <row r="5" spans="1:12" x14ac:dyDescent="0.25">
      <c r="A5" t="s">
        <v>284</v>
      </c>
      <c r="B5" t="s">
        <v>2196</v>
      </c>
      <c r="C5" t="s">
        <v>28</v>
      </c>
      <c r="D5" t="s">
        <v>286</v>
      </c>
      <c r="E5" t="s">
        <v>288</v>
      </c>
      <c r="F5">
        <v>1</v>
      </c>
      <c r="G5" t="s">
        <v>290</v>
      </c>
      <c r="H5" s="1">
        <v>45748</v>
      </c>
      <c r="I5" t="s">
        <v>291</v>
      </c>
      <c r="J5">
        <v>24</v>
      </c>
      <c r="K5" t="s">
        <v>289</v>
      </c>
      <c r="L5" s="8">
        <v>75000000</v>
      </c>
    </row>
    <row r="6" spans="1:12" x14ac:dyDescent="0.25">
      <c r="A6" t="s">
        <v>44</v>
      </c>
      <c r="B6" t="s">
        <v>2196</v>
      </c>
      <c r="C6" t="s">
        <v>28</v>
      </c>
      <c r="D6" t="s">
        <v>46</v>
      </c>
      <c r="E6" t="s">
        <v>48</v>
      </c>
      <c r="F6">
        <v>2</v>
      </c>
      <c r="G6" t="s">
        <v>37</v>
      </c>
      <c r="H6" s="1">
        <v>45200</v>
      </c>
      <c r="I6" t="s">
        <v>49</v>
      </c>
      <c r="J6">
        <v>36</v>
      </c>
      <c r="K6" t="s">
        <v>36</v>
      </c>
      <c r="L6" s="8">
        <v>6711996</v>
      </c>
    </row>
    <row r="7" spans="1:12" x14ac:dyDescent="0.25">
      <c r="A7" t="s">
        <v>298</v>
      </c>
      <c r="B7" t="s">
        <v>2196</v>
      </c>
      <c r="C7" t="s">
        <v>28</v>
      </c>
      <c r="D7" t="s">
        <v>300</v>
      </c>
      <c r="E7" t="s">
        <v>205</v>
      </c>
      <c r="F7">
        <v>1</v>
      </c>
      <c r="G7" t="s">
        <v>182</v>
      </c>
      <c r="H7" s="1">
        <v>45839</v>
      </c>
      <c r="I7" t="s">
        <v>302</v>
      </c>
      <c r="J7">
        <v>18</v>
      </c>
      <c r="K7" t="s">
        <v>206</v>
      </c>
      <c r="L7" s="8">
        <v>144000000</v>
      </c>
    </row>
    <row r="8" spans="1:12" x14ac:dyDescent="0.25">
      <c r="A8" t="s">
        <v>304</v>
      </c>
      <c r="B8" t="s">
        <v>2196</v>
      </c>
      <c r="C8" t="s">
        <v>28</v>
      </c>
      <c r="D8" t="s">
        <v>305</v>
      </c>
      <c r="E8" t="s">
        <v>307</v>
      </c>
      <c r="F8">
        <v>1</v>
      </c>
      <c r="G8" t="s">
        <v>309</v>
      </c>
      <c r="H8" s="1">
        <v>45839</v>
      </c>
      <c r="I8" t="s">
        <v>310</v>
      </c>
      <c r="J8">
        <v>12</v>
      </c>
      <c r="K8" t="s">
        <v>308</v>
      </c>
      <c r="L8" s="8">
        <v>40833335</v>
      </c>
    </row>
    <row r="9" spans="1:12" x14ac:dyDescent="0.25">
      <c r="A9" t="s">
        <v>191</v>
      </c>
      <c r="B9" t="s">
        <v>2196</v>
      </c>
      <c r="C9" t="s">
        <v>28</v>
      </c>
      <c r="D9" t="s">
        <v>201</v>
      </c>
      <c r="E9" t="s">
        <v>195</v>
      </c>
      <c r="F9">
        <v>2</v>
      </c>
      <c r="G9" t="s">
        <v>197</v>
      </c>
      <c r="H9" s="1">
        <v>45870</v>
      </c>
      <c r="I9" t="s">
        <v>198</v>
      </c>
      <c r="J9">
        <v>1</v>
      </c>
      <c r="K9" t="s">
        <v>196</v>
      </c>
      <c r="L9" s="8">
        <v>74068560</v>
      </c>
    </row>
    <row r="10" spans="1:12" x14ac:dyDescent="0.25">
      <c r="A10" t="s">
        <v>191</v>
      </c>
      <c r="B10" t="s">
        <v>2196</v>
      </c>
      <c r="C10" t="s">
        <v>28</v>
      </c>
      <c r="D10" t="s">
        <v>193</v>
      </c>
      <c r="E10" t="s">
        <v>195</v>
      </c>
      <c r="F10">
        <v>2</v>
      </c>
      <c r="G10" t="s">
        <v>197</v>
      </c>
      <c r="H10" s="1">
        <v>45992</v>
      </c>
      <c r="I10" t="s">
        <v>198</v>
      </c>
      <c r="J10">
        <v>32</v>
      </c>
      <c r="K10" t="s">
        <v>196</v>
      </c>
      <c r="L10" s="8">
        <v>37034280</v>
      </c>
    </row>
    <row r="11" spans="1:12" x14ac:dyDescent="0.25">
      <c r="A11" t="s">
        <v>202</v>
      </c>
      <c r="B11" t="s">
        <v>2196</v>
      </c>
      <c r="C11" t="s">
        <v>28</v>
      </c>
      <c r="D11" t="s">
        <v>203</v>
      </c>
      <c r="E11" t="s">
        <v>205</v>
      </c>
      <c r="F11">
        <v>2</v>
      </c>
      <c r="G11" t="s">
        <v>182</v>
      </c>
      <c r="H11" s="1">
        <v>45658</v>
      </c>
      <c r="I11" t="s">
        <v>183</v>
      </c>
      <c r="J11">
        <v>18</v>
      </c>
      <c r="K11" t="s">
        <v>206</v>
      </c>
      <c r="L11" s="8">
        <v>70333380</v>
      </c>
    </row>
    <row r="12" spans="1:12" x14ac:dyDescent="0.25">
      <c r="A12" t="s">
        <v>214</v>
      </c>
      <c r="B12" t="s">
        <v>2196</v>
      </c>
      <c r="C12" t="s">
        <v>28</v>
      </c>
      <c r="D12" t="s">
        <v>216</v>
      </c>
      <c r="E12" t="s">
        <v>121</v>
      </c>
      <c r="F12">
        <v>2</v>
      </c>
      <c r="G12" t="s">
        <v>218</v>
      </c>
      <c r="H12" s="1">
        <v>45658</v>
      </c>
      <c r="I12" t="s">
        <v>219</v>
      </c>
      <c r="J12">
        <v>24</v>
      </c>
      <c r="K12" t="s">
        <v>73</v>
      </c>
      <c r="L12" s="8">
        <v>6255504</v>
      </c>
    </row>
    <row r="13" spans="1:12" x14ac:dyDescent="0.25">
      <c r="A13" t="s">
        <v>51</v>
      </c>
      <c r="B13" t="s">
        <v>2196</v>
      </c>
      <c r="C13" t="s">
        <v>28</v>
      </c>
      <c r="D13" t="s">
        <v>52</v>
      </c>
      <c r="E13" t="s">
        <v>54</v>
      </c>
      <c r="F13">
        <v>1</v>
      </c>
      <c r="G13" t="s">
        <v>55</v>
      </c>
      <c r="H13" s="1">
        <v>45292</v>
      </c>
      <c r="I13" t="s">
        <v>56</v>
      </c>
      <c r="J13">
        <v>36</v>
      </c>
      <c r="K13" t="s">
        <v>36</v>
      </c>
      <c r="L13" s="8">
        <v>6712008</v>
      </c>
    </row>
    <row r="14" spans="1:12" x14ac:dyDescent="0.25">
      <c r="A14" t="s">
        <v>222</v>
      </c>
      <c r="B14" t="s">
        <v>2196</v>
      </c>
      <c r="C14" t="s">
        <v>28</v>
      </c>
      <c r="D14" t="s">
        <v>224</v>
      </c>
      <c r="E14" t="s">
        <v>226</v>
      </c>
      <c r="F14">
        <v>2</v>
      </c>
      <c r="G14" t="s">
        <v>227</v>
      </c>
      <c r="H14" s="1">
        <v>45658</v>
      </c>
      <c r="I14" t="s">
        <v>228</v>
      </c>
      <c r="J14">
        <v>24</v>
      </c>
      <c r="K14" t="s">
        <v>73</v>
      </c>
      <c r="L14" s="8">
        <v>48115128</v>
      </c>
    </row>
    <row r="15" spans="1:12" x14ac:dyDescent="0.25">
      <c r="A15" t="s">
        <v>238</v>
      </c>
      <c r="B15" t="s">
        <v>2196</v>
      </c>
      <c r="C15" t="s">
        <v>28</v>
      </c>
      <c r="D15" t="s">
        <v>239</v>
      </c>
      <c r="E15" t="s">
        <v>226</v>
      </c>
      <c r="F15">
        <v>2</v>
      </c>
      <c r="G15" t="s">
        <v>227</v>
      </c>
      <c r="H15" s="1">
        <v>45658</v>
      </c>
      <c r="I15" t="s">
        <v>228</v>
      </c>
      <c r="J15">
        <v>24</v>
      </c>
      <c r="K15" t="s">
        <v>73</v>
      </c>
      <c r="L15" s="8">
        <v>237155100</v>
      </c>
    </row>
    <row r="16" spans="1:12" x14ac:dyDescent="0.25">
      <c r="A16" t="s">
        <v>244</v>
      </c>
      <c r="B16" t="s">
        <v>2196</v>
      </c>
      <c r="C16" t="s">
        <v>28</v>
      </c>
      <c r="D16" t="s">
        <v>245</v>
      </c>
      <c r="E16" t="s">
        <v>226</v>
      </c>
      <c r="F16">
        <v>2</v>
      </c>
      <c r="G16" t="s">
        <v>227</v>
      </c>
      <c r="H16" s="1">
        <v>45658</v>
      </c>
      <c r="I16" t="s">
        <v>228</v>
      </c>
      <c r="J16">
        <v>24</v>
      </c>
      <c r="K16" t="s">
        <v>73</v>
      </c>
      <c r="L16" s="8">
        <v>284700000</v>
      </c>
    </row>
    <row r="17" spans="1:12" x14ac:dyDescent="0.25">
      <c r="A17" t="s">
        <v>619</v>
      </c>
      <c r="B17" t="s">
        <v>2199</v>
      </c>
      <c r="C17" t="s">
        <v>28</v>
      </c>
      <c r="D17" t="s">
        <v>621</v>
      </c>
      <c r="E17" t="s">
        <v>623</v>
      </c>
      <c r="F17">
        <v>1</v>
      </c>
      <c r="G17" t="s">
        <v>624</v>
      </c>
      <c r="H17" s="1">
        <v>46266</v>
      </c>
      <c r="I17" t="s">
        <v>625</v>
      </c>
      <c r="J17">
        <v>1</v>
      </c>
      <c r="K17" s="1">
        <v>46266</v>
      </c>
      <c r="L17" s="8">
        <v>1250000</v>
      </c>
    </row>
    <row r="18" spans="1:12" x14ac:dyDescent="0.25">
      <c r="A18" t="s">
        <v>628</v>
      </c>
      <c r="B18" t="s">
        <v>2199</v>
      </c>
      <c r="C18" t="s">
        <v>28</v>
      </c>
      <c r="D18" t="s">
        <v>629</v>
      </c>
      <c r="E18" t="s">
        <v>631</v>
      </c>
      <c r="F18">
        <v>1</v>
      </c>
      <c r="G18" t="s">
        <v>624</v>
      </c>
      <c r="H18" s="1">
        <v>46174</v>
      </c>
      <c r="I18" t="s">
        <v>625</v>
      </c>
      <c r="J18">
        <v>1</v>
      </c>
      <c r="K18" s="1">
        <v>46174</v>
      </c>
      <c r="L18" s="8">
        <v>300000</v>
      </c>
    </row>
    <row r="19" spans="1:12" x14ac:dyDescent="0.25">
      <c r="A19" t="s">
        <v>632</v>
      </c>
      <c r="B19" t="s">
        <v>2199</v>
      </c>
      <c r="C19" t="s">
        <v>28</v>
      </c>
      <c r="D19" t="s">
        <v>634</v>
      </c>
      <c r="E19" t="s">
        <v>636</v>
      </c>
      <c r="F19">
        <v>1</v>
      </c>
      <c r="G19" t="s">
        <v>624</v>
      </c>
      <c r="H19" s="1">
        <v>46204</v>
      </c>
      <c r="I19" t="s">
        <v>625</v>
      </c>
      <c r="J19">
        <v>1</v>
      </c>
      <c r="K19" s="1">
        <v>46204</v>
      </c>
      <c r="L19" s="8">
        <v>1320000</v>
      </c>
    </row>
    <row r="20" spans="1:12" x14ac:dyDescent="0.25">
      <c r="A20" t="s">
        <v>637</v>
      </c>
      <c r="B20" t="s">
        <v>2199</v>
      </c>
      <c r="C20" t="s">
        <v>28</v>
      </c>
      <c r="D20" t="s">
        <v>638</v>
      </c>
      <c r="E20" t="s">
        <v>639</v>
      </c>
      <c r="F20">
        <v>1</v>
      </c>
      <c r="G20" t="s">
        <v>640</v>
      </c>
      <c r="H20" s="1">
        <v>46082</v>
      </c>
      <c r="I20" t="s">
        <v>641</v>
      </c>
      <c r="J20">
        <v>1</v>
      </c>
      <c r="K20" s="1">
        <v>46082</v>
      </c>
      <c r="L20" s="8">
        <v>2000700</v>
      </c>
    </row>
    <row r="21" spans="1:12" x14ac:dyDescent="0.25">
      <c r="A21" t="s">
        <v>644</v>
      </c>
      <c r="B21" t="s">
        <v>2199</v>
      </c>
      <c r="C21" t="s">
        <v>28</v>
      </c>
      <c r="D21" t="s">
        <v>646</v>
      </c>
      <c r="E21" t="s">
        <v>648</v>
      </c>
      <c r="F21">
        <v>1</v>
      </c>
      <c r="G21" t="s">
        <v>640</v>
      </c>
      <c r="H21" s="1">
        <v>46082</v>
      </c>
      <c r="I21" t="s">
        <v>641</v>
      </c>
      <c r="J21">
        <v>1</v>
      </c>
      <c r="K21" s="1">
        <v>46082</v>
      </c>
      <c r="L21" s="8">
        <v>1510005</v>
      </c>
    </row>
    <row r="22" spans="1:12" x14ac:dyDescent="0.25">
      <c r="A22" t="s">
        <v>649</v>
      </c>
      <c r="B22" t="s">
        <v>2199</v>
      </c>
      <c r="C22" t="s">
        <v>28</v>
      </c>
      <c r="D22" t="s">
        <v>650</v>
      </c>
      <c r="E22" t="s">
        <v>370</v>
      </c>
      <c r="F22">
        <v>2</v>
      </c>
      <c r="G22" t="s">
        <v>640</v>
      </c>
      <c r="H22" s="1">
        <v>46082</v>
      </c>
      <c r="I22" t="s">
        <v>641</v>
      </c>
      <c r="J22">
        <v>1</v>
      </c>
      <c r="K22" s="1">
        <v>46082</v>
      </c>
      <c r="L22" s="8">
        <v>850000</v>
      </c>
    </row>
    <row r="23" spans="1:12" x14ac:dyDescent="0.25">
      <c r="A23" t="s">
        <v>649</v>
      </c>
      <c r="B23" t="s">
        <v>2199</v>
      </c>
      <c r="C23" t="s">
        <v>28</v>
      </c>
      <c r="D23" t="s">
        <v>650</v>
      </c>
      <c r="E23" t="s">
        <v>652</v>
      </c>
      <c r="F23">
        <v>2</v>
      </c>
      <c r="G23" t="s">
        <v>640</v>
      </c>
      <c r="H23" s="1">
        <v>46082</v>
      </c>
      <c r="I23" t="s">
        <v>641</v>
      </c>
      <c r="J23">
        <v>1</v>
      </c>
      <c r="K23" s="1">
        <v>46082</v>
      </c>
      <c r="L23" s="8">
        <v>22500</v>
      </c>
    </row>
    <row r="24" spans="1:12" x14ac:dyDescent="0.25">
      <c r="A24" t="s">
        <v>653</v>
      </c>
      <c r="B24" t="s">
        <v>2199</v>
      </c>
      <c r="C24" t="s">
        <v>28</v>
      </c>
      <c r="D24" t="s">
        <v>655</v>
      </c>
      <c r="E24" t="s">
        <v>370</v>
      </c>
      <c r="F24">
        <v>1</v>
      </c>
      <c r="G24" t="s">
        <v>657</v>
      </c>
      <c r="H24" s="1">
        <v>46327</v>
      </c>
      <c r="I24" t="s">
        <v>658</v>
      </c>
      <c r="J24">
        <v>1</v>
      </c>
      <c r="K24" s="1">
        <v>46327</v>
      </c>
      <c r="L24" s="8">
        <v>540000</v>
      </c>
    </row>
    <row r="25" spans="1:12" x14ac:dyDescent="0.25">
      <c r="A25" t="s">
        <v>661</v>
      </c>
      <c r="B25" t="s">
        <v>2199</v>
      </c>
      <c r="C25" t="s">
        <v>28</v>
      </c>
      <c r="D25" t="s">
        <v>662</v>
      </c>
      <c r="E25" t="s">
        <v>359</v>
      </c>
      <c r="F25">
        <v>6</v>
      </c>
      <c r="G25" t="s">
        <v>657</v>
      </c>
      <c r="H25" s="1">
        <v>46113</v>
      </c>
      <c r="I25" t="s">
        <v>658</v>
      </c>
      <c r="J25">
        <v>1</v>
      </c>
      <c r="K25" s="1">
        <v>46113</v>
      </c>
      <c r="L25" s="8">
        <v>135000</v>
      </c>
    </row>
    <row r="26" spans="1:12" x14ac:dyDescent="0.25">
      <c r="A26" t="s">
        <v>661</v>
      </c>
      <c r="B26" t="s">
        <v>2199</v>
      </c>
      <c r="C26" t="s">
        <v>28</v>
      </c>
      <c r="D26" t="s">
        <v>662</v>
      </c>
      <c r="E26" t="s">
        <v>359</v>
      </c>
      <c r="F26">
        <v>6</v>
      </c>
      <c r="G26" t="s">
        <v>657</v>
      </c>
      <c r="H26" s="1">
        <v>46204</v>
      </c>
      <c r="I26" t="s">
        <v>658</v>
      </c>
      <c r="J26">
        <v>1</v>
      </c>
      <c r="K26" s="1">
        <v>46204</v>
      </c>
      <c r="L26" s="8">
        <v>135000</v>
      </c>
    </row>
    <row r="27" spans="1:12" x14ac:dyDescent="0.25">
      <c r="A27" t="s">
        <v>661</v>
      </c>
      <c r="B27" t="s">
        <v>2199</v>
      </c>
      <c r="C27" t="s">
        <v>28</v>
      </c>
      <c r="D27" t="s">
        <v>662</v>
      </c>
      <c r="E27" t="s">
        <v>359</v>
      </c>
      <c r="F27">
        <v>6</v>
      </c>
      <c r="G27" t="s">
        <v>657</v>
      </c>
      <c r="H27" s="1">
        <v>46266</v>
      </c>
      <c r="I27" t="s">
        <v>658</v>
      </c>
      <c r="J27">
        <v>1</v>
      </c>
      <c r="K27" s="1">
        <v>46266</v>
      </c>
      <c r="L27" s="8">
        <v>135000</v>
      </c>
    </row>
    <row r="28" spans="1:12" x14ac:dyDescent="0.25">
      <c r="A28" t="s">
        <v>661</v>
      </c>
      <c r="B28" t="s">
        <v>2199</v>
      </c>
      <c r="C28" t="s">
        <v>28</v>
      </c>
      <c r="D28" t="s">
        <v>662</v>
      </c>
      <c r="E28" t="s">
        <v>359</v>
      </c>
      <c r="F28">
        <v>6</v>
      </c>
      <c r="G28" t="s">
        <v>657</v>
      </c>
      <c r="H28" s="1">
        <v>46357</v>
      </c>
      <c r="I28" t="s">
        <v>658</v>
      </c>
      <c r="J28">
        <v>1</v>
      </c>
      <c r="K28" s="1">
        <v>46357</v>
      </c>
      <c r="L28" s="8">
        <v>135000</v>
      </c>
    </row>
    <row r="29" spans="1:12" x14ac:dyDescent="0.25">
      <c r="A29" t="s">
        <v>661</v>
      </c>
      <c r="B29" t="s">
        <v>2199</v>
      </c>
      <c r="C29" t="s">
        <v>28</v>
      </c>
      <c r="D29" t="s">
        <v>662</v>
      </c>
      <c r="E29" t="s">
        <v>370</v>
      </c>
      <c r="F29">
        <v>6</v>
      </c>
      <c r="G29" t="s">
        <v>657</v>
      </c>
      <c r="H29" s="1">
        <v>46113</v>
      </c>
      <c r="I29" t="s">
        <v>658</v>
      </c>
      <c r="J29">
        <v>1</v>
      </c>
      <c r="K29" s="1">
        <v>46113</v>
      </c>
      <c r="L29" s="8">
        <v>135000</v>
      </c>
    </row>
    <row r="30" spans="1:12" x14ac:dyDescent="0.25">
      <c r="A30" t="s">
        <v>661</v>
      </c>
      <c r="B30" t="s">
        <v>2199</v>
      </c>
      <c r="C30" t="s">
        <v>28</v>
      </c>
      <c r="D30" t="s">
        <v>662</v>
      </c>
      <c r="E30" t="s">
        <v>370</v>
      </c>
      <c r="F30">
        <v>6</v>
      </c>
      <c r="G30" t="s">
        <v>657</v>
      </c>
      <c r="H30" s="1">
        <v>46204</v>
      </c>
      <c r="I30" t="s">
        <v>658</v>
      </c>
      <c r="J30">
        <v>3</v>
      </c>
      <c r="K30" t="s">
        <v>664</v>
      </c>
      <c r="L30" s="8">
        <v>405000</v>
      </c>
    </row>
    <row r="31" spans="1:12" x14ac:dyDescent="0.25">
      <c r="A31" t="s">
        <v>68</v>
      </c>
      <c r="B31" t="s">
        <v>2196</v>
      </c>
      <c r="C31" t="s">
        <v>28</v>
      </c>
      <c r="D31" t="s">
        <v>70</v>
      </c>
      <c r="E31" t="s">
        <v>72</v>
      </c>
      <c r="F31">
        <v>1</v>
      </c>
      <c r="G31" t="s">
        <v>74</v>
      </c>
      <c r="H31" s="1">
        <v>45474</v>
      </c>
      <c r="I31" t="s">
        <v>75</v>
      </c>
      <c r="J31">
        <v>24</v>
      </c>
      <c r="K31" t="s">
        <v>73</v>
      </c>
      <c r="L31" s="8">
        <v>40432878</v>
      </c>
    </row>
    <row r="32" spans="1:12" x14ac:dyDescent="0.25">
      <c r="A32" t="s">
        <v>59</v>
      </c>
      <c r="B32" t="s">
        <v>2196</v>
      </c>
      <c r="C32" t="s">
        <v>28</v>
      </c>
      <c r="D32" t="s">
        <v>60</v>
      </c>
      <c r="E32" t="s">
        <v>62</v>
      </c>
      <c r="F32">
        <v>1</v>
      </c>
      <c r="G32" t="s">
        <v>64</v>
      </c>
      <c r="H32" s="1">
        <v>45413</v>
      </c>
      <c r="I32" t="s">
        <v>65</v>
      </c>
      <c r="J32">
        <v>36</v>
      </c>
      <c r="K32" t="s">
        <v>63</v>
      </c>
      <c r="L32" s="8">
        <v>43333332</v>
      </c>
    </row>
    <row r="33" spans="1:12" x14ac:dyDescent="0.25">
      <c r="A33" t="s">
        <v>82</v>
      </c>
      <c r="B33" t="s">
        <v>2196</v>
      </c>
      <c r="C33" t="s">
        <v>28</v>
      </c>
      <c r="D33" t="s">
        <v>83</v>
      </c>
      <c r="E33" t="s">
        <v>72</v>
      </c>
      <c r="F33">
        <v>1</v>
      </c>
      <c r="G33" t="s">
        <v>74</v>
      </c>
      <c r="H33" s="1">
        <v>45444</v>
      </c>
      <c r="I33" t="s">
        <v>85</v>
      </c>
      <c r="J33">
        <v>24</v>
      </c>
      <c r="K33" t="s">
        <v>73</v>
      </c>
      <c r="L33" s="8">
        <v>78361124</v>
      </c>
    </row>
    <row r="34" spans="1:12" x14ac:dyDescent="0.25">
      <c r="A34" t="s">
        <v>91</v>
      </c>
      <c r="B34" t="s">
        <v>2196</v>
      </c>
      <c r="C34" t="s">
        <v>28</v>
      </c>
      <c r="D34" t="s">
        <v>92</v>
      </c>
      <c r="E34" t="s">
        <v>72</v>
      </c>
      <c r="F34">
        <v>1</v>
      </c>
      <c r="G34" t="s">
        <v>74</v>
      </c>
      <c r="H34" s="1">
        <v>45444</v>
      </c>
      <c r="I34" t="s">
        <v>85</v>
      </c>
      <c r="J34">
        <v>24</v>
      </c>
      <c r="K34" t="s">
        <v>73</v>
      </c>
      <c r="L34" s="8">
        <v>78361124</v>
      </c>
    </row>
    <row r="35" spans="1:12" x14ac:dyDescent="0.25">
      <c r="A35" t="s">
        <v>665</v>
      </c>
      <c r="B35" t="s">
        <v>2199</v>
      </c>
      <c r="C35" t="s">
        <v>28</v>
      </c>
      <c r="D35" t="s">
        <v>667</v>
      </c>
      <c r="E35" t="s">
        <v>669</v>
      </c>
      <c r="F35">
        <v>1</v>
      </c>
      <c r="G35" t="s">
        <v>657</v>
      </c>
      <c r="H35" s="1">
        <v>46082</v>
      </c>
      <c r="I35" t="s">
        <v>658</v>
      </c>
      <c r="J35">
        <v>1</v>
      </c>
      <c r="K35" s="1">
        <v>46082</v>
      </c>
      <c r="L35" s="8">
        <v>1500000</v>
      </c>
    </row>
    <row r="36" spans="1:12" x14ac:dyDescent="0.25">
      <c r="A36" t="s">
        <v>103</v>
      </c>
      <c r="B36" t="s">
        <v>2196</v>
      </c>
      <c r="C36" t="s">
        <v>28</v>
      </c>
      <c r="D36" t="s">
        <v>105</v>
      </c>
      <c r="E36" t="s">
        <v>107</v>
      </c>
      <c r="F36">
        <v>1</v>
      </c>
      <c r="G36" t="s">
        <v>109</v>
      </c>
      <c r="H36" s="1">
        <v>45444</v>
      </c>
      <c r="I36" t="s">
        <v>110</v>
      </c>
      <c r="J36">
        <v>30</v>
      </c>
      <c r="K36" t="s">
        <v>108</v>
      </c>
      <c r="L36" s="8">
        <v>18060000</v>
      </c>
    </row>
    <row r="37" spans="1:12" x14ac:dyDescent="0.25">
      <c r="A37" t="s">
        <v>670</v>
      </c>
      <c r="B37" t="s">
        <v>2199</v>
      </c>
      <c r="C37" t="s">
        <v>28</v>
      </c>
      <c r="D37" t="s">
        <v>671</v>
      </c>
      <c r="E37" t="s">
        <v>673</v>
      </c>
      <c r="F37">
        <v>1</v>
      </c>
      <c r="G37" t="s">
        <v>657</v>
      </c>
      <c r="H37" s="1">
        <v>46023</v>
      </c>
      <c r="I37" t="s">
        <v>658</v>
      </c>
      <c r="J37">
        <v>1</v>
      </c>
      <c r="K37" s="1">
        <v>46023</v>
      </c>
      <c r="L37" s="8">
        <v>850000</v>
      </c>
    </row>
    <row r="38" spans="1:12" x14ac:dyDescent="0.25">
      <c r="A38" t="s">
        <v>117</v>
      </c>
      <c r="B38" t="s">
        <v>2196</v>
      </c>
      <c r="C38" t="s">
        <v>28</v>
      </c>
      <c r="D38" t="s">
        <v>119</v>
      </c>
      <c r="E38" t="s">
        <v>121</v>
      </c>
      <c r="F38">
        <v>1</v>
      </c>
      <c r="G38" t="s">
        <v>122</v>
      </c>
      <c r="H38" s="1">
        <v>45474</v>
      </c>
      <c r="I38" t="s">
        <v>123</v>
      </c>
      <c r="J38">
        <v>24</v>
      </c>
      <c r="K38" t="s">
        <v>73</v>
      </c>
      <c r="L38" s="8">
        <v>150000000</v>
      </c>
    </row>
    <row r="39" spans="1:12" x14ac:dyDescent="0.25">
      <c r="A39" t="s">
        <v>674</v>
      </c>
      <c r="B39" t="s">
        <v>2199</v>
      </c>
      <c r="C39" t="s">
        <v>28</v>
      </c>
      <c r="D39" t="s">
        <v>675</v>
      </c>
      <c r="E39" t="s">
        <v>370</v>
      </c>
      <c r="F39">
        <v>2</v>
      </c>
      <c r="G39" t="s">
        <v>657</v>
      </c>
      <c r="H39" s="1">
        <v>46143</v>
      </c>
      <c r="I39" t="s">
        <v>658</v>
      </c>
      <c r="J39">
        <v>1</v>
      </c>
      <c r="K39" s="1">
        <v>46143</v>
      </c>
      <c r="L39" s="8">
        <v>450000</v>
      </c>
    </row>
    <row r="40" spans="1:12" x14ac:dyDescent="0.25">
      <c r="A40" t="s">
        <v>674</v>
      </c>
      <c r="B40" t="s">
        <v>2199</v>
      </c>
      <c r="C40" t="s">
        <v>28</v>
      </c>
      <c r="D40" t="s">
        <v>675</v>
      </c>
      <c r="E40" t="s">
        <v>370</v>
      </c>
      <c r="F40">
        <v>2</v>
      </c>
      <c r="G40" t="s">
        <v>657</v>
      </c>
      <c r="H40" s="1">
        <v>46327</v>
      </c>
      <c r="I40" t="s">
        <v>658</v>
      </c>
      <c r="J40">
        <v>1</v>
      </c>
      <c r="K40" s="1">
        <v>46143</v>
      </c>
      <c r="L40" s="8">
        <v>450000</v>
      </c>
    </row>
    <row r="41" spans="1:12" x14ac:dyDescent="0.25">
      <c r="A41" t="s">
        <v>128</v>
      </c>
      <c r="B41" t="s">
        <v>2196</v>
      </c>
      <c r="C41" t="s">
        <v>28</v>
      </c>
      <c r="D41" t="s">
        <v>130</v>
      </c>
      <c r="E41" t="s">
        <v>132</v>
      </c>
      <c r="F41">
        <v>1</v>
      </c>
      <c r="G41" t="s">
        <v>109</v>
      </c>
      <c r="H41" s="1">
        <v>45505</v>
      </c>
      <c r="I41" t="s">
        <v>133</v>
      </c>
      <c r="J41">
        <v>24</v>
      </c>
      <c r="K41" t="s">
        <v>73</v>
      </c>
      <c r="L41" s="8">
        <v>397359215</v>
      </c>
    </row>
    <row r="42" spans="1:12" x14ac:dyDescent="0.25">
      <c r="A42" t="s">
        <v>677</v>
      </c>
      <c r="B42" t="s">
        <v>2199</v>
      </c>
      <c r="C42" t="s">
        <v>28</v>
      </c>
      <c r="D42" t="s">
        <v>678</v>
      </c>
      <c r="E42" t="s">
        <v>370</v>
      </c>
      <c r="F42">
        <v>1</v>
      </c>
      <c r="G42" t="s">
        <v>657</v>
      </c>
      <c r="H42" s="1">
        <v>46174</v>
      </c>
      <c r="I42" t="s">
        <v>658</v>
      </c>
      <c r="J42">
        <v>1</v>
      </c>
      <c r="K42" s="1">
        <v>46174</v>
      </c>
      <c r="L42" s="8">
        <v>630000</v>
      </c>
    </row>
    <row r="43" spans="1:12" x14ac:dyDescent="0.25">
      <c r="A43" t="s">
        <v>680</v>
      </c>
      <c r="B43" t="s">
        <v>2199</v>
      </c>
      <c r="C43" t="s">
        <v>28</v>
      </c>
      <c r="D43" t="s">
        <v>681</v>
      </c>
      <c r="E43" t="s">
        <v>370</v>
      </c>
      <c r="F43">
        <v>1</v>
      </c>
      <c r="G43" t="s">
        <v>657</v>
      </c>
      <c r="H43" s="1">
        <v>46235</v>
      </c>
      <c r="I43" t="s">
        <v>658</v>
      </c>
      <c r="J43">
        <v>1</v>
      </c>
      <c r="K43" s="1">
        <v>46235</v>
      </c>
      <c r="L43" s="8">
        <v>135000</v>
      </c>
    </row>
    <row r="44" spans="1:12" x14ac:dyDescent="0.25">
      <c r="A44" t="s">
        <v>686</v>
      </c>
      <c r="B44" t="s">
        <v>2199</v>
      </c>
      <c r="C44" t="s">
        <v>28</v>
      </c>
      <c r="D44" t="s">
        <v>687</v>
      </c>
      <c r="E44" t="s">
        <v>692</v>
      </c>
      <c r="F44">
        <v>3</v>
      </c>
      <c r="G44" t="s">
        <v>227</v>
      </c>
      <c r="H44" s="1">
        <v>46082</v>
      </c>
      <c r="I44" t="s">
        <v>480</v>
      </c>
      <c r="J44">
        <v>12</v>
      </c>
      <c r="K44" t="s">
        <v>690</v>
      </c>
      <c r="L44" s="8">
        <v>36406019</v>
      </c>
    </row>
    <row r="45" spans="1:12" x14ac:dyDescent="0.25">
      <c r="A45" t="s">
        <v>686</v>
      </c>
      <c r="B45" t="s">
        <v>2199</v>
      </c>
      <c r="C45" t="s">
        <v>28</v>
      </c>
      <c r="D45" t="s">
        <v>687</v>
      </c>
      <c r="E45" t="s">
        <v>689</v>
      </c>
      <c r="F45">
        <v>3</v>
      </c>
      <c r="G45" t="s">
        <v>227</v>
      </c>
      <c r="H45" s="1">
        <v>46082</v>
      </c>
      <c r="I45" t="s">
        <v>480</v>
      </c>
      <c r="J45">
        <v>12</v>
      </c>
      <c r="K45" t="s">
        <v>690</v>
      </c>
      <c r="L45" s="8">
        <v>64787500</v>
      </c>
    </row>
    <row r="46" spans="1:12" x14ac:dyDescent="0.25">
      <c r="A46" t="s">
        <v>696</v>
      </c>
      <c r="B46" t="s">
        <v>2199</v>
      </c>
      <c r="C46" t="s">
        <v>28</v>
      </c>
      <c r="D46" t="s">
        <v>697</v>
      </c>
      <c r="E46" t="s">
        <v>370</v>
      </c>
      <c r="F46">
        <v>1</v>
      </c>
      <c r="G46" t="s">
        <v>657</v>
      </c>
      <c r="H46" s="1">
        <v>46143</v>
      </c>
      <c r="I46" t="s">
        <v>658</v>
      </c>
      <c r="J46">
        <v>1</v>
      </c>
      <c r="K46" s="1">
        <v>46143</v>
      </c>
      <c r="L46" s="8">
        <v>675000</v>
      </c>
    </row>
    <row r="47" spans="1:12" x14ac:dyDescent="0.25">
      <c r="A47" t="s">
        <v>706</v>
      </c>
      <c r="B47" t="s">
        <v>2199</v>
      </c>
      <c r="C47" t="s">
        <v>28</v>
      </c>
      <c r="D47" t="s">
        <v>707</v>
      </c>
      <c r="E47" t="s">
        <v>486</v>
      </c>
      <c r="F47">
        <v>1</v>
      </c>
      <c r="G47" t="s">
        <v>590</v>
      </c>
      <c r="H47" s="1">
        <v>46082</v>
      </c>
      <c r="I47" t="s">
        <v>591</v>
      </c>
      <c r="J47">
        <v>1</v>
      </c>
      <c r="K47" s="1">
        <v>46082</v>
      </c>
      <c r="L47" s="8">
        <v>190000</v>
      </c>
    </row>
    <row r="48" spans="1:12" x14ac:dyDescent="0.25">
      <c r="A48" t="s">
        <v>713</v>
      </c>
      <c r="B48" t="s">
        <v>2199</v>
      </c>
      <c r="C48" t="s">
        <v>28</v>
      </c>
      <c r="D48" t="s">
        <v>714</v>
      </c>
      <c r="E48" t="s">
        <v>716</v>
      </c>
      <c r="F48">
        <v>1</v>
      </c>
      <c r="G48" t="s">
        <v>227</v>
      </c>
      <c r="H48" s="1">
        <v>46082</v>
      </c>
      <c r="I48" t="s">
        <v>480</v>
      </c>
      <c r="J48">
        <v>24</v>
      </c>
      <c r="K48" t="s">
        <v>717</v>
      </c>
      <c r="L48" s="8">
        <v>49483210</v>
      </c>
    </row>
    <row r="49" spans="1:12" x14ac:dyDescent="0.25">
      <c r="A49" t="s">
        <v>136</v>
      </c>
      <c r="B49" t="s">
        <v>2196</v>
      </c>
      <c r="C49" t="s">
        <v>28</v>
      </c>
      <c r="D49" t="s">
        <v>138</v>
      </c>
      <c r="E49" t="s">
        <v>140</v>
      </c>
      <c r="F49">
        <v>1</v>
      </c>
      <c r="G49" t="s">
        <v>141</v>
      </c>
      <c r="H49" s="1">
        <v>45444</v>
      </c>
      <c r="I49" t="s">
        <v>142</v>
      </c>
      <c r="J49">
        <v>30</v>
      </c>
      <c r="K49" t="s">
        <v>108</v>
      </c>
      <c r="L49" s="8">
        <v>496977708</v>
      </c>
    </row>
    <row r="50" spans="1:12" x14ac:dyDescent="0.25">
      <c r="A50" t="s">
        <v>718</v>
      </c>
      <c r="B50" t="s">
        <v>2199</v>
      </c>
      <c r="C50" t="s">
        <v>28</v>
      </c>
      <c r="D50" t="s">
        <v>719</v>
      </c>
      <c r="E50" t="s">
        <v>631</v>
      </c>
      <c r="F50">
        <v>1</v>
      </c>
      <c r="G50" t="s">
        <v>657</v>
      </c>
      <c r="H50" s="1">
        <v>46023</v>
      </c>
      <c r="I50" t="s">
        <v>658</v>
      </c>
      <c r="J50">
        <v>1</v>
      </c>
      <c r="K50" s="1">
        <v>46023</v>
      </c>
      <c r="L50" s="8">
        <v>430010</v>
      </c>
    </row>
    <row r="51" spans="1:12" x14ac:dyDescent="0.25">
      <c r="A51" t="s">
        <v>721</v>
      </c>
      <c r="B51" t="s">
        <v>2199</v>
      </c>
      <c r="C51" t="s">
        <v>28</v>
      </c>
      <c r="D51" t="s">
        <v>722</v>
      </c>
      <c r="E51" t="s">
        <v>716</v>
      </c>
      <c r="F51">
        <v>1</v>
      </c>
      <c r="G51" t="s">
        <v>227</v>
      </c>
      <c r="H51" s="1">
        <v>46082</v>
      </c>
      <c r="I51" t="s">
        <v>480</v>
      </c>
      <c r="J51">
        <v>12</v>
      </c>
      <c r="K51" t="s">
        <v>690</v>
      </c>
      <c r="L51" s="8">
        <v>247689000</v>
      </c>
    </row>
    <row r="52" spans="1:12" x14ac:dyDescent="0.25">
      <c r="A52" t="s">
        <v>724</v>
      </c>
      <c r="B52" t="s">
        <v>2199</v>
      </c>
      <c r="C52" t="s">
        <v>28</v>
      </c>
      <c r="D52" t="s">
        <v>726</v>
      </c>
      <c r="E52" t="s">
        <v>728</v>
      </c>
      <c r="F52">
        <v>1</v>
      </c>
      <c r="G52" t="s">
        <v>657</v>
      </c>
      <c r="H52" s="1">
        <v>46082</v>
      </c>
      <c r="I52" t="s">
        <v>658</v>
      </c>
      <c r="J52">
        <v>1</v>
      </c>
      <c r="K52" s="1">
        <v>46082</v>
      </c>
      <c r="L52" s="8">
        <v>990002</v>
      </c>
    </row>
    <row r="53" spans="1:12" x14ac:dyDescent="0.25">
      <c r="A53" t="s">
        <v>148</v>
      </c>
      <c r="B53" t="s">
        <v>2196</v>
      </c>
      <c r="C53" t="s">
        <v>28</v>
      </c>
      <c r="D53" t="s">
        <v>150</v>
      </c>
      <c r="E53" t="s">
        <v>152</v>
      </c>
      <c r="F53">
        <v>1</v>
      </c>
      <c r="G53" t="s">
        <v>153</v>
      </c>
      <c r="H53" s="1">
        <v>45474</v>
      </c>
      <c r="I53" t="s">
        <v>154</v>
      </c>
      <c r="J53">
        <v>24</v>
      </c>
      <c r="K53" t="s">
        <v>73</v>
      </c>
      <c r="L53" s="8">
        <v>118000004</v>
      </c>
    </row>
    <row r="54" spans="1:12" x14ac:dyDescent="0.25">
      <c r="A54" t="s">
        <v>729</v>
      </c>
      <c r="B54" t="s">
        <v>2199</v>
      </c>
      <c r="C54" t="s">
        <v>28</v>
      </c>
      <c r="D54" t="s">
        <v>731</v>
      </c>
      <c r="E54" t="s">
        <v>359</v>
      </c>
      <c r="F54">
        <v>1</v>
      </c>
      <c r="G54" t="s">
        <v>733</v>
      </c>
      <c r="H54" s="1">
        <v>46082</v>
      </c>
      <c r="I54" t="s">
        <v>734</v>
      </c>
      <c r="J54">
        <v>1</v>
      </c>
      <c r="K54" s="1">
        <v>46082</v>
      </c>
      <c r="L54" s="8">
        <v>1352694</v>
      </c>
    </row>
    <row r="55" spans="1:12" x14ac:dyDescent="0.25">
      <c r="A55" t="s">
        <v>744</v>
      </c>
      <c r="B55" t="s">
        <v>2199</v>
      </c>
      <c r="C55" t="s">
        <v>28</v>
      </c>
      <c r="D55" t="s">
        <v>746</v>
      </c>
      <c r="E55" t="s">
        <v>748</v>
      </c>
      <c r="F55">
        <v>1</v>
      </c>
      <c r="G55" t="s">
        <v>657</v>
      </c>
      <c r="H55" s="1">
        <v>46023</v>
      </c>
      <c r="I55" t="s">
        <v>658</v>
      </c>
      <c r="J55">
        <v>1</v>
      </c>
      <c r="K55" s="1">
        <v>46023</v>
      </c>
      <c r="L55" s="8">
        <v>300000</v>
      </c>
    </row>
    <row r="56" spans="1:12" x14ac:dyDescent="0.25">
      <c r="A56" t="s">
        <v>165</v>
      </c>
      <c r="B56" t="s">
        <v>2196</v>
      </c>
      <c r="C56" t="s">
        <v>28</v>
      </c>
      <c r="D56" t="s">
        <v>167</v>
      </c>
      <c r="E56" t="s">
        <v>62</v>
      </c>
      <c r="F56">
        <v>1</v>
      </c>
      <c r="G56" t="s">
        <v>169</v>
      </c>
      <c r="H56" s="1">
        <v>45444</v>
      </c>
      <c r="I56" t="s">
        <v>65</v>
      </c>
      <c r="J56">
        <v>24</v>
      </c>
      <c r="K56" t="s">
        <v>73</v>
      </c>
      <c r="L56" s="8">
        <v>10000004</v>
      </c>
    </row>
    <row r="57" spans="1:12" x14ac:dyDescent="0.25">
      <c r="A57" t="s">
        <v>756</v>
      </c>
      <c r="B57" t="s">
        <v>2199</v>
      </c>
      <c r="C57" t="s">
        <v>28</v>
      </c>
      <c r="D57" t="s">
        <v>758</v>
      </c>
      <c r="E57" t="s">
        <v>760</v>
      </c>
      <c r="F57">
        <v>1</v>
      </c>
      <c r="G57" t="s">
        <v>761</v>
      </c>
      <c r="H57" s="1">
        <v>46296</v>
      </c>
      <c r="I57" t="s">
        <v>762</v>
      </c>
      <c r="J57">
        <v>1</v>
      </c>
      <c r="K57" s="1">
        <v>46296</v>
      </c>
      <c r="L57" s="8">
        <v>800000</v>
      </c>
    </row>
    <row r="58" spans="1:12" x14ac:dyDescent="0.25">
      <c r="A58" t="s">
        <v>773</v>
      </c>
      <c r="B58" t="s">
        <v>2199</v>
      </c>
      <c r="C58" t="s">
        <v>28</v>
      </c>
      <c r="D58" t="s">
        <v>774</v>
      </c>
      <c r="E58" t="s">
        <v>778</v>
      </c>
      <c r="F58">
        <v>6</v>
      </c>
      <c r="G58" t="s">
        <v>768</v>
      </c>
      <c r="H58" s="1">
        <v>46054</v>
      </c>
      <c r="I58" t="s">
        <v>386</v>
      </c>
      <c r="J58">
        <v>1</v>
      </c>
      <c r="K58" s="1">
        <v>46054</v>
      </c>
      <c r="L58" s="8">
        <v>124000</v>
      </c>
    </row>
    <row r="59" spans="1:12" x14ac:dyDescent="0.25">
      <c r="A59" t="s">
        <v>773</v>
      </c>
      <c r="B59" t="s">
        <v>2199</v>
      </c>
      <c r="C59" t="s">
        <v>28</v>
      </c>
      <c r="D59" t="s">
        <v>774</v>
      </c>
      <c r="E59" t="s">
        <v>781</v>
      </c>
      <c r="F59">
        <v>6</v>
      </c>
      <c r="G59" t="s">
        <v>768</v>
      </c>
      <c r="H59" s="1">
        <v>46054</v>
      </c>
      <c r="I59" t="s">
        <v>386</v>
      </c>
      <c r="J59">
        <v>1</v>
      </c>
      <c r="K59" s="1">
        <v>46054</v>
      </c>
      <c r="L59" s="8">
        <v>8000</v>
      </c>
    </row>
    <row r="60" spans="1:12" x14ac:dyDescent="0.25">
      <c r="A60" t="s">
        <v>773</v>
      </c>
      <c r="B60" t="s">
        <v>2199</v>
      </c>
      <c r="C60" t="s">
        <v>28</v>
      </c>
      <c r="D60" t="s">
        <v>774</v>
      </c>
      <c r="E60" t="s">
        <v>780</v>
      </c>
      <c r="F60">
        <v>6</v>
      </c>
      <c r="G60" t="s">
        <v>768</v>
      </c>
      <c r="H60" s="1">
        <v>46054</v>
      </c>
      <c r="I60" t="s">
        <v>386</v>
      </c>
      <c r="J60">
        <v>1</v>
      </c>
      <c r="K60" s="1">
        <v>46054</v>
      </c>
      <c r="L60" s="8">
        <v>25000</v>
      </c>
    </row>
    <row r="61" spans="1:12" x14ac:dyDescent="0.25">
      <c r="A61" t="s">
        <v>773</v>
      </c>
      <c r="B61" t="s">
        <v>2199</v>
      </c>
      <c r="C61" t="s">
        <v>28</v>
      </c>
      <c r="D61" t="s">
        <v>774</v>
      </c>
      <c r="E61" t="s">
        <v>779</v>
      </c>
      <c r="F61">
        <v>6</v>
      </c>
      <c r="G61" t="s">
        <v>768</v>
      </c>
      <c r="H61" s="1">
        <v>46054</v>
      </c>
      <c r="I61" t="s">
        <v>386</v>
      </c>
      <c r="J61">
        <v>1</v>
      </c>
      <c r="K61" s="1">
        <v>46054</v>
      </c>
      <c r="L61" s="8">
        <v>70000</v>
      </c>
    </row>
    <row r="62" spans="1:12" x14ac:dyDescent="0.25">
      <c r="A62" t="s">
        <v>773</v>
      </c>
      <c r="B62" t="s">
        <v>2199</v>
      </c>
      <c r="C62" t="s">
        <v>28</v>
      </c>
      <c r="D62" t="s">
        <v>774</v>
      </c>
      <c r="E62" t="s">
        <v>777</v>
      </c>
      <c r="F62">
        <v>6</v>
      </c>
      <c r="G62" t="s">
        <v>768</v>
      </c>
      <c r="H62" s="1">
        <v>46054</v>
      </c>
      <c r="I62" t="s">
        <v>386</v>
      </c>
      <c r="J62">
        <v>1</v>
      </c>
      <c r="K62" s="1">
        <v>46054</v>
      </c>
      <c r="L62" s="8">
        <v>699036</v>
      </c>
    </row>
    <row r="63" spans="1:12" x14ac:dyDescent="0.25">
      <c r="A63" t="s">
        <v>773</v>
      </c>
      <c r="B63" t="s">
        <v>2199</v>
      </c>
      <c r="C63" t="s">
        <v>28</v>
      </c>
      <c r="D63" t="s">
        <v>774</v>
      </c>
      <c r="E63" t="s">
        <v>776</v>
      </c>
      <c r="F63">
        <v>6</v>
      </c>
      <c r="G63" t="s">
        <v>768</v>
      </c>
      <c r="H63" s="1">
        <v>46054</v>
      </c>
      <c r="I63" t="s">
        <v>386</v>
      </c>
      <c r="J63">
        <v>1</v>
      </c>
      <c r="K63" s="1">
        <v>46054</v>
      </c>
      <c r="L63" s="8">
        <v>240012</v>
      </c>
    </row>
    <row r="64" spans="1:12" x14ac:dyDescent="0.25">
      <c r="A64" t="s">
        <v>787</v>
      </c>
      <c r="B64" t="s">
        <v>2199</v>
      </c>
      <c r="C64" t="s">
        <v>28</v>
      </c>
      <c r="D64" t="s">
        <v>788</v>
      </c>
      <c r="E64" t="s">
        <v>359</v>
      </c>
      <c r="F64">
        <v>2</v>
      </c>
      <c r="G64" t="s">
        <v>790</v>
      </c>
      <c r="H64" s="1">
        <v>46082</v>
      </c>
      <c r="I64" t="s">
        <v>791</v>
      </c>
      <c r="J64">
        <v>1</v>
      </c>
      <c r="K64" s="1">
        <v>46082</v>
      </c>
      <c r="L64" s="8">
        <v>921162</v>
      </c>
    </row>
    <row r="65" spans="1:12" x14ac:dyDescent="0.25">
      <c r="A65" t="s">
        <v>787</v>
      </c>
      <c r="B65" t="s">
        <v>2199</v>
      </c>
      <c r="C65" t="s">
        <v>28</v>
      </c>
      <c r="D65" t="s">
        <v>788</v>
      </c>
      <c r="E65" t="s">
        <v>195</v>
      </c>
      <c r="F65">
        <v>2</v>
      </c>
      <c r="G65" t="s">
        <v>790</v>
      </c>
      <c r="H65" s="1">
        <v>46082</v>
      </c>
      <c r="I65" t="s">
        <v>791</v>
      </c>
      <c r="J65">
        <v>1</v>
      </c>
      <c r="K65" s="1">
        <v>46082</v>
      </c>
      <c r="L65" s="8">
        <v>86299</v>
      </c>
    </row>
    <row r="66" spans="1:12" x14ac:dyDescent="0.25">
      <c r="A66" t="s">
        <v>811</v>
      </c>
      <c r="B66" t="s">
        <v>2199</v>
      </c>
      <c r="C66" t="s">
        <v>28</v>
      </c>
      <c r="D66" t="s">
        <v>813</v>
      </c>
      <c r="E66" t="s">
        <v>815</v>
      </c>
      <c r="F66">
        <v>1</v>
      </c>
      <c r="G66" t="s">
        <v>790</v>
      </c>
      <c r="H66" s="1">
        <v>46082</v>
      </c>
      <c r="I66" t="s">
        <v>791</v>
      </c>
      <c r="J66">
        <v>1</v>
      </c>
      <c r="K66" s="1">
        <v>46082</v>
      </c>
      <c r="L66" s="8">
        <v>400000</v>
      </c>
    </row>
    <row r="67" spans="1:12" x14ac:dyDescent="0.25">
      <c r="A67" t="s">
        <v>816</v>
      </c>
      <c r="B67" t="s">
        <v>2199</v>
      </c>
      <c r="C67" t="s">
        <v>28</v>
      </c>
      <c r="D67" t="s">
        <v>817</v>
      </c>
      <c r="E67" t="s">
        <v>821</v>
      </c>
      <c r="F67">
        <v>5</v>
      </c>
      <c r="G67" t="s">
        <v>768</v>
      </c>
      <c r="H67" s="1">
        <v>46023</v>
      </c>
      <c r="I67" t="s">
        <v>386</v>
      </c>
      <c r="J67">
        <v>1</v>
      </c>
      <c r="K67" s="1">
        <v>46023</v>
      </c>
      <c r="L67" s="8">
        <v>104004</v>
      </c>
    </row>
    <row r="68" spans="1:12" x14ac:dyDescent="0.25">
      <c r="A68" t="s">
        <v>816</v>
      </c>
      <c r="B68" t="s">
        <v>2199</v>
      </c>
      <c r="C68" t="s">
        <v>28</v>
      </c>
      <c r="D68" t="s">
        <v>817</v>
      </c>
      <c r="E68" t="s">
        <v>821</v>
      </c>
      <c r="F68">
        <v>5</v>
      </c>
      <c r="G68" t="s">
        <v>768</v>
      </c>
      <c r="H68" s="1">
        <v>46082</v>
      </c>
      <c r="I68" t="s">
        <v>386</v>
      </c>
      <c r="J68">
        <v>1</v>
      </c>
      <c r="K68" s="1">
        <v>46082</v>
      </c>
      <c r="L68" s="8">
        <v>1900044</v>
      </c>
    </row>
    <row r="69" spans="1:12" x14ac:dyDescent="0.25">
      <c r="A69" t="s">
        <v>816</v>
      </c>
      <c r="B69" t="s">
        <v>2199</v>
      </c>
      <c r="C69" t="s">
        <v>28</v>
      </c>
      <c r="D69" t="s">
        <v>817</v>
      </c>
      <c r="E69" t="s">
        <v>486</v>
      </c>
      <c r="F69">
        <v>5</v>
      </c>
      <c r="G69" t="s">
        <v>768</v>
      </c>
      <c r="H69" s="1">
        <v>46023</v>
      </c>
      <c r="I69" t="s">
        <v>386</v>
      </c>
      <c r="J69">
        <v>1</v>
      </c>
      <c r="K69" s="1">
        <v>46023</v>
      </c>
      <c r="L69" s="8">
        <v>250000</v>
      </c>
    </row>
    <row r="70" spans="1:12" x14ac:dyDescent="0.25">
      <c r="A70" t="s">
        <v>816</v>
      </c>
      <c r="B70" t="s">
        <v>2199</v>
      </c>
      <c r="C70" t="s">
        <v>28</v>
      </c>
      <c r="D70" t="s">
        <v>817</v>
      </c>
      <c r="E70" t="s">
        <v>819</v>
      </c>
      <c r="F70">
        <v>5</v>
      </c>
      <c r="G70" t="s">
        <v>768</v>
      </c>
      <c r="H70" s="1">
        <v>46113</v>
      </c>
      <c r="I70" t="s">
        <v>386</v>
      </c>
      <c r="J70">
        <v>1</v>
      </c>
      <c r="K70" s="1">
        <v>46113</v>
      </c>
      <c r="L70" s="8">
        <v>1450010</v>
      </c>
    </row>
    <row r="71" spans="1:12" x14ac:dyDescent="0.25">
      <c r="A71" t="s">
        <v>816</v>
      </c>
      <c r="B71" t="s">
        <v>2199</v>
      </c>
      <c r="C71" t="s">
        <v>28</v>
      </c>
      <c r="D71" t="s">
        <v>817</v>
      </c>
      <c r="E71" t="s">
        <v>820</v>
      </c>
      <c r="F71">
        <v>5</v>
      </c>
      <c r="G71" t="s">
        <v>768</v>
      </c>
      <c r="H71" s="1">
        <v>46023</v>
      </c>
      <c r="I71" t="s">
        <v>386</v>
      </c>
      <c r="J71">
        <v>1</v>
      </c>
      <c r="K71" s="1">
        <v>46023</v>
      </c>
      <c r="L71" s="8">
        <v>1500000</v>
      </c>
    </row>
    <row r="72" spans="1:12" x14ac:dyDescent="0.25">
      <c r="A72" t="s">
        <v>827</v>
      </c>
      <c r="B72" t="s">
        <v>2199</v>
      </c>
      <c r="C72" t="s">
        <v>28</v>
      </c>
      <c r="D72" t="s">
        <v>828</v>
      </c>
      <c r="E72" t="s">
        <v>831</v>
      </c>
      <c r="F72">
        <v>4</v>
      </c>
      <c r="G72" t="s">
        <v>761</v>
      </c>
      <c r="H72" s="1">
        <v>46082</v>
      </c>
      <c r="I72" t="s">
        <v>762</v>
      </c>
      <c r="J72">
        <v>1</v>
      </c>
      <c r="K72" s="1">
        <v>46082</v>
      </c>
      <c r="L72" s="8">
        <v>300000</v>
      </c>
    </row>
    <row r="73" spans="1:12" x14ac:dyDescent="0.25">
      <c r="A73" t="s">
        <v>827</v>
      </c>
      <c r="B73" t="s">
        <v>2199</v>
      </c>
      <c r="C73" t="s">
        <v>28</v>
      </c>
      <c r="D73" t="s">
        <v>828</v>
      </c>
      <c r="E73" t="s">
        <v>830</v>
      </c>
      <c r="F73">
        <v>4</v>
      </c>
      <c r="G73" t="s">
        <v>761</v>
      </c>
      <c r="H73" s="1">
        <v>46082</v>
      </c>
      <c r="I73" t="s">
        <v>762</v>
      </c>
      <c r="J73">
        <v>1</v>
      </c>
      <c r="K73" s="1">
        <v>46082</v>
      </c>
      <c r="L73" s="8">
        <v>176016</v>
      </c>
    </row>
    <row r="74" spans="1:12" x14ac:dyDescent="0.25">
      <c r="A74" t="s">
        <v>827</v>
      </c>
      <c r="B74" t="s">
        <v>2199</v>
      </c>
      <c r="C74" t="s">
        <v>28</v>
      </c>
      <c r="D74" t="s">
        <v>828</v>
      </c>
      <c r="E74" t="s">
        <v>833</v>
      </c>
      <c r="F74">
        <v>4</v>
      </c>
      <c r="G74" t="s">
        <v>761</v>
      </c>
      <c r="H74" s="1">
        <v>46082</v>
      </c>
      <c r="I74" t="s">
        <v>762</v>
      </c>
      <c r="J74">
        <v>1</v>
      </c>
      <c r="K74" s="1">
        <v>46082</v>
      </c>
      <c r="L74" s="8">
        <v>1071050</v>
      </c>
    </row>
    <row r="75" spans="1:12" x14ac:dyDescent="0.25">
      <c r="A75" t="s">
        <v>827</v>
      </c>
      <c r="B75" t="s">
        <v>2199</v>
      </c>
      <c r="C75" t="s">
        <v>28</v>
      </c>
      <c r="D75" t="s">
        <v>828</v>
      </c>
      <c r="E75" t="s">
        <v>832</v>
      </c>
      <c r="F75">
        <v>4</v>
      </c>
      <c r="G75" t="s">
        <v>761</v>
      </c>
      <c r="H75" s="1">
        <v>46023</v>
      </c>
      <c r="I75" t="s">
        <v>762</v>
      </c>
      <c r="J75">
        <v>1</v>
      </c>
      <c r="K75" s="1">
        <v>46023</v>
      </c>
      <c r="L75" s="8">
        <v>150000</v>
      </c>
    </row>
    <row r="76" spans="1:12" x14ac:dyDescent="0.25">
      <c r="A76" t="s">
        <v>834</v>
      </c>
      <c r="B76" t="s">
        <v>2199</v>
      </c>
      <c r="C76" t="s">
        <v>28</v>
      </c>
      <c r="D76" t="s">
        <v>835</v>
      </c>
      <c r="E76" t="s">
        <v>370</v>
      </c>
      <c r="F76">
        <v>1</v>
      </c>
      <c r="G76" t="s">
        <v>790</v>
      </c>
      <c r="H76" s="1">
        <v>46204</v>
      </c>
      <c r="I76" t="s">
        <v>791</v>
      </c>
      <c r="J76">
        <v>1</v>
      </c>
      <c r="K76" s="1">
        <v>46204</v>
      </c>
      <c r="L76" s="8">
        <v>400000</v>
      </c>
    </row>
    <row r="77" spans="1:12" x14ac:dyDescent="0.25">
      <c r="A77" t="s">
        <v>837</v>
      </c>
      <c r="B77" t="s">
        <v>2199</v>
      </c>
      <c r="C77" t="s">
        <v>28</v>
      </c>
      <c r="D77" t="s">
        <v>838</v>
      </c>
      <c r="E77" t="s">
        <v>840</v>
      </c>
      <c r="F77">
        <v>1</v>
      </c>
      <c r="G77" t="s">
        <v>768</v>
      </c>
      <c r="H77" s="1">
        <v>46023</v>
      </c>
      <c r="I77" t="s">
        <v>386</v>
      </c>
      <c r="J77">
        <v>1</v>
      </c>
      <c r="K77" s="1">
        <v>46023</v>
      </c>
      <c r="L77" s="8">
        <v>130000</v>
      </c>
    </row>
    <row r="78" spans="1:12" x14ac:dyDescent="0.25">
      <c r="A78" t="s">
        <v>860</v>
      </c>
      <c r="B78" t="s">
        <v>2199</v>
      </c>
      <c r="C78" t="s">
        <v>28</v>
      </c>
      <c r="D78" t="s">
        <v>861</v>
      </c>
      <c r="E78" t="s">
        <v>863</v>
      </c>
      <c r="F78">
        <v>1</v>
      </c>
      <c r="G78" t="s">
        <v>864</v>
      </c>
      <c r="H78" s="1">
        <v>46023</v>
      </c>
      <c r="I78" t="s">
        <v>865</v>
      </c>
      <c r="J78">
        <v>1</v>
      </c>
      <c r="K78" s="1">
        <v>46023</v>
      </c>
      <c r="L78" s="8">
        <v>370107</v>
      </c>
    </row>
    <row r="79" spans="1:12" x14ac:dyDescent="0.25">
      <c r="A79" t="s">
        <v>868</v>
      </c>
      <c r="B79" t="s">
        <v>2199</v>
      </c>
      <c r="C79" t="s">
        <v>28</v>
      </c>
      <c r="D79" t="s">
        <v>869</v>
      </c>
      <c r="E79" t="s">
        <v>807</v>
      </c>
      <c r="F79">
        <v>1</v>
      </c>
      <c r="G79" t="s">
        <v>624</v>
      </c>
      <c r="H79" s="1">
        <v>46143</v>
      </c>
      <c r="I79" t="s">
        <v>625</v>
      </c>
      <c r="J79">
        <v>1</v>
      </c>
      <c r="K79" s="1">
        <v>46143</v>
      </c>
      <c r="L79" s="8">
        <v>3000000</v>
      </c>
    </row>
    <row r="80" spans="1:12" x14ac:dyDescent="0.25">
      <c r="A80" t="s">
        <v>871</v>
      </c>
      <c r="B80" t="s">
        <v>2199</v>
      </c>
      <c r="C80" t="s">
        <v>28</v>
      </c>
      <c r="D80" t="s">
        <v>872</v>
      </c>
      <c r="E80" t="s">
        <v>874</v>
      </c>
      <c r="F80">
        <v>1</v>
      </c>
      <c r="G80" t="s">
        <v>761</v>
      </c>
      <c r="H80" s="1">
        <v>46204</v>
      </c>
      <c r="I80" t="s">
        <v>762</v>
      </c>
      <c r="J80">
        <v>1</v>
      </c>
      <c r="K80" s="1">
        <v>46204</v>
      </c>
      <c r="L80" s="8">
        <v>472004</v>
      </c>
    </row>
    <row r="81" spans="1:12" x14ac:dyDescent="0.25">
      <c r="A81" t="s">
        <v>875</v>
      </c>
      <c r="B81" t="s">
        <v>2199</v>
      </c>
      <c r="C81" t="s">
        <v>28</v>
      </c>
      <c r="D81" t="s">
        <v>876</v>
      </c>
      <c r="E81" t="s">
        <v>878</v>
      </c>
      <c r="F81">
        <v>1</v>
      </c>
      <c r="G81" t="s">
        <v>761</v>
      </c>
      <c r="H81" s="1">
        <v>46082</v>
      </c>
      <c r="I81" t="s">
        <v>762</v>
      </c>
      <c r="J81">
        <v>1</v>
      </c>
      <c r="K81" s="1">
        <v>46082</v>
      </c>
      <c r="L81" s="8">
        <v>600000</v>
      </c>
    </row>
    <row r="82" spans="1:12" x14ac:dyDescent="0.25">
      <c r="A82" t="s">
        <v>879</v>
      </c>
      <c r="B82" t="s">
        <v>2199</v>
      </c>
      <c r="C82" t="s">
        <v>28</v>
      </c>
      <c r="D82" t="s">
        <v>880</v>
      </c>
      <c r="E82" t="s">
        <v>882</v>
      </c>
      <c r="F82">
        <v>3</v>
      </c>
      <c r="G82" t="s">
        <v>761</v>
      </c>
      <c r="H82" s="1">
        <v>46143</v>
      </c>
      <c r="I82" t="s">
        <v>762</v>
      </c>
      <c r="J82">
        <v>1</v>
      </c>
      <c r="K82" s="1">
        <v>46143</v>
      </c>
      <c r="L82" s="8">
        <v>3700004</v>
      </c>
    </row>
    <row r="83" spans="1:12" x14ac:dyDescent="0.25">
      <c r="A83" t="s">
        <v>879</v>
      </c>
      <c r="B83" t="s">
        <v>2199</v>
      </c>
      <c r="C83" t="s">
        <v>28</v>
      </c>
      <c r="D83" t="s">
        <v>880</v>
      </c>
      <c r="E83" t="s">
        <v>883</v>
      </c>
      <c r="F83">
        <v>3</v>
      </c>
      <c r="G83" t="s">
        <v>761</v>
      </c>
      <c r="H83" s="1">
        <v>46143</v>
      </c>
      <c r="I83" t="s">
        <v>762</v>
      </c>
      <c r="J83">
        <v>1</v>
      </c>
      <c r="K83" s="1">
        <v>46143</v>
      </c>
      <c r="L83" s="8">
        <v>2200020</v>
      </c>
    </row>
    <row r="84" spans="1:12" x14ac:dyDescent="0.25">
      <c r="A84" t="s">
        <v>879</v>
      </c>
      <c r="B84" t="s">
        <v>2199</v>
      </c>
      <c r="C84" t="s">
        <v>28</v>
      </c>
      <c r="D84" t="s">
        <v>880</v>
      </c>
      <c r="E84" t="s">
        <v>62</v>
      </c>
      <c r="F84">
        <v>3</v>
      </c>
      <c r="G84" t="s">
        <v>761</v>
      </c>
      <c r="H84" s="1">
        <v>46143</v>
      </c>
      <c r="I84" t="s">
        <v>762</v>
      </c>
      <c r="J84">
        <v>1</v>
      </c>
      <c r="K84" s="1">
        <v>46143</v>
      </c>
      <c r="L84" s="8">
        <v>200000</v>
      </c>
    </row>
    <row r="85" spans="1:12" x14ac:dyDescent="0.25">
      <c r="A85" t="s">
        <v>884</v>
      </c>
      <c r="B85" t="s">
        <v>2199</v>
      </c>
      <c r="C85" t="s">
        <v>28</v>
      </c>
      <c r="D85" t="s">
        <v>885</v>
      </c>
      <c r="E85" t="s">
        <v>821</v>
      </c>
      <c r="F85">
        <v>3</v>
      </c>
      <c r="G85" t="s">
        <v>761</v>
      </c>
      <c r="H85" s="1">
        <v>46113</v>
      </c>
      <c r="I85" t="s">
        <v>762</v>
      </c>
      <c r="J85">
        <v>1</v>
      </c>
      <c r="K85" s="1">
        <v>46113</v>
      </c>
      <c r="L85" s="8">
        <v>1030006</v>
      </c>
    </row>
    <row r="86" spans="1:12" x14ac:dyDescent="0.25">
      <c r="A86" t="s">
        <v>884</v>
      </c>
      <c r="B86" t="s">
        <v>2199</v>
      </c>
      <c r="C86" t="s">
        <v>28</v>
      </c>
      <c r="D86" t="s">
        <v>885</v>
      </c>
      <c r="E86" t="s">
        <v>883</v>
      </c>
      <c r="F86">
        <v>3</v>
      </c>
      <c r="G86" t="s">
        <v>761</v>
      </c>
      <c r="H86" s="1">
        <v>46174</v>
      </c>
      <c r="I86" t="s">
        <v>762</v>
      </c>
      <c r="J86">
        <v>1</v>
      </c>
      <c r="K86" s="1">
        <v>46174</v>
      </c>
      <c r="L86" s="8">
        <v>800000</v>
      </c>
    </row>
    <row r="87" spans="1:12" x14ac:dyDescent="0.25">
      <c r="A87" t="s">
        <v>884</v>
      </c>
      <c r="B87" t="s">
        <v>2199</v>
      </c>
      <c r="C87" t="s">
        <v>28</v>
      </c>
      <c r="D87" t="s">
        <v>885</v>
      </c>
      <c r="E87" t="s">
        <v>887</v>
      </c>
      <c r="F87">
        <v>3</v>
      </c>
      <c r="G87" t="s">
        <v>761</v>
      </c>
      <c r="H87" s="1">
        <v>46023</v>
      </c>
      <c r="I87" t="s">
        <v>762</v>
      </c>
      <c r="J87">
        <v>1</v>
      </c>
      <c r="K87" s="1">
        <v>46023</v>
      </c>
      <c r="L87" s="8">
        <v>900000</v>
      </c>
    </row>
    <row r="88" spans="1:12" x14ac:dyDescent="0.25">
      <c r="A88" t="s">
        <v>888</v>
      </c>
      <c r="B88" t="s">
        <v>2199</v>
      </c>
      <c r="C88" t="s">
        <v>28</v>
      </c>
      <c r="D88" t="s">
        <v>889</v>
      </c>
      <c r="E88" t="s">
        <v>891</v>
      </c>
      <c r="F88">
        <v>1</v>
      </c>
      <c r="G88" t="s">
        <v>309</v>
      </c>
      <c r="H88" s="1">
        <v>46204</v>
      </c>
      <c r="I88" t="s">
        <v>893</v>
      </c>
      <c r="J88">
        <v>12</v>
      </c>
      <c r="K88" t="s">
        <v>892</v>
      </c>
      <c r="L88" s="8">
        <v>31250000</v>
      </c>
    </row>
    <row r="89" spans="1:12" x14ac:dyDescent="0.25">
      <c r="A89" t="s">
        <v>895</v>
      </c>
      <c r="B89" t="s">
        <v>2199</v>
      </c>
      <c r="C89" t="s">
        <v>28</v>
      </c>
      <c r="D89" t="s">
        <v>896</v>
      </c>
      <c r="E89" t="s">
        <v>898</v>
      </c>
      <c r="F89">
        <v>1</v>
      </c>
      <c r="G89" t="s">
        <v>899</v>
      </c>
      <c r="H89" s="1">
        <v>46082</v>
      </c>
      <c r="I89" t="s">
        <v>900</v>
      </c>
      <c r="J89">
        <v>1</v>
      </c>
      <c r="K89" s="1">
        <v>46082</v>
      </c>
      <c r="L89" s="8">
        <v>200000</v>
      </c>
    </row>
    <row r="90" spans="1:12" x14ac:dyDescent="0.25">
      <c r="A90" t="s">
        <v>903</v>
      </c>
      <c r="B90" t="s">
        <v>2199</v>
      </c>
      <c r="C90" t="s">
        <v>28</v>
      </c>
      <c r="D90" t="s">
        <v>904</v>
      </c>
      <c r="E90" t="s">
        <v>359</v>
      </c>
      <c r="F90">
        <v>7</v>
      </c>
      <c r="G90" t="s">
        <v>906</v>
      </c>
      <c r="H90" s="1">
        <v>46054</v>
      </c>
      <c r="I90" t="s">
        <v>907</v>
      </c>
      <c r="J90">
        <v>1</v>
      </c>
      <c r="K90" s="1">
        <v>46054</v>
      </c>
      <c r="L90" s="8">
        <v>107000</v>
      </c>
    </row>
    <row r="91" spans="1:12" x14ac:dyDescent="0.25">
      <c r="A91" t="s">
        <v>903</v>
      </c>
      <c r="B91" t="s">
        <v>2199</v>
      </c>
      <c r="C91" t="s">
        <v>28</v>
      </c>
      <c r="D91" t="s">
        <v>904</v>
      </c>
      <c r="E91" t="s">
        <v>912</v>
      </c>
      <c r="F91">
        <v>7</v>
      </c>
      <c r="G91" t="s">
        <v>906</v>
      </c>
      <c r="H91" s="1">
        <v>46054</v>
      </c>
      <c r="I91" t="s">
        <v>907</v>
      </c>
      <c r="J91">
        <v>1</v>
      </c>
      <c r="K91" s="1">
        <v>46054</v>
      </c>
      <c r="L91" s="8">
        <v>15000</v>
      </c>
    </row>
    <row r="92" spans="1:12" x14ac:dyDescent="0.25">
      <c r="A92" t="s">
        <v>903</v>
      </c>
      <c r="B92" t="s">
        <v>2199</v>
      </c>
      <c r="C92" t="s">
        <v>28</v>
      </c>
      <c r="D92" t="s">
        <v>904</v>
      </c>
      <c r="E92" t="s">
        <v>914</v>
      </c>
      <c r="F92">
        <v>7</v>
      </c>
      <c r="G92" t="s">
        <v>906</v>
      </c>
      <c r="H92" s="1">
        <v>46054</v>
      </c>
      <c r="I92" t="s">
        <v>907</v>
      </c>
      <c r="J92">
        <v>1</v>
      </c>
      <c r="K92" s="1">
        <v>46054</v>
      </c>
      <c r="L92" s="8">
        <v>10000</v>
      </c>
    </row>
    <row r="93" spans="1:12" x14ac:dyDescent="0.25">
      <c r="A93" t="s">
        <v>903</v>
      </c>
      <c r="B93" t="s">
        <v>2199</v>
      </c>
      <c r="C93" t="s">
        <v>28</v>
      </c>
      <c r="D93" t="s">
        <v>904</v>
      </c>
      <c r="E93" t="s">
        <v>911</v>
      </c>
      <c r="F93">
        <v>7</v>
      </c>
      <c r="G93" t="s">
        <v>906</v>
      </c>
      <c r="H93" s="1">
        <v>46143</v>
      </c>
      <c r="I93" t="s">
        <v>907</v>
      </c>
      <c r="J93">
        <v>1</v>
      </c>
      <c r="K93" s="1">
        <v>46143</v>
      </c>
      <c r="L93" s="8">
        <v>25000</v>
      </c>
    </row>
    <row r="94" spans="1:12" x14ac:dyDescent="0.25">
      <c r="A94" t="s">
        <v>903</v>
      </c>
      <c r="B94" t="s">
        <v>2199</v>
      </c>
      <c r="C94" t="s">
        <v>28</v>
      </c>
      <c r="D94" t="s">
        <v>904</v>
      </c>
      <c r="E94" t="s">
        <v>913</v>
      </c>
      <c r="F94">
        <v>7</v>
      </c>
      <c r="G94" t="s">
        <v>906</v>
      </c>
      <c r="H94" s="1">
        <v>46327</v>
      </c>
      <c r="I94" t="s">
        <v>907</v>
      </c>
      <c r="J94">
        <v>1</v>
      </c>
      <c r="K94" s="1">
        <v>46327</v>
      </c>
      <c r="L94" s="8">
        <v>120000</v>
      </c>
    </row>
    <row r="95" spans="1:12" x14ac:dyDescent="0.25">
      <c r="A95" t="s">
        <v>903</v>
      </c>
      <c r="B95" t="s">
        <v>2199</v>
      </c>
      <c r="C95" t="s">
        <v>28</v>
      </c>
      <c r="D95" t="s">
        <v>904</v>
      </c>
      <c r="E95" t="s">
        <v>602</v>
      </c>
      <c r="F95">
        <v>7</v>
      </c>
      <c r="G95" t="s">
        <v>906</v>
      </c>
      <c r="H95" s="1">
        <v>46143</v>
      </c>
      <c r="I95" t="s">
        <v>907</v>
      </c>
      <c r="J95">
        <v>1</v>
      </c>
      <c r="K95" s="1">
        <v>46143</v>
      </c>
      <c r="L95" s="8">
        <v>1400001</v>
      </c>
    </row>
    <row r="96" spans="1:12" x14ac:dyDescent="0.25">
      <c r="A96" t="s">
        <v>903</v>
      </c>
      <c r="B96" t="s">
        <v>2199</v>
      </c>
      <c r="C96" t="s">
        <v>28</v>
      </c>
      <c r="D96" t="s">
        <v>904</v>
      </c>
      <c r="E96" t="s">
        <v>910</v>
      </c>
      <c r="F96">
        <v>7</v>
      </c>
      <c r="G96" t="s">
        <v>906</v>
      </c>
      <c r="H96" s="1">
        <v>46143</v>
      </c>
      <c r="I96" t="s">
        <v>907</v>
      </c>
      <c r="J96">
        <v>1</v>
      </c>
      <c r="K96" s="1">
        <v>46143</v>
      </c>
      <c r="L96" s="8">
        <v>45000000</v>
      </c>
    </row>
    <row r="97" spans="1:12" x14ac:dyDescent="0.25">
      <c r="A97" t="s">
        <v>922</v>
      </c>
      <c r="B97" t="s">
        <v>2199</v>
      </c>
      <c r="C97" t="s">
        <v>28</v>
      </c>
      <c r="D97" t="s">
        <v>923</v>
      </c>
      <c r="E97" t="s">
        <v>891</v>
      </c>
      <c r="F97">
        <v>1</v>
      </c>
      <c r="G97" t="s">
        <v>926</v>
      </c>
      <c r="H97" s="1">
        <v>46143</v>
      </c>
      <c r="I97" t="s">
        <v>893</v>
      </c>
      <c r="J97">
        <v>12</v>
      </c>
      <c r="K97" t="s">
        <v>925</v>
      </c>
      <c r="L97" s="8">
        <v>23333328</v>
      </c>
    </row>
    <row r="98" spans="1:12" x14ac:dyDescent="0.25">
      <c r="A98" t="s">
        <v>930</v>
      </c>
      <c r="B98" t="s">
        <v>2199</v>
      </c>
      <c r="C98" t="s">
        <v>28</v>
      </c>
      <c r="D98" t="s">
        <v>931</v>
      </c>
      <c r="E98" t="s">
        <v>933</v>
      </c>
      <c r="F98">
        <v>1</v>
      </c>
      <c r="G98" t="s">
        <v>934</v>
      </c>
      <c r="H98" s="1">
        <v>46023</v>
      </c>
      <c r="I98" t="s">
        <v>935</v>
      </c>
      <c r="J98">
        <v>1</v>
      </c>
      <c r="K98" s="1">
        <v>46023</v>
      </c>
      <c r="L98" s="8">
        <v>681264</v>
      </c>
    </row>
    <row r="99" spans="1:12" x14ac:dyDescent="0.25">
      <c r="A99" t="s">
        <v>177</v>
      </c>
      <c r="B99" t="s">
        <v>2196</v>
      </c>
      <c r="C99" t="s">
        <v>28</v>
      </c>
      <c r="D99" t="s">
        <v>179</v>
      </c>
      <c r="E99" t="s">
        <v>181</v>
      </c>
      <c r="F99">
        <v>1</v>
      </c>
      <c r="G99" t="s">
        <v>182</v>
      </c>
      <c r="H99" s="1">
        <v>45444</v>
      </c>
      <c r="I99" t="s">
        <v>183</v>
      </c>
      <c r="J99">
        <v>24</v>
      </c>
      <c r="K99" t="s">
        <v>73</v>
      </c>
      <c r="L99" s="8">
        <v>905196910</v>
      </c>
    </row>
    <row r="100" spans="1:12" x14ac:dyDescent="0.25">
      <c r="A100" t="s">
        <v>938</v>
      </c>
      <c r="B100" t="s">
        <v>2199</v>
      </c>
      <c r="C100" t="s">
        <v>28</v>
      </c>
      <c r="D100" t="s">
        <v>939</v>
      </c>
      <c r="E100" t="s">
        <v>946</v>
      </c>
      <c r="F100">
        <v>3</v>
      </c>
      <c r="G100" t="s">
        <v>942</v>
      </c>
      <c r="H100" s="1">
        <v>46113</v>
      </c>
      <c r="I100" t="s">
        <v>943</v>
      </c>
      <c r="J100">
        <v>1</v>
      </c>
      <c r="K100" s="1">
        <v>46113</v>
      </c>
      <c r="L100" s="8">
        <v>2175000</v>
      </c>
    </row>
    <row r="101" spans="1:12" x14ac:dyDescent="0.25">
      <c r="A101" t="s">
        <v>938</v>
      </c>
      <c r="B101" t="s">
        <v>2199</v>
      </c>
      <c r="C101" t="s">
        <v>28</v>
      </c>
      <c r="D101" t="s">
        <v>939</v>
      </c>
      <c r="E101" t="s">
        <v>945</v>
      </c>
      <c r="F101">
        <v>3</v>
      </c>
      <c r="G101" t="s">
        <v>942</v>
      </c>
      <c r="H101" s="1">
        <v>46113</v>
      </c>
      <c r="I101" t="s">
        <v>943</v>
      </c>
      <c r="J101">
        <v>1</v>
      </c>
      <c r="K101" s="1">
        <v>46113</v>
      </c>
      <c r="L101" s="8">
        <v>8155836</v>
      </c>
    </row>
    <row r="102" spans="1:12" x14ac:dyDescent="0.25">
      <c r="A102" t="s">
        <v>938</v>
      </c>
      <c r="B102" t="s">
        <v>2199</v>
      </c>
      <c r="C102" t="s">
        <v>28</v>
      </c>
      <c r="D102" t="s">
        <v>939</v>
      </c>
      <c r="E102" t="s">
        <v>941</v>
      </c>
      <c r="F102">
        <v>3</v>
      </c>
      <c r="G102" t="s">
        <v>942</v>
      </c>
      <c r="H102" s="1">
        <v>46113</v>
      </c>
      <c r="I102" t="s">
        <v>943</v>
      </c>
      <c r="J102">
        <v>1</v>
      </c>
      <c r="K102" s="1">
        <v>46113</v>
      </c>
      <c r="L102" s="8">
        <v>1672500</v>
      </c>
    </row>
    <row r="103" spans="1:12" x14ac:dyDescent="0.25">
      <c r="A103" t="s">
        <v>947</v>
      </c>
      <c r="B103" t="s">
        <v>2199</v>
      </c>
      <c r="C103" t="s">
        <v>28</v>
      </c>
      <c r="D103" t="s">
        <v>948</v>
      </c>
      <c r="E103" t="s">
        <v>486</v>
      </c>
      <c r="F103">
        <v>2</v>
      </c>
      <c r="G103" t="s">
        <v>950</v>
      </c>
      <c r="H103" s="1">
        <v>46082</v>
      </c>
      <c r="I103" t="s">
        <v>951</v>
      </c>
      <c r="J103">
        <v>1</v>
      </c>
      <c r="K103" s="1">
        <v>46082</v>
      </c>
      <c r="L103" s="8">
        <v>509936</v>
      </c>
    </row>
    <row r="104" spans="1:12" x14ac:dyDescent="0.25">
      <c r="A104" t="s">
        <v>947</v>
      </c>
      <c r="B104" t="s">
        <v>2199</v>
      </c>
      <c r="C104" t="s">
        <v>28</v>
      </c>
      <c r="D104" t="s">
        <v>948</v>
      </c>
      <c r="E104" t="s">
        <v>953</v>
      </c>
      <c r="F104">
        <v>2</v>
      </c>
      <c r="G104" t="s">
        <v>950</v>
      </c>
      <c r="H104" s="1">
        <v>46082</v>
      </c>
      <c r="I104" t="s">
        <v>951</v>
      </c>
      <c r="J104">
        <v>1</v>
      </c>
      <c r="K104" s="1">
        <v>46082</v>
      </c>
      <c r="L104" s="8">
        <v>48000</v>
      </c>
    </row>
    <row r="105" spans="1:12" x14ac:dyDescent="0.25">
      <c r="A105" t="s">
        <v>954</v>
      </c>
      <c r="B105" t="s">
        <v>2199</v>
      </c>
      <c r="C105" t="s">
        <v>28</v>
      </c>
      <c r="D105" t="s">
        <v>955</v>
      </c>
      <c r="E105" t="s">
        <v>359</v>
      </c>
      <c r="F105">
        <v>3</v>
      </c>
      <c r="G105" t="s">
        <v>958</v>
      </c>
      <c r="H105" s="1">
        <v>46235</v>
      </c>
      <c r="I105" t="s">
        <v>959</v>
      </c>
      <c r="J105">
        <v>1</v>
      </c>
      <c r="K105" s="1">
        <v>46235</v>
      </c>
      <c r="L105" s="8">
        <v>185040</v>
      </c>
    </row>
    <row r="106" spans="1:12" x14ac:dyDescent="0.25">
      <c r="A106" t="s">
        <v>954</v>
      </c>
      <c r="B106" t="s">
        <v>2199</v>
      </c>
      <c r="C106" t="s">
        <v>28</v>
      </c>
      <c r="D106" t="s">
        <v>955</v>
      </c>
      <c r="E106" t="s">
        <v>962</v>
      </c>
      <c r="F106">
        <v>3</v>
      </c>
      <c r="G106" t="s">
        <v>958</v>
      </c>
      <c r="H106" s="1">
        <v>46235</v>
      </c>
      <c r="I106" t="s">
        <v>959</v>
      </c>
      <c r="J106">
        <v>1</v>
      </c>
      <c r="K106" s="1">
        <v>46235</v>
      </c>
      <c r="L106" s="8">
        <v>270160</v>
      </c>
    </row>
    <row r="107" spans="1:12" x14ac:dyDescent="0.25">
      <c r="A107" t="s">
        <v>954</v>
      </c>
      <c r="B107" t="s">
        <v>2199</v>
      </c>
      <c r="C107" t="s">
        <v>28</v>
      </c>
      <c r="D107" t="s">
        <v>955</v>
      </c>
      <c r="E107" t="s">
        <v>957</v>
      </c>
      <c r="F107">
        <v>3</v>
      </c>
      <c r="G107" t="s">
        <v>958</v>
      </c>
      <c r="H107" s="1">
        <v>46235</v>
      </c>
      <c r="I107" t="s">
        <v>959</v>
      </c>
      <c r="J107">
        <v>1</v>
      </c>
      <c r="K107" s="1">
        <v>46235</v>
      </c>
      <c r="L107" s="8">
        <v>220000</v>
      </c>
    </row>
    <row r="108" spans="1:12" x14ac:dyDescent="0.25">
      <c r="A108" t="s">
        <v>963</v>
      </c>
      <c r="B108" t="s">
        <v>2199</v>
      </c>
      <c r="C108" t="s">
        <v>28</v>
      </c>
      <c r="D108" t="s">
        <v>964</v>
      </c>
      <c r="E108" t="s">
        <v>623</v>
      </c>
      <c r="F108">
        <v>1</v>
      </c>
      <c r="G108" t="s">
        <v>768</v>
      </c>
      <c r="H108" s="1">
        <v>46054</v>
      </c>
      <c r="I108" t="s">
        <v>966</v>
      </c>
      <c r="J108">
        <v>1</v>
      </c>
      <c r="K108" s="1">
        <v>46054</v>
      </c>
      <c r="L108" s="8">
        <v>700002</v>
      </c>
    </row>
    <row r="109" spans="1:12" x14ac:dyDescent="0.25">
      <c r="A109" t="s">
        <v>969</v>
      </c>
      <c r="B109" t="s">
        <v>2199</v>
      </c>
      <c r="C109" t="s">
        <v>28</v>
      </c>
      <c r="D109" t="s">
        <v>970</v>
      </c>
      <c r="E109" t="s">
        <v>623</v>
      </c>
      <c r="F109">
        <v>1</v>
      </c>
      <c r="G109" t="s">
        <v>768</v>
      </c>
      <c r="H109" s="1">
        <v>46054</v>
      </c>
      <c r="I109" t="s">
        <v>966</v>
      </c>
      <c r="J109">
        <v>1</v>
      </c>
      <c r="K109" s="1">
        <v>46054</v>
      </c>
      <c r="L109" s="8">
        <v>7000008</v>
      </c>
    </row>
    <row r="110" spans="1:12" x14ac:dyDescent="0.25">
      <c r="A110" t="s">
        <v>972</v>
      </c>
      <c r="B110" t="s">
        <v>2199</v>
      </c>
      <c r="C110" t="s">
        <v>28</v>
      </c>
      <c r="D110" t="s">
        <v>973</v>
      </c>
      <c r="E110" t="s">
        <v>623</v>
      </c>
      <c r="F110">
        <v>1</v>
      </c>
      <c r="G110" t="s">
        <v>768</v>
      </c>
      <c r="H110" s="1">
        <v>46082</v>
      </c>
      <c r="I110" t="s">
        <v>966</v>
      </c>
      <c r="J110">
        <v>1</v>
      </c>
      <c r="K110" s="1">
        <v>46082</v>
      </c>
      <c r="L110" s="8">
        <v>800000</v>
      </c>
    </row>
    <row r="111" spans="1:12" x14ac:dyDescent="0.25">
      <c r="A111" t="s">
        <v>975</v>
      </c>
      <c r="B111" t="s">
        <v>2199</v>
      </c>
      <c r="C111" t="s">
        <v>28</v>
      </c>
      <c r="D111" t="s">
        <v>976</v>
      </c>
      <c r="E111" t="s">
        <v>623</v>
      </c>
      <c r="F111">
        <v>1</v>
      </c>
      <c r="G111" t="s">
        <v>768</v>
      </c>
      <c r="H111" s="1">
        <v>46054</v>
      </c>
      <c r="I111" t="s">
        <v>966</v>
      </c>
      <c r="J111">
        <v>1</v>
      </c>
      <c r="K111" s="1">
        <v>46054</v>
      </c>
      <c r="L111" s="8">
        <v>3500000</v>
      </c>
    </row>
    <row r="112" spans="1:12" x14ac:dyDescent="0.25">
      <c r="A112" t="s">
        <v>978</v>
      </c>
      <c r="B112" t="s">
        <v>2199</v>
      </c>
      <c r="C112" t="s">
        <v>28</v>
      </c>
      <c r="D112" t="s">
        <v>979</v>
      </c>
      <c r="E112" t="s">
        <v>623</v>
      </c>
      <c r="F112">
        <v>1</v>
      </c>
      <c r="G112" t="s">
        <v>768</v>
      </c>
      <c r="H112" s="1">
        <v>46082</v>
      </c>
      <c r="I112" t="s">
        <v>966</v>
      </c>
      <c r="J112">
        <v>1</v>
      </c>
      <c r="K112" s="1">
        <v>46082</v>
      </c>
      <c r="L112" s="8">
        <v>2000000</v>
      </c>
    </row>
    <row r="113" spans="1:12" x14ac:dyDescent="0.25">
      <c r="A113" t="s">
        <v>981</v>
      </c>
      <c r="B113" t="s">
        <v>2199</v>
      </c>
      <c r="C113" t="s">
        <v>28</v>
      </c>
      <c r="D113" t="s">
        <v>982</v>
      </c>
      <c r="E113" t="s">
        <v>623</v>
      </c>
      <c r="F113">
        <v>1</v>
      </c>
      <c r="G113" t="s">
        <v>768</v>
      </c>
      <c r="H113" s="1">
        <v>46113</v>
      </c>
      <c r="I113" t="s">
        <v>966</v>
      </c>
      <c r="J113">
        <v>1</v>
      </c>
      <c r="K113" s="1">
        <v>46113</v>
      </c>
      <c r="L113" s="8">
        <v>800004</v>
      </c>
    </row>
    <row r="114" spans="1:12" x14ac:dyDescent="0.25">
      <c r="A114" t="s">
        <v>984</v>
      </c>
      <c r="B114" t="s">
        <v>2199</v>
      </c>
      <c r="C114" t="s">
        <v>28</v>
      </c>
      <c r="D114" t="s">
        <v>985</v>
      </c>
      <c r="E114" t="s">
        <v>623</v>
      </c>
      <c r="F114">
        <v>1</v>
      </c>
      <c r="G114" t="s">
        <v>768</v>
      </c>
      <c r="H114" s="1">
        <v>46023</v>
      </c>
      <c r="I114" t="s">
        <v>966</v>
      </c>
      <c r="J114">
        <v>1</v>
      </c>
      <c r="K114" s="1">
        <v>46023</v>
      </c>
      <c r="L114" s="8">
        <v>600000</v>
      </c>
    </row>
    <row r="115" spans="1:12" x14ac:dyDescent="0.25">
      <c r="A115" t="s">
        <v>987</v>
      </c>
      <c r="B115" t="s">
        <v>2199</v>
      </c>
      <c r="C115" t="s">
        <v>28</v>
      </c>
      <c r="D115" t="s">
        <v>988</v>
      </c>
      <c r="E115" t="s">
        <v>623</v>
      </c>
      <c r="F115">
        <v>1</v>
      </c>
      <c r="G115" t="s">
        <v>768</v>
      </c>
      <c r="H115" s="1">
        <v>46204</v>
      </c>
      <c r="I115" t="s">
        <v>966</v>
      </c>
      <c r="J115">
        <v>1</v>
      </c>
      <c r="K115" s="1">
        <v>46204</v>
      </c>
      <c r="L115" s="8">
        <v>4000000</v>
      </c>
    </row>
    <row r="116" spans="1:12" x14ac:dyDescent="0.25">
      <c r="A116" t="s">
        <v>990</v>
      </c>
      <c r="B116" t="s">
        <v>2199</v>
      </c>
      <c r="C116" t="s">
        <v>28</v>
      </c>
      <c r="D116" t="s">
        <v>991</v>
      </c>
      <c r="E116" t="s">
        <v>623</v>
      </c>
      <c r="F116">
        <v>1</v>
      </c>
      <c r="G116" t="s">
        <v>768</v>
      </c>
      <c r="H116" s="1">
        <v>46082</v>
      </c>
      <c r="I116" t="s">
        <v>966</v>
      </c>
      <c r="J116">
        <v>1</v>
      </c>
      <c r="K116" s="1">
        <v>46082</v>
      </c>
      <c r="L116" s="8">
        <v>5500000</v>
      </c>
    </row>
    <row r="117" spans="1:12" x14ac:dyDescent="0.25">
      <c r="A117" t="s">
        <v>993</v>
      </c>
      <c r="B117" t="s">
        <v>2199</v>
      </c>
      <c r="C117" t="s">
        <v>28</v>
      </c>
      <c r="D117" t="s">
        <v>994</v>
      </c>
      <c r="E117" t="s">
        <v>623</v>
      </c>
      <c r="F117">
        <v>1</v>
      </c>
      <c r="G117" t="s">
        <v>768</v>
      </c>
      <c r="H117" s="1">
        <v>46113</v>
      </c>
      <c r="I117" t="s">
        <v>966</v>
      </c>
      <c r="J117">
        <v>1</v>
      </c>
      <c r="K117" s="1">
        <v>46113</v>
      </c>
      <c r="L117" s="8">
        <v>3000000</v>
      </c>
    </row>
    <row r="118" spans="1:12" x14ac:dyDescent="0.25">
      <c r="A118" t="s">
        <v>996</v>
      </c>
      <c r="B118" t="s">
        <v>2199</v>
      </c>
      <c r="C118" t="s">
        <v>28</v>
      </c>
      <c r="D118" t="s">
        <v>997</v>
      </c>
      <c r="E118" t="s">
        <v>486</v>
      </c>
      <c r="F118">
        <v>1</v>
      </c>
      <c r="G118" t="s">
        <v>934</v>
      </c>
      <c r="H118" s="1">
        <v>46023</v>
      </c>
      <c r="I118" t="s">
        <v>935</v>
      </c>
      <c r="J118">
        <v>1</v>
      </c>
      <c r="K118" s="1">
        <v>46023</v>
      </c>
      <c r="L118" s="8">
        <v>60000</v>
      </c>
    </row>
    <row r="119" spans="1:12" x14ac:dyDescent="0.25">
      <c r="A119" t="s">
        <v>1000</v>
      </c>
      <c r="B119" t="s">
        <v>2199</v>
      </c>
      <c r="C119" t="s">
        <v>28</v>
      </c>
      <c r="D119" t="s">
        <v>1001</v>
      </c>
      <c r="E119" t="s">
        <v>623</v>
      </c>
      <c r="F119">
        <v>1</v>
      </c>
      <c r="G119" t="s">
        <v>768</v>
      </c>
      <c r="H119" s="1">
        <v>46204</v>
      </c>
      <c r="I119" t="s">
        <v>966</v>
      </c>
      <c r="J119">
        <v>1</v>
      </c>
      <c r="K119" s="1">
        <v>46174</v>
      </c>
      <c r="L119" s="8">
        <v>1500000</v>
      </c>
    </row>
    <row r="120" spans="1:12" x14ac:dyDescent="0.25">
      <c r="A120" t="s">
        <v>1003</v>
      </c>
      <c r="B120" t="s">
        <v>2199</v>
      </c>
      <c r="C120" t="s">
        <v>28</v>
      </c>
      <c r="D120" t="s">
        <v>1004</v>
      </c>
      <c r="E120" t="s">
        <v>1006</v>
      </c>
      <c r="F120">
        <v>1</v>
      </c>
      <c r="G120" t="s">
        <v>768</v>
      </c>
      <c r="H120" s="1">
        <v>46082</v>
      </c>
      <c r="I120" t="s">
        <v>966</v>
      </c>
      <c r="J120">
        <v>4</v>
      </c>
      <c r="K120" t="s">
        <v>1007</v>
      </c>
      <c r="L120" s="8">
        <v>17500000</v>
      </c>
    </row>
    <row r="121" spans="1:12" x14ac:dyDescent="0.25">
      <c r="A121" t="s">
        <v>313</v>
      </c>
      <c r="B121" t="s">
        <v>2196</v>
      </c>
      <c r="C121" t="s">
        <v>28</v>
      </c>
      <c r="D121" t="s">
        <v>315</v>
      </c>
      <c r="E121" t="s">
        <v>317</v>
      </c>
      <c r="F121">
        <v>1</v>
      </c>
      <c r="G121" t="s">
        <v>319</v>
      </c>
      <c r="H121" s="1">
        <v>45839</v>
      </c>
      <c r="I121" t="s">
        <v>320</v>
      </c>
      <c r="J121">
        <v>12</v>
      </c>
      <c r="K121" t="s">
        <v>318</v>
      </c>
      <c r="L121" s="8">
        <v>36208337</v>
      </c>
    </row>
    <row r="122" spans="1:12" x14ac:dyDescent="0.25">
      <c r="A122" t="s">
        <v>1008</v>
      </c>
      <c r="B122" t="s">
        <v>2199</v>
      </c>
      <c r="C122" t="s">
        <v>28</v>
      </c>
      <c r="D122" t="s">
        <v>1010</v>
      </c>
      <c r="E122" t="s">
        <v>1012</v>
      </c>
      <c r="F122">
        <v>1</v>
      </c>
      <c r="G122" t="s">
        <v>768</v>
      </c>
      <c r="H122" s="1">
        <v>46143</v>
      </c>
      <c r="I122" t="s">
        <v>966</v>
      </c>
      <c r="J122">
        <v>1</v>
      </c>
      <c r="K122" s="1">
        <v>46143</v>
      </c>
      <c r="L122" s="8">
        <v>1820000</v>
      </c>
    </row>
    <row r="123" spans="1:12" x14ac:dyDescent="0.25">
      <c r="A123" t="s">
        <v>323</v>
      </c>
      <c r="B123" t="s">
        <v>2196</v>
      </c>
      <c r="C123" t="s">
        <v>28</v>
      </c>
      <c r="D123" t="s">
        <v>324</v>
      </c>
      <c r="E123" t="s">
        <v>326</v>
      </c>
      <c r="F123">
        <v>1</v>
      </c>
      <c r="G123" t="s">
        <v>319</v>
      </c>
      <c r="H123" s="1">
        <v>45870</v>
      </c>
      <c r="I123" t="s">
        <v>320</v>
      </c>
      <c r="J123">
        <v>12</v>
      </c>
      <c r="K123" t="s">
        <v>318</v>
      </c>
      <c r="L123" s="8">
        <v>28875000</v>
      </c>
    </row>
    <row r="124" spans="1:12" x14ac:dyDescent="0.25">
      <c r="A124" t="s">
        <v>1013</v>
      </c>
      <c r="B124" t="s">
        <v>2199</v>
      </c>
      <c r="C124" t="s">
        <v>28</v>
      </c>
      <c r="D124" t="s">
        <v>1014</v>
      </c>
      <c r="E124" t="s">
        <v>623</v>
      </c>
      <c r="F124">
        <v>1</v>
      </c>
      <c r="G124" t="s">
        <v>768</v>
      </c>
      <c r="H124" s="1">
        <v>46082</v>
      </c>
      <c r="I124" t="s">
        <v>966</v>
      </c>
      <c r="J124">
        <v>1</v>
      </c>
      <c r="K124" s="1">
        <v>46082</v>
      </c>
      <c r="L124" s="8">
        <v>1200000</v>
      </c>
    </row>
    <row r="125" spans="1:12" x14ac:dyDescent="0.25">
      <c r="A125" t="s">
        <v>328</v>
      </c>
      <c r="B125" t="s">
        <v>2196</v>
      </c>
      <c r="C125" t="s">
        <v>28</v>
      </c>
      <c r="D125" t="s">
        <v>329</v>
      </c>
      <c r="E125" t="s">
        <v>331</v>
      </c>
      <c r="F125">
        <v>1</v>
      </c>
      <c r="G125" t="s">
        <v>332</v>
      </c>
      <c r="H125" s="1">
        <v>45839</v>
      </c>
      <c r="I125" t="s">
        <v>333</v>
      </c>
      <c r="J125">
        <v>12</v>
      </c>
      <c r="K125" t="s">
        <v>308</v>
      </c>
      <c r="L125" s="8">
        <v>52500000</v>
      </c>
    </row>
    <row r="126" spans="1:12" x14ac:dyDescent="0.25">
      <c r="A126" t="s">
        <v>1016</v>
      </c>
      <c r="B126" t="s">
        <v>2199</v>
      </c>
      <c r="C126" t="s">
        <v>28</v>
      </c>
      <c r="D126" t="s">
        <v>1017</v>
      </c>
      <c r="E126" t="s">
        <v>623</v>
      </c>
      <c r="F126">
        <v>1</v>
      </c>
      <c r="G126" t="s">
        <v>768</v>
      </c>
      <c r="H126" s="1">
        <v>46174</v>
      </c>
      <c r="I126" t="s">
        <v>966</v>
      </c>
      <c r="J126">
        <v>1</v>
      </c>
      <c r="K126" s="1">
        <v>46174</v>
      </c>
      <c r="L126" s="8">
        <v>2500020</v>
      </c>
    </row>
    <row r="127" spans="1:12" x14ac:dyDescent="0.25">
      <c r="A127" t="s">
        <v>337</v>
      </c>
      <c r="B127" t="s">
        <v>2196</v>
      </c>
      <c r="C127" t="s">
        <v>28</v>
      </c>
      <c r="D127" t="s">
        <v>338</v>
      </c>
      <c r="E127" t="s">
        <v>340</v>
      </c>
      <c r="F127">
        <v>1</v>
      </c>
      <c r="G127" t="s">
        <v>341</v>
      </c>
      <c r="H127" s="1">
        <v>45809</v>
      </c>
      <c r="I127" t="s">
        <v>342</v>
      </c>
      <c r="J127">
        <v>18</v>
      </c>
      <c r="K127" t="s">
        <v>206</v>
      </c>
      <c r="L127" s="8">
        <v>11000004</v>
      </c>
    </row>
    <row r="128" spans="1:12" x14ac:dyDescent="0.25">
      <c r="A128" t="s">
        <v>1019</v>
      </c>
      <c r="B128" t="s">
        <v>2199</v>
      </c>
      <c r="C128" t="s">
        <v>28</v>
      </c>
      <c r="D128" t="s">
        <v>1020</v>
      </c>
      <c r="E128" t="s">
        <v>121</v>
      </c>
      <c r="F128">
        <v>1</v>
      </c>
      <c r="G128" t="s">
        <v>768</v>
      </c>
      <c r="H128" s="1">
        <v>46235</v>
      </c>
      <c r="I128" t="s">
        <v>966</v>
      </c>
      <c r="J128">
        <v>1</v>
      </c>
      <c r="K128" s="1">
        <v>46235</v>
      </c>
      <c r="L128" s="8">
        <v>2500000</v>
      </c>
    </row>
    <row r="129" spans="1:12" x14ac:dyDescent="0.25">
      <c r="A129" t="s">
        <v>355</v>
      </c>
      <c r="B129" t="s">
        <v>2196</v>
      </c>
      <c r="C129" t="s">
        <v>28</v>
      </c>
      <c r="D129" t="s">
        <v>357</v>
      </c>
      <c r="E129" t="s">
        <v>359</v>
      </c>
      <c r="F129">
        <v>1</v>
      </c>
      <c r="G129" t="s">
        <v>360</v>
      </c>
      <c r="H129" s="1">
        <v>45870</v>
      </c>
      <c r="I129" t="s">
        <v>361</v>
      </c>
      <c r="J129">
        <v>12</v>
      </c>
      <c r="K129" t="s">
        <v>318</v>
      </c>
      <c r="L129" s="8">
        <v>30250000</v>
      </c>
    </row>
    <row r="130" spans="1:12" x14ac:dyDescent="0.25">
      <c r="A130" t="s">
        <v>1022</v>
      </c>
      <c r="B130" t="s">
        <v>2199</v>
      </c>
      <c r="C130" t="s">
        <v>28</v>
      </c>
      <c r="D130" t="s">
        <v>1023</v>
      </c>
      <c r="E130" t="s">
        <v>623</v>
      </c>
      <c r="F130">
        <v>1</v>
      </c>
      <c r="G130" t="s">
        <v>768</v>
      </c>
      <c r="H130" s="1">
        <v>46235</v>
      </c>
      <c r="I130" t="s">
        <v>966</v>
      </c>
      <c r="J130">
        <v>1</v>
      </c>
      <c r="K130" s="1">
        <v>46235</v>
      </c>
      <c r="L130" s="8">
        <v>2500000</v>
      </c>
    </row>
    <row r="131" spans="1:12" x14ac:dyDescent="0.25">
      <c r="A131" t="s">
        <v>366</v>
      </c>
      <c r="B131" t="s">
        <v>2196</v>
      </c>
      <c r="C131" t="s">
        <v>28</v>
      </c>
      <c r="D131" t="s">
        <v>368</v>
      </c>
      <c r="E131" t="s">
        <v>370</v>
      </c>
      <c r="F131">
        <v>1</v>
      </c>
      <c r="G131" t="s">
        <v>341</v>
      </c>
      <c r="H131" s="1">
        <v>45870</v>
      </c>
      <c r="I131" t="s">
        <v>372</v>
      </c>
      <c r="J131">
        <v>12</v>
      </c>
      <c r="K131" t="s">
        <v>371</v>
      </c>
      <c r="L131" s="8">
        <v>80000000</v>
      </c>
    </row>
    <row r="132" spans="1:12" x14ac:dyDescent="0.25">
      <c r="A132" t="s">
        <v>1025</v>
      </c>
      <c r="B132" t="s">
        <v>2199</v>
      </c>
      <c r="C132" t="s">
        <v>28</v>
      </c>
      <c r="D132" t="s">
        <v>1026</v>
      </c>
      <c r="E132" t="s">
        <v>1028</v>
      </c>
      <c r="F132">
        <v>1</v>
      </c>
      <c r="G132" t="s">
        <v>768</v>
      </c>
      <c r="H132" s="1">
        <v>46327</v>
      </c>
      <c r="I132" t="s">
        <v>386</v>
      </c>
      <c r="J132">
        <v>12</v>
      </c>
      <c r="K132" t="s">
        <v>1029</v>
      </c>
      <c r="L132" s="8">
        <v>0</v>
      </c>
    </row>
    <row r="133" spans="1:12" x14ac:dyDescent="0.25">
      <c r="A133" t="s">
        <v>382</v>
      </c>
      <c r="B133" t="s">
        <v>2196</v>
      </c>
      <c r="C133" t="s">
        <v>28</v>
      </c>
      <c r="D133" t="s">
        <v>383</v>
      </c>
      <c r="E133" t="s">
        <v>326</v>
      </c>
      <c r="F133">
        <v>1</v>
      </c>
      <c r="G133" t="s">
        <v>385</v>
      </c>
      <c r="H133" s="1">
        <v>45870</v>
      </c>
      <c r="I133" t="s">
        <v>386</v>
      </c>
      <c r="J133">
        <v>12</v>
      </c>
      <c r="K133" t="s">
        <v>318</v>
      </c>
      <c r="L133" s="8">
        <v>16041663</v>
      </c>
    </row>
    <row r="134" spans="1:12" x14ac:dyDescent="0.25">
      <c r="A134" t="s">
        <v>1039</v>
      </c>
      <c r="B134" t="s">
        <v>2199</v>
      </c>
      <c r="C134" t="s">
        <v>28</v>
      </c>
      <c r="D134" t="s">
        <v>1040</v>
      </c>
      <c r="E134" t="s">
        <v>486</v>
      </c>
      <c r="F134">
        <v>1</v>
      </c>
      <c r="G134" t="s">
        <v>768</v>
      </c>
      <c r="H134" s="1">
        <v>46082</v>
      </c>
      <c r="I134" t="s">
        <v>386</v>
      </c>
      <c r="J134">
        <v>1</v>
      </c>
      <c r="K134" s="1">
        <v>46082</v>
      </c>
      <c r="L134" s="8">
        <v>816730</v>
      </c>
    </row>
    <row r="135" spans="1:12" x14ac:dyDescent="0.25">
      <c r="A135" t="s">
        <v>389</v>
      </c>
      <c r="B135" t="s">
        <v>2196</v>
      </c>
      <c r="C135" t="s">
        <v>28</v>
      </c>
      <c r="D135" t="s">
        <v>390</v>
      </c>
      <c r="E135" t="s">
        <v>326</v>
      </c>
      <c r="F135">
        <v>1</v>
      </c>
      <c r="G135" t="s">
        <v>378</v>
      </c>
      <c r="H135" s="1">
        <v>45870</v>
      </c>
      <c r="I135" t="s">
        <v>361</v>
      </c>
      <c r="J135">
        <v>12</v>
      </c>
      <c r="K135" t="s">
        <v>318</v>
      </c>
      <c r="L135" s="8">
        <v>16500000</v>
      </c>
    </row>
    <row r="136" spans="1:12" x14ac:dyDescent="0.25">
      <c r="A136" t="s">
        <v>1042</v>
      </c>
      <c r="B136" t="s">
        <v>2199</v>
      </c>
      <c r="C136" t="s">
        <v>28</v>
      </c>
      <c r="D136" t="s">
        <v>1044</v>
      </c>
      <c r="E136" t="s">
        <v>1012</v>
      </c>
      <c r="F136">
        <v>1</v>
      </c>
      <c r="G136" t="s">
        <v>531</v>
      </c>
      <c r="H136" s="1">
        <v>46023</v>
      </c>
      <c r="I136" t="s">
        <v>532</v>
      </c>
      <c r="J136">
        <v>12</v>
      </c>
      <c r="K136" t="s">
        <v>413</v>
      </c>
      <c r="L136" s="8">
        <v>60000000</v>
      </c>
    </row>
    <row r="137" spans="1:12" x14ac:dyDescent="0.25">
      <c r="A137" t="s">
        <v>392</v>
      </c>
      <c r="B137" t="s">
        <v>2196</v>
      </c>
      <c r="C137" t="s">
        <v>28</v>
      </c>
      <c r="D137" t="s">
        <v>393</v>
      </c>
      <c r="E137" t="s">
        <v>326</v>
      </c>
      <c r="F137">
        <v>1</v>
      </c>
      <c r="G137" t="s">
        <v>395</v>
      </c>
      <c r="H137" s="1">
        <v>45870</v>
      </c>
      <c r="I137" t="s">
        <v>396</v>
      </c>
      <c r="J137">
        <v>12</v>
      </c>
      <c r="K137" t="s">
        <v>318</v>
      </c>
      <c r="L137" s="8">
        <v>17416663</v>
      </c>
    </row>
    <row r="138" spans="1:12" x14ac:dyDescent="0.25">
      <c r="A138" t="s">
        <v>1047</v>
      </c>
      <c r="B138" t="s">
        <v>2199</v>
      </c>
      <c r="C138" t="s">
        <v>28</v>
      </c>
      <c r="D138" t="s">
        <v>1049</v>
      </c>
      <c r="E138" t="s">
        <v>1012</v>
      </c>
      <c r="F138">
        <v>1</v>
      </c>
      <c r="G138" t="s">
        <v>531</v>
      </c>
      <c r="H138" s="1">
        <v>46023</v>
      </c>
      <c r="I138" t="s">
        <v>1051</v>
      </c>
      <c r="J138">
        <v>12</v>
      </c>
      <c r="K138" t="s">
        <v>413</v>
      </c>
      <c r="L138" s="8">
        <v>11000000</v>
      </c>
    </row>
    <row r="139" spans="1:12" x14ac:dyDescent="0.25">
      <c r="A139" t="s">
        <v>399</v>
      </c>
      <c r="B139" t="s">
        <v>2196</v>
      </c>
      <c r="C139" t="s">
        <v>28</v>
      </c>
      <c r="D139" t="s">
        <v>400</v>
      </c>
      <c r="E139" t="s">
        <v>326</v>
      </c>
      <c r="F139">
        <v>1</v>
      </c>
      <c r="G139" t="s">
        <v>402</v>
      </c>
      <c r="H139" s="1">
        <v>45870</v>
      </c>
      <c r="I139" t="s">
        <v>320</v>
      </c>
      <c r="J139">
        <v>12</v>
      </c>
      <c r="K139" t="s">
        <v>318</v>
      </c>
      <c r="L139" s="8">
        <v>28875000</v>
      </c>
    </row>
    <row r="140" spans="1:12" x14ac:dyDescent="0.25">
      <c r="A140" t="s">
        <v>405</v>
      </c>
      <c r="B140" t="s">
        <v>2196</v>
      </c>
      <c r="C140" t="s">
        <v>28</v>
      </c>
      <c r="D140" t="s">
        <v>406</v>
      </c>
      <c r="E140" t="s">
        <v>326</v>
      </c>
      <c r="F140">
        <v>1</v>
      </c>
      <c r="G140" t="s">
        <v>360</v>
      </c>
      <c r="H140" s="1">
        <v>45870</v>
      </c>
      <c r="I140" t="s">
        <v>361</v>
      </c>
      <c r="J140">
        <v>12</v>
      </c>
      <c r="K140" t="s">
        <v>318</v>
      </c>
      <c r="L140" s="8">
        <v>23833337</v>
      </c>
    </row>
    <row r="141" spans="1:12" x14ac:dyDescent="0.25">
      <c r="A141" t="s">
        <v>1059</v>
      </c>
      <c r="B141" t="s">
        <v>2199</v>
      </c>
      <c r="C141" t="s">
        <v>28</v>
      </c>
      <c r="D141" t="s">
        <v>1060</v>
      </c>
      <c r="E141" t="s">
        <v>1062</v>
      </c>
      <c r="F141">
        <v>2</v>
      </c>
      <c r="G141" t="s">
        <v>790</v>
      </c>
      <c r="H141" s="1">
        <v>46296</v>
      </c>
      <c r="I141" t="s">
        <v>791</v>
      </c>
      <c r="J141">
        <v>1</v>
      </c>
      <c r="K141" s="1">
        <v>46296</v>
      </c>
      <c r="L141" s="8">
        <v>400000</v>
      </c>
    </row>
    <row r="142" spans="1:12" x14ac:dyDescent="0.25">
      <c r="A142" t="s">
        <v>1059</v>
      </c>
      <c r="B142" t="s">
        <v>2199</v>
      </c>
      <c r="C142" t="s">
        <v>28</v>
      </c>
      <c r="D142" t="s">
        <v>1060</v>
      </c>
      <c r="E142" t="s">
        <v>486</v>
      </c>
      <c r="F142">
        <v>2</v>
      </c>
      <c r="G142" t="s">
        <v>790</v>
      </c>
      <c r="H142" s="1">
        <v>46296</v>
      </c>
      <c r="I142" t="s">
        <v>791</v>
      </c>
      <c r="J142">
        <v>1</v>
      </c>
      <c r="K142" s="1">
        <v>46296</v>
      </c>
      <c r="L142" s="8">
        <v>110006</v>
      </c>
    </row>
    <row r="143" spans="1:12" x14ac:dyDescent="0.25">
      <c r="A143" t="s">
        <v>408</v>
      </c>
      <c r="B143" t="s">
        <v>2196</v>
      </c>
      <c r="C143" t="s">
        <v>28</v>
      </c>
      <c r="D143" t="s">
        <v>410</v>
      </c>
      <c r="E143" t="s">
        <v>412</v>
      </c>
      <c r="F143">
        <v>1</v>
      </c>
      <c r="G143" t="s">
        <v>414</v>
      </c>
      <c r="H143" s="1">
        <v>45870</v>
      </c>
      <c r="I143" t="s">
        <v>415</v>
      </c>
      <c r="J143">
        <v>12</v>
      </c>
      <c r="K143" t="s">
        <v>413</v>
      </c>
      <c r="L143" s="8">
        <v>500000000</v>
      </c>
    </row>
    <row r="144" spans="1:12" x14ac:dyDescent="0.25">
      <c r="A144" t="s">
        <v>1063</v>
      </c>
      <c r="B144" t="s">
        <v>2199</v>
      </c>
      <c r="C144" t="s">
        <v>28</v>
      </c>
      <c r="D144" t="s">
        <v>1064</v>
      </c>
      <c r="E144" t="s">
        <v>486</v>
      </c>
      <c r="F144">
        <v>2</v>
      </c>
      <c r="G144" t="s">
        <v>790</v>
      </c>
      <c r="H144" s="1">
        <v>46296</v>
      </c>
      <c r="I144" t="s">
        <v>791</v>
      </c>
      <c r="J144">
        <v>1</v>
      </c>
      <c r="K144" s="1">
        <v>46296</v>
      </c>
      <c r="L144" s="8">
        <v>50000</v>
      </c>
    </row>
    <row r="145" spans="1:12" x14ac:dyDescent="0.25">
      <c r="A145" t="s">
        <v>1063</v>
      </c>
      <c r="B145" t="s">
        <v>2199</v>
      </c>
      <c r="C145" t="s">
        <v>28</v>
      </c>
      <c r="D145" t="s">
        <v>1064</v>
      </c>
      <c r="E145" t="s">
        <v>602</v>
      </c>
      <c r="F145">
        <v>2</v>
      </c>
      <c r="G145" t="s">
        <v>790</v>
      </c>
      <c r="H145" s="1">
        <v>46296</v>
      </c>
      <c r="I145" t="s">
        <v>791</v>
      </c>
      <c r="J145">
        <v>1</v>
      </c>
      <c r="K145" s="1">
        <v>46296</v>
      </c>
      <c r="L145" s="8">
        <v>400000</v>
      </c>
    </row>
    <row r="146" spans="1:12" x14ac:dyDescent="0.25">
      <c r="A146" t="s">
        <v>418</v>
      </c>
      <c r="B146" t="s">
        <v>2196</v>
      </c>
      <c r="C146" t="s">
        <v>28</v>
      </c>
      <c r="D146" t="s">
        <v>419</v>
      </c>
      <c r="E146" t="s">
        <v>421</v>
      </c>
      <c r="F146">
        <v>1</v>
      </c>
      <c r="G146" t="s">
        <v>422</v>
      </c>
      <c r="H146" s="1">
        <v>45870</v>
      </c>
      <c r="I146" t="s">
        <v>423</v>
      </c>
      <c r="J146">
        <v>12</v>
      </c>
      <c r="K146" t="s">
        <v>318</v>
      </c>
      <c r="L146" s="8">
        <v>87524976</v>
      </c>
    </row>
    <row r="147" spans="1:12" x14ac:dyDescent="0.25">
      <c r="A147" t="s">
        <v>1069</v>
      </c>
      <c r="B147" t="s">
        <v>2199</v>
      </c>
      <c r="C147" t="s">
        <v>28</v>
      </c>
      <c r="D147" t="s">
        <v>1070</v>
      </c>
      <c r="E147" t="s">
        <v>819</v>
      </c>
      <c r="F147">
        <v>1</v>
      </c>
      <c r="G147" t="s">
        <v>934</v>
      </c>
      <c r="H147" s="1">
        <v>46023</v>
      </c>
      <c r="I147" t="s">
        <v>935</v>
      </c>
      <c r="J147">
        <v>1</v>
      </c>
      <c r="K147" s="1">
        <v>46023</v>
      </c>
      <c r="L147" s="8">
        <v>450000</v>
      </c>
    </row>
    <row r="148" spans="1:12" x14ac:dyDescent="0.25">
      <c r="A148" t="s">
        <v>426</v>
      </c>
      <c r="B148" t="s">
        <v>2196</v>
      </c>
      <c r="C148" t="s">
        <v>28</v>
      </c>
      <c r="D148" t="s">
        <v>428</v>
      </c>
      <c r="E148" t="s">
        <v>412</v>
      </c>
      <c r="F148">
        <v>1</v>
      </c>
      <c r="G148" t="s">
        <v>430</v>
      </c>
      <c r="H148" s="1">
        <v>45870</v>
      </c>
      <c r="I148" t="s">
        <v>431</v>
      </c>
      <c r="J148">
        <v>12</v>
      </c>
      <c r="K148" t="s">
        <v>318</v>
      </c>
      <c r="L148" s="8">
        <v>48583326</v>
      </c>
    </row>
    <row r="149" spans="1:12" x14ac:dyDescent="0.25">
      <c r="A149" t="s">
        <v>1072</v>
      </c>
      <c r="B149" t="s">
        <v>2199</v>
      </c>
      <c r="C149" t="s">
        <v>28</v>
      </c>
      <c r="D149" t="s">
        <v>1073</v>
      </c>
      <c r="E149" t="s">
        <v>486</v>
      </c>
      <c r="F149">
        <v>1</v>
      </c>
      <c r="G149" t="s">
        <v>1075</v>
      </c>
      <c r="H149" s="1">
        <v>46054</v>
      </c>
      <c r="I149" t="s">
        <v>1076</v>
      </c>
      <c r="J149">
        <v>1</v>
      </c>
      <c r="K149" s="1">
        <v>46054</v>
      </c>
      <c r="L149" s="8">
        <v>169000</v>
      </c>
    </row>
    <row r="150" spans="1:12" x14ac:dyDescent="0.25">
      <c r="A150" t="s">
        <v>1079</v>
      </c>
      <c r="B150" t="s">
        <v>2199</v>
      </c>
      <c r="C150" t="s">
        <v>28</v>
      </c>
      <c r="D150" t="s">
        <v>1081</v>
      </c>
      <c r="E150" t="s">
        <v>1083</v>
      </c>
      <c r="F150">
        <v>1</v>
      </c>
      <c r="G150" t="s">
        <v>1075</v>
      </c>
      <c r="H150" s="1">
        <v>46082</v>
      </c>
      <c r="I150" t="s">
        <v>1076</v>
      </c>
      <c r="J150">
        <v>1</v>
      </c>
      <c r="K150" s="1">
        <v>46082</v>
      </c>
      <c r="L150" s="8">
        <v>100000</v>
      </c>
    </row>
    <row r="151" spans="1:12" x14ac:dyDescent="0.25">
      <c r="A151" t="s">
        <v>1085</v>
      </c>
      <c r="B151" t="s">
        <v>2199</v>
      </c>
      <c r="C151" t="s">
        <v>28</v>
      </c>
      <c r="D151" t="s">
        <v>1086</v>
      </c>
      <c r="E151" t="s">
        <v>1088</v>
      </c>
      <c r="F151">
        <v>1</v>
      </c>
      <c r="G151" t="s">
        <v>934</v>
      </c>
      <c r="H151" s="1">
        <v>46023</v>
      </c>
      <c r="I151" t="s">
        <v>935</v>
      </c>
      <c r="J151">
        <v>1</v>
      </c>
      <c r="K151" s="1">
        <v>46023</v>
      </c>
      <c r="L151" s="8">
        <v>352600</v>
      </c>
    </row>
    <row r="152" spans="1:12" x14ac:dyDescent="0.25">
      <c r="A152" t="s">
        <v>434</v>
      </c>
      <c r="B152" t="s">
        <v>2196</v>
      </c>
      <c r="C152" t="s">
        <v>28</v>
      </c>
      <c r="D152" t="s">
        <v>435</v>
      </c>
      <c r="E152" t="s">
        <v>359</v>
      </c>
      <c r="F152">
        <v>1</v>
      </c>
      <c r="G152" t="s">
        <v>319</v>
      </c>
      <c r="H152" s="1">
        <v>45870</v>
      </c>
      <c r="I152" t="s">
        <v>320</v>
      </c>
      <c r="J152">
        <v>12</v>
      </c>
      <c r="K152" t="s">
        <v>318</v>
      </c>
      <c r="L152" s="8">
        <v>73333326</v>
      </c>
    </row>
    <row r="153" spans="1:12" x14ac:dyDescent="0.25">
      <c r="A153" t="s">
        <v>1089</v>
      </c>
      <c r="B153" t="s">
        <v>2199</v>
      </c>
      <c r="C153" t="s">
        <v>28</v>
      </c>
      <c r="D153" t="s">
        <v>1090</v>
      </c>
      <c r="E153" t="s">
        <v>781</v>
      </c>
      <c r="F153">
        <v>1</v>
      </c>
      <c r="G153" t="s">
        <v>934</v>
      </c>
      <c r="H153" s="1">
        <v>46054</v>
      </c>
      <c r="I153" t="s">
        <v>935</v>
      </c>
      <c r="J153">
        <v>1</v>
      </c>
      <c r="K153" s="1">
        <v>46054</v>
      </c>
      <c r="L153" s="8">
        <v>50004</v>
      </c>
    </row>
    <row r="154" spans="1:12" x14ac:dyDescent="0.25">
      <c r="A154" t="s">
        <v>438</v>
      </c>
      <c r="B154" t="s">
        <v>2196</v>
      </c>
      <c r="C154" t="s">
        <v>28</v>
      </c>
      <c r="D154" t="s">
        <v>440</v>
      </c>
      <c r="E154" t="s">
        <v>442</v>
      </c>
      <c r="F154">
        <v>2</v>
      </c>
      <c r="G154" t="s">
        <v>360</v>
      </c>
      <c r="H154" s="1">
        <v>45870</v>
      </c>
      <c r="I154" t="s">
        <v>361</v>
      </c>
      <c r="J154">
        <v>12</v>
      </c>
      <c r="K154" t="s">
        <v>413</v>
      </c>
      <c r="L154" s="8">
        <v>3503500</v>
      </c>
    </row>
    <row r="155" spans="1:12" x14ac:dyDescent="0.25">
      <c r="A155" t="s">
        <v>438</v>
      </c>
      <c r="B155" t="s">
        <v>2196</v>
      </c>
      <c r="C155" t="s">
        <v>28</v>
      </c>
      <c r="D155" t="s">
        <v>440</v>
      </c>
      <c r="E155" t="s">
        <v>443</v>
      </c>
      <c r="F155">
        <v>2</v>
      </c>
      <c r="G155" t="s">
        <v>360</v>
      </c>
      <c r="H155" s="1">
        <v>45870</v>
      </c>
      <c r="I155" t="s">
        <v>361</v>
      </c>
      <c r="J155">
        <v>12</v>
      </c>
      <c r="K155" t="s">
        <v>413</v>
      </c>
      <c r="L155" s="8">
        <v>2914000</v>
      </c>
    </row>
    <row r="156" spans="1:12" x14ac:dyDescent="0.25">
      <c r="A156" t="s">
        <v>1092</v>
      </c>
      <c r="B156" t="s">
        <v>2199</v>
      </c>
      <c r="C156" t="s">
        <v>28</v>
      </c>
      <c r="D156" t="s">
        <v>1093</v>
      </c>
      <c r="E156" t="s">
        <v>486</v>
      </c>
      <c r="F156">
        <v>1</v>
      </c>
      <c r="G156" t="s">
        <v>1095</v>
      </c>
      <c r="H156" s="1">
        <v>46296</v>
      </c>
      <c r="I156" t="s">
        <v>1096</v>
      </c>
      <c r="J156">
        <v>1</v>
      </c>
      <c r="K156" s="1">
        <v>46296</v>
      </c>
      <c r="L156" s="8">
        <v>624234</v>
      </c>
    </row>
    <row r="157" spans="1:12" x14ac:dyDescent="0.25">
      <c r="A157" t="s">
        <v>444</v>
      </c>
      <c r="B157" t="s">
        <v>2196</v>
      </c>
      <c r="C157" t="s">
        <v>28</v>
      </c>
      <c r="D157" t="s">
        <v>445</v>
      </c>
      <c r="E157" t="s">
        <v>447</v>
      </c>
      <c r="F157">
        <v>1</v>
      </c>
      <c r="G157" t="s">
        <v>37</v>
      </c>
      <c r="H157" s="1">
        <v>45870</v>
      </c>
      <c r="I157" t="s">
        <v>449</v>
      </c>
      <c r="J157">
        <v>32</v>
      </c>
      <c r="K157" t="s">
        <v>448</v>
      </c>
      <c r="L157" s="8">
        <v>89478000</v>
      </c>
    </row>
    <row r="158" spans="1:12" x14ac:dyDescent="0.25">
      <c r="A158" t="s">
        <v>1099</v>
      </c>
      <c r="B158" t="s">
        <v>2199</v>
      </c>
      <c r="C158" t="s">
        <v>28</v>
      </c>
      <c r="D158" t="s">
        <v>1100</v>
      </c>
      <c r="E158" t="s">
        <v>359</v>
      </c>
      <c r="F158">
        <v>2</v>
      </c>
      <c r="G158" t="s">
        <v>457</v>
      </c>
      <c r="H158" s="1">
        <v>46174</v>
      </c>
      <c r="I158" t="s">
        <v>458</v>
      </c>
      <c r="J158">
        <v>1</v>
      </c>
      <c r="K158" s="1">
        <v>46174</v>
      </c>
      <c r="L158" s="8">
        <v>123178</v>
      </c>
    </row>
    <row r="159" spans="1:12" x14ac:dyDescent="0.25">
      <c r="A159" t="s">
        <v>1099</v>
      </c>
      <c r="B159" t="s">
        <v>2199</v>
      </c>
      <c r="C159" t="s">
        <v>28</v>
      </c>
      <c r="D159" t="s">
        <v>1100</v>
      </c>
      <c r="E159" t="s">
        <v>855</v>
      </c>
      <c r="F159">
        <v>2</v>
      </c>
      <c r="G159" t="s">
        <v>457</v>
      </c>
      <c r="H159" s="1">
        <v>46174</v>
      </c>
      <c r="I159" t="s">
        <v>458</v>
      </c>
      <c r="J159">
        <v>1</v>
      </c>
      <c r="K159" s="1">
        <v>46174</v>
      </c>
      <c r="L159" s="8">
        <v>60060</v>
      </c>
    </row>
    <row r="160" spans="1:12" x14ac:dyDescent="0.25">
      <c r="A160" t="s">
        <v>452</v>
      </c>
      <c r="B160" t="s">
        <v>2196</v>
      </c>
      <c r="C160" t="s">
        <v>28</v>
      </c>
      <c r="D160" t="s">
        <v>454</v>
      </c>
      <c r="E160" t="s">
        <v>456</v>
      </c>
      <c r="F160">
        <v>1</v>
      </c>
      <c r="G160" t="s">
        <v>457</v>
      </c>
      <c r="H160" s="1">
        <v>45870</v>
      </c>
      <c r="I160" t="s">
        <v>458</v>
      </c>
      <c r="J160">
        <v>12</v>
      </c>
      <c r="K160" t="s">
        <v>318</v>
      </c>
      <c r="L160" s="8">
        <v>189933326</v>
      </c>
    </row>
    <row r="161" spans="1:12" x14ac:dyDescent="0.25">
      <c r="A161" t="s">
        <v>1103</v>
      </c>
      <c r="B161" t="s">
        <v>2199</v>
      </c>
      <c r="C161" t="s">
        <v>28</v>
      </c>
      <c r="D161" t="s">
        <v>1104</v>
      </c>
      <c r="E161" t="s">
        <v>807</v>
      </c>
      <c r="F161">
        <v>1</v>
      </c>
      <c r="G161" t="s">
        <v>1106</v>
      </c>
      <c r="H161" s="1">
        <v>46296</v>
      </c>
      <c r="I161" t="s">
        <v>1107</v>
      </c>
      <c r="J161">
        <v>1</v>
      </c>
      <c r="K161" s="1">
        <v>46296</v>
      </c>
      <c r="L161" s="8">
        <v>5696005</v>
      </c>
    </row>
    <row r="162" spans="1:12" x14ac:dyDescent="0.25">
      <c r="A162" t="s">
        <v>461</v>
      </c>
      <c r="B162" t="s">
        <v>2196</v>
      </c>
      <c r="C162" t="s">
        <v>28</v>
      </c>
      <c r="D162" t="s">
        <v>462</v>
      </c>
      <c r="E162" t="s">
        <v>464</v>
      </c>
      <c r="F162">
        <v>1</v>
      </c>
      <c r="G162" t="s">
        <v>465</v>
      </c>
      <c r="H162" s="1">
        <v>45992</v>
      </c>
      <c r="I162" t="s">
        <v>466</v>
      </c>
      <c r="J162">
        <v>12</v>
      </c>
      <c r="K162" t="s">
        <v>413</v>
      </c>
      <c r="L162" s="8">
        <v>246357600</v>
      </c>
    </row>
    <row r="163" spans="1:12" x14ac:dyDescent="0.25">
      <c r="A163" t="s">
        <v>1110</v>
      </c>
      <c r="B163" t="s">
        <v>2199</v>
      </c>
      <c r="C163" t="s">
        <v>28</v>
      </c>
      <c r="D163" t="s">
        <v>1111</v>
      </c>
      <c r="E163" t="s">
        <v>359</v>
      </c>
      <c r="F163">
        <v>2</v>
      </c>
      <c r="G163" t="s">
        <v>457</v>
      </c>
      <c r="H163" s="1">
        <v>46204</v>
      </c>
      <c r="I163" t="s">
        <v>458</v>
      </c>
      <c r="J163">
        <v>1</v>
      </c>
      <c r="K163" s="1">
        <v>46204</v>
      </c>
      <c r="L163" s="8">
        <v>150006</v>
      </c>
    </row>
    <row r="164" spans="1:12" x14ac:dyDescent="0.25">
      <c r="A164" t="s">
        <v>1110</v>
      </c>
      <c r="B164" t="s">
        <v>2199</v>
      </c>
      <c r="C164" t="s">
        <v>28</v>
      </c>
      <c r="D164" t="s">
        <v>1111</v>
      </c>
      <c r="E164" t="s">
        <v>962</v>
      </c>
      <c r="F164">
        <v>2</v>
      </c>
      <c r="G164" t="s">
        <v>457</v>
      </c>
      <c r="H164" s="1">
        <v>46204</v>
      </c>
      <c r="I164" t="s">
        <v>458</v>
      </c>
      <c r="J164">
        <v>1</v>
      </c>
      <c r="K164" s="1">
        <v>46204</v>
      </c>
      <c r="L164" s="8">
        <v>75040</v>
      </c>
    </row>
    <row r="165" spans="1:12" x14ac:dyDescent="0.25">
      <c r="A165" t="s">
        <v>476</v>
      </c>
      <c r="B165" t="s">
        <v>2196</v>
      </c>
      <c r="C165" t="s">
        <v>28</v>
      </c>
      <c r="D165" t="s">
        <v>477</v>
      </c>
      <c r="E165" t="s">
        <v>481</v>
      </c>
      <c r="F165">
        <v>2</v>
      </c>
      <c r="G165" t="s">
        <v>227</v>
      </c>
      <c r="H165" s="1">
        <v>45870</v>
      </c>
      <c r="I165" t="s">
        <v>480</v>
      </c>
      <c r="J165">
        <v>12</v>
      </c>
      <c r="K165" t="s">
        <v>413</v>
      </c>
      <c r="L165" s="8">
        <v>23924290</v>
      </c>
    </row>
    <row r="166" spans="1:12" x14ac:dyDescent="0.25">
      <c r="A166" t="s">
        <v>476</v>
      </c>
      <c r="B166" t="s">
        <v>2196</v>
      </c>
      <c r="C166" t="s">
        <v>28</v>
      </c>
      <c r="D166" t="s">
        <v>477</v>
      </c>
      <c r="E166" t="s">
        <v>479</v>
      </c>
      <c r="F166">
        <v>2</v>
      </c>
      <c r="G166" t="s">
        <v>227</v>
      </c>
      <c r="H166" s="1">
        <v>46023</v>
      </c>
      <c r="I166" t="s">
        <v>480</v>
      </c>
      <c r="J166">
        <v>12</v>
      </c>
      <c r="K166" t="s">
        <v>413</v>
      </c>
      <c r="L166" s="8">
        <v>90702500</v>
      </c>
    </row>
    <row r="167" spans="1:12" x14ac:dyDescent="0.25">
      <c r="A167" t="s">
        <v>1113</v>
      </c>
      <c r="B167" t="s">
        <v>2199</v>
      </c>
      <c r="C167" t="s">
        <v>28</v>
      </c>
      <c r="D167" t="s">
        <v>1115</v>
      </c>
      <c r="E167" t="s">
        <v>1117</v>
      </c>
      <c r="F167">
        <v>1</v>
      </c>
      <c r="G167" t="s">
        <v>309</v>
      </c>
      <c r="H167" s="1">
        <v>46113</v>
      </c>
      <c r="I167" t="s">
        <v>893</v>
      </c>
      <c r="J167">
        <v>32</v>
      </c>
      <c r="K167" t="s">
        <v>1118</v>
      </c>
      <c r="L167" s="8">
        <v>371161848</v>
      </c>
    </row>
    <row r="168" spans="1:12" x14ac:dyDescent="0.25">
      <c r="A168" t="s">
        <v>482</v>
      </c>
      <c r="B168" t="s">
        <v>2196</v>
      </c>
      <c r="C168" t="s">
        <v>28</v>
      </c>
      <c r="D168" t="s">
        <v>484</v>
      </c>
      <c r="E168" t="s">
        <v>486</v>
      </c>
      <c r="F168">
        <v>1</v>
      </c>
      <c r="G168" t="s">
        <v>487</v>
      </c>
      <c r="H168" s="1">
        <v>45870</v>
      </c>
      <c r="I168" t="s">
        <v>488</v>
      </c>
      <c r="J168">
        <v>12</v>
      </c>
      <c r="K168" t="s">
        <v>308</v>
      </c>
      <c r="L168" s="8">
        <v>16817500</v>
      </c>
    </row>
    <row r="169" spans="1:12" x14ac:dyDescent="0.25">
      <c r="A169" t="s">
        <v>1119</v>
      </c>
      <c r="B169" t="s">
        <v>2199</v>
      </c>
      <c r="C169" t="s">
        <v>28</v>
      </c>
      <c r="D169" t="s">
        <v>1120</v>
      </c>
      <c r="E169" t="s">
        <v>1121</v>
      </c>
      <c r="F169">
        <v>1</v>
      </c>
      <c r="G169" t="s">
        <v>1122</v>
      </c>
      <c r="H169" s="1">
        <v>46082</v>
      </c>
      <c r="I169" t="s">
        <v>1123</v>
      </c>
      <c r="J169">
        <v>1</v>
      </c>
      <c r="K169" s="1">
        <v>46082</v>
      </c>
      <c r="L169" s="8">
        <v>600000</v>
      </c>
    </row>
    <row r="170" spans="1:12" x14ac:dyDescent="0.25">
      <c r="A170" t="s">
        <v>493</v>
      </c>
      <c r="B170" t="s">
        <v>2196</v>
      </c>
      <c r="C170" t="s">
        <v>28</v>
      </c>
      <c r="D170" t="s">
        <v>494</v>
      </c>
      <c r="E170" t="s">
        <v>496</v>
      </c>
      <c r="F170">
        <v>1</v>
      </c>
      <c r="G170" t="s">
        <v>497</v>
      </c>
      <c r="H170" s="1">
        <v>45870</v>
      </c>
      <c r="I170" t="s">
        <v>302</v>
      </c>
      <c r="J170">
        <v>24</v>
      </c>
      <c r="K170" t="s">
        <v>278</v>
      </c>
      <c r="L170" s="8">
        <v>72999996</v>
      </c>
    </row>
    <row r="171" spans="1:12" x14ac:dyDescent="0.25">
      <c r="A171" t="s">
        <v>1126</v>
      </c>
      <c r="B171" t="s">
        <v>2199</v>
      </c>
      <c r="C171" t="s">
        <v>28</v>
      </c>
      <c r="D171" t="s">
        <v>1127</v>
      </c>
      <c r="E171" t="s">
        <v>1129</v>
      </c>
      <c r="F171">
        <v>1</v>
      </c>
      <c r="G171" t="s">
        <v>1122</v>
      </c>
      <c r="H171" s="1">
        <v>46082</v>
      </c>
      <c r="I171" t="s">
        <v>1123</v>
      </c>
      <c r="J171">
        <v>1</v>
      </c>
      <c r="K171" s="1">
        <v>46082</v>
      </c>
      <c r="L171" s="8">
        <v>1700000</v>
      </c>
    </row>
    <row r="172" spans="1:12" x14ac:dyDescent="0.25">
      <c r="A172" t="s">
        <v>499</v>
      </c>
      <c r="B172" t="s">
        <v>2196</v>
      </c>
      <c r="C172" t="s">
        <v>28</v>
      </c>
      <c r="D172" t="s">
        <v>501</v>
      </c>
      <c r="E172" t="s">
        <v>503</v>
      </c>
      <c r="F172">
        <v>1</v>
      </c>
      <c r="G172" t="s">
        <v>505</v>
      </c>
      <c r="H172" s="1">
        <v>45870</v>
      </c>
      <c r="I172" t="s">
        <v>506</v>
      </c>
      <c r="J172">
        <v>16</v>
      </c>
      <c r="K172" t="s">
        <v>504</v>
      </c>
      <c r="L172" s="8">
        <v>56250000</v>
      </c>
    </row>
    <row r="173" spans="1:12" x14ac:dyDescent="0.25">
      <c r="A173" t="s">
        <v>1130</v>
      </c>
      <c r="B173" t="s">
        <v>2199</v>
      </c>
      <c r="C173" t="s">
        <v>28</v>
      </c>
      <c r="D173" t="s">
        <v>1131</v>
      </c>
      <c r="E173" t="s">
        <v>1133</v>
      </c>
      <c r="F173">
        <v>1</v>
      </c>
      <c r="G173" t="s">
        <v>1122</v>
      </c>
      <c r="H173" s="1">
        <v>46082</v>
      </c>
      <c r="I173" t="s">
        <v>1123</v>
      </c>
      <c r="J173">
        <v>1</v>
      </c>
      <c r="K173" s="1">
        <v>46082</v>
      </c>
      <c r="L173" s="8">
        <v>1670016</v>
      </c>
    </row>
    <row r="174" spans="1:12" x14ac:dyDescent="0.25">
      <c r="A174" t="s">
        <v>509</v>
      </c>
      <c r="B174" t="s">
        <v>2196</v>
      </c>
      <c r="C174" t="s">
        <v>28</v>
      </c>
      <c r="D174" t="s">
        <v>510</v>
      </c>
      <c r="E174" t="s">
        <v>512</v>
      </c>
      <c r="F174">
        <v>1</v>
      </c>
      <c r="G174" t="s">
        <v>513</v>
      </c>
      <c r="H174" s="1">
        <v>45870</v>
      </c>
      <c r="I174" t="s">
        <v>514</v>
      </c>
      <c r="J174">
        <v>12</v>
      </c>
      <c r="K174" t="s">
        <v>413</v>
      </c>
      <c r="L174" s="8">
        <v>83594337</v>
      </c>
    </row>
    <row r="175" spans="1:12" x14ac:dyDescent="0.25">
      <c r="A175" t="s">
        <v>1134</v>
      </c>
      <c r="B175" t="s">
        <v>2199</v>
      </c>
      <c r="C175" t="s">
        <v>28</v>
      </c>
      <c r="D175" t="s">
        <v>1135</v>
      </c>
      <c r="E175" t="s">
        <v>1137</v>
      </c>
      <c r="F175">
        <v>1</v>
      </c>
      <c r="G175" t="s">
        <v>1122</v>
      </c>
      <c r="H175" s="1">
        <v>46082</v>
      </c>
      <c r="I175" t="s">
        <v>1123</v>
      </c>
      <c r="J175">
        <v>1</v>
      </c>
      <c r="K175" s="1">
        <v>46082</v>
      </c>
      <c r="L175" s="8">
        <v>900000</v>
      </c>
    </row>
    <row r="176" spans="1:12" x14ac:dyDescent="0.25">
      <c r="A176" t="s">
        <v>517</v>
      </c>
      <c r="B176" t="s">
        <v>2196</v>
      </c>
      <c r="C176" t="s">
        <v>28</v>
      </c>
      <c r="D176" t="s">
        <v>518</v>
      </c>
      <c r="E176" t="s">
        <v>520</v>
      </c>
      <c r="F176">
        <v>1</v>
      </c>
      <c r="G176" t="s">
        <v>522</v>
      </c>
      <c r="H176" s="1">
        <v>45870</v>
      </c>
      <c r="I176" t="s">
        <v>523</v>
      </c>
      <c r="J176">
        <v>15</v>
      </c>
      <c r="K176" t="s">
        <v>521</v>
      </c>
      <c r="L176" s="8">
        <v>10192001</v>
      </c>
    </row>
    <row r="177" spans="1:12" x14ac:dyDescent="0.25">
      <c r="A177" t="s">
        <v>1138</v>
      </c>
      <c r="B177" t="s">
        <v>2199</v>
      </c>
      <c r="C177" t="s">
        <v>28</v>
      </c>
      <c r="D177" t="s">
        <v>1140</v>
      </c>
      <c r="E177" t="s">
        <v>1142</v>
      </c>
      <c r="F177">
        <v>1</v>
      </c>
      <c r="G177" t="s">
        <v>1122</v>
      </c>
      <c r="H177" s="1">
        <v>46082</v>
      </c>
      <c r="I177" t="s">
        <v>1123</v>
      </c>
      <c r="J177">
        <v>1</v>
      </c>
      <c r="K177" s="1">
        <v>46082</v>
      </c>
      <c r="L177" s="8">
        <v>3500010</v>
      </c>
    </row>
    <row r="178" spans="1:12" x14ac:dyDescent="0.25">
      <c r="A178" t="s">
        <v>527</v>
      </c>
      <c r="B178" t="s">
        <v>2196</v>
      </c>
      <c r="C178" t="s">
        <v>28</v>
      </c>
      <c r="D178" t="s">
        <v>528</v>
      </c>
      <c r="E178" t="s">
        <v>530</v>
      </c>
      <c r="F178">
        <v>1</v>
      </c>
      <c r="G178" t="s">
        <v>531</v>
      </c>
      <c r="H178" s="1">
        <v>45870</v>
      </c>
      <c r="I178" t="s">
        <v>532</v>
      </c>
      <c r="J178">
        <v>12</v>
      </c>
      <c r="K178" t="s">
        <v>413</v>
      </c>
      <c r="L178" s="8">
        <v>40000000</v>
      </c>
    </row>
    <row r="179" spans="1:12" x14ac:dyDescent="0.25">
      <c r="A179" t="s">
        <v>1156</v>
      </c>
      <c r="B179" t="s">
        <v>2199</v>
      </c>
      <c r="C179" t="s">
        <v>28</v>
      </c>
      <c r="D179" t="s">
        <v>1158</v>
      </c>
      <c r="E179" t="s">
        <v>1167</v>
      </c>
      <c r="F179">
        <v>5</v>
      </c>
      <c r="G179" t="s">
        <v>1162</v>
      </c>
      <c r="H179" s="1">
        <v>46174</v>
      </c>
      <c r="I179" t="s">
        <v>258</v>
      </c>
      <c r="J179">
        <v>1</v>
      </c>
      <c r="K179" s="1">
        <v>46174</v>
      </c>
      <c r="L179" s="8">
        <v>6000000</v>
      </c>
    </row>
    <row r="180" spans="1:12" x14ac:dyDescent="0.25">
      <c r="A180" t="s">
        <v>1156</v>
      </c>
      <c r="B180" t="s">
        <v>2199</v>
      </c>
      <c r="C180" t="s">
        <v>28</v>
      </c>
      <c r="D180" t="s">
        <v>1158</v>
      </c>
      <c r="E180" t="s">
        <v>1164</v>
      </c>
      <c r="F180">
        <v>5</v>
      </c>
      <c r="G180" t="s">
        <v>1162</v>
      </c>
      <c r="H180" s="1">
        <v>46174</v>
      </c>
      <c r="I180" t="s">
        <v>258</v>
      </c>
      <c r="J180">
        <v>1</v>
      </c>
      <c r="K180" s="1">
        <v>46174</v>
      </c>
      <c r="L180" s="8">
        <v>3700002</v>
      </c>
    </row>
    <row r="181" spans="1:12" x14ac:dyDescent="0.25">
      <c r="A181" t="s">
        <v>1156</v>
      </c>
      <c r="B181" t="s">
        <v>2199</v>
      </c>
      <c r="C181" t="s">
        <v>28</v>
      </c>
      <c r="D181" t="s">
        <v>1158</v>
      </c>
      <c r="E181" t="s">
        <v>1165</v>
      </c>
      <c r="F181">
        <v>5</v>
      </c>
      <c r="G181" t="s">
        <v>1162</v>
      </c>
      <c r="H181" s="1">
        <v>46174</v>
      </c>
      <c r="I181" t="s">
        <v>258</v>
      </c>
      <c r="J181">
        <v>1</v>
      </c>
      <c r="K181" s="1">
        <v>46174</v>
      </c>
      <c r="L181" s="8">
        <v>3000000</v>
      </c>
    </row>
    <row r="182" spans="1:12" x14ac:dyDescent="0.25">
      <c r="A182" t="s">
        <v>1156</v>
      </c>
      <c r="B182" t="s">
        <v>2199</v>
      </c>
      <c r="C182" t="s">
        <v>28</v>
      </c>
      <c r="D182" t="s">
        <v>1158</v>
      </c>
      <c r="E182" t="s">
        <v>1166</v>
      </c>
      <c r="F182">
        <v>5</v>
      </c>
      <c r="G182" t="s">
        <v>1162</v>
      </c>
      <c r="H182" s="1">
        <v>46174</v>
      </c>
      <c r="I182" t="s">
        <v>258</v>
      </c>
      <c r="J182">
        <v>1</v>
      </c>
      <c r="K182" s="1">
        <v>46174</v>
      </c>
      <c r="L182" s="8">
        <v>600000</v>
      </c>
    </row>
    <row r="183" spans="1:12" x14ac:dyDescent="0.25">
      <c r="A183" t="s">
        <v>1156</v>
      </c>
      <c r="B183" t="s">
        <v>2199</v>
      </c>
      <c r="C183" t="s">
        <v>28</v>
      </c>
      <c r="D183" t="s">
        <v>1158</v>
      </c>
      <c r="E183" t="s">
        <v>1160</v>
      </c>
      <c r="F183">
        <v>5</v>
      </c>
      <c r="G183" t="s">
        <v>1162</v>
      </c>
      <c r="H183" s="1">
        <v>46082</v>
      </c>
      <c r="I183" t="s">
        <v>258</v>
      </c>
      <c r="J183">
        <v>3</v>
      </c>
      <c r="K183" t="s">
        <v>1161</v>
      </c>
      <c r="L183" s="8">
        <v>4450000</v>
      </c>
    </row>
    <row r="184" spans="1:12" x14ac:dyDescent="0.25">
      <c r="A184" t="s">
        <v>535</v>
      </c>
      <c r="B184" t="s">
        <v>2196</v>
      </c>
      <c r="C184" t="s">
        <v>28</v>
      </c>
      <c r="D184" t="s">
        <v>537</v>
      </c>
      <c r="E184" t="s">
        <v>496</v>
      </c>
      <c r="F184">
        <v>1</v>
      </c>
      <c r="G184" t="s">
        <v>531</v>
      </c>
      <c r="H184" s="1">
        <v>45870</v>
      </c>
      <c r="I184" t="s">
        <v>532</v>
      </c>
      <c r="J184">
        <v>12</v>
      </c>
      <c r="K184" t="s">
        <v>413</v>
      </c>
      <c r="L184" s="8">
        <v>80000000</v>
      </c>
    </row>
    <row r="185" spans="1:12" x14ac:dyDescent="0.25">
      <c r="A185" t="s">
        <v>539</v>
      </c>
      <c r="B185" t="s">
        <v>2196</v>
      </c>
      <c r="C185" t="s">
        <v>28</v>
      </c>
      <c r="D185" t="s">
        <v>541</v>
      </c>
      <c r="E185" t="s">
        <v>543</v>
      </c>
      <c r="F185">
        <v>1</v>
      </c>
      <c r="G185" t="s">
        <v>55</v>
      </c>
      <c r="H185" s="1">
        <v>45870</v>
      </c>
      <c r="I185" t="s">
        <v>544</v>
      </c>
      <c r="J185">
        <v>24</v>
      </c>
      <c r="K185" t="s">
        <v>278</v>
      </c>
      <c r="L185" s="8">
        <v>39999996</v>
      </c>
    </row>
    <row r="186" spans="1:12" x14ac:dyDescent="0.25">
      <c r="A186" t="s">
        <v>1168</v>
      </c>
      <c r="B186" t="s">
        <v>2199</v>
      </c>
      <c r="C186" t="s">
        <v>28</v>
      </c>
      <c r="D186" t="s">
        <v>1169</v>
      </c>
      <c r="E186" t="s">
        <v>496</v>
      </c>
      <c r="F186">
        <v>1</v>
      </c>
      <c r="G186" t="s">
        <v>1162</v>
      </c>
      <c r="H186" s="1">
        <v>46266</v>
      </c>
      <c r="I186" t="s">
        <v>258</v>
      </c>
      <c r="J186">
        <v>12</v>
      </c>
      <c r="K186" t="s">
        <v>1029</v>
      </c>
      <c r="L186" s="8">
        <v>0</v>
      </c>
    </row>
    <row r="187" spans="1:12" x14ac:dyDescent="0.25">
      <c r="A187" t="s">
        <v>548</v>
      </c>
      <c r="B187" t="s">
        <v>2196</v>
      </c>
      <c r="C187" t="s">
        <v>28</v>
      </c>
      <c r="D187" t="s">
        <v>550</v>
      </c>
      <c r="E187" t="s">
        <v>496</v>
      </c>
      <c r="F187">
        <v>1</v>
      </c>
      <c r="G187" t="s">
        <v>55</v>
      </c>
      <c r="H187" s="1">
        <v>45870</v>
      </c>
      <c r="I187" t="s">
        <v>544</v>
      </c>
      <c r="J187">
        <v>12</v>
      </c>
      <c r="K187" t="s">
        <v>413</v>
      </c>
      <c r="L187" s="8">
        <v>96100000</v>
      </c>
    </row>
    <row r="188" spans="1:12" x14ac:dyDescent="0.25">
      <c r="A188" t="s">
        <v>1176</v>
      </c>
      <c r="B188" t="s">
        <v>2199</v>
      </c>
      <c r="C188" t="s">
        <v>28</v>
      </c>
      <c r="D188" t="s">
        <v>1177</v>
      </c>
      <c r="E188" t="s">
        <v>1179</v>
      </c>
      <c r="F188">
        <v>1</v>
      </c>
      <c r="G188" t="s">
        <v>1180</v>
      </c>
      <c r="H188" s="1">
        <v>46082</v>
      </c>
      <c r="I188" t="s">
        <v>1181</v>
      </c>
      <c r="J188">
        <v>1</v>
      </c>
      <c r="K188" s="1">
        <v>46082</v>
      </c>
      <c r="L188" s="8">
        <v>696000</v>
      </c>
    </row>
    <row r="189" spans="1:12" x14ac:dyDescent="0.25">
      <c r="A189" t="s">
        <v>552</v>
      </c>
      <c r="B189" t="s">
        <v>2196</v>
      </c>
      <c r="C189" t="s">
        <v>28</v>
      </c>
      <c r="D189" t="s">
        <v>553</v>
      </c>
      <c r="E189" t="s">
        <v>512</v>
      </c>
      <c r="F189">
        <v>1</v>
      </c>
      <c r="G189" t="s">
        <v>122</v>
      </c>
      <c r="H189" s="1">
        <v>45870</v>
      </c>
      <c r="I189" t="s">
        <v>555</v>
      </c>
      <c r="J189">
        <v>24</v>
      </c>
      <c r="K189" t="s">
        <v>278</v>
      </c>
      <c r="L189" s="8">
        <v>100200000</v>
      </c>
    </row>
    <row r="190" spans="1:12" x14ac:dyDescent="0.25">
      <c r="A190" t="s">
        <v>1183</v>
      </c>
      <c r="B190" t="s">
        <v>2199</v>
      </c>
      <c r="C190" t="s">
        <v>28</v>
      </c>
      <c r="D190" t="s">
        <v>1185</v>
      </c>
      <c r="E190" t="s">
        <v>1187</v>
      </c>
      <c r="F190">
        <v>1</v>
      </c>
      <c r="G190" t="s">
        <v>790</v>
      </c>
      <c r="H190" s="1">
        <v>46143</v>
      </c>
      <c r="I190" t="s">
        <v>791</v>
      </c>
      <c r="J190">
        <v>1</v>
      </c>
      <c r="K190" s="1">
        <v>46143</v>
      </c>
      <c r="L190" s="8">
        <v>2885085</v>
      </c>
    </row>
    <row r="191" spans="1:12" x14ac:dyDescent="0.25">
      <c r="A191" t="s">
        <v>557</v>
      </c>
      <c r="B191" t="s">
        <v>2196</v>
      </c>
      <c r="C191" t="s">
        <v>28</v>
      </c>
      <c r="D191" t="s">
        <v>558</v>
      </c>
      <c r="E191" t="s">
        <v>496</v>
      </c>
      <c r="F191">
        <v>1</v>
      </c>
      <c r="G191" t="s">
        <v>122</v>
      </c>
      <c r="H191" s="1">
        <v>45870</v>
      </c>
      <c r="I191" t="s">
        <v>555</v>
      </c>
      <c r="J191">
        <v>12</v>
      </c>
      <c r="K191" t="s">
        <v>413</v>
      </c>
      <c r="L191" s="8">
        <v>30000000</v>
      </c>
    </row>
    <row r="192" spans="1:12" x14ac:dyDescent="0.25">
      <c r="A192" t="s">
        <v>1188</v>
      </c>
      <c r="B192" t="s">
        <v>2199</v>
      </c>
      <c r="C192" t="s">
        <v>28</v>
      </c>
      <c r="D192" t="s">
        <v>1189</v>
      </c>
      <c r="E192" t="s">
        <v>1191</v>
      </c>
      <c r="F192">
        <v>5</v>
      </c>
      <c r="G192" t="s">
        <v>790</v>
      </c>
      <c r="H192" s="1">
        <v>46296</v>
      </c>
      <c r="I192" t="s">
        <v>791</v>
      </c>
      <c r="J192">
        <v>1</v>
      </c>
      <c r="K192" s="1">
        <v>46296</v>
      </c>
      <c r="L192" s="8">
        <v>1000000</v>
      </c>
    </row>
    <row r="193" spans="1:12" x14ac:dyDescent="0.25">
      <c r="A193" t="s">
        <v>1188</v>
      </c>
      <c r="B193" t="s">
        <v>2199</v>
      </c>
      <c r="C193" t="s">
        <v>28</v>
      </c>
      <c r="D193" t="s">
        <v>1189</v>
      </c>
      <c r="E193" t="s">
        <v>486</v>
      </c>
      <c r="F193">
        <v>5</v>
      </c>
      <c r="G193" t="s">
        <v>790</v>
      </c>
      <c r="H193" s="1">
        <v>46296</v>
      </c>
      <c r="I193" t="s">
        <v>791</v>
      </c>
      <c r="J193">
        <v>1</v>
      </c>
      <c r="K193" s="1">
        <v>46296</v>
      </c>
      <c r="L193" s="8">
        <v>300000</v>
      </c>
    </row>
    <row r="194" spans="1:12" x14ac:dyDescent="0.25">
      <c r="A194" t="s">
        <v>1188</v>
      </c>
      <c r="B194" t="s">
        <v>2199</v>
      </c>
      <c r="C194" t="s">
        <v>28</v>
      </c>
      <c r="D194" t="s">
        <v>1189</v>
      </c>
      <c r="E194" t="s">
        <v>855</v>
      </c>
      <c r="F194">
        <v>5</v>
      </c>
      <c r="G194" t="s">
        <v>790</v>
      </c>
      <c r="H194" s="1">
        <v>46296</v>
      </c>
      <c r="I194" t="s">
        <v>791</v>
      </c>
      <c r="J194">
        <v>1</v>
      </c>
      <c r="K194" s="1">
        <v>46296</v>
      </c>
      <c r="L194" s="8">
        <v>47268</v>
      </c>
    </row>
    <row r="195" spans="1:12" x14ac:dyDescent="0.25">
      <c r="A195" t="s">
        <v>1188</v>
      </c>
      <c r="B195" t="s">
        <v>2199</v>
      </c>
      <c r="C195" t="s">
        <v>28</v>
      </c>
      <c r="D195" t="s">
        <v>1189</v>
      </c>
      <c r="E195" t="s">
        <v>602</v>
      </c>
      <c r="F195">
        <v>5</v>
      </c>
      <c r="G195" t="s">
        <v>790</v>
      </c>
      <c r="H195" s="1">
        <v>46296</v>
      </c>
      <c r="I195" t="s">
        <v>791</v>
      </c>
      <c r="J195">
        <v>1</v>
      </c>
      <c r="K195" s="1">
        <v>46296</v>
      </c>
      <c r="L195" s="8">
        <v>1500000</v>
      </c>
    </row>
    <row r="196" spans="1:12" x14ac:dyDescent="0.25">
      <c r="A196" t="s">
        <v>1188</v>
      </c>
      <c r="B196" t="s">
        <v>2199</v>
      </c>
      <c r="C196" t="s">
        <v>28</v>
      </c>
      <c r="D196" t="s">
        <v>1189</v>
      </c>
      <c r="E196" t="s">
        <v>1192</v>
      </c>
      <c r="F196">
        <v>5</v>
      </c>
      <c r="G196" t="s">
        <v>790</v>
      </c>
      <c r="H196" s="1">
        <v>46296</v>
      </c>
      <c r="I196" t="s">
        <v>791</v>
      </c>
      <c r="J196">
        <v>1</v>
      </c>
      <c r="K196" s="1">
        <v>46296</v>
      </c>
      <c r="L196" s="8">
        <v>150000</v>
      </c>
    </row>
    <row r="197" spans="1:12" x14ac:dyDescent="0.25">
      <c r="A197" t="s">
        <v>1207</v>
      </c>
      <c r="B197" t="s">
        <v>2199</v>
      </c>
      <c r="C197" t="s">
        <v>28</v>
      </c>
      <c r="D197" t="s">
        <v>1208</v>
      </c>
      <c r="E197" t="s">
        <v>1210</v>
      </c>
      <c r="F197">
        <v>1</v>
      </c>
      <c r="G197" t="s">
        <v>1211</v>
      </c>
      <c r="H197" s="1">
        <v>46082</v>
      </c>
      <c r="I197" t="s">
        <v>320</v>
      </c>
      <c r="J197">
        <v>1</v>
      </c>
      <c r="K197" s="1">
        <v>46113</v>
      </c>
      <c r="L197" s="8">
        <v>198030</v>
      </c>
    </row>
    <row r="198" spans="1:12" x14ac:dyDescent="0.25">
      <c r="A198" t="s">
        <v>1213</v>
      </c>
      <c r="B198" t="s">
        <v>2199</v>
      </c>
      <c r="C198" t="s">
        <v>28</v>
      </c>
      <c r="D198" t="s">
        <v>1214</v>
      </c>
      <c r="E198" t="s">
        <v>1216</v>
      </c>
      <c r="F198">
        <v>1</v>
      </c>
      <c r="G198" t="s">
        <v>395</v>
      </c>
      <c r="H198" s="1">
        <v>46023</v>
      </c>
      <c r="I198" t="s">
        <v>1217</v>
      </c>
      <c r="J198">
        <v>1</v>
      </c>
      <c r="K198" s="1">
        <v>46023</v>
      </c>
      <c r="L198" s="8">
        <v>126581</v>
      </c>
    </row>
    <row r="199" spans="1:12" x14ac:dyDescent="0.25">
      <c r="A199" t="s">
        <v>1219</v>
      </c>
      <c r="B199" t="s">
        <v>2199</v>
      </c>
      <c r="C199" t="s">
        <v>28</v>
      </c>
      <c r="D199" t="s">
        <v>1220</v>
      </c>
      <c r="E199" t="s">
        <v>1223</v>
      </c>
      <c r="F199">
        <v>2</v>
      </c>
      <c r="G199" t="s">
        <v>395</v>
      </c>
      <c r="H199" s="1">
        <v>46023</v>
      </c>
      <c r="I199" t="s">
        <v>1217</v>
      </c>
      <c r="J199">
        <v>1</v>
      </c>
      <c r="K199" s="1">
        <v>46023</v>
      </c>
      <c r="L199" s="8">
        <v>45000</v>
      </c>
    </row>
    <row r="200" spans="1:12" x14ac:dyDescent="0.25">
      <c r="A200" t="s">
        <v>1219</v>
      </c>
      <c r="B200" t="s">
        <v>2199</v>
      </c>
      <c r="C200" t="s">
        <v>28</v>
      </c>
      <c r="D200" t="s">
        <v>1220</v>
      </c>
      <c r="E200" t="s">
        <v>1222</v>
      </c>
      <c r="F200">
        <v>2</v>
      </c>
      <c r="G200" t="s">
        <v>395</v>
      </c>
      <c r="H200" s="1">
        <v>46023</v>
      </c>
      <c r="I200" t="s">
        <v>1217</v>
      </c>
      <c r="J200">
        <v>1</v>
      </c>
      <c r="K200" s="1">
        <v>46023</v>
      </c>
      <c r="L200" s="8">
        <v>127000</v>
      </c>
    </row>
    <row r="201" spans="1:12" x14ac:dyDescent="0.25">
      <c r="A201" t="s">
        <v>1224</v>
      </c>
      <c r="B201" t="s">
        <v>2199</v>
      </c>
      <c r="C201" t="s">
        <v>28</v>
      </c>
      <c r="D201" t="s">
        <v>1225</v>
      </c>
      <c r="E201" t="s">
        <v>486</v>
      </c>
      <c r="F201">
        <v>2</v>
      </c>
      <c r="G201" t="s">
        <v>1211</v>
      </c>
      <c r="H201" s="1">
        <v>46113</v>
      </c>
      <c r="I201" t="s">
        <v>320</v>
      </c>
      <c r="J201">
        <v>1</v>
      </c>
      <c r="K201" s="1">
        <v>46113</v>
      </c>
      <c r="L201" s="8">
        <v>695014</v>
      </c>
    </row>
    <row r="202" spans="1:12" x14ac:dyDescent="0.25">
      <c r="A202" t="s">
        <v>1224</v>
      </c>
      <c r="B202" t="s">
        <v>2199</v>
      </c>
      <c r="C202" t="s">
        <v>28</v>
      </c>
      <c r="D202" t="s">
        <v>1225</v>
      </c>
      <c r="E202" t="s">
        <v>1227</v>
      </c>
      <c r="F202">
        <v>2</v>
      </c>
      <c r="G202" t="s">
        <v>1211</v>
      </c>
      <c r="H202" s="1">
        <v>46113</v>
      </c>
      <c r="I202" t="s">
        <v>320</v>
      </c>
      <c r="J202">
        <v>1</v>
      </c>
      <c r="K202" s="1">
        <v>46113</v>
      </c>
      <c r="L202" s="8">
        <v>20000</v>
      </c>
    </row>
    <row r="203" spans="1:12" x14ac:dyDescent="0.25">
      <c r="A203" t="s">
        <v>1228</v>
      </c>
      <c r="B203" t="s">
        <v>2199</v>
      </c>
      <c r="C203" t="s">
        <v>28</v>
      </c>
      <c r="D203" t="s">
        <v>1229</v>
      </c>
      <c r="E203" t="s">
        <v>781</v>
      </c>
      <c r="F203">
        <v>2</v>
      </c>
      <c r="G203" t="s">
        <v>64</v>
      </c>
      <c r="H203" s="1">
        <v>46023</v>
      </c>
      <c r="I203" t="s">
        <v>65</v>
      </c>
      <c r="J203">
        <v>1</v>
      </c>
      <c r="K203" s="1">
        <v>46023</v>
      </c>
      <c r="L203" s="8">
        <v>30000</v>
      </c>
    </row>
    <row r="204" spans="1:12" x14ac:dyDescent="0.25">
      <c r="A204" t="s">
        <v>1228</v>
      </c>
      <c r="B204" t="s">
        <v>2199</v>
      </c>
      <c r="C204" t="s">
        <v>28</v>
      </c>
      <c r="D204" t="s">
        <v>1229</v>
      </c>
      <c r="E204" t="s">
        <v>1233</v>
      </c>
      <c r="F204">
        <v>2</v>
      </c>
      <c r="G204" t="s">
        <v>64</v>
      </c>
      <c r="H204" s="1">
        <v>46023</v>
      </c>
      <c r="I204" t="s">
        <v>65</v>
      </c>
      <c r="J204">
        <v>1</v>
      </c>
      <c r="K204" s="1">
        <v>46023</v>
      </c>
      <c r="L204" s="8">
        <v>900000</v>
      </c>
    </row>
    <row r="205" spans="1:12" x14ac:dyDescent="0.25">
      <c r="A205" t="s">
        <v>560</v>
      </c>
      <c r="B205" t="s">
        <v>2196</v>
      </c>
      <c r="C205" t="s">
        <v>28</v>
      </c>
      <c r="D205" t="s">
        <v>562</v>
      </c>
      <c r="E205" t="s">
        <v>564</v>
      </c>
      <c r="F205">
        <v>1</v>
      </c>
      <c r="G205" t="s">
        <v>169</v>
      </c>
      <c r="H205" s="1">
        <v>45992</v>
      </c>
      <c r="I205" t="s">
        <v>65</v>
      </c>
      <c r="J205">
        <v>32</v>
      </c>
      <c r="K205" t="s">
        <v>196</v>
      </c>
      <c r="L205" s="8">
        <v>69333336</v>
      </c>
    </row>
    <row r="206" spans="1:12" x14ac:dyDescent="0.25">
      <c r="A206" t="s">
        <v>1234</v>
      </c>
      <c r="B206" t="s">
        <v>2199</v>
      </c>
      <c r="C206" t="s">
        <v>28</v>
      </c>
      <c r="D206" t="s">
        <v>1235</v>
      </c>
      <c r="E206" t="s">
        <v>1237</v>
      </c>
      <c r="F206">
        <v>1</v>
      </c>
      <c r="G206" t="s">
        <v>64</v>
      </c>
      <c r="H206" s="1">
        <v>46023</v>
      </c>
      <c r="I206" t="s">
        <v>65</v>
      </c>
      <c r="J206">
        <v>1</v>
      </c>
      <c r="K206" s="1">
        <v>46054</v>
      </c>
      <c r="L206" s="8">
        <v>1400000</v>
      </c>
    </row>
    <row r="207" spans="1:12" x14ac:dyDescent="0.25">
      <c r="A207" t="s">
        <v>1245</v>
      </c>
      <c r="B207" t="s">
        <v>2199</v>
      </c>
      <c r="C207" t="s">
        <v>28</v>
      </c>
      <c r="D207" t="s">
        <v>1247</v>
      </c>
      <c r="E207" t="s">
        <v>1251</v>
      </c>
      <c r="F207">
        <v>3</v>
      </c>
      <c r="G207" t="s">
        <v>122</v>
      </c>
      <c r="H207" s="1">
        <v>46054</v>
      </c>
      <c r="I207" t="s">
        <v>544</v>
      </c>
      <c r="J207">
        <v>1</v>
      </c>
      <c r="K207" s="1">
        <v>46054</v>
      </c>
      <c r="L207" s="8">
        <v>60000</v>
      </c>
    </row>
    <row r="208" spans="1:12" x14ac:dyDescent="0.25">
      <c r="A208" t="s">
        <v>1245</v>
      </c>
      <c r="B208" t="s">
        <v>2199</v>
      </c>
      <c r="C208" t="s">
        <v>28</v>
      </c>
      <c r="D208" t="s">
        <v>1247</v>
      </c>
      <c r="E208" t="s">
        <v>1249</v>
      </c>
      <c r="F208">
        <v>3</v>
      </c>
      <c r="G208" t="s">
        <v>122</v>
      </c>
      <c r="H208" s="1">
        <v>46054</v>
      </c>
      <c r="I208" t="s">
        <v>544</v>
      </c>
      <c r="J208">
        <v>1</v>
      </c>
      <c r="K208" s="1">
        <v>46054</v>
      </c>
      <c r="L208" s="8">
        <v>160000</v>
      </c>
    </row>
    <row r="209" spans="1:12" x14ac:dyDescent="0.25">
      <c r="A209" t="s">
        <v>1245</v>
      </c>
      <c r="B209" t="s">
        <v>2199</v>
      </c>
      <c r="C209" t="s">
        <v>28</v>
      </c>
      <c r="D209" t="s">
        <v>1247</v>
      </c>
      <c r="E209" t="s">
        <v>1250</v>
      </c>
      <c r="F209">
        <v>3</v>
      </c>
      <c r="G209" t="s">
        <v>122</v>
      </c>
      <c r="H209" s="1">
        <v>46054</v>
      </c>
      <c r="I209" t="s">
        <v>544</v>
      </c>
      <c r="J209">
        <v>1</v>
      </c>
      <c r="K209" s="1">
        <v>46054</v>
      </c>
      <c r="L209" s="8">
        <v>390000</v>
      </c>
    </row>
    <row r="210" spans="1:12" x14ac:dyDescent="0.25">
      <c r="A210" t="s">
        <v>1252</v>
      </c>
      <c r="B210" t="s">
        <v>2199</v>
      </c>
      <c r="C210" t="s">
        <v>28</v>
      </c>
      <c r="D210" t="s">
        <v>1253</v>
      </c>
      <c r="E210" t="s">
        <v>140</v>
      </c>
      <c r="F210">
        <v>1</v>
      </c>
      <c r="G210" t="s">
        <v>1255</v>
      </c>
      <c r="H210" s="1">
        <v>46054</v>
      </c>
      <c r="I210" t="s">
        <v>1256</v>
      </c>
      <c r="J210">
        <v>1</v>
      </c>
      <c r="K210" s="1">
        <v>46054</v>
      </c>
      <c r="L210" s="8">
        <v>52000</v>
      </c>
    </row>
    <row r="211" spans="1:12" x14ac:dyDescent="0.25">
      <c r="A211" t="s">
        <v>1259</v>
      </c>
      <c r="B211" t="s">
        <v>2199</v>
      </c>
      <c r="C211" t="s">
        <v>28</v>
      </c>
      <c r="D211" t="s">
        <v>1260</v>
      </c>
      <c r="E211" t="s">
        <v>777</v>
      </c>
      <c r="F211">
        <v>2</v>
      </c>
      <c r="G211" t="s">
        <v>395</v>
      </c>
      <c r="H211" s="1">
        <v>46023</v>
      </c>
      <c r="I211" t="s">
        <v>1217</v>
      </c>
      <c r="J211">
        <v>1</v>
      </c>
      <c r="K211" s="1">
        <v>46023</v>
      </c>
      <c r="L211" s="8">
        <v>90100</v>
      </c>
    </row>
    <row r="212" spans="1:12" x14ac:dyDescent="0.25">
      <c r="A212" t="s">
        <v>1259</v>
      </c>
      <c r="B212" t="s">
        <v>2199</v>
      </c>
      <c r="C212" t="s">
        <v>28</v>
      </c>
      <c r="D212" t="s">
        <v>1260</v>
      </c>
      <c r="E212" t="s">
        <v>1263</v>
      </c>
      <c r="F212">
        <v>2</v>
      </c>
      <c r="G212" t="s">
        <v>395</v>
      </c>
      <c r="H212" s="1">
        <v>46023</v>
      </c>
      <c r="I212" t="s">
        <v>1217</v>
      </c>
      <c r="J212">
        <v>1</v>
      </c>
      <c r="K212" s="1">
        <v>46023</v>
      </c>
      <c r="L212" s="8">
        <v>280000</v>
      </c>
    </row>
    <row r="213" spans="1:12" x14ac:dyDescent="0.25">
      <c r="A213" t="s">
        <v>1269</v>
      </c>
      <c r="B213" t="s">
        <v>2199</v>
      </c>
      <c r="C213" t="s">
        <v>28</v>
      </c>
      <c r="D213" t="s">
        <v>1270</v>
      </c>
      <c r="E213" t="s">
        <v>1277</v>
      </c>
      <c r="F213">
        <v>5</v>
      </c>
      <c r="G213" t="s">
        <v>1273</v>
      </c>
      <c r="H213" s="1">
        <v>46082</v>
      </c>
      <c r="I213" t="s">
        <v>514</v>
      </c>
      <c r="J213">
        <v>1</v>
      </c>
      <c r="K213" s="1">
        <v>46082</v>
      </c>
      <c r="L213" s="8">
        <v>164000</v>
      </c>
    </row>
    <row r="214" spans="1:12" x14ac:dyDescent="0.25">
      <c r="A214" t="s">
        <v>1269</v>
      </c>
      <c r="B214" t="s">
        <v>2199</v>
      </c>
      <c r="C214" t="s">
        <v>28</v>
      </c>
      <c r="D214" t="s">
        <v>1270</v>
      </c>
      <c r="E214" t="s">
        <v>1272</v>
      </c>
      <c r="F214">
        <v>5</v>
      </c>
      <c r="G214" t="s">
        <v>1273</v>
      </c>
      <c r="H214" s="1">
        <v>46023</v>
      </c>
      <c r="I214" t="s">
        <v>514</v>
      </c>
      <c r="J214">
        <v>1</v>
      </c>
      <c r="K214" s="1">
        <v>46023</v>
      </c>
      <c r="L214" s="8">
        <v>198000</v>
      </c>
    </row>
    <row r="215" spans="1:12" x14ac:dyDescent="0.25">
      <c r="A215" t="s">
        <v>1269</v>
      </c>
      <c r="B215" t="s">
        <v>2199</v>
      </c>
      <c r="C215" t="s">
        <v>28</v>
      </c>
      <c r="D215" t="s">
        <v>1270</v>
      </c>
      <c r="E215" t="s">
        <v>1279</v>
      </c>
      <c r="F215">
        <v>5</v>
      </c>
      <c r="G215" t="s">
        <v>1273</v>
      </c>
      <c r="H215" s="1">
        <v>46082</v>
      </c>
      <c r="I215" t="s">
        <v>514</v>
      </c>
      <c r="J215">
        <v>1</v>
      </c>
      <c r="K215" s="1">
        <v>46082</v>
      </c>
      <c r="L215" s="8">
        <v>75000</v>
      </c>
    </row>
    <row r="216" spans="1:12" x14ac:dyDescent="0.25">
      <c r="A216" t="s">
        <v>1269</v>
      </c>
      <c r="B216" t="s">
        <v>2199</v>
      </c>
      <c r="C216" t="s">
        <v>28</v>
      </c>
      <c r="D216" t="s">
        <v>1270</v>
      </c>
      <c r="E216" t="s">
        <v>1276</v>
      </c>
      <c r="F216">
        <v>5</v>
      </c>
      <c r="G216" t="s">
        <v>1273</v>
      </c>
      <c r="H216" s="1">
        <v>46023</v>
      </c>
      <c r="I216" t="s">
        <v>514</v>
      </c>
      <c r="J216">
        <v>1</v>
      </c>
      <c r="K216" s="1">
        <v>46023</v>
      </c>
      <c r="L216" s="8">
        <v>106000</v>
      </c>
    </row>
    <row r="217" spans="1:12" x14ac:dyDescent="0.25">
      <c r="A217" t="s">
        <v>1269</v>
      </c>
      <c r="B217" t="s">
        <v>2199</v>
      </c>
      <c r="C217" t="s">
        <v>28</v>
      </c>
      <c r="D217" t="s">
        <v>1270</v>
      </c>
      <c r="E217" t="s">
        <v>1278</v>
      </c>
      <c r="F217">
        <v>5</v>
      </c>
      <c r="G217" t="s">
        <v>1273</v>
      </c>
      <c r="H217" s="1">
        <v>46082</v>
      </c>
      <c r="I217" t="s">
        <v>514</v>
      </c>
      <c r="J217">
        <v>1</v>
      </c>
      <c r="K217" s="1">
        <v>46082</v>
      </c>
      <c r="L217" s="8">
        <v>60000</v>
      </c>
    </row>
    <row r="218" spans="1:12" x14ac:dyDescent="0.25">
      <c r="A218" t="s">
        <v>1345</v>
      </c>
      <c r="B218" t="s">
        <v>2199</v>
      </c>
      <c r="C218" t="s">
        <v>28</v>
      </c>
      <c r="D218" t="s">
        <v>1347</v>
      </c>
      <c r="E218" t="s">
        <v>1133</v>
      </c>
      <c r="F218">
        <v>1</v>
      </c>
      <c r="G218" t="s">
        <v>1299</v>
      </c>
      <c r="H218" s="1">
        <v>46113</v>
      </c>
      <c r="I218" t="s">
        <v>1300</v>
      </c>
      <c r="J218">
        <v>1</v>
      </c>
      <c r="K218" s="1">
        <v>46113</v>
      </c>
      <c r="L218" s="8">
        <v>150000</v>
      </c>
    </row>
    <row r="219" spans="1:12" x14ac:dyDescent="0.25">
      <c r="A219" t="s">
        <v>1395</v>
      </c>
      <c r="B219" t="s">
        <v>2199</v>
      </c>
      <c r="C219" t="s">
        <v>28</v>
      </c>
      <c r="D219" t="s">
        <v>1396</v>
      </c>
      <c r="E219" t="s">
        <v>1133</v>
      </c>
      <c r="F219">
        <v>1</v>
      </c>
      <c r="G219" t="s">
        <v>64</v>
      </c>
      <c r="H219" s="1">
        <v>46054</v>
      </c>
      <c r="I219" t="s">
        <v>65</v>
      </c>
      <c r="J219">
        <v>1</v>
      </c>
      <c r="K219" s="1">
        <v>46054</v>
      </c>
      <c r="L219" s="8">
        <v>500004</v>
      </c>
    </row>
    <row r="220" spans="1:12" x14ac:dyDescent="0.25">
      <c r="A220" t="s">
        <v>1403</v>
      </c>
      <c r="B220" t="s">
        <v>2199</v>
      </c>
      <c r="C220" t="s">
        <v>28</v>
      </c>
      <c r="D220" t="s">
        <v>1404</v>
      </c>
      <c r="E220" t="s">
        <v>359</v>
      </c>
      <c r="F220">
        <v>3</v>
      </c>
      <c r="G220" t="s">
        <v>1035</v>
      </c>
      <c r="H220" s="1">
        <v>46327</v>
      </c>
      <c r="I220" t="s">
        <v>1036</v>
      </c>
      <c r="J220">
        <v>1</v>
      </c>
      <c r="K220" s="1">
        <v>46327</v>
      </c>
      <c r="L220" s="8">
        <v>153624</v>
      </c>
    </row>
    <row r="221" spans="1:12" x14ac:dyDescent="0.25">
      <c r="A221" t="s">
        <v>1403</v>
      </c>
      <c r="B221" t="s">
        <v>2199</v>
      </c>
      <c r="C221" t="s">
        <v>28</v>
      </c>
      <c r="D221" t="s">
        <v>1404</v>
      </c>
      <c r="E221" t="s">
        <v>855</v>
      </c>
      <c r="F221">
        <v>3</v>
      </c>
      <c r="G221" t="s">
        <v>1035</v>
      </c>
      <c r="H221" s="1">
        <v>46327</v>
      </c>
      <c r="I221" t="s">
        <v>1036</v>
      </c>
      <c r="J221">
        <v>1</v>
      </c>
      <c r="K221" s="1">
        <v>46327</v>
      </c>
      <c r="L221" s="8">
        <v>17000</v>
      </c>
    </row>
    <row r="222" spans="1:12" x14ac:dyDescent="0.25">
      <c r="A222" t="s">
        <v>1403</v>
      </c>
      <c r="B222" t="s">
        <v>2199</v>
      </c>
      <c r="C222" t="s">
        <v>28</v>
      </c>
      <c r="D222" t="s">
        <v>1404</v>
      </c>
      <c r="E222" t="s">
        <v>1406</v>
      </c>
      <c r="F222">
        <v>3</v>
      </c>
      <c r="G222" t="s">
        <v>1035</v>
      </c>
      <c r="H222" s="1">
        <v>46327</v>
      </c>
      <c r="I222" t="s">
        <v>1036</v>
      </c>
      <c r="J222">
        <v>1</v>
      </c>
      <c r="K222" s="1">
        <v>46327</v>
      </c>
      <c r="L222" s="8">
        <v>3000</v>
      </c>
    </row>
    <row r="223" spans="1:12" x14ac:dyDescent="0.25">
      <c r="A223" t="s">
        <v>1407</v>
      </c>
      <c r="B223" t="s">
        <v>2199</v>
      </c>
      <c r="C223" t="s">
        <v>28</v>
      </c>
      <c r="D223" t="s">
        <v>1408</v>
      </c>
      <c r="E223" t="s">
        <v>1410</v>
      </c>
      <c r="F223">
        <v>1</v>
      </c>
      <c r="G223" t="s">
        <v>590</v>
      </c>
      <c r="H223" s="1">
        <v>46082</v>
      </c>
      <c r="I223" t="s">
        <v>591</v>
      </c>
      <c r="J223">
        <v>1</v>
      </c>
      <c r="K223" s="1">
        <v>46082</v>
      </c>
      <c r="L223" s="8">
        <v>80000</v>
      </c>
    </row>
    <row r="224" spans="1:12" x14ac:dyDescent="0.25">
      <c r="A224" t="s">
        <v>1411</v>
      </c>
      <c r="B224" t="s">
        <v>2199</v>
      </c>
      <c r="C224" t="s">
        <v>28</v>
      </c>
      <c r="D224" t="s">
        <v>1413</v>
      </c>
      <c r="E224" t="s">
        <v>882</v>
      </c>
      <c r="F224">
        <v>1</v>
      </c>
      <c r="G224" t="s">
        <v>1415</v>
      </c>
      <c r="H224" s="1">
        <v>46174</v>
      </c>
      <c r="I224" t="s">
        <v>514</v>
      </c>
      <c r="J224">
        <v>1</v>
      </c>
      <c r="K224" s="1">
        <v>46174</v>
      </c>
      <c r="L224" s="8">
        <v>2000000</v>
      </c>
    </row>
    <row r="225" spans="1:12" x14ac:dyDescent="0.25">
      <c r="A225" t="s">
        <v>1416</v>
      </c>
      <c r="B225" t="s">
        <v>2199</v>
      </c>
      <c r="C225" t="s">
        <v>28</v>
      </c>
      <c r="D225" t="s">
        <v>1417</v>
      </c>
      <c r="E225" t="s">
        <v>623</v>
      </c>
      <c r="F225">
        <v>1</v>
      </c>
      <c r="G225" t="s">
        <v>1415</v>
      </c>
      <c r="H225" s="1">
        <v>46357</v>
      </c>
      <c r="I225" t="s">
        <v>514</v>
      </c>
      <c r="J225">
        <v>1</v>
      </c>
      <c r="K225" s="1">
        <v>46357</v>
      </c>
      <c r="L225" s="8">
        <v>6000000</v>
      </c>
    </row>
    <row r="226" spans="1:12" x14ac:dyDescent="0.25">
      <c r="A226" t="s">
        <v>1419</v>
      </c>
      <c r="B226" t="s">
        <v>2199</v>
      </c>
      <c r="C226" t="s">
        <v>28</v>
      </c>
      <c r="D226" t="s">
        <v>1420</v>
      </c>
      <c r="E226" t="s">
        <v>882</v>
      </c>
      <c r="F226">
        <v>1</v>
      </c>
      <c r="G226" t="s">
        <v>1415</v>
      </c>
      <c r="H226" s="1">
        <v>46357</v>
      </c>
      <c r="I226" t="s">
        <v>514</v>
      </c>
      <c r="J226">
        <v>12</v>
      </c>
      <c r="K226" t="s">
        <v>1029</v>
      </c>
      <c r="L226" s="8">
        <v>0</v>
      </c>
    </row>
    <row r="227" spans="1:12" x14ac:dyDescent="0.25">
      <c r="A227" t="s">
        <v>1422</v>
      </c>
      <c r="B227" t="s">
        <v>2199</v>
      </c>
      <c r="C227" t="s">
        <v>28</v>
      </c>
      <c r="D227" t="s">
        <v>1423</v>
      </c>
      <c r="E227" t="s">
        <v>1425</v>
      </c>
      <c r="F227">
        <v>1</v>
      </c>
      <c r="G227" t="s">
        <v>1415</v>
      </c>
      <c r="H227" s="1">
        <v>46327</v>
      </c>
      <c r="I227" t="s">
        <v>514</v>
      </c>
      <c r="J227">
        <v>1</v>
      </c>
      <c r="K227" s="1">
        <v>46327</v>
      </c>
      <c r="L227" s="8">
        <v>25000000</v>
      </c>
    </row>
    <row r="228" spans="1:12" x14ac:dyDescent="0.25">
      <c r="A228" t="s">
        <v>1426</v>
      </c>
      <c r="B228" t="s">
        <v>2199</v>
      </c>
      <c r="C228" t="s">
        <v>28</v>
      </c>
      <c r="D228" t="s">
        <v>1427</v>
      </c>
      <c r="E228" t="s">
        <v>623</v>
      </c>
      <c r="F228">
        <v>1</v>
      </c>
      <c r="G228" t="s">
        <v>1415</v>
      </c>
      <c r="H228" s="1">
        <v>46327</v>
      </c>
      <c r="I228" t="s">
        <v>514</v>
      </c>
      <c r="J228">
        <v>1</v>
      </c>
      <c r="K228" s="1">
        <v>46327</v>
      </c>
      <c r="L228" s="8">
        <v>10000000</v>
      </c>
    </row>
    <row r="229" spans="1:12" x14ac:dyDescent="0.25">
      <c r="A229" t="s">
        <v>1429</v>
      </c>
      <c r="B229" t="s">
        <v>2199</v>
      </c>
      <c r="C229" t="s">
        <v>28</v>
      </c>
      <c r="D229" t="s">
        <v>1430</v>
      </c>
      <c r="E229" t="s">
        <v>623</v>
      </c>
      <c r="F229">
        <v>1</v>
      </c>
      <c r="G229" t="s">
        <v>1432</v>
      </c>
      <c r="H229" s="1">
        <v>46296</v>
      </c>
      <c r="I229" t="s">
        <v>1433</v>
      </c>
      <c r="J229">
        <v>1</v>
      </c>
      <c r="K229" s="1">
        <v>46296</v>
      </c>
      <c r="L229" s="8">
        <v>35304528</v>
      </c>
    </row>
    <row r="230" spans="1:12" x14ac:dyDescent="0.25">
      <c r="A230" t="s">
        <v>1436</v>
      </c>
      <c r="B230" t="s">
        <v>2199</v>
      </c>
      <c r="C230" t="s">
        <v>28</v>
      </c>
      <c r="D230" t="s">
        <v>1438</v>
      </c>
      <c r="E230" t="s">
        <v>1440</v>
      </c>
      <c r="F230">
        <v>3</v>
      </c>
      <c r="G230" t="s">
        <v>64</v>
      </c>
      <c r="H230" s="1">
        <v>46235</v>
      </c>
      <c r="I230" t="s">
        <v>65</v>
      </c>
      <c r="J230">
        <v>1</v>
      </c>
      <c r="K230" s="1">
        <v>46235</v>
      </c>
      <c r="L230" s="8">
        <v>50000</v>
      </c>
    </row>
    <row r="231" spans="1:12" x14ac:dyDescent="0.25">
      <c r="A231" t="s">
        <v>1436</v>
      </c>
      <c r="B231" t="s">
        <v>2199</v>
      </c>
      <c r="C231" t="s">
        <v>28</v>
      </c>
      <c r="D231" t="s">
        <v>1438</v>
      </c>
      <c r="E231" t="s">
        <v>1441</v>
      </c>
      <c r="F231">
        <v>3</v>
      </c>
      <c r="G231" t="s">
        <v>64</v>
      </c>
      <c r="H231" s="1">
        <v>46235</v>
      </c>
      <c r="I231" t="s">
        <v>65</v>
      </c>
      <c r="J231">
        <v>1</v>
      </c>
      <c r="K231" s="1">
        <v>46235</v>
      </c>
      <c r="L231" s="8">
        <v>420000</v>
      </c>
    </row>
    <row r="232" spans="1:12" x14ac:dyDescent="0.25">
      <c r="A232" t="s">
        <v>1436</v>
      </c>
      <c r="B232" t="s">
        <v>2199</v>
      </c>
      <c r="C232" t="s">
        <v>28</v>
      </c>
      <c r="D232" t="s">
        <v>1438</v>
      </c>
      <c r="E232" t="s">
        <v>1276</v>
      </c>
      <c r="F232">
        <v>3</v>
      </c>
      <c r="G232" t="s">
        <v>64</v>
      </c>
      <c r="H232" s="1">
        <v>46235</v>
      </c>
      <c r="I232" t="s">
        <v>65</v>
      </c>
      <c r="J232">
        <v>1</v>
      </c>
      <c r="K232" s="1">
        <v>46235</v>
      </c>
      <c r="L232" s="8">
        <v>30000</v>
      </c>
    </row>
    <row r="233" spans="1:12" x14ac:dyDescent="0.25">
      <c r="A233" t="s">
        <v>1442</v>
      </c>
      <c r="B233" t="s">
        <v>2199</v>
      </c>
      <c r="C233" t="s">
        <v>28</v>
      </c>
      <c r="D233" t="s">
        <v>1443</v>
      </c>
      <c r="E233" t="s">
        <v>786</v>
      </c>
      <c r="F233">
        <v>1</v>
      </c>
      <c r="G233" t="s">
        <v>1445</v>
      </c>
      <c r="H233" s="1">
        <v>46054</v>
      </c>
      <c r="I233" t="s">
        <v>1446</v>
      </c>
      <c r="J233">
        <v>1</v>
      </c>
      <c r="K233" s="1">
        <v>46054</v>
      </c>
      <c r="L233" s="8">
        <v>299940</v>
      </c>
    </row>
    <row r="234" spans="1:12" x14ac:dyDescent="0.25">
      <c r="A234" t="s">
        <v>1449</v>
      </c>
      <c r="B234" t="s">
        <v>2199</v>
      </c>
      <c r="C234" t="s">
        <v>28</v>
      </c>
      <c r="D234" t="s">
        <v>1450</v>
      </c>
      <c r="E234" t="s">
        <v>1133</v>
      </c>
      <c r="F234">
        <v>2</v>
      </c>
      <c r="G234" t="s">
        <v>1075</v>
      </c>
      <c r="H234" s="1">
        <v>46082</v>
      </c>
      <c r="I234" t="s">
        <v>1076</v>
      </c>
      <c r="J234">
        <v>1</v>
      </c>
      <c r="K234" s="1">
        <v>46082</v>
      </c>
      <c r="L234" s="8">
        <v>230000</v>
      </c>
    </row>
    <row r="235" spans="1:12" x14ac:dyDescent="0.25">
      <c r="A235" t="s">
        <v>1449</v>
      </c>
      <c r="B235" t="s">
        <v>2199</v>
      </c>
      <c r="C235" t="s">
        <v>28</v>
      </c>
      <c r="D235" t="s">
        <v>1450</v>
      </c>
      <c r="E235" t="s">
        <v>1452</v>
      </c>
      <c r="F235">
        <v>2</v>
      </c>
      <c r="G235" t="s">
        <v>1075</v>
      </c>
      <c r="H235" s="1">
        <v>46023</v>
      </c>
      <c r="I235" t="s">
        <v>1076</v>
      </c>
      <c r="J235">
        <v>1</v>
      </c>
      <c r="K235" s="1">
        <v>46023</v>
      </c>
      <c r="L235" s="8">
        <v>160000</v>
      </c>
    </row>
    <row r="236" spans="1:12" x14ac:dyDescent="0.25">
      <c r="A236" t="s">
        <v>1453</v>
      </c>
      <c r="B236" t="s">
        <v>2199</v>
      </c>
      <c r="C236" t="s">
        <v>28</v>
      </c>
      <c r="D236" t="s">
        <v>1454</v>
      </c>
      <c r="E236" t="s">
        <v>602</v>
      </c>
      <c r="F236">
        <v>1</v>
      </c>
      <c r="G236" t="s">
        <v>1445</v>
      </c>
      <c r="H236" s="1">
        <v>46113</v>
      </c>
      <c r="I236" t="s">
        <v>1446</v>
      </c>
      <c r="J236">
        <v>1</v>
      </c>
      <c r="K236" s="1">
        <v>46113</v>
      </c>
      <c r="L236" s="8">
        <v>720000</v>
      </c>
    </row>
    <row r="237" spans="1:12" x14ac:dyDescent="0.25">
      <c r="A237" t="s">
        <v>1456</v>
      </c>
      <c r="B237" t="s">
        <v>2199</v>
      </c>
      <c r="C237" t="s">
        <v>28</v>
      </c>
      <c r="D237" t="s">
        <v>1457</v>
      </c>
      <c r="E237" t="s">
        <v>1459</v>
      </c>
      <c r="F237">
        <v>1</v>
      </c>
      <c r="G237" t="s">
        <v>1211</v>
      </c>
      <c r="H237" s="1">
        <v>46054</v>
      </c>
      <c r="I237" t="s">
        <v>320</v>
      </c>
      <c r="J237">
        <v>1</v>
      </c>
      <c r="K237" s="1">
        <v>46054</v>
      </c>
      <c r="L237" s="8">
        <v>170001</v>
      </c>
    </row>
    <row r="238" spans="1:12" x14ac:dyDescent="0.25">
      <c r="A238" t="s">
        <v>1460</v>
      </c>
      <c r="B238" t="s">
        <v>2199</v>
      </c>
      <c r="C238" t="s">
        <v>28</v>
      </c>
      <c r="D238" t="s">
        <v>1461</v>
      </c>
      <c r="E238" t="s">
        <v>1463</v>
      </c>
      <c r="F238">
        <v>1</v>
      </c>
      <c r="G238" t="s">
        <v>1075</v>
      </c>
      <c r="H238" s="1">
        <v>46023</v>
      </c>
      <c r="I238" t="s">
        <v>1076</v>
      </c>
      <c r="J238">
        <v>1</v>
      </c>
      <c r="K238" s="1">
        <v>46023</v>
      </c>
      <c r="L238" s="8">
        <v>8196174</v>
      </c>
    </row>
    <row r="239" spans="1:12" x14ac:dyDescent="0.25">
      <c r="A239" t="s">
        <v>1466</v>
      </c>
      <c r="B239" t="s">
        <v>2199</v>
      </c>
      <c r="C239" t="s">
        <v>28</v>
      </c>
      <c r="D239" t="s">
        <v>1467</v>
      </c>
      <c r="E239" t="s">
        <v>760</v>
      </c>
      <c r="F239">
        <v>1</v>
      </c>
      <c r="G239" t="s">
        <v>1469</v>
      </c>
      <c r="H239" s="1">
        <v>46054</v>
      </c>
      <c r="I239" t="s">
        <v>1470</v>
      </c>
      <c r="J239">
        <v>1</v>
      </c>
      <c r="K239" s="1">
        <v>46054</v>
      </c>
      <c r="L239" s="8">
        <v>5000001</v>
      </c>
    </row>
    <row r="240" spans="1:12" x14ac:dyDescent="0.25">
      <c r="A240" t="s">
        <v>1473</v>
      </c>
      <c r="B240" t="s">
        <v>2199</v>
      </c>
      <c r="C240" t="s">
        <v>28</v>
      </c>
      <c r="D240" t="s">
        <v>1474</v>
      </c>
      <c r="E240" t="s">
        <v>1476</v>
      </c>
      <c r="F240">
        <v>1</v>
      </c>
      <c r="G240" t="s">
        <v>1477</v>
      </c>
      <c r="H240" s="1">
        <v>46023</v>
      </c>
      <c r="I240" t="s">
        <v>219</v>
      </c>
      <c r="J240">
        <v>1</v>
      </c>
      <c r="K240" s="1">
        <v>46023</v>
      </c>
      <c r="L240" s="8">
        <v>300006</v>
      </c>
    </row>
    <row r="241" spans="1:12" x14ac:dyDescent="0.25">
      <c r="A241" t="s">
        <v>1479</v>
      </c>
      <c r="B241" t="s">
        <v>2199</v>
      </c>
      <c r="C241" t="s">
        <v>28</v>
      </c>
      <c r="D241" t="s">
        <v>1480</v>
      </c>
      <c r="E241" t="s">
        <v>602</v>
      </c>
      <c r="F241">
        <v>1</v>
      </c>
      <c r="G241" t="s">
        <v>1445</v>
      </c>
      <c r="H241" s="1">
        <v>46113</v>
      </c>
      <c r="I241" t="s">
        <v>1446</v>
      </c>
      <c r="J241">
        <v>1</v>
      </c>
      <c r="K241" s="1">
        <v>46143</v>
      </c>
      <c r="L241" s="8">
        <v>220000</v>
      </c>
    </row>
    <row r="242" spans="1:12" x14ac:dyDescent="0.25">
      <c r="A242" t="s">
        <v>1482</v>
      </c>
      <c r="B242" t="s">
        <v>2199</v>
      </c>
      <c r="C242" t="s">
        <v>28</v>
      </c>
      <c r="D242" t="s">
        <v>1483</v>
      </c>
      <c r="E242" t="s">
        <v>1459</v>
      </c>
      <c r="F242">
        <v>1</v>
      </c>
      <c r="G242" t="s">
        <v>1477</v>
      </c>
      <c r="H242" s="1">
        <v>46023</v>
      </c>
      <c r="I242" t="s">
        <v>219</v>
      </c>
      <c r="J242">
        <v>1</v>
      </c>
      <c r="K242" s="1">
        <v>46023</v>
      </c>
      <c r="L242" s="8">
        <v>1500018</v>
      </c>
    </row>
    <row r="243" spans="1:12" x14ac:dyDescent="0.25">
      <c r="A243" t="s">
        <v>1489</v>
      </c>
      <c r="B243" t="s">
        <v>2199</v>
      </c>
      <c r="C243" t="s">
        <v>28</v>
      </c>
      <c r="D243" t="s">
        <v>1490</v>
      </c>
      <c r="E243" t="s">
        <v>359</v>
      </c>
      <c r="F243">
        <v>1</v>
      </c>
      <c r="G243" t="s">
        <v>1211</v>
      </c>
      <c r="H243" s="1">
        <v>46113</v>
      </c>
      <c r="I243" t="s">
        <v>320</v>
      </c>
      <c r="J243">
        <v>1</v>
      </c>
      <c r="K243" s="1">
        <v>46113</v>
      </c>
      <c r="L243" s="8">
        <v>218020</v>
      </c>
    </row>
    <row r="244" spans="1:12" x14ac:dyDescent="0.25">
      <c r="A244" t="s">
        <v>1492</v>
      </c>
      <c r="B244" t="s">
        <v>2199</v>
      </c>
      <c r="C244" t="s">
        <v>28</v>
      </c>
      <c r="D244" t="s">
        <v>1494</v>
      </c>
      <c r="E244" t="s">
        <v>1410</v>
      </c>
      <c r="F244">
        <v>1</v>
      </c>
      <c r="G244" t="s">
        <v>590</v>
      </c>
      <c r="H244" s="1">
        <v>46082</v>
      </c>
      <c r="I244" t="s">
        <v>591</v>
      </c>
      <c r="J244">
        <v>1</v>
      </c>
      <c r="K244" s="1">
        <v>46082</v>
      </c>
      <c r="L244" s="8">
        <v>100000</v>
      </c>
    </row>
    <row r="245" spans="1:12" x14ac:dyDescent="0.25">
      <c r="A245" t="s">
        <v>1497</v>
      </c>
      <c r="B245" t="s">
        <v>2199</v>
      </c>
      <c r="C245" t="s">
        <v>28</v>
      </c>
      <c r="D245" t="s">
        <v>1498</v>
      </c>
      <c r="E245" t="s">
        <v>1500</v>
      </c>
      <c r="F245">
        <v>1</v>
      </c>
      <c r="G245" t="s">
        <v>1075</v>
      </c>
      <c r="H245" s="1">
        <v>46082</v>
      </c>
      <c r="I245" t="s">
        <v>1076</v>
      </c>
      <c r="J245">
        <v>1</v>
      </c>
      <c r="K245" s="1">
        <v>46082</v>
      </c>
      <c r="L245" s="8">
        <v>335005</v>
      </c>
    </row>
    <row r="246" spans="1:12" x14ac:dyDescent="0.25">
      <c r="A246" t="s">
        <v>1501</v>
      </c>
      <c r="B246" t="s">
        <v>2199</v>
      </c>
      <c r="C246" t="s">
        <v>28</v>
      </c>
      <c r="D246" t="s">
        <v>1502</v>
      </c>
      <c r="E246" t="s">
        <v>1504</v>
      </c>
      <c r="F246">
        <v>1</v>
      </c>
      <c r="G246" t="s">
        <v>1505</v>
      </c>
      <c r="H246" s="1">
        <v>46023</v>
      </c>
      <c r="I246" t="s">
        <v>423</v>
      </c>
      <c r="J246">
        <v>12</v>
      </c>
      <c r="K246" t="s">
        <v>413</v>
      </c>
      <c r="L246" s="8">
        <v>2400000</v>
      </c>
    </row>
    <row r="247" spans="1:12" x14ac:dyDescent="0.25">
      <c r="A247" t="s">
        <v>1509</v>
      </c>
      <c r="B247" t="s">
        <v>2199</v>
      </c>
      <c r="C247" t="s">
        <v>28</v>
      </c>
      <c r="D247" t="s">
        <v>1510</v>
      </c>
      <c r="E247" t="s">
        <v>1512</v>
      </c>
      <c r="F247">
        <v>2</v>
      </c>
      <c r="G247" t="s">
        <v>590</v>
      </c>
      <c r="H247" s="1">
        <v>46113</v>
      </c>
      <c r="I247" t="s">
        <v>591</v>
      </c>
      <c r="J247">
        <v>1</v>
      </c>
      <c r="K247" s="1">
        <v>46113</v>
      </c>
      <c r="L247" s="8">
        <v>76086</v>
      </c>
    </row>
    <row r="248" spans="1:12" x14ac:dyDescent="0.25">
      <c r="A248" t="s">
        <v>1509</v>
      </c>
      <c r="B248" t="s">
        <v>2199</v>
      </c>
      <c r="C248" t="s">
        <v>28</v>
      </c>
      <c r="D248" t="s">
        <v>1510</v>
      </c>
      <c r="E248" t="s">
        <v>1513</v>
      </c>
      <c r="F248">
        <v>2</v>
      </c>
      <c r="G248" t="s">
        <v>590</v>
      </c>
      <c r="H248" s="1">
        <v>46113</v>
      </c>
      <c r="I248" t="s">
        <v>591</v>
      </c>
      <c r="J248">
        <v>1</v>
      </c>
      <c r="K248" s="1">
        <v>46113</v>
      </c>
      <c r="L248" s="8">
        <v>224004</v>
      </c>
    </row>
    <row r="249" spans="1:12" x14ac:dyDescent="0.25">
      <c r="A249" t="s">
        <v>1514</v>
      </c>
      <c r="B249" t="s">
        <v>2199</v>
      </c>
      <c r="C249" t="s">
        <v>28</v>
      </c>
      <c r="D249" t="s">
        <v>1515</v>
      </c>
      <c r="E249" t="s">
        <v>1251</v>
      </c>
      <c r="F249">
        <v>1</v>
      </c>
      <c r="G249" t="s">
        <v>1075</v>
      </c>
      <c r="H249" s="1">
        <v>46235</v>
      </c>
      <c r="I249" t="s">
        <v>1076</v>
      </c>
      <c r="J249">
        <v>1</v>
      </c>
      <c r="K249" s="1">
        <v>46266</v>
      </c>
      <c r="L249" s="8">
        <v>150000</v>
      </c>
    </row>
    <row r="250" spans="1:12" x14ac:dyDescent="0.25">
      <c r="A250" t="s">
        <v>1518</v>
      </c>
      <c r="B250" t="s">
        <v>2199</v>
      </c>
      <c r="C250" t="s">
        <v>28</v>
      </c>
      <c r="D250" t="s">
        <v>1520</v>
      </c>
      <c r="E250" t="s">
        <v>1523</v>
      </c>
      <c r="F250">
        <v>3</v>
      </c>
      <c r="G250" t="s">
        <v>761</v>
      </c>
      <c r="H250" s="1">
        <v>46143</v>
      </c>
      <c r="I250" t="s">
        <v>762</v>
      </c>
      <c r="J250">
        <v>1</v>
      </c>
      <c r="K250" s="1">
        <v>46143</v>
      </c>
      <c r="L250" s="8">
        <v>50004</v>
      </c>
    </row>
    <row r="251" spans="1:12" x14ac:dyDescent="0.25">
      <c r="A251" t="s">
        <v>1518</v>
      </c>
      <c r="B251" t="s">
        <v>2199</v>
      </c>
      <c r="C251" t="s">
        <v>28</v>
      </c>
      <c r="D251" t="s">
        <v>1520</v>
      </c>
      <c r="E251" t="s">
        <v>1524</v>
      </c>
      <c r="F251">
        <v>3</v>
      </c>
      <c r="G251" t="s">
        <v>761</v>
      </c>
      <c r="H251" s="1">
        <v>46143</v>
      </c>
      <c r="I251" t="s">
        <v>762</v>
      </c>
      <c r="J251">
        <v>1</v>
      </c>
      <c r="K251" s="1">
        <v>46143</v>
      </c>
      <c r="L251" s="8">
        <v>650000</v>
      </c>
    </row>
    <row r="252" spans="1:12" x14ac:dyDescent="0.25">
      <c r="A252" t="s">
        <v>1518</v>
      </c>
      <c r="B252" t="s">
        <v>2199</v>
      </c>
      <c r="C252" t="s">
        <v>28</v>
      </c>
      <c r="D252" t="s">
        <v>1520</v>
      </c>
      <c r="E252" t="s">
        <v>1522</v>
      </c>
      <c r="F252">
        <v>3</v>
      </c>
      <c r="G252" t="s">
        <v>761</v>
      </c>
      <c r="H252" s="1">
        <v>46143</v>
      </c>
      <c r="I252" t="s">
        <v>762</v>
      </c>
      <c r="J252">
        <v>1</v>
      </c>
      <c r="K252" s="1">
        <v>46143</v>
      </c>
      <c r="L252" s="8">
        <v>960000</v>
      </c>
    </row>
    <row r="253" spans="1:12" x14ac:dyDescent="0.25">
      <c r="A253" t="s">
        <v>1525</v>
      </c>
      <c r="B253" t="s">
        <v>2199</v>
      </c>
      <c r="C253" t="s">
        <v>28</v>
      </c>
      <c r="D253" t="s">
        <v>1502</v>
      </c>
      <c r="E253" t="s">
        <v>1527</v>
      </c>
      <c r="F253">
        <v>1</v>
      </c>
      <c r="G253" t="s">
        <v>1505</v>
      </c>
      <c r="H253" s="1">
        <v>46023</v>
      </c>
      <c r="I253" t="s">
        <v>423</v>
      </c>
      <c r="J253">
        <v>1</v>
      </c>
      <c r="K253" s="1">
        <v>46023</v>
      </c>
      <c r="L253" s="8">
        <v>3861900</v>
      </c>
    </row>
    <row r="254" spans="1:12" x14ac:dyDescent="0.25">
      <c r="A254" t="s">
        <v>1528</v>
      </c>
      <c r="B254" t="s">
        <v>2199</v>
      </c>
      <c r="C254" t="s">
        <v>28</v>
      </c>
      <c r="D254" t="s">
        <v>1529</v>
      </c>
      <c r="E254" t="s">
        <v>911</v>
      </c>
      <c r="F254">
        <v>2</v>
      </c>
      <c r="G254" t="s">
        <v>1075</v>
      </c>
      <c r="H254" s="1">
        <v>46143</v>
      </c>
      <c r="I254" t="s">
        <v>1076</v>
      </c>
      <c r="J254">
        <v>1</v>
      </c>
      <c r="K254" s="1">
        <v>46143</v>
      </c>
      <c r="L254" s="8">
        <v>20000</v>
      </c>
    </row>
    <row r="255" spans="1:12" x14ac:dyDescent="0.25">
      <c r="A255" t="s">
        <v>1528</v>
      </c>
      <c r="B255" t="s">
        <v>2199</v>
      </c>
      <c r="C255" t="s">
        <v>28</v>
      </c>
      <c r="D255" t="s">
        <v>1529</v>
      </c>
      <c r="E255" t="s">
        <v>1531</v>
      </c>
      <c r="F255">
        <v>2</v>
      </c>
      <c r="G255" t="s">
        <v>1075</v>
      </c>
      <c r="H255" s="1">
        <v>46143</v>
      </c>
      <c r="I255" t="s">
        <v>1076</v>
      </c>
      <c r="J255">
        <v>1</v>
      </c>
      <c r="K255" s="1">
        <v>46143</v>
      </c>
      <c r="L255" s="8">
        <v>16000</v>
      </c>
    </row>
    <row r="256" spans="1:12" x14ac:dyDescent="0.25">
      <c r="A256" t="s">
        <v>1532</v>
      </c>
      <c r="B256" t="s">
        <v>2199</v>
      </c>
      <c r="C256" t="s">
        <v>28</v>
      </c>
      <c r="D256" t="s">
        <v>1533</v>
      </c>
      <c r="E256" t="s">
        <v>1536</v>
      </c>
      <c r="F256">
        <v>5</v>
      </c>
      <c r="G256" t="s">
        <v>761</v>
      </c>
      <c r="H256" s="1">
        <v>46143</v>
      </c>
      <c r="I256" t="s">
        <v>762</v>
      </c>
      <c r="J256">
        <v>1</v>
      </c>
      <c r="K256" s="1">
        <v>46143</v>
      </c>
      <c r="L256" s="8">
        <v>120000</v>
      </c>
    </row>
    <row r="257" spans="1:12" x14ac:dyDescent="0.25">
      <c r="A257" t="s">
        <v>1532</v>
      </c>
      <c r="B257" t="s">
        <v>2199</v>
      </c>
      <c r="C257" t="s">
        <v>28</v>
      </c>
      <c r="D257" t="s">
        <v>1533</v>
      </c>
      <c r="E257" t="s">
        <v>1534</v>
      </c>
      <c r="F257">
        <v>5</v>
      </c>
      <c r="G257" t="s">
        <v>761</v>
      </c>
      <c r="H257" s="1">
        <v>46143</v>
      </c>
      <c r="I257" t="s">
        <v>762</v>
      </c>
      <c r="J257">
        <v>1</v>
      </c>
      <c r="K257" s="1">
        <v>46143</v>
      </c>
      <c r="L257" s="8">
        <v>1100001</v>
      </c>
    </row>
    <row r="258" spans="1:12" x14ac:dyDescent="0.25">
      <c r="A258" t="s">
        <v>1532</v>
      </c>
      <c r="B258" t="s">
        <v>2199</v>
      </c>
      <c r="C258" t="s">
        <v>28</v>
      </c>
      <c r="D258" t="s">
        <v>1533</v>
      </c>
      <c r="E258" t="s">
        <v>1537</v>
      </c>
      <c r="F258">
        <v>5</v>
      </c>
      <c r="G258" t="s">
        <v>761</v>
      </c>
      <c r="H258" s="1">
        <v>46143</v>
      </c>
      <c r="I258" t="s">
        <v>762</v>
      </c>
      <c r="J258">
        <v>1</v>
      </c>
      <c r="K258" s="1">
        <v>46143</v>
      </c>
      <c r="L258" s="8">
        <v>30000</v>
      </c>
    </row>
    <row r="259" spans="1:12" x14ac:dyDescent="0.25">
      <c r="A259" t="s">
        <v>1532</v>
      </c>
      <c r="B259" t="s">
        <v>2199</v>
      </c>
      <c r="C259" t="s">
        <v>28</v>
      </c>
      <c r="D259" t="s">
        <v>1533</v>
      </c>
      <c r="E259" t="s">
        <v>1538</v>
      </c>
      <c r="F259">
        <v>5</v>
      </c>
      <c r="G259" t="s">
        <v>761</v>
      </c>
      <c r="H259" s="1">
        <v>46143</v>
      </c>
      <c r="I259" t="s">
        <v>762</v>
      </c>
      <c r="J259">
        <v>1</v>
      </c>
      <c r="K259" s="1">
        <v>46143</v>
      </c>
      <c r="L259" s="8">
        <v>390000</v>
      </c>
    </row>
    <row r="260" spans="1:12" x14ac:dyDescent="0.25">
      <c r="A260" t="s">
        <v>1532</v>
      </c>
      <c r="B260" t="s">
        <v>2199</v>
      </c>
      <c r="C260" t="s">
        <v>28</v>
      </c>
      <c r="D260" t="s">
        <v>1533</v>
      </c>
      <c r="E260" t="s">
        <v>1535</v>
      </c>
      <c r="F260">
        <v>5</v>
      </c>
      <c r="G260" t="s">
        <v>761</v>
      </c>
      <c r="H260" s="1">
        <v>46143</v>
      </c>
      <c r="I260" t="s">
        <v>762</v>
      </c>
      <c r="J260">
        <v>1</v>
      </c>
      <c r="K260" s="1">
        <v>46143</v>
      </c>
      <c r="L260" s="8">
        <v>1100090</v>
      </c>
    </row>
    <row r="261" spans="1:12" x14ac:dyDescent="0.25">
      <c r="A261" t="s">
        <v>1539</v>
      </c>
      <c r="B261" t="s">
        <v>2199</v>
      </c>
      <c r="C261" t="s">
        <v>28</v>
      </c>
      <c r="D261" t="s">
        <v>1540</v>
      </c>
      <c r="E261" t="s">
        <v>1191</v>
      </c>
      <c r="F261">
        <v>1</v>
      </c>
      <c r="G261" t="s">
        <v>1211</v>
      </c>
      <c r="H261" s="1">
        <v>46327</v>
      </c>
      <c r="I261" t="s">
        <v>320</v>
      </c>
      <c r="J261">
        <v>1</v>
      </c>
      <c r="K261" s="1">
        <v>46327</v>
      </c>
      <c r="L261" s="8">
        <v>400000</v>
      </c>
    </row>
    <row r="262" spans="1:12" x14ac:dyDescent="0.25">
      <c r="A262" t="s">
        <v>1542</v>
      </c>
      <c r="B262" t="s">
        <v>2199</v>
      </c>
      <c r="C262" t="s">
        <v>28</v>
      </c>
      <c r="D262" t="s">
        <v>1543</v>
      </c>
      <c r="E262" t="s">
        <v>1545</v>
      </c>
      <c r="F262">
        <v>1</v>
      </c>
      <c r="G262" t="s">
        <v>1075</v>
      </c>
      <c r="H262" s="1">
        <v>46204</v>
      </c>
      <c r="I262" t="s">
        <v>1076</v>
      </c>
      <c r="J262">
        <v>1</v>
      </c>
      <c r="K262" s="1">
        <v>46204</v>
      </c>
      <c r="L262" s="8">
        <v>800000</v>
      </c>
    </row>
    <row r="263" spans="1:12" x14ac:dyDescent="0.25">
      <c r="A263" t="s">
        <v>1546</v>
      </c>
      <c r="B263" t="s">
        <v>2199</v>
      </c>
      <c r="C263" t="s">
        <v>28</v>
      </c>
      <c r="D263" t="s">
        <v>1548</v>
      </c>
      <c r="E263" t="s">
        <v>1549</v>
      </c>
      <c r="F263">
        <v>3</v>
      </c>
      <c r="G263" t="s">
        <v>761</v>
      </c>
      <c r="H263" s="1">
        <v>46143</v>
      </c>
      <c r="I263" t="s">
        <v>762</v>
      </c>
      <c r="J263">
        <v>1</v>
      </c>
      <c r="K263" s="1">
        <v>46143</v>
      </c>
      <c r="L263" s="8">
        <v>746010</v>
      </c>
    </row>
    <row r="264" spans="1:12" x14ac:dyDescent="0.25">
      <c r="A264" t="s">
        <v>1546</v>
      </c>
      <c r="B264" t="s">
        <v>2199</v>
      </c>
      <c r="C264" t="s">
        <v>28</v>
      </c>
      <c r="D264" t="s">
        <v>1548</v>
      </c>
      <c r="E264" t="s">
        <v>1550</v>
      </c>
      <c r="F264">
        <v>3</v>
      </c>
      <c r="G264" t="s">
        <v>761</v>
      </c>
      <c r="H264" s="1">
        <v>46143</v>
      </c>
      <c r="I264" t="s">
        <v>762</v>
      </c>
      <c r="J264">
        <v>1</v>
      </c>
      <c r="K264" s="1">
        <v>46143</v>
      </c>
      <c r="L264" s="8">
        <v>480032</v>
      </c>
    </row>
    <row r="265" spans="1:12" x14ac:dyDescent="0.25">
      <c r="A265" t="s">
        <v>1546</v>
      </c>
      <c r="B265" t="s">
        <v>2199</v>
      </c>
      <c r="C265" t="s">
        <v>28</v>
      </c>
      <c r="D265" t="s">
        <v>1548</v>
      </c>
      <c r="E265" t="s">
        <v>1227</v>
      </c>
      <c r="F265">
        <v>3</v>
      </c>
      <c r="G265" t="s">
        <v>761</v>
      </c>
      <c r="H265" s="1">
        <v>46143</v>
      </c>
      <c r="I265" t="s">
        <v>762</v>
      </c>
      <c r="J265">
        <v>1</v>
      </c>
      <c r="K265" s="1">
        <v>46143</v>
      </c>
      <c r="L265" s="8">
        <v>96000</v>
      </c>
    </row>
    <row r="266" spans="1:12" x14ac:dyDescent="0.25">
      <c r="A266" t="s">
        <v>1551</v>
      </c>
      <c r="B266" t="s">
        <v>2199</v>
      </c>
      <c r="C266" t="s">
        <v>28</v>
      </c>
      <c r="D266" t="s">
        <v>1553</v>
      </c>
      <c r="E266" t="s">
        <v>1554</v>
      </c>
      <c r="F266">
        <v>1</v>
      </c>
      <c r="G266" t="s">
        <v>761</v>
      </c>
      <c r="H266" s="1">
        <v>46143</v>
      </c>
      <c r="I266" t="s">
        <v>762</v>
      </c>
      <c r="J266">
        <v>1</v>
      </c>
      <c r="K266" s="1">
        <v>46143</v>
      </c>
      <c r="L266" s="8">
        <v>334061</v>
      </c>
    </row>
    <row r="267" spans="1:12" x14ac:dyDescent="0.25">
      <c r="A267" t="s">
        <v>1555</v>
      </c>
      <c r="B267" t="s">
        <v>2199</v>
      </c>
      <c r="C267" t="s">
        <v>28</v>
      </c>
      <c r="D267" t="s">
        <v>1556</v>
      </c>
      <c r="E267" t="s">
        <v>1558</v>
      </c>
      <c r="F267">
        <v>1</v>
      </c>
      <c r="G267" t="s">
        <v>1559</v>
      </c>
      <c r="H267" s="1">
        <v>46082</v>
      </c>
      <c r="I267" t="s">
        <v>1560</v>
      </c>
      <c r="J267">
        <v>1</v>
      </c>
      <c r="K267" s="1">
        <v>46113</v>
      </c>
      <c r="L267" s="8">
        <v>14500000</v>
      </c>
    </row>
    <row r="268" spans="1:12" x14ac:dyDescent="0.25">
      <c r="A268" t="s">
        <v>1563</v>
      </c>
      <c r="B268" t="s">
        <v>2199</v>
      </c>
      <c r="C268" t="s">
        <v>28</v>
      </c>
      <c r="D268" t="s">
        <v>1404</v>
      </c>
      <c r="E268" t="s">
        <v>815</v>
      </c>
      <c r="F268">
        <v>2</v>
      </c>
      <c r="G268" t="s">
        <v>1035</v>
      </c>
      <c r="H268" s="1">
        <v>46327</v>
      </c>
      <c r="I268" t="s">
        <v>1036</v>
      </c>
      <c r="J268">
        <v>1</v>
      </c>
      <c r="K268" s="1">
        <v>46327</v>
      </c>
      <c r="L268" s="8">
        <v>60000</v>
      </c>
    </row>
    <row r="269" spans="1:12" x14ac:dyDescent="0.25">
      <c r="A269" t="s">
        <v>1563</v>
      </c>
      <c r="B269" t="s">
        <v>2199</v>
      </c>
      <c r="C269" t="s">
        <v>28</v>
      </c>
      <c r="D269" t="s">
        <v>1404</v>
      </c>
      <c r="E269" t="s">
        <v>957</v>
      </c>
      <c r="F269">
        <v>2</v>
      </c>
      <c r="G269" t="s">
        <v>1035</v>
      </c>
      <c r="H269" s="1">
        <v>46327</v>
      </c>
      <c r="I269" t="s">
        <v>1036</v>
      </c>
      <c r="J269">
        <v>1</v>
      </c>
      <c r="K269" s="1">
        <v>46327</v>
      </c>
      <c r="L269" s="8">
        <v>400000</v>
      </c>
    </row>
    <row r="270" spans="1:12" x14ac:dyDescent="0.25">
      <c r="A270" t="s">
        <v>1566</v>
      </c>
      <c r="B270" t="s">
        <v>2199</v>
      </c>
      <c r="C270" t="s">
        <v>28</v>
      </c>
      <c r="D270" t="s">
        <v>1567</v>
      </c>
      <c r="E270" t="s">
        <v>1121</v>
      </c>
      <c r="F270">
        <v>1</v>
      </c>
      <c r="G270" t="s">
        <v>1211</v>
      </c>
      <c r="H270" s="1">
        <v>46054</v>
      </c>
      <c r="I270" t="s">
        <v>320</v>
      </c>
      <c r="J270">
        <v>1</v>
      </c>
      <c r="K270" s="1">
        <v>46054</v>
      </c>
      <c r="L270" s="8">
        <v>120000</v>
      </c>
    </row>
    <row r="271" spans="1:12" x14ac:dyDescent="0.25">
      <c r="A271" t="s">
        <v>1569</v>
      </c>
      <c r="B271" t="s">
        <v>2199</v>
      </c>
      <c r="C271" t="s">
        <v>28</v>
      </c>
      <c r="D271" t="s">
        <v>1570</v>
      </c>
      <c r="E271" t="s">
        <v>599</v>
      </c>
      <c r="F271">
        <v>1</v>
      </c>
      <c r="G271" t="s">
        <v>1572</v>
      </c>
      <c r="H271" s="1">
        <v>46082</v>
      </c>
      <c r="I271" t="s">
        <v>1573</v>
      </c>
      <c r="J271">
        <v>1</v>
      </c>
      <c r="K271" s="1">
        <v>46082</v>
      </c>
      <c r="L271" s="8">
        <v>7000000</v>
      </c>
    </row>
    <row r="272" spans="1:12" x14ac:dyDescent="0.25">
      <c r="A272" t="s">
        <v>1585</v>
      </c>
      <c r="B272" t="s">
        <v>2199</v>
      </c>
      <c r="C272" t="s">
        <v>28</v>
      </c>
      <c r="D272" t="s">
        <v>1587</v>
      </c>
      <c r="E272" t="s">
        <v>1589</v>
      </c>
      <c r="F272">
        <v>1</v>
      </c>
      <c r="G272" t="s">
        <v>1572</v>
      </c>
      <c r="H272" s="1">
        <v>46082</v>
      </c>
      <c r="I272" t="s">
        <v>1573</v>
      </c>
      <c r="J272">
        <v>1</v>
      </c>
      <c r="K272" s="1">
        <v>46082</v>
      </c>
      <c r="L272" s="8">
        <v>1428000</v>
      </c>
    </row>
    <row r="273" spans="1:12" x14ac:dyDescent="0.25">
      <c r="A273" t="s">
        <v>1590</v>
      </c>
      <c r="B273" t="s">
        <v>2199</v>
      </c>
      <c r="C273" t="s">
        <v>374</v>
      </c>
      <c r="D273" t="s">
        <v>1591</v>
      </c>
      <c r="E273" t="s">
        <v>1592</v>
      </c>
      <c r="F273">
        <v>3</v>
      </c>
      <c r="G273" t="s">
        <v>761</v>
      </c>
      <c r="H273" s="1">
        <v>46143</v>
      </c>
      <c r="I273" t="s">
        <v>762</v>
      </c>
      <c r="J273">
        <v>1</v>
      </c>
      <c r="K273" s="1">
        <v>46143</v>
      </c>
      <c r="L273" s="8">
        <v>150000</v>
      </c>
    </row>
    <row r="274" spans="1:12" x14ac:dyDescent="0.25">
      <c r="A274" t="s">
        <v>1590</v>
      </c>
      <c r="B274" t="s">
        <v>2199</v>
      </c>
      <c r="C274" t="s">
        <v>374</v>
      </c>
      <c r="D274" t="s">
        <v>1591</v>
      </c>
      <c r="E274" t="s">
        <v>1594</v>
      </c>
      <c r="F274">
        <v>3</v>
      </c>
      <c r="G274" t="s">
        <v>761</v>
      </c>
      <c r="H274" s="1">
        <v>46143</v>
      </c>
      <c r="I274" t="s">
        <v>762</v>
      </c>
      <c r="J274">
        <v>1</v>
      </c>
      <c r="K274" s="1">
        <v>46143</v>
      </c>
      <c r="L274" s="8">
        <v>75000</v>
      </c>
    </row>
    <row r="275" spans="1:12" x14ac:dyDescent="0.25">
      <c r="A275" t="s">
        <v>1590</v>
      </c>
      <c r="B275" t="s">
        <v>2199</v>
      </c>
      <c r="C275" t="s">
        <v>374</v>
      </c>
      <c r="D275" t="s">
        <v>1591</v>
      </c>
      <c r="E275" t="s">
        <v>1593</v>
      </c>
      <c r="F275">
        <v>3</v>
      </c>
      <c r="G275" t="s">
        <v>761</v>
      </c>
      <c r="H275" s="1">
        <v>46143</v>
      </c>
      <c r="I275" t="s">
        <v>762</v>
      </c>
      <c r="J275">
        <v>1</v>
      </c>
      <c r="K275" s="1">
        <v>46143</v>
      </c>
      <c r="L275" s="8">
        <v>70000</v>
      </c>
    </row>
    <row r="276" spans="1:12" x14ac:dyDescent="0.25">
      <c r="A276" t="s">
        <v>1600</v>
      </c>
      <c r="B276" t="s">
        <v>2199</v>
      </c>
      <c r="C276" t="s">
        <v>28</v>
      </c>
      <c r="D276" t="s">
        <v>1601</v>
      </c>
      <c r="E276" t="s">
        <v>1603</v>
      </c>
      <c r="F276">
        <v>1</v>
      </c>
      <c r="G276" t="s">
        <v>1572</v>
      </c>
      <c r="H276" s="1">
        <v>46235</v>
      </c>
      <c r="I276" t="s">
        <v>1573</v>
      </c>
      <c r="J276">
        <v>1</v>
      </c>
      <c r="K276" s="1">
        <v>46235</v>
      </c>
      <c r="L276" s="8">
        <v>1428000</v>
      </c>
    </row>
    <row r="277" spans="1:12" x14ac:dyDescent="0.25">
      <c r="A277" t="s">
        <v>1604</v>
      </c>
      <c r="B277" t="s">
        <v>2199</v>
      </c>
      <c r="C277" t="s">
        <v>28</v>
      </c>
      <c r="D277" t="s">
        <v>1605</v>
      </c>
      <c r="E277" t="s">
        <v>1607</v>
      </c>
      <c r="F277">
        <v>2</v>
      </c>
      <c r="G277" t="s">
        <v>1608</v>
      </c>
      <c r="H277" s="1">
        <v>46023</v>
      </c>
      <c r="I277" t="s">
        <v>361</v>
      </c>
      <c r="J277">
        <v>1</v>
      </c>
      <c r="K277" s="1">
        <v>46023</v>
      </c>
      <c r="L277" s="8">
        <v>360000</v>
      </c>
    </row>
    <row r="278" spans="1:12" x14ac:dyDescent="0.25">
      <c r="A278" t="s">
        <v>1604</v>
      </c>
      <c r="B278" t="s">
        <v>2199</v>
      </c>
      <c r="C278" t="s">
        <v>28</v>
      </c>
      <c r="D278" t="s">
        <v>1605</v>
      </c>
      <c r="E278" t="s">
        <v>1609</v>
      </c>
      <c r="F278">
        <v>2</v>
      </c>
      <c r="G278" t="s">
        <v>1608</v>
      </c>
      <c r="H278" s="1">
        <v>46023</v>
      </c>
      <c r="I278" t="s">
        <v>361</v>
      </c>
      <c r="J278">
        <v>1</v>
      </c>
      <c r="K278" s="1">
        <v>46023</v>
      </c>
      <c r="L278" s="8">
        <v>800000</v>
      </c>
    </row>
    <row r="279" spans="1:12" x14ac:dyDescent="0.25">
      <c r="A279" t="s">
        <v>1610</v>
      </c>
      <c r="B279" t="s">
        <v>2199</v>
      </c>
      <c r="C279" t="s">
        <v>28</v>
      </c>
      <c r="D279" t="s">
        <v>1611</v>
      </c>
      <c r="E279" t="s">
        <v>1618</v>
      </c>
      <c r="F279">
        <v>4</v>
      </c>
      <c r="G279" t="s">
        <v>1613</v>
      </c>
      <c r="H279" s="1">
        <v>46054</v>
      </c>
      <c r="I279" t="s">
        <v>1614</v>
      </c>
      <c r="J279">
        <v>1</v>
      </c>
      <c r="K279" s="1">
        <v>46054</v>
      </c>
      <c r="L279" s="8">
        <v>5000001</v>
      </c>
    </row>
    <row r="280" spans="1:12" x14ac:dyDescent="0.25">
      <c r="A280" t="s">
        <v>1610</v>
      </c>
      <c r="B280" t="s">
        <v>2199</v>
      </c>
      <c r="C280" t="s">
        <v>28</v>
      </c>
      <c r="D280" t="s">
        <v>1611</v>
      </c>
      <c r="E280" t="s">
        <v>1617</v>
      </c>
      <c r="F280">
        <v>4</v>
      </c>
      <c r="G280" t="s">
        <v>1613</v>
      </c>
      <c r="H280" s="1">
        <v>46082</v>
      </c>
      <c r="I280" t="s">
        <v>1614</v>
      </c>
      <c r="J280">
        <v>1</v>
      </c>
      <c r="K280" s="1">
        <v>46082</v>
      </c>
      <c r="L280" s="8">
        <v>5000001</v>
      </c>
    </row>
    <row r="281" spans="1:12" x14ac:dyDescent="0.25">
      <c r="A281" t="s">
        <v>1610</v>
      </c>
      <c r="B281" t="s">
        <v>2199</v>
      </c>
      <c r="C281" t="s">
        <v>28</v>
      </c>
      <c r="D281" t="s">
        <v>1611</v>
      </c>
      <c r="E281" t="s">
        <v>602</v>
      </c>
      <c r="F281">
        <v>4</v>
      </c>
      <c r="G281" t="s">
        <v>1613</v>
      </c>
      <c r="H281" s="1">
        <v>46054</v>
      </c>
      <c r="I281" t="s">
        <v>1614</v>
      </c>
      <c r="J281">
        <v>1</v>
      </c>
      <c r="K281" s="1">
        <v>46054</v>
      </c>
      <c r="L281" s="8">
        <v>1500000</v>
      </c>
    </row>
    <row r="282" spans="1:12" x14ac:dyDescent="0.25">
      <c r="A282" t="s">
        <v>1610</v>
      </c>
      <c r="B282" t="s">
        <v>2199</v>
      </c>
      <c r="C282" t="s">
        <v>28</v>
      </c>
      <c r="D282" t="s">
        <v>1611</v>
      </c>
      <c r="E282" t="s">
        <v>1619</v>
      </c>
      <c r="F282">
        <v>4</v>
      </c>
      <c r="G282" t="s">
        <v>1613</v>
      </c>
      <c r="H282" s="1">
        <v>46023</v>
      </c>
      <c r="I282" t="s">
        <v>1614</v>
      </c>
      <c r="J282">
        <v>1</v>
      </c>
      <c r="K282" s="1">
        <v>46023</v>
      </c>
      <c r="L282" s="8">
        <v>50932000</v>
      </c>
    </row>
    <row r="283" spans="1:12" x14ac:dyDescent="0.25">
      <c r="A283" t="s">
        <v>1620</v>
      </c>
      <c r="B283" t="s">
        <v>2199</v>
      </c>
      <c r="C283" t="s">
        <v>28</v>
      </c>
      <c r="D283" t="s">
        <v>1621</v>
      </c>
      <c r="E283" t="s">
        <v>1623</v>
      </c>
      <c r="F283">
        <v>1</v>
      </c>
      <c r="G283" t="s">
        <v>1608</v>
      </c>
      <c r="H283" s="1">
        <v>46023</v>
      </c>
      <c r="I283" t="s">
        <v>361</v>
      </c>
      <c r="J283">
        <v>1</v>
      </c>
      <c r="K283" s="1">
        <v>46023</v>
      </c>
      <c r="L283" s="8">
        <v>600000</v>
      </c>
    </row>
    <row r="284" spans="1:12" x14ac:dyDescent="0.25">
      <c r="A284" t="s">
        <v>1626</v>
      </c>
      <c r="B284" t="s">
        <v>2199</v>
      </c>
      <c r="C284" t="s">
        <v>28</v>
      </c>
      <c r="D284" t="s">
        <v>1627</v>
      </c>
      <c r="E284" t="s">
        <v>1629</v>
      </c>
      <c r="F284">
        <v>3</v>
      </c>
      <c r="G284" t="s">
        <v>1572</v>
      </c>
      <c r="H284" s="1">
        <v>46113</v>
      </c>
      <c r="I284" t="s">
        <v>1573</v>
      </c>
      <c r="J284">
        <v>1</v>
      </c>
      <c r="K284" s="1">
        <v>46113</v>
      </c>
      <c r="L284" s="8">
        <v>63000</v>
      </c>
    </row>
    <row r="285" spans="1:12" x14ac:dyDescent="0.25">
      <c r="A285" t="s">
        <v>1626</v>
      </c>
      <c r="B285" t="s">
        <v>2199</v>
      </c>
      <c r="C285" t="s">
        <v>28</v>
      </c>
      <c r="D285" t="s">
        <v>1627</v>
      </c>
      <c r="E285" t="s">
        <v>1630</v>
      </c>
      <c r="F285">
        <v>3</v>
      </c>
      <c r="G285" t="s">
        <v>1572</v>
      </c>
      <c r="H285" s="1">
        <v>46113</v>
      </c>
      <c r="I285" t="s">
        <v>1573</v>
      </c>
      <c r="J285">
        <v>1</v>
      </c>
      <c r="K285" s="1">
        <v>46113</v>
      </c>
      <c r="L285" s="8">
        <v>3164040</v>
      </c>
    </row>
    <row r="286" spans="1:12" x14ac:dyDescent="0.25">
      <c r="A286" t="s">
        <v>1626</v>
      </c>
      <c r="B286" t="s">
        <v>2199</v>
      </c>
      <c r="C286" t="s">
        <v>28</v>
      </c>
      <c r="D286" t="s">
        <v>1627</v>
      </c>
      <c r="E286" t="s">
        <v>1631</v>
      </c>
      <c r="F286">
        <v>3</v>
      </c>
      <c r="G286" t="s">
        <v>1572</v>
      </c>
      <c r="H286" s="1">
        <v>46113</v>
      </c>
      <c r="I286" t="s">
        <v>1573</v>
      </c>
      <c r="J286">
        <v>1</v>
      </c>
      <c r="K286" s="1">
        <v>46113</v>
      </c>
      <c r="L286" s="8">
        <v>2353780</v>
      </c>
    </row>
    <row r="287" spans="1:12" x14ac:dyDescent="0.25">
      <c r="A287" t="s">
        <v>1632</v>
      </c>
      <c r="B287" t="s">
        <v>2199</v>
      </c>
      <c r="C287" t="s">
        <v>28</v>
      </c>
      <c r="D287" t="s">
        <v>1633</v>
      </c>
      <c r="E287" t="s">
        <v>1636</v>
      </c>
      <c r="F287">
        <v>2</v>
      </c>
      <c r="G287" t="s">
        <v>934</v>
      </c>
      <c r="H287" s="1">
        <v>46204</v>
      </c>
      <c r="I287" t="s">
        <v>935</v>
      </c>
      <c r="J287">
        <v>1</v>
      </c>
      <c r="K287" s="1">
        <v>46204</v>
      </c>
      <c r="L287" s="8">
        <v>80000</v>
      </c>
    </row>
    <row r="288" spans="1:12" x14ac:dyDescent="0.25">
      <c r="A288" t="s">
        <v>1632</v>
      </c>
      <c r="B288" t="s">
        <v>2199</v>
      </c>
      <c r="C288" t="s">
        <v>28</v>
      </c>
      <c r="D288" t="s">
        <v>1633</v>
      </c>
      <c r="E288" t="s">
        <v>1635</v>
      </c>
      <c r="F288">
        <v>2</v>
      </c>
      <c r="G288" t="s">
        <v>934</v>
      </c>
      <c r="H288" s="1">
        <v>46204</v>
      </c>
      <c r="I288" t="s">
        <v>935</v>
      </c>
      <c r="J288">
        <v>1</v>
      </c>
      <c r="K288" s="1">
        <v>46204</v>
      </c>
      <c r="L288" s="8">
        <v>360000</v>
      </c>
    </row>
    <row r="289" spans="1:12" x14ac:dyDescent="0.25">
      <c r="A289" t="s">
        <v>1637</v>
      </c>
      <c r="B289" t="s">
        <v>2199</v>
      </c>
      <c r="C289" t="s">
        <v>28</v>
      </c>
      <c r="D289" t="s">
        <v>1177</v>
      </c>
      <c r="E289" t="s">
        <v>1179</v>
      </c>
      <c r="F289">
        <v>1</v>
      </c>
      <c r="G289" t="s">
        <v>1180</v>
      </c>
      <c r="H289" s="1">
        <v>46082</v>
      </c>
      <c r="I289" t="s">
        <v>1181</v>
      </c>
      <c r="J289">
        <v>1</v>
      </c>
      <c r="K289" s="1">
        <v>46082</v>
      </c>
      <c r="L289" s="8">
        <v>115003</v>
      </c>
    </row>
    <row r="290" spans="1:12" x14ac:dyDescent="0.25">
      <c r="A290" t="s">
        <v>1638</v>
      </c>
      <c r="B290" t="s">
        <v>2199</v>
      </c>
      <c r="C290" t="s">
        <v>28</v>
      </c>
      <c r="D290" t="s">
        <v>1639</v>
      </c>
      <c r="E290" t="s">
        <v>1641</v>
      </c>
      <c r="F290">
        <v>1</v>
      </c>
      <c r="G290" t="s">
        <v>1642</v>
      </c>
      <c r="H290" s="1">
        <v>46082</v>
      </c>
      <c r="I290" t="s">
        <v>1643</v>
      </c>
      <c r="J290">
        <v>1</v>
      </c>
      <c r="K290" s="1">
        <v>46082</v>
      </c>
      <c r="L290" s="8">
        <v>405000</v>
      </c>
    </row>
    <row r="291" spans="1:12" x14ac:dyDescent="0.25">
      <c r="A291" t="s">
        <v>1667</v>
      </c>
      <c r="B291" t="s">
        <v>2199</v>
      </c>
      <c r="C291" t="s">
        <v>28</v>
      </c>
      <c r="D291" t="s">
        <v>1668</v>
      </c>
      <c r="E291" t="s">
        <v>359</v>
      </c>
      <c r="F291">
        <v>3</v>
      </c>
      <c r="G291" t="s">
        <v>64</v>
      </c>
      <c r="H291" s="1">
        <v>46082</v>
      </c>
      <c r="I291" t="s">
        <v>65</v>
      </c>
      <c r="J291">
        <v>4</v>
      </c>
      <c r="K291" t="s">
        <v>1672</v>
      </c>
      <c r="L291" s="8">
        <v>367136</v>
      </c>
    </row>
    <row r="292" spans="1:12" x14ac:dyDescent="0.25">
      <c r="A292" t="s">
        <v>1667</v>
      </c>
      <c r="B292" t="s">
        <v>2199</v>
      </c>
      <c r="C292" t="s">
        <v>28</v>
      </c>
      <c r="D292" t="s">
        <v>1668</v>
      </c>
      <c r="E292" t="s">
        <v>1670</v>
      </c>
      <c r="F292">
        <v>3</v>
      </c>
      <c r="G292" t="s">
        <v>64</v>
      </c>
      <c r="H292" s="1">
        <v>46054</v>
      </c>
      <c r="I292" t="s">
        <v>65</v>
      </c>
      <c r="J292">
        <v>1</v>
      </c>
      <c r="K292" s="1">
        <v>46054</v>
      </c>
      <c r="L292" s="8">
        <v>150000</v>
      </c>
    </row>
    <row r="293" spans="1:12" x14ac:dyDescent="0.25">
      <c r="A293" t="s">
        <v>1667</v>
      </c>
      <c r="B293" t="s">
        <v>2199</v>
      </c>
      <c r="C293" t="s">
        <v>28</v>
      </c>
      <c r="D293" t="s">
        <v>1668</v>
      </c>
      <c r="E293" t="s">
        <v>1671</v>
      </c>
      <c r="F293">
        <v>3</v>
      </c>
      <c r="G293" t="s">
        <v>64</v>
      </c>
      <c r="H293" s="1">
        <v>46054</v>
      </c>
      <c r="I293" t="s">
        <v>65</v>
      </c>
      <c r="J293">
        <v>1</v>
      </c>
      <c r="K293" s="1">
        <v>46054</v>
      </c>
      <c r="L293" s="8">
        <v>25017</v>
      </c>
    </row>
    <row r="294" spans="1:12" x14ac:dyDescent="0.25">
      <c r="A294" t="s">
        <v>1675</v>
      </c>
      <c r="B294" t="s">
        <v>2199</v>
      </c>
      <c r="C294" t="s">
        <v>28</v>
      </c>
      <c r="D294" t="s">
        <v>1658</v>
      </c>
      <c r="E294" t="s">
        <v>1617</v>
      </c>
      <c r="F294">
        <v>2</v>
      </c>
      <c r="G294" t="s">
        <v>1660</v>
      </c>
      <c r="H294" s="1">
        <v>46174</v>
      </c>
      <c r="I294" t="s">
        <v>1661</v>
      </c>
      <c r="J294">
        <v>1</v>
      </c>
      <c r="K294" s="1">
        <v>46174</v>
      </c>
      <c r="L294" s="8">
        <v>1302600</v>
      </c>
    </row>
    <row r="295" spans="1:12" x14ac:dyDescent="0.25">
      <c r="A295" t="s">
        <v>1675</v>
      </c>
      <c r="B295" t="s">
        <v>2199</v>
      </c>
      <c r="C295" t="s">
        <v>28</v>
      </c>
      <c r="D295" t="s">
        <v>1658</v>
      </c>
      <c r="E295" t="s">
        <v>1678</v>
      </c>
      <c r="F295">
        <v>2</v>
      </c>
      <c r="G295" t="s">
        <v>1660</v>
      </c>
      <c r="H295" s="1">
        <v>46174</v>
      </c>
      <c r="I295" t="s">
        <v>1661</v>
      </c>
      <c r="J295">
        <v>1</v>
      </c>
      <c r="K295" s="1">
        <v>46174</v>
      </c>
      <c r="L295" s="8">
        <v>1200000</v>
      </c>
    </row>
    <row r="296" spans="1:12" x14ac:dyDescent="0.25">
      <c r="A296" t="s">
        <v>1679</v>
      </c>
      <c r="B296" t="s">
        <v>2199</v>
      </c>
      <c r="C296" t="s">
        <v>28</v>
      </c>
      <c r="D296" t="s">
        <v>1680</v>
      </c>
      <c r="E296" t="s">
        <v>1550</v>
      </c>
      <c r="F296">
        <v>3</v>
      </c>
      <c r="G296" t="s">
        <v>457</v>
      </c>
      <c r="H296" s="1">
        <v>46023</v>
      </c>
      <c r="I296" t="s">
        <v>1682</v>
      </c>
      <c r="J296">
        <v>1</v>
      </c>
      <c r="K296" s="1">
        <v>46023</v>
      </c>
      <c r="L296" s="8">
        <v>18000</v>
      </c>
    </row>
    <row r="297" spans="1:12" x14ac:dyDescent="0.25">
      <c r="A297" t="s">
        <v>1679</v>
      </c>
      <c r="B297" t="s">
        <v>2199</v>
      </c>
      <c r="C297" t="s">
        <v>28</v>
      </c>
      <c r="D297" t="s">
        <v>1680</v>
      </c>
      <c r="E297" t="s">
        <v>486</v>
      </c>
      <c r="F297">
        <v>3</v>
      </c>
      <c r="G297" t="s">
        <v>457</v>
      </c>
      <c r="H297" s="1">
        <v>46023</v>
      </c>
      <c r="I297" t="s">
        <v>1682</v>
      </c>
      <c r="J297">
        <v>1</v>
      </c>
      <c r="K297" s="1">
        <v>46023</v>
      </c>
      <c r="L297" s="8">
        <v>184014</v>
      </c>
    </row>
    <row r="298" spans="1:12" x14ac:dyDescent="0.25">
      <c r="A298" t="s">
        <v>1679</v>
      </c>
      <c r="B298" t="s">
        <v>2199</v>
      </c>
      <c r="C298" t="s">
        <v>28</v>
      </c>
      <c r="D298" t="s">
        <v>1680</v>
      </c>
      <c r="E298" t="s">
        <v>1683</v>
      </c>
      <c r="F298">
        <v>3</v>
      </c>
      <c r="G298" t="s">
        <v>457</v>
      </c>
      <c r="H298" s="1">
        <v>46023</v>
      </c>
      <c r="I298" t="s">
        <v>1682</v>
      </c>
      <c r="J298">
        <v>1</v>
      </c>
      <c r="K298" s="1">
        <v>46023</v>
      </c>
      <c r="L298" s="8">
        <v>20000</v>
      </c>
    </row>
    <row r="299" spans="1:12" x14ac:dyDescent="0.25">
      <c r="A299" t="s">
        <v>1684</v>
      </c>
      <c r="B299" t="s">
        <v>2199</v>
      </c>
      <c r="C299" t="s">
        <v>28</v>
      </c>
      <c r="D299" t="s">
        <v>1685</v>
      </c>
      <c r="E299" t="s">
        <v>639</v>
      </c>
      <c r="F299">
        <v>1</v>
      </c>
      <c r="G299" t="s">
        <v>1642</v>
      </c>
      <c r="H299" s="1">
        <v>46054</v>
      </c>
      <c r="I299" t="s">
        <v>1643</v>
      </c>
      <c r="J299">
        <v>1</v>
      </c>
      <c r="K299" s="1">
        <v>46054</v>
      </c>
      <c r="L299" s="8">
        <v>200000</v>
      </c>
    </row>
    <row r="300" spans="1:12" x14ac:dyDescent="0.25">
      <c r="A300" t="s">
        <v>1687</v>
      </c>
      <c r="B300" t="s">
        <v>2199</v>
      </c>
      <c r="C300" t="s">
        <v>28</v>
      </c>
      <c r="D300" t="s">
        <v>1688</v>
      </c>
      <c r="E300" t="s">
        <v>486</v>
      </c>
      <c r="F300">
        <v>2</v>
      </c>
      <c r="G300" t="s">
        <v>1690</v>
      </c>
      <c r="H300" s="1">
        <v>46082</v>
      </c>
      <c r="I300" t="s">
        <v>865</v>
      </c>
      <c r="J300">
        <v>1</v>
      </c>
      <c r="K300" s="1">
        <v>46082</v>
      </c>
      <c r="L300" s="8">
        <v>230009</v>
      </c>
    </row>
    <row r="301" spans="1:12" x14ac:dyDescent="0.25">
      <c r="A301" t="s">
        <v>1687</v>
      </c>
      <c r="B301" t="s">
        <v>2199</v>
      </c>
      <c r="C301" t="s">
        <v>28</v>
      </c>
      <c r="D301" t="s">
        <v>1688</v>
      </c>
      <c r="E301" t="s">
        <v>1693</v>
      </c>
      <c r="F301">
        <v>2</v>
      </c>
      <c r="G301" t="s">
        <v>1690</v>
      </c>
      <c r="H301" s="1">
        <v>46082</v>
      </c>
      <c r="I301" t="s">
        <v>865</v>
      </c>
      <c r="J301">
        <v>1</v>
      </c>
      <c r="K301" s="1">
        <v>46082</v>
      </c>
      <c r="L301" s="8">
        <v>1796000</v>
      </c>
    </row>
    <row r="302" spans="1:12" x14ac:dyDescent="0.25">
      <c r="A302" t="s">
        <v>1694</v>
      </c>
      <c r="B302" t="s">
        <v>2199</v>
      </c>
      <c r="C302" t="s">
        <v>28</v>
      </c>
      <c r="D302" t="s">
        <v>1695</v>
      </c>
      <c r="E302" t="s">
        <v>815</v>
      </c>
      <c r="F302">
        <v>1</v>
      </c>
      <c r="G302" t="s">
        <v>414</v>
      </c>
      <c r="H302" s="1">
        <v>46143</v>
      </c>
      <c r="I302" t="s">
        <v>1697</v>
      </c>
      <c r="J302">
        <v>1</v>
      </c>
      <c r="K302" s="1">
        <v>46143</v>
      </c>
      <c r="L302" s="8">
        <v>2500008</v>
      </c>
    </row>
    <row r="303" spans="1:12" x14ac:dyDescent="0.25">
      <c r="A303" t="s">
        <v>1699</v>
      </c>
      <c r="B303" t="s">
        <v>2199</v>
      </c>
      <c r="C303" t="s">
        <v>28</v>
      </c>
      <c r="D303" t="s">
        <v>1658</v>
      </c>
      <c r="E303" t="s">
        <v>486</v>
      </c>
      <c r="F303">
        <v>1</v>
      </c>
      <c r="G303" t="s">
        <v>1660</v>
      </c>
      <c r="H303" s="1">
        <v>46174</v>
      </c>
      <c r="I303" t="s">
        <v>1661</v>
      </c>
      <c r="J303">
        <v>1</v>
      </c>
      <c r="K303" s="1">
        <v>46174</v>
      </c>
      <c r="L303" s="8">
        <v>500115</v>
      </c>
    </row>
    <row r="304" spans="1:12" x14ac:dyDescent="0.25">
      <c r="A304" t="s">
        <v>1700</v>
      </c>
      <c r="B304" t="s">
        <v>2199</v>
      </c>
      <c r="C304" t="s">
        <v>28</v>
      </c>
      <c r="D304" t="s">
        <v>1701</v>
      </c>
      <c r="E304" t="s">
        <v>1703</v>
      </c>
      <c r="F304">
        <v>1</v>
      </c>
      <c r="G304" t="s">
        <v>1704</v>
      </c>
      <c r="H304" s="1">
        <v>46143</v>
      </c>
      <c r="I304" t="s">
        <v>1705</v>
      </c>
      <c r="J304">
        <v>1</v>
      </c>
      <c r="K304" s="1">
        <v>46143</v>
      </c>
      <c r="L304" s="8">
        <v>4059825</v>
      </c>
    </row>
    <row r="305" spans="1:12" x14ac:dyDescent="0.25">
      <c r="A305" t="s">
        <v>1708</v>
      </c>
      <c r="B305" t="s">
        <v>2199</v>
      </c>
      <c r="C305" t="s">
        <v>28</v>
      </c>
      <c r="D305" t="s">
        <v>1709</v>
      </c>
      <c r="E305" t="s">
        <v>1711</v>
      </c>
      <c r="F305">
        <v>1</v>
      </c>
      <c r="G305" t="s">
        <v>958</v>
      </c>
      <c r="H305" s="1">
        <v>46023</v>
      </c>
      <c r="I305" t="s">
        <v>959</v>
      </c>
      <c r="J305">
        <v>1</v>
      </c>
      <c r="K305" s="1">
        <v>46023</v>
      </c>
      <c r="L305" s="8">
        <v>550000</v>
      </c>
    </row>
    <row r="306" spans="1:12" x14ac:dyDescent="0.25">
      <c r="A306" t="s">
        <v>1712</v>
      </c>
      <c r="B306" t="s">
        <v>2199</v>
      </c>
      <c r="C306" t="s">
        <v>28</v>
      </c>
      <c r="D306" t="s">
        <v>1713</v>
      </c>
      <c r="E306" t="s">
        <v>602</v>
      </c>
      <c r="F306">
        <v>1</v>
      </c>
      <c r="G306" t="s">
        <v>1572</v>
      </c>
      <c r="H306" s="1">
        <v>46082</v>
      </c>
      <c r="I306" t="s">
        <v>1573</v>
      </c>
      <c r="J306">
        <v>1</v>
      </c>
      <c r="K306" s="1">
        <v>46082</v>
      </c>
      <c r="L306" s="8">
        <v>783090</v>
      </c>
    </row>
    <row r="307" spans="1:12" x14ac:dyDescent="0.25">
      <c r="A307" t="s">
        <v>1715</v>
      </c>
      <c r="B307" t="s">
        <v>2199</v>
      </c>
      <c r="C307" t="s">
        <v>28</v>
      </c>
      <c r="D307" t="s">
        <v>1716</v>
      </c>
      <c r="E307" t="s">
        <v>1592</v>
      </c>
      <c r="F307">
        <v>1</v>
      </c>
      <c r="G307" t="s">
        <v>958</v>
      </c>
      <c r="H307" s="1">
        <v>46023</v>
      </c>
      <c r="I307" t="s">
        <v>959</v>
      </c>
      <c r="J307">
        <v>1</v>
      </c>
      <c r="K307" s="1">
        <v>46023</v>
      </c>
      <c r="L307" s="8">
        <v>60000</v>
      </c>
    </row>
    <row r="308" spans="1:12" x14ac:dyDescent="0.25">
      <c r="A308" t="s">
        <v>1718</v>
      </c>
      <c r="B308" t="s">
        <v>2199</v>
      </c>
      <c r="C308" t="s">
        <v>28</v>
      </c>
      <c r="D308" t="s">
        <v>1719</v>
      </c>
      <c r="E308" t="s">
        <v>1721</v>
      </c>
      <c r="F308">
        <v>1</v>
      </c>
      <c r="G308" t="s">
        <v>1723</v>
      </c>
      <c r="H308" s="1">
        <v>46174</v>
      </c>
      <c r="I308" t="s">
        <v>154</v>
      </c>
      <c r="J308">
        <v>24</v>
      </c>
      <c r="K308" t="s">
        <v>1722</v>
      </c>
      <c r="L308" s="8">
        <v>0</v>
      </c>
    </row>
    <row r="309" spans="1:12" x14ac:dyDescent="0.25">
      <c r="A309" t="s">
        <v>1725</v>
      </c>
      <c r="B309" t="s">
        <v>2199</v>
      </c>
      <c r="C309" t="s">
        <v>28</v>
      </c>
      <c r="D309" t="s">
        <v>1726</v>
      </c>
      <c r="E309" t="s">
        <v>623</v>
      </c>
      <c r="F309">
        <v>1</v>
      </c>
      <c r="G309" t="s">
        <v>1211</v>
      </c>
      <c r="H309" s="1">
        <v>46143</v>
      </c>
      <c r="I309" t="s">
        <v>320</v>
      </c>
      <c r="J309">
        <v>1</v>
      </c>
      <c r="K309" s="1">
        <v>46143</v>
      </c>
      <c r="L309" s="8">
        <v>900000</v>
      </c>
    </row>
    <row r="310" spans="1:12" x14ac:dyDescent="0.25">
      <c r="A310" t="s">
        <v>1728</v>
      </c>
      <c r="B310" t="s">
        <v>2199</v>
      </c>
      <c r="C310" t="s">
        <v>28</v>
      </c>
      <c r="D310" t="s">
        <v>1729</v>
      </c>
      <c r="E310" t="s">
        <v>882</v>
      </c>
      <c r="F310">
        <v>1</v>
      </c>
      <c r="G310" t="s">
        <v>1211</v>
      </c>
      <c r="H310" s="1">
        <v>46357</v>
      </c>
      <c r="I310" t="s">
        <v>320</v>
      </c>
      <c r="J310">
        <v>1</v>
      </c>
      <c r="K310" s="1">
        <v>46357</v>
      </c>
      <c r="L310" s="8">
        <v>1500000</v>
      </c>
    </row>
    <row r="311" spans="1:12" x14ac:dyDescent="0.25">
      <c r="A311" t="s">
        <v>1731</v>
      </c>
      <c r="B311" t="s">
        <v>2199</v>
      </c>
      <c r="C311" t="s">
        <v>28</v>
      </c>
      <c r="D311" t="s">
        <v>1732</v>
      </c>
      <c r="E311" t="s">
        <v>1641</v>
      </c>
      <c r="F311">
        <v>1</v>
      </c>
      <c r="G311" t="s">
        <v>1572</v>
      </c>
      <c r="H311" s="1">
        <v>46082</v>
      </c>
      <c r="I311" t="s">
        <v>1573</v>
      </c>
      <c r="J311">
        <v>1</v>
      </c>
      <c r="K311" s="1">
        <v>46082</v>
      </c>
      <c r="L311" s="8">
        <v>726450</v>
      </c>
    </row>
    <row r="312" spans="1:12" x14ac:dyDescent="0.25">
      <c r="A312" t="s">
        <v>1734</v>
      </c>
      <c r="B312" t="s">
        <v>2199</v>
      </c>
      <c r="C312" t="s">
        <v>28</v>
      </c>
      <c r="D312" t="s">
        <v>1736</v>
      </c>
      <c r="E312" t="s">
        <v>807</v>
      </c>
      <c r="F312">
        <v>1</v>
      </c>
      <c r="G312" t="s">
        <v>624</v>
      </c>
      <c r="H312" s="1">
        <v>46143</v>
      </c>
      <c r="I312" t="s">
        <v>625</v>
      </c>
      <c r="J312">
        <v>1</v>
      </c>
      <c r="K312" s="1">
        <v>46143</v>
      </c>
      <c r="L312" s="8">
        <v>5000000</v>
      </c>
    </row>
    <row r="313" spans="1:12" x14ac:dyDescent="0.25">
      <c r="A313" t="s">
        <v>1738</v>
      </c>
      <c r="B313" t="s">
        <v>2199</v>
      </c>
      <c r="C313" t="s">
        <v>28</v>
      </c>
      <c r="D313" t="s">
        <v>1739</v>
      </c>
      <c r="E313" t="s">
        <v>602</v>
      </c>
      <c r="F313">
        <v>1</v>
      </c>
      <c r="G313" t="s">
        <v>1723</v>
      </c>
      <c r="H313" s="1">
        <v>46113</v>
      </c>
      <c r="I313" t="s">
        <v>154</v>
      </c>
      <c r="J313">
        <v>1</v>
      </c>
      <c r="K313" s="1">
        <v>46113</v>
      </c>
      <c r="L313" s="8">
        <v>500000</v>
      </c>
    </row>
    <row r="314" spans="1:12" x14ac:dyDescent="0.25">
      <c r="A314" t="s">
        <v>1741</v>
      </c>
      <c r="B314" t="s">
        <v>2199</v>
      </c>
      <c r="C314" t="s">
        <v>28</v>
      </c>
      <c r="D314" t="s">
        <v>1742</v>
      </c>
      <c r="E314" t="s">
        <v>486</v>
      </c>
      <c r="F314">
        <v>1</v>
      </c>
      <c r="G314" t="s">
        <v>1744</v>
      </c>
      <c r="H314" s="1">
        <v>46082</v>
      </c>
      <c r="I314" t="s">
        <v>1745</v>
      </c>
      <c r="J314">
        <v>1</v>
      </c>
      <c r="K314" s="1">
        <v>46082</v>
      </c>
      <c r="L314" s="8">
        <v>316013</v>
      </c>
    </row>
    <row r="315" spans="1:12" x14ac:dyDescent="0.25">
      <c r="A315" t="s">
        <v>1748</v>
      </c>
      <c r="B315" t="s">
        <v>2199</v>
      </c>
      <c r="C315" t="s">
        <v>28</v>
      </c>
      <c r="D315" t="s">
        <v>1749</v>
      </c>
      <c r="E315" t="s">
        <v>1751</v>
      </c>
      <c r="F315">
        <v>1</v>
      </c>
      <c r="G315" t="s">
        <v>1752</v>
      </c>
      <c r="H315" s="1">
        <v>46023</v>
      </c>
      <c r="I315" t="s">
        <v>1753</v>
      </c>
      <c r="J315">
        <v>1</v>
      </c>
      <c r="K315" s="1">
        <v>46023</v>
      </c>
      <c r="L315" s="8">
        <v>10000000</v>
      </c>
    </row>
    <row r="316" spans="1:12" x14ac:dyDescent="0.25">
      <c r="A316" t="s">
        <v>1756</v>
      </c>
      <c r="B316" t="s">
        <v>2199</v>
      </c>
      <c r="C316" t="s">
        <v>28</v>
      </c>
      <c r="D316" t="s">
        <v>1757</v>
      </c>
      <c r="E316" t="s">
        <v>1237</v>
      </c>
      <c r="F316">
        <v>1</v>
      </c>
      <c r="G316" t="s">
        <v>1759</v>
      </c>
      <c r="H316" s="1">
        <v>46174</v>
      </c>
      <c r="I316" t="s">
        <v>1760</v>
      </c>
      <c r="J316">
        <v>1</v>
      </c>
      <c r="K316" s="1">
        <v>46266</v>
      </c>
      <c r="L316" s="8">
        <v>15000018</v>
      </c>
    </row>
    <row r="317" spans="1:12" x14ac:dyDescent="0.25">
      <c r="A317" t="s">
        <v>1763</v>
      </c>
      <c r="B317" t="s">
        <v>2199</v>
      </c>
      <c r="C317" t="s">
        <v>28</v>
      </c>
      <c r="D317" t="s">
        <v>1764</v>
      </c>
      <c r="E317" t="s">
        <v>1766</v>
      </c>
      <c r="F317">
        <v>1</v>
      </c>
      <c r="G317" t="s">
        <v>1759</v>
      </c>
      <c r="H317" s="1">
        <v>46174</v>
      </c>
      <c r="I317" t="s">
        <v>1760</v>
      </c>
      <c r="J317">
        <v>1</v>
      </c>
      <c r="K317" s="1">
        <v>46204</v>
      </c>
      <c r="L317" s="8">
        <v>30000000</v>
      </c>
    </row>
    <row r="318" spans="1:12" x14ac:dyDescent="0.25">
      <c r="A318" t="s">
        <v>1767</v>
      </c>
      <c r="B318" t="s">
        <v>2199</v>
      </c>
      <c r="C318" t="s">
        <v>28</v>
      </c>
      <c r="D318" t="s">
        <v>1768</v>
      </c>
      <c r="E318" t="s">
        <v>1599</v>
      </c>
      <c r="F318">
        <v>2</v>
      </c>
      <c r="G318" t="s">
        <v>1642</v>
      </c>
      <c r="H318" s="1">
        <v>46082</v>
      </c>
      <c r="I318" t="s">
        <v>1643</v>
      </c>
      <c r="J318">
        <v>1</v>
      </c>
      <c r="K318" s="1">
        <v>46082</v>
      </c>
      <c r="L318" s="8">
        <v>130000</v>
      </c>
    </row>
    <row r="319" spans="1:12" x14ac:dyDescent="0.25">
      <c r="A319" t="s">
        <v>1767</v>
      </c>
      <c r="B319" t="s">
        <v>2199</v>
      </c>
      <c r="C319" t="s">
        <v>28</v>
      </c>
      <c r="D319" t="s">
        <v>1768</v>
      </c>
      <c r="E319" t="s">
        <v>631</v>
      </c>
      <c r="F319">
        <v>2</v>
      </c>
      <c r="G319" t="s">
        <v>1642</v>
      </c>
      <c r="H319" s="1">
        <v>46082</v>
      </c>
      <c r="I319" t="s">
        <v>1643</v>
      </c>
      <c r="J319">
        <v>1</v>
      </c>
      <c r="K319" s="1">
        <v>46082</v>
      </c>
      <c r="L319" s="8">
        <v>150000</v>
      </c>
    </row>
    <row r="320" spans="1:12" x14ac:dyDescent="0.25">
      <c r="A320" t="s">
        <v>1770</v>
      </c>
      <c r="B320" t="s">
        <v>2199</v>
      </c>
      <c r="C320" t="s">
        <v>28</v>
      </c>
      <c r="D320" t="s">
        <v>1771</v>
      </c>
      <c r="E320" t="s">
        <v>1237</v>
      </c>
      <c r="F320">
        <v>1</v>
      </c>
      <c r="G320" t="s">
        <v>1773</v>
      </c>
      <c r="H320" s="1">
        <v>46113</v>
      </c>
      <c r="I320" t="s">
        <v>1774</v>
      </c>
      <c r="J320">
        <v>1</v>
      </c>
      <c r="K320" s="1">
        <v>46113</v>
      </c>
      <c r="L320" s="8">
        <v>7000000</v>
      </c>
    </row>
    <row r="321" spans="1:12" x14ac:dyDescent="0.25">
      <c r="A321" t="s">
        <v>1777</v>
      </c>
      <c r="B321" t="s">
        <v>2199</v>
      </c>
      <c r="C321" t="s">
        <v>28</v>
      </c>
      <c r="D321" t="s">
        <v>1778</v>
      </c>
      <c r="E321" t="s">
        <v>602</v>
      </c>
      <c r="F321">
        <v>1</v>
      </c>
      <c r="G321" t="s">
        <v>1744</v>
      </c>
      <c r="H321" s="1">
        <v>46143</v>
      </c>
      <c r="I321" t="s">
        <v>1745</v>
      </c>
      <c r="J321">
        <v>1</v>
      </c>
      <c r="K321" s="1">
        <v>46143</v>
      </c>
      <c r="L321" s="8">
        <v>1200000</v>
      </c>
    </row>
    <row r="322" spans="1:12" x14ac:dyDescent="0.25">
      <c r="A322" t="s">
        <v>1780</v>
      </c>
      <c r="B322" t="s">
        <v>2199</v>
      </c>
      <c r="C322" t="s">
        <v>28</v>
      </c>
      <c r="D322" t="s">
        <v>1781</v>
      </c>
      <c r="E322" t="s">
        <v>359</v>
      </c>
      <c r="F322">
        <v>1</v>
      </c>
      <c r="G322" t="s">
        <v>1744</v>
      </c>
      <c r="H322" s="1">
        <v>46082</v>
      </c>
      <c r="I322" t="s">
        <v>1745</v>
      </c>
      <c r="J322">
        <v>1</v>
      </c>
      <c r="K322" s="1">
        <v>46082</v>
      </c>
      <c r="L322" s="8">
        <v>150100</v>
      </c>
    </row>
    <row r="323" spans="1:12" x14ac:dyDescent="0.25">
      <c r="A323" t="s">
        <v>1783</v>
      </c>
      <c r="B323" t="s">
        <v>2199</v>
      </c>
      <c r="C323" t="s">
        <v>28</v>
      </c>
      <c r="D323" t="s">
        <v>1784</v>
      </c>
      <c r="E323" t="s">
        <v>1786</v>
      </c>
      <c r="F323">
        <v>1</v>
      </c>
      <c r="G323" t="s">
        <v>1773</v>
      </c>
      <c r="H323" s="1">
        <v>46082</v>
      </c>
      <c r="I323" t="s">
        <v>1774</v>
      </c>
      <c r="J323">
        <v>1</v>
      </c>
      <c r="K323" s="1">
        <v>46082</v>
      </c>
      <c r="L323" s="8">
        <v>1500000</v>
      </c>
    </row>
    <row r="324" spans="1:12" x14ac:dyDescent="0.25">
      <c r="A324" t="s">
        <v>1787</v>
      </c>
      <c r="B324" t="s">
        <v>2199</v>
      </c>
      <c r="C324" t="s">
        <v>28</v>
      </c>
      <c r="D324" t="s">
        <v>1788</v>
      </c>
      <c r="E324" t="s">
        <v>359</v>
      </c>
      <c r="F324">
        <v>3</v>
      </c>
      <c r="G324" t="s">
        <v>1642</v>
      </c>
      <c r="H324" s="1">
        <v>46266</v>
      </c>
      <c r="I324" t="s">
        <v>1643</v>
      </c>
      <c r="J324">
        <v>1</v>
      </c>
      <c r="K324" s="1">
        <v>46266</v>
      </c>
      <c r="L324" s="8">
        <v>20500</v>
      </c>
    </row>
    <row r="325" spans="1:12" x14ac:dyDescent="0.25">
      <c r="A325" t="s">
        <v>1787</v>
      </c>
      <c r="B325" t="s">
        <v>2199</v>
      </c>
      <c r="C325" t="s">
        <v>28</v>
      </c>
      <c r="D325" t="s">
        <v>1788</v>
      </c>
      <c r="E325" t="s">
        <v>486</v>
      </c>
      <c r="F325">
        <v>3</v>
      </c>
      <c r="G325" t="s">
        <v>1642</v>
      </c>
      <c r="H325" s="1">
        <v>46266</v>
      </c>
      <c r="I325" t="s">
        <v>1643</v>
      </c>
      <c r="J325">
        <v>1</v>
      </c>
      <c r="K325" s="1">
        <v>46266</v>
      </c>
      <c r="L325" s="8">
        <v>84048</v>
      </c>
    </row>
    <row r="326" spans="1:12" x14ac:dyDescent="0.25">
      <c r="A326" t="s">
        <v>1787</v>
      </c>
      <c r="B326" t="s">
        <v>2199</v>
      </c>
      <c r="C326" t="s">
        <v>28</v>
      </c>
      <c r="D326" t="s">
        <v>1788</v>
      </c>
      <c r="E326" t="s">
        <v>855</v>
      </c>
      <c r="F326">
        <v>3</v>
      </c>
      <c r="G326" t="s">
        <v>1642</v>
      </c>
      <c r="H326" s="1">
        <v>46266</v>
      </c>
      <c r="I326" t="s">
        <v>1643</v>
      </c>
      <c r="J326">
        <v>1</v>
      </c>
      <c r="K326" s="1">
        <v>46266</v>
      </c>
      <c r="L326" s="8">
        <v>14000</v>
      </c>
    </row>
    <row r="327" spans="1:12" x14ac:dyDescent="0.25">
      <c r="A327" t="s">
        <v>1790</v>
      </c>
      <c r="B327" t="s">
        <v>2199</v>
      </c>
      <c r="C327" t="s">
        <v>28</v>
      </c>
      <c r="D327" t="s">
        <v>1791</v>
      </c>
      <c r="E327" t="s">
        <v>910</v>
      </c>
      <c r="F327">
        <v>1</v>
      </c>
      <c r="G327" t="s">
        <v>1773</v>
      </c>
      <c r="H327" s="1">
        <v>46054</v>
      </c>
      <c r="I327" t="s">
        <v>1774</v>
      </c>
      <c r="J327">
        <v>1</v>
      </c>
      <c r="K327" s="1">
        <v>46054</v>
      </c>
      <c r="L327" s="8">
        <v>1000000</v>
      </c>
    </row>
    <row r="328" spans="1:12" x14ac:dyDescent="0.25">
      <c r="A328" t="s">
        <v>1793</v>
      </c>
      <c r="B328" t="s">
        <v>2199</v>
      </c>
      <c r="C328" t="s">
        <v>28</v>
      </c>
      <c r="D328" t="s">
        <v>1794</v>
      </c>
      <c r="E328" t="s">
        <v>1796</v>
      </c>
      <c r="F328">
        <v>2</v>
      </c>
      <c r="G328" t="s">
        <v>1797</v>
      </c>
      <c r="H328" s="1">
        <v>46023</v>
      </c>
      <c r="I328" t="s">
        <v>1798</v>
      </c>
      <c r="J328">
        <v>1</v>
      </c>
      <c r="K328" s="1">
        <v>46023</v>
      </c>
      <c r="L328" s="8">
        <v>65000</v>
      </c>
    </row>
    <row r="329" spans="1:12" x14ac:dyDescent="0.25">
      <c r="A329" t="s">
        <v>1793</v>
      </c>
      <c r="B329" t="s">
        <v>2199</v>
      </c>
      <c r="C329" t="s">
        <v>28</v>
      </c>
      <c r="D329" t="s">
        <v>1794</v>
      </c>
      <c r="E329" t="s">
        <v>1801</v>
      </c>
      <c r="F329">
        <v>2</v>
      </c>
      <c r="G329" t="s">
        <v>1797</v>
      </c>
      <c r="H329" s="1">
        <v>46023</v>
      </c>
      <c r="I329" t="s">
        <v>1798</v>
      </c>
      <c r="J329">
        <v>1</v>
      </c>
      <c r="K329" s="1">
        <v>46023</v>
      </c>
      <c r="L329" s="8">
        <v>45000</v>
      </c>
    </row>
    <row r="330" spans="1:12" x14ac:dyDescent="0.25">
      <c r="A330" t="s">
        <v>1802</v>
      </c>
      <c r="B330" t="s">
        <v>2199</v>
      </c>
      <c r="C330" t="s">
        <v>28</v>
      </c>
      <c r="D330" t="s">
        <v>1803</v>
      </c>
      <c r="E330" t="s">
        <v>486</v>
      </c>
      <c r="F330">
        <v>1</v>
      </c>
      <c r="G330" t="s">
        <v>1805</v>
      </c>
      <c r="H330" s="1">
        <v>46054</v>
      </c>
      <c r="I330" t="s">
        <v>523</v>
      </c>
      <c r="J330">
        <v>1</v>
      </c>
      <c r="K330" s="1">
        <v>46054</v>
      </c>
      <c r="L330" s="8">
        <v>600000</v>
      </c>
    </row>
    <row r="331" spans="1:12" x14ac:dyDescent="0.25">
      <c r="A331" t="s">
        <v>1807</v>
      </c>
      <c r="B331" t="s">
        <v>2199</v>
      </c>
      <c r="C331" t="s">
        <v>28</v>
      </c>
      <c r="D331" t="s">
        <v>1808</v>
      </c>
      <c r="E331" t="s">
        <v>1810</v>
      </c>
      <c r="F331">
        <v>1</v>
      </c>
      <c r="G331" t="s">
        <v>1752</v>
      </c>
      <c r="H331" s="1">
        <v>46023</v>
      </c>
      <c r="I331" t="s">
        <v>1753</v>
      </c>
      <c r="J331">
        <v>1</v>
      </c>
      <c r="K331" s="1">
        <v>46023</v>
      </c>
      <c r="L331" s="8">
        <v>10000000</v>
      </c>
    </row>
    <row r="332" spans="1:12" x14ac:dyDescent="0.25">
      <c r="A332" t="s">
        <v>1811</v>
      </c>
      <c r="B332" t="s">
        <v>2199</v>
      </c>
      <c r="C332" t="s">
        <v>28</v>
      </c>
      <c r="D332" t="s">
        <v>1812</v>
      </c>
      <c r="E332" t="s">
        <v>1814</v>
      </c>
      <c r="F332">
        <v>1</v>
      </c>
      <c r="G332" t="s">
        <v>1797</v>
      </c>
      <c r="H332" s="1">
        <v>46023</v>
      </c>
      <c r="I332" t="s">
        <v>1798</v>
      </c>
      <c r="J332">
        <v>1</v>
      </c>
      <c r="K332" s="1">
        <v>46023</v>
      </c>
      <c r="L332" s="8">
        <v>500000</v>
      </c>
    </row>
    <row r="333" spans="1:12" x14ac:dyDescent="0.25">
      <c r="A333" t="s">
        <v>1815</v>
      </c>
      <c r="B333" t="s">
        <v>2199</v>
      </c>
      <c r="C333" t="s">
        <v>28</v>
      </c>
      <c r="D333" t="s">
        <v>1816</v>
      </c>
      <c r="E333" t="s">
        <v>1179</v>
      </c>
      <c r="F333">
        <v>1</v>
      </c>
      <c r="G333" t="s">
        <v>1642</v>
      </c>
      <c r="H333" s="1">
        <v>46113</v>
      </c>
      <c r="I333" t="s">
        <v>1643</v>
      </c>
      <c r="J333">
        <v>1</v>
      </c>
      <c r="K333" s="1">
        <v>46113</v>
      </c>
      <c r="L333" s="8">
        <v>450008</v>
      </c>
    </row>
    <row r="334" spans="1:12" x14ac:dyDescent="0.25">
      <c r="A334" t="s">
        <v>1818</v>
      </c>
      <c r="B334" t="s">
        <v>2199</v>
      </c>
      <c r="C334" t="s">
        <v>28</v>
      </c>
      <c r="D334" t="s">
        <v>1819</v>
      </c>
      <c r="E334" t="s">
        <v>1174</v>
      </c>
      <c r="F334">
        <v>1</v>
      </c>
      <c r="G334" t="s">
        <v>1723</v>
      </c>
      <c r="H334" s="1">
        <v>46174</v>
      </c>
      <c r="I334" t="s">
        <v>154</v>
      </c>
      <c r="J334">
        <v>1</v>
      </c>
      <c r="K334" s="1">
        <v>46174</v>
      </c>
      <c r="L334" s="8">
        <v>700000</v>
      </c>
    </row>
    <row r="335" spans="1:12" x14ac:dyDescent="0.25">
      <c r="A335" t="s">
        <v>1821</v>
      </c>
      <c r="B335" t="s">
        <v>2199</v>
      </c>
      <c r="C335" t="s">
        <v>28</v>
      </c>
      <c r="D335" t="s">
        <v>1822</v>
      </c>
      <c r="E335" t="s">
        <v>777</v>
      </c>
      <c r="F335">
        <v>1</v>
      </c>
      <c r="G335" t="s">
        <v>1723</v>
      </c>
      <c r="H335" s="1">
        <v>46113</v>
      </c>
      <c r="I335" t="s">
        <v>154</v>
      </c>
      <c r="J335">
        <v>1</v>
      </c>
      <c r="K335" s="1">
        <v>46113</v>
      </c>
      <c r="L335" s="8">
        <v>2000160</v>
      </c>
    </row>
    <row r="336" spans="1:12" x14ac:dyDescent="0.25">
      <c r="A336" t="s">
        <v>1824</v>
      </c>
      <c r="B336" t="s">
        <v>2199</v>
      </c>
      <c r="C336" t="s">
        <v>28</v>
      </c>
      <c r="D336" t="s">
        <v>1825</v>
      </c>
      <c r="E336" t="s">
        <v>602</v>
      </c>
      <c r="F336">
        <v>1</v>
      </c>
      <c r="G336" t="s">
        <v>1805</v>
      </c>
      <c r="H336" s="1">
        <v>46113</v>
      </c>
      <c r="I336" t="s">
        <v>523</v>
      </c>
      <c r="J336">
        <v>1</v>
      </c>
      <c r="K336" s="1">
        <v>46113</v>
      </c>
      <c r="L336" s="8">
        <v>420000</v>
      </c>
    </row>
    <row r="337" spans="1:12" x14ac:dyDescent="0.25">
      <c r="A337" t="s">
        <v>1832</v>
      </c>
      <c r="B337" t="s">
        <v>2199</v>
      </c>
      <c r="C337" t="s">
        <v>28</v>
      </c>
      <c r="D337" t="s">
        <v>1833</v>
      </c>
      <c r="E337" t="s">
        <v>815</v>
      </c>
      <c r="F337">
        <v>2</v>
      </c>
      <c r="G337" t="s">
        <v>1642</v>
      </c>
      <c r="H337" s="1">
        <v>46174</v>
      </c>
      <c r="I337" t="s">
        <v>1643</v>
      </c>
      <c r="J337">
        <v>1</v>
      </c>
      <c r="K337" s="1">
        <v>46174</v>
      </c>
      <c r="L337" s="8">
        <v>600000</v>
      </c>
    </row>
    <row r="338" spans="1:12" x14ac:dyDescent="0.25">
      <c r="A338" t="s">
        <v>1832</v>
      </c>
      <c r="B338" t="s">
        <v>2199</v>
      </c>
      <c r="C338" t="s">
        <v>28</v>
      </c>
      <c r="D338" t="s">
        <v>1833</v>
      </c>
      <c r="E338" t="s">
        <v>486</v>
      </c>
      <c r="F338">
        <v>2</v>
      </c>
      <c r="G338" t="s">
        <v>1642</v>
      </c>
      <c r="H338" s="1">
        <v>46174</v>
      </c>
      <c r="I338" t="s">
        <v>1643</v>
      </c>
      <c r="J338">
        <v>1</v>
      </c>
      <c r="K338" s="1">
        <v>46174</v>
      </c>
      <c r="L338" s="8">
        <v>400000</v>
      </c>
    </row>
    <row r="339" spans="1:12" x14ac:dyDescent="0.25">
      <c r="A339" t="s">
        <v>1835</v>
      </c>
      <c r="B339" t="s">
        <v>2199</v>
      </c>
      <c r="C339" t="s">
        <v>28</v>
      </c>
      <c r="D339" t="s">
        <v>1836</v>
      </c>
      <c r="E339" t="s">
        <v>1838</v>
      </c>
      <c r="F339">
        <v>1</v>
      </c>
      <c r="G339" t="s">
        <v>1642</v>
      </c>
      <c r="H339" s="1">
        <v>46235</v>
      </c>
      <c r="I339" t="s">
        <v>1643</v>
      </c>
      <c r="J339">
        <v>1</v>
      </c>
      <c r="K339" s="1">
        <v>46235</v>
      </c>
      <c r="L339" s="8">
        <v>440040</v>
      </c>
    </row>
    <row r="340" spans="1:12" x14ac:dyDescent="0.25">
      <c r="A340" t="s">
        <v>1839</v>
      </c>
      <c r="B340" t="s">
        <v>2199</v>
      </c>
      <c r="C340" t="s">
        <v>28</v>
      </c>
      <c r="D340" t="s">
        <v>1840</v>
      </c>
      <c r="E340" t="s">
        <v>777</v>
      </c>
      <c r="F340">
        <v>1</v>
      </c>
      <c r="G340" t="s">
        <v>1572</v>
      </c>
      <c r="H340" s="1">
        <v>46113</v>
      </c>
      <c r="I340" t="s">
        <v>1573</v>
      </c>
      <c r="J340">
        <v>1</v>
      </c>
      <c r="K340" s="1">
        <v>46113</v>
      </c>
      <c r="L340" s="8">
        <v>2578000</v>
      </c>
    </row>
    <row r="341" spans="1:12" x14ac:dyDescent="0.25">
      <c r="A341" t="s">
        <v>1842</v>
      </c>
      <c r="B341" t="s">
        <v>2199</v>
      </c>
      <c r="C341" t="s">
        <v>28</v>
      </c>
      <c r="D341" t="s">
        <v>1843</v>
      </c>
      <c r="E341" t="s">
        <v>1844</v>
      </c>
      <c r="F341">
        <v>1</v>
      </c>
      <c r="G341" t="s">
        <v>122</v>
      </c>
      <c r="H341" s="1">
        <v>46143</v>
      </c>
      <c r="I341" t="s">
        <v>544</v>
      </c>
      <c r="J341">
        <v>1</v>
      </c>
      <c r="K341" s="1">
        <v>46143</v>
      </c>
      <c r="L341" s="8">
        <v>3000000</v>
      </c>
    </row>
    <row r="342" spans="1:12" x14ac:dyDescent="0.25">
      <c r="A342" t="s">
        <v>1845</v>
      </c>
      <c r="B342" t="s">
        <v>2199</v>
      </c>
      <c r="C342" t="s">
        <v>28</v>
      </c>
      <c r="D342" t="s">
        <v>1846</v>
      </c>
      <c r="E342" t="s">
        <v>602</v>
      </c>
      <c r="F342">
        <v>1</v>
      </c>
      <c r="G342" t="s">
        <v>1572</v>
      </c>
      <c r="H342" s="1">
        <v>46266</v>
      </c>
      <c r="I342" t="s">
        <v>1573</v>
      </c>
      <c r="J342">
        <v>1</v>
      </c>
      <c r="K342" s="1">
        <v>46266</v>
      </c>
      <c r="L342" s="8">
        <v>1428000</v>
      </c>
    </row>
    <row r="343" spans="1:12" x14ac:dyDescent="0.25">
      <c r="A343" t="s">
        <v>1848</v>
      </c>
      <c r="B343" t="s">
        <v>2199</v>
      </c>
      <c r="C343" t="s">
        <v>28</v>
      </c>
      <c r="D343" t="s">
        <v>1849</v>
      </c>
      <c r="E343" t="s">
        <v>1851</v>
      </c>
      <c r="F343">
        <v>1</v>
      </c>
      <c r="G343" t="s">
        <v>414</v>
      </c>
      <c r="H343" s="1">
        <v>46082</v>
      </c>
      <c r="I343" t="s">
        <v>1852</v>
      </c>
      <c r="J343">
        <v>1</v>
      </c>
      <c r="K343" s="1">
        <v>46082</v>
      </c>
      <c r="L343" s="8">
        <v>9000000</v>
      </c>
    </row>
    <row r="344" spans="1:12" x14ac:dyDescent="0.25">
      <c r="A344" t="s">
        <v>1853</v>
      </c>
      <c r="B344" t="s">
        <v>2199</v>
      </c>
      <c r="C344" t="s">
        <v>28</v>
      </c>
      <c r="D344" t="s">
        <v>1854</v>
      </c>
      <c r="E344" t="s">
        <v>1175</v>
      </c>
      <c r="F344">
        <v>1</v>
      </c>
      <c r="G344" t="s">
        <v>1445</v>
      </c>
      <c r="H344" s="1">
        <v>46054</v>
      </c>
      <c r="I344" t="s">
        <v>1446</v>
      </c>
      <c r="J344">
        <v>1</v>
      </c>
      <c r="K344" s="1">
        <v>46054</v>
      </c>
      <c r="L344" s="8">
        <v>3000000</v>
      </c>
    </row>
    <row r="345" spans="1:12" x14ac:dyDescent="0.25">
      <c r="A345" t="s">
        <v>1856</v>
      </c>
      <c r="B345" t="s">
        <v>2199</v>
      </c>
      <c r="C345" t="s">
        <v>28</v>
      </c>
      <c r="D345" t="s">
        <v>1857</v>
      </c>
      <c r="E345" t="s">
        <v>760</v>
      </c>
      <c r="F345">
        <v>1</v>
      </c>
      <c r="G345" t="s">
        <v>761</v>
      </c>
      <c r="H345" s="1">
        <v>46174</v>
      </c>
      <c r="I345" t="s">
        <v>762</v>
      </c>
      <c r="J345">
        <v>1</v>
      </c>
      <c r="K345" s="1">
        <v>46174</v>
      </c>
      <c r="L345" s="8">
        <v>1250000</v>
      </c>
    </row>
    <row r="346" spans="1:12" x14ac:dyDescent="0.25">
      <c r="A346" t="s">
        <v>1860</v>
      </c>
      <c r="B346" t="s">
        <v>2199</v>
      </c>
      <c r="C346" t="s">
        <v>28</v>
      </c>
      <c r="D346" t="s">
        <v>1861</v>
      </c>
      <c r="E346" t="s">
        <v>1864</v>
      </c>
      <c r="F346">
        <v>3</v>
      </c>
      <c r="G346" t="s">
        <v>1797</v>
      </c>
      <c r="H346" s="1">
        <v>46023</v>
      </c>
      <c r="I346" t="s">
        <v>1798</v>
      </c>
      <c r="J346">
        <v>1</v>
      </c>
      <c r="K346" s="1">
        <v>46054</v>
      </c>
      <c r="L346" s="8">
        <v>58014</v>
      </c>
    </row>
    <row r="347" spans="1:12" x14ac:dyDescent="0.25">
      <c r="A347" t="s">
        <v>1860</v>
      </c>
      <c r="B347" t="s">
        <v>2199</v>
      </c>
      <c r="C347" t="s">
        <v>28</v>
      </c>
      <c r="D347" t="s">
        <v>1861</v>
      </c>
      <c r="E347" t="s">
        <v>1863</v>
      </c>
      <c r="F347">
        <v>3</v>
      </c>
      <c r="G347" t="s">
        <v>1797</v>
      </c>
      <c r="H347" s="1">
        <v>46023</v>
      </c>
      <c r="I347" t="s">
        <v>1798</v>
      </c>
      <c r="J347">
        <v>1</v>
      </c>
      <c r="K347" s="1">
        <v>46054</v>
      </c>
      <c r="L347" s="8">
        <v>120000</v>
      </c>
    </row>
    <row r="348" spans="1:12" x14ac:dyDescent="0.25">
      <c r="A348" t="s">
        <v>1860</v>
      </c>
      <c r="B348" t="s">
        <v>2199</v>
      </c>
      <c r="C348" t="s">
        <v>28</v>
      </c>
      <c r="D348" t="s">
        <v>1861</v>
      </c>
      <c r="E348" t="s">
        <v>486</v>
      </c>
      <c r="F348">
        <v>3</v>
      </c>
      <c r="G348" t="s">
        <v>1797</v>
      </c>
      <c r="H348" s="1">
        <v>46023</v>
      </c>
      <c r="I348" t="s">
        <v>1798</v>
      </c>
      <c r="J348">
        <v>1</v>
      </c>
      <c r="K348" s="1">
        <v>46054</v>
      </c>
      <c r="L348" s="8">
        <v>271072</v>
      </c>
    </row>
    <row r="349" spans="1:12" x14ac:dyDescent="0.25">
      <c r="A349" t="s">
        <v>1865</v>
      </c>
      <c r="B349" t="s">
        <v>2199</v>
      </c>
      <c r="C349" t="s">
        <v>28</v>
      </c>
      <c r="D349" t="s">
        <v>1866</v>
      </c>
      <c r="E349" t="s">
        <v>359</v>
      </c>
      <c r="F349">
        <v>2</v>
      </c>
      <c r="G349" t="s">
        <v>1868</v>
      </c>
      <c r="H349" s="1">
        <v>46023</v>
      </c>
      <c r="I349" t="s">
        <v>1869</v>
      </c>
      <c r="J349">
        <v>1</v>
      </c>
      <c r="K349" s="1">
        <v>46023</v>
      </c>
      <c r="L349" s="8">
        <v>385050</v>
      </c>
    </row>
    <row r="350" spans="1:12" x14ac:dyDescent="0.25">
      <c r="A350" t="s">
        <v>1865</v>
      </c>
      <c r="B350" t="s">
        <v>2199</v>
      </c>
      <c r="C350" t="s">
        <v>28</v>
      </c>
      <c r="D350" t="s">
        <v>1866</v>
      </c>
      <c r="E350" t="s">
        <v>855</v>
      </c>
      <c r="F350">
        <v>2</v>
      </c>
      <c r="G350" t="s">
        <v>1868</v>
      </c>
      <c r="H350" s="1">
        <v>46023</v>
      </c>
      <c r="I350" t="s">
        <v>1869</v>
      </c>
      <c r="J350">
        <v>1</v>
      </c>
      <c r="K350" s="1">
        <v>46023</v>
      </c>
      <c r="L350" s="8">
        <v>121800</v>
      </c>
    </row>
    <row r="351" spans="1:12" x14ac:dyDescent="0.25">
      <c r="A351" t="s">
        <v>1872</v>
      </c>
      <c r="B351" t="s">
        <v>2199</v>
      </c>
      <c r="C351" t="s">
        <v>28</v>
      </c>
      <c r="D351" t="s">
        <v>1873</v>
      </c>
      <c r="E351" t="s">
        <v>359</v>
      </c>
      <c r="F351">
        <v>3</v>
      </c>
      <c r="G351" t="s">
        <v>1875</v>
      </c>
      <c r="H351" s="1">
        <v>46082</v>
      </c>
      <c r="I351" t="s">
        <v>1876</v>
      </c>
      <c r="J351">
        <v>1</v>
      </c>
      <c r="K351" s="1">
        <v>46082</v>
      </c>
      <c r="L351" s="8">
        <v>68000</v>
      </c>
    </row>
    <row r="352" spans="1:12" x14ac:dyDescent="0.25">
      <c r="A352" t="s">
        <v>1872</v>
      </c>
      <c r="B352" t="s">
        <v>2199</v>
      </c>
      <c r="C352" t="s">
        <v>28</v>
      </c>
      <c r="D352" t="s">
        <v>1873</v>
      </c>
      <c r="E352" t="s">
        <v>1878</v>
      </c>
      <c r="F352">
        <v>3</v>
      </c>
      <c r="G352" t="s">
        <v>1875</v>
      </c>
      <c r="H352" s="1">
        <v>46082</v>
      </c>
      <c r="I352" t="s">
        <v>1876</v>
      </c>
      <c r="J352">
        <v>1</v>
      </c>
      <c r="K352" s="1">
        <v>46082</v>
      </c>
      <c r="L352" s="8">
        <v>305000</v>
      </c>
    </row>
    <row r="353" spans="1:12" x14ac:dyDescent="0.25">
      <c r="A353" t="s">
        <v>1872</v>
      </c>
      <c r="B353" t="s">
        <v>2199</v>
      </c>
      <c r="C353" t="s">
        <v>28</v>
      </c>
      <c r="D353" t="s">
        <v>1873</v>
      </c>
      <c r="E353" t="s">
        <v>486</v>
      </c>
      <c r="F353">
        <v>3</v>
      </c>
      <c r="G353" t="s">
        <v>1875</v>
      </c>
      <c r="H353" s="1">
        <v>46082</v>
      </c>
      <c r="I353" t="s">
        <v>1876</v>
      </c>
      <c r="J353">
        <v>1</v>
      </c>
      <c r="K353" s="1">
        <v>46082</v>
      </c>
      <c r="L353" s="8">
        <v>132068</v>
      </c>
    </row>
    <row r="354" spans="1:12" x14ac:dyDescent="0.25">
      <c r="A354" t="s">
        <v>1879</v>
      </c>
      <c r="B354" t="s">
        <v>2199</v>
      </c>
      <c r="C354" t="s">
        <v>28</v>
      </c>
      <c r="D354" t="s">
        <v>1880</v>
      </c>
      <c r="E354" t="s">
        <v>1375</v>
      </c>
      <c r="F354">
        <v>1</v>
      </c>
      <c r="G354" t="s">
        <v>768</v>
      </c>
      <c r="H354" s="1">
        <v>46235</v>
      </c>
      <c r="I354" t="s">
        <v>966</v>
      </c>
      <c r="J354">
        <v>1</v>
      </c>
      <c r="K354" s="1">
        <v>46235</v>
      </c>
      <c r="L354" s="8">
        <v>12000000</v>
      </c>
    </row>
    <row r="355" spans="1:12" x14ac:dyDescent="0.25">
      <c r="A355" t="s">
        <v>1883</v>
      </c>
      <c r="B355" t="s">
        <v>2199</v>
      </c>
      <c r="C355" t="s">
        <v>28</v>
      </c>
      <c r="D355" t="s">
        <v>1884</v>
      </c>
      <c r="E355" t="s">
        <v>1886</v>
      </c>
      <c r="F355">
        <v>1</v>
      </c>
      <c r="G355" t="s">
        <v>1759</v>
      </c>
      <c r="H355" s="1">
        <v>46082</v>
      </c>
      <c r="I355" t="s">
        <v>1760</v>
      </c>
      <c r="J355">
        <v>1</v>
      </c>
      <c r="K355" s="1">
        <v>46082</v>
      </c>
      <c r="L355" s="8">
        <v>3550000</v>
      </c>
    </row>
    <row r="356" spans="1:12" x14ac:dyDescent="0.25">
      <c r="A356" t="s">
        <v>1890</v>
      </c>
      <c r="B356" t="s">
        <v>2199</v>
      </c>
      <c r="C356" t="s">
        <v>28</v>
      </c>
      <c r="D356" t="s">
        <v>1891</v>
      </c>
      <c r="E356" t="s">
        <v>1527</v>
      </c>
      <c r="F356">
        <v>1</v>
      </c>
      <c r="G356" t="s">
        <v>1893</v>
      </c>
      <c r="H356" s="1">
        <v>46023</v>
      </c>
      <c r="I356" t="s">
        <v>1894</v>
      </c>
      <c r="J356">
        <v>1</v>
      </c>
      <c r="K356" s="1">
        <v>46023</v>
      </c>
      <c r="L356" s="8">
        <v>70000</v>
      </c>
    </row>
    <row r="357" spans="1:12" x14ac:dyDescent="0.25">
      <c r="A357" t="s">
        <v>1897</v>
      </c>
      <c r="B357" t="s">
        <v>2199</v>
      </c>
      <c r="C357" t="s">
        <v>28</v>
      </c>
      <c r="D357" t="s">
        <v>1898</v>
      </c>
      <c r="E357" t="s">
        <v>1550</v>
      </c>
      <c r="F357">
        <v>3</v>
      </c>
      <c r="G357" t="s">
        <v>1797</v>
      </c>
      <c r="H357" s="1">
        <v>46023</v>
      </c>
      <c r="I357" t="s">
        <v>1798</v>
      </c>
      <c r="J357">
        <v>1</v>
      </c>
      <c r="K357" s="1">
        <v>46023</v>
      </c>
      <c r="L357" s="8">
        <v>35000</v>
      </c>
    </row>
    <row r="358" spans="1:12" x14ac:dyDescent="0.25">
      <c r="A358" t="s">
        <v>1897</v>
      </c>
      <c r="B358" t="s">
        <v>2199</v>
      </c>
      <c r="C358" t="s">
        <v>28</v>
      </c>
      <c r="D358" t="s">
        <v>1898</v>
      </c>
      <c r="E358" t="s">
        <v>486</v>
      </c>
      <c r="F358">
        <v>3</v>
      </c>
      <c r="G358" t="s">
        <v>1797</v>
      </c>
      <c r="H358" s="1">
        <v>46023</v>
      </c>
      <c r="I358" t="s">
        <v>1798</v>
      </c>
      <c r="J358">
        <v>1</v>
      </c>
      <c r="K358" s="1">
        <v>46023</v>
      </c>
      <c r="L358" s="8">
        <v>120000</v>
      </c>
    </row>
    <row r="359" spans="1:12" x14ac:dyDescent="0.25">
      <c r="A359" t="s">
        <v>1897</v>
      </c>
      <c r="B359" t="s">
        <v>2199</v>
      </c>
      <c r="C359" t="s">
        <v>28</v>
      </c>
      <c r="D359" t="s">
        <v>1898</v>
      </c>
      <c r="E359" t="s">
        <v>1058</v>
      </c>
      <c r="F359">
        <v>3</v>
      </c>
      <c r="G359" t="s">
        <v>1797</v>
      </c>
      <c r="H359" s="1">
        <v>46023</v>
      </c>
      <c r="I359" t="s">
        <v>1798</v>
      </c>
      <c r="J359">
        <v>1</v>
      </c>
      <c r="K359" s="1">
        <v>46023</v>
      </c>
      <c r="L359" s="8">
        <v>180000</v>
      </c>
    </row>
    <row r="360" spans="1:12" x14ac:dyDescent="0.25">
      <c r="A360" t="s">
        <v>1901</v>
      </c>
      <c r="B360" t="s">
        <v>2199</v>
      </c>
      <c r="C360" t="s">
        <v>28</v>
      </c>
      <c r="D360" t="s">
        <v>1903</v>
      </c>
      <c r="E360" t="s">
        <v>359</v>
      </c>
      <c r="F360">
        <v>3</v>
      </c>
      <c r="G360" t="s">
        <v>761</v>
      </c>
      <c r="H360" s="1">
        <v>46023</v>
      </c>
      <c r="I360" t="s">
        <v>762</v>
      </c>
      <c r="J360">
        <v>1</v>
      </c>
      <c r="K360" s="1">
        <v>46054</v>
      </c>
      <c r="L360" s="8">
        <v>5255136</v>
      </c>
    </row>
    <row r="361" spans="1:12" x14ac:dyDescent="0.25">
      <c r="A361" t="s">
        <v>1901</v>
      </c>
      <c r="B361" t="s">
        <v>2199</v>
      </c>
      <c r="C361" t="s">
        <v>28</v>
      </c>
      <c r="D361" t="s">
        <v>1903</v>
      </c>
      <c r="E361" t="s">
        <v>1907</v>
      </c>
      <c r="F361">
        <v>3</v>
      </c>
      <c r="G361" t="s">
        <v>761</v>
      </c>
      <c r="H361" s="1">
        <v>46023</v>
      </c>
      <c r="I361" t="s">
        <v>762</v>
      </c>
      <c r="J361">
        <v>1</v>
      </c>
      <c r="K361" s="1">
        <v>46054</v>
      </c>
      <c r="L361" s="8">
        <v>1261902</v>
      </c>
    </row>
    <row r="362" spans="1:12" x14ac:dyDescent="0.25">
      <c r="A362" t="s">
        <v>1908</v>
      </c>
      <c r="B362" t="s">
        <v>2199</v>
      </c>
      <c r="C362" t="s">
        <v>28</v>
      </c>
      <c r="D362" t="s">
        <v>1909</v>
      </c>
      <c r="E362" t="s">
        <v>740</v>
      </c>
      <c r="F362">
        <v>1</v>
      </c>
      <c r="G362" t="s">
        <v>1797</v>
      </c>
      <c r="H362" s="1">
        <v>46023</v>
      </c>
      <c r="I362" t="s">
        <v>1798</v>
      </c>
      <c r="J362">
        <v>1</v>
      </c>
      <c r="K362" s="1">
        <v>46023</v>
      </c>
      <c r="L362" s="8">
        <v>170000</v>
      </c>
    </row>
    <row r="363" spans="1:12" x14ac:dyDescent="0.25">
      <c r="A363" t="s">
        <v>1911</v>
      </c>
      <c r="B363" t="s">
        <v>2199</v>
      </c>
      <c r="C363" t="s">
        <v>28</v>
      </c>
      <c r="D363" t="s">
        <v>1912</v>
      </c>
      <c r="E363" t="s">
        <v>840</v>
      </c>
      <c r="F363">
        <v>1</v>
      </c>
      <c r="G363" t="s">
        <v>1893</v>
      </c>
      <c r="H363" s="1">
        <v>46023</v>
      </c>
      <c r="I363" t="s">
        <v>1894</v>
      </c>
      <c r="J363">
        <v>1</v>
      </c>
      <c r="K363" s="1">
        <v>46023</v>
      </c>
      <c r="L363" s="8">
        <v>100000</v>
      </c>
    </row>
    <row r="364" spans="1:12" x14ac:dyDescent="0.25">
      <c r="A364" t="s">
        <v>1914</v>
      </c>
      <c r="B364" t="s">
        <v>2199</v>
      </c>
      <c r="C364" t="s">
        <v>28</v>
      </c>
      <c r="D364" t="s">
        <v>1916</v>
      </c>
      <c r="E364" t="s">
        <v>1920</v>
      </c>
      <c r="F364">
        <v>2</v>
      </c>
      <c r="G364" t="s">
        <v>1445</v>
      </c>
      <c r="H364" s="1">
        <v>46054</v>
      </c>
      <c r="I364" t="s">
        <v>1446</v>
      </c>
      <c r="J364">
        <v>1</v>
      </c>
      <c r="K364" s="1">
        <v>46082</v>
      </c>
      <c r="L364" s="8">
        <v>150000</v>
      </c>
    </row>
    <row r="365" spans="1:12" x14ac:dyDescent="0.25">
      <c r="A365" t="s">
        <v>1914</v>
      </c>
      <c r="B365" t="s">
        <v>2199</v>
      </c>
      <c r="C365" t="s">
        <v>28</v>
      </c>
      <c r="D365" t="s">
        <v>1916</v>
      </c>
      <c r="E365" t="s">
        <v>1918</v>
      </c>
      <c r="F365">
        <v>2</v>
      </c>
      <c r="G365" t="s">
        <v>1445</v>
      </c>
      <c r="H365" s="1">
        <v>46054</v>
      </c>
      <c r="I365" t="s">
        <v>1446</v>
      </c>
      <c r="J365">
        <v>1</v>
      </c>
      <c r="K365" s="1">
        <v>46082</v>
      </c>
      <c r="L365" s="8">
        <v>70000</v>
      </c>
    </row>
    <row r="366" spans="1:12" x14ac:dyDescent="0.25">
      <c r="A366" t="s">
        <v>1921</v>
      </c>
      <c r="B366" t="s">
        <v>2199</v>
      </c>
      <c r="C366" t="s">
        <v>28</v>
      </c>
      <c r="D366" t="s">
        <v>1922</v>
      </c>
      <c r="E366" t="s">
        <v>359</v>
      </c>
      <c r="F366">
        <v>2</v>
      </c>
      <c r="G366" t="s">
        <v>1924</v>
      </c>
      <c r="H366" s="1">
        <v>46023</v>
      </c>
      <c r="I366" t="s">
        <v>1869</v>
      </c>
      <c r="J366">
        <v>1</v>
      </c>
      <c r="K366" s="1">
        <v>46023</v>
      </c>
      <c r="L366" s="8">
        <v>380078</v>
      </c>
    </row>
    <row r="367" spans="1:12" x14ac:dyDescent="0.25">
      <c r="A367" t="s">
        <v>1921</v>
      </c>
      <c r="B367" t="s">
        <v>2199</v>
      </c>
      <c r="C367" t="s">
        <v>28</v>
      </c>
      <c r="D367" t="s">
        <v>1922</v>
      </c>
      <c r="E367" t="s">
        <v>855</v>
      </c>
      <c r="F367">
        <v>2</v>
      </c>
      <c r="G367" t="s">
        <v>1924</v>
      </c>
      <c r="H367" s="1">
        <v>46023</v>
      </c>
      <c r="I367" t="s">
        <v>1869</v>
      </c>
      <c r="J367">
        <v>1</v>
      </c>
      <c r="K367" s="1">
        <v>46023</v>
      </c>
      <c r="L367" s="8">
        <v>131430</v>
      </c>
    </row>
    <row r="368" spans="1:12" x14ac:dyDescent="0.25">
      <c r="A368" t="s">
        <v>1927</v>
      </c>
      <c r="B368" t="s">
        <v>2199</v>
      </c>
      <c r="C368" t="s">
        <v>28</v>
      </c>
      <c r="D368" t="s">
        <v>1928</v>
      </c>
      <c r="E368" t="s">
        <v>359</v>
      </c>
      <c r="F368">
        <v>9</v>
      </c>
      <c r="G368" t="s">
        <v>1931</v>
      </c>
      <c r="H368" s="1">
        <v>46174</v>
      </c>
      <c r="I368" t="s">
        <v>1932</v>
      </c>
      <c r="J368">
        <v>1</v>
      </c>
      <c r="K368" s="1">
        <v>46204</v>
      </c>
      <c r="L368" s="8">
        <v>738320</v>
      </c>
    </row>
    <row r="369" spans="1:12" x14ac:dyDescent="0.25">
      <c r="A369" t="s">
        <v>1927</v>
      </c>
      <c r="B369" t="s">
        <v>2199</v>
      </c>
      <c r="C369" t="s">
        <v>28</v>
      </c>
      <c r="D369" t="s">
        <v>1928</v>
      </c>
      <c r="E369" t="s">
        <v>1941</v>
      </c>
      <c r="F369">
        <v>9</v>
      </c>
      <c r="G369" t="s">
        <v>1931</v>
      </c>
      <c r="H369" s="1">
        <v>46235</v>
      </c>
      <c r="I369" t="s">
        <v>1932</v>
      </c>
      <c r="J369">
        <v>1</v>
      </c>
      <c r="K369" s="1">
        <v>46266</v>
      </c>
      <c r="L369" s="8">
        <v>1500000</v>
      </c>
    </row>
    <row r="370" spans="1:12" x14ac:dyDescent="0.25">
      <c r="A370" t="s">
        <v>1927</v>
      </c>
      <c r="B370" t="s">
        <v>2199</v>
      </c>
      <c r="C370" t="s">
        <v>28</v>
      </c>
      <c r="D370" t="s">
        <v>1928</v>
      </c>
      <c r="E370" t="s">
        <v>1938</v>
      </c>
      <c r="F370">
        <v>9</v>
      </c>
      <c r="G370" t="s">
        <v>1931</v>
      </c>
      <c r="H370" s="1">
        <v>46174</v>
      </c>
      <c r="I370" t="s">
        <v>1932</v>
      </c>
      <c r="J370">
        <v>1</v>
      </c>
      <c r="K370" s="1">
        <v>46204</v>
      </c>
      <c r="L370" s="8">
        <v>3100800</v>
      </c>
    </row>
    <row r="371" spans="1:12" x14ac:dyDescent="0.25">
      <c r="A371" t="s">
        <v>1927</v>
      </c>
      <c r="B371" t="s">
        <v>2199</v>
      </c>
      <c r="C371" t="s">
        <v>28</v>
      </c>
      <c r="D371" t="s">
        <v>1928</v>
      </c>
      <c r="E371" t="s">
        <v>1940</v>
      </c>
      <c r="F371">
        <v>9</v>
      </c>
      <c r="G371" t="s">
        <v>1931</v>
      </c>
      <c r="H371" s="1">
        <v>46174</v>
      </c>
      <c r="I371" t="s">
        <v>1932</v>
      </c>
      <c r="J371">
        <v>1</v>
      </c>
      <c r="K371" s="1">
        <v>46204</v>
      </c>
      <c r="L371" s="8">
        <v>50000</v>
      </c>
    </row>
    <row r="372" spans="1:12" x14ac:dyDescent="0.25">
      <c r="A372" t="s">
        <v>1927</v>
      </c>
      <c r="B372" t="s">
        <v>2199</v>
      </c>
      <c r="C372" t="s">
        <v>28</v>
      </c>
      <c r="D372" t="s">
        <v>1928</v>
      </c>
      <c r="E372" t="s">
        <v>1907</v>
      </c>
      <c r="F372">
        <v>9</v>
      </c>
      <c r="G372" t="s">
        <v>1931</v>
      </c>
      <c r="H372" s="1">
        <v>46174</v>
      </c>
      <c r="I372" t="s">
        <v>1932</v>
      </c>
      <c r="J372">
        <v>1</v>
      </c>
      <c r="K372" s="1">
        <v>46204</v>
      </c>
      <c r="L372" s="8">
        <v>169040</v>
      </c>
    </row>
    <row r="373" spans="1:12" x14ac:dyDescent="0.25">
      <c r="A373" t="s">
        <v>1927</v>
      </c>
      <c r="B373" t="s">
        <v>2199</v>
      </c>
      <c r="C373" t="s">
        <v>28</v>
      </c>
      <c r="D373" t="s">
        <v>1928</v>
      </c>
      <c r="E373" t="s">
        <v>1939</v>
      </c>
      <c r="F373">
        <v>9</v>
      </c>
      <c r="G373" t="s">
        <v>1931</v>
      </c>
      <c r="H373" s="1">
        <v>46174</v>
      </c>
      <c r="I373" t="s">
        <v>1932</v>
      </c>
      <c r="J373">
        <v>1</v>
      </c>
      <c r="K373" s="1">
        <v>46204</v>
      </c>
      <c r="L373" s="8">
        <v>50000</v>
      </c>
    </row>
    <row r="374" spans="1:12" x14ac:dyDescent="0.25">
      <c r="A374" t="s">
        <v>1927</v>
      </c>
      <c r="B374" t="s">
        <v>2199</v>
      </c>
      <c r="C374" t="s">
        <v>28</v>
      </c>
      <c r="D374" t="s">
        <v>1928</v>
      </c>
      <c r="E374" t="s">
        <v>1936</v>
      </c>
      <c r="F374">
        <v>9</v>
      </c>
      <c r="G374" t="s">
        <v>1931</v>
      </c>
      <c r="H374" s="1">
        <v>46235</v>
      </c>
      <c r="I374" t="s">
        <v>1932</v>
      </c>
      <c r="J374">
        <v>1</v>
      </c>
      <c r="K374" s="1">
        <v>46266</v>
      </c>
      <c r="L374" s="8">
        <v>5400000</v>
      </c>
    </row>
    <row r="375" spans="1:12" x14ac:dyDescent="0.25">
      <c r="A375" t="s">
        <v>1927</v>
      </c>
      <c r="B375" t="s">
        <v>2199</v>
      </c>
      <c r="C375" t="s">
        <v>28</v>
      </c>
      <c r="D375" t="s">
        <v>1928</v>
      </c>
      <c r="E375" t="s">
        <v>1930</v>
      </c>
      <c r="F375">
        <v>9</v>
      </c>
      <c r="G375" t="s">
        <v>1931</v>
      </c>
      <c r="H375" s="1">
        <v>46174</v>
      </c>
      <c r="I375" t="s">
        <v>1932</v>
      </c>
      <c r="J375">
        <v>1</v>
      </c>
      <c r="K375" s="1">
        <v>46204</v>
      </c>
      <c r="L375" s="8">
        <v>195000000</v>
      </c>
    </row>
    <row r="376" spans="1:12" x14ac:dyDescent="0.25">
      <c r="A376" t="s">
        <v>1927</v>
      </c>
      <c r="B376" t="s">
        <v>2199</v>
      </c>
      <c r="C376" t="s">
        <v>28</v>
      </c>
      <c r="D376" t="s">
        <v>1928</v>
      </c>
      <c r="E376" t="s">
        <v>1935</v>
      </c>
      <c r="F376">
        <v>9</v>
      </c>
      <c r="G376" t="s">
        <v>1931</v>
      </c>
      <c r="H376" s="1">
        <v>46174</v>
      </c>
      <c r="I376" t="s">
        <v>1932</v>
      </c>
      <c r="J376">
        <v>1</v>
      </c>
      <c r="K376" s="1">
        <v>46204</v>
      </c>
      <c r="L376" s="8">
        <v>1800000</v>
      </c>
    </row>
    <row r="377" spans="1:12" x14ac:dyDescent="0.25">
      <c r="A377" t="s">
        <v>1942</v>
      </c>
      <c r="B377" t="s">
        <v>2199</v>
      </c>
      <c r="C377" t="s">
        <v>28</v>
      </c>
      <c r="D377" t="s">
        <v>1943</v>
      </c>
      <c r="E377" t="s">
        <v>1945</v>
      </c>
      <c r="F377">
        <v>3</v>
      </c>
      <c r="G377" t="s">
        <v>761</v>
      </c>
      <c r="H377" s="1">
        <v>46174</v>
      </c>
      <c r="I377" t="s">
        <v>762</v>
      </c>
      <c r="J377">
        <v>1</v>
      </c>
      <c r="K377" s="1">
        <v>46204</v>
      </c>
      <c r="L377" s="8">
        <v>239016</v>
      </c>
    </row>
    <row r="378" spans="1:12" x14ac:dyDescent="0.25">
      <c r="A378" t="s">
        <v>1942</v>
      </c>
      <c r="B378" t="s">
        <v>2199</v>
      </c>
      <c r="C378" t="s">
        <v>28</v>
      </c>
      <c r="D378" t="s">
        <v>1943</v>
      </c>
      <c r="E378" t="s">
        <v>1947</v>
      </c>
      <c r="F378">
        <v>3</v>
      </c>
      <c r="G378" t="s">
        <v>761</v>
      </c>
      <c r="H378" s="1">
        <v>46174</v>
      </c>
      <c r="I378" t="s">
        <v>762</v>
      </c>
      <c r="J378">
        <v>1</v>
      </c>
      <c r="K378" s="1">
        <v>46204</v>
      </c>
      <c r="L378" s="8">
        <v>480320</v>
      </c>
    </row>
    <row r="379" spans="1:12" x14ac:dyDescent="0.25">
      <c r="A379" t="s">
        <v>1942</v>
      </c>
      <c r="B379" t="s">
        <v>2199</v>
      </c>
      <c r="C379" t="s">
        <v>28</v>
      </c>
      <c r="D379" t="s">
        <v>1943</v>
      </c>
      <c r="E379" t="s">
        <v>1946</v>
      </c>
      <c r="F379">
        <v>3</v>
      </c>
      <c r="G379" t="s">
        <v>761</v>
      </c>
      <c r="H379" s="1">
        <v>46174</v>
      </c>
      <c r="I379" t="s">
        <v>762</v>
      </c>
      <c r="J379">
        <v>1</v>
      </c>
      <c r="K379" s="1">
        <v>46204</v>
      </c>
      <c r="L379" s="8">
        <v>1074052</v>
      </c>
    </row>
    <row r="380" spans="1:12" x14ac:dyDescent="0.25">
      <c r="A380" t="s">
        <v>1948</v>
      </c>
      <c r="B380" t="s">
        <v>2199</v>
      </c>
      <c r="C380" t="s">
        <v>28</v>
      </c>
      <c r="D380" t="s">
        <v>1949</v>
      </c>
      <c r="E380" t="s">
        <v>777</v>
      </c>
      <c r="F380">
        <v>1</v>
      </c>
      <c r="G380" t="s">
        <v>414</v>
      </c>
      <c r="H380" s="1">
        <v>46082</v>
      </c>
      <c r="I380" t="s">
        <v>1852</v>
      </c>
      <c r="J380">
        <v>1</v>
      </c>
      <c r="K380" s="1">
        <v>46082</v>
      </c>
      <c r="L380" s="8">
        <v>10002100</v>
      </c>
    </row>
    <row r="381" spans="1:12" x14ac:dyDescent="0.25">
      <c r="A381" t="s">
        <v>1951</v>
      </c>
      <c r="B381" t="s">
        <v>2199</v>
      </c>
      <c r="C381" t="s">
        <v>28</v>
      </c>
      <c r="D381" t="s">
        <v>1952</v>
      </c>
      <c r="E381" t="s">
        <v>1864</v>
      </c>
      <c r="F381">
        <v>2</v>
      </c>
      <c r="G381" t="s">
        <v>761</v>
      </c>
      <c r="H381" s="1">
        <v>46082</v>
      </c>
      <c r="I381" t="s">
        <v>762</v>
      </c>
      <c r="J381">
        <v>1</v>
      </c>
      <c r="K381" s="1">
        <v>46113</v>
      </c>
      <c r="L381" s="8">
        <v>809217</v>
      </c>
    </row>
    <row r="382" spans="1:12" x14ac:dyDescent="0.25">
      <c r="A382" t="s">
        <v>1951</v>
      </c>
      <c r="B382" t="s">
        <v>2199</v>
      </c>
      <c r="C382" t="s">
        <v>28</v>
      </c>
      <c r="D382" t="s">
        <v>1952</v>
      </c>
      <c r="E382" t="s">
        <v>1938</v>
      </c>
      <c r="F382">
        <v>2</v>
      </c>
      <c r="G382" t="s">
        <v>761</v>
      </c>
      <c r="H382" s="1">
        <v>46082</v>
      </c>
      <c r="I382" t="s">
        <v>762</v>
      </c>
      <c r="J382">
        <v>1</v>
      </c>
      <c r="K382" s="1">
        <v>46113</v>
      </c>
      <c r="L382" s="8">
        <v>340060</v>
      </c>
    </row>
    <row r="383" spans="1:12" x14ac:dyDescent="0.25">
      <c r="A383" t="s">
        <v>1955</v>
      </c>
      <c r="B383" t="s">
        <v>2199</v>
      </c>
      <c r="C383" t="s">
        <v>28</v>
      </c>
      <c r="D383" t="s">
        <v>1956</v>
      </c>
      <c r="E383" t="s">
        <v>1303</v>
      </c>
      <c r="F383">
        <v>3</v>
      </c>
      <c r="G383" t="s">
        <v>414</v>
      </c>
      <c r="H383" s="1">
        <v>46082</v>
      </c>
      <c r="I383" t="s">
        <v>1852</v>
      </c>
      <c r="J383">
        <v>1</v>
      </c>
      <c r="K383" s="1">
        <v>46082</v>
      </c>
      <c r="L383" s="8">
        <v>3960000</v>
      </c>
    </row>
    <row r="384" spans="1:12" x14ac:dyDescent="0.25">
      <c r="A384" t="s">
        <v>1955</v>
      </c>
      <c r="B384" t="s">
        <v>2199</v>
      </c>
      <c r="C384" t="s">
        <v>28</v>
      </c>
      <c r="D384" t="s">
        <v>1956</v>
      </c>
      <c r="E384" t="s">
        <v>1958</v>
      </c>
      <c r="F384">
        <v>3</v>
      </c>
      <c r="G384" t="s">
        <v>414</v>
      </c>
      <c r="H384" s="1">
        <v>46082</v>
      </c>
      <c r="I384" t="s">
        <v>1852</v>
      </c>
      <c r="J384">
        <v>1</v>
      </c>
      <c r="K384" s="1">
        <v>46082</v>
      </c>
      <c r="L384" s="8">
        <v>600000</v>
      </c>
    </row>
    <row r="385" spans="1:12" x14ac:dyDescent="0.25">
      <c r="A385" t="s">
        <v>1955</v>
      </c>
      <c r="B385" t="s">
        <v>2199</v>
      </c>
      <c r="C385" t="s">
        <v>28</v>
      </c>
      <c r="D385" t="s">
        <v>1956</v>
      </c>
      <c r="E385" t="s">
        <v>1959</v>
      </c>
      <c r="F385">
        <v>3</v>
      </c>
      <c r="G385" t="s">
        <v>414</v>
      </c>
      <c r="H385" s="1">
        <v>46082</v>
      </c>
      <c r="I385" t="s">
        <v>1852</v>
      </c>
      <c r="J385">
        <v>1</v>
      </c>
      <c r="K385" s="1">
        <v>46082</v>
      </c>
      <c r="L385" s="8">
        <v>1000000</v>
      </c>
    </row>
    <row r="386" spans="1:12" x14ac:dyDescent="0.25">
      <c r="A386" t="s">
        <v>1960</v>
      </c>
      <c r="B386" t="s">
        <v>2199</v>
      </c>
      <c r="C386" t="s">
        <v>28</v>
      </c>
      <c r="D386" t="s">
        <v>1961</v>
      </c>
      <c r="E386" t="s">
        <v>962</v>
      </c>
      <c r="F386">
        <v>3</v>
      </c>
      <c r="G386" t="s">
        <v>1963</v>
      </c>
      <c r="H386" s="1">
        <v>46266</v>
      </c>
      <c r="I386" t="s">
        <v>1964</v>
      </c>
      <c r="J386">
        <v>1</v>
      </c>
      <c r="K386" s="1">
        <v>46266</v>
      </c>
      <c r="L386" s="8">
        <v>40000</v>
      </c>
    </row>
    <row r="387" spans="1:12" x14ac:dyDescent="0.25">
      <c r="A387" t="s">
        <v>1960</v>
      </c>
      <c r="B387" t="s">
        <v>2199</v>
      </c>
      <c r="C387" t="s">
        <v>28</v>
      </c>
      <c r="D387" t="s">
        <v>1961</v>
      </c>
      <c r="E387" t="s">
        <v>1966</v>
      </c>
      <c r="F387">
        <v>3</v>
      </c>
      <c r="G387" t="s">
        <v>1963</v>
      </c>
      <c r="H387" s="1">
        <v>46266</v>
      </c>
      <c r="I387" t="s">
        <v>1964</v>
      </c>
      <c r="J387">
        <v>1</v>
      </c>
      <c r="K387" s="1">
        <v>46266</v>
      </c>
      <c r="L387" s="8">
        <v>180000</v>
      </c>
    </row>
    <row r="388" spans="1:12" x14ac:dyDescent="0.25">
      <c r="A388" t="s">
        <v>1960</v>
      </c>
      <c r="B388" t="s">
        <v>2199</v>
      </c>
      <c r="C388" t="s">
        <v>28</v>
      </c>
      <c r="D388" t="s">
        <v>1961</v>
      </c>
      <c r="E388" t="s">
        <v>602</v>
      </c>
      <c r="F388">
        <v>3</v>
      </c>
      <c r="G388" t="s">
        <v>1963</v>
      </c>
      <c r="H388" s="1">
        <v>46266</v>
      </c>
      <c r="I388" t="s">
        <v>1964</v>
      </c>
      <c r="J388">
        <v>1</v>
      </c>
      <c r="K388" s="1">
        <v>46266</v>
      </c>
      <c r="L388" s="8">
        <v>700000</v>
      </c>
    </row>
    <row r="389" spans="1:12" x14ac:dyDescent="0.25">
      <c r="A389" t="s">
        <v>1976</v>
      </c>
      <c r="B389" t="s">
        <v>2199</v>
      </c>
      <c r="C389" t="s">
        <v>28</v>
      </c>
      <c r="D389" t="s">
        <v>1977</v>
      </c>
      <c r="E389" t="s">
        <v>1979</v>
      </c>
      <c r="F389">
        <v>1</v>
      </c>
      <c r="G389" t="s">
        <v>1660</v>
      </c>
      <c r="H389" s="1">
        <v>46113</v>
      </c>
      <c r="I389" t="s">
        <v>1980</v>
      </c>
      <c r="J389">
        <v>1</v>
      </c>
      <c r="K389" s="1">
        <v>46113</v>
      </c>
      <c r="L389" s="8">
        <v>15984280</v>
      </c>
    </row>
    <row r="390" spans="1:12" x14ac:dyDescent="0.25">
      <c r="A390" t="s">
        <v>1981</v>
      </c>
      <c r="B390" t="s">
        <v>2199</v>
      </c>
      <c r="C390" t="s">
        <v>28</v>
      </c>
      <c r="D390" t="s">
        <v>1982</v>
      </c>
      <c r="E390" t="s">
        <v>1984</v>
      </c>
      <c r="F390">
        <v>2</v>
      </c>
      <c r="G390" t="s">
        <v>1985</v>
      </c>
      <c r="H390" s="1">
        <v>46023</v>
      </c>
      <c r="I390" t="s">
        <v>1986</v>
      </c>
      <c r="J390">
        <v>1</v>
      </c>
      <c r="K390" s="1">
        <v>46023</v>
      </c>
      <c r="L390" s="8">
        <v>350200</v>
      </c>
    </row>
    <row r="391" spans="1:12" x14ac:dyDescent="0.25">
      <c r="A391" t="s">
        <v>1981</v>
      </c>
      <c r="B391" t="s">
        <v>2199</v>
      </c>
      <c r="C391" t="s">
        <v>28</v>
      </c>
      <c r="D391" t="s">
        <v>1982</v>
      </c>
      <c r="E391" t="s">
        <v>1989</v>
      </c>
      <c r="F391">
        <v>2</v>
      </c>
      <c r="G391" t="s">
        <v>1985</v>
      </c>
      <c r="H391" s="1">
        <v>46023</v>
      </c>
      <c r="I391" t="s">
        <v>1986</v>
      </c>
      <c r="J391">
        <v>1</v>
      </c>
      <c r="K391" s="1">
        <v>46023</v>
      </c>
      <c r="L391" s="8">
        <v>550800</v>
      </c>
    </row>
    <row r="392" spans="1:12" x14ac:dyDescent="0.25">
      <c r="A392" t="s">
        <v>1990</v>
      </c>
      <c r="B392" t="s">
        <v>2199</v>
      </c>
      <c r="C392" t="s">
        <v>28</v>
      </c>
      <c r="D392" t="s">
        <v>1991</v>
      </c>
      <c r="E392" t="s">
        <v>1303</v>
      </c>
      <c r="F392">
        <v>1</v>
      </c>
      <c r="G392" t="s">
        <v>414</v>
      </c>
      <c r="H392" s="1">
        <v>46082</v>
      </c>
      <c r="I392" t="s">
        <v>1852</v>
      </c>
      <c r="J392">
        <v>1</v>
      </c>
      <c r="K392" s="1">
        <v>46113</v>
      </c>
      <c r="L392" s="8">
        <v>3500000</v>
      </c>
    </row>
    <row r="393" spans="1:12" x14ac:dyDescent="0.25">
      <c r="A393" t="s">
        <v>1993</v>
      </c>
      <c r="B393" t="s">
        <v>2199</v>
      </c>
      <c r="C393" t="s">
        <v>28</v>
      </c>
      <c r="D393" t="s">
        <v>1994</v>
      </c>
      <c r="E393" t="s">
        <v>1959</v>
      </c>
      <c r="F393">
        <v>1</v>
      </c>
      <c r="G393" t="s">
        <v>414</v>
      </c>
      <c r="H393" s="1">
        <v>46082</v>
      </c>
      <c r="I393" t="s">
        <v>1996</v>
      </c>
      <c r="J393">
        <v>1</v>
      </c>
      <c r="K393" s="1">
        <v>46082</v>
      </c>
      <c r="L393" s="8">
        <v>15135390</v>
      </c>
    </row>
    <row r="394" spans="1:12" x14ac:dyDescent="0.25">
      <c r="A394" t="s">
        <v>1997</v>
      </c>
      <c r="B394" t="s">
        <v>2199</v>
      </c>
      <c r="C394" t="s">
        <v>28</v>
      </c>
      <c r="D394" t="s">
        <v>1998</v>
      </c>
      <c r="E394" t="s">
        <v>602</v>
      </c>
      <c r="F394">
        <v>1</v>
      </c>
      <c r="G394" t="s">
        <v>1985</v>
      </c>
      <c r="H394" s="1">
        <v>46113</v>
      </c>
      <c r="I394" t="s">
        <v>1986</v>
      </c>
      <c r="J394">
        <v>1</v>
      </c>
      <c r="K394" s="1">
        <v>46113</v>
      </c>
      <c r="L394" s="8">
        <v>1200000</v>
      </c>
    </row>
    <row r="395" spans="1:12" x14ac:dyDescent="0.25">
      <c r="A395" t="s">
        <v>2000</v>
      </c>
      <c r="B395" t="s">
        <v>2199</v>
      </c>
      <c r="C395" t="s">
        <v>28</v>
      </c>
      <c r="D395" t="s">
        <v>2001</v>
      </c>
      <c r="E395" t="s">
        <v>2003</v>
      </c>
      <c r="F395">
        <v>2</v>
      </c>
      <c r="G395" t="s">
        <v>1985</v>
      </c>
      <c r="H395" s="1">
        <v>46023</v>
      </c>
      <c r="I395" t="s">
        <v>1986</v>
      </c>
      <c r="J395">
        <v>12</v>
      </c>
      <c r="K395" t="s">
        <v>413</v>
      </c>
      <c r="L395" s="8">
        <v>10000000</v>
      </c>
    </row>
    <row r="396" spans="1:12" x14ac:dyDescent="0.25">
      <c r="A396" t="s">
        <v>2000</v>
      </c>
      <c r="B396" t="s">
        <v>2199</v>
      </c>
      <c r="C396" t="s">
        <v>28</v>
      </c>
      <c r="D396" t="s">
        <v>2001</v>
      </c>
      <c r="E396" t="s">
        <v>2004</v>
      </c>
      <c r="F396">
        <v>2</v>
      </c>
      <c r="G396" t="s">
        <v>1985</v>
      </c>
      <c r="H396" s="1">
        <v>46023</v>
      </c>
      <c r="I396" t="s">
        <v>1986</v>
      </c>
      <c r="J396">
        <v>12</v>
      </c>
      <c r="K396" t="s">
        <v>413</v>
      </c>
      <c r="L396" s="8">
        <v>10000000</v>
      </c>
    </row>
    <row r="397" spans="1:12" x14ac:dyDescent="0.25">
      <c r="A397" t="s">
        <v>2005</v>
      </c>
      <c r="B397" t="s">
        <v>2199</v>
      </c>
      <c r="C397" t="s">
        <v>28</v>
      </c>
      <c r="D397" t="s">
        <v>2006</v>
      </c>
      <c r="E397" t="s">
        <v>359</v>
      </c>
      <c r="F397">
        <v>4</v>
      </c>
      <c r="G397" t="s">
        <v>1469</v>
      </c>
      <c r="H397" s="1">
        <v>46082</v>
      </c>
      <c r="I397" t="s">
        <v>2008</v>
      </c>
      <c r="J397">
        <v>1</v>
      </c>
      <c r="K397" s="1">
        <v>46113</v>
      </c>
      <c r="L397" s="8">
        <v>158235</v>
      </c>
    </row>
    <row r="398" spans="1:12" x14ac:dyDescent="0.25">
      <c r="A398" t="s">
        <v>2005</v>
      </c>
      <c r="B398" t="s">
        <v>2199</v>
      </c>
      <c r="C398" t="s">
        <v>28</v>
      </c>
      <c r="D398" t="s">
        <v>2006</v>
      </c>
      <c r="E398" t="s">
        <v>1938</v>
      </c>
      <c r="F398">
        <v>4</v>
      </c>
      <c r="G398" t="s">
        <v>1469</v>
      </c>
      <c r="H398" s="1">
        <v>46054</v>
      </c>
      <c r="I398" t="s">
        <v>2008</v>
      </c>
      <c r="J398">
        <v>1</v>
      </c>
      <c r="K398" s="1">
        <v>46082</v>
      </c>
      <c r="L398" s="8">
        <v>729076</v>
      </c>
    </row>
    <row r="399" spans="1:12" x14ac:dyDescent="0.25">
      <c r="A399" t="s">
        <v>2005</v>
      </c>
      <c r="B399" t="s">
        <v>2199</v>
      </c>
      <c r="C399" t="s">
        <v>28</v>
      </c>
      <c r="D399" t="s">
        <v>2006</v>
      </c>
      <c r="E399" t="s">
        <v>1406</v>
      </c>
      <c r="F399">
        <v>4</v>
      </c>
      <c r="G399" t="s">
        <v>1469</v>
      </c>
      <c r="H399" s="1">
        <v>46143</v>
      </c>
      <c r="I399" t="s">
        <v>2008</v>
      </c>
      <c r="J399">
        <v>1</v>
      </c>
      <c r="K399" s="1">
        <v>46174</v>
      </c>
      <c r="L399" s="8">
        <v>4000</v>
      </c>
    </row>
    <row r="400" spans="1:12" x14ac:dyDescent="0.25">
      <c r="A400" t="s">
        <v>2005</v>
      </c>
      <c r="B400" t="s">
        <v>2199</v>
      </c>
      <c r="C400" t="s">
        <v>28</v>
      </c>
      <c r="D400" t="s">
        <v>2006</v>
      </c>
      <c r="E400" t="s">
        <v>2010</v>
      </c>
      <c r="F400">
        <v>4</v>
      </c>
      <c r="G400" t="s">
        <v>1469</v>
      </c>
      <c r="H400" s="1">
        <v>46143</v>
      </c>
      <c r="I400" t="s">
        <v>2008</v>
      </c>
      <c r="J400">
        <v>1</v>
      </c>
      <c r="K400" s="1">
        <v>46174</v>
      </c>
      <c r="L400" s="8">
        <v>20000</v>
      </c>
    </row>
    <row r="401" spans="1:12" x14ac:dyDescent="0.25">
      <c r="A401" t="s">
        <v>2011</v>
      </c>
      <c r="B401" t="s">
        <v>2199</v>
      </c>
      <c r="C401" t="s">
        <v>28</v>
      </c>
      <c r="D401" t="s">
        <v>2012</v>
      </c>
      <c r="E401" t="s">
        <v>2014</v>
      </c>
      <c r="F401">
        <v>2</v>
      </c>
      <c r="G401" t="s">
        <v>1985</v>
      </c>
      <c r="H401" s="1">
        <v>46023</v>
      </c>
      <c r="I401" t="s">
        <v>1986</v>
      </c>
      <c r="J401">
        <v>12</v>
      </c>
      <c r="K401" t="s">
        <v>413</v>
      </c>
      <c r="L401" s="8">
        <v>10000000</v>
      </c>
    </row>
    <row r="402" spans="1:12" x14ac:dyDescent="0.25">
      <c r="A402" t="s">
        <v>2011</v>
      </c>
      <c r="B402" t="s">
        <v>2199</v>
      </c>
      <c r="C402" t="s">
        <v>28</v>
      </c>
      <c r="D402" t="s">
        <v>2012</v>
      </c>
      <c r="E402" t="s">
        <v>2015</v>
      </c>
      <c r="F402">
        <v>2</v>
      </c>
      <c r="G402" t="s">
        <v>1985</v>
      </c>
      <c r="H402" s="1">
        <v>46023</v>
      </c>
      <c r="I402" t="s">
        <v>1986</v>
      </c>
      <c r="J402">
        <v>12</v>
      </c>
      <c r="K402" t="s">
        <v>413</v>
      </c>
      <c r="L402" s="8">
        <v>40008000</v>
      </c>
    </row>
    <row r="403" spans="1:12" x14ac:dyDescent="0.25">
      <c r="A403" t="s">
        <v>2016</v>
      </c>
      <c r="B403" t="s">
        <v>2199</v>
      </c>
      <c r="C403" t="s">
        <v>28</v>
      </c>
      <c r="D403" t="s">
        <v>2017</v>
      </c>
      <c r="E403" t="s">
        <v>740</v>
      </c>
      <c r="F403">
        <v>3</v>
      </c>
      <c r="G403" t="s">
        <v>1963</v>
      </c>
      <c r="H403" s="1">
        <v>46082</v>
      </c>
      <c r="I403" t="s">
        <v>1964</v>
      </c>
      <c r="J403">
        <v>1</v>
      </c>
      <c r="K403" s="1">
        <v>46082</v>
      </c>
      <c r="L403" s="8">
        <v>65010</v>
      </c>
    </row>
    <row r="404" spans="1:12" x14ac:dyDescent="0.25">
      <c r="A404" t="s">
        <v>2016</v>
      </c>
      <c r="B404" t="s">
        <v>2199</v>
      </c>
      <c r="C404" t="s">
        <v>28</v>
      </c>
      <c r="D404" t="s">
        <v>2017</v>
      </c>
      <c r="E404" t="s">
        <v>2019</v>
      </c>
      <c r="F404">
        <v>3</v>
      </c>
      <c r="G404" t="s">
        <v>1963</v>
      </c>
      <c r="H404" s="1">
        <v>46082</v>
      </c>
      <c r="I404" t="s">
        <v>1964</v>
      </c>
      <c r="J404">
        <v>1</v>
      </c>
      <c r="K404" s="1">
        <v>46082</v>
      </c>
      <c r="L404" s="8">
        <v>45012</v>
      </c>
    </row>
    <row r="405" spans="1:12" x14ac:dyDescent="0.25">
      <c r="A405" t="s">
        <v>2016</v>
      </c>
      <c r="B405" t="s">
        <v>2199</v>
      </c>
      <c r="C405" t="s">
        <v>28</v>
      </c>
      <c r="D405" t="s">
        <v>2017</v>
      </c>
      <c r="E405" t="s">
        <v>962</v>
      </c>
      <c r="F405">
        <v>3</v>
      </c>
      <c r="G405" t="s">
        <v>1963</v>
      </c>
      <c r="H405" s="1">
        <v>46082</v>
      </c>
      <c r="I405" t="s">
        <v>1964</v>
      </c>
      <c r="J405">
        <v>1</v>
      </c>
      <c r="K405" s="1">
        <v>46082</v>
      </c>
      <c r="L405" s="8">
        <v>120010</v>
      </c>
    </row>
    <row r="406" spans="1:12" x14ac:dyDescent="0.25">
      <c r="A406" t="s">
        <v>2020</v>
      </c>
      <c r="B406" t="s">
        <v>2199</v>
      </c>
      <c r="C406" t="s">
        <v>28</v>
      </c>
      <c r="D406" t="s">
        <v>2021</v>
      </c>
      <c r="E406" t="s">
        <v>2023</v>
      </c>
      <c r="F406">
        <v>1</v>
      </c>
      <c r="G406" t="s">
        <v>1985</v>
      </c>
      <c r="H406" s="1">
        <v>46023</v>
      </c>
      <c r="I406" t="s">
        <v>1986</v>
      </c>
      <c r="J406">
        <v>1</v>
      </c>
      <c r="K406" s="1">
        <v>46023</v>
      </c>
      <c r="L406" s="8">
        <v>700005</v>
      </c>
    </row>
    <row r="407" spans="1:12" x14ac:dyDescent="0.25">
      <c r="A407" t="s">
        <v>2024</v>
      </c>
      <c r="B407" t="s">
        <v>2199</v>
      </c>
      <c r="C407" t="s">
        <v>28</v>
      </c>
      <c r="D407" t="s">
        <v>2025</v>
      </c>
      <c r="E407" t="s">
        <v>2027</v>
      </c>
      <c r="F407">
        <v>1</v>
      </c>
      <c r="G407" t="s">
        <v>1985</v>
      </c>
      <c r="H407" s="1">
        <v>46023</v>
      </c>
      <c r="I407" t="s">
        <v>1986</v>
      </c>
      <c r="J407">
        <v>12</v>
      </c>
      <c r="K407" t="s">
        <v>413</v>
      </c>
      <c r="L407" s="8">
        <v>10000000</v>
      </c>
    </row>
    <row r="408" spans="1:12" x14ac:dyDescent="0.25">
      <c r="A408" t="s">
        <v>2041</v>
      </c>
      <c r="B408" t="s">
        <v>2199</v>
      </c>
      <c r="C408" t="s">
        <v>28</v>
      </c>
      <c r="D408" t="s">
        <v>2042</v>
      </c>
      <c r="E408" t="s">
        <v>2045</v>
      </c>
      <c r="F408">
        <v>6</v>
      </c>
      <c r="G408" t="s">
        <v>657</v>
      </c>
      <c r="H408" s="1">
        <v>46023</v>
      </c>
      <c r="I408" t="s">
        <v>658</v>
      </c>
      <c r="J408">
        <v>1</v>
      </c>
      <c r="K408" s="1">
        <v>46023</v>
      </c>
      <c r="L408" s="8">
        <v>280008</v>
      </c>
    </row>
    <row r="409" spans="1:12" x14ac:dyDescent="0.25">
      <c r="A409" t="s">
        <v>2041</v>
      </c>
      <c r="B409" t="s">
        <v>2199</v>
      </c>
      <c r="C409" t="s">
        <v>28</v>
      </c>
      <c r="D409" t="s">
        <v>2042</v>
      </c>
      <c r="E409" t="s">
        <v>777</v>
      </c>
      <c r="F409">
        <v>6</v>
      </c>
      <c r="G409" t="s">
        <v>657</v>
      </c>
      <c r="H409" s="1">
        <v>46023</v>
      </c>
      <c r="I409" t="s">
        <v>658</v>
      </c>
      <c r="J409">
        <v>1</v>
      </c>
      <c r="K409" s="1">
        <v>46023</v>
      </c>
      <c r="L409" s="8">
        <v>815000</v>
      </c>
    </row>
    <row r="410" spans="1:12" x14ac:dyDescent="0.25">
      <c r="A410" t="s">
        <v>2041</v>
      </c>
      <c r="B410" t="s">
        <v>2199</v>
      </c>
      <c r="C410" t="s">
        <v>28</v>
      </c>
      <c r="D410" t="s">
        <v>2042</v>
      </c>
      <c r="E410" t="s">
        <v>821</v>
      </c>
      <c r="F410">
        <v>6</v>
      </c>
      <c r="G410" t="s">
        <v>657</v>
      </c>
      <c r="H410" s="1">
        <v>46023</v>
      </c>
      <c r="I410" t="s">
        <v>658</v>
      </c>
      <c r="J410">
        <v>1</v>
      </c>
      <c r="K410" s="1">
        <v>46023</v>
      </c>
      <c r="L410" s="8">
        <v>60000</v>
      </c>
    </row>
    <row r="411" spans="1:12" x14ac:dyDescent="0.25">
      <c r="A411" t="s">
        <v>2041</v>
      </c>
      <c r="B411" t="s">
        <v>2199</v>
      </c>
      <c r="C411" t="s">
        <v>28</v>
      </c>
      <c r="D411" t="s">
        <v>2042</v>
      </c>
      <c r="E411" t="s">
        <v>2044</v>
      </c>
      <c r="F411">
        <v>6</v>
      </c>
      <c r="G411" t="s">
        <v>657</v>
      </c>
      <c r="H411" s="1">
        <v>46023</v>
      </c>
      <c r="I411" t="s">
        <v>658</v>
      </c>
      <c r="J411">
        <v>1</v>
      </c>
      <c r="K411" s="1">
        <v>46023</v>
      </c>
      <c r="L411" s="8">
        <v>833000</v>
      </c>
    </row>
    <row r="412" spans="1:12" x14ac:dyDescent="0.25">
      <c r="A412" t="s">
        <v>2041</v>
      </c>
      <c r="B412" t="s">
        <v>2199</v>
      </c>
      <c r="C412" t="s">
        <v>28</v>
      </c>
      <c r="D412" t="s">
        <v>2042</v>
      </c>
      <c r="E412" t="s">
        <v>2046</v>
      </c>
      <c r="F412">
        <v>6</v>
      </c>
      <c r="G412" t="s">
        <v>657</v>
      </c>
      <c r="H412" s="1">
        <v>46023</v>
      </c>
      <c r="I412" t="s">
        <v>658</v>
      </c>
      <c r="J412">
        <v>1</v>
      </c>
      <c r="K412" s="1">
        <v>46023</v>
      </c>
      <c r="L412" s="8">
        <v>100000</v>
      </c>
    </row>
    <row r="413" spans="1:12" x14ac:dyDescent="0.25">
      <c r="A413" t="s">
        <v>2041</v>
      </c>
      <c r="B413" t="s">
        <v>2199</v>
      </c>
      <c r="C413" t="s">
        <v>28</v>
      </c>
      <c r="D413" t="s">
        <v>2042</v>
      </c>
      <c r="E413" t="s">
        <v>760</v>
      </c>
      <c r="F413">
        <v>6</v>
      </c>
      <c r="G413" t="s">
        <v>657</v>
      </c>
      <c r="H413" s="1">
        <v>46023</v>
      </c>
      <c r="I413" t="s">
        <v>658</v>
      </c>
      <c r="J413">
        <v>1</v>
      </c>
      <c r="K413" s="1">
        <v>46023</v>
      </c>
      <c r="L413" s="8">
        <v>550002</v>
      </c>
    </row>
    <row r="414" spans="1:12" x14ac:dyDescent="0.25">
      <c r="A414" t="s">
        <v>2047</v>
      </c>
      <c r="B414" t="s">
        <v>2199</v>
      </c>
      <c r="C414" t="s">
        <v>28</v>
      </c>
      <c r="D414" t="s">
        <v>2048</v>
      </c>
      <c r="E414" t="s">
        <v>2054</v>
      </c>
      <c r="F414">
        <v>3</v>
      </c>
      <c r="G414" t="s">
        <v>2051</v>
      </c>
      <c r="H414" s="1">
        <v>46143</v>
      </c>
      <c r="I414" t="s">
        <v>2052</v>
      </c>
      <c r="J414">
        <v>1</v>
      </c>
      <c r="K414" s="1">
        <v>46174</v>
      </c>
      <c r="L414" s="8">
        <v>684735</v>
      </c>
    </row>
    <row r="415" spans="1:12" x14ac:dyDescent="0.25">
      <c r="A415" t="s">
        <v>2047</v>
      </c>
      <c r="B415" t="s">
        <v>2199</v>
      </c>
      <c r="C415" t="s">
        <v>28</v>
      </c>
      <c r="D415" t="s">
        <v>2048</v>
      </c>
      <c r="E415" t="s">
        <v>2055</v>
      </c>
      <c r="F415">
        <v>3</v>
      </c>
      <c r="G415" t="s">
        <v>2051</v>
      </c>
      <c r="H415" s="1">
        <v>46143</v>
      </c>
      <c r="I415" t="s">
        <v>2052</v>
      </c>
      <c r="J415">
        <v>1</v>
      </c>
      <c r="K415" s="1">
        <v>46174</v>
      </c>
      <c r="L415" s="8">
        <v>204100</v>
      </c>
    </row>
    <row r="416" spans="1:12" x14ac:dyDescent="0.25">
      <c r="A416" t="s">
        <v>2047</v>
      </c>
      <c r="B416" t="s">
        <v>2199</v>
      </c>
      <c r="C416" t="s">
        <v>28</v>
      </c>
      <c r="D416" t="s">
        <v>2048</v>
      </c>
      <c r="E416" t="s">
        <v>1936</v>
      </c>
      <c r="F416">
        <v>3</v>
      </c>
      <c r="G416" t="s">
        <v>2051</v>
      </c>
      <c r="H416" s="1">
        <v>46143</v>
      </c>
      <c r="I416" t="s">
        <v>2052</v>
      </c>
      <c r="J416">
        <v>1</v>
      </c>
      <c r="K416" s="1">
        <v>46174</v>
      </c>
      <c r="L416" s="8">
        <v>360000</v>
      </c>
    </row>
    <row r="417" spans="1:12" x14ac:dyDescent="0.25">
      <c r="A417" t="s">
        <v>2056</v>
      </c>
      <c r="B417" t="s">
        <v>2199</v>
      </c>
      <c r="C417" t="s">
        <v>28</v>
      </c>
      <c r="D417" t="s">
        <v>2057</v>
      </c>
      <c r="E417" t="s">
        <v>2059</v>
      </c>
      <c r="F417">
        <v>5</v>
      </c>
      <c r="G417" t="s">
        <v>1642</v>
      </c>
      <c r="H417" s="1">
        <v>46082</v>
      </c>
      <c r="I417" t="s">
        <v>1643</v>
      </c>
      <c r="J417">
        <v>1</v>
      </c>
      <c r="K417" s="1">
        <v>46113</v>
      </c>
      <c r="L417" s="8">
        <v>45000</v>
      </c>
    </row>
    <row r="418" spans="1:12" x14ac:dyDescent="0.25">
      <c r="A418" t="s">
        <v>2056</v>
      </c>
      <c r="B418" t="s">
        <v>2199</v>
      </c>
      <c r="C418" t="s">
        <v>28</v>
      </c>
      <c r="D418" t="s">
        <v>2057</v>
      </c>
      <c r="E418" t="s">
        <v>2062</v>
      </c>
      <c r="F418">
        <v>5</v>
      </c>
      <c r="G418" t="s">
        <v>1642</v>
      </c>
      <c r="H418" s="1">
        <v>46174</v>
      </c>
      <c r="I418" t="s">
        <v>1643</v>
      </c>
      <c r="J418">
        <v>1</v>
      </c>
      <c r="K418" s="1">
        <v>46204</v>
      </c>
      <c r="L418" s="8">
        <v>175014</v>
      </c>
    </row>
    <row r="419" spans="1:12" x14ac:dyDescent="0.25">
      <c r="A419" t="s">
        <v>2056</v>
      </c>
      <c r="B419" t="s">
        <v>2199</v>
      </c>
      <c r="C419" t="s">
        <v>28</v>
      </c>
      <c r="D419" t="s">
        <v>2057</v>
      </c>
      <c r="E419" t="s">
        <v>2061</v>
      </c>
      <c r="F419">
        <v>5</v>
      </c>
      <c r="G419" t="s">
        <v>1642</v>
      </c>
      <c r="H419" s="1">
        <v>46082</v>
      </c>
      <c r="I419" t="s">
        <v>1643</v>
      </c>
      <c r="J419">
        <v>1</v>
      </c>
      <c r="K419" s="1">
        <v>46113</v>
      </c>
      <c r="L419" s="8">
        <v>123000</v>
      </c>
    </row>
    <row r="420" spans="1:12" x14ac:dyDescent="0.25">
      <c r="A420" t="s">
        <v>2056</v>
      </c>
      <c r="B420" t="s">
        <v>2199</v>
      </c>
      <c r="C420" t="s">
        <v>28</v>
      </c>
      <c r="D420" t="s">
        <v>2057</v>
      </c>
      <c r="E420" t="s">
        <v>1137</v>
      </c>
      <c r="F420">
        <v>5</v>
      </c>
      <c r="G420" t="s">
        <v>1642</v>
      </c>
      <c r="H420" s="1">
        <v>46082</v>
      </c>
      <c r="I420" t="s">
        <v>1643</v>
      </c>
      <c r="J420">
        <v>1</v>
      </c>
      <c r="K420" s="1">
        <v>46113</v>
      </c>
      <c r="L420" s="8">
        <v>40000</v>
      </c>
    </row>
    <row r="421" spans="1:12" x14ac:dyDescent="0.25">
      <c r="A421" t="s">
        <v>2056</v>
      </c>
      <c r="B421" t="s">
        <v>2199</v>
      </c>
      <c r="C421" t="s">
        <v>28</v>
      </c>
      <c r="D421" t="s">
        <v>2057</v>
      </c>
      <c r="E421" t="s">
        <v>1973</v>
      </c>
      <c r="F421">
        <v>5</v>
      </c>
      <c r="G421" t="s">
        <v>1642</v>
      </c>
      <c r="H421" s="1">
        <v>46082</v>
      </c>
      <c r="I421" t="s">
        <v>1643</v>
      </c>
      <c r="J421">
        <v>1</v>
      </c>
      <c r="K421" s="1">
        <v>46113</v>
      </c>
      <c r="L421" s="8">
        <v>500024</v>
      </c>
    </row>
    <row r="422" spans="1:12" x14ac:dyDescent="0.25">
      <c r="A422" t="s">
        <v>2067</v>
      </c>
      <c r="B422" t="s">
        <v>2199</v>
      </c>
      <c r="C422" t="s">
        <v>28</v>
      </c>
      <c r="D422" t="s">
        <v>2068</v>
      </c>
      <c r="E422" t="s">
        <v>486</v>
      </c>
      <c r="F422">
        <v>1</v>
      </c>
      <c r="G422" t="s">
        <v>590</v>
      </c>
      <c r="H422" s="1">
        <v>46082</v>
      </c>
      <c r="I422" t="s">
        <v>591</v>
      </c>
      <c r="J422">
        <v>1</v>
      </c>
      <c r="K422" s="1">
        <v>46082</v>
      </c>
      <c r="L422" s="8">
        <v>490280</v>
      </c>
    </row>
    <row r="423" spans="1:12" x14ac:dyDescent="0.25">
      <c r="A423" t="s">
        <v>2070</v>
      </c>
      <c r="B423" t="s">
        <v>2199</v>
      </c>
      <c r="C423" t="s">
        <v>28</v>
      </c>
      <c r="D423" t="s">
        <v>2071</v>
      </c>
      <c r="E423" t="s">
        <v>2073</v>
      </c>
      <c r="F423">
        <v>1</v>
      </c>
      <c r="G423" t="s">
        <v>1642</v>
      </c>
      <c r="H423" s="1">
        <v>46113</v>
      </c>
      <c r="I423" t="s">
        <v>1643</v>
      </c>
      <c r="J423">
        <v>1</v>
      </c>
      <c r="K423" s="1">
        <v>46143</v>
      </c>
      <c r="L423" s="8">
        <v>70000</v>
      </c>
    </row>
    <row r="424" spans="1:12" x14ac:dyDescent="0.25">
      <c r="A424" t="s">
        <v>2074</v>
      </c>
      <c r="B424" t="s">
        <v>2199</v>
      </c>
      <c r="C424" t="s">
        <v>28</v>
      </c>
      <c r="D424" t="s">
        <v>788</v>
      </c>
      <c r="E424" t="s">
        <v>359</v>
      </c>
      <c r="F424">
        <v>2</v>
      </c>
      <c r="G424" t="s">
        <v>2076</v>
      </c>
      <c r="H424" s="1">
        <v>46082</v>
      </c>
      <c r="I424" t="s">
        <v>2077</v>
      </c>
      <c r="J424">
        <v>1</v>
      </c>
      <c r="K424" s="1">
        <v>46082</v>
      </c>
      <c r="L424" s="8">
        <v>2280150</v>
      </c>
    </row>
    <row r="425" spans="1:12" x14ac:dyDescent="0.25">
      <c r="A425" t="s">
        <v>2074</v>
      </c>
      <c r="B425" t="s">
        <v>2199</v>
      </c>
      <c r="C425" t="s">
        <v>28</v>
      </c>
      <c r="D425" t="s">
        <v>788</v>
      </c>
      <c r="E425" t="s">
        <v>855</v>
      </c>
      <c r="F425">
        <v>2</v>
      </c>
      <c r="G425" t="s">
        <v>2076</v>
      </c>
      <c r="H425" s="1">
        <v>46082</v>
      </c>
      <c r="I425" t="s">
        <v>2077</v>
      </c>
      <c r="J425">
        <v>1</v>
      </c>
      <c r="K425" s="1">
        <v>46082</v>
      </c>
      <c r="L425" s="8">
        <v>193760</v>
      </c>
    </row>
    <row r="426" spans="1:12" x14ac:dyDescent="0.25">
      <c r="A426" t="s">
        <v>2083</v>
      </c>
      <c r="B426" t="s">
        <v>2199</v>
      </c>
      <c r="C426" t="s">
        <v>28</v>
      </c>
      <c r="D426" t="s">
        <v>1916</v>
      </c>
      <c r="E426" t="s">
        <v>2085</v>
      </c>
      <c r="F426">
        <v>1</v>
      </c>
      <c r="G426" t="s">
        <v>1445</v>
      </c>
      <c r="H426" s="1">
        <v>46054</v>
      </c>
      <c r="I426" t="s">
        <v>1446</v>
      </c>
      <c r="J426">
        <v>1</v>
      </c>
      <c r="K426" s="1">
        <v>46082</v>
      </c>
      <c r="L426" s="8">
        <v>200000</v>
      </c>
    </row>
    <row r="427" spans="1:12" x14ac:dyDescent="0.25">
      <c r="A427" t="s">
        <v>2089</v>
      </c>
      <c r="B427" t="s">
        <v>2199</v>
      </c>
      <c r="C427" t="s">
        <v>28</v>
      </c>
      <c r="D427" t="s">
        <v>2090</v>
      </c>
      <c r="E427" t="s">
        <v>2096</v>
      </c>
      <c r="F427">
        <v>6</v>
      </c>
      <c r="G427" t="s">
        <v>761</v>
      </c>
      <c r="H427" s="1">
        <v>46113</v>
      </c>
      <c r="I427" t="s">
        <v>762</v>
      </c>
      <c r="J427">
        <v>1</v>
      </c>
      <c r="K427" s="1">
        <v>46143</v>
      </c>
      <c r="L427" s="8">
        <v>30000</v>
      </c>
    </row>
    <row r="428" spans="1:12" x14ac:dyDescent="0.25">
      <c r="A428" t="s">
        <v>2089</v>
      </c>
      <c r="B428" t="s">
        <v>2199</v>
      </c>
      <c r="C428" t="s">
        <v>28</v>
      </c>
      <c r="D428" t="s">
        <v>2090</v>
      </c>
      <c r="E428" t="s">
        <v>2092</v>
      </c>
      <c r="F428">
        <v>6</v>
      </c>
      <c r="G428" t="s">
        <v>761</v>
      </c>
      <c r="H428" s="1">
        <v>46113</v>
      </c>
      <c r="I428" t="s">
        <v>762</v>
      </c>
      <c r="J428">
        <v>1</v>
      </c>
      <c r="K428" s="1">
        <v>46143</v>
      </c>
      <c r="L428" s="8">
        <v>343480</v>
      </c>
    </row>
    <row r="429" spans="1:12" x14ac:dyDescent="0.25">
      <c r="A429" t="s">
        <v>2089</v>
      </c>
      <c r="B429" t="s">
        <v>2199</v>
      </c>
      <c r="C429" t="s">
        <v>28</v>
      </c>
      <c r="D429" t="s">
        <v>2090</v>
      </c>
      <c r="E429" t="s">
        <v>1864</v>
      </c>
      <c r="F429">
        <v>6</v>
      </c>
      <c r="G429" t="s">
        <v>761</v>
      </c>
      <c r="H429" s="1">
        <v>46113</v>
      </c>
      <c r="I429" t="s">
        <v>762</v>
      </c>
      <c r="J429">
        <v>1</v>
      </c>
      <c r="K429" s="1">
        <v>46143</v>
      </c>
      <c r="L429" s="8">
        <v>230040</v>
      </c>
    </row>
    <row r="430" spans="1:12" x14ac:dyDescent="0.25">
      <c r="A430" t="s">
        <v>2089</v>
      </c>
      <c r="B430" t="s">
        <v>2199</v>
      </c>
      <c r="C430" t="s">
        <v>28</v>
      </c>
      <c r="D430" t="s">
        <v>2090</v>
      </c>
      <c r="E430" t="s">
        <v>1938</v>
      </c>
      <c r="F430">
        <v>6</v>
      </c>
      <c r="G430" t="s">
        <v>761</v>
      </c>
      <c r="H430" s="1">
        <v>46113</v>
      </c>
      <c r="I430" t="s">
        <v>762</v>
      </c>
      <c r="J430">
        <v>1</v>
      </c>
      <c r="K430" s="1">
        <v>46143</v>
      </c>
      <c r="L430" s="8">
        <v>220110</v>
      </c>
    </row>
    <row r="431" spans="1:12" x14ac:dyDescent="0.25">
      <c r="A431" t="s">
        <v>2089</v>
      </c>
      <c r="B431" t="s">
        <v>2199</v>
      </c>
      <c r="C431" t="s">
        <v>28</v>
      </c>
      <c r="D431" t="s">
        <v>2090</v>
      </c>
      <c r="E431" t="s">
        <v>2093</v>
      </c>
      <c r="F431">
        <v>6</v>
      </c>
      <c r="G431" t="s">
        <v>761</v>
      </c>
      <c r="H431" s="1">
        <v>46113</v>
      </c>
      <c r="I431" t="s">
        <v>762</v>
      </c>
      <c r="J431">
        <v>1</v>
      </c>
      <c r="K431" s="1">
        <v>46143</v>
      </c>
      <c r="L431" s="8">
        <v>100000</v>
      </c>
    </row>
    <row r="432" spans="1:12" x14ac:dyDescent="0.25">
      <c r="A432" t="s">
        <v>2089</v>
      </c>
      <c r="B432" t="s">
        <v>2199</v>
      </c>
      <c r="C432" t="s">
        <v>28</v>
      </c>
      <c r="D432" t="s">
        <v>2090</v>
      </c>
      <c r="E432" t="s">
        <v>2095</v>
      </c>
      <c r="F432">
        <v>6</v>
      </c>
      <c r="G432" t="s">
        <v>761</v>
      </c>
      <c r="H432" s="1">
        <v>46113</v>
      </c>
      <c r="I432" t="s">
        <v>762</v>
      </c>
      <c r="J432">
        <v>1</v>
      </c>
      <c r="K432" s="1">
        <v>46143</v>
      </c>
      <c r="L432" s="8">
        <v>2364300</v>
      </c>
    </row>
    <row r="433" spans="1:12" x14ac:dyDescent="0.25">
      <c r="A433" t="s">
        <v>2097</v>
      </c>
      <c r="B433" t="s">
        <v>2199</v>
      </c>
      <c r="C433" t="s">
        <v>28</v>
      </c>
      <c r="D433" t="s">
        <v>2098</v>
      </c>
      <c r="E433" t="s">
        <v>2101</v>
      </c>
      <c r="F433">
        <v>3</v>
      </c>
      <c r="G433" t="s">
        <v>590</v>
      </c>
      <c r="H433" s="1">
        <v>46113</v>
      </c>
      <c r="I433" t="s">
        <v>591</v>
      </c>
      <c r="J433">
        <v>1</v>
      </c>
      <c r="K433" s="1">
        <v>46143</v>
      </c>
      <c r="L433" s="8">
        <v>1559097</v>
      </c>
    </row>
    <row r="434" spans="1:12" x14ac:dyDescent="0.25">
      <c r="A434" t="s">
        <v>2097</v>
      </c>
      <c r="B434" t="s">
        <v>2199</v>
      </c>
      <c r="C434" t="s">
        <v>28</v>
      </c>
      <c r="D434" t="s">
        <v>2098</v>
      </c>
      <c r="E434" t="s">
        <v>1940</v>
      </c>
      <c r="F434">
        <v>3</v>
      </c>
      <c r="G434" t="s">
        <v>590</v>
      </c>
      <c r="H434" s="1">
        <v>46113</v>
      </c>
      <c r="I434" t="s">
        <v>591</v>
      </c>
      <c r="J434">
        <v>1</v>
      </c>
      <c r="K434" s="1">
        <v>46143</v>
      </c>
      <c r="L434" s="8">
        <v>150000</v>
      </c>
    </row>
    <row r="435" spans="1:12" x14ac:dyDescent="0.25">
      <c r="A435" t="s">
        <v>2097</v>
      </c>
      <c r="B435" t="s">
        <v>2199</v>
      </c>
      <c r="C435" t="s">
        <v>28</v>
      </c>
      <c r="D435" t="s">
        <v>2098</v>
      </c>
      <c r="E435" t="s">
        <v>2055</v>
      </c>
      <c r="F435">
        <v>3</v>
      </c>
      <c r="G435" t="s">
        <v>590</v>
      </c>
      <c r="H435" s="1">
        <v>46082</v>
      </c>
      <c r="I435" t="s">
        <v>591</v>
      </c>
      <c r="J435">
        <v>1</v>
      </c>
      <c r="K435" s="1">
        <v>46113</v>
      </c>
      <c r="L435" s="8">
        <v>464009</v>
      </c>
    </row>
    <row r="436" spans="1:12" x14ac:dyDescent="0.25">
      <c r="A436" t="s">
        <v>2107</v>
      </c>
      <c r="B436" t="s">
        <v>2199</v>
      </c>
      <c r="C436" t="s">
        <v>28</v>
      </c>
      <c r="D436" t="s">
        <v>2108</v>
      </c>
      <c r="E436" t="s">
        <v>486</v>
      </c>
      <c r="F436">
        <v>3</v>
      </c>
      <c r="G436" t="s">
        <v>761</v>
      </c>
      <c r="H436" s="1">
        <v>46054</v>
      </c>
      <c r="I436" t="s">
        <v>762</v>
      </c>
      <c r="J436">
        <v>1</v>
      </c>
      <c r="K436" s="1">
        <v>46054</v>
      </c>
      <c r="L436" s="8">
        <v>1975000</v>
      </c>
    </row>
    <row r="437" spans="1:12" x14ac:dyDescent="0.25">
      <c r="A437" t="s">
        <v>2107</v>
      </c>
      <c r="B437" t="s">
        <v>2199</v>
      </c>
      <c r="C437" t="s">
        <v>28</v>
      </c>
      <c r="D437" t="s">
        <v>2108</v>
      </c>
      <c r="E437" t="s">
        <v>1683</v>
      </c>
      <c r="F437">
        <v>3</v>
      </c>
      <c r="G437" t="s">
        <v>761</v>
      </c>
      <c r="H437" s="1">
        <v>46054</v>
      </c>
      <c r="I437" t="s">
        <v>762</v>
      </c>
      <c r="J437">
        <v>1</v>
      </c>
      <c r="K437" s="1">
        <v>46054</v>
      </c>
      <c r="L437" s="8">
        <v>50000</v>
      </c>
    </row>
    <row r="438" spans="1:12" x14ac:dyDescent="0.25">
      <c r="A438" t="s">
        <v>2107</v>
      </c>
      <c r="B438" t="s">
        <v>2199</v>
      </c>
      <c r="C438" t="s">
        <v>28</v>
      </c>
      <c r="D438" t="s">
        <v>2108</v>
      </c>
      <c r="E438" t="s">
        <v>953</v>
      </c>
      <c r="F438">
        <v>3</v>
      </c>
      <c r="G438" t="s">
        <v>761</v>
      </c>
      <c r="H438" s="1">
        <v>46054</v>
      </c>
      <c r="I438" t="s">
        <v>762</v>
      </c>
      <c r="J438">
        <v>1</v>
      </c>
      <c r="K438" s="1">
        <v>46054</v>
      </c>
      <c r="L438" s="8">
        <v>500004</v>
      </c>
    </row>
    <row r="439" spans="1:12" x14ac:dyDescent="0.25">
      <c r="A439" t="s">
        <v>2115</v>
      </c>
      <c r="B439" t="s">
        <v>2199</v>
      </c>
      <c r="C439" t="s">
        <v>28</v>
      </c>
      <c r="D439" t="s">
        <v>2116</v>
      </c>
      <c r="E439" t="s">
        <v>359</v>
      </c>
      <c r="F439">
        <v>4</v>
      </c>
      <c r="G439" t="s">
        <v>761</v>
      </c>
      <c r="H439" s="1">
        <v>46266</v>
      </c>
      <c r="I439" t="s">
        <v>762</v>
      </c>
      <c r="J439">
        <v>1</v>
      </c>
      <c r="K439" s="1">
        <v>46266</v>
      </c>
      <c r="L439" s="8">
        <v>679980</v>
      </c>
    </row>
    <row r="440" spans="1:12" x14ac:dyDescent="0.25">
      <c r="A440" t="s">
        <v>2115</v>
      </c>
      <c r="B440" t="s">
        <v>2199</v>
      </c>
      <c r="C440" t="s">
        <v>28</v>
      </c>
      <c r="D440" t="s">
        <v>2116</v>
      </c>
      <c r="E440" t="s">
        <v>2118</v>
      </c>
      <c r="F440">
        <v>4</v>
      </c>
      <c r="G440" t="s">
        <v>761</v>
      </c>
      <c r="H440" s="1">
        <v>46266</v>
      </c>
      <c r="I440" t="s">
        <v>762</v>
      </c>
      <c r="J440">
        <v>1</v>
      </c>
      <c r="K440" s="1">
        <v>46266</v>
      </c>
      <c r="L440" s="8">
        <v>1000000</v>
      </c>
    </row>
    <row r="441" spans="1:12" x14ac:dyDescent="0.25">
      <c r="A441" t="s">
        <v>2115</v>
      </c>
      <c r="B441" t="s">
        <v>2199</v>
      </c>
      <c r="C441" t="s">
        <v>28</v>
      </c>
      <c r="D441" t="s">
        <v>2116</v>
      </c>
      <c r="E441" t="s">
        <v>2120</v>
      </c>
      <c r="F441">
        <v>4</v>
      </c>
      <c r="G441" t="s">
        <v>761</v>
      </c>
      <c r="H441" s="1">
        <v>46266</v>
      </c>
      <c r="I441" t="s">
        <v>762</v>
      </c>
      <c r="J441">
        <v>1</v>
      </c>
      <c r="K441" s="1">
        <v>46266</v>
      </c>
      <c r="L441" s="8">
        <v>186000</v>
      </c>
    </row>
    <row r="442" spans="1:12" x14ac:dyDescent="0.25">
      <c r="A442" t="s">
        <v>2115</v>
      </c>
      <c r="B442" t="s">
        <v>2199</v>
      </c>
      <c r="C442" t="s">
        <v>28</v>
      </c>
      <c r="D442" t="s">
        <v>2116</v>
      </c>
      <c r="E442" t="s">
        <v>2119</v>
      </c>
      <c r="F442">
        <v>4</v>
      </c>
      <c r="G442" t="s">
        <v>761</v>
      </c>
      <c r="H442" s="1">
        <v>46266</v>
      </c>
      <c r="I442" t="s">
        <v>762</v>
      </c>
      <c r="J442">
        <v>1</v>
      </c>
      <c r="K442" s="1">
        <v>46266</v>
      </c>
      <c r="L442" s="8">
        <v>360000</v>
      </c>
    </row>
    <row r="443" spans="1:12" x14ac:dyDescent="0.25">
      <c r="A443" t="s">
        <v>2121</v>
      </c>
      <c r="B443" t="s">
        <v>2199</v>
      </c>
      <c r="C443" t="s">
        <v>28</v>
      </c>
      <c r="D443" t="s">
        <v>2122</v>
      </c>
      <c r="E443" t="s">
        <v>2059</v>
      </c>
      <c r="F443">
        <v>23</v>
      </c>
      <c r="G443" t="s">
        <v>2124</v>
      </c>
      <c r="H443" s="1">
        <v>46082</v>
      </c>
      <c r="I443" t="s">
        <v>1217</v>
      </c>
      <c r="J443">
        <v>1</v>
      </c>
      <c r="K443" s="1">
        <v>46113</v>
      </c>
      <c r="L443" s="8">
        <v>35000</v>
      </c>
    </row>
    <row r="444" spans="1:12" x14ac:dyDescent="0.25">
      <c r="A444" t="s">
        <v>2121</v>
      </c>
      <c r="B444" t="s">
        <v>2199</v>
      </c>
      <c r="C444" t="s">
        <v>28</v>
      </c>
      <c r="D444" t="s">
        <v>2122</v>
      </c>
      <c r="E444" t="s">
        <v>359</v>
      </c>
      <c r="F444">
        <v>23</v>
      </c>
      <c r="G444" t="s">
        <v>2124</v>
      </c>
      <c r="H444" s="1">
        <v>46082</v>
      </c>
      <c r="I444" t="s">
        <v>1217</v>
      </c>
      <c r="J444">
        <v>1</v>
      </c>
      <c r="K444" s="1">
        <v>46113</v>
      </c>
      <c r="L444" s="8">
        <v>490000</v>
      </c>
    </row>
    <row r="445" spans="1:12" x14ac:dyDescent="0.25">
      <c r="A445" t="s">
        <v>2121</v>
      </c>
      <c r="B445" t="s">
        <v>2199</v>
      </c>
      <c r="C445" t="s">
        <v>28</v>
      </c>
      <c r="D445" t="s">
        <v>2122</v>
      </c>
      <c r="E445" t="s">
        <v>1864</v>
      </c>
      <c r="F445">
        <v>23</v>
      </c>
      <c r="G445" t="s">
        <v>2124</v>
      </c>
      <c r="H445" s="1">
        <v>46082</v>
      </c>
      <c r="I445" t="s">
        <v>1217</v>
      </c>
      <c r="J445">
        <v>1</v>
      </c>
      <c r="K445" s="1">
        <v>46113</v>
      </c>
      <c r="L445" s="8">
        <v>308000</v>
      </c>
    </row>
    <row r="446" spans="1:12" x14ac:dyDescent="0.25">
      <c r="A446" t="s">
        <v>2121</v>
      </c>
      <c r="B446" t="s">
        <v>2199</v>
      </c>
      <c r="C446" t="s">
        <v>28</v>
      </c>
      <c r="D446" t="s">
        <v>2122</v>
      </c>
      <c r="E446" t="s">
        <v>1938</v>
      </c>
      <c r="F446">
        <v>23</v>
      </c>
      <c r="G446" t="s">
        <v>2124</v>
      </c>
      <c r="H446" s="1">
        <v>46082</v>
      </c>
      <c r="I446" t="s">
        <v>1217</v>
      </c>
      <c r="J446">
        <v>1</v>
      </c>
      <c r="K446" s="1">
        <v>46113</v>
      </c>
      <c r="L446" s="8">
        <v>145040</v>
      </c>
    </row>
    <row r="447" spans="1:12" x14ac:dyDescent="0.25">
      <c r="A447" t="s">
        <v>2121</v>
      </c>
      <c r="B447" t="s">
        <v>2199</v>
      </c>
      <c r="C447" t="s">
        <v>28</v>
      </c>
      <c r="D447" t="s">
        <v>2122</v>
      </c>
      <c r="E447" t="s">
        <v>1251</v>
      </c>
      <c r="F447">
        <v>23</v>
      </c>
      <c r="G447" t="s">
        <v>2124</v>
      </c>
      <c r="H447" s="1">
        <v>46082</v>
      </c>
      <c r="I447" t="s">
        <v>1217</v>
      </c>
      <c r="J447">
        <v>1</v>
      </c>
      <c r="K447" s="1">
        <v>46113</v>
      </c>
      <c r="L447" s="8">
        <v>35000</v>
      </c>
    </row>
    <row r="448" spans="1:12" x14ac:dyDescent="0.25">
      <c r="A448" t="s">
        <v>2121</v>
      </c>
      <c r="B448" t="s">
        <v>2199</v>
      </c>
      <c r="C448" t="s">
        <v>28</v>
      </c>
      <c r="D448" t="s">
        <v>2122</v>
      </c>
      <c r="E448" t="s">
        <v>2134</v>
      </c>
      <c r="F448">
        <v>23</v>
      </c>
      <c r="G448" t="s">
        <v>2124</v>
      </c>
      <c r="H448" s="1">
        <v>46143</v>
      </c>
      <c r="I448" t="s">
        <v>1217</v>
      </c>
      <c r="J448">
        <v>1</v>
      </c>
      <c r="K448" s="1">
        <v>46174</v>
      </c>
      <c r="L448" s="8">
        <v>1000000</v>
      </c>
    </row>
    <row r="449" spans="1:12" x14ac:dyDescent="0.25">
      <c r="A449" t="s">
        <v>2121</v>
      </c>
      <c r="B449" t="s">
        <v>2199</v>
      </c>
      <c r="C449" t="s">
        <v>28</v>
      </c>
      <c r="D449" t="s">
        <v>2122</v>
      </c>
      <c r="E449" t="s">
        <v>2138</v>
      </c>
      <c r="F449">
        <v>23</v>
      </c>
      <c r="G449" t="s">
        <v>2124</v>
      </c>
      <c r="H449" s="1">
        <v>46082</v>
      </c>
      <c r="I449" t="s">
        <v>1217</v>
      </c>
      <c r="J449">
        <v>1</v>
      </c>
      <c r="K449" s="1">
        <v>46113</v>
      </c>
      <c r="L449" s="8">
        <v>40000</v>
      </c>
    </row>
    <row r="450" spans="1:12" x14ac:dyDescent="0.25">
      <c r="A450" t="s">
        <v>2121</v>
      </c>
      <c r="B450" t="s">
        <v>2199</v>
      </c>
      <c r="C450" t="s">
        <v>28</v>
      </c>
      <c r="D450" t="s">
        <v>2122</v>
      </c>
      <c r="E450" t="s">
        <v>2135</v>
      </c>
      <c r="F450">
        <v>23</v>
      </c>
      <c r="G450" t="s">
        <v>2124</v>
      </c>
      <c r="H450" s="1">
        <v>46082</v>
      </c>
      <c r="I450" t="s">
        <v>1217</v>
      </c>
      <c r="J450">
        <v>1</v>
      </c>
      <c r="K450" s="1">
        <v>46113</v>
      </c>
      <c r="L450" s="8">
        <v>2000000</v>
      </c>
    </row>
    <row r="451" spans="1:12" x14ac:dyDescent="0.25">
      <c r="A451" t="s">
        <v>2121</v>
      </c>
      <c r="B451" t="s">
        <v>2199</v>
      </c>
      <c r="C451" t="s">
        <v>28</v>
      </c>
      <c r="D451" t="s">
        <v>2122</v>
      </c>
      <c r="E451" t="s">
        <v>2132</v>
      </c>
      <c r="F451">
        <v>23</v>
      </c>
      <c r="G451" t="s">
        <v>2124</v>
      </c>
      <c r="H451" s="1">
        <v>46143</v>
      </c>
      <c r="I451" t="s">
        <v>1217</v>
      </c>
      <c r="J451">
        <v>4</v>
      </c>
      <c r="K451" t="s">
        <v>2133</v>
      </c>
      <c r="L451" s="8">
        <v>600000</v>
      </c>
    </row>
    <row r="452" spans="1:12" x14ac:dyDescent="0.25">
      <c r="A452" t="s">
        <v>2121</v>
      </c>
      <c r="B452" t="s">
        <v>2199</v>
      </c>
      <c r="C452" t="s">
        <v>28</v>
      </c>
      <c r="D452" t="s">
        <v>2122</v>
      </c>
      <c r="E452" t="s">
        <v>2139</v>
      </c>
      <c r="F452">
        <v>23</v>
      </c>
      <c r="G452" t="s">
        <v>2124</v>
      </c>
      <c r="H452" s="1">
        <v>46082</v>
      </c>
      <c r="I452" t="s">
        <v>1217</v>
      </c>
      <c r="J452">
        <v>1</v>
      </c>
      <c r="K452" s="1">
        <v>46113</v>
      </c>
      <c r="L452" s="8">
        <v>156000</v>
      </c>
    </row>
    <row r="453" spans="1:12" x14ac:dyDescent="0.25">
      <c r="A453" t="s">
        <v>2121</v>
      </c>
      <c r="B453" t="s">
        <v>2199</v>
      </c>
      <c r="C453" t="s">
        <v>28</v>
      </c>
      <c r="D453" t="s">
        <v>2122</v>
      </c>
      <c r="E453" t="s">
        <v>2127</v>
      </c>
      <c r="F453">
        <v>23</v>
      </c>
      <c r="G453" t="s">
        <v>2124</v>
      </c>
      <c r="H453" s="1">
        <v>46082</v>
      </c>
      <c r="I453" t="s">
        <v>1217</v>
      </c>
      <c r="J453">
        <v>1</v>
      </c>
      <c r="K453" s="1">
        <v>46113</v>
      </c>
      <c r="L453" s="8">
        <v>1010080</v>
      </c>
    </row>
    <row r="454" spans="1:12" x14ac:dyDescent="0.25">
      <c r="A454" t="s">
        <v>2121</v>
      </c>
      <c r="B454" t="s">
        <v>2199</v>
      </c>
      <c r="C454" t="s">
        <v>28</v>
      </c>
      <c r="D454" t="s">
        <v>2122</v>
      </c>
      <c r="E454" t="s">
        <v>2128</v>
      </c>
      <c r="F454">
        <v>23</v>
      </c>
      <c r="G454" t="s">
        <v>2124</v>
      </c>
      <c r="H454" s="1">
        <v>46082</v>
      </c>
      <c r="I454" t="s">
        <v>1217</v>
      </c>
      <c r="J454">
        <v>1</v>
      </c>
      <c r="K454" s="1">
        <v>46113</v>
      </c>
      <c r="L454" s="8">
        <v>40000</v>
      </c>
    </row>
    <row r="455" spans="1:12" x14ac:dyDescent="0.25">
      <c r="A455" t="s">
        <v>2121</v>
      </c>
      <c r="B455" t="s">
        <v>2199</v>
      </c>
      <c r="C455" t="s">
        <v>28</v>
      </c>
      <c r="D455" t="s">
        <v>2122</v>
      </c>
      <c r="E455" t="s">
        <v>512</v>
      </c>
      <c r="F455">
        <v>23</v>
      </c>
      <c r="G455" t="s">
        <v>2124</v>
      </c>
      <c r="H455" s="1">
        <v>46113</v>
      </c>
      <c r="I455" t="s">
        <v>1217</v>
      </c>
      <c r="J455">
        <v>3</v>
      </c>
      <c r="K455" t="s">
        <v>2129</v>
      </c>
      <c r="L455" s="8">
        <v>5000000</v>
      </c>
    </row>
    <row r="456" spans="1:12" x14ac:dyDescent="0.25">
      <c r="A456" t="s">
        <v>2121</v>
      </c>
      <c r="B456" t="s">
        <v>2199</v>
      </c>
      <c r="C456" t="s">
        <v>28</v>
      </c>
      <c r="D456" t="s">
        <v>2122</v>
      </c>
      <c r="E456" t="s">
        <v>2095</v>
      </c>
      <c r="F456">
        <v>23</v>
      </c>
      <c r="G456" t="s">
        <v>2124</v>
      </c>
      <c r="H456" s="1">
        <v>46082</v>
      </c>
      <c r="I456" t="s">
        <v>1217</v>
      </c>
      <c r="J456">
        <v>1</v>
      </c>
      <c r="K456" s="1">
        <v>46113</v>
      </c>
      <c r="L456" s="8">
        <v>715050</v>
      </c>
    </row>
    <row r="457" spans="1:12" x14ac:dyDescent="0.25">
      <c r="A457" t="s">
        <v>2121</v>
      </c>
      <c r="B457" t="s">
        <v>2199</v>
      </c>
      <c r="C457" t="s">
        <v>28</v>
      </c>
      <c r="D457" t="s">
        <v>2122</v>
      </c>
      <c r="E457" t="s">
        <v>1617</v>
      </c>
      <c r="F457">
        <v>23</v>
      </c>
      <c r="G457" t="s">
        <v>2124</v>
      </c>
      <c r="H457" s="1">
        <v>46143</v>
      </c>
      <c r="I457" t="s">
        <v>1217</v>
      </c>
      <c r="J457">
        <v>1</v>
      </c>
      <c r="K457" s="1">
        <v>46174</v>
      </c>
      <c r="L457" s="8">
        <v>1000000</v>
      </c>
    </row>
    <row r="458" spans="1:12" x14ac:dyDescent="0.25">
      <c r="A458" t="s">
        <v>2121</v>
      </c>
      <c r="B458" t="s">
        <v>2199</v>
      </c>
      <c r="C458" t="s">
        <v>28</v>
      </c>
      <c r="D458" t="s">
        <v>2122</v>
      </c>
      <c r="E458" t="s">
        <v>912</v>
      </c>
      <c r="F458">
        <v>23</v>
      </c>
      <c r="G458" t="s">
        <v>2124</v>
      </c>
      <c r="H458" s="1">
        <v>46082</v>
      </c>
      <c r="I458" t="s">
        <v>1217</v>
      </c>
      <c r="J458">
        <v>1</v>
      </c>
      <c r="K458" s="1">
        <v>46113</v>
      </c>
      <c r="L458" s="8">
        <v>385000</v>
      </c>
    </row>
    <row r="459" spans="1:12" x14ac:dyDescent="0.25">
      <c r="A459" t="s">
        <v>2121</v>
      </c>
      <c r="B459" t="s">
        <v>2199</v>
      </c>
      <c r="C459" t="s">
        <v>28</v>
      </c>
      <c r="D459" t="s">
        <v>2122</v>
      </c>
      <c r="E459" t="s">
        <v>288</v>
      </c>
      <c r="F459">
        <v>23</v>
      </c>
      <c r="G459" t="s">
        <v>2124</v>
      </c>
      <c r="H459" s="1">
        <v>46113</v>
      </c>
      <c r="I459" t="s">
        <v>1217</v>
      </c>
      <c r="J459">
        <v>1</v>
      </c>
      <c r="K459" s="1">
        <v>46143</v>
      </c>
      <c r="L459" s="8">
        <v>6000000</v>
      </c>
    </row>
    <row r="460" spans="1:12" x14ac:dyDescent="0.25">
      <c r="A460" t="s">
        <v>2121</v>
      </c>
      <c r="B460" t="s">
        <v>2199</v>
      </c>
      <c r="C460" t="s">
        <v>28</v>
      </c>
      <c r="D460" t="s">
        <v>2122</v>
      </c>
      <c r="E460" t="s">
        <v>2130</v>
      </c>
      <c r="F460">
        <v>23</v>
      </c>
      <c r="G460" t="s">
        <v>2124</v>
      </c>
      <c r="H460" s="1">
        <v>46143</v>
      </c>
      <c r="I460" t="s">
        <v>1217</v>
      </c>
      <c r="J460">
        <v>1</v>
      </c>
      <c r="K460" s="1">
        <v>46174</v>
      </c>
      <c r="L460" s="8">
        <v>2500000</v>
      </c>
    </row>
    <row r="461" spans="1:12" x14ac:dyDescent="0.25">
      <c r="A461" t="s">
        <v>2121</v>
      </c>
      <c r="B461" t="s">
        <v>2199</v>
      </c>
      <c r="C461" t="s">
        <v>28</v>
      </c>
      <c r="D461" t="s">
        <v>2122</v>
      </c>
      <c r="E461" t="s">
        <v>1939</v>
      </c>
      <c r="F461">
        <v>23</v>
      </c>
      <c r="G461" t="s">
        <v>2124</v>
      </c>
      <c r="H461" s="1">
        <v>46082</v>
      </c>
      <c r="I461" t="s">
        <v>1217</v>
      </c>
      <c r="J461">
        <v>1</v>
      </c>
      <c r="K461" s="1">
        <v>46113</v>
      </c>
      <c r="L461" s="8">
        <v>70000</v>
      </c>
    </row>
    <row r="462" spans="1:12" x14ac:dyDescent="0.25">
      <c r="A462" t="s">
        <v>2121</v>
      </c>
      <c r="B462" t="s">
        <v>2199</v>
      </c>
      <c r="C462" t="s">
        <v>28</v>
      </c>
      <c r="D462" t="s">
        <v>2122</v>
      </c>
      <c r="E462" t="s">
        <v>1936</v>
      </c>
      <c r="F462">
        <v>23</v>
      </c>
      <c r="G462" t="s">
        <v>2124</v>
      </c>
      <c r="H462" s="1">
        <v>46143</v>
      </c>
      <c r="I462" t="s">
        <v>1217</v>
      </c>
      <c r="J462">
        <v>1</v>
      </c>
      <c r="K462" s="1">
        <v>46174</v>
      </c>
      <c r="L462" s="8">
        <v>500000</v>
      </c>
    </row>
    <row r="463" spans="1:12" x14ac:dyDescent="0.25">
      <c r="A463" t="s">
        <v>2121</v>
      </c>
      <c r="B463" t="s">
        <v>2199</v>
      </c>
      <c r="C463" t="s">
        <v>28</v>
      </c>
      <c r="D463" t="s">
        <v>2122</v>
      </c>
      <c r="E463" t="s">
        <v>2136</v>
      </c>
      <c r="F463">
        <v>23</v>
      </c>
      <c r="G463" t="s">
        <v>2124</v>
      </c>
      <c r="H463" s="1">
        <v>46143</v>
      </c>
      <c r="I463" t="s">
        <v>1217</v>
      </c>
      <c r="J463">
        <v>1</v>
      </c>
      <c r="K463" s="1">
        <v>46174</v>
      </c>
      <c r="L463" s="8">
        <v>4000000</v>
      </c>
    </row>
    <row r="464" spans="1:12" x14ac:dyDescent="0.25">
      <c r="A464" t="s">
        <v>2121</v>
      </c>
      <c r="B464" t="s">
        <v>2199</v>
      </c>
      <c r="C464" t="s">
        <v>28</v>
      </c>
      <c r="D464" t="s">
        <v>2122</v>
      </c>
      <c r="E464" t="s">
        <v>1930</v>
      </c>
      <c r="F464">
        <v>23</v>
      </c>
      <c r="G464" t="s">
        <v>2124</v>
      </c>
      <c r="H464" s="1">
        <v>46113</v>
      </c>
      <c r="I464" t="s">
        <v>1217</v>
      </c>
      <c r="J464">
        <v>1</v>
      </c>
      <c r="K464" s="1">
        <v>46143</v>
      </c>
      <c r="L464" s="8">
        <v>1000000</v>
      </c>
    </row>
    <row r="465" spans="1:12" x14ac:dyDescent="0.25">
      <c r="A465" t="s">
        <v>2121</v>
      </c>
      <c r="B465" t="s">
        <v>2199</v>
      </c>
      <c r="C465" t="s">
        <v>28</v>
      </c>
      <c r="D465" t="s">
        <v>2122</v>
      </c>
      <c r="E465" t="s">
        <v>2137</v>
      </c>
      <c r="F465">
        <v>23</v>
      </c>
      <c r="G465" t="s">
        <v>2124</v>
      </c>
      <c r="H465" s="1">
        <v>46113</v>
      </c>
      <c r="I465" t="s">
        <v>1217</v>
      </c>
      <c r="J465">
        <v>1</v>
      </c>
      <c r="K465" s="1">
        <v>46143</v>
      </c>
      <c r="L465" s="8">
        <v>2000000</v>
      </c>
    </row>
    <row r="466" spans="1:12" x14ac:dyDescent="0.25">
      <c r="A466" t="s">
        <v>2144</v>
      </c>
      <c r="B466" t="s">
        <v>2199</v>
      </c>
      <c r="C466" t="s">
        <v>28</v>
      </c>
      <c r="D466" t="s">
        <v>2145</v>
      </c>
      <c r="E466" t="s">
        <v>359</v>
      </c>
      <c r="F466">
        <v>4</v>
      </c>
      <c r="G466" t="s">
        <v>64</v>
      </c>
      <c r="H466" s="1">
        <v>46113</v>
      </c>
      <c r="I466" t="s">
        <v>65</v>
      </c>
      <c r="J466">
        <v>1</v>
      </c>
      <c r="K466" s="1">
        <v>46113</v>
      </c>
      <c r="L466" s="8">
        <v>364000</v>
      </c>
    </row>
    <row r="467" spans="1:12" x14ac:dyDescent="0.25">
      <c r="A467" t="s">
        <v>2144</v>
      </c>
      <c r="B467" t="s">
        <v>2199</v>
      </c>
      <c r="C467" t="s">
        <v>28</v>
      </c>
      <c r="D467" t="s">
        <v>2145</v>
      </c>
      <c r="E467" t="s">
        <v>2147</v>
      </c>
      <c r="F467">
        <v>4</v>
      </c>
      <c r="G467" t="s">
        <v>64</v>
      </c>
      <c r="H467" s="1">
        <v>46113</v>
      </c>
      <c r="I467" t="s">
        <v>65</v>
      </c>
      <c r="J467">
        <v>1</v>
      </c>
      <c r="K467" s="1">
        <v>46113</v>
      </c>
      <c r="L467" s="8">
        <v>166036</v>
      </c>
    </row>
    <row r="468" spans="1:12" x14ac:dyDescent="0.25">
      <c r="A468" t="s">
        <v>2144</v>
      </c>
      <c r="B468" t="s">
        <v>2199</v>
      </c>
      <c r="C468" t="s">
        <v>28</v>
      </c>
      <c r="D468" t="s">
        <v>2145</v>
      </c>
      <c r="E468" t="s">
        <v>855</v>
      </c>
      <c r="F468">
        <v>4</v>
      </c>
      <c r="G468" t="s">
        <v>64</v>
      </c>
      <c r="H468" s="1">
        <v>46113</v>
      </c>
      <c r="I468" t="s">
        <v>65</v>
      </c>
      <c r="J468">
        <v>1</v>
      </c>
      <c r="K468" s="1">
        <v>46113</v>
      </c>
      <c r="L468" s="8">
        <v>73472</v>
      </c>
    </row>
    <row r="469" spans="1:12" x14ac:dyDescent="0.25">
      <c r="A469" t="s">
        <v>2144</v>
      </c>
      <c r="B469" t="s">
        <v>2199</v>
      </c>
      <c r="C469" t="s">
        <v>28</v>
      </c>
      <c r="D469" t="s">
        <v>2145</v>
      </c>
      <c r="E469" t="s">
        <v>2148</v>
      </c>
      <c r="F469">
        <v>4</v>
      </c>
      <c r="G469" t="s">
        <v>64</v>
      </c>
      <c r="H469" s="1">
        <v>46113</v>
      </c>
      <c r="I469" t="s">
        <v>65</v>
      </c>
      <c r="J469">
        <v>1</v>
      </c>
      <c r="K469" s="1">
        <v>46113</v>
      </c>
      <c r="L469" s="8">
        <v>1350000</v>
      </c>
    </row>
    <row r="470" spans="1:12" x14ac:dyDescent="0.25">
      <c r="A470" t="s">
        <v>2149</v>
      </c>
      <c r="B470" t="s">
        <v>2199</v>
      </c>
      <c r="C470" t="s">
        <v>28</v>
      </c>
      <c r="D470" t="s">
        <v>2150</v>
      </c>
      <c r="E470" t="s">
        <v>359</v>
      </c>
      <c r="F470">
        <v>5</v>
      </c>
      <c r="G470" t="s">
        <v>2152</v>
      </c>
      <c r="H470" s="1">
        <v>46054</v>
      </c>
      <c r="I470" t="s">
        <v>2153</v>
      </c>
      <c r="J470">
        <v>1</v>
      </c>
      <c r="K470" s="1">
        <v>46054</v>
      </c>
      <c r="L470" s="8">
        <v>647705</v>
      </c>
    </row>
    <row r="471" spans="1:12" x14ac:dyDescent="0.25">
      <c r="A471" t="s">
        <v>2149</v>
      </c>
      <c r="B471" t="s">
        <v>2199</v>
      </c>
      <c r="C471" t="s">
        <v>28</v>
      </c>
      <c r="D471" t="s">
        <v>2150</v>
      </c>
      <c r="E471" t="s">
        <v>2155</v>
      </c>
      <c r="F471">
        <v>5</v>
      </c>
      <c r="G471" t="s">
        <v>2152</v>
      </c>
      <c r="H471" s="1">
        <v>46054</v>
      </c>
      <c r="I471" t="s">
        <v>2153</v>
      </c>
      <c r="J471">
        <v>1</v>
      </c>
      <c r="K471" s="1">
        <v>46054</v>
      </c>
      <c r="L471" s="8">
        <v>4498002</v>
      </c>
    </row>
    <row r="472" spans="1:12" x14ac:dyDescent="0.25">
      <c r="A472" t="s">
        <v>2149</v>
      </c>
      <c r="B472" t="s">
        <v>2199</v>
      </c>
      <c r="C472" t="s">
        <v>28</v>
      </c>
      <c r="D472" t="s">
        <v>2150</v>
      </c>
      <c r="E472" t="s">
        <v>786</v>
      </c>
      <c r="F472">
        <v>5</v>
      </c>
      <c r="G472" t="s">
        <v>2152</v>
      </c>
      <c r="H472" s="1">
        <v>46054</v>
      </c>
      <c r="I472" t="s">
        <v>2153</v>
      </c>
      <c r="J472">
        <v>1</v>
      </c>
      <c r="K472" s="1">
        <v>46054</v>
      </c>
      <c r="L472" s="8">
        <v>438750</v>
      </c>
    </row>
    <row r="473" spans="1:12" x14ac:dyDescent="0.25">
      <c r="A473" t="s">
        <v>2149</v>
      </c>
      <c r="B473" t="s">
        <v>2199</v>
      </c>
      <c r="C473" t="s">
        <v>28</v>
      </c>
      <c r="D473" t="s">
        <v>2150</v>
      </c>
      <c r="E473" t="s">
        <v>486</v>
      </c>
      <c r="F473">
        <v>5</v>
      </c>
      <c r="G473" t="s">
        <v>2152</v>
      </c>
      <c r="H473" s="1">
        <v>46054</v>
      </c>
      <c r="I473" t="s">
        <v>2153</v>
      </c>
      <c r="J473">
        <v>1</v>
      </c>
      <c r="K473" s="1">
        <v>46054</v>
      </c>
      <c r="L473" s="8">
        <v>845559</v>
      </c>
    </row>
    <row r="474" spans="1:12" x14ac:dyDescent="0.25">
      <c r="A474" t="s">
        <v>2149</v>
      </c>
      <c r="B474" t="s">
        <v>2199</v>
      </c>
      <c r="C474" t="s">
        <v>28</v>
      </c>
      <c r="D474" t="s">
        <v>2150</v>
      </c>
      <c r="E474" t="s">
        <v>855</v>
      </c>
      <c r="F474">
        <v>5</v>
      </c>
      <c r="G474" t="s">
        <v>2152</v>
      </c>
      <c r="H474" s="1">
        <v>46054</v>
      </c>
      <c r="I474" t="s">
        <v>2153</v>
      </c>
      <c r="J474">
        <v>1</v>
      </c>
      <c r="K474" s="1">
        <v>46054</v>
      </c>
      <c r="L474" s="8">
        <v>157680</v>
      </c>
    </row>
    <row r="475" spans="1:12" x14ac:dyDescent="0.25">
      <c r="A475" t="s">
        <v>2156</v>
      </c>
      <c r="B475" t="s">
        <v>2199</v>
      </c>
      <c r="C475" t="s">
        <v>28</v>
      </c>
      <c r="D475" t="s">
        <v>2157</v>
      </c>
      <c r="E475" t="s">
        <v>786</v>
      </c>
      <c r="F475">
        <v>2</v>
      </c>
      <c r="G475" t="s">
        <v>395</v>
      </c>
      <c r="H475" s="1">
        <v>46023</v>
      </c>
      <c r="I475" t="s">
        <v>1217</v>
      </c>
      <c r="J475">
        <v>1</v>
      </c>
      <c r="K475" s="1">
        <v>46023</v>
      </c>
      <c r="L475" s="8">
        <v>791208</v>
      </c>
    </row>
    <row r="476" spans="1:12" x14ac:dyDescent="0.25">
      <c r="A476" t="s">
        <v>2156</v>
      </c>
      <c r="B476" t="s">
        <v>2199</v>
      </c>
      <c r="C476" t="s">
        <v>28</v>
      </c>
      <c r="D476" t="s">
        <v>2157</v>
      </c>
      <c r="E476" t="s">
        <v>1989</v>
      </c>
      <c r="F476">
        <v>2</v>
      </c>
      <c r="G476" t="s">
        <v>395</v>
      </c>
      <c r="H476" s="1">
        <v>46023</v>
      </c>
      <c r="I476" t="s">
        <v>1217</v>
      </c>
      <c r="J476">
        <v>1</v>
      </c>
      <c r="K476" s="1">
        <v>46023</v>
      </c>
      <c r="L476" s="8">
        <v>30000</v>
      </c>
    </row>
    <row r="477" spans="1:12" x14ac:dyDescent="0.25">
      <c r="A477" t="s">
        <v>2166</v>
      </c>
      <c r="B477" t="s">
        <v>2199</v>
      </c>
      <c r="C477" t="s">
        <v>28</v>
      </c>
      <c r="D477" t="s">
        <v>2167</v>
      </c>
      <c r="E477" t="s">
        <v>1550</v>
      </c>
      <c r="F477">
        <v>3</v>
      </c>
      <c r="G477" t="s">
        <v>64</v>
      </c>
      <c r="H477" s="1">
        <v>46054</v>
      </c>
      <c r="I477" t="s">
        <v>65</v>
      </c>
      <c r="J477">
        <v>1</v>
      </c>
      <c r="K477" s="1">
        <v>46054</v>
      </c>
      <c r="L477" s="8">
        <v>40000</v>
      </c>
    </row>
    <row r="478" spans="1:12" x14ac:dyDescent="0.25">
      <c r="A478" t="s">
        <v>2166</v>
      </c>
      <c r="B478" t="s">
        <v>2199</v>
      </c>
      <c r="C478" t="s">
        <v>28</v>
      </c>
      <c r="D478" t="s">
        <v>2167</v>
      </c>
      <c r="E478" t="s">
        <v>486</v>
      </c>
      <c r="F478">
        <v>3</v>
      </c>
      <c r="G478" t="s">
        <v>64</v>
      </c>
      <c r="H478" s="1">
        <v>46054</v>
      </c>
      <c r="I478" t="s">
        <v>65</v>
      </c>
      <c r="J478">
        <v>1</v>
      </c>
      <c r="K478" s="1">
        <v>46054</v>
      </c>
      <c r="L478" s="8">
        <v>275496</v>
      </c>
    </row>
    <row r="479" spans="1:12" x14ac:dyDescent="0.25">
      <c r="A479" t="s">
        <v>2166</v>
      </c>
      <c r="B479" t="s">
        <v>2199</v>
      </c>
      <c r="C479" t="s">
        <v>28</v>
      </c>
      <c r="D479" t="s">
        <v>2167</v>
      </c>
      <c r="E479" t="s">
        <v>832</v>
      </c>
      <c r="F479">
        <v>3</v>
      </c>
      <c r="G479" t="s">
        <v>64</v>
      </c>
      <c r="H479" s="1">
        <v>46054</v>
      </c>
      <c r="I479" t="s">
        <v>65</v>
      </c>
      <c r="J479">
        <v>1</v>
      </c>
      <c r="K479" s="1">
        <v>46054</v>
      </c>
      <c r="L479" s="8">
        <v>80000</v>
      </c>
    </row>
    <row r="480" spans="1:12" x14ac:dyDescent="0.25">
      <c r="A480" t="s">
        <v>2169</v>
      </c>
      <c r="B480" t="s">
        <v>2199</v>
      </c>
      <c r="C480" t="s">
        <v>28</v>
      </c>
      <c r="D480" t="s">
        <v>2170</v>
      </c>
      <c r="E480" t="s">
        <v>359</v>
      </c>
      <c r="F480">
        <v>3</v>
      </c>
      <c r="G480" t="s">
        <v>2171</v>
      </c>
      <c r="H480" s="1">
        <v>46054</v>
      </c>
      <c r="I480" t="s">
        <v>2172</v>
      </c>
      <c r="J480">
        <v>1</v>
      </c>
      <c r="K480" s="1">
        <v>46054</v>
      </c>
      <c r="L480" s="8">
        <v>781840</v>
      </c>
    </row>
    <row r="481" spans="1:12" x14ac:dyDescent="0.25">
      <c r="A481" t="s">
        <v>2169</v>
      </c>
      <c r="B481" t="s">
        <v>2199</v>
      </c>
      <c r="C481" t="s">
        <v>28</v>
      </c>
      <c r="D481" t="s">
        <v>2170</v>
      </c>
      <c r="E481" t="s">
        <v>786</v>
      </c>
      <c r="F481">
        <v>3</v>
      </c>
      <c r="G481" t="s">
        <v>2171</v>
      </c>
      <c r="H481" s="1">
        <v>46054</v>
      </c>
      <c r="I481" t="s">
        <v>2172</v>
      </c>
      <c r="J481">
        <v>1</v>
      </c>
      <c r="K481" s="1">
        <v>46054</v>
      </c>
      <c r="L481" s="8">
        <v>579758</v>
      </c>
    </row>
    <row r="482" spans="1:12" x14ac:dyDescent="0.25">
      <c r="A482" t="s">
        <v>2169</v>
      </c>
      <c r="B482" t="s">
        <v>2199</v>
      </c>
      <c r="C482" t="s">
        <v>28</v>
      </c>
      <c r="D482" t="s">
        <v>2170</v>
      </c>
      <c r="E482" t="s">
        <v>855</v>
      </c>
      <c r="F482">
        <v>3</v>
      </c>
      <c r="G482" t="s">
        <v>2171</v>
      </c>
      <c r="H482" s="1">
        <v>46054</v>
      </c>
      <c r="I482" t="s">
        <v>2172</v>
      </c>
      <c r="J482">
        <v>1</v>
      </c>
      <c r="K482" s="1">
        <v>46054</v>
      </c>
      <c r="L482" s="8">
        <v>165750</v>
      </c>
    </row>
    <row r="483" spans="1:12" x14ac:dyDescent="0.25">
      <c r="A483" t="s">
        <v>2174</v>
      </c>
      <c r="B483" t="s">
        <v>2199</v>
      </c>
      <c r="C483" t="s">
        <v>28</v>
      </c>
      <c r="D483" t="s">
        <v>2175</v>
      </c>
      <c r="E483" t="s">
        <v>2106</v>
      </c>
      <c r="F483">
        <v>2</v>
      </c>
      <c r="G483" t="s">
        <v>1893</v>
      </c>
      <c r="H483" s="1">
        <v>46023</v>
      </c>
      <c r="I483" t="s">
        <v>2177</v>
      </c>
      <c r="J483">
        <v>1</v>
      </c>
      <c r="K483" s="1">
        <v>46023</v>
      </c>
      <c r="L483" s="8">
        <v>250000</v>
      </c>
    </row>
    <row r="484" spans="1:12" x14ac:dyDescent="0.25">
      <c r="A484" t="s">
        <v>2174</v>
      </c>
      <c r="B484" t="s">
        <v>2199</v>
      </c>
      <c r="C484" t="s">
        <v>28</v>
      </c>
      <c r="D484" t="s">
        <v>2175</v>
      </c>
      <c r="E484" t="s">
        <v>486</v>
      </c>
      <c r="F484">
        <v>2</v>
      </c>
      <c r="G484" t="s">
        <v>1893</v>
      </c>
      <c r="H484" s="1">
        <v>46023</v>
      </c>
      <c r="I484" t="s">
        <v>2177</v>
      </c>
      <c r="J484">
        <v>1</v>
      </c>
      <c r="K484" s="1">
        <v>46023</v>
      </c>
      <c r="L484" s="8">
        <v>239000</v>
      </c>
    </row>
    <row r="485" spans="1:12" x14ac:dyDescent="0.25">
      <c r="A485" t="s">
        <v>2178</v>
      </c>
      <c r="B485" t="s">
        <v>2199</v>
      </c>
      <c r="C485" t="s">
        <v>28</v>
      </c>
      <c r="D485" t="s">
        <v>2179</v>
      </c>
      <c r="E485" t="s">
        <v>760</v>
      </c>
      <c r="F485">
        <v>1</v>
      </c>
      <c r="G485" t="s">
        <v>950</v>
      </c>
      <c r="H485" s="1">
        <v>46113</v>
      </c>
      <c r="I485" t="s">
        <v>951</v>
      </c>
      <c r="J485">
        <v>1</v>
      </c>
      <c r="K485" s="1">
        <v>46113</v>
      </c>
      <c r="L485" s="8">
        <v>57500000</v>
      </c>
    </row>
    <row r="486" spans="1:12" x14ac:dyDescent="0.25">
      <c r="A486" t="s">
        <v>2183</v>
      </c>
      <c r="B486" t="s">
        <v>2199</v>
      </c>
      <c r="C486" t="s">
        <v>28</v>
      </c>
      <c r="D486" t="s">
        <v>2184</v>
      </c>
      <c r="E486" t="s">
        <v>2188</v>
      </c>
      <c r="F486">
        <v>11</v>
      </c>
      <c r="G486" t="s">
        <v>761</v>
      </c>
      <c r="H486" s="1">
        <v>46143</v>
      </c>
      <c r="I486" t="s">
        <v>762</v>
      </c>
      <c r="J486">
        <v>1</v>
      </c>
      <c r="K486" s="1">
        <v>46143</v>
      </c>
      <c r="L486" s="8">
        <v>960000</v>
      </c>
    </row>
    <row r="487" spans="1:12" x14ac:dyDescent="0.25">
      <c r="A487" t="s">
        <v>2183</v>
      </c>
      <c r="B487" t="s">
        <v>2199</v>
      </c>
      <c r="C487" t="s">
        <v>28</v>
      </c>
      <c r="D487" t="s">
        <v>2184</v>
      </c>
      <c r="E487" t="s">
        <v>2191</v>
      </c>
      <c r="F487">
        <v>11</v>
      </c>
      <c r="G487" t="s">
        <v>761</v>
      </c>
      <c r="H487" s="1">
        <v>46143</v>
      </c>
      <c r="I487" t="s">
        <v>762</v>
      </c>
      <c r="J487">
        <v>1</v>
      </c>
      <c r="K487" s="1">
        <v>46143</v>
      </c>
      <c r="L487" s="8">
        <v>500004</v>
      </c>
    </row>
    <row r="488" spans="1:12" x14ac:dyDescent="0.25">
      <c r="A488" t="s">
        <v>2183</v>
      </c>
      <c r="B488" t="s">
        <v>2199</v>
      </c>
      <c r="C488" t="s">
        <v>28</v>
      </c>
      <c r="D488" t="s">
        <v>2184</v>
      </c>
      <c r="E488" t="s">
        <v>2187</v>
      </c>
      <c r="F488">
        <v>11</v>
      </c>
      <c r="G488" t="s">
        <v>761</v>
      </c>
      <c r="H488" s="1">
        <v>46143</v>
      </c>
      <c r="I488" t="s">
        <v>762</v>
      </c>
      <c r="J488">
        <v>1</v>
      </c>
      <c r="K488" s="1">
        <v>46143</v>
      </c>
      <c r="L488" s="8">
        <v>1201970</v>
      </c>
    </row>
    <row r="489" spans="1:12" x14ac:dyDescent="0.25">
      <c r="A489" t="s">
        <v>2183</v>
      </c>
      <c r="B489" t="s">
        <v>2199</v>
      </c>
      <c r="C489" t="s">
        <v>28</v>
      </c>
      <c r="D489" t="s">
        <v>2184</v>
      </c>
      <c r="E489" t="s">
        <v>855</v>
      </c>
      <c r="F489">
        <v>11</v>
      </c>
      <c r="G489" t="s">
        <v>761</v>
      </c>
      <c r="H489" s="1">
        <v>46143</v>
      </c>
      <c r="I489" t="s">
        <v>762</v>
      </c>
      <c r="J489">
        <v>1</v>
      </c>
      <c r="K489" s="1">
        <v>46143</v>
      </c>
      <c r="L489" s="8">
        <v>2563440</v>
      </c>
    </row>
    <row r="490" spans="1:12" x14ac:dyDescent="0.25">
      <c r="A490" t="s">
        <v>2183</v>
      </c>
      <c r="B490" t="s">
        <v>2199</v>
      </c>
      <c r="C490" t="s">
        <v>28</v>
      </c>
      <c r="D490" t="s">
        <v>2184</v>
      </c>
      <c r="E490" t="s">
        <v>2190</v>
      </c>
      <c r="F490">
        <v>11</v>
      </c>
      <c r="G490" t="s">
        <v>761</v>
      </c>
      <c r="H490" s="1">
        <v>46143</v>
      </c>
      <c r="I490" t="s">
        <v>762</v>
      </c>
      <c r="J490">
        <v>1</v>
      </c>
      <c r="K490" s="1">
        <v>46143</v>
      </c>
      <c r="L490" s="8">
        <v>549000</v>
      </c>
    </row>
    <row r="491" spans="1:12" x14ac:dyDescent="0.25">
      <c r="A491" t="s">
        <v>2183</v>
      </c>
      <c r="B491" t="s">
        <v>2199</v>
      </c>
      <c r="C491" t="s">
        <v>28</v>
      </c>
      <c r="D491" t="s">
        <v>2184</v>
      </c>
      <c r="E491" t="s">
        <v>2194</v>
      </c>
      <c r="F491">
        <v>11</v>
      </c>
      <c r="G491" t="s">
        <v>761</v>
      </c>
      <c r="H491" s="1">
        <v>46143</v>
      </c>
      <c r="I491" t="s">
        <v>762</v>
      </c>
      <c r="J491">
        <v>1</v>
      </c>
      <c r="K491" s="1">
        <v>46143</v>
      </c>
      <c r="L491" s="8">
        <v>55008</v>
      </c>
    </row>
    <row r="492" spans="1:12" x14ac:dyDescent="0.25">
      <c r="A492" t="s">
        <v>2183</v>
      </c>
      <c r="B492" t="s">
        <v>2199</v>
      </c>
      <c r="C492" t="s">
        <v>28</v>
      </c>
      <c r="D492" t="s">
        <v>2184</v>
      </c>
      <c r="E492" t="s">
        <v>2193</v>
      </c>
      <c r="F492">
        <v>11</v>
      </c>
      <c r="G492" t="s">
        <v>761</v>
      </c>
      <c r="H492" s="1">
        <v>46143</v>
      </c>
      <c r="I492" t="s">
        <v>762</v>
      </c>
      <c r="J492">
        <v>1</v>
      </c>
      <c r="K492" s="1">
        <v>46143</v>
      </c>
      <c r="L492" s="8">
        <v>120000</v>
      </c>
    </row>
    <row r="493" spans="1:12" x14ac:dyDescent="0.25">
      <c r="A493" t="s">
        <v>2183</v>
      </c>
      <c r="B493" t="s">
        <v>2199</v>
      </c>
      <c r="C493" t="s">
        <v>28</v>
      </c>
      <c r="D493" t="s">
        <v>2184</v>
      </c>
      <c r="E493" t="s">
        <v>2192</v>
      </c>
      <c r="F493">
        <v>11</v>
      </c>
      <c r="G493" t="s">
        <v>761</v>
      </c>
      <c r="H493" s="1">
        <v>46143</v>
      </c>
      <c r="I493" t="s">
        <v>762</v>
      </c>
      <c r="J493">
        <v>1</v>
      </c>
      <c r="K493" s="1">
        <v>46143</v>
      </c>
      <c r="L493" s="8">
        <v>290017</v>
      </c>
    </row>
    <row r="494" spans="1:12" x14ac:dyDescent="0.25">
      <c r="A494" t="s">
        <v>2183</v>
      </c>
      <c r="B494" t="s">
        <v>2199</v>
      </c>
      <c r="C494" t="s">
        <v>28</v>
      </c>
      <c r="D494" t="s">
        <v>2184</v>
      </c>
      <c r="E494" t="s">
        <v>2189</v>
      </c>
      <c r="F494">
        <v>11</v>
      </c>
      <c r="G494" t="s">
        <v>761</v>
      </c>
      <c r="H494" s="1">
        <v>46143</v>
      </c>
      <c r="I494" t="s">
        <v>762</v>
      </c>
      <c r="J494">
        <v>1</v>
      </c>
      <c r="K494" s="1">
        <v>46143</v>
      </c>
      <c r="L494" s="8">
        <v>948047</v>
      </c>
    </row>
    <row r="495" spans="1:12" x14ac:dyDescent="0.25">
      <c r="A495" t="s">
        <v>2183</v>
      </c>
      <c r="B495" t="s">
        <v>2199</v>
      </c>
      <c r="C495" t="s">
        <v>28</v>
      </c>
      <c r="D495" t="s">
        <v>2184</v>
      </c>
      <c r="E495" t="s">
        <v>2186</v>
      </c>
      <c r="F495">
        <v>11</v>
      </c>
      <c r="G495" t="s">
        <v>761</v>
      </c>
      <c r="H495" s="1">
        <v>46143</v>
      </c>
      <c r="I495" t="s">
        <v>762</v>
      </c>
      <c r="J495">
        <v>1</v>
      </c>
      <c r="K495" s="1">
        <v>46143</v>
      </c>
      <c r="L495" s="8">
        <v>4093285</v>
      </c>
    </row>
    <row r="496" spans="1:12" x14ac:dyDescent="0.25">
      <c r="A496" t="s">
        <v>2183</v>
      </c>
      <c r="B496" t="s">
        <v>2199</v>
      </c>
      <c r="C496" t="s">
        <v>28</v>
      </c>
      <c r="D496" t="s">
        <v>2184</v>
      </c>
      <c r="E496" t="s">
        <v>2195</v>
      </c>
      <c r="F496">
        <v>11</v>
      </c>
      <c r="G496" t="s">
        <v>761</v>
      </c>
      <c r="H496" s="1">
        <v>46143</v>
      </c>
      <c r="I496" t="s">
        <v>762</v>
      </c>
      <c r="J496">
        <v>1</v>
      </c>
      <c r="K496" s="1">
        <v>46143</v>
      </c>
      <c r="L496" s="8">
        <v>30000</v>
      </c>
    </row>
    <row r="497" spans="1:12" x14ac:dyDescent="0.25">
      <c r="A497" t="s">
        <v>251</v>
      </c>
      <c r="B497" t="s">
        <v>2196</v>
      </c>
      <c r="C497" t="s">
        <v>28</v>
      </c>
      <c r="D497" t="s">
        <v>253</v>
      </c>
      <c r="E497" t="s">
        <v>263</v>
      </c>
      <c r="F497">
        <v>14</v>
      </c>
      <c r="G497" t="s">
        <v>257</v>
      </c>
      <c r="H497" s="1">
        <v>45717</v>
      </c>
      <c r="I497" t="s">
        <v>258</v>
      </c>
      <c r="J497">
        <v>2</v>
      </c>
      <c r="K497" t="s">
        <v>264</v>
      </c>
      <c r="L497" s="8">
        <v>7000000</v>
      </c>
    </row>
    <row r="498" spans="1:12" x14ac:dyDescent="0.25">
      <c r="A498" t="s">
        <v>251</v>
      </c>
      <c r="B498" t="s">
        <v>2196</v>
      </c>
      <c r="C498" t="s">
        <v>28</v>
      </c>
      <c r="D498" t="s">
        <v>253</v>
      </c>
      <c r="E498" t="s">
        <v>261</v>
      </c>
      <c r="F498">
        <v>14</v>
      </c>
      <c r="G498" t="s">
        <v>257</v>
      </c>
      <c r="H498" s="1">
        <v>45717</v>
      </c>
      <c r="I498" t="s">
        <v>258</v>
      </c>
      <c r="J498">
        <v>4</v>
      </c>
      <c r="K498" t="s">
        <v>262</v>
      </c>
      <c r="L498" s="8">
        <v>71900000</v>
      </c>
    </row>
    <row r="499" spans="1:12" x14ac:dyDescent="0.25">
      <c r="A499" t="s">
        <v>251</v>
      </c>
      <c r="B499" t="s">
        <v>2196</v>
      </c>
      <c r="C499" t="s">
        <v>28</v>
      </c>
      <c r="D499" t="s">
        <v>253</v>
      </c>
      <c r="E499" t="s">
        <v>267</v>
      </c>
      <c r="F499">
        <v>14</v>
      </c>
      <c r="G499" t="s">
        <v>257</v>
      </c>
      <c r="H499" s="1">
        <v>45717</v>
      </c>
      <c r="I499" t="s">
        <v>258</v>
      </c>
      <c r="J499">
        <v>4</v>
      </c>
      <c r="K499" t="s">
        <v>268</v>
      </c>
      <c r="L499" s="8">
        <v>24820000</v>
      </c>
    </row>
    <row r="500" spans="1:12" x14ac:dyDescent="0.25">
      <c r="A500" t="s">
        <v>251</v>
      </c>
      <c r="B500" t="s">
        <v>2196</v>
      </c>
      <c r="C500" t="s">
        <v>28</v>
      </c>
      <c r="D500" t="s">
        <v>253</v>
      </c>
      <c r="E500" t="s">
        <v>255</v>
      </c>
      <c r="F500">
        <v>14</v>
      </c>
      <c r="G500" t="s">
        <v>257</v>
      </c>
      <c r="H500" s="1">
        <v>45717</v>
      </c>
      <c r="I500" t="s">
        <v>258</v>
      </c>
      <c r="J500">
        <v>7</v>
      </c>
      <c r="K500" t="s">
        <v>256</v>
      </c>
      <c r="L500" s="8">
        <v>20800000</v>
      </c>
    </row>
    <row r="501" spans="1:12" x14ac:dyDescent="0.25">
      <c r="A501" t="s">
        <v>251</v>
      </c>
      <c r="B501" t="s">
        <v>2196</v>
      </c>
      <c r="C501" t="s">
        <v>28</v>
      </c>
      <c r="D501" t="s">
        <v>253</v>
      </c>
      <c r="E501" t="s">
        <v>265</v>
      </c>
      <c r="F501">
        <v>14</v>
      </c>
      <c r="G501" t="s">
        <v>257</v>
      </c>
      <c r="H501" s="1">
        <v>45717</v>
      </c>
      <c r="I501" t="s">
        <v>258</v>
      </c>
      <c r="J501">
        <v>2</v>
      </c>
      <c r="K501" t="s">
        <v>266</v>
      </c>
      <c r="L501" s="8">
        <v>45150000</v>
      </c>
    </row>
    <row r="502" spans="1:12" x14ac:dyDescent="0.25">
      <c r="A502" t="s">
        <v>251</v>
      </c>
      <c r="B502" t="s">
        <v>2196</v>
      </c>
      <c r="C502" t="s">
        <v>28</v>
      </c>
      <c r="D502" t="s">
        <v>253</v>
      </c>
      <c r="E502" t="s">
        <v>269</v>
      </c>
      <c r="F502">
        <v>14</v>
      </c>
      <c r="G502" t="s">
        <v>257</v>
      </c>
      <c r="H502" s="1">
        <v>45717</v>
      </c>
      <c r="I502" t="s">
        <v>258</v>
      </c>
      <c r="J502">
        <v>6</v>
      </c>
      <c r="K502" t="s">
        <v>270</v>
      </c>
      <c r="L502" s="8">
        <v>23200001</v>
      </c>
    </row>
    <row r="503" spans="1:12" x14ac:dyDescent="0.25">
      <c r="A503" t="s">
        <v>251</v>
      </c>
      <c r="B503" t="s">
        <v>2196</v>
      </c>
      <c r="C503" t="s">
        <v>28</v>
      </c>
      <c r="D503" t="s">
        <v>253</v>
      </c>
      <c r="E503" t="s">
        <v>271</v>
      </c>
      <c r="F503">
        <v>14</v>
      </c>
      <c r="G503" t="s">
        <v>257</v>
      </c>
      <c r="H503" s="1">
        <v>45717</v>
      </c>
      <c r="I503" t="s">
        <v>258</v>
      </c>
      <c r="J503">
        <v>4</v>
      </c>
      <c r="K503" t="s">
        <v>256</v>
      </c>
      <c r="L503" s="8">
        <v>81500000</v>
      </c>
    </row>
    <row r="504" spans="1:12" x14ac:dyDescent="0.25">
      <c r="A504" t="s">
        <v>251</v>
      </c>
      <c r="B504" t="s">
        <v>2196</v>
      </c>
      <c r="C504" t="s">
        <v>28</v>
      </c>
      <c r="D504" t="s">
        <v>253</v>
      </c>
      <c r="E504" t="s">
        <v>275</v>
      </c>
      <c r="F504">
        <v>14</v>
      </c>
      <c r="G504" t="s">
        <v>257</v>
      </c>
      <c r="H504" s="1">
        <v>45717</v>
      </c>
      <c r="I504" t="s">
        <v>258</v>
      </c>
      <c r="J504">
        <v>8</v>
      </c>
      <c r="K504" t="s">
        <v>276</v>
      </c>
      <c r="L504" s="8">
        <v>45800000</v>
      </c>
    </row>
    <row r="505" spans="1:12" x14ac:dyDescent="0.25">
      <c r="A505" t="s">
        <v>251</v>
      </c>
      <c r="B505" t="s">
        <v>2196</v>
      </c>
      <c r="C505" t="s">
        <v>28</v>
      </c>
      <c r="D505" t="s">
        <v>253</v>
      </c>
      <c r="E505" t="s">
        <v>272</v>
      </c>
      <c r="F505">
        <v>14</v>
      </c>
      <c r="G505" t="s">
        <v>257</v>
      </c>
      <c r="H505" s="1">
        <v>45717</v>
      </c>
      <c r="I505" t="s">
        <v>258</v>
      </c>
      <c r="J505">
        <v>8</v>
      </c>
      <c r="K505" t="s">
        <v>273</v>
      </c>
      <c r="L505" s="8">
        <v>13950000</v>
      </c>
    </row>
    <row r="506" spans="1:12" x14ac:dyDescent="0.25">
      <c r="A506" t="s">
        <v>251</v>
      </c>
      <c r="B506" t="s">
        <v>2196</v>
      </c>
      <c r="C506" t="s">
        <v>28</v>
      </c>
      <c r="D506" t="s">
        <v>253</v>
      </c>
      <c r="E506" t="s">
        <v>281</v>
      </c>
      <c r="F506">
        <v>14</v>
      </c>
      <c r="G506" t="s">
        <v>257</v>
      </c>
      <c r="H506" s="1">
        <v>45809</v>
      </c>
      <c r="I506" t="s">
        <v>258</v>
      </c>
      <c r="J506">
        <v>2</v>
      </c>
      <c r="K506" t="s">
        <v>282</v>
      </c>
      <c r="L506" s="8">
        <v>225000</v>
      </c>
    </row>
    <row r="507" spans="1:12" x14ac:dyDescent="0.25">
      <c r="A507" t="s">
        <v>251</v>
      </c>
      <c r="B507" t="s">
        <v>2196</v>
      </c>
      <c r="C507" t="s">
        <v>28</v>
      </c>
      <c r="D507" t="s">
        <v>253</v>
      </c>
      <c r="E507" t="s">
        <v>277</v>
      </c>
      <c r="F507">
        <v>14</v>
      </c>
      <c r="G507" t="s">
        <v>257</v>
      </c>
      <c r="H507" s="1">
        <v>45717</v>
      </c>
      <c r="I507" t="s">
        <v>258</v>
      </c>
      <c r="J507">
        <v>24</v>
      </c>
      <c r="K507" t="s">
        <v>278</v>
      </c>
      <c r="L507" s="8">
        <v>21279996</v>
      </c>
    </row>
    <row r="508" spans="1:12" x14ac:dyDescent="0.25">
      <c r="A508" t="s">
        <v>568</v>
      </c>
      <c r="B508" t="s">
        <v>2199</v>
      </c>
      <c r="C508" t="s">
        <v>567</v>
      </c>
      <c r="D508" t="s">
        <v>570</v>
      </c>
      <c r="E508" t="s">
        <v>583</v>
      </c>
      <c r="F508">
        <v>8</v>
      </c>
      <c r="G508" t="s">
        <v>573</v>
      </c>
      <c r="H508" s="1">
        <v>46327</v>
      </c>
      <c r="I508" t="s">
        <v>574</v>
      </c>
      <c r="J508">
        <v>1</v>
      </c>
      <c r="K508" s="1">
        <v>46357</v>
      </c>
      <c r="L508" s="8">
        <v>18000000</v>
      </c>
    </row>
    <row r="509" spans="1:12" x14ac:dyDescent="0.25">
      <c r="A509" t="s">
        <v>568</v>
      </c>
      <c r="B509" t="s">
        <v>2199</v>
      </c>
      <c r="C509" t="s">
        <v>567</v>
      </c>
      <c r="D509" t="s">
        <v>570</v>
      </c>
      <c r="E509" t="s">
        <v>577</v>
      </c>
      <c r="F509">
        <v>8</v>
      </c>
      <c r="G509" t="s">
        <v>573</v>
      </c>
      <c r="H509" s="1">
        <v>46174</v>
      </c>
      <c r="I509" t="s">
        <v>574</v>
      </c>
      <c r="J509">
        <v>1</v>
      </c>
      <c r="K509" s="1">
        <v>46174</v>
      </c>
      <c r="L509" s="8">
        <v>1000000</v>
      </c>
    </row>
    <row r="510" spans="1:12" x14ac:dyDescent="0.25">
      <c r="A510" t="s">
        <v>568</v>
      </c>
      <c r="B510" t="s">
        <v>2199</v>
      </c>
      <c r="C510" t="s">
        <v>567</v>
      </c>
      <c r="D510" t="s">
        <v>570</v>
      </c>
      <c r="E510" t="s">
        <v>578</v>
      </c>
      <c r="F510">
        <v>8</v>
      </c>
      <c r="G510" t="s">
        <v>573</v>
      </c>
      <c r="H510" s="1">
        <v>46174</v>
      </c>
      <c r="I510" t="s">
        <v>574</v>
      </c>
      <c r="J510">
        <v>1</v>
      </c>
      <c r="K510" s="1">
        <v>46174</v>
      </c>
      <c r="L510" s="8">
        <v>2000000</v>
      </c>
    </row>
    <row r="511" spans="1:12" x14ac:dyDescent="0.25">
      <c r="A511" t="s">
        <v>568</v>
      </c>
      <c r="B511" t="s">
        <v>2199</v>
      </c>
      <c r="C511" t="s">
        <v>567</v>
      </c>
      <c r="D511" t="s">
        <v>570</v>
      </c>
      <c r="E511" t="s">
        <v>580</v>
      </c>
      <c r="F511">
        <v>8</v>
      </c>
      <c r="G511" t="s">
        <v>573</v>
      </c>
      <c r="H511" s="1">
        <v>46296</v>
      </c>
      <c r="I511" t="s">
        <v>574</v>
      </c>
      <c r="J511">
        <v>1</v>
      </c>
      <c r="K511" s="1">
        <v>46296</v>
      </c>
      <c r="L511" s="8">
        <v>35000000</v>
      </c>
    </row>
    <row r="512" spans="1:12" x14ac:dyDescent="0.25">
      <c r="A512" t="s">
        <v>568</v>
      </c>
      <c r="B512" t="s">
        <v>2199</v>
      </c>
      <c r="C512" t="s">
        <v>567</v>
      </c>
      <c r="D512" t="s">
        <v>570</v>
      </c>
      <c r="E512" t="s">
        <v>579</v>
      </c>
      <c r="F512">
        <v>8</v>
      </c>
      <c r="G512" t="s">
        <v>573</v>
      </c>
      <c r="H512" s="1">
        <v>46266</v>
      </c>
      <c r="I512" t="s">
        <v>574</v>
      </c>
      <c r="J512">
        <v>1</v>
      </c>
      <c r="K512" s="1">
        <v>46266</v>
      </c>
      <c r="L512" s="8">
        <v>25000000</v>
      </c>
    </row>
    <row r="513" spans="1:12" x14ac:dyDescent="0.25">
      <c r="A513" t="s">
        <v>568</v>
      </c>
      <c r="B513" t="s">
        <v>2199</v>
      </c>
      <c r="C513" t="s">
        <v>567</v>
      </c>
      <c r="D513" t="s">
        <v>570</v>
      </c>
      <c r="E513" t="s">
        <v>582</v>
      </c>
      <c r="F513">
        <v>8</v>
      </c>
      <c r="G513" t="s">
        <v>573</v>
      </c>
      <c r="H513" s="1">
        <v>46327</v>
      </c>
      <c r="I513" t="s">
        <v>574</v>
      </c>
      <c r="J513">
        <v>1</v>
      </c>
      <c r="K513" s="1">
        <v>46357</v>
      </c>
      <c r="L513" s="8">
        <v>20000000</v>
      </c>
    </row>
    <row r="514" spans="1:12" x14ac:dyDescent="0.25">
      <c r="A514" t="s">
        <v>568</v>
      </c>
      <c r="B514" t="s">
        <v>2199</v>
      </c>
      <c r="C514" t="s">
        <v>567</v>
      </c>
      <c r="D514" t="s">
        <v>570</v>
      </c>
      <c r="E514" t="s">
        <v>581</v>
      </c>
      <c r="F514">
        <v>8</v>
      </c>
      <c r="G514" t="s">
        <v>573</v>
      </c>
      <c r="H514" s="1">
        <v>46327</v>
      </c>
      <c r="I514" t="s">
        <v>574</v>
      </c>
      <c r="J514">
        <v>1</v>
      </c>
      <c r="K514" s="1">
        <v>46327</v>
      </c>
      <c r="L514" s="8">
        <v>15000000</v>
      </c>
    </row>
    <row r="515" spans="1:12" x14ac:dyDescent="0.25">
      <c r="A515" t="s">
        <v>568</v>
      </c>
      <c r="B515" t="s">
        <v>2199</v>
      </c>
      <c r="C515" t="s">
        <v>567</v>
      </c>
      <c r="D515" t="s">
        <v>570</v>
      </c>
      <c r="E515" t="s">
        <v>572</v>
      </c>
      <c r="F515">
        <v>8</v>
      </c>
      <c r="G515" t="s">
        <v>573</v>
      </c>
      <c r="H515" s="1">
        <v>46113</v>
      </c>
      <c r="I515" t="s">
        <v>574</v>
      </c>
      <c r="J515">
        <v>1</v>
      </c>
      <c r="K515" s="1">
        <v>46113</v>
      </c>
      <c r="L515" s="8">
        <v>40000000</v>
      </c>
    </row>
    <row r="516" spans="1:12" x14ac:dyDescent="0.25">
      <c r="A516" t="s">
        <v>1369</v>
      </c>
      <c r="B516" t="s">
        <v>2199</v>
      </c>
      <c r="C516" t="s">
        <v>1238</v>
      </c>
      <c r="D516" t="s">
        <v>1370</v>
      </c>
      <c r="E516" t="s">
        <v>1175</v>
      </c>
      <c r="F516">
        <v>2</v>
      </c>
      <c r="G516" t="s">
        <v>1299</v>
      </c>
      <c r="H516" s="1">
        <v>46113</v>
      </c>
      <c r="I516" t="s">
        <v>1300</v>
      </c>
      <c r="J516">
        <v>1</v>
      </c>
      <c r="K516" s="1">
        <v>46113</v>
      </c>
      <c r="L516" s="8">
        <v>704255000</v>
      </c>
    </row>
    <row r="517" spans="1:12" x14ac:dyDescent="0.25">
      <c r="A517" t="s">
        <v>1369</v>
      </c>
      <c r="B517" t="s">
        <v>2199</v>
      </c>
      <c r="C517" t="s">
        <v>1238</v>
      </c>
      <c r="D517" t="s">
        <v>1370</v>
      </c>
      <c r="E517" t="s">
        <v>1303</v>
      </c>
      <c r="F517">
        <v>2</v>
      </c>
      <c r="G517" t="s">
        <v>1299</v>
      </c>
      <c r="H517" s="1">
        <v>46113</v>
      </c>
      <c r="I517" t="s">
        <v>1300</v>
      </c>
      <c r="J517">
        <v>1</v>
      </c>
      <c r="K517" s="1">
        <v>46113</v>
      </c>
      <c r="L517" s="8">
        <v>874576000</v>
      </c>
    </row>
    <row r="518" spans="1:12" x14ac:dyDescent="0.25">
      <c r="A518" t="s">
        <v>1385</v>
      </c>
      <c r="B518" t="s">
        <v>2199</v>
      </c>
      <c r="C518" t="s">
        <v>1238</v>
      </c>
      <c r="D518" t="s">
        <v>1386</v>
      </c>
      <c r="E518" t="s">
        <v>1175</v>
      </c>
      <c r="F518">
        <v>2</v>
      </c>
      <c r="G518" t="s">
        <v>1299</v>
      </c>
      <c r="H518" s="1">
        <v>46113</v>
      </c>
      <c r="I518" t="s">
        <v>1300</v>
      </c>
      <c r="J518">
        <v>1</v>
      </c>
      <c r="K518" s="1">
        <v>46113</v>
      </c>
      <c r="L518" s="8">
        <v>64156000</v>
      </c>
    </row>
    <row r="519" spans="1:12" x14ac:dyDescent="0.25">
      <c r="A519" t="s">
        <v>1385</v>
      </c>
      <c r="B519" t="s">
        <v>2199</v>
      </c>
      <c r="C519" t="s">
        <v>1238</v>
      </c>
      <c r="D519" t="s">
        <v>1386</v>
      </c>
      <c r="E519" t="s">
        <v>1303</v>
      </c>
      <c r="F519">
        <v>2</v>
      </c>
      <c r="G519" t="s">
        <v>1299</v>
      </c>
      <c r="H519" s="1">
        <v>46113</v>
      </c>
      <c r="I519" t="s">
        <v>1300</v>
      </c>
      <c r="J519">
        <v>1</v>
      </c>
      <c r="K519" s="1">
        <v>46113</v>
      </c>
      <c r="L519" s="8">
        <v>1904912000</v>
      </c>
    </row>
    <row r="520" spans="1:12" x14ac:dyDescent="0.25">
      <c r="A520" t="s">
        <v>1387</v>
      </c>
      <c r="B520" t="s">
        <v>2199</v>
      </c>
      <c r="C520" t="s">
        <v>1238</v>
      </c>
      <c r="D520" t="s">
        <v>1388</v>
      </c>
      <c r="E520" t="s">
        <v>1175</v>
      </c>
      <c r="F520">
        <v>2</v>
      </c>
      <c r="G520" t="s">
        <v>1299</v>
      </c>
      <c r="H520" s="1">
        <v>46113</v>
      </c>
      <c r="I520" t="s">
        <v>1300</v>
      </c>
      <c r="J520">
        <v>1</v>
      </c>
      <c r="K520" s="1">
        <v>46113</v>
      </c>
      <c r="L520" s="8">
        <v>12678000</v>
      </c>
    </row>
    <row r="521" spans="1:12" x14ac:dyDescent="0.25">
      <c r="A521" t="s">
        <v>1387</v>
      </c>
      <c r="B521" t="s">
        <v>2199</v>
      </c>
      <c r="C521" t="s">
        <v>1238</v>
      </c>
      <c r="D521" t="s">
        <v>1388</v>
      </c>
      <c r="E521" t="s">
        <v>1303</v>
      </c>
      <c r="F521">
        <v>2</v>
      </c>
      <c r="G521" t="s">
        <v>1299</v>
      </c>
      <c r="H521" s="1">
        <v>46113</v>
      </c>
      <c r="I521" t="s">
        <v>1300</v>
      </c>
      <c r="J521">
        <v>1</v>
      </c>
      <c r="K521" s="1">
        <v>46113</v>
      </c>
      <c r="L521" s="8">
        <v>5954000</v>
      </c>
    </row>
    <row r="522" spans="1:12" x14ac:dyDescent="0.25">
      <c r="A522" t="s">
        <v>1393</v>
      </c>
      <c r="B522" t="s">
        <v>2199</v>
      </c>
      <c r="C522" t="s">
        <v>1238</v>
      </c>
      <c r="D522" t="s">
        <v>1394</v>
      </c>
      <c r="E522" t="s">
        <v>1175</v>
      </c>
      <c r="F522">
        <v>2</v>
      </c>
      <c r="G522" t="s">
        <v>1299</v>
      </c>
      <c r="H522" s="1">
        <v>46113</v>
      </c>
      <c r="I522" t="s">
        <v>1300</v>
      </c>
      <c r="J522">
        <v>1</v>
      </c>
      <c r="K522" s="1">
        <v>46113</v>
      </c>
      <c r="L522" s="8">
        <v>30000000</v>
      </c>
    </row>
    <row r="523" spans="1:12" x14ac:dyDescent="0.25">
      <c r="A523" t="s">
        <v>1393</v>
      </c>
      <c r="B523" t="s">
        <v>2199</v>
      </c>
      <c r="C523" t="s">
        <v>1238</v>
      </c>
      <c r="D523" t="s">
        <v>1394</v>
      </c>
      <c r="E523" t="s">
        <v>1303</v>
      </c>
      <c r="F523">
        <v>2</v>
      </c>
      <c r="G523" t="s">
        <v>1299</v>
      </c>
      <c r="H523" s="1">
        <v>46113</v>
      </c>
      <c r="I523" t="s">
        <v>1300</v>
      </c>
      <c r="J523">
        <v>1</v>
      </c>
      <c r="K523" s="1">
        <v>46113</v>
      </c>
      <c r="L523" s="8">
        <v>250000000</v>
      </c>
    </row>
    <row r="524" spans="1:12" x14ac:dyDescent="0.25">
      <c r="A524" t="s">
        <v>1398</v>
      </c>
      <c r="B524" t="s">
        <v>2199</v>
      </c>
      <c r="C524" t="s">
        <v>1238</v>
      </c>
      <c r="D524" t="s">
        <v>1399</v>
      </c>
      <c r="E524" t="s">
        <v>1175</v>
      </c>
      <c r="F524">
        <v>2</v>
      </c>
      <c r="G524" t="s">
        <v>1299</v>
      </c>
      <c r="H524" s="1">
        <v>46143</v>
      </c>
      <c r="I524" t="s">
        <v>1300</v>
      </c>
      <c r="J524">
        <v>1</v>
      </c>
      <c r="K524" s="1">
        <v>46143</v>
      </c>
      <c r="L524" s="8">
        <v>6000000</v>
      </c>
    </row>
    <row r="525" spans="1:12" x14ac:dyDescent="0.25">
      <c r="A525" t="s">
        <v>1398</v>
      </c>
      <c r="B525" t="s">
        <v>2199</v>
      </c>
      <c r="C525" t="s">
        <v>1238</v>
      </c>
      <c r="D525" t="s">
        <v>1399</v>
      </c>
      <c r="E525" t="s">
        <v>1303</v>
      </c>
      <c r="F525">
        <v>2</v>
      </c>
      <c r="G525" t="s">
        <v>1299</v>
      </c>
      <c r="H525" s="1">
        <v>46143</v>
      </c>
      <c r="I525" t="s">
        <v>1300</v>
      </c>
      <c r="J525">
        <v>1</v>
      </c>
      <c r="K525" s="1">
        <v>46143</v>
      </c>
      <c r="L525" s="8">
        <v>55000000</v>
      </c>
    </row>
    <row r="526" spans="1:12" x14ac:dyDescent="0.25">
      <c r="A526" t="s">
        <v>1464</v>
      </c>
      <c r="B526" t="s">
        <v>2199</v>
      </c>
      <c r="C526" t="s">
        <v>1238</v>
      </c>
      <c r="D526" t="s">
        <v>1465</v>
      </c>
      <c r="E526" t="s">
        <v>1293</v>
      </c>
      <c r="F526">
        <v>1</v>
      </c>
      <c r="G526" t="s">
        <v>1075</v>
      </c>
      <c r="H526" s="1">
        <v>46023</v>
      </c>
      <c r="I526" t="s">
        <v>1076</v>
      </c>
      <c r="J526">
        <v>1</v>
      </c>
      <c r="K526" s="1">
        <v>46023</v>
      </c>
      <c r="L526" s="8">
        <v>1000000</v>
      </c>
    </row>
    <row r="527" spans="1:12" x14ac:dyDescent="0.25">
      <c r="A527" t="s">
        <v>1485</v>
      </c>
      <c r="B527" t="s">
        <v>2199</v>
      </c>
      <c r="C527" t="s">
        <v>1238</v>
      </c>
      <c r="D527" t="s">
        <v>1486</v>
      </c>
      <c r="E527" t="s">
        <v>1488</v>
      </c>
      <c r="F527">
        <v>1</v>
      </c>
      <c r="G527" t="s">
        <v>1211</v>
      </c>
      <c r="H527" s="1">
        <v>46054</v>
      </c>
      <c r="I527" t="s">
        <v>320</v>
      </c>
      <c r="J527">
        <v>1</v>
      </c>
      <c r="K527" s="1">
        <v>46054</v>
      </c>
      <c r="L527" s="8">
        <v>250000</v>
      </c>
    </row>
    <row r="528" spans="1:12" x14ac:dyDescent="0.25">
      <c r="A528" t="s">
        <v>1624</v>
      </c>
      <c r="B528" t="s">
        <v>2199</v>
      </c>
      <c r="C528" t="s">
        <v>1238</v>
      </c>
      <c r="D528" t="s">
        <v>1621</v>
      </c>
      <c r="E528" t="s">
        <v>1625</v>
      </c>
      <c r="F528">
        <v>1</v>
      </c>
      <c r="G528" t="s">
        <v>1608</v>
      </c>
      <c r="H528" s="1">
        <v>46023</v>
      </c>
      <c r="I528" t="s">
        <v>361</v>
      </c>
      <c r="J528">
        <v>1</v>
      </c>
      <c r="K528" s="1">
        <v>46023</v>
      </c>
      <c r="L528" s="8">
        <v>780000</v>
      </c>
    </row>
    <row r="529" spans="1:12" x14ac:dyDescent="0.25">
      <c r="A529" t="s">
        <v>1673</v>
      </c>
      <c r="B529" t="s">
        <v>2199</v>
      </c>
      <c r="C529" t="s">
        <v>1238</v>
      </c>
      <c r="D529" t="s">
        <v>1674</v>
      </c>
      <c r="E529" t="s">
        <v>1175</v>
      </c>
      <c r="F529">
        <v>2</v>
      </c>
      <c r="G529" t="s">
        <v>1299</v>
      </c>
      <c r="H529" s="1">
        <v>46113</v>
      </c>
      <c r="I529" t="s">
        <v>1300</v>
      </c>
      <c r="J529">
        <v>1</v>
      </c>
      <c r="K529" s="1">
        <v>46113</v>
      </c>
      <c r="L529" s="8">
        <v>5731000</v>
      </c>
    </row>
    <row r="530" spans="1:12" x14ac:dyDescent="0.25">
      <c r="A530" t="s">
        <v>1673</v>
      </c>
      <c r="B530" t="s">
        <v>2199</v>
      </c>
      <c r="C530" t="s">
        <v>1238</v>
      </c>
      <c r="D530" t="s">
        <v>1674</v>
      </c>
      <c r="E530" t="s">
        <v>1303</v>
      </c>
      <c r="F530">
        <v>2</v>
      </c>
      <c r="G530" t="s">
        <v>1299</v>
      </c>
      <c r="H530" s="1">
        <v>46113</v>
      </c>
      <c r="I530" t="s">
        <v>1300</v>
      </c>
      <c r="J530">
        <v>1</v>
      </c>
      <c r="K530" s="1">
        <v>46113</v>
      </c>
      <c r="L530" s="8">
        <v>1042000</v>
      </c>
    </row>
    <row r="531" spans="1:12" x14ac:dyDescent="0.25">
      <c r="A531" t="s">
        <v>2037</v>
      </c>
      <c r="B531" t="s">
        <v>2199</v>
      </c>
      <c r="C531" t="s">
        <v>1238</v>
      </c>
      <c r="D531" t="s">
        <v>1658</v>
      </c>
      <c r="E531" t="s">
        <v>2040</v>
      </c>
      <c r="F531">
        <v>2</v>
      </c>
      <c r="G531" t="s">
        <v>2039</v>
      </c>
      <c r="H531" s="1">
        <v>46174</v>
      </c>
      <c r="I531" t="s">
        <v>1661</v>
      </c>
      <c r="J531">
        <v>1</v>
      </c>
      <c r="K531" s="1">
        <v>46174</v>
      </c>
      <c r="L531" s="8">
        <v>1000000</v>
      </c>
    </row>
    <row r="532" spans="1:12" x14ac:dyDescent="0.25">
      <c r="A532" t="s">
        <v>2037</v>
      </c>
      <c r="B532" t="s">
        <v>2199</v>
      </c>
      <c r="C532" t="s">
        <v>1238</v>
      </c>
      <c r="D532" t="s">
        <v>1658</v>
      </c>
      <c r="E532" t="s">
        <v>2038</v>
      </c>
      <c r="F532">
        <v>2</v>
      </c>
      <c r="G532" t="s">
        <v>2039</v>
      </c>
      <c r="H532" s="1">
        <v>46174</v>
      </c>
      <c r="I532" t="s">
        <v>1661</v>
      </c>
      <c r="J532">
        <v>1</v>
      </c>
      <c r="K532" s="1">
        <v>46174</v>
      </c>
      <c r="L532" s="8">
        <v>18000000</v>
      </c>
    </row>
    <row r="533" spans="1:12" x14ac:dyDescent="0.25">
      <c r="A533" t="s">
        <v>2063</v>
      </c>
      <c r="B533" t="s">
        <v>2199</v>
      </c>
      <c r="C533" t="s">
        <v>1238</v>
      </c>
      <c r="D533" t="s">
        <v>2064</v>
      </c>
      <c r="E533" t="s">
        <v>2066</v>
      </c>
      <c r="F533">
        <v>1</v>
      </c>
      <c r="G533" t="s">
        <v>768</v>
      </c>
      <c r="H533" s="1">
        <v>46023</v>
      </c>
      <c r="I533" t="s">
        <v>966</v>
      </c>
      <c r="J533">
        <v>1</v>
      </c>
      <c r="K533" s="1">
        <v>46023</v>
      </c>
      <c r="L533" s="8">
        <v>300000</v>
      </c>
    </row>
    <row r="534" spans="1:12" x14ac:dyDescent="0.25">
      <c r="A534" t="s">
        <v>2102</v>
      </c>
      <c r="B534" t="s">
        <v>2199</v>
      </c>
      <c r="C534" t="s">
        <v>1238</v>
      </c>
      <c r="D534" t="s">
        <v>2103</v>
      </c>
      <c r="E534" t="s">
        <v>2106</v>
      </c>
      <c r="F534">
        <v>2</v>
      </c>
      <c r="G534" t="s">
        <v>1759</v>
      </c>
      <c r="H534" s="1">
        <v>46082</v>
      </c>
      <c r="I534" t="s">
        <v>1760</v>
      </c>
      <c r="J534">
        <v>1</v>
      </c>
      <c r="K534" s="1">
        <v>46082</v>
      </c>
      <c r="L534" s="8">
        <v>1000000</v>
      </c>
    </row>
    <row r="535" spans="1:12" x14ac:dyDescent="0.25">
      <c r="A535" t="s">
        <v>2102</v>
      </c>
      <c r="B535" t="s">
        <v>2199</v>
      </c>
      <c r="C535" t="s">
        <v>1238</v>
      </c>
      <c r="D535" t="s">
        <v>2103</v>
      </c>
      <c r="E535" t="s">
        <v>2105</v>
      </c>
      <c r="F535">
        <v>2</v>
      </c>
      <c r="G535" t="s">
        <v>1759</v>
      </c>
      <c r="H535" s="1">
        <v>46082</v>
      </c>
      <c r="I535" t="s">
        <v>1760</v>
      </c>
      <c r="J535">
        <v>1</v>
      </c>
      <c r="K535" s="1">
        <v>46082</v>
      </c>
      <c r="L535" s="8">
        <v>15000000</v>
      </c>
    </row>
    <row r="536" spans="1:12" x14ac:dyDescent="0.25">
      <c r="A536" t="s">
        <v>2140</v>
      </c>
      <c r="B536" t="s">
        <v>2199</v>
      </c>
      <c r="C536" t="s">
        <v>1238</v>
      </c>
      <c r="D536" t="s">
        <v>2141</v>
      </c>
      <c r="E536" t="s">
        <v>2143</v>
      </c>
      <c r="F536">
        <v>1</v>
      </c>
      <c r="G536" t="s">
        <v>768</v>
      </c>
      <c r="H536" s="1">
        <v>46023</v>
      </c>
      <c r="I536" t="s">
        <v>966</v>
      </c>
      <c r="J536">
        <v>1</v>
      </c>
      <c r="K536" s="1">
        <v>46054</v>
      </c>
      <c r="L536" s="8">
        <v>250000</v>
      </c>
    </row>
    <row r="537" spans="1:12" x14ac:dyDescent="0.25">
      <c r="A537" t="s">
        <v>1239</v>
      </c>
      <c r="B537" t="s">
        <v>2199</v>
      </c>
      <c r="C537" t="s">
        <v>1238</v>
      </c>
      <c r="D537" t="s">
        <v>1241</v>
      </c>
      <c r="E537" t="s">
        <v>1243</v>
      </c>
      <c r="F537">
        <v>1</v>
      </c>
      <c r="G537" t="s">
        <v>122</v>
      </c>
      <c r="H537" s="1">
        <v>46113</v>
      </c>
      <c r="I537" t="s">
        <v>544</v>
      </c>
      <c r="J537">
        <v>1</v>
      </c>
      <c r="K537" s="1">
        <v>46113</v>
      </c>
      <c r="L537" s="8">
        <v>108183000</v>
      </c>
    </row>
    <row r="538" spans="1:12" x14ac:dyDescent="0.25">
      <c r="A538" t="s">
        <v>1289</v>
      </c>
      <c r="B538" t="s">
        <v>2199</v>
      </c>
      <c r="C538" t="s">
        <v>1238</v>
      </c>
      <c r="D538" t="s">
        <v>1291</v>
      </c>
      <c r="E538" t="s">
        <v>1293</v>
      </c>
      <c r="F538">
        <v>1</v>
      </c>
      <c r="G538" t="s">
        <v>768</v>
      </c>
      <c r="H538" s="1">
        <v>46023</v>
      </c>
      <c r="I538" t="s">
        <v>386</v>
      </c>
      <c r="J538">
        <v>1</v>
      </c>
      <c r="K538" s="1">
        <v>46023</v>
      </c>
      <c r="L538" s="8">
        <v>4000005</v>
      </c>
    </row>
    <row r="539" spans="1:12" x14ac:dyDescent="0.25">
      <c r="A539" t="s">
        <v>1295</v>
      </c>
      <c r="B539" t="s">
        <v>2199</v>
      </c>
      <c r="C539" t="s">
        <v>1238</v>
      </c>
      <c r="D539" t="s">
        <v>1297</v>
      </c>
      <c r="E539" t="s">
        <v>1175</v>
      </c>
      <c r="F539">
        <v>2</v>
      </c>
      <c r="G539" t="s">
        <v>1299</v>
      </c>
      <c r="H539" s="1">
        <v>46113</v>
      </c>
      <c r="I539" t="s">
        <v>1300</v>
      </c>
      <c r="J539">
        <v>1</v>
      </c>
      <c r="K539" s="1">
        <v>46113</v>
      </c>
      <c r="L539" s="8">
        <v>75964000</v>
      </c>
    </row>
    <row r="540" spans="1:12" x14ac:dyDescent="0.25">
      <c r="A540" t="s">
        <v>1295</v>
      </c>
      <c r="B540" t="s">
        <v>2199</v>
      </c>
      <c r="C540" t="s">
        <v>1238</v>
      </c>
      <c r="D540" t="s">
        <v>1297</v>
      </c>
      <c r="E540" t="s">
        <v>1303</v>
      </c>
      <c r="F540">
        <v>2</v>
      </c>
      <c r="G540" t="s">
        <v>1299</v>
      </c>
      <c r="H540" s="1">
        <v>46113</v>
      </c>
      <c r="I540" t="s">
        <v>1300</v>
      </c>
      <c r="J540">
        <v>1</v>
      </c>
      <c r="K540" s="1">
        <v>46113</v>
      </c>
      <c r="L540" s="8">
        <v>66699000</v>
      </c>
    </row>
    <row r="541" spans="1:12" x14ac:dyDescent="0.25">
      <c r="A541" t="s">
        <v>1349</v>
      </c>
      <c r="B541" t="s">
        <v>2199</v>
      </c>
      <c r="C541" t="s">
        <v>1238</v>
      </c>
      <c r="D541" t="s">
        <v>1350</v>
      </c>
      <c r="E541" t="s">
        <v>1175</v>
      </c>
      <c r="F541">
        <v>2</v>
      </c>
      <c r="G541" t="s">
        <v>1299</v>
      </c>
      <c r="H541" s="1">
        <v>46113</v>
      </c>
      <c r="I541" t="s">
        <v>1300</v>
      </c>
      <c r="J541">
        <v>1</v>
      </c>
      <c r="K541" s="1">
        <v>46113</v>
      </c>
      <c r="L541" s="8">
        <v>10000000</v>
      </c>
    </row>
    <row r="542" spans="1:12" x14ac:dyDescent="0.25">
      <c r="A542" t="s">
        <v>1349</v>
      </c>
      <c r="B542" t="s">
        <v>2199</v>
      </c>
      <c r="C542" t="s">
        <v>1238</v>
      </c>
      <c r="D542" t="s">
        <v>1350</v>
      </c>
      <c r="E542" t="s">
        <v>1303</v>
      </c>
      <c r="F542">
        <v>2</v>
      </c>
      <c r="G542" t="s">
        <v>1299</v>
      </c>
      <c r="H542" s="1">
        <v>46113</v>
      </c>
      <c r="I542" t="s">
        <v>1300</v>
      </c>
      <c r="J542">
        <v>1</v>
      </c>
      <c r="K542" s="1">
        <v>46113</v>
      </c>
      <c r="L542" s="8">
        <v>200000000</v>
      </c>
    </row>
    <row r="543" spans="1:12" x14ac:dyDescent="0.25">
      <c r="A543" t="s">
        <v>1352</v>
      </c>
      <c r="B543" t="s">
        <v>2199</v>
      </c>
      <c r="C543" t="s">
        <v>1238</v>
      </c>
      <c r="D543" t="s">
        <v>1353</v>
      </c>
      <c r="E543" t="s">
        <v>1175</v>
      </c>
      <c r="F543">
        <v>2</v>
      </c>
      <c r="G543" t="s">
        <v>1299</v>
      </c>
      <c r="H543" s="1">
        <v>46204</v>
      </c>
      <c r="I543" t="s">
        <v>1300</v>
      </c>
      <c r="J543">
        <v>1</v>
      </c>
      <c r="K543" s="1">
        <v>46204</v>
      </c>
      <c r="L543" s="8">
        <v>86892000</v>
      </c>
    </row>
    <row r="544" spans="1:12" x14ac:dyDescent="0.25">
      <c r="A544" t="s">
        <v>1352</v>
      </c>
      <c r="B544" t="s">
        <v>2199</v>
      </c>
      <c r="C544" t="s">
        <v>1238</v>
      </c>
      <c r="D544" t="s">
        <v>1353</v>
      </c>
      <c r="E544" t="s">
        <v>1303</v>
      </c>
      <c r="F544">
        <v>2</v>
      </c>
      <c r="G544" t="s">
        <v>1299</v>
      </c>
      <c r="H544" s="1">
        <v>46204</v>
      </c>
      <c r="I544" t="s">
        <v>1300</v>
      </c>
      <c r="J544">
        <v>1</v>
      </c>
      <c r="K544" s="1">
        <v>46204</v>
      </c>
      <c r="L544" s="8">
        <v>42183000</v>
      </c>
    </row>
    <row r="545" spans="1:12" x14ac:dyDescent="0.25">
      <c r="A545" t="s">
        <v>1339</v>
      </c>
      <c r="B545" t="s">
        <v>2199</v>
      </c>
      <c r="C545" t="s">
        <v>1304</v>
      </c>
      <c r="D545" t="s">
        <v>1340</v>
      </c>
      <c r="E545" t="s">
        <v>807</v>
      </c>
      <c r="F545">
        <v>1</v>
      </c>
      <c r="G545" t="s">
        <v>1342</v>
      </c>
      <c r="H545" s="1">
        <v>46174</v>
      </c>
      <c r="I545" t="s">
        <v>1343</v>
      </c>
      <c r="J545">
        <v>1</v>
      </c>
      <c r="K545" s="1">
        <v>46174</v>
      </c>
      <c r="L545" s="8">
        <v>525000</v>
      </c>
    </row>
    <row r="546" spans="1:12" x14ac:dyDescent="0.25">
      <c r="A546" t="s">
        <v>1371</v>
      </c>
      <c r="B546" t="s">
        <v>2199</v>
      </c>
      <c r="C546" t="s">
        <v>1304</v>
      </c>
      <c r="D546" t="s">
        <v>1373</v>
      </c>
      <c r="E546" t="s">
        <v>1375</v>
      </c>
      <c r="F546">
        <v>1</v>
      </c>
      <c r="G546" t="s">
        <v>1200</v>
      </c>
      <c r="H546" s="1">
        <v>46113</v>
      </c>
      <c r="I546" t="s">
        <v>514</v>
      </c>
      <c r="J546">
        <v>1</v>
      </c>
      <c r="K546" s="1">
        <v>46174</v>
      </c>
      <c r="L546" s="8">
        <v>1058222000</v>
      </c>
    </row>
    <row r="547" spans="1:12" x14ac:dyDescent="0.25">
      <c r="A547" t="s">
        <v>1376</v>
      </c>
      <c r="B547" t="s">
        <v>2199</v>
      </c>
      <c r="C547" t="s">
        <v>1304</v>
      </c>
      <c r="D547" t="s">
        <v>1377</v>
      </c>
      <c r="E547" t="s">
        <v>1375</v>
      </c>
      <c r="F547">
        <v>1</v>
      </c>
      <c r="G547" t="s">
        <v>1200</v>
      </c>
      <c r="H547" s="1">
        <v>46113</v>
      </c>
      <c r="I547" t="s">
        <v>514</v>
      </c>
      <c r="J547">
        <v>1</v>
      </c>
      <c r="K547" s="1">
        <v>46174</v>
      </c>
      <c r="L547" s="8">
        <v>916961000</v>
      </c>
    </row>
    <row r="548" spans="1:12" x14ac:dyDescent="0.25">
      <c r="A548" t="s">
        <v>1379</v>
      </c>
      <c r="B548" t="s">
        <v>2199</v>
      </c>
      <c r="C548" t="s">
        <v>1304</v>
      </c>
      <c r="D548" t="s">
        <v>1380</v>
      </c>
      <c r="E548" t="s">
        <v>1375</v>
      </c>
      <c r="F548">
        <v>1</v>
      </c>
      <c r="G548" t="s">
        <v>1200</v>
      </c>
      <c r="H548" s="1">
        <v>46113</v>
      </c>
      <c r="I548" t="s">
        <v>514</v>
      </c>
      <c r="J548">
        <v>1</v>
      </c>
      <c r="K548" s="1">
        <v>46113</v>
      </c>
      <c r="L548" s="8">
        <v>888441000</v>
      </c>
    </row>
    <row r="549" spans="1:12" x14ac:dyDescent="0.25">
      <c r="A549" t="s">
        <v>1389</v>
      </c>
      <c r="B549" t="s">
        <v>2199</v>
      </c>
      <c r="C549" t="s">
        <v>1304</v>
      </c>
      <c r="D549" t="s">
        <v>1390</v>
      </c>
      <c r="E549" t="s">
        <v>807</v>
      </c>
      <c r="F549">
        <v>1</v>
      </c>
      <c r="G549" t="s">
        <v>1342</v>
      </c>
      <c r="H549" s="1">
        <v>46174</v>
      </c>
      <c r="I549" t="s">
        <v>1392</v>
      </c>
      <c r="J549">
        <v>1</v>
      </c>
      <c r="K549" s="1">
        <v>46174</v>
      </c>
      <c r="L549" s="8">
        <v>630000</v>
      </c>
    </row>
    <row r="550" spans="1:12" x14ac:dyDescent="0.25">
      <c r="A550" t="s">
        <v>1887</v>
      </c>
      <c r="B550" t="s">
        <v>2199</v>
      </c>
      <c r="C550" t="s">
        <v>1304</v>
      </c>
      <c r="D550" t="s">
        <v>1888</v>
      </c>
      <c r="E550" t="s">
        <v>1199</v>
      </c>
      <c r="F550">
        <v>4</v>
      </c>
      <c r="G550" t="s">
        <v>1200</v>
      </c>
      <c r="H550" s="1">
        <v>46082</v>
      </c>
      <c r="I550" t="s">
        <v>514</v>
      </c>
      <c r="J550">
        <v>1</v>
      </c>
      <c r="K550" s="1">
        <v>46082</v>
      </c>
      <c r="L550" s="8">
        <v>493463899</v>
      </c>
    </row>
    <row r="551" spans="1:12" x14ac:dyDescent="0.25">
      <c r="A551" t="s">
        <v>1887</v>
      </c>
      <c r="B551" t="s">
        <v>2199</v>
      </c>
      <c r="C551" t="s">
        <v>1304</v>
      </c>
      <c r="D551" t="s">
        <v>1888</v>
      </c>
      <c r="E551" t="s">
        <v>1199</v>
      </c>
      <c r="F551">
        <v>4</v>
      </c>
      <c r="G551" t="s">
        <v>1200</v>
      </c>
      <c r="H551" s="1">
        <v>46113</v>
      </c>
      <c r="I551" t="s">
        <v>514</v>
      </c>
      <c r="J551">
        <v>1</v>
      </c>
      <c r="K551" s="1">
        <v>46113</v>
      </c>
      <c r="L551" s="8">
        <v>424384098</v>
      </c>
    </row>
    <row r="552" spans="1:12" x14ac:dyDescent="0.25">
      <c r="A552" t="s">
        <v>1887</v>
      </c>
      <c r="B552" t="s">
        <v>2199</v>
      </c>
      <c r="C552" t="s">
        <v>1304</v>
      </c>
      <c r="D552" t="s">
        <v>1888</v>
      </c>
      <c r="E552" t="s">
        <v>1199</v>
      </c>
      <c r="F552">
        <v>4</v>
      </c>
      <c r="G552" t="s">
        <v>1200</v>
      </c>
      <c r="H552" s="1">
        <v>46357</v>
      </c>
      <c r="I552" t="s">
        <v>514</v>
      </c>
      <c r="J552">
        <v>1</v>
      </c>
      <c r="K552" s="1">
        <v>46357</v>
      </c>
      <c r="L552" s="8">
        <v>1157231542</v>
      </c>
    </row>
    <row r="553" spans="1:12" x14ac:dyDescent="0.25">
      <c r="A553" t="s">
        <v>1305</v>
      </c>
      <c r="B553" t="s">
        <v>2199</v>
      </c>
      <c r="C553" t="s">
        <v>1304</v>
      </c>
      <c r="D553" t="s">
        <v>1306</v>
      </c>
      <c r="E553" t="s">
        <v>807</v>
      </c>
      <c r="F553">
        <v>1</v>
      </c>
      <c r="G553" t="s">
        <v>624</v>
      </c>
      <c r="H553" s="1">
        <v>46266</v>
      </c>
      <c r="I553" t="s">
        <v>625</v>
      </c>
      <c r="J553">
        <v>1</v>
      </c>
      <c r="K553" s="1">
        <v>46327</v>
      </c>
      <c r="L553" s="8">
        <v>1680000000</v>
      </c>
    </row>
    <row r="554" spans="1:12" x14ac:dyDescent="0.25">
      <c r="A554" t="s">
        <v>1308</v>
      </c>
      <c r="B554" t="s">
        <v>2199</v>
      </c>
      <c r="C554" t="s">
        <v>1304</v>
      </c>
      <c r="D554" t="s">
        <v>1309</v>
      </c>
      <c r="E554" t="s">
        <v>807</v>
      </c>
      <c r="F554">
        <v>1</v>
      </c>
      <c r="G554" t="s">
        <v>624</v>
      </c>
      <c r="H554" s="1">
        <v>46327</v>
      </c>
      <c r="I554" t="s">
        <v>625</v>
      </c>
      <c r="J554">
        <v>1</v>
      </c>
      <c r="K554" s="1">
        <v>46327</v>
      </c>
      <c r="L554" s="8">
        <v>80000000</v>
      </c>
    </row>
    <row r="555" spans="1:12" x14ac:dyDescent="0.25">
      <c r="A555" t="s">
        <v>1311</v>
      </c>
      <c r="B555" t="s">
        <v>2199</v>
      </c>
      <c r="C555" t="s">
        <v>1304</v>
      </c>
      <c r="D555" t="s">
        <v>1313</v>
      </c>
      <c r="E555" t="s">
        <v>807</v>
      </c>
      <c r="F555">
        <v>1</v>
      </c>
      <c r="G555" t="s">
        <v>1315</v>
      </c>
      <c r="H555" s="1">
        <v>46266</v>
      </c>
      <c r="I555" t="s">
        <v>1316</v>
      </c>
      <c r="J555">
        <v>1</v>
      </c>
      <c r="K555" s="1">
        <v>46327</v>
      </c>
      <c r="L555" s="8">
        <v>250000000</v>
      </c>
    </row>
    <row r="556" spans="1:12" x14ac:dyDescent="0.25">
      <c r="A556" t="s">
        <v>1319</v>
      </c>
      <c r="B556" t="s">
        <v>2199</v>
      </c>
      <c r="C556" t="s">
        <v>1304</v>
      </c>
      <c r="D556" t="s">
        <v>1320</v>
      </c>
      <c r="E556" t="s">
        <v>807</v>
      </c>
      <c r="F556">
        <v>1</v>
      </c>
      <c r="G556" t="s">
        <v>624</v>
      </c>
      <c r="H556" s="1">
        <v>46235</v>
      </c>
      <c r="I556" t="s">
        <v>625</v>
      </c>
      <c r="J556">
        <v>1</v>
      </c>
      <c r="K556" s="1">
        <v>46266</v>
      </c>
      <c r="L556" s="8">
        <v>55000000</v>
      </c>
    </row>
    <row r="557" spans="1:12" x14ac:dyDescent="0.25">
      <c r="A557" t="s">
        <v>1322</v>
      </c>
      <c r="B557" t="s">
        <v>2199</v>
      </c>
      <c r="C557" t="s">
        <v>1304</v>
      </c>
      <c r="D557" t="s">
        <v>1323</v>
      </c>
      <c r="E557" t="s">
        <v>807</v>
      </c>
      <c r="F557">
        <v>1</v>
      </c>
      <c r="G557" t="s">
        <v>1325</v>
      </c>
      <c r="H557" s="1">
        <v>46296</v>
      </c>
      <c r="I557" t="s">
        <v>1326</v>
      </c>
      <c r="J557">
        <v>1</v>
      </c>
      <c r="K557" s="1">
        <v>46296</v>
      </c>
      <c r="L557" s="8">
        <v>80000000</v>
      </c>
    </row>
    <row r="558" spans="1:12" x14ac:dyDescent="0.25">
      <c r="A558" t="s">
        <v>1328</v>
      </c>
      <c r="B558" t="s">
        <v>2199</v>
      </c>
      <c r="C558" t="s">
        <v>1304</v>
      </c>
      <c r="D558" t="s">
        <v>1329</v>
      </c>
      <c r="E558" t="s">
        <v>807</v>
      </c>
      <c r="F558">
        <v>1</v>
      </c>
      <c r="G558" t="s">
        <v>1325</v>
      </c>
      <c r="H558" s="1">
        <v>46296</v>
      </c>
      <c r="I558" t="s">
        <v>1326</v>
      </c>
      <c r="J558">
        <v>1</v>
      </c>
      <c r="K558" s="1">
        <v>46296</v>
      </c>
      <c r="L558" s="8">
        <v>80000000</v>
      </c>
    </row>
    <row r="559" spans="1:12" x14ac:dyDescent="0.25">
      <c r="A559" t="s">
        <v>1331</v>
      </c>
      <c r="B559" t="s">
        <v>2199</v>
      </c>
      <c r="C559" t="s">
        <v>1304</v>
      </c>
      <c r="D559" t="s">
        <v>1332</v>
      </c>
      <c r="E559" t="s">
        <v>807</v>
      </c>
      <c r="F559">
        <v>1</v>
      </c>
      <c r="G559" t="s">
        <v>624</v>
      </c>
      <c r="H559" s="1">
        <v>46296</v>
      </c>
      <c r="I559" t="s">
        <v>625</v>
      </c>
      <c r="J559">
        <v>1</v>
      </c>
      <c r="K559" s="1">
        <v>46296</v>
      </c>
      <c r="L559" s="8">
        <v>90000000</v>
      </c>
    </row>
    <row r="560" spans="1:12" x14ac:dyDescent="0.25">
      <c r="A560" t="s">
        <v>1334</v>
      </c>
      <c r="B560" t="s">
        <v>2199</v>
      </c>
      <c r="C560" t="s">
        <v>1304</v>
      </c>
      <c r="D560" t="s">
        <v>1335</v>
      </c>
      <c r="E560" t="s">
        <v>807</v>
      </c>
      <c r="F560">
        <v>1</v>
      </c>
      <c r="G560" t="s">
        <v>1337</v>
      </c>
      <c r="H560" s="1">
        <v>46357</v>
      </c>
      <c r="I560" t="s">
        <v>1107</v>
      </c>
      <c r="J560">
        <v>1</v>
      </c>
      <c r="K560" s="1">
        <v>46357</v>
      </c>
      <c r="L560" s="8">
        <v>9814756</v>
      </c>
    </row>
    <row r="561" spans="1:12" x14ac:dyDescent="0.25">
      <c r="A561" t="s">
        <v>1575</v>
      </c>
      <c r="B561" t="s">
        <v>2199</v>
      </c>
      <c r="C561" t="s">
        <v>374</v>
      </c>
      <c r="D561" t="s">
        <v>1576</v>
      </c>
      <c r="E561" t="s">
        <v>1580</v>
      </c>
      <c r="F561">
        <v>7</v>
      </c>
      <c r="G561" t="s">
        <v>761</v>
      </c>
      <c r="H561" s="1">
        <v>46054</v>
      </c>
      <c r="I561" t="s">
        <v>762</v>
      </c>
      <c r="J561">
        <v>1</v>
      </c>
      <c r="K561" s="1">
        <v>46054</v>
      </c>
      <c r="L561" s="8">
        <v>2760000</v>
      </c>
    </row>
    <row r="562" spans="1:12" x14ac:dyDescent="0.25">
      <c r="A562" t="s">
        <v>1575</v>
      </c>
      <c r="B562" t="s">
        <v>2199</v>
      </c>
      <c r="C562" t="s">
        <v>374</v>
      </c>
      <c r="D562" t="s">
        <v>1576</v>
      </c>
      <c r="E562" t="s">
        <v>1579</v>
      </c>
      <c r="F562">
        <v>7</v>
      </c>
      <c r="G562" t="s">
        <v>761</v>
      </c>
      <c r="H562" s="1">
        <v>46054</v>
      </c>
      <c r="I562" t="s">
        <v>762</v>
      </c>
      <c r="J562">
        <v>1</v>
      </c>
      <c r="K562" s="1">
        <v>46054</v>
      </c>
      <c r="L562" s="8">
        <v>450000</v>
      </c>
    </row>
    <row r="563" spans="1:12" x14ac:dyDescent="0.25">
      <c r="A563" t="s">
        <v>1575</v>
      </c>
      <c r="B563" t="s">
        <v>2199</v>
      </c>
      <c r="C563" t="s">
        <v>374</v>
      </c>
      <c r="D563" t="s">
        <v>1576</v>
      </c>
      <c r="E563" t="s">
        <v>1582</v>
      </c>
      <c r="F563">
        <v>7</v>
      </c>
      <c r="G563" t="s">
        <v>761</v>
      </c>
      <c r="H563" s="1">
        <v>46054</v>
      </c>
      <c r="I563" t="s">
        <v>762</v>
      </c>
      <c r="J563">
        <v>1</v>
      </c>
      <c r="K563" s="1">
        <v>46054</v>
      </c>
      <c r="L563" s="8">
        <v>800000</v>
      </c>
    </row>
    <row r="564" spans="1:12" x14ac:dyDescent="0.25">
      <c r="A564" t="s">
        <v>1575</v>
      </c>
      <c r="B564" t="s">
        <v>2199</v>
      </c>
      <c r="C564" t="s">
        <v>374</v>
      </c>
      <c r="D564" t="s">
        <v>1576</v>
      </c>
      <c r="E564" t="s">
        <v>1583</v>
      </c>
      <c r="F564">
        <v>7</v>
      </c>
      <c r="G564" t="s">
        <v>761</v>
      </c>
      <c r="H564" s="1">
        <v>46054</v>
      </c>
      <c r="I564" t="s">
        <v>762</v>
      </c>
      <c r="J564">
        <v>1</v>
      </c>
      <c r="K564" s="1">
        <v>46054</v>
      </c>
      <c r="L564" s="8">
        <v>240000</v>
      </c>
    </row>
    <row r="565" spans="1:12" x14ac:dyDescent="0.25">
      <c r="A565" t="s">
        <v>1575</v>
      </c>
      <c r="B565" t="s">
        <v>2199</v>
      </c>
      <c r="C565" t="s">
        <v>374</v>
      </c>
      <c r="D565" t="s">
        <v>1576</v>
      </c>
      <c r="E565" t="s">
        <v>1578</v>
      </c>
      <c r="F565">
        <v>7</v>
      </c>
      <c r="G565" t="s">
        <v>761</v>
      </c>
      <c r="H565" s="1">
        <v>46054</v>
      </c>
      <c r="I565" t="s">
        <v>762</v>
      </c>
      <c r="J565">
        <v>1</v>
      </c>
      <c r="K565" s="1">
        <v>46143</v>
      </c>
      <c r="L565" s="8">
        <v>120000</v>
      </c>
    </row>
    <row r="566" spans="1:12" x14ac:dyDescent="0.25">
      <c r="A566" t="s">
        <v>1575</v>
      </c>
      <c r="B566" t="s">
        <v>2199</v>
      </c>
      <c r="C566" t="s">
        <v>374</v>
      </c>
      <c r="D566" t="s">
        <v>1576</v>
      </c>
      <c r="E566" t="s">
        <v>1584</v>
      </c>
      <c r="F566">
        <v>7</v>
      </c>
      <c r="G566" t="s">
        <v>761</v>
      </c>
      <c r="H566" s="1">
        <v>46054</v>
      </c>
      <c r="I566" t="s">
        <v>762</v>
      </c>
      <c r="J566">
        <v>1</v>
      </c>
      <c r="K566" s="1">
        <v>46054</v>
      </c>
      <c r="L566" s="8">
        <v>30000</v>
      </c>
    </row>
    <row r="567" spans="1:12" x14ac:dyDescent="0.25">
      <c r="A567" t="s">
        <v>1575</v>
      </c>
      <c r="B567" t="s">
        <v>2199</v>
      </c>
      <c r="C567" t="s">
        <v>374</v>
      </c>
      <c r="D567" t="s">
        <v>1576</v>
      </c>
      <c r="E567" t="s">
        <v>1581</v>
      </c>
      <c r="F567">
        <v>7</v>
      </c>
      <c r="G567" t="s">
        <v>761</v>
      </c>
      <c r="H567" s="1">
        <v>46054</v>
      </c>
      <c r="I567" t="s">
        <v>762</v>
      </c>
      <c r="J567">
        <v>1</v>
      </c>
      <c r="K567" s="1">
        <v>46054</v>
      </c>
      <c r="L567" s="8">
        <v>2310000</v>
      </c>
    </row>
    <row r="568" spans="1:12" x14ac:dyDescent="0.25">
      <c r="A568" t="s">
        <v>1595</v>
      </c>
      <c r="B568" t="s">
        <v>2199</v>
      </c>
      <c r="C568" t="s">
        <v>374</v>
      </c>
      <c r="D568" t="s">
        <v>1597</v>
      </c>
      <c r="E568" t="s">
        <v>1599</v>
      </c>
      <c r="F568">
        <v>1</v>
      </c>
      <c r="G568" t="s">
        <v>761</v>
      </c>
      <c r="H568" s="1">
        <v>46054</v>
      </c>
      <c r="I568" t="s">
        <v>762</v>
      </c>
      <c r="J568">
        <v>1</v>
      </c>
      <c r="K568" s="1">
        <v>46054</v>
      </c>
      <c r="L568" s="8">
        <v>360000</v>
      </c>
    </row>
    <row r="569" spans="1:12" x14ac:dyDescent="0.25">
      <c r="A569" t="s">
        <v>1645</v>
      </c>
      <c r="B569" t="s">
        <v>2199</v>
      </c>
      <c r="C569" t="s">
        <v>374</v>
      </c>
      <c r="D569" t="s">
        <v>1646</v>
      </c>
      <c r="E569" t="s">
        <v>1648</v>
      </c>
      <c r="F569">
        <v>1</v>
      </c>
      <c r="G569" t="s">
        <v>1649</v>
      </c>
      <c r="H569" s="1">
        <v>46235</v>
      </c>
      <c r="I569" t="s">
        <v>762</v>
      </c>
      <c r="J569">
        <v>1</v>
      </c>
      <c r="K569" s="1">
        <v>46235</v>
      </c>
      <c r="L569" s="8">
        <v>4160004</v>
      </c>
    </row>
    <row r="570" spans="1:12" x14ac:dyDescent="0.25">
      <c r="A570" t="s">
        <v>1650</v>
      </c>
      <c r="B570" t="s">
        <v>2199</v>
      </c>
      <c r="C570" t="s">
        <v>374</v>
      </c>
      <c r="D570" t="s">
        <v>1651</v>
      </c>
      <c r="E570" t="s">
        <v>1653</v>
      </c>
      <c r="F570">
        <v>1</v>
      </c>
      <c r="G570" t="s">
        <v>761</v>
      </c>
      <c r="H570" s="1">
        <v>46143</v>
      </c>
      <c r="I570" t="s">
        <v>762</v>
      </c>
      <c r="J570">
        <v>1</v>
      </c>
      <c r="K570" s="1">
        <v>46143</v>
      </c>
      <c r="L570" s="8">
        <v>200004</v>
      </c>
    </row>
    <row r="571" spans="1:12" x14ac:dyDescent="0.25">
      <c r="A571" t="s">
        <v>1654</v>
      </c>
      <c r="B571" t="s">
        <v>2199</v>
      </c>
      <c r="C571" t="s">
        <v>374</v>
      </c>
      <c r="D571" t="s">
        <v>1655</v>
      </c>
      <c r="E571" t="s">
        <v>1592</v>
      </c>
      <c r="F571">
        <v>3</v>
      </c>
      <c r="G571" t="s">
        <v>761</v>
      </c>
      <c r="H571" s="1">
        <v>46143</v>
      </c>
      <c r="I571" t="s">
        <v>762</v>
      </c>
      <c r="J571">
        <v>1</v>
      </c>
      <c r="K571" s="1">
        <v>46143</v>
      </c>
      <c r="L571" s="8">
        <v>150000</v>
      </c>
    </row>
    <row r="572" spans="1:12" x14ac:dyDescent="0.25">
      <c r="A572" t="s">
        <v>1654</v>
      </c>
      <c r="B572" t="s">
        <v>2199</v>
      </c>
      <c r="C572" t="s">
        <v>374</v>
      </c>
      <c r="D572" t="s">
        <v>1655</v>
      </c>
      <c r="E572" t="s">
        <v>1656</v>
      </c>
      <c r="F572">
        <v>3</v>
      </c>
      <c r="G572" t="s">
        <v>761</v>
      </c>
      <c r="H572" s="1">
        <v>46143</v>
      </c>
      <c r="I572" t="s">
        <v>762</v>
      </c>
      <c r="J572">
        <v>1</v>
      </c>
      <c r="K572" s="1">
        <v>46143</v>
      </c>
      <c r="L572" s="8">
        <v>60000</v>
      </c>
    </row>
    <row r="573" spans="1:12" x14ac:dyDescent="0.25">
      <c r="A573" t="s">
        <v>1654</v>
      </c>
      <c r="B573" t="s">
        <v>2199</v>
      </c>
      <c r="C573" t="s">
        <v>374</v>
      </c>
      <c r="D573" t="s">
        <v>1655</v>
      </c>
      <c r="E573" t="s">
        <v>1593</v>
      </c>
      <c r="F573">
        <v>3</v>
      </c>
      <c r="G573" t="s">
        <v>761</v>
      </c>
      <c r="H573" s="1">
        <v>46143</v>
      </c>
      <c r="I573" t="s">
        <v>762</v>
      </c>
      <c r="J573">
        <v>1</v>
      </c>
      <c r="K573" s="1">
        <v>46143</v>
      </c>
      <c r="L573" s="8">
        <v>70000</v>
      </c>
    </row>
    <row r="574" spans="1:12" x14ac:dyDescent="0.25">
      <c r="A574" t="s">
        <v>1657</v>
      </c>
      <c r="B574" t="s">
        <v>2199</v>
      </c>
      <c r="C574" t="s">
        <v>374</v>
      </c>
      <c r="D574" t="s">
        <v>1658</v>
      </c>
      <c r="E574" t="s">
        <v>359</v>
      </c>
      <c r="F574">
        <v>6</v>
      </c>
      <c r="G574" t="s">
        <v>1660</v>
      </c>
      <c r="H574" s="1">
        <v>46235</v>
      </c>
      <c r="I574" t="s">
        <v>1661</v>
      </c>
      <c r="J574">
        <v>1</v>
      </c>
      <c r="K574" s="1">
        <v>46266</v>
      </c>
      <c r="L574" s="8">
        <v>6370016</v>
      </c>
    </row>
    <row r="575" spans="1:12" x14ac:dyDescent="0.25">
      <c r="A575" t="s">
        <v>1657</v>
      </c>
      <c r="B575" t="s">
        <v>2199</v>
      </c>
      <c r="C575" t="s">
        <v>374</v>
      </c>
      <c r="D575" t="s">
        <v>1658</v>
      </c>
      <c r="E575" t="s">
        <v>1664</v>
      </c>
      <c r="F575">
        <v>6</v>
      </c>
      <c r="G575" t="s">
        <v>1660</v>
      </c>
      <c r="H575" s="1">
        <v>46235</v>
      </c>
      <c r="I575" t="s">
        <v>1661</v>
      </c>
      <c r="J575">
        <v>1</v>
      </c>
      <c r="K575" s="1">
        <v>46266</v>
      </c>
      <c r="L575" s="8">
        <v>1200000</v>
      </c>
    </row>
    <row r="576" spans="1:12" x14ac:dyDescent="0.25">
      <c r="A576" t="s">
        <v>1657</v>
      </c>
      <c r="B576" t="s">
        <v>2199</v>
      </c>
      <c r="C576" t="s">
        <v>374</v>
      </c>
      <c r="D576" t="s">
        <v>1658</v>
      </c>
      <c r="E576" t="s">
        <v>1666</v>
      </c>
      <c r="F576">
        <v>6</v>
      </c>
      <c r="G576" t="s">
        <v>1660</v>
      </c>
      <c r="H576" s="1">
        <v>46235</v>
      </c>
      <c r="I576" t="s">
        <v>1661</v>
      </c>
      <c r="J576">
        <v>1</v>
      </c>
      <c r="K576" s="1">
        <v>46266</v>
      </c>
      <c r="L576" s="8">
        <v>2500000</v>
      </c>
    </row>
    <row r="577" spans="1:12" x14ac:dyDescent="0.25">
      <c r="A577" t="s">
        <v>1657</v>
      </c>
      <c r="B577" t="s">
        <v>2199</v>
      </c>
      <c r="C577" t="s">
        <v>374</v>
      </c>
      <c r="D577" t="s">
        <v>1658</v>
      </c>
      <c r="E577" t="s">
        <v>855</v>
      </c>
      <c r="F577">
        <v>6</v>
      </c>
      <c r="G577" t="s">
        <v>1660</v>
      </c>
      <c r="H577" s="1">
        <v>46235</v>
      </c>
      <c r="I577" t="s">
        <v>1661</v>
      </c>
      <c r="J577">
        <v>1</v>
      </c>
      <c r="K577" s="1">
        <v>46266</v>
      </c>
      <c r="L577" s="8">
        <v>40002</v>
      </c>
    </row>
    <row r="578" spans="1:12" x14ac:dyDescent="0.25">
      <c r="A578" t="s">
        <v>1657</v>
      </c>
      <c r="B578" t="s">
        <v>2199</v>
      </c>
      <c r="C578" t="s">
        <v>374</v>
      </c>
      <c r="D578" t="s">
        <v>1658</v>
      </c>
      <c r="E578" t="s">
        <v>1665</v>
      </c>
      <c r="F578">
        <v>6</v>
      </c>
      <c r="G578" t="s">
        <v>1660</v>
      </c>
      <c r="H578" s="1">
        <v>46235</v>
      </c>
      <c r="I578" t="s">
        <v>1661</v>
      </c>
      <c r="J578">
        <v>1</v>
      </c>
      <c r="K578" s="1">
        <v>46266</v>
      </c>
      <c r="L578" s="8">
        <v>4000000</v>
      </c>
    </row>
    <row r="579" spans="1:12" x14ac:dyDescent="0.25">
      <c r="A579" t="s">
        <v>1657</v>
      </c>
      <c r="B579" t="s">
        <v>2199</v>
      </c>
      <c r="C579" t="s">
        <v>374</v>
      </c>
      <c r="D579" t="s">
        <v>1658</v>
      </c>
      <c r="E579" t="s">
        <v>602</v>
      </c>
      <c r="F579">
        <v>6</v>
      </c>
      <c r="G579" t="s">
        <v>1660</v>
      </c>
      <c r="H579" s="1">
        <v>46235</v>
      </c>
      <c r="I579" t="s">
        <v>1661</v>
      </c>
      <c r="J579">
        <v>1</v>
      </c>
      <c r="K579" s="1">
        <v>46235</v>
      </c>
      <c r="L579" s="8">
        <v>4600000</v>
      </c>
    </row>
    <row r="580" spans="1:12" x14ac:dyDescent="0.25">
      <c r="A580" t="s">
        <v>1967</v>
      </c>
      <c r="B580" t="s">
        <v>2199</v>
      </c>
      <c r="C580" t="s">
        <v>374</v>
      </c>
      <c r="D580" t="s">
        <v>1969</v>
      </c>
      <c r="E580" t="s">
        <v>359</v>
      </c>
      <c r="F580">
        <v>5</v>
      </c>
      <c r="G580" t="s">
        <v>768</v>
      </c>
      <c r="H580" s="1">
        <v>46023</v>
      </c>
      <c r="I580" t="s">
        <v>1972</v>
      </c>
      <c r="J580">
        <v>1</v>
      </c>
      <c r="K580" s="1">
        <v>46054</v>
      </c>
      <c r="L580" s="8">
        <v>43320</v>
      </c>
    </row>
    <row r="581" spans="1:12" x14ac:dyDescent="0.25">
      <c r="A581" t="s">
        <v>1967</v>
      </c>
      <c r="B581" t="s">
        <v>2199</v>
      </c>
      <c r="C581" t="s">
        <v>374</v>
      </c>
      <c r="D581" t="s">
        <v>1969</v>
      </c>
      <c r="E581" t="s">
        <v>1971</v>
      </c>
      <c r="F581">
        <v>5</v>
      </c>
      <c r="G581" t="s">
        <v>768</v>
      </c>
      <c r="H581" s="1">
        <v>46023</v>
      </c>
      <c r="I581" t="s">
        <v>1972</v>
      </c>
      <c r="J581">
        <v>1</v>
      </c>
      <c r="K581" s="1">
        <v>46054</v>
      </c>
      <c r="L581" s="8">
        <v>112387</v>
      </c>
    </row>
    <row r="582" spans="1:12" x14ac:dyDescent="0.25">
      <c r="A582" t="s">
        <v>1967</v>
      </c>
      <c r="B582" t="s">
        <v>2199</v>
      </c>
      <c r="C582" t="s">
        <v>374</v>
      </c>
      <c r="D582" t="s">
        <v>1969</v>
      </c>
      <c r="E582" t="s">
        <v>1974</v>
      </c>
      <c r="F582">
        <v>5</v>
      </c>
      <c r="G582" t="s">
        <v>768</v>
      </c>
      <c r="H582" s="1">
        <v>46023</v>
      </c>
      <c r="I582" t="s">
        <v>1972</v>
      </c>
      <c r="J582">
        <v>1</v>
      </c>
      <c r="K582" s="1">
        <v>46054</v>
      </c>
      <c r="L582" s="8">
        <v>25000</v>
      </c>
    </row>
    <row r="583" spans="1:12" x14ac:dyDescent="0.25">
      <c r="A583" t="s">
        <v>1967</v>
      </c>
      <c r="B583" t="s">
        <v>2199</v>
      </c>
      <c r="C583" t="s">
        <v>374</v>
      </c>
      <c r="D583" t="s">
        <v>1969</v>
      </c>
      <c r="E583" t="s">
        <v>1975</v>
      </c>
      <c r="F583">
        <v>5</v>
      </c>
      <c r="G583" t="s">
        <v>768</v>
      </c>
      <c r="H583" s="1">
        <v>46023</v>
      </c>
      <c r="I583" t="s">
        <v>1972</v>
      </c>
      <c r="J583">
        <v>1</v>
      </c>
      <c r="K583" s="1">
        <v>46054</v>
      </c>
      <c r="L583" s="8">
        <v>1700</v>
      </c>
    </row>
    <row r="584" spans="1:12" x14ac:dyDescent="0.25">
      <c r="A584" t="s">
        <v>1967</v>
      </c>
      <c r="B584" t="s">
        <v>2199</v>
      </c>
      <c r="C584" t="s">
        <v>374</v>
      </c>
      <c r="D584" t="s">
        <v>1969</v>
      </c>
      <c r="E584" t="s">
        <v>1973</v>
      </c>
      <c r="F584">
        <v>5</v>
      </c>
      <c r="G584" t="s">
        <v>768</v>
      </c>
      <c r="H584" s="1">
        <v>46023</v>
      </c>
      <c r="I584" t="s">
        <v>1972</v>
      </c>
      <c r="J584">
        <v>1</v>
      </c>
      <c r="K584" s="1">
        <v>46054</v>
      </c>
      <c r="L584" s="8">
        <v>25002</v>
      </c>
    </row>
    <row r="585" spans="1:12" x14ac:dyDescent="0.25">
      <c r="A585" t="s">
        <v>2028</v>
      </c>
      <c r="B585" t="s">
        <v>2199</v>
      </c>
      <c r="C585" t="s">
        <v>374</v>
      </c>
      <c r="D585" t="s">
        <v>2029</v>
      </c>
      <c r="E585" t="s">
        <v>831</v>
      </c>
      <c r="F585">
        <v>8</v>
      </c>
      <c r="G585" t="s">
        <v>2032</v>
      </c>
      <c r="H585" s="1">
        <v>46082</v>
      </c>
      <c r="I585" t="s">
        <v>2033</v>
      </c>
      <c r="J585">
        <v>1</v>
      </c>
      <c r="K585" s="1">
        <v>46082</v>
      </c>
      <c r="L585" s="8">
        <v>930000</v>
      </c>
    </row>
    <row r="586" spans="1:12" x14ac:dyDescent="0.25">
      <c r="A586" t="s">
        <v>2028</v>
      </c>
      <c r="B586" t="s">
        <v>2199</v>
      </c>
      <c r="C586" t="s">
        <v>374</v>
      </c>
      <c r="D586" t="s">
        <v>2029</v>
      </c>
      <c r="E586" t="s">
        <v>370</v>
      </c>
      <c r="F586">
        <v>8</v>
      </c>
      <c r="G586" t="s">
        <v>2032</v>
      </c>
      <c r="H586" s="1">
        <v>46082</v>
      </c>
      <c r="I586" t="s">
        <v>2033</v>
      </c>
      <c r="J586">
        <v>1</v>
      </c>
      <c r="K586" s="1">
        <v>46082</v>
      </c>
      <c r="L586" s="8">
        <v>250000</v>
      </c>
    </row>
    <row r="587" spans="1:12" x14ac:dyDescent="0.25">
      <c r="A587" t="s">
        <v>2028</v>
      </c>
      <c r="B587" t="s">
        <v>2199</v>
      </c>
      <c r="C587" t="s">
        <v>374</v>
      </c>
      <c r="D587" t="s">
        <v>2029</v>
      </c>
      <c r="E587" t="s">
        <v>1174</v>
      </c>
      <c r="F587">
        <v>8</v>
      </c>
      <c r="G587" t="s">
        <v>2032</v>
      </c>
      <c r="H587" s="1">
        <v>46082</v>
      </c>
      <c r="I587" t="s">
        <v>2033</v>
      </c>
      <c r="J587">
        <v>1</v>
      </c>
      <c r="K587" s="1">
        <v>46082</v>
      </c>
      <c r="L587" s="8">
        <v>1195000</v>
      </c>
    </row>
    <row r="588" spans="1:12" x14ac:dyDescent="0.25">
      <c r="A588" t="s">
        <v>2028</v>
      </c>
      <c r="B588" t="s">
        <v>2199</v>
      </c>
      <c r="C588" t="s">
        <v>374</v>
      </c>
      <c r="D588" t="s">
        <v>2029</v>
      </c>
      <c r="E588" t="s">
        <v>2031</v>
      </c>
      <c r="F588">
        <v>8</v>
      </c>
      <c r="G588" t="s">
        <v>2032</v>
      </c>
      <c r="H588" s="1">
        <v>46082</v>
      </c>
      <c r="I588" t="s">
        <v>2033</v>
      </c>
      <c r="J588">
        <v>1</v>
      </c>
      <c r="K588" s="1">
        <v>46082</v>
      </c>
      <c r="L588" s="8">
        <v>600000</v>
      </c>
    </row>
    <row r="589" spans="1:12" x14ac:dyDescent="0.25">
      <c r="A589" t="s">
        <v>2028</v>
      </c>
      <c r="B589" t="s">
        <v>2199</v>
      </c>
      <c r="C589" t="s">
        <v>374</v>
      </c>
      <c r="D589" t="s">
        <v>2029</v>
      </c>
      <c r="E589" t="s">
        <v>1279</v>
      </c>
      <c r="F589">
        <v>8</v>
      </c>
      <c r="G589" t="s">
        <v>2032</v>
      </c>
      <c r="H589" s="1">
        <v>46082</v>
      </c>
      <c r="I589" t="s">
        <v>2033</v>
      </c>
      <c r="J589">
        <v>1</v>
      </c>
      <c r="K589" s="1">
        <v>46082</v>
      </c>
      <c r="L589" s="8">
        <v>1850000</v>
      </c>
    </row>
    <row r="590" spans="1:12" x14ac:dyDescent="0.25">
      <c r="A590" t="s">
        <v>2028</v>
      </c>
      <c r="B590" t="s">
        <v>2199</v>
      </c>
      <c r="C590" t="s">
        <v>374</v>
      </c>
      <c r="D590" t="s">
        <v>2029</v>
      </c>
      <c r="E590" t="s">
        <v>486</v>
      </c>
      <c r="F590">
        <v>8</v>
      </c>
      <c r="G590" t="s">
        <v>2032</v>
      </c>
      <c r="H590" s="1">
        <v>46082</v>
      </c>
      <c r="I590" t="s">
        <v>2033</v>
      </c>
      <c r="J590">
        <v>1</v>
      </c>
      <c r="K590" s="1">
        <v>46082</v>
      </c>
      <c r="L590" s="8">
        <v>1164000</v>
      </c>
    </row>
    <row r="591" spans="1:12" x14ac:dyDescent="0.25">
      <c r="A591" t="s">
        <v>2028</v>
      </c>
      <c r="B591" t="s">
        <v>2199</v>
      </c>
      <c r="C591" t="s">
        <v>374</v>
      </c>
      <c r="D591" t="s">
        <v>2029</v>
      </c>
      <c r="E591" t="s">
        <v>1678</v>
      </c>
      <c r="F591">
        <v>8</v>
      </c>
      <c r="G591" t="s">
        <v>2032</v>
      </c>
      <c r="H591" s="1">
        <v>46082</v>
      </c>
      <c r="I591" t="s">
        <v>2033</v>
      </c>
      <c r="J591">
        <v>1</v>
      </c>
      <c r="K591" s="1">
        <v>46082</v>
      </c>
      <c r="L591" s="8">
        <v>395540</v>
      </c>
    </row>
    <row r="592" spans="1:12" x14ac:dyDescent="0.25">
      <c r="A592" t="s">
        <v>2028</v>
      </c>
      <c r="B592" t="s">
        <v>2199</v>
      </c>
      <c r="C592" t="s">
        <v>374</v>
      </c>
      <c r="D592" t="s">
        <v>2029</v>
      </c>
      <c r="E592" t="s">
        <v>2036</v>
      </c>
      <c r="F592">
        <v>8</v>
      </c>
      <c r="G592" t="s">
        <v>2032</v>
      </c>
      <c r="H592" s="1">
        <v>46082</v>
      </c>
      <c r="I592" t="s">
        <v>2033</v>
      </c>
      <c r="J592">
        <v>1</v>
      </c>
      <c r="K592" s="1">
        <v>46082</v>
      </c>
      <c r="L592" s="8">
        <v>1200000</v>
      </c>
    </row>
    <row r="593" spans="1:12" x14ac:dyDescent="0.25">
      <c r="A593" t="s">
        <v>2080</v>
      </c>
      <c r="B593" t="s">
        <v>2199</v>
      </c>
      <c r="C593" t="s">
        <v>374</v>
      </c>
      <c r="D593" t="s">
        <v>2081</v>
      </c>
      <c r="E593" t="s">
        <v>786</v>
      </c>
      <c r="F593">
        <v>1</v>
      </c>
      <c r="G593" t="s">
        <v>768</v>
      </c>
      <c r="H593" s="1">
        <v>46082</v>
      </c>
      <c r="I593" t="s">
        <v>386</v>
      </c>
      <c r="J593">
        <v>1</v>
      </c>
      <c r="K593" s="1">
        <v>46082</v>
      </c>
      <c r="L593" s="8">
        <v>350280</v>
      </c>
    </row>
    <row r="594" spans="1:12" x14ac:dyDescent="0.25">
      <c r="A594" t="s">
        <v>2086</v>
      </c>
      <c r="B594" t="s">
        <v>2199</v>
      </c>
      <c r="C594" t="s">
        <v>374</v>
      </c>
      <c r="D594" t="s">
        <v>2087</v>
      </c>
      <c r="E594" t="s">
        <v>786</v>
      </c>
      <c r="F594">
        <v>1</v>
      </c>
      <c r="G594" t="s">
        <v>768</v>
      </c>
      <c r="H594" s="1">
        <v>46054</v>
      </c>
      <c r="I594" t="s">
        <v>386</v>
      </c>
      <c r="J594">
        <v>1</v>
      </c>
      <c r="K594" s="1">
        <v>46082</v>
      </c>
      <c r="L594" s="8">
        <v>506160</v>
      </c>
    </row>
    <row r="595" spans="1:12" x14ac:dyDescent="0.25">
      <c r="A595" t="s">
        <v>2110</v>
      </c>
      <c r="B595" t="s">
        <v>2199</v>
      </c>
      <c r="C595" t="s">
        <v>374</v>
      </c>
      <c r="D595" t="s">
        <v>2111</v>
      </c>
      <c r="E595" t="s">
        <v>359</v>
      </c>
      <c r="F595">
        <v>5</v>
      </c>
      <c r="G595" t="s">
        <v>768</v>
      </c>
      <c r="H595" s="1">
        <v>46023</v>
      </c>
      <c r="I595" t="s">
        <v>386</v>
      </c>
      <c r="J595">
        <v>1</v>
      </c>
      <c r="K595" s="1">
        <v>46023</v>
      </c>
      <c r="L595" s="8">
        <v>442000</v>
      </c>
    </row>
    <row r="596" spans="1:12" x14ac:dyDescent="0.25">
      <c r="A596" t="s">
        <v>2110</v>
      </c>
      <c r="B596" t="s">
        <v>2199</v>
      </c>
      <c r="C596" t="s">
        <v>374</v>
      </c>
      <c r="D596" t="s">
        <v>2111</v>
      </c>
      <c r="E596" t="s">
        <v>486</v>
      </c>
      <c r="F596">
        <v>5</v>
      </c>
      <c r="G596" t="s">
        <v>768</v>
      </c>
      <c r="H596" s="1">
        <v>46023</v>
      </c>
      <c r="I596" t="s">
        <v>386</v>
      </c>
      <c r="J596">
        <v>1</v>
      </c>
      <c r="K596" s="1">
        <v>46023</v>
      </c>
      <c r="L596" s="8">
        <v>501330</v>
      </c>
    </row>
    <row r="597" spans="1:12" x14ac:dyDescent="0.25">
      <c r="A597" t="s">
        <v>2110</v>
      </c>
      <c r="B597" t="s">
        <v>2199</v>
      </c>
      <c r="C597" t="s">
        <v>374</v>
      </c>
      <c r="D597" t="s">
        <v>2111</v>
      </c>
      <c r="E597" t="s">
        <v>855</v>
      </c>
      <c r="F597">
        <v>5</v>
      </c>
      <c r="G597" t="s">
        <v>768</v>
      </c>
      <c r="H597" s="1">
        <v>46023</v>
      </c>
      <c r="I597" t="s">
        <v>386</v>
      </c>
      <c r="J597">
        <v>1</v>
      </c>
      <c r="K597" s="1">
        <v>46023</v>
      </c>
      <c r="L597" s="8">
        <v>49700</v>
      </c>
    </row>
    <row r="598" spans="1:12" x14ac:dyDescent="0.25">
      <c r="A598" t="s">
        <v>2110</v>
      </c>
      <c r="B598" t="s">
        <v>2199</v>
      </c>
      <c r="C598" t="s">
        <v>374</v>
      </c>
      <c r="D598" t="s">
        <v>2111</v>
      </c>
      <c r="E598" t="s">
        <v>2114</v>
      </c>
      <c r="F598">
        <v>5</v>
      </c>
      <c r="G598" t="s">
        <v>768</v>
      </c>
      <c r="H598" s="1">
        <v>46023</v>
      </c>
      <c r="I598" t="s">
        <v>386</v>
      </c>
      <c r="J598">
        <v>1</v>
      </c>
      <c r="K598" s="1">
        <v>46023</v>
      </c>
      <c r="L598" s="8">
        <v>70000</v>
      </c>
    </row>
    <row r="599" spans="1:12" x14ac:dyDescent="0.25">
      <c r="A599" t="s">
        <v>2110</v>
      </c>
      <c r="B599" t="s">
        <v>2199</v>
      </c>
      <c r="C599" t="s">
        <v>374</v>
      </c>
      <c r="D599" t="s">
        <v>2111</v>
      </c>
      <c r="E599" t="s">
        <v>2113</v>
      </c>
      <c r="F599">
        <v>5</v>
      </c>
      <c r="G599" t="s">
        <v>768</v>
      </c>
      <c r="H599" s="1">
        <v>46023</v>
      </c>
      <c r="I599" t="s">
        <v>386</v>
      </c>
      <c r="J599">
        <v>1</v>
      </c>
      <c r="K599" s="1">
        <v>46023</v>
      </c>
      <c r="L599" s="8">
        <v>240000</v>
      </c>
    </row>
    <row r="600" spans="1:12" x14ac:dyDescent="0.25">
      <c r="A600" t="s">
        <v>2159</v>
      </c>
      <c r="B600" t="s">
        <v>2199</v>
      </c>
      <c r="C600" t="s">
        <v>374</v>
      </c>
      <c r="D600" t="s">
        <v>2160</v>
      </c>
      <c r="E600" t="s">
        <v>2165</v>
      </c>
      <c r="F600">
        <v>7</v>
      </c>
      <c r="G600" t="s">
        <v>761</v>
      </c>
      <c r="H600" s="1">
        <v>46054</v>
      </c>
      <c r="I600" t="s">
        <v>762</v>
      </c>
      <c r="J600">
        <v>1</v>
      </c>
      <c r="K600" s="1">
        <v>46174</v>
      </c>
      <c r="L600" s="8">
        <v>500000</v>
      </c>
    </row>
    <row r="601" spans="1:12" x14ac:dyDescent="0.25">
      <c r="A601" t="s">
        <v>2159</v>
      </c>
      <c r="B601" t="s">
        <v>2199</v>
      </c>
      <c r="C601" t="s">
        <v>374</v>
      </c>
      <c r="D601" t="s">
        <v>2160</v>
      </c>
      <c r="E601" t="s">
        <v>2164</v>
      </c>
      <c r="F601">
        <v>7</v>
      </c>
      <c r="G601" t="s">
        <v>761</v>
      </c>
      <c r="H601" s="1">
        <v>46054</v>
      </c>
      <c r="I601" t="s">
        <v>762</v>
      </c>
      <c r="J601">
        <v>1</v>
      </c>
      <c r="K601" s="1">
        <v>46174</v>
      </c>
      <c r="L601" s="8">
        <v>470007</v>
      </c>
    </row>
    <row r="602" spans="1:12" x14ac:dyDescent="0.25">
      <c r="A602" t="s">
        <v>2159</v>
      </c>
      <c r="B602" t="s">
        <v>2199</v>
      </c>
      <c r="C602" t="s">
        <v>374</v>
      </c>
      <c r="D602" t="s">
        <v>2160</v>
      </c>
      <c r="E602" t="s">
        <v>2163</v>
      </c>
      <c r="F602">
        <v>7</v>
      </c>
      <c r="G602" t="s">
        <v>761</v>
      </c>
      <c r="H602" s="1">
        <v>46174</v>
      </c>
      <c r="I602" t="s">
        <v>762</v>
      </c>
      <c r="J602">
        <v>1</v>
      </c>
      <c r="K602" s="1">
        <v>46174</v>
      </c>
      <c r="L602" s="8">
        <v>2060002</v>
      </c>
    </row>
    <row r="603" spans="1:12" x14ac:dyDescent="0.25">
      <c r="A603" t="s">
        <v>2159</v>
      </c>
      <c r="B603" t="s">
        <v>2199</v>
      </c>
      <c r="C603" t="s">
        <v>374</v>
      </c>
      <c r="D603" t="s">
        <v>2160</v>
      </c>
      <c r="E603" t="s">
        <v>1578</v>
      </c>
      <c r="F603">
        <v>7</v>
      </c>
      <c r="G603" t="s">
        <v>761</v>
      </c>
      <c r="H603" s="1">
        <v>46174</v>
      </c>
      <c r="I603" t="s">
        <v>762</v>
      </c>
      <c r="J603">
        <v>1</v>
      </c>
      <c r="K603" s="1">
        <v>46174</v>
      </c>
      <c r="L603" s="8">
        <v>120000</v>
      </c>
    </row>
    <row r="604" spans="1:12" x14ac:dyDescent="0.25">
      <c r="A604" t="s">
        <v>2159</v>
      </c>
      <c r="B604" t="s">
        <v>2199</v>
      </c>
      <c r="C604" t="s">
        <v>374</v>
      </c>
      <c r="D604" t="s">
        <v>2160</v>
      </c>
      <c r="E604" t="s">
        <v>820</v>
      </c>
      <c r="F604">
        <v>7</v>
      </c>
      <c r="G604" t="s">
        <v>761</v>
      </c>
      <c r="H604" s="1">
        <v>46174</v>
      </c>
      <c r="I604" t="s">
        <v>762</v>
      </c>
      <c r="J604">
        <v>1</v>
      </c>
      <c r="K604" s="1">
        <v>46174</v>
      </c>
      <c r="L604" s="8">
        <v>700000</v>
      </c>
    </row>
    <row r="605" spans="1:12" x14ac:dyDescent="0.25">
      <c r="A605" t="s">
        <v>2159</v>
      </c>
      <c r="B605" t="s">
        <v>2199</v>
      </c>
      <c r="C605" t="s">
        <v>374</v>
      </c>
      <c r="D605" t="s">
        <v>2160</v>
      </c>
      <c r="E605" t="s">
        <v>2161</v>
      </c>
      <c r="F605">
        <v>7</v>
      </c>
      <c r="G605" t="s">
        <v>761</v>
      </c>
      <c r="H605" s="1">
        <v>46054</v>
      </c>
      <c r="I605" t="s">
        <v>762</v>
      </c>
      <c r="J605">
        <v>1</v>
      </c>
      <c r="K605" s="1">
        <v>46054</v>
      </c>
      <c r="L605" s="8">
        <v>2700016</v>
      </c>
    </row>
    <row r="606" spans="1:12" x14ac:dyDescent="0.25">
      <c r="A606" t="s">
        <v>2159</v>
      </c>
      <c r="B606" t="s">
        <v>2199</v>
      </c>
      <c r="C606" t="s">
        <v>374</v>
      </c>
      <c r="D606" t="s">
        <v>2160</v>
      </c>
      <c r="E606" t="s">
        <v>2162</v>
      </c>
      <c r="F606">
        <v>7</v>
      </c>
      <c r="G606" t="s">
        <v>761</v>
      </c>
      <c r="H606" s="1">
        <v>46054</v>
      </c>
      <c r="I606" t="s">
        <v>762</v>
      </c>
      <c r="J606">
        <v>1</v>
      </c>
      <c r="K606" s="1">
        <v>46054</v>
      </c>
      <c r="L606" s="8">
        <v>1260000</v>
      </c>
    </row>
    <row r="607" spans="1:12" x14ac:dyDescent="0.25">
      <c r="A607" t="s">
        <v>2181</v>
      </c>
      <c r="B607" t="s">
        <v>2199</v>
      </c>
      <c r="C607" t="s">
        <v>374</v>
      </c>
      <c r="D607" t="s">
        <v>2182</v>
      </c>
      <c r="E607" t="s">
        <v>1653</v>
      </c>
      <c r="F607">
        <v>1</v>
      </c>
      <c r="G607" t="s">
        <v>761</v>
      </c>
      <c r="H607" s="1">
        <v>46143</v>
      </c>
      <c r="I607" t="s">
        <v>762</v>
      </c>
      <c r="J607">
        <v>1</v>
      </c>
      <c r="K607" s="1">
        <v>46143</v>
      </c>
      <c r="L607" s="8">
        <v>280008</v>
      </c>
    </row>
    <row r="608" spans="1:12" x14ac:dyDescent="0.25">
      <c r="A608" t="s">
        <v>375</v>
      </c>
      <c r="B608" t="s">
        <v>2196</v>
      </c>
      <c r="C608" t="s">
        <v>374</v>
      </c>
      <c r="D608" t="s">
        <v>376</v>
      </c>
      <c r="E608" t="s">
        <v>326</v>
      </c>
      <c r="F608">
        <v>1</v>
      </c>
      <c r="G608" t="s">
        <v>378</v>
      </c>
      <c r="H608" s="1">
        <v>45839</v>
      </c>
      <c r="I608" t="s">
        <v>361</v>
      </c>
      <c r="J608">
        <v>12</v>
      </c>
      <c r="K608" t="s">
        <v>318</v>
      </c>
      <c r="L608" s="8">
        <v>17416663</v>
      </c>
    </row>
    <row r="609" spans="1:12" x14ac:dyDescent="0.25">
      <c r="A609" t="s">
        <v>468</v>
      </c>
      <c r="B609" t="s">
        <v>2196</v>
      </c>
      <c r="C609" t="s">
        <v>374</v>
      </c>
      <c r="D609" t="s">
        <v>470</v>
      </c>
      <c r="E609" t="s">
        <v>472</v>
      </c>
      <c r="F609">
        <v>1</v>
      </c>
      <c r="G609" t="s">
        <v>473</v>
      </c>
      <c r="H609" s="1">
        <v>45870</v>
      </c>
      <c r="I609" t="s">
        <v>474</v>
      </c>
      <c r="J609">
        <v>12</v>
      </c>
      <c r="K609" t="s">
        <v>413</v>
      </c>
      <c r="L609" s="8">
        <v>394362600</v>
      </c>
    </row>
    <row r="610" spans="1:12" x14ac:dyDescent="0.25">
      <c r="A610" t="s">
        <v>545</v>
      </c>
      <c r="B610" t="s">
        <v>2196</v>
      </c>
      <c r="C610" t="s">
        <v>374</v>
      </c>
      <c r="D610" t="s">
        <v>546</v>
      </c>
      <c r="E610" t="s">
        <v>496</v>
      </c>
      <c r="F610">
        <v>1</v>
      </c>
      <c r="G610" t="s">
        <v>414</v>
      </c>
      <c r="H610" s="1">
        <v>45870</v>
      </c>
      <c r="I610" t="s">
        <v>415</v>
      </c>
      <c r="J610">
        <v>12</v>
      </c>
      <c r="K610" t="s">
        <v>318</v>
      </c>
      <c r="L610" s="8">
        <v>30800000</v>
      </c>
    </row>
    <row r="611" spans="1:12" x14ac:dyDescent="0.25">
      <c r="A611" t="s">
        <v>584</v>
      </c>
      <c r="B611" t="s">
        <v>2199</v>
      </c>
      <c r="C611" t="s">
        <v>374</v>
      </c>
      <c r="D611" t="s">
        <v>586</v>
      </c>
      <c r="E611" t="s">
        <v>588</v>
      </c>
      <c r="F611">
        <v>1</v>
      </c>
      <c r="G611" t="s">
        <v>590</v>
      </c>
      <c r="H611" s="1">
        <v>46054</v>
      </c>
      <c r="I611" t="s">
        <v>591</v>
      </c>
      <c r="J611">
        <v>10</v>
      </c>
      <c r="K611" t="s">
        <v>589</v>
      </c>
      <c r="L611" s="8">
        <v>56320000</v>
      </c>
    </row>
    <row r="612" spans="1:12" x14ac:dyDescent="0.25">
      <c r="A612" t="s">
        <v>605</v>
      </c>
      <c r="B612" t="s">
        <v>2199</v>
      </c>
      <c r="C612" t="s">
        <v>374</v>
      </c>
      <c r="D612" t="s">
        <v>607</v>
      </c>
      <c r="E612" t="s">
        <v>613</v>
      </c>
      <c r="F612">
        <v>2</v>
      </c>
      <c r="G612" t="s">
        <v>609</v>
      </c>
      <c r="H612" s="1">
        <v>46143</v>
      </c>
      <c r="I612" t="s">
        <v>610</v>
      </c>
      <c r="J612">
        <v>1</v>
      </c>
      <c r="K612" s="1">
        <v>46143</v>
      </c>
      <c r="L612" s="8">
        <v>30000000</v>
      </c>
    </row>
    <row r="613" spans="1:12" x14ac:dyDescent="0.25">
      <c r="A613" t="s">
        <v>605</v>
      </c>
      <c r="B613" t="s">
        <v>2199</v>
      </c>
      <c r="C613" t="s">
        <v>374</v>
      </c>
      <c r="D613" t="s">
        <v>607</v>
      </c>
      <c r="E613" t="s">
        <v>288</v>
      </c>
      <c r="F613">
        <v>2</v>
      </c>
      <c r="G613" t="s">
        <v>609</v>
      </c>
      <c r="H613" s="1">
        <v>46113</v>
      </c>
      <c r="I613" t="s">
        <v>610</v>
      </c>
      <c r="J613">
        <v>1</v>
      </c>
      <c r="K613" s="1">
        <v>46113</v>
      </c>
      <c r="L613" s="8">
        <v>30000000</v>
      </c>
    </row>
    <row r="614" spans="1:12" x14ac:dyDescent="0.25">
      <c r="A614" t="s">
        <v>614</v>
      </c>
      <c r="B614" t="s">
        <v>2199</v>
      </c>
      <c r="C614" t="s">
        <v>374</v>
      </c>
      <c r="D614" t="s">
        <v>616</v>
      </c>
      <c r="E614" t="s">
        <v>618</v>
      </c>
      <c r="F614">
        <v>1</v>
      </c>
      <c r="G614" t="s">
        <v>590</v>
      </c>
      <c r="H614" s="1">
        <v>46082</v>
      </c>
      <c r="I614" t="s">
        <v>591</v>
      </c>
      <c r="J614">
        <v>1</v>
      </c>
      <c r="K614" s="1">
        <v>46082</v>
      </c>
      <c r="L614" s="8">
        <v>410000</v>
      </c>
    </row>
    <row r="615" spans="1:12" x14ac:dyDescent="0.25">
      <c r="A615" t="s">
        <v>683</v>
      </c>
      <c r="B615" t="s">
        <v>2199</v>
      </c>
      <c r="C615" t="s">
        <v>374</v>
      </c>
      <c r="D615" t="s">
        <v>684</v>
      </c>
      <c r="E615" t="s">
        <v>370</v>
      </c>
      <c r="F615">
        <v>1</v>
      </c>
      <c r="G615" t="s">
        <v>657</v>
      </c>
      <c r="H615" s="1">
        <v>46235</v>
      </c>
      <c r="I615" t="s">
        <v>658</v>
      </c>
      <c r="J615">
        <v>1</v>
      </c>
      <c r="K615" s="1">
        <v>46235</v>
      </c>
      <c r="L615" s="8">
        <v>225000</v>
      </c>
    </row>
    <row r="616" spans="1:12" x14ac:dyDescent="0.25">
      <c r="A616" t="s">
        <v>693</v>
      </c>
      <c r="B616" t="s">
        <v>2199</v>
      </c>
      <c r="C616" t="s">
        <v>374</v>
      </c>
      <c r="D616" t="s">
        <v>694</v>
      </c>
      <c r="E616" t="s">
        <v>486</v>
      </c>
      <c r="F616">
        <v>1</v>
      </c>
      <c r="G616" t="s">
        <v>657</v>
      </c>
      <c r="H616" s="1">
        <v>46054</v>
      </c>
      <c r="I616" t="s">
        <v>658</v>
      </c>
      <c r="J616">
        <v>1</v>
      </c>
      <c r="K616" s="1">
        <v>46054</v>
      </c>
      <c r="L616" s="8">
        <v>260000</v>
      </c>
    </row>
    <row r="617" spans="1:12" x14ac:dyDescent="0.25">
      <c r="A617" t="s">
        <v>699</v>
      </c>
      <c r="B617" t="s">
        <v>2199</v>
      </c>
      <c r="C617" t="s">
        <v>374</v>
      </c>
      <c r="D617" t="s">
        <v>700</v>
      </c>
      <c r="E617" t="s">
        <v>370</v>
      </c>
      <c r="F617">
        <v>2</v>
      </c>
      <c r="G617" t="s">
        <v>657</v>
      </c>
      <c r="H617" s="1">
        <v>46174</v>
      </c>
      <c r="I617" t="s">
        <v>658</v>
      </c>
      <c r="J617">
        <v>1</v>
      </c>
      <c r="K617" s="1">
        <v>46174</v>
      </c>
      <c r="L617" s="8">
        <v>450000</v>
      </c>
    </row>
    <row r="618" spans="1:12" x14ac:dyDescent="0.25">
      <c r="A618" t="s">
        <v>699</v>
      </c>
      <c r="B618" t="s">
        <v>2199</v>
      </c>
      <c r="C618" t="s">
        <v>374</v>
      </c>
      <c r="D618" t="s">
        <v>700</v>
      </c>
      <c r="E618" t="s">
        <v>370</v>
      </c>
      <c r="F618">
        <v>2</v>
      </c>
      <c r="G618" t="s">
        <v>657</v>
      </c>
      <c r="H618" s="1">
        <v>46357</v>
      </c>
      <c r="I618" t="s">
        <v>658</v>
      </c>
      <c r="J618">
        <v>1</v>
      </c>
      <c r="K618" s="1">
        <v>46357</v>
      </c>
      <c r="L618" s="8">
        <v>450000</v>
      </c>
    </row>
    <row r="619" spans="1:12" x14ac:dyDescent="0.25">
      <c r="A619" t="s">
        <v>702</v>
      </c>
      <c r="B619" t="s">
        <v>2199</v>
      </c>
      <c r="C619" t="s">
        <v>374</v>
      </c>
      <c r="D619" t="s">
        <v>703</v>
      </c>
      <c r="E619" t="s">
        <v>705</v>
      </c>
      <c r="F619">
        <v>1</v>
      </c>
      <c r="G619" t="s">
        <v>657</v>
      </c>
      <c r="H619" s="1">
        <v>46266</v>
      </c>
      <c r="I619" t="s">
        <v>658</v>
      </c>
      <c r="J619">
        <v>1</v>
      </c>
      <c r="K619" s="1">
        <v>46266</v>
      </c>
      <c r="L619" s="8">
        <v>625000</v>
      </c>
    </row>
    <row r="620" spans="1:12" x14ac:dyDescent="0.25">
      <c r="A620" t="s">
        <v>709</v>
      </c>
      <c r="B620" t="s">
        <v>2199</v>
      </c>
      <c r="C620" t="s">
        <v>374</v>
      </c>
      <c r="D620" t="s">
        <v>710</v>
      </c>
      <c r="E620" t="s">
        <v>712</v>
      </c>
      <c r="F620">
        <v>1</v>
      </c>
      <c r="G620" t="s">
        <v>590</v>
      </c>
      <c r="H620" s="1">
        <v>46082</v>
      </c>
      <c r="I620" t="s">
        <v>591</v>
      </c>
      <c r="J620">
        <v>1</v>
      </c>
      <c r="K620" s="1">
        <v>46082</v>
      </c>
      <c r="L620" s="8">
        <v>150000</v>
      </c>
    </row>
    <row r="621" spans="1:12" x14ac:dyDescent="0.25">
      <c r="A621" t="s">
        <v>737</v>
      </c>
      <c r="B621" t="s">
        <v>2199</v>
      </c>
      <c r="C621" t="s">
        <v>374</v>
      </c>
      <c r="D621" t="s">
        <v>738</v>
      </c>
      <c r="E621" t="s">
        <v>740</v>
      </c>
      <c r="F621">
        <v>2</v>
      </c>
      <c r="G621" t="s">
        <v>657</v>
      </c>
      <c r="H621" s="1">
        <v>46023</v>
      </c>
      <c r="I621" t="s">
        <v>658</v>
      </c>
      <c r="J621">
        <v>1</v>
      </c>
      <c r="K621" s="1">
        <v>46023</v>
      </c>
      <c r="L621" s="8">
        <v>2272800</v>
      </c>
    </row>
    <row r="622" spans="1:12" x14ac:dyDescent="0.25">
      <c r="A622" t="s">
        <v>737</v>
      </c>
      <c r="B622" t="s">
        <v>2199</v>
      </c>
      <c r="C622" t="s">
        <v>374</v>
      </c>
      <c r="D622" t="s">
        <v>738</v>
      </c>
      <c r="E622" t="s">
        <v>195</v>
      </c>
      <c r="F622">
        <v>2</v>
      </c>
      <c r="G622" t="s">
        <v>657</v>
      </c>
      <c r="H622" s="1">
        <v>46023</v>
      </c>
      <c r="I622" t="s">
        <v>658</v>
      </c>
      <c r="J622">
        <v>1</v>
      </c>
      <c r="K622" s="1">
        <v>46023</v>
      </c>
      <c r="L622" s="8">
        <v>500080</v>
      </c>
    </row>
    <row r="623" spans="1:12" x14ac:dyDescent="0.25">
      <c r="A623" t="s">
        <v>741</v>
      </c>
      <c r="B623" t="s">
        <v>2199</v>
      </c>
      <c r="C623" t="s">
        <v>374</v>
      </c>
      <c r="D623" t="s">
        <v>742</v>
      </c>
      <c r="E623" t="s">
        <v>486</v>
      </c>
      <c r="F623">
        <v>1</v>
      </c>
      <c r="G623" t="s">
        <v>657</v>
      </c>
      <c r="H623" s="1">
        <v>46082</v>
      </c>
      <c r="I623" t="s">
        <v>658</v>
      </c>
      <c r="J623">
        <v>1</v>
      </c>
      <c r="K623" s="1">
        <v>46082</v>
      </c>
      <c r="L623" s="8">
        <v>1468231</v>
      </c>
    </row>
    <row r="624" spans="1:12" x14ac:dyDescent="0.25">
      <c r="A624" t="s">
        <v>749</v>
      </c>
      <c r="B624" t="s">
        <v>2199</v>
      </c>
      <c r="C624" t="s">
        <v>374</v>
      </c>
      <c r="D624" t="s">
        <v>750</v>
      </c>
      <c r="E624" t="s">
        <v>752</v>
      </c>
      <c r="F624">
        <v>1</v>
      </c>
      <c r="G624" t="s">
        <v>657</v>
      </c>
      <c r="H624" s="1">
        <v>46113</v>
      </c>
      <c r="I624" t="s">
        <v>658</v>
      </c>
      <c r="J624">
        <v>1</v>
      </c>
      <c r="K624" s="1">
        <v>46113</v>
      </c>
      <c r="L624" s="8">
        <v>350000</v>
      </c>
    </row>
    <row r="625" spans="1:12" x14ac:dyDescent="0.25">
      <c r="A625" t="s">
        <v>753</v>
      </c>
      <c r="B625" t="s">
        <v>2199</v>
      </c>
      <c r="C625" t="s">
        <v>374</v>
      </c>
      <c r="D625" t="s">
        <v>754</v>
      </c>
      <c r="E625" t="s">
        <v>359</v>
      </c>
      <c r="F625">
        <v>1</v>
      </c>
      <c r="G625" t="s">
        <v>657</v>
      </c>
      <c r="H625" s="1">
        <v>46082</v>
      </c>
      <c r="I625" t="s">
        <v>658</v>
      </c>
      <c r="J625">
        <v>1</v>
      </c>
      <c r="K625" s="1">
        <v>46082</v>
      </c>
      <c r="L625" s="8">
        <v>1287890</v>
      </c>
    </row>
    <row r="626" spans="1:12" x14ac:dyDescent="0.25">
      <c r="A626" t="s">
        <v>765</v>
      </c>
      <c r="B626" t="s">
        <v>2199</v>
      </c>
      <c r="C626" t="s">
        <v>374</v>
      </c>
      <c r="D626" t="s">
        <v>766</v>
      </c>
      <c r="E626" t="s">
        <v>359</v>
      </c>
      <c r="F626">
        <v>4</v>
      </c>
      <c r="G626" t="s">
        <v>768</v>
      </c>
      <c r="H626" s="1">
        <v>46082</v>
      </c>
      <c r="I626" t="s">
        <v>386</v>
      </c>
      <c r="J626">
        <v>1</v>
      </c>
      <c r="K626" s="1">
        <v>46082</v>
      </c>
      <c r="L626" s="8">
        <v>180435</v>
      </c>
    </row>
    <row r="627" spans="1:12" x14ac:dyDescent="0.25">
      <c r="A627" t="s">
        <v>765</v>
      </c>
      <c r="B627" t="s">
        <v>2199</v>
      </c>
      <c r="C627" t="s">
        <v>374</v>
      </c>
      <c r="D627" t="s">
        <v>766</v>
      </c>
      <c r="E627" t="s">
        <v>771</v>
      </c>
      <c r="F627">
        <v>4</v>
      </c>
      <c r="G627" t="s">
        <v>768</v>
      </c>
      <c r="H627" s="1">
        <v>46082</v>
      </c>
      <c r="I627" t="s">
        <v>386</v>
      </c>
      <c r="J627">
        <v>1</v>
      </c>
      <c r="K627" s="1">
        <v>46082</v>
      </c>
      <c r="L627" s="8">
        <v>27000</v>
      </c>
    </row>
    <row r="628" spans="1:12" x14ac:dyDescent="0.25">
      <c r="A628" t="s">
        <v>765</v>
      </c>
      <c r="B628" t="s">
        <v>2199</v>
      </c>
      <c r="C628" t="s">
        <v>374</v>
      </c>
      <c r="D628" t="s">
        <v>766</v>
      </c>
      <c r="E628" t="s">
        <v>195</v>
      </c>
      <c r="F628">
        <v>4</v>
      </c>
      <c r="G628" t="s">
        <v>768</v>
      </c>
      <c r="H628" s="1">
        <v>46082</v>
      </c>
      <c r="I628" t="s">
        <v>386</v>
      </c>
      <c r="J628">
        <v>1</v>
      </c>
      <c r="K628" s="1">
        <v>46082</v>
      </c>
      <c r="L628" s="8">
        <v>24399</v>
      </c>
    </row>
    <row r="629" spans="1:12" x14ac:dyDescent="0.25">
      <c r="A629" t="s">
        <v>765</v>
      </c>
      <c r="B629" t="s">
        <v>2199</v>
      </c>
      <c r="C629" t="s">
        <v>374</v>
      </c>
      <c r="D629" t="s">
        <v>766</v>
      </c>
      <c r="E629" t="s">
        <v>772</v>
      </c>
      <c r="F629">
        <v>4</v>
      </c>
      <c r="G629" t="s">
        <v>768</v>
      </c>
      <c r="H629" s="1">
        <v>46082</v>
      </c>
      <c r="I629" t="s">
        <v>386</v>
      </c>
      <c r="J629">
        <v>1</v>
      </c>
      <c r="K629" s="1">
        <v>46082</v>
      </c>
      <c r="L629" s="8">
        <v>52000</v>
      </c>
    </row>
    <row r="630" spans="1:12" x14ac:dyDescent="0.25">
      <c r="A630" t="s">
        <v>782</v>
      </c>
      <c r="B630" t="s">
        <v>2199</v>
      </c>
      <c r="C630" t="s">
        <v>374</v>
      </c>
      <c r="D630" t="s">
        <v>784</v>
      </c>
      <c r="E630" t="s">
        <v>359</v>
      </c>
      <c r="F630">
        <v>2</v>
      </c>
      <c r="G630" t="s">
        <v>768</v>
      </c>
      <c r="H630" s="1">
        <v>46023</v>
      </c>
      <c r="I630" t="s">
        <v>386</v>
      </c>
      <c r="J630">
        <v>1</v>
      </c>
      <c r="K630" s="1">
        <v>46023</v>
      </c>
      <c r="L630" s="8">
        <v>118594</v>
      </c>
    </row>
    <row r="631" spans="1:12" x14ac:dyDescent="0.25">
      <c r="A631" t="s">
        <v>782</v>
      </c>
      <c r="B631" t="s">
        <v>2199</v>
      </c>
      <c r="C631" t="s">
        <v>374</v>
      </c>
      <c r="D631" t="s">
        <v>784</v>
      </c>
      <c r="E631" t="s">
        <v>786</v>
      </c>
      <c r="F631">
        <v>2</v>
      </c>
      <c r="G631" t="s">
        <v>768</v>
      </c>
      <c r="H631" s="1">
        <v>46023</v>
      </c>
      <c r="I631" t="s">
        <v>386</v>
      </c>
      <c r="J631">
        <v>1</v>
      </c>
      <c r="K631" s="1">
        <v>46023</v>
      </c>
      <c r="L631" s="8">
        <v>147830</v>
      </c>
    </row>
    <row r="632" spans="1:12" x14ac:dyDescent="0.25">
      <c r="A632" t="s">
        <v>794</v>
      </c>
      <c r="B632" t="s">
        <v>2199</v>
      </c>
      <c r="C632" t="s">
        <v>374</v>
      </c>
      <c r="D632" t="s">
        <v>795</v>
      </c>
      <c r="E632" t="s">
        <v>740</v>
      </c>
      <c r="F632">
        <v>3</v>
      </c>
      <c r="G632" t="s">
        <v>768</v>
      </c>
      <c r="H632" s="1">
        <v>46023</v>
      </c>
      <c r="I632" t="s">
        <v>386</v>
      </c>
      <c r="J632">
        <v>1</v>
      </c>
      <c r="K632" s="1">
        <v>46023</v>
      </c>
      <c r="L632" s="8">
        <v>25200</v>
      </c>
    </row>
    <row r="633" spans="1:12" x14ac:dyDescent="0.25">
      <c r="A633" t="s">
        <v>794</v>
      </c>
      <c r="B633" t="s">
        <v>2199</v>
      </c>
      <c r="C633" t="s">
        <v>374</v>
      </c>
      <c r="D633" t="s">
        <v>795</v>
      </c>
      <c r="E633" t="s">
        <v>798</v>
      </c>
      <c r="F633">
        <v>3</v>
      </c>
      <c r="G633" t="s">
        <v>768</v>
      </c>
      <c r="H633" s="1">
        <v>46023</v>
      </c>
      <c r="I633" t="s">
        <v>386</v>
      </c>
      <c r="J633">
        <v>1</v>
      </c>
      <c r="K633" s="1">
        <v>46023</v>
      </c>
      <c r="L633" s="8">
        <v>13600</v>
      </c>
    </row>
    <row r="634" spans="1:12" x14ac:dyDescent="0.25">
      <c r="A634" t="s">
        <v>794</v>
      </c>
      <c r="B634" t="s">
        <v>2199</v>
      </c>
      <c r="C634" t="s">
        <v>374</v>
      </c>
      <c r="D634" t="s">
        <v>795</v>
      </c>
      <c r="E634" t="s">
        <v>797</v>
      </c>
      <c r="F634">
        <v>3</v>
      </c>
      <c r="G634" t="s">
        <v>768</v>
      </c>
      <c r="H634" s="1">
        <v>46023</v>
      </c>
      <c r="I634" t="s">
        <v>386</v>
      </c>
      <c r="J634">
        <v>1</v>
      </c>
      <c r="K634" s="1">
        <v>46023</v>
      </c>
      <c r="L634" s="8">
        <v>464280</v>
      </c>
    </row>
    <row r="635" spans="1:12" x14ac:dyDescent="0.25">
      <c r="A635" t="s">
        <v>799</v>
      </c>
      <c r="B635" t="s">
        <v>2199</v>
      </c>
      <c r="C635" t="s">
        <v>374</v>
      </c>
      <c r="D635" t="s">
        <v>801</v>
      </c>
      <c r="E635" t="s">
        <v>359</v>
      </c>
      <c r="F635">
        <v>2</v>
      </c>
      <c r="G635" t="s">
        <v>768</v>
      </c>
      <c r="H635" s="1">
        <v>46054</v>
      </c>
      <c r="I635" t="s">
        <v>386</v>
      </c>
      <c r="J635">
        <v>1</v>
      </c>
      <c r="K635" s="1">
        <v>46054</v>
      </c>
      <c r="L635" s="8">
        <v>13052</v>
      </c>
    </row>
    <row r="636" spans="1:12" x14ac:dyDescent="0.25">
      <c r="A636" t="s">
        <v>799</v>
      </c>
      <c r="B636" t="s">
        <v>2199</v>
      </c>
      <c r="C636" t="s">
        <v>374</v>
      </c>
      <c r="D636" t="s">
        <v>801</v>
      </c>
      <c r="E636" t="s">
        <v>786</v>
      </c>
      <c r="F636">
        <v>2</v>
      </c>
      <c r="G636" t="s">
        <v>768</v>
      </c>
      <c r="H636" s="1">
        <v>46054</v>
      </c>
      <c r="I636" t="s">
        <v>386</v>
      </c>
      <c r="J636">
        <v>1</v>
      </c>
      <c r="K636" s="1">
        <v>46054</v>
      </c>
      <c r="L636" s="8">
        <v>72618</v>
      </c>
    </row>
    <row r="637" spans="1:12" x14ac:dyDescent="0.25">
      <c r="A637" t="s">
        <v>822</v>
      </c>
      <c r="B637" t="s">
        <v>2199</v>
      </c>
      <c r="C637" t="s">
        <v>374</v>
      </c>
      <c r="D637" t="s">
        <v>823</v>
      </c>
      <c r="E637" t="s">
        <v>359</v>
      </c>
      <c r="F637">
        <v>3</v>
      </c>
      <c r="G637" t="s">
        <v>768</v>
      </c>
      <c r="H637" s="1">
        <v>46023</v>
      </c>
      <c r="I637" t="s">
        <v>386</v>
      </c>
      <c r="J637">
        <v>1</v>
      </c>
      <c r="K637" s="1">
        <v>46023</v>
      </c>
      <c r="L637" s="8">
        <v>144000</v>
      </c>
    </row>
    <row r="638" spans="1:12" x14ac:dyDescent="0.25">
      <c r="A638" t="s">
        <v>822</v>
      </c>
      <c r="B638" t="s">
        <v>2199</v>
      </c>
      <c r="C638" t="s">
        <v>374</v>
      </c>
      <c r="D638" t="s">
        <v>823</v>
      </c>
      <c r="E638" t="s">
        <v>826</v>
      </c>
      <c r="F638">
        <v>3</v>
      </c>
      <c r="G638" t="s">
        <v>768</v>
      </c>
      <c r="H638" s="1">
        <v>46023</v>
      </c>
      <c r="I638" t="s">
        <v>386</v>
      </c>
      <c r="J638">
        <v>1</v>
      </c>
      <c r="K638" s="1">
        <v>46023</v>
      </c>
      <c r="L638" s="8">
        <v>116012</v>
      </c>
    </row>
    <row r="639" spans="1:12" x14ac:dyDescent="0.25">
      <c r="A639" t="s">
        <v>822</v>
      </c>
      <c r="B639" t="s">
        <v>2199</v>
      </c>
      <c r="C639" t="s">
        <v>374</v>
      </c>
      <c r="D639" t="s">
        <v>823</v>
      </c>
      <c r="E639" t="s">
        <v>825</v>
      </c>
      <c r="F639">
        <v>3</v>
      </c>
      <c r="G639" t="s">
        <v>768</v>
      </c>
      <c r="H639" s="1">
        <v>46023</v>
      </c>
      <c r="I639" t="s">
        <v>386</v>
      </c>
      <c r="J639">
        <v>1</v>
      </c>
      <c r="K639" s="1">
        <v>46023</v>
      </c>
      <c r="L639" s="8">
        <v>190000</v>
      </c>
    </row>
    <row r="640" spans="1:12" x14ac:dyDescent="0.25">
      <c r="A640" t="s">
        <v>841</v>
      </c>
      <c r="B640" t="s">
        <v>2199</v>
      </c>
      <c r="C640" t="s">
        <v>374</v>
      </c>
      <c r="D640" t="s">
        <v>843</v>
      </c>
      <c r="E640" t="s">
        <v>846</v>
      </c>
      <c r="F640">
        <v>2</v>
      </c>
      <c r="G640" t="s">
        <v>768</v>
      </c>
      <c r="H640" s="1">
        <v>46023</v>
      </c>
      <c r="I640" t="s">
        <v>386</v>
      </c>
      <c r="J640">
        <v>1</v>
      </c>
      <c r="K640" s="1">
        <v>46023</v>
      </c>
      <c r="L640" s="8">
        <v>45000</v>
      </c>
    </row>
    <row r="641" spans="1:12" x14ac:dyDescent="0.25">
      <c r="A641" t="s">
        <v>841</v>
      </c>
      <c r="B641" t="s">
        <v>2199</v>
      </c>
      <c r="C641" t="s">
        <v>374</v>
      </c>
      <c r="D641" t="s">
        <v>843</v>
      </c>
      <c r="E641" t="s">
        <v>845</v>
      </c>
      <c r="F641">
        <v>2</v>
      </c>
      <c r="G641" t="s">
        <v>768</v>
      </c>
      <c r="H641" s="1">
        <v>46023</v>
      </c>
      <c r="I641" t="s">
        <v>386</v>
      </c>
      <c r="J641">
        <v>1</v>
      </c>
      <c r="K641" s="1">
        <v>46023</v>
      </c>
      <c r="L641" s="8">
        <v>105000</v>
      </c>
    </row>
    <row r="642" spans="1:12" x14ac:dyDescent="0.25">
      <c r="A642" t="s">
        <v>847</v>
      </c>
      <c r="B642" t="s">
        <v>2199</v>
      </c>
      <c r="C642" t="s">
        <v>374</v>
      </c>
      <c r="D642" t="s">
        <v>848</v>
      </c>
      <c r="E642" t="s">
        <v>359</v>
      </c>
      <c r="F642">
        <v>2</v>
      </c>
      <c r="G642" t="s">
        <v>768</v>
      </c>
      <c r="H642" s="1">
        <v>46204</v>
      </c>
      <c r="I642" t="s">
        <v>386</v>
      </c>
      <c r="J642">
        <v>1</v>
      </c>
      <c r="K642" s="1">
        <v>46204</v>
      </c>
      <c r="L642" s="8">
        <v>37792</v>
      </c>
    </row>
    <row r="643" spans="1:12" x14ac:dyDescent="0.25">
      <c r="A643" t="s">
        <v>847</v>
      </c>
      <c r="B643" t="s">
        <v>2199</v>
      </c>
      <c r="C643" t="s">
        <v>374</v>
      </c>
      <c r="D643" t="s">
        <v>848</v>
      </c>
      <c r="E643" t="s">
        <v>850</v>
      </c>
      <c r="F643">
        <v>2</v>
      </c>
      <c r="G643" t="s">
        <v>768</v>
      </c>
      <c r="H643" s="1">
        <v>46204</v>
      </c>
      <c r="I643" t="s">
        <v>386</v>
      </c>
      <c r="J643">
        <v>1</v>
      </c>
      <c r="K643" s="1">
        <v>46204</v>
      </c>
      <c r="L643" s="8">
        <v>35001</v>
      </c>
    </row>
    <row r="644" spans="1:12" x14ac:dyDescent="0.25">
      <c r="A644" t="s">
        <v>851</v>
      </c>
      <c r="B644" t="s">
        <v>2199</v>
      </c>
      <c r="C644" t="s">
        <v>374</v>
      </c>
      <c r="D644" t="s">
        <v>852</v>
      </c>
      <c r="E644" t="s">
        <v>854</v>
      </c>
      <c r="F644">
        <v>3</v>
      </c>
      <c r="G644" t="s">
        <v>768</v>
      </c>
      <c r="H644" s="1">
        <v>46235</v>
      </c>
      <c r="I644" t="s">
        <v>386</v>
      </c>
      <c r="J644">
        <v>1</v>
      </c>
      <c r="K644" s="1">
        <v>46235</v>
      </c>
      <c r="L644" s="8">
        <v>74022</v>
      </c>
    </row>
    <row r="645" spans="1:12" x14ac:dyDescent="0.25">
      <c r="A645" t="s">
        <v>851</v>
      </c>
      <c r="B645" t="s">
        <v>2199</v>
      </c>
      <c r="C645" t="s">
        <v>374</v>
      </c>
      <c r="D645" t="s">
        <v>852</v>
      </c>
      <c r="E645" t="s">
        <v>855</v>
      </c>
      <c r="F645">
        <v>3</v>
      </c>
      <c r="G645" t="s">
        <v>768</v>
      </c>
      <c r="H645" s="1">
        <v>46235</v>
      </c>
      <c r="I645" t="s">
        <v>386</v>
      </c>
      <c r="J645">
        <v>1</v>
      </c>
      <c r="K645" s="1">
        <v>46235</v>
      </c>
      <c r="L645" s="8">
        <v>15000</v>
      </c>
    </row>
    <row r="646" spans="1:12" x14ac:dyDescent="0.25">
      <c r="A646" t="s">
        <v>851</v>
      </c>
      <c r="B646" t="s">
        <v>2199</v>
      </c>
      <c r="C646" t="s">
        <v>374</v>
      </c>
      <c r="D646" t="s">
        <v>852</v>
      </c>
      <c r="E646" t="s">
        <v>602</v>
      </c>
      <c r="F646">
        <v>3</v>
      </c>
      <c r="G646" t="s">
        <v>768</v>
      </c>
      <c r="H646" s="1">
        <v>46235</v>
      </c>
      <c r="I646" t="s">
        <v>386</v>
      </c>
      <c r="J646">
        <v>1</v>
      </c>
      <c r="K646" s="1">
        <v>46235</v>
      </c>
      <c r="L646" s="8">
        <v>500000</v>
      </c>
    </row>
    <row r="647" spans="1:12" x14ac:dyDescent="0.25">
      <c r="A647" t="s">
        <v>856</v>
      </c>
      <c r="B647" t="s">
        <v>2199</v>
      </c>
      <c r="C647" t="s">
        <v>374</v>
      </c>
      <c r="D647" t="s">
        <v>857</v>
      </c>
      <c r="E647" t="s">
        <v>859</v>
      </c>
      <c r="F647">
        <v>1</v>
      </c>
      <c r="G647" t="s">
        <v>768</v>
      </c>
      <c r="H647" s="1">
        <v>46082</v>
      </c>
      <c r="I647" t="s">
        <v>386</v>
      </c>
      <c r="J647">
        <v>1</v>
      </c>
      <c r="K647" s="1">
        <v>46082</v>
      </c>
      <c r="L647" s="8">
        <v>300000</v>
      </c>
    </row>
    <row r="648" spans="1:12" x14ac:dyDescent="0.25">
      <c r="A648" t="s">
        <v>915</v>
      </c>
      <c r="B648" t="s">
        <v>2199</v>
      </c>
      <c r="C648" t="s">
        <v>374</v>
      </c>
      <c r="D648" t="s">
        <v>916</v>
      </c>
      <c r="E648" t="s">
        <v>359</v>
      </c>
      <c r="F648">
        <v>4</v>
      </c>
      <c r="G648" t="s">
        <v>768</v>
      </c>
      <c r="H648" s="1">
        <v>46327</v>
      </c>
      <c r="I648" t="s">
        <v>386</v>
      </c>
      <c r="J648">
        <v>1</v>
      </c>
      <c r="K648" s="1">
        <v>46327</v>
      </c>
      <c r="L648" s="8">
        <v>85250</v>
      </c>
    </row>
    <row r="649" spans="1:12" x14ac:dyDescent="0.25">
      <c r="A649" t="s">
        <v>915</v>
      </c>
      <c r="B649" t="s">
        <v>2199</v>
      </c>
      <c r="C649" t="s">
        <v>374</v>
      </c>
      <c r="D649" t="s">
        <v>916</v>
      </c>
      <c r="E649" t="s">
        <v>918</v>
      </c>
      <c r="F649">
        <v>4</v>
      </c>
      <c r="G649" t="s">
        <v>768</v>
      </c>
      <c r="H649" s="1">
        <v>46327</v>
      </c>
      <c r="I649" t="s">
        <v>386</v>
      </c>
      <c r="J649">
        <v>1</v>
      </c>
      <c r="K649" s="1">
        <v>46327</v>
      </c>
      <c r="L649" s="8">
        <v>23700</v>
      </c>
    </row>
    <row r="650" spans="1:12" x14ac:dyDescent="0.25">
      <c r="A650" t="s">
        <v>915</v>
      </c>
      <c r="B650" t="s">
        <v>2199</v>
      </c>
      <c r="C650" t="s">
        <v>374</v>
      </c>
      <c r="D650" t="s">
        <v>916</v>
      </c>
      <c r="E650" t="s">
        <v>786</v>
      </c>
      <c r="F650">
        <v>4</v>
      </c>
      <c r="G650" t="s">
        <v>768</v>
      </c>
      <c r="H650" s="1">
        <v>46327</v>
      </c>
      <c r="I650" t="s">
        <v>386</v>
      </c>
      <c r="J650">
        <v>1</v>
      </c>
      <c r="K650" s="1">
        <v>46327</v>
      </c>
      <c r="L650" s="8">
        <v>40920</v>
      </c>
    </row>
    <row r="651" spans="1:12" x14ac:dyDescent="0.25">
      <c r="A651" t="s">
        <v>915</v>
      </c>
      <c r="B651" t="s">
        <v>2199</v>
      </c>
      <c r="C651" t="s">
        <v>374</v>
      </c>
      <c r="D651" t="s">
        <v>916</v>
      </c>
      <c r="E651" t="s">
        <v>602</v>
      </c>
      <c r="F651">
        <v>4</v>
      </c>
      <c r="G651" t="s">
        <v>768</v>
      </c>
      <c r="H651" s="1">
        <v>46327</v>
      </c>
      <c r="I651" t="s">
        <v>386</v>
      </c>
      <c r="J651">
        <v>1</v>
      </c>
      <c r="K651" s="1">
        <v>46327</v>
      </c>
      <c r="L651" s="8">
        <v>250000</v>
      </c>
    </row>
    <row r="652" spans="1:12" x14ac:dyDescent="0.25">
      <c r="A652" t="s">
        <v>919</v>
      </c>
      <c r="B652" t="s">
        <v>2199</v>
      </c>
      <c r="C652" t="s">
        <v>374</v>
      </c>
      <c r="D652" t="s">
        <v>920</v>
      </c>
      <c r="E652" t="s">
        <v>786</v>
      </c>
      <c r="F652">
        <v>1</v>
      </c>
      <c r="G652" t="s">
        <v>768</v>
      </c>
      <c r="H652" s="1">
        <v>46023</v>
      </c>
      <c r="I652" t="s">
        <v>386</v>
      </c>
      <c r="J652">
        <v>1</v>
      </c>
      <c r="K652" s="1">
        <v>46023</v>
      </c>
      <c r="L652" s="8">
        <v>159016</v>
      </c>
    </row>
    <row r="653" spans="1:12" x14ac:dyDescent="0.25">
      <c r="A653" t="s">
        <v>927</v>
      </c>
      <c r="B653" t="s">
        <v>2199</v>
      </c>
      <c r="C653" t="s">
        <v>374</v>
      </c>
      <c r="D653" t="s">
        <v>928</v>
      </c>
      <c r="E653" t="s">
        <v>359</v>
      </c>
      <c r="F653">
        <v>3</v>
      </c>
      <c r="G653" t="s">
        <v>768</v>
      </c>
      <c r="H653" s="1">
        <v>46054</v>
      </c>
      <c r="I653" t="s">
        <v>386</v>
      </c>
      <c r="J653">
        <v>1</v>
      </c>
      <c r="K653" s="1">
        <v>46054</v>
      </c>
      <c r="L653" s="8">
        <v>392191</v>
      </c>
    </row>
    <row r="654" spans="1:12" x14ac:dyDescent="0.25">
      <c r="A654" t="s">
        <v>927</v>
      </c>
      <c r="B654" t="s">
        <v>2199</v>
      </c>
      <c r="C654" t="s">
        <v>374</v>
      </c>
      <c r="D654" t="s">
        <v>928</v>
      </c>
      <c r="E654" t="s">
        <v>855</v>
      </c>
      <c r="F654">
        <v>3</v>
      </c>
      <c r="G654" t="s">
        <v>768</v>
      </c>
      <c r="H654" s="1">
        <v>46054</v>
      </c>
      <c r="I654" t="s">
        <v>386</v>
      </c>
      <c r="J654">
        <v>1</v>
      </c>
      <c r="K654" s="1">
        <v>46054</v>
      </c>
      <c r="L654" s="8">
        <v>39600</v>
      </c>
    </row>
    <row r="655" spans="1:12" x14ac:dyDescent="0.25">
      <c r="A655" t="s">
        <v>927</v>
      </c>
      <c r="B655" t="s">
        <v>2199</v>
      </c>
      <c r="C655" t="s">
        <v>374</v>
      </c>
      <c r="D655" t="s">
        <v>928</v>
      </c>
      <c r="E655" t="s">
        <v>602</v>
      </c>
      <c r="F655">
        <v>3</v>
      </c>
      <c r="G655" t="s">
        <v>768</v>
      </c>
      <c r="H655" s="1">
        <v>46054</v>
      </c>
      <c r="I655" t="s">
        <v>386</v>
      </c>
      <c r="J655">
        <v>1</v>
      </c>
      <c r="K655" s="1">
        <v>46054</v>
      </c>
      <c r="L655" s="8">
        <v>700000</v>
      </c>
    </row>
    <row r="656" spans="1:12" x14ac:dyDescent="0.25">
      <c r="A656" t="s">
        <v>1030</v>
      </c>
      <c r="B656" t="s">
        <v>2199</v>
      </c>
      <c r="C656" t="s">
        <v>374</v>
      </c>
      <c r="D656" t="s">
        <v>1032</v>
      </c>
      <c r="E656" t="s">
        <v>359</v>
      </c>
      <c r="F656">
        <v>2</v>
      </c>
      <c r="G656" t="s">
        <v>1035</v>
      </c>
      <c r="H656" s="1">
        <v>46082</v>
      </c>
      <c r="I656" t="s">
        <v>1036</v>
      </c>
      <c r="J656">
        <v>1</v>
      </c>
      <c r="K656" s="1">
        <v>46082</v>
      </c>
      <c r="L656" s="8">
        <v>9200000</v>
      </c>
    </row>
    <row r="657" spans="1:12" x14ac:dyDescent="0.25">
      <c r="A657" t="s">
        <v>1030</v>
      </c>
      <c r="B657" t="s">
        <v>2199</v>
      </c>
      <c r="C657" t="s">
        <v>374</v>
      </c>
      <c r="D657" t="s">
        <v>1032</v>
      </c>
      <c r="E657" t="s">
        <v>1034</v>
      </c>
      <c r="F657">
        <v>2</v>
      </c>
      <c r="G657" t="s">
        <v>1035</v>
      </c>
      <c r="H657" s="1">
        <v>46082</v>
      </c>
      <c r="I657" t="s">
        <v>1036</v>
      </c>
      <c r="J657">
        <v>1</v>
      </c>
      <c r="K657" s="1">
        <v>46082</v>
      </c>
      <c r="L657" s="8">
        <v>21200000</v>
      </c>
    </row>
    <row r="658" spans="1:12" x14ac:dyDescent="0.25">
      <c r="A658" t="s">
        <v>1052</v>
      </c>
      <c r="B658" t="s">
        <v>2199</v>
      </c>
      <c r="C658" t="s">
        <v>374</v>
      </c>
      <c r="D658" t="s">
        <v>1053</v>
      </c>
      <c r="E658" t="s">
        <v>359</v>
      </c>
      <c r="F658">
        <v>2</v>
      </c>
      <c r="G658" t="s">
        <v>768</v>
      </c>
      <c r="H658" s="1">
        <v>46082</v>
      </c>
      <c r="I658" t="s">
        <v>386</v>
      </c>
      <c r="J658">
        <v>1</v>
      </c>
      <c r="K658" s="1">
        <v>46082</v>
      </c>
      <c r="L658" s="8">
        <v>176460</v>
      </c>
    </row>
    <row r="659" spans="1:12" x14ac:dyDescent="0.25">
      <c r="A659" t="s">
        <v>1052</v>
      </c>
      <c r="B659" t="s">
        <v>2199</v>
      </c>
      <c r="C659" t="s">
        <v>374</v>
      </c>
      <c r="D659" t="s">
        <v>1053</v>
      </c>
      <c r="E659" t="s">
        <v>855</v>
      </c>
      <c r="F659">
        <v>2</v>
      </c>
      <c r="G659" t="s">
        <v>768</v>
      </c>
      <c r="H659" s="1">
        <v>46082</v>
      </c>
      <c r="I659" t="s">
        <v>386</v>
      </c>
      <c r="J659">
        <v>1</v>
      </c>
      <c r="K659" s="1">
        <v>46082</v>
      </c>
      <c r="L659" s="8">
        <v>35400</v>
      </c>
    </row>
    <row r="660" spans="1:12" x14ac:dyDescent="0.25">
      <c r="A660" t="s">
        <v>1055</v>
      </c>
      <c r="B660" t="s">
        <v>2199</v>
      </c>
      <c r="C660" t="s">
        <v>374</v>
      </c>
      <c r="D660" t="s">
        <v>1056</v>
      </c>
      <c r="E660" t="s">
        <v>359</v>
      </c>
      <c r="F660">
        <v>4</v>
      </c>
      <c r="G660" t="s">
        <v>768</v>
      </c>
      <c r="H660" s="1">
        <v>46082</v>
      </c>
      <c r="I660" t="s">
        <v>386</v>
      </c>
      <c r="J660">
        <v>1</v>
      </c>
      <c r="K660" s="1">
        <v>46082</v>
      </c>
      <c r="L660" s="8">
        <v>176460</v>
      </c>
    </row>
    <row r="661" spans="1:12" x14ac:dyDescent="0.25">
      <c r="A661" t="s">
        <v>1055</v>
      </c>
      <c r="B661" t="s">
        <v>2199</v>
      </c>
      <c r="C661" t="s">
        <v>374</v>
      </c>
      <c r="D661" t="s">
        <v>1056</v>
      </c>
      <c r="E661" t="s">
        <v>486</v>
      </c>
      <c r="F661">
        <v>4</v>
      </c>
      <c r="G661" t="s">
        <v>768</v>
      </c>
      <c r="H661" s="1">
        <v>46082</v>
      </c>
      <c r="I661" t="s">
        <v>386</v>
      </c>
      <c r="J661">
        <v>1</v>
      </c>
      <c r="K661" s="1">
        <v>46082</v>
      </c>
      <c r="L661" s="8">
        <v>15000</v>
      </c>
    </row>
    <row r="662" spans="1:12" x14ac:dyDescent="0.25">
      <c r="A662" t="s">
        <v>1055</v>
      </c>
      <c r="B662" t="s">
        <v>2199</v>
      </c>
      <c r="C662" t="s">
        <v>374</v>
      </c>
      <c r="D662" t="s">
        <v>1056</v>
      </c>
      <c r="E662" t="s">
        <v>855</v>
      </c>
      <c r="F662">
        <v>4</v>
      </c>
      <c r="G662" t="s">
        <v>768</v>
      </c>
      <c r="H662" s="1">
        <v>46082</v>
      </c>
      <c r="I662" t="s">
        <v>386</v>
      </c>
      <c r="J662">
        <v>1</v>
      </c>
      <c r="K662" s="1">
        <v>46082</v>
      </c>
      <c r="L662" s="8">
        <v>20400</v>
      </c>
    </row>
    <row r="663" spans="1:12" x14ac:dyDescent="0.25">
      <c r="A663" t="s">
        <v>1055</v>
      </c>
      <c r="B663" t="s">
        <v>2199</v>
      </c>
      <c r="C663" t="s">
        <v>374</v>
      </c>
      <c r="D663" t="s">
        <v>1056</v>
      </c>
      <c r="E663" t="s">
        <v>1058</v>
      </c>
      <c r="F663">
        <v>4</v>
      </c>
      <c r="G663" t="s">
        <v>768</v>
      </c>
      <c r="H663" s="1">
        <v>46082</v>
      </c>
      <c r="I663" t="s">
        <v>386</v>
      </c>
      <c r="J663">
        <v>1</v>
      </c>
      <c r="K663" s="1">
        <v>46082</v>
      </c>
      <c r="L663" s="8">
        <v>52000</v>
      </c>
    </row>
    <row r="664" spans="1:12" x14ac:dyDescent="0.25">
      <c r="A664" t="s">
        <v>1066</v>
      </c>
      <c r="B664" t="s">
        <v>2199</v>
      </c>
      <c r="C664" t="s">
        <v>374</v>
      </c>
      <c r="D664" t="s">
        <v>1067</v>
      </c>
      <c r="E664" t="s">
        <v>486</v>
      </c>
      <c r="F664">
        <v>2</v>
      </c>
      <c r="G664" t="s">
        <v>790</v>
      </c>
      <c r="H664" s="1">
        <v>46266</v>
      </c>
      <c r="I664" t="s">
        <v>791</v>
      </c>
      <c r="J664">
        <v>1</v>
      </c>
      <c r="K664" s="1">
        <v>46296</v>
      </c>
      <c r="L664" s="8">
        <v>250000</v>
      </c>
    </row>
    <row r="665" spans="1:12" x14ac:dyDescent="0.25">
      <c r="A665" t="s">
        <v>1066</v>
      </c>
      <c r="B665" t="s">
        <v>2199</v>
      </c>
      <c r="C665" t="s">
        <v>374</v>
      </c>
      <c r="D665" t="s">
        <v>1067</v>
      </c>
      <c r="E665" t="s">
        <v>602</v>
      </c>
      <c r="F665">
        <v>2</v>
      </c>
      <c r="G665" t="s">
        <v>790</v>
      </c>
      <c r="H665" s="1">
        <v>46296</v>
      </c>
      <c r="I665" t="s">
        <v>791</v>
      </c>
      <c r="J665">
        <v>1</v>
      </c>
      <c r="K665" s="1">
        <v>46296</v>
      </c>
      <c r="L665" s="8">
        <v>1500000</v>
      </c>
    </row>
    <row r="666" spans="1:12" x14ac:dyDescent="0.25">
      <c r="A666" t="s">
        <v>1143</v>
      </c>
      <c r="B666" t="s">
        <v>2199</v>
      </c>
      <c r="C666" t="s">
        <v>374</v>
      </c>
      <c r="D666" t="s">
        <v>1144</v>
      </c>
      <c r="E666" t="s">
        <v>359</v>
      </c>
      <c r="F666">
        <v>4</v>
      </c>
      <c r="G666" t="s">
        <v>768</v>
      </c>
      <c r="H666" s="1">
        <v>46235</v>
      </c>
      <c r="I666" t="s">
        <v>386</v>
      </c>
      <c r="J666">
        <v>1</v>
      </c>
      <c r="K666" s="1">
        <v>46235</v>
      </c>
      <c r="L666" s="8">
        <v>89504</v>
      </c>
    </row>
    <row r="667" spans="1:12" x14ac:dyDescent="0.25">
      <c r="A667" t="s">
        <v>1143</v>
      </c>
      <c r="B667" t="s">
        <v>2199</v>
      </c>
      <c r="C667" t="s">
        <v>374</v>
      </c>
      <c r="D667" t="s">
        <v>1144</v>
      </c>
      <c r="E667" t="s">
        <v>1148</v>
      </c>
      <c r="F667">
        <v>4</v>
      </c>
      <c r="G667" t="s">
        <v>768</v>
      </c>
      <c r="H667" s="1">
        <v>46235</v>
      </c>
      <c r="I667" t="s">
        <v>386</v>
      </c>
      <c r="J667">
        <v>1</v>
      </c>
      <c r="K667" s="1">
        <v>46235</v>
      </c>
      <c r="L667" s="8">
        <v>110000</v>
      </c>
    </row>
    <row r="668" spans="1:12" x14ac:dyDescent="0.25">
      <c r="A668" t="s">
        <v>1143</v>
      </c>
      <c r="B668" t="s">
        <v>2199</v>
      </c>
      <c r="C668" t="s">
        <v>374</v>
      </c>
      <c r="D668" t="s">
        <v>1144</v>
      </c>
      <c r="E668" t="s">
        <v>1147</v>
      </c>
      <c r="F668">
        <v>4</v>
      </c>
      <c r="G668" t="s">
        <v>768</v>
      </c>
      <c r="H668" s="1">
        <v>46235</v>
      </c>
      <c r="I668" t="s">
        <v>386</v>
      </c>
      <c r="J668">
        <v>1</v>
      </c>
      <c r="K668" s="1">
        <v>46235</v>
      </c>
      <c r="L668" s="8">
        <v>25000</v>
      </c>
    </row>
    <row r="669" spans="1:12" x14ac:dyDescent="0.25">
      <c r="A669" t="s">
        <v>1143</v>
      </c>
      <c r="B669" t="s">
        <v>2199</v>
      </c>
      <c r="C669" t="s">
        <v>374</v>
      </c>
      <c r="D669" t="s">
        <v>1144</v>
      </c>
      <c r="E669" t="s">
        <v>1146</v>
      </c>
      <c r="F669">
        <v>4</v>
      </c>
      <c r="G669" t="s">
        <v>768</v>
      </c>
      <c r="H669" s="1">
        <v>46235</v>
      </c>
      <c r="I669" t="s">
        <v>386</v>
      </c>
      <c r="J669">
        <v>1</v>
      </c>
      <c r="K669" s="1">
        <v>46235</v>
      </c>
      <c r="L669" s="8">
        <v>25000</v>
      </c>
    </row>
    <row r="670" spans="1:12" x14ac:dyDescent="0.25">
      <c r="A670" t="s">
        <v>1149</v>
      </c>
      <c r="B670" t="s">
        <v>2199</v>
      </c>
      <c r="C670" t="s">
        <v>374</v>
      </c>
      <c r="D670" t="s">
        <v>1150</v>
      </c>
      <c r="E670" t="s">
        <v>831</v>
      </c>
      <c r="F670">
        <v>3</v>
      </c>
      <c r="G670" t="s">
        <v>1152</v>
      </c>
      <c r="H670" s="1">
        <v>46113</v>
      </c>
      <c r="I670" t="s">
        <v>1153</v>
      </c>
      <c r="J670">
        <v>1</v>
      </c>
      <c r="K670" s="1">
        <v>46113</v>
      </c>
      <c r="L670" s="8">
        <v>50000</v>
      </c>
    </row>
    <row r="671" spans="1:12" x14ac:dyDescent="0.25">
      <c r="A671" t="s">
        <v>1149</v>
      </c>
      <c r="B671" t="s">
        <v>2199</v>
      </c>
      <c r="C671" t="s">
        <v>374</v>
      </c>
      <c r="D671" t="s">
        <v>1150</v>
      </c>
      <c r="E671" t="s">
        <v>486</v>
      </c>
      <c r="F671">
        <v>3</v>
      </c>
      <c r="G671" t="s">
        <v>1152</v>
      </c>
      <c r="H671" s="1">
        <v>46113</v>
      </c>
      <c r="I671" t="s">
        <v>1153</v>
      </c>
      <c r="J671">
        <v>1</v>
      </c>
      <c r="K671" s="1">
        <v>46113</v>
      </c>
      <c r="L671" s="8">
        <v>352240</v>
      </c>
    </row>
    <row r="672" spans="1:12" x14ac:dyDescent="0.25">
      <c r="A672" t="s">
        <v>1149</v>
      </c>
      <c r="B672" t="s">
        <v>2199</v>
      </c>
      <c r="C672" t="s">
        <v>374</v>
      </c>
      <c r="D672" t="s">
        <v>1150</v>
      </c>
      <c r="E672" t="s">
        <v>602</v>
      </c>
      <c r="F672">
        <v>3</v>
      </c>
      <c r="G672" t="s">
        <v>1152</v>
      </c>
      <c r="H672" s="1">
        <v>46113</v>
      </c>
      <c r="I672" t="s">
        <v>1153</v>
      </c>
      <c r="J672">
        <v>1</v>
      </c>
      <c r="K672" s="1">
        <v>46113</v>
      </c>
      <c r="L672" s="8">
        <v>270000</v>
      </c>
    </row>
    <row r="673" spans="1:12" x14ac:dyDescent="0.25">
      <c r="A673" t="s">
        <v>1171</v>
      </c>
      <c r="B673" t="s">
        <v>2199</v>
      </c>
      <c r="C673" t="s">
        <v>374</v>
      </c>
      <c r="D673" t="s">
        <v>1172</v>
      </c>
      <c r="E673" t="s">
        <v>780</v>
      </c>
      <c r="F673">
        <v>4</v>
      </c>
      <c r="G673" t="s">
        <v>1152</v>
      </c>
      <c r="H673" s="1">
        <v>46174</v>
      </c>
      <c r="I673" t="s">
        <v>1153</v>
      </c>
      <c r="J673">
        <v>1</v>
      </c>
      <c r="K673" s="1">
        <v>46174</v>
      </c>
      <c r="L673" s="8">
        <v>50000</v>
      </c>
    </row>
    <row r="674" spans="1:12" x14ac:dyDescent="0.25">
      <c r="A674" t="s">
        <v>1171</v>
      </c>
      <c r="B674" t="s">
        <v>2199</v>
      </c>
      <c r="C674" t="s">
        <v>374</v>
      </c>
      <c r="D674" t="s">
        <v>1172</v>
      </c>
      <c r="E674" t="s">
        <v>1175</v>
      </c>
      <c r="F674">
        <v>4</v>
      </c>
      <c r="G674" t="s">
        <v>1152</v>
      </c>
      <c r="H674" s="1">
        <v>46174</v>
      </c>
      <c r="I674" t="s">
        <v>1153</v>
      </c>
      <c r="J674">
        <v>1</v>
      </c>
      <c r="K674" s="1">
        <v>46174</v>
      </c>
      <c r="L674" s="8">
        <v>580665</v>
      </c>
    </row>
    <row r="675" spans="1:12" x14ac:dyDescent="0.25">
      <c r="A675" t="s">
        <v>1171</v>
      </c>
      <c r="B675" t="s">
        <v>2199</v>
      </c>
      <c r="C675" t="s">
        <v>374</v>
      </c>
      <c r="D675" t="s">
        <v>1172</v>
      </c>
      <c r="E675" t="s">
        <v>1174</v>
      </c>
      <c r="F675">
        <v>4</v>
      </c>
      <c r="G675" t="s">
        <v>1152</v>
      </c>
      <c r="H675" s="1">
        <v>46174</v>
      </c>
      <c r="I675" t="s">
        <v>1153</v>
      </c>
      <c r="J675">
        <v>1</v>
      </c>
      <c r="K675" s="1">
        <v>46174</v>
      </c>
      <c r="L675" s="8">
        <v>994896</v>
      </c>
    </row>
    <row r="676" spans="1:12" x14ac:dyDescent="0.25">
      <c r="A676" t="s">
        <v>1171</v>
      </c>
      <c r="B676" t="s">
        <v>2199</v>
      </c>
      <c r="C676" t="s">
        <v>374</v>
      </c>
      <c r="D676" t="s">
        <v>1172</v>
      </c>
      <c r="E676" t="s">
        <v>874</v>
      </c>
      <c r="F676">
        <v>4</v>
      </c>
      <c r="G676" t="s">
        <v>1152</v>
      </c>
      <c r="H676" s="1">
        <v>46174</v>
      </c>
      <c r="I676" t="s">
        <v>1153</v>
      </c>
      <c r="J676">
        <v>1</v>
      </c>
      <c r="K676" s="1">
        <v>46174</v>
      </c>
      <c r="L676" s="8">
        <v>1350000</v>
      </c>
    </row>
    <row r="677" spans="1:12" x14ac:dyDescent="0.25">
      <c r="A677" t="s">
        <v>1193</v>
      </c>
      <c r="B677" t="s">
        <v>2199</v>
      </c>
      <c r="C677" t="s">
        <v>374</v>
      </c>
      <c r="D677" t="s">
        <v>1194</v>
      </c>
      <c r="E677" t="s">
        <v>602</v>
      </c>
      <c r="F677">
        <v>2</v>
      </c>
      <c r="G677" t="s">
        <v>733</v>
      </c>
      <c r="H677" s="1">
        <v>46204</v>
      </c>
      <c r="I677" t="s">
        <v>734</v>
      </c>
      <c r="J677">
        <v>1</v>
      </c>
      <c r="K677" s="1">
        <v>46204</v>
      </c>
      <c r="L677" s="8">
        <v>750000</v>
      </c>
    </row>
    <row r="678" spans="1:12" x14ac:dyDescent="0.25">
      <c r="A678" t="s">
        <v>1193</v>
      </c>
      <c r="B678" t="s">
        <v>2199</v>
      </c>
      <c r="C678" t="s">
        <v>374</v>
      </c>
      <c r="D678" t="s">
        <v>1194</v>
      </c>
      <c r="E678" t="s">
        <v>602</v>
      </c>
      <c r="F678">
        <v>2</v>
      </c>
      <c r="G678" t="s">
        <v>733</v>
      </c>
      <c r="H678" s="1">
        <v>46296</v>
      </c>
      <c r="I678" t="s">
        <v>734</v>
      </c>
      <c r="J678">
        <v>1</v>
      </c>
      <c r="K678" s="1">
        <v>46296</v>
      </c>
      <c r="L678" s="8">
        <v>750000</v>
      </c>
    </row>
    <row r="679" spans="1:12" x14ac:dyDescent="0.25">
      <c r="A679" t="s">
        <v>1264</v>
      </c>
      <c r="B679" t="s">
        <v>2199</v>
      </c>
      <c r="C679" t="s">
        <v>374</v>
      </c>
      <c r="D679" t="s">
        <v>1266</v>
      </c>
      <c r="E679" t="s">
        <v>1268</v>
      </c>
      <c r="F679">
        <v>3</v>
      </c>
      <c r="G679" t="s">
        <v>768</v>
      </c>
      <c r="H679" s="1">
        <v>46082</v>
      </c>
      <c r="I679" t="s">
        <v>386</v>
      </c>
      <c r="J679">
        <v>1</v>
      </c>
      <c r="K679" s="1">
        <v>46082</v>
      </c>
      <c r="L679" s="8">
        <v>15600</v>
      </c>
    </row>
    <row r="680" spans="1:12" x14ac:dyDescent="0.25">
      <c r="A680" t="s">
        <v>1264</v>
      </c>
      <c r="B680" t="s">
        <v>2199</v>
      </c>
      <c r="C680" t="s">
        <v>374</v>
      </c>
      <c r="D680" t="s">
        <v>1266</v>
      </c>
      <c r="E680" t="s">
        <v>786</v>
      </c>
      <c r="F680">
        <v>3</v>
      </c>
      <c r="G680" t="s">
        <v>768</v>
      </c>
      <c r="H680" s="1">
        <v>46082</v>
      </c>
      <c r="I680" t="s">
        <v>386</v>
      </c>
      <c r="J680">
        <v>1</v>
      </c>
      <c r="K680" s="1">
        <v>46082</v>
      </c>
      <c r="L680" s="8">
        <v>245531</v>
      </c>
    </row>
    <row r="681" spans="1:12" x14ac:dyDescent="0.25">
      <c r="A681" t="s">
        <v>1264</v>
      </c>
      <c r="B681" t="s">
        <v>2199</v>
      </c>
      <c r="C681" t="s">
        <v>374</v>
      </c>
      <c r="D681" t="s">
        <v>1266</v>
      </c>
      <c r="E681" t="s">
        <v>772</v>
      </c>
      <c r="F681">
        <v>3</v>
      </c>
      <c r="G681" t="s">
        <v>768</v>
      </c>
      <c r="H681" s="1">
        <v>46082</v>
      </c>
      <c r="I681" t="s">
        <v>386</v>
      </c>
      <c r="J681">
        <v>1</v>
      </c>
      <c r="K681" s="1">
        <v>46082</v>
      </c>
      <c r="L681" s="8">
        <v>16000</v>
      </c>
    </row>
    <row r="682" spans="1:12" x14ac:dyDescent="0.25">
      <c r="A682" t="s">
        <v>1280</v>
      </c>
      <c r="B682" t="s">
        <v>2199</v>
      </c>
      <c r="C682" t="s">
        <v>594</v>
      </c>
      <c r="D682" t="s">
        <v>1281</v>
      </c>
      <c r="E682" t="s">
        <v>807</v>
      </c>
      <c r="F682">
        <v>1</v>
      </c>
      <c r="G682" t="s">
        <v>624</v>
      </c>
      <c r="H682" s="1">
        <v>46296</v>
      </c>
      <c r="I682" t="s">
        <v>625</v>
      </c>
      <c r="J682">
        <v>1</v>
      </c>
      <c r="K682" s="1">
        <v>46296</v>
      </c>
      <c r="L682" s="8">
        <v>25000000</v>
      </c>
    </row>
    <row r="683" spans="1:12" x14ac:dyDescent="0.25">
      <c r="A683" t="s">
        <v>1283</v>
      </c>
      <c r="B683" t="s">
        <v>2199</v>
      </c>
      <c r="C683" t="s">
        <v>594</v>
      </c>
      <c r="D683" t="s">
        <v>1284</v>
      </c>
      <c r="E683" t="s">
        <v>807</v>
      </c>
      <c r="F683">
        <v>1</v>
      </c>
      <c r="G683" t="s">
        <v>624</v>
      </c>
      <c r="H683" s="1">
        <v>46327</v>
      </c>
      <c r="I683" t="s">
        <v>625</v>
      </c>
      <c r="J683">
        <v>1</v>
      </c>
      <c r="K683" s="1">
        <v>46327</v>
      </c>
      <c r="L683" s="8">
        <v>37000000</v>
      </c>
    </row>
    <row r="684" spans="1:12" x14ac:dyDescent="0.25">
      <c r="A684" t="s">
        <v>1286</v>
      </c>
      <c r="B684" t="s">
        <v>2199</v>
      </c>
      <c r="C684" t="s">
        <v>594</v>
      </c>
      <c r="D684" t="s">
        <v>1287</v>
      </c>
      <c r="E684" t="s">
        <v>807</v>
      </c>
      <c r="F684">
        <v>1</v>
      </c>
      <c r="G684" t="s">
        <v>624</v>
      </c>
      <c r="H684" s="1">
        <v>46235</v>
      </c>
      <c r="I684" t="s">
        <v>625</v>
      </c>
      <c r="J684">
        <v>1</v>
      </c>
      <c r="K684" s="1">
        <v>46235</v>
      </c>
      <c r="L684" s="8">
        <v>60000000</v>
      </c>
    </row>
    <row r="685" spans="1:12" x14ac:dyDescent="0.25">
      <c r="A685" t="s">
        <v>1355</v>
      </c>
      <c r="B685" t="s">
        <v>2199</v>
      </c>
      <c r="C685" t="s">
        <v>594</v>
      </c>
      <c r="D685" t="s">
        <v>1356</v>
      </c>
      <c r="E685" t="s">
        <v>1175</v>
      </c>
      <c r="F685">
        <v>2</v>
      </c>
      <c r="G685" t="s">
        <v>1299</v>
      </c>
      <c r="H685" s="1">
        <v>46204</v>
      </c>
      <c r="I685" t="s">
        <v>1300</v>
      </c>
      <c r="J685">
        <v>1</v>
      </c>
      <c r="K685" s="1">
        <v>46204</v>
      </c>
      <c r="L685" s="8">
        <v>9566000</v>
      </c>
    </row>
    <row r="686" spans="1:12" x14ac:dyDescent="0.25">
      <c r="A686" t="s">
        <v>1355</v>
      </c>
      <c r="B686" t="s">
        <v>2199</v>
      </c>
      <c r="C686" t="s">
        <v>594</v>
      </c>
      <c r="D686" t="s">
        <v>1356</v>
      </c>
      <c r="E686" t="s">
        <v>1303</v>
      </c>
      <c r="F686">
        <v>2</v>
      </c>
      <c r="G686" t="s">
        <v>1299</v>
      </c>
      <c r="H686" s="1">
        <v>46204</v>
      </c>
      <c r="I686" t="s">
        <v>1300</v>
      </c>
      <c r="J686">
        <v>1</v>
      </c>
      <c r="K686" s="1">
        <v>46204</v>
      </c>
      <c r="L686" s="8">
        <v>7621000</v>
      </c>
    </row>
    <row r="687" spans="1:12" x14ac:dyDescent="0.25">
      <c r="A687" t="s">
        <v>1357</v>
      </c>
      <c r="B687" t="s">
        <v>2199</v>
      </c>
      <c r="C687" t="s">
        <v>594</v>
      </c>
      <c r="D687" t="s">
        <v>1358</v>
      </c>
      <c r="E687" t="s">
        <v>1175</v>
      </c>
      <c r="F687">
        <v>2</v>
      </c>
      <c r="G687" t="s">
        <v>1299</v>
      </c>
      <c r="H687" s="1">
        <v>46174</v>
      </c>
      <c r="I687" t="s">
        <v>1300</v>
      </c>
      <c r="J687">
        <v>1</v>
      </c>
      <c r="K687" s="1">
        <v>46174</v>
      </c>
      <c r="L687" s="8">
        <v>97703000</v>
      </c>
    </row>
    <row r="688" spans="1:12" x14ac:dyDescent="0.25">
      <c r="A688" t="s">
        <v>1357</v>
      </c>
      <c r="B688" t="s">
        <v>2199</v>
      </c>
      <c r="C688" t="s">
        <v>594</v>
      </c>
      <c r="D688" t="s">
        <v>1358</v>
      </c>
      <c r="E688" t="s">
        <v>1303</v>
      </c>
      <c r="F688">
        <v>2</v>
      </c>
      <c r="G688" t="s">
        <v>1299</v>
      </c>
      <c r="H688" s="1">
        <v>46174</v>
      </c>
      <c r="I688" t="s">
        <v>1300</v>
      </c>
      <c r="J688">
        <v>1</v>
      </c>
      <c r="K688" s="1">
        <v>46174</v>
      </c>
      <c r="L688" s="8">
        <v>196076000</v>
      </c>
    </row>
    <row r="689" spans="1:12" x14ac:dyDescent="0.25">
      <c r="A689" t="s">
        <v>1360</v>
      </c>
      <c r="B689" t="s">
        <v>2199</v>
      </c>
      <c r="C689" t="s">
        <v>594</v>
      </c>
      <c r="D689" t="s">
        <v>1361</v>
      </c>
      <c r="E689" t="s">
        <v>807</v>
      </c>
      <c r="F689">
        <v>1</v>
      </c>
      <c r="G689" t="s">
        <v>624</v>
      </c>
      <c r="H689" s="1">
        <v>46266</v>
      </c>
      <c r="I689" t="s">
        <v>625</v>
      </c>
      <c r="J689">
        <v>1</v>
      </c>
      <c r="K689" s="1">
        <v>46266</v>
      </c>
      <c r="L689" s="8">
        <v>37000000</v>
      </c>
    </row>
    <row r="690" spans="1:12" x14ac:dyDescent="0.25">
      <c r="A690" t="s">
        <v>1363</v>
      </c>
      <c r="B690" t="s">
        <v>2199</v>
      </c>
      <c r="C690" t="s">
        <v>594</v>
      </c>
      <c r="D690" t="s">
        <v>1364</v>
      </c>
      <c r="E690" t="s">
        <v>1175</v>
      </c>
      <c r="F690">
        <v>2</v>
      </c>
      <c r="G690" t="s">
        <v>1299</v>
      </c>
      <c r="H690" s="1">
        <v>46143</v>
      </c>
      <c r="I690" t="s">
        <v>1300</v>
      </c>
      <c r="J690">
        <v>1</v>
      </c>
      <c r="K690" s="1">
        <v>46143</v>
      </c>
      <c r="L690" s="8">
        <v>44778000</v>
      </c>
    </row>
    <row r="691" spans="1:12" x14ac:dyDescent="0.25">
      <c r="A691" t="s">
        <v>1363</v>
      </c>
      <c r="B691" t="s">
        <v>2199</v>
      </c>
      <c r="C691" t="s">
        <v>594</v>
      </c>
      <c r="D691" t="s">
        <v>1364</v>
      </c>
      <c r="E691" t="s">
        <v>1303</v>
      </c>
      <c r="F691">
        <v>2</v>
      </c>
      <c r="G691" t="s">
        <v>1299</v>
      </c>
      <c r="H691" s="1">
        <v>46143</v>
      </c>
      <c r="I691" t="s">
        <v>1300</v>
      </c>
      <c r="J691">
        <v>1</v>
      </c>
      <c r="K691" s="1">
        <v>46143</v>
      </c>
      <c r="L691" s="8">
        <v>57632000</v>
      </c>
    </row>
    <row r="692" spans="1:12" x14ac:dyDescent="0.25">
      <c r="A692" t="s">
        <v>1366</v>
      </c>
      <c r="B692" t="s">
        <v>2199</v>
      </c>
      <c r="C692" t="s">
        <v>594</v>
      </c>
      <c r="D692" t="s">
        <v>1367</v>
      </c>
      <c r="E692" t="s">
        <v>807</v>
      </c>
      <c r="F692">
        <v>1</v>
      </c>
      <c r="G692" t="s">
        <v>624</v>
      </c>
      <c r="H692" s="1">
        <v>46266</v>
      </c>
      <c r="I692" t="s">
        <v>625</v>
      </c>
      <c r="J692">
        <v>1</v>
      </c>
      <c r="K692" s="1">
        <v>46266</v>
      </c>
      <c r="L692" s="8">
        <v>103000000</v>
      </c>
    </row>
    <row r="693" spans="1:12" x14ac:dyDescent="0.25">
      <c r="A693" t="s">
        <v>1382</v>
      </c>
      <c r="B693" t="s">
        <v>2199</v>
      </c>
      <c r="C693" t="s">
        <v>594</v>
      </c>
      <c r="D693" t="s">
        <v>1383</v>
      </c>
      <c r="E693" t="s">
        <v>1175</v>
      </c>
      <c r="F693">
        <v>1</v>
      </c>
      <c r="G693" t="s">
        <v>1299</v>
      </c>
      <c r="H693" s="1">
        <v>46113</v>
      </c>
      <c r="I693" t="s">
        <v>1300</v>
      </c>
      <c r="J693">
        <v>1</v>
      </c>
      <c r="K693" s="1">
        <v>46113</v>
      </c>
      <c r="L693" s="8">
        <v>6442000</v>
      </c>
    </row>
    <row r="694" spans="1:12" x14ac:dyDescent="0.25">
      <c r="A694" t="s">
        <v>1401</v>
      </c>
      <c r="B694" t="s">
        <v>2199</v>
      </c>
      <c r="C694" t="s">
        <v>594</v>
      </c>
      <c r="D694" t="s">
        <v>1402</v>
      </c>
      <c r="E694" t="s">
        <v>1175</v>
      </c>
      <c r="F694">
        <v>2</v>
      </c>
      <c r="G694" t="s">
        <v>1299</v>
      </c>
      <c r="H694" s="1">
        <v>46143</v>
      </c>
      <c r="I694" t="s">
        <v>1300</v>
      </c>
      <c r="J694">
        <v>1</v>
      </c>
      <c r="K694" s="1">
        <v>46143</v>
      </c>
      <c r="L694" s="8">
        <v>40289000</v>
      </c>
    </row>
    <row r="695" spans="1:12" x14ac:dyDescent="0.25">
      <c r="A695" t="s">
        <v>1401</v>
      </c>
      <c r="B695" t="s">
        <v>2199</v>
      </c>
      <c r="C695" t="s">
        <v>594</v>
      </c>
      <c r="D695" t="s">
        <v>1402</v>
      </c>
      <c r="E695" t="s">
        <v>1303</v>
      </c>
      <c r="F695">
        <v>2</v>
      </c>
      <c r="G695" t="s">
        <v>1299</v>
      </c>
      <c r="H695" s="1">
        <v>46143</v>
      </c>
      <c r="I695" t="s">
        <v>1300</v>
      </c>
      <c r="J695">
        <v>1</v>
      </c>
      <c r="K695" s="1">
        <v>46143</v>
      </c>
      <c r="L695" s="8">
        <v>316236000</v>
      </c>
    </row>
    <row r="696" spans="1:12" x14ac:dyDescent="0.25">
      <c r="A696" t="s">
        <v>1827</v>
      </c>
      <c r="B696" t="s">
        <v>2199</v>
      </c>
      <c r="C696" t="s">
        <v>594</v>
      </c>
      <c r="D696" t="s">
        <v>1828</v>
      </c>
      <c r="E696" t="s">
        <v>1830</v>
      </c>
      <c r="F696">
        <v>1</v>
      </c>
      <c r="G696" t="s">
        <v>1723</v>
      </c>
      <c r="H696" s="1">
        <v>46023</v>
      </c>
      <c r="I696" t="s">
        <v>1831</v>
      </c>
      <c r="J696">
        <v>1</v>
      </c>
      <c r="K696" s="1">
        <v>46023</v>
      </c>
      <c r="L696" s="8">
        <v>7200000</v>
      </c>
    </row>
    <row r="697" spans="1:12" x14ac:dyDescent="0.25">
      <c r="A697" t="s">
        <v>595</v>
      </c>
      <c r="B697" t="s">
        <v>2199</v>
      </c>
      <c r="C697" t="s">
        <v>594</v>
      </c>
      <c r="D697" t="s">
        <v>597</v>
      </c>
      <c r="E697" t="s">
        <v>600</v>
      </c>
      <c r="F697">
        <v>6</v>
      </c>
      <c r="G697" t="s">
        <v>590</v>
      </c>
      <c r="H697" s="1">
        <v>46143</v>
      </c>
      <c r="I697" t="s">
        <v>591</v>
      </c>
      <c r="J697">
        <v>1</v>
      </c>
      <c r="K697" s="1">
        <v>46143</v>
      </c>
      <c r="L697" s="8">
        <v>96000000</v>
      </c>
    </row>
    <row r="698" spans="1:12" x14ac:dyDescent="0.25">
      <c r="A698" t="s">
        <v>595</v>
      </c>
      <c r="B698" t="s">
        <v>2199</v>
      </c>
      <c r="C698" t="s">
        <v>594</v>
      </c>
      <c r="D698" t="s">
        <v>597</v>
      </c>
      <c r="E698" t="s">
        <v>601</v>
      </c>
      <c r="F698">
        <v>6</v>
      </c>
      <c r="G698" t="s">
        <v>590</v>
      </c>
      <c r="H698" s="1">
        <v>46082</v>
      </c>
      <c r="I698" t="s">
        <v>591</v>
      </c>
      <c r="J698">
        <v>1</v>
      </c>
      <c r="K698" s="1">
        <v>46082</v>
      </c>
      <c r="L698" s="8">
        <v>24115000</v>
      </c>
    </row>
    <row r="699" spans="1:12" x14ac:dyDescent="0.25">
      <c r="A699" t="s">
        <v>595</v>
      </c>
      <c r="B699" t="s">
        <v>2199</v>
      </c>
      <c r="C699" t="s">
        <v>594</v>
      </c>
      <c r="D699" t="s">
        <v>597</v>
      </c>
      <c r="E699" t="s">
        <v>604</v>
      </c>
      <c r="F699">
        <v>6</v>
      </c>
      <c r="G699" t="s">
        <v>590</v>
      </c>
      <c r="H699" s="1">
        <v>46143</v>
      </c>
      <c r="I699" t="s">
        <v>591</v>
      </c>
      <c r="J699">
        <v>1</v>
      </c>
      <c r="K699" s="1">
        <v>46143</v>
      </c>
      <c r="L699" s="8">
        <v>122000004</v>
      </c>
    </row>
    <row r="700" spans="1:12" x14ac:dyDescent="0.25">
      <c r="A700" t="s">
        <v>595</v>
      </c>
      <c r="B700" t="s">
        <v>2199</v>
      </c>
      <c r="C700" t="s">
        <v>594</v>
      </c>
      <c r="D700" t="s">
        <v>597</v>
      </c>
      <c r="E700" t="s">
        <v>603</v>
      </c>
      <c r="F700">
        <v>6</v>
      </c>
      <c r="G700" t="s">
        <v>590</v>
      </c>
      <c r="H700" s="1">
        <v>46143</v>
      </c>
      <c r="I700" t="s">
        <v>591</v>
      </c>
      <c r="J700">
        <v>1</v>
      </c>
      <c r="K700" s="1">
        <v>46143</v>
      </c>
      <c r="L700" s="8">
        <v>5000002</v>
      </c>
    </row>
    <row r="701" spans="1:12" x14ac:dyDescent="0.25">
      <c r="A701" t="s">
        <v>595</v>
      </c>
      <c r="B701" t="s">
        <v>2199</v>
      </c>
      <c r="C701" t="s">
        <v>594</v>
      </c>
      <c r="D701" t="s">
        <v>597</v>
      </c>
      <c r="E701" t="s">
        <v>602</v>
      </c>
      <c r="F701">
        <v>6</v>
      </c>
      <c r="G701" t="s">
        <v>590</v>
      </c>
      <c r="H701" s="1">
        <v>46266</v>
      </c>
      <c r="I701" t="s">
        <v>591</v>
      </c>
      <c r="J701">
        <v>1</v>
      </c>
      <c r="K701" s="1">
        <v>46266</v>
      </c>
      <c r="L701" s="8">
        <v>3500000</v>
      </c>
    </row>
    <row r="702" spans="1:12" x14ac:dyDescent="0.25">
      <c r="A702" t="s">
        <v>595</v>
      </c>
      <c r="B702" t="s">
        <v>2199</v>
      </c>
      <c r="C702" t="s">
        <v>594</v>
      </c>
      <c r="D702" t="s">
        <v>597</v>
      </c>
      <c r="E702" t="s">
        <v>599</v>
      </c>
      <c r="F702">
        <v>6</v>
      </c>
      <c r="G702" t="s">
        <v>590</v>
      </c>
      <c r="H702" s="1">
        <v>46143</v>
      </c>
      <c r="I702" t="s">
        <v>591</v>
      </c>
      <c r="J702">
        <v>1</v>
      </c>
      <c r="K702" s="1">
        <v>46143</v>
      </c>
      <c r="L702" s="8">
        <v>28000000</v>
      </c>
    </row>
    <row r="703" spans="1:12" x14ac:dyDescent="0.25">
      <c r="A703" t="s">
        <v>803</v>
      </c>
      <c r="B703" t="s">
        <v>2199</v>
      </c>
      <c r="C703" t="s">
        <v>594</v>
      </c>
      <c r="D703" t="s">
        <v>805</v>
      </c>
      <c r="E703" t="s">
        <v>807</v>
      </c>
      <c r="F703">
        <v>1</v>
      </c>
      <c r="G703" t="s">
        <v>624</v>
      </c>
      <c r="H703" s="1">
        <v>46266</v>
      </c>
      <c r="I703" t="s">
        <v>625</v>
      </c>
      <c r="J703">
        <v>1</v>
      </c>
      <c r="K703" s="1">
        <v>46266</v>
      </c>
      <c r="L703" s="8">
        <v>37000000</v>
      </c>
    </row>
    <row r="704" spans="1:12" x14ac:dyDescent="0.25">
      <c r="A704" t="s">
        <v>808</v>
      </c>
      <c r="B704" t="s">
        <v>2199</v>
      </c>
      <c r="C704" t="s">
        <v>594</v>
      </c>
      <c r="D704" t="s">
        <v>809</v>
      </c>
      <c r="E704" t="s">
        <v>807</v>
      </c>
      <c r="F704">
        <v>1</v>
      </c>
      <c r="G704" t="s">
        <v>624</v>
      </c>
      <c r="H704" s="1">
        <v>46296</v>
      </c>
      <c r="I704" t="s">
        <v>625</v>
      </c>
      <c r="J704">
        <v>1</v>
      </c>
      <c r="K704" s="1">
        <v>46296</v>
      </c>
      <c r="L704" s="8">
        <v>37000000</v>
      </c>
    </row>
    <row r="705" spans="1:12" x14ac:dyDescent="0.25">
      <c r="A705" t="s">
        <v>1196</v>
      </c>
      <c r="B705" t="s">
        <v>2199</v>
      </c>
      <c r="C705" t="s">
        <v>594</v>
      </c>
      <c r="D705" t="s">
        <v>1197</v>
      </c>
      <c r="E705" t="s">
        <v>1199</v>
      </c>
      <c r="F705">
        <v>1</v>
      </c>
      <c r="G705" t="s">
        <v>1200</v>
      </c>
      <c r="H705" s="1">
        <v>46357</v>
      </c>
      <c r="I705" t="s">
        <v>514</v>
      </c>
      <c r="J705">
        <v>1</v>
      </c>
      <c r="K705" s="1">
        <v>46357</v>
      </c>
      <c r="L705" s="8">
        <v>3430002</v>
      </c>
    </row>
    <row r="706" spans="1:12" x14ac:dyDescent="0.25">
      <c r="A706" t="s">
        <v>1204</v>
      </c>
      <c r="B706" t="s">
        <v>2199</v>
      </c>
      <c r="C706" t="s">
        <v>594</v>
      </c>
      <c r="D706" t="s">
        <v>1205</v>
      </c>
      <c r="E706" t="s">
        <v>807</v>
      </c>
      <c r="F706">
        <v>1</v>
      </c>
      <c r="G706" t="s">
        <v>624</v>
      </c>
      <c r="H706" s="1">
        <v>46327</v>
      </c>
      <c r="I706" t="s">
        <v>625</v>
      </c>
      <c r="J706">
        <v>1</v>
      </c>
      <c r="K706" s="1">
        <v>46327</v>
      </c>
      <c r="L706" s="8">
        <v>37000000</v>
      </c>
    </row>
    <row r="707" spans="1:12" x14ac:dyDescent="0.25">
      <c r="A707" t="s">
        <v>2198</v>
      </c>
      <c r="L707" s="8">
        <v>22142532917</v>
      </c>
    </row>
  </sheetData>
  <pageMargins left="0.7" right="0.7" top="0.75" bottom="0.75" header="0.3" footer="0.3"/>
  <pageSetup orientation="portrait"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825B8F-0DD5-4E8C-86AC-CD333568F161}">
  <dimension ref="A1:I447"/>
  <sheetViews>
    <sheetView topLeftCell="F1" workbookViewId="0">
      <selection activeCell="H18" sqref="H18:I18"/>
      <pivotSelection pane="bottomRight" showHeader="1" extendable="1" axis="axisRow" dimension="7" start="16" min="16" max="17" activeRow="17" activeCol="7" previousRow="17" previousCol="7" click="8" r:id="rId1">
        <pivotArea dataOnly="0" outline="0" fieldPosition="0">
          <references count="8">
            <reference field="2" count="1" selected="0">
              <x v="23"/>
            </reference>
            <reference field="6" count="1" selected="0">
              <x v="137"/>
            </reference>
            <reference field="14" count="1" selected="0">
              <x v="12"/>
            </reference>
            <reference field="15" count="1">
              <x v="1"/>
            </reference>
            <reference field="16" count="1" selected="0">
              <x v="5"/>
            </reference>
            <reference field="17" count="1" selected="0">
              <x v="62"/>
            </reference>
            <reference field="27" count="1" selected="0">
              <x v="0"/>
            </reference>
            <reference field="28" count="1" selected="0">
              <x v="2"/>
            </reference>
          </references>
        </pivotArea>
      </pivotSelection>
    </sheetView>
  </sheetViews>
  <sheetFormatPr baseColWidth="10" defaultRowHeight="15" x14ac:dyDescent="0.25"/>
  <cols>
    <col min="1" max="1" width="19" bestFit="1" customWidth="1"/>
    <col min="2" max="2" width="27.7109375" customWidth="1"/>
    <col min="3" max="3" width="28.85546875" bestFit="1" customWidth="1"/>
    <col min="4" max="6" width="94.28515625" bestFit="1" customWidth="1"/>
    <col min="7" max="8" width="14.42578125" customWidth="1"/>
    <col min="9" max="9" width="30.42578125" bestFit="1" customWidth="1"/>
  </cols>
  <sheetData>
    <row r="1" spans="1:9" x14ac:dyDescent="0.25">
      <c r="A1" s="4" t="s">
        <v>2197</v>
      </c>
      <c r="B1" s="4" t="s">
        <v>2213</v>
      </c>
      <c r="C1" s="4" t="s">
        <v>2</v>
      </c>
      <c r="D1" s="4" t="s">
        <v>6</v>
      </c>
      <c r="E1" s="4" t="s">
        <v>16</v>
      </c>
      <c r="F1" s="4" t="s">
        <v>17</v>
      </c>
      <c r="G1" s="4" t="s">
        <v>14</v>
      </c>
      <c r="H1" s="4" t="s">
        <v>15</v>
      </c>
      <c r="I1" t="s">
        <v>2202</v>
      </c>
    </row>
    <row r="2" spans="1:9" x14ac:dyDescent="0.25">
      <c r="A2" t="s">
        <v>2196</v>
      </c>
      <c r="B2" t="s">
        <v>2196</v>
      </c>
      <c r="C2" t="s">
        <v>29</v>
      </c>
      <c r="D2" t="s">
        <v>33</v>
      </c>
      <c r="E2" t="s">
        <v>37</v>
      </c>
      <c r="F2" t="s">
        <v>38</v>
      </c>
      <c r="G2">
        <v>36</v>
      </c>
      <c r="H2" t="s">
        <v>36</v>
      </c>
      <c r="I2" s="8">
        <v>30000000</v>
      </c>
    </row>
    <row r="3" spans="1:9" x14ac:dyDescent="0.25">
      <c r="A3" t="s">
        <v>2196</v>
      </c>
      <c r="B3" t="s">
        <v>2196</v>
      </c>
      <c r="C3" t="s">
        <v>284</v>
      </c>
      <c r="D3" t="s">
        <v>286</v>
      </c>
      <c r="E3" t="s">
        <v>290</v>
      </c>
      <c r="F3" t="s">
        <v>291</v>
      </c>
      <c r="G3">
        <v>24</v>
      </c>
      <c r="H3" t="s">
        <v>289</v>
      </c>
      <c r="I3" s="8">
        <v>75000000</v>
      </c>
    </row>
    <row r="4" spans="1:9" x14ac:dyDescent="0.25">
      <c r="A4" t="s">
        <v>2196</v>
      </c>
      <c r="B4" t="s">
        <v>2196</v>
      </c>
      <c r="C4" t="s">
        <v>44</v>
      </c>
      <c r="D4" t="s">
        <v>46</v>
      </c>
      <c r="E4" t="s">
        <v>37</v>
      </c>
      <c r="F4" t="s">
        <v>49</v>
      </c>
      <c r="G4">
        <v>36</v>
      </c>
      <c r="H4" t="s">
        <v>36</v>
      </c>
      <c r="I4" s="8">
        <v>6711996</v>
      </c>
    </row>
    <row r="5" spans="1:9" x14ac:dyDescent="0.25">
      <c r="A5" t="s">
        <v>2196</v>
      </c>
      <c r="B5" t="s">
        <v>2196</v>
      </c>
      <c r="C5" t="s">
        <v>298</v>
      </c>
      <c r="D5" t="s">
        <v>300</v>
      </c>
      <c r="E5" t="s">
        <v>182</v>
      </c>
      <c r="F5" t="s">
        <v>302</v>
      </c>
      <c r="G5">
        <v>18</v>
      </c>
      <c r="H5" t="s">
        <v>206</v>
      </c>
      <c r="I5" s="8">
        <v>144000000</v>
      </c>
    </row>
    <row r="6" spans="1:9" x14ac:dyDescent="0.25">
      <c r="A6" t="s">
        <v>2196</v>
      </c>
      <c r="B6" t="s">
        <v>2196</v>
      </c>
      <c r="C6" t="s">
        <v>304</v>
      </c>
      <c r="D6" t="s">
        <v>305</v>
      </c>
      <c r="E6" t="s">
        <v>309</v>
      </c>
      <c r="F6" t="s">
        <v>310</v>
      </c>
      <c r="G6">
        <v>12</v>
      </c>
      <c r="H6" t="s">
        <v>308</v>
      </c>
      <c r="I6" s="8">
        <v>40833335</v>
      </c>
    </row>
    <row r="7" spans="1:9" x14ac:dyDescent="0.25">
      <c r="A7" t="s">
        <v>2196</v>
      </c>
      <c r="B7" t="s">
        <v>2196</v>
      </c>
      <c r="C7" t="s">
        <v>191</v>
      </c>
      <c r="D7" t="s">
        <v>201</v>
      </c>
      <c r="E7" t="s">
        <v>197</v>
      </c>
      <c r="F7" t="s">
        <v>198</v>
      </c>
      <c r="G7">
        <v>1</v>
      </c>
      <c r="H7" t="s">
        <v>196</v>
      </c>
      <c r="I7" s="8">
        <v>74068560</v>
      </c>
    </row>
    <row r="8" spans="1:9" x14ac:dyDescent="0.25">
      <c r="A8" t="s">
        <v>2196</v>
      </c>
      <c r="B8" t="s">
        <v>2196</v>
      </c>
      <c r="C8" t="s">
        <v>191</v>
      </c>
      <c r="D8" t="s">
        <v>193</v>
      </c>
      <c r="E8" t="s">
        <v>197</v>
      </c>
      <c r="F8" t="s">
        <v>198</v>
      </c>
      <c r="G8">
        <v>32</v>
      </c>
      <c r="H8" t="s">
        <v>196</v>
      </c>
      <c r="I8" s="8">
        <v>37034280</v>
      </c>
    </row>
    <row r="9" spans="1:9" x14ac:dyDescent="0.25">
      <c r="A9" t="s">
        <v>2196</v>
      </c>
      <c r="B9" t="s">
        <v>2196</v>
      </c>
      <c r="C9" t="s">
        <v>202</v>
      </c>
      <c r="D9" t="s">
        <v>203</v>
      </c>
      <c r="E9" t="s">
        <v>182</v>
      </c>
      <c r="F9" t="s">
        <v>183</v>
      </c>
      <c r="G9">
        <v>18</v>
      </c>
      <c r="H9" t="s">
        <v>206</v>
      </c>
      <c r="I9" s="8">
        <v>70333380</v>
      </c>
    </row>
    <row r="10" spans="1:9" x14ac:dyDescent="0.25">
      <c r="A10" t="s">
        <v>2196</v>
      </c>
      <c r="B10" t="s">
        <v>2196</v>
      </c>
      <c r="C10" t="s">
        <v>214</v>
      </c>
      <c r="D10" t="s">
        <v>216</v>
      </c>
      <c r="E10" t="s">
        <v>218</v>
      </c>
      <c r="F10" t="s">
        <v>219</v>
      </c>
      <c r="G10">
        <v>24</v>
      </c>
      <c r="H10" t="s">
        <v>73</v>
      </c>
      <c r="I10" s="8">
        <v>6255504</v>
      </c>
    </row>
    <row r="11" spans="1:9" x14ac:dyDescent="0.25">
      <c r="A11" t="s">
        <v>2196</v>
      </c>
      <c r="B11" t="s">
        <v>2196</v>
      </c>
      <c r="C11" t="s">
        <v>51</v>
      </c>
      <c r="D11" t="s">
        <v>52</v>
      </c>
      <c r="E11" t="s">
        <v>55</v>
      </c>
      <c r="F11" t="s">
        <v>56</v>
      </c>
      <c r="G11">
        <v>36</v>
      </c>
      <c r="H11" t="s">
        <v>36</v>
      </c>
      <c r="I11" s="8">
        <v>6712008</v>
      </c>
    </row>
    <row r="12" spans="1:9" x14ac:dyDescent="0.25">
      <c r="A12" t="s">
        <v>2196</v>
      </c>
      <c r="B12" t="s">
        <v>2196</v>
      </c>
      <c r="C12" t="s">
        <v>222</v>
      </c>
      <c r="D12" t="s">
        <v>224</v>
      </c>
      <c r="E12" t="s">
        <v>227</v>
      </c>
      <c r="F12" t="s">
        <v>228</v>
      </c>
      <c r="G12">
        <v>24</v>
      </c>
      <c r="H12" t="s">
        <v>73</v>
      </c>
      <c r="I12" s="8">
        <v>48115128</v>
      </c>
    </row>
    <row r="13" spans="1:9" x14ac:dyDescent="0.25">
      <c r="A13" t="s">
        <v>2196</v>
      </c>
      <c r="B13" t="s">
        <v>2196</v>
      </c>
      <c r="C13" t="s">
        <v>238</v>
      </c>
      <c r="D13" t="s">
        <v>239</v>
      </c>
      <c r="E13" t="s">
        <v>227</v>
      </c>
      <c r="F13" t="s">
        <v>228</v>
      </c>
      <c r="G13">
        <v>24</v>
      </c>
      <c r="H13" t="s">
        <v>73</v>
      </c>
      <c r="I13" s="8">
        <v>237155100</v>
      </c>
    </row>
    <row r="14" spans="1:9" x14ac:dyDescent="0.25">
      <c r="A14" t="s">
        <v>2196</v>
      </c>
      <c r="B14" t="s">
        <v>2196</v>
      </c>
      <c r="C14" t="s">
        <v>244</v>
      </c>
      <c r="D14" t="s">
        <v>245</v>
      </c>
      <c r="E14" t="s">
        <v>227</v>
      </c>
      <c r="F14" t="s">
        <v>228</v>
      </c>
      <c r="G14">
        <v>24</v>
      </c>
      <c r="H14" t="s">
        <v>73</v>
      </c>
      <c r="I14" s="8">
        <v>284700000</v>
      </c>
    </row>
    <row r="15" spans="1:9" x14ac:dyDescent="0.25">
      <c r="A15" t="s">
        <v>2196</v>
      </c>
      <c r="B15" t="s">
        <v>2196</v>
      </c>
      <c r="C15" t="s">
        <v>68</v>
      </c>
      <c r="D15" t="s">
        <v>70</v>
      </c>
      <c r="E15" t="s">
        <v>74</v>
      </c>
      <c r="F15" t="s">
        <v>75</v>
      </c>
      <c r="G15">
        <v>24</v>
      </c>
      <c r="H15" t="s">
        <v>73</v>
      </c>
      <c r="I15" s="8">
        <v>40432878</v>
      </c>
    </row>
    <row r="16" spans="1:9" x14ac:dyDescent="0.25">
      <c r="A16" t="s">
        <v>2196</v>
      </c>
      <c r="B16" t="s">
        <v>2196</v>
      </c>
      <c r="C16" t="s">
        <v>59</v>
      </c>
      <c r="D16" t="s">
        <v>60</v>
      </c>
      <c r="E16" t="s">
        <v>64</v>
      </c>
      <c r="F16" t="s">
        <v>65</v>
      </c>
      <c r="G16">
        <v>36</v>
      </c>
      <c r="H16" t="s">
        <v>63</v>
      </c>
      <c r="I16" s="8">
        <v>43333332</v>
      </c>
    </row>
    <row r="17" spans="1:9" x14ac:dyDescent="0.25">
      <c r="A17" t="s">
        <v>2196</v>
      </c>
      <c r="B17" t="s">
        <v>2196</v>
      </c>
      <c r="C17" t="s">
        <v>82</v>
      </c>
      <c r="D17" t="s">
        <v>83</v>
      </c>
      <c r="E17" t="s">
        <v>74</v>
      </c>
      <c r="F17" t="s">
        <v>85</v>
      </c>
      <c r="G17">
        <v>24</v>
      </c>
      <c r="H17" t="s">
        <v>73</v>
      </c>
      <c r="I17" s="8">
        <v>78361124</v>
      </c>
    </row>
    <row r="18" spans="1:9" x14ac:dyDescent="0.25">
      <c r="A18" t="s">
        <v>2196</v>
      </c>
      <c r="B18" t="s">
        <v>2196</v>
      </c>
      <c r="C18" t="s">
        <v>91</v>
      </c>
      <c r="D18" t="s">
        <v>92</v>
      </c>
      <c r="E18" t="s">
        <v>74</v>
      </c>
      <c r="F18" t="s">
        <v>85</v>
      </c>
      <c r="G18">
        <v>24</v>
      </c>
      <c r="H18" t="s">
        <v>73</v>
      </c>
      <c r="I18" s="8">
        <v>78361124</v>
      </c>
    </row>
    <row r="19" spans="1:9" x14ac:dyDescent="0.25">
      <c r="A19" t="s">
        <v>2196</v>
      </c>
      <c r="B19" t="s">
        <v>2196</v>
      </c>
      <c r="C19" t="s">
        <v>103</v>
      </c>
      <c r="D19" t="s">
        <v>105</v>
      </c>
      <c r="E19" t="s">
        <v>109</v>
      </c>
      <c r="F19" t="s">
        <v>110</v>
      </c>
      <c r="G19">
        <v>30</v>
      </c>
      <c r="H19" t="s">
        <v>108</v>
      </c>
      <c r="I19" s="8">
        <v>18060000</v>
      </c>
    </row>
    <row r="20" spans="1:9" x14ac:dyDescent="0.25">
      <c r="A20" t="s">
        <v>2196</v>
      </c>
      <c r="B20" t="s">
        <v>2196</v>
      </c>
      <c r="C20" t="s">
        <v>117</v>
      </c>
      <c r="D20" t="s">
        <v>119</v>
      </c>
      <c r="E20" t="s">
        <v>122</v>
      </c>
      <c r="F20" t="s">
        <v>123</v>
      </c>
      <c r="G20">
        <v>24</v>
      </c>
      <c r="H20" t="s">
        <v>73</v>
      </c>
      <c r="I20" s="8">
        <v>150000000</v>
      </c>
    </row>
    <row r="21" spans="1:9" x14ac:dyDescent="0.25">
      <c r="A21" t="s">
        <v>2196</v>
      </c>
      <c r="B21" t="s">
        <v>2196</v>
      </c>
      <c r="C21" t="s">
        <v>128</v>
      </c>
      <c r="D21" t="s">
        <v>130</v>
      </c>
      <c r="E21" t="s">
        <v>109</v>
      </c>
      <c r="F21" t="s">
        <v>133</v>
      </c>
      <c r="G21">
        <v>24</v>
      </c>
      <c r="H21" t="s">
        <v>73</v>
      </c>
      <c r="I21" s="8">
        <v>397359215</v>
      </c>
    </row>
    <row r="22" spans="1:9" x14ac:dyDescent="0.25">
      <c r="A22" t="s">
        <v>2196</v>
      </c>
      <c r="B22" t="s">
        <v>2196</v>
      </c>
      <c r="C22" t="s">
        <v>136</v>
      </c>
      <c r="D22" t="s">
        <v>138</v>
      </c>
      <c r="E22" t="s">
        <v>141</v>
      </c>
      <c r="F22" t="s">
        <v>142</v>
      </c>
      <c r="G22">
        <v>30</v>
      </c>
      <c r="H22" t="s">
        <v>108</v>
      </c>
      <c r="I22" s="8">
        <v>496977708</v>
      </c>
    </row>
    <row r="23" spans="1:9" x14ac:dyDescent="0.25">
      <c r="A23" t="s">
        <v>2196</v>
      </c>
      <c r="B23" t="s">
        <v>2196</v>
      </c>
      <c r="C23" t="s">
        <v>148</v>
      </c>
      <c r="D23" t="s">
        <v>150</v>
      </c>
      <c r="E23" t="s">
        <v>153</v>
      </c>
      <c r="F23" t="s">
        <v>154</v>
      </c>
      <c r="G23">
        <v>24</v>
      </c>
      <c r="H23" t="s">
        <v>73</v>
      </c>
      <c r="I23" s="8">
        <v>118000004</v>
      </c>
    </row>
    <row r="24" spans="1:9" x14ac:dyDescent="0.25">
      <c r="A24" t="s">
        <v>2196</v>
      </c>
      <c r="B24" t="s">
        <v>2196</v>
      </c>
      <c r="C24" t="s">
        <v>165</v>
      </c>
      <c r="D24" t="s">
        <v>167</v>
      </c>
      <c r="E24" t="s">
        <v>169</v>
      </c>
      <c r="F24" t="s">
        <v>65</v>
      </c>
      <c r="G24">
        <v>24</v>
      </c>
      <c r="H24" t="s">
        <v>73</v>
      </c>
      <c r="I24" s="8">
        <v>10000004</v>
      </c>
    </row>
    <row r="25" spans="1:9" x14ac:dyDescent="0.25">
      <c r="A25" t="s">
        <v>2196</v>
      </c>
      <c r="B25" t="s">
        <v>2196</v>
      </c>
      <c r="C25" t="s">
        <v>177</v>
      </c>
      <c r="D25" t="s">
        <v>179</v>
      </c>
      <c r="E25" t="s">
        <v>182</v>
      </c>
      <c r="F25" t="s">
        <v>183</v>
      </c>
      <c r="G25">
        <v>24</v>
      </c>
      <c r="H25" t="s">
        <v>73</v>
      </c>
      <c r="I25" s="8">
        <v>905196910</v>
      </c>
    </row>
    <row r="26" spans="1:9" x14ac:dyDescent="0.25">
      <c r="A26" t="s">
        <v>2196</v>
      </c>
      <c r="B26" t="s">
        <v>2196</v>
      </c>
      <c r="C26" t="s">
        <v>313</v>
      </c>
      <c r="D26" t="s">
        <v>315</v>
      </c>
      <c r="E26" t="s">
        <v>319</v>
      </c>
      <c r="F26" t="s">
        <v>320</v>
      </c>
      <c r="G26">
        <v>12</v>
      </c>
      <c r="H26" t="s">
        <v>318</v>
      </c>
      <c r="I26" s="8">
        <v>36208337</v>
      </c>
    </row>
    <row r="27" spans="1:9" x14ac:dyDescent="0.25">
      <c r="A27" t="s">
        <v>2196</v>
      </c>
      <c r="B27" t="s">
        <v>2196</v>
      </c>
      <c r="C27" t="s">
        <v>323</v>
      </c>
      <c r="D27" t="s">
        <v>324</v>
      </c>
      <c r="E27" t="s">
        <v>319</v>
      </c>
      <c r="F27" t="s">
        <v>320</v>
      </c>
      <c r="G27">
        <v>12</v>
      </c>
      <c r="H27" t="s">
        <v>318</v>
      </c>
      <c r="I27" s="8">
        <v>28875000</v>
      </c>
    </row>
    <row r="28" spans="1:9" x14ac:dyDescent="0.25">
      <c r="A28" t="s">
        <v>2196</v>
      </c>
      <c r="B28" t="s">
        <v>2196</v>
      </c>
      <c r="C28" t="s">
        <v>328</v>
      </c>
      <c r="D28" t="s">
        <v>329</v>
      </c>
      <c r="E28" t="s">
        <v>332</v>
      </c>
      <c r="F28" t="s">
        <v>333</v>
      </c>
      <c r="G28">
        <v>12</v>
      </c>
      <c r="H28" t="s">
        <v>308</v>
      </c>
      <c r="I28" s="8">
        <v>52500000</v>
      </c>
    </row>
    <row r="29" spans="1:9" x14ac:dyDescent="0.25">
      <c r="A29" t="s">
        <v>2196</v>
      </c>
      <c r="B29" t="s">
        <v>2196</v>
      </c>
      <c r="C29" t="s">
        <v>337</v>
      </c>
      <c r="D29" t="s">
        <v>338</v>
      </c>
      <c r="E29" t="s">
        <v>341</v>
      </c>
      <c r="F29" t="s">
        <v>342</v>
      </c>
      <c r="G29">
        <v>18</v>
      </c>
      <c r="H29" t="s">
        <v>206</v>
      </c>
      <c r="I29" s="8">
        <v>11000004</v>
      </c>
    </row>
    <row r="30" spans="1:9" x14ac:dyDescent="0.25">
      <c r="A30" t="s">
        <v>2196</v>
      </c>
      <c r="B30" t="s">
        <v>2196</v>
      </c>
      <c r="C30" t="s">
        <v>355</v>
      </c>
      <c r="D30" t="s">
        <v>357</v>
      </c>
      <c r="E30" t="s">
        <v>360</v>
      </c>
      <c r="F30" t="s">
        <v>361</v>
      </c>
      <c r="G30">
        <v>12</v>
      </c>
      <c r="H30" t="s">
        <v>318</v>
      </c>
      <c r="I30" s="8">
        <v>30250000</v>
      </c>
    </row>
    <row r="31" spans="1:9" x14ac:dyDescent="0.25">
      <c r="A31" t="s">
        <v>2196</v>
      </c>
      <c r="B31" t="s">
        <v>2196</v>
      </c>
      <c r="C31" t="s">
        <v>366</v>
      </c>
      <c r="D31" t="s">
        <v>368</v>
      </c>
      <c r="E31" t="s">
        <v>341</v>
      </c>
      <c r="F31" t="s">
        <v>372</v>
      </c>
      <c r="G31">
        <v>12</v>
      </c>
      <c r="H31" t="s">
        <v>371</v>
      </c>
      <c r="I31" s="8">
        <v>80000000</v>
      </c>
    </row>
    <row r="32" spans="1:9" x14ac:dyDescent="0.25">
      <c r="A32" t="s">
        <v>2196</v>
      </c>
      <c r="B32" t="s">
        <v>2196</v>
      </c>
      <c r="C32" t="s">
        <v>382</v>
      </c>
      <c r="D32" t="s">
        <v>383</v>
      </c>
      <c r="E32" t="s">
        <v>385</v>
      </c>
      <c r="F32" t="s">
        <v>386</v>
      </c>
      <c r="G32">
        <v>12</v>
      </c>
      <c r="H32" t="s">
        <v>318</v>
      </c>
      <c r="I32" s="8">
        <v>16041663</v>
      </c>
    </row>
    <row r="33" spans="1:9" x14ac:dyDescent="0.25">
      <c r="A33" t="s">
        <v>2196</v>
      </c>
      <c r="B33" t="s">
        <v>2196</v>
      </c>
      <c r="C33" t="s">
        <v>389</v>
      </c>
      <c r="D33" t="s">
        <v>390</v>
      </c>
      <c r="E33" t="s">
        <v>378</v>
      </c>
      <c r="F33" t="s">
        <v>361</v>
      </c>
      <c r="G33">
        <v>12</v>
      </c>
      <c r="H33" t="s">
        <v>318</v>
      </c>
      <c r="I33" s="8">
        <v>16500000</v>
      </c>
    </row>
    <row r="34" spans="1:9" x14ac:dyDescent="0.25">
      <c r="A34" t="s">
        <v>2196</v>
      </c>
      <c r="B34" t="s">
        <v>2196</v>
      </c>
      <c r="C34" t="s">
        <v>392</v>
      </c>
      <c r="D34" t="s">
        <v>393</v>
      </c>
      <c r="E34" t="s">
        <v>395</v>
      </c>
      <c r="F34" t="s">
        <v>396</v>
      </c>
      <c r="G34">
        <v>12</v>
      </c>
      <c r="H34" t="s">
        <v>318</v>
      </c>
      <c r="I34" s="8">
        <v>17416663</v>
      </c>
    </row>
    <row r="35" spans="1:9" x14ac:dyDescent="0.25">
      <c r="A35" t="s">
        <v>2196</v>
      </c>
      <c r="B35" t="s">
        <v>2196</v>
      </c>
      <c r="C35" t="s">
        <v>399</v>
      </c>
      <c r="D35" t="s">
        <v>400</v>
      </c>
      <c r="E35" t="s">
        <v>402</v>
      </c>
      <c r="F35" t="s">
        <v>320</v>
      </c>
      <c r="G35">
        <v>12</v>
      </c>
      <c r="H35" t="s">
        <v>318</v>
      </c>
      <c r="I35" s="8">
        <v>28875000</v>
      </c>
    </row>
    <row r="36" spans="1:9" x14ac:dyDescent="0.25">
      <c r="A36" t="s">
        <v>2196</v>
      </c>
      <c r="B36" t="s">
        <v>2196</v>
      </c>
      <c r="C36" t="s">
        <v>405</v>
      </c>
      <c r="D36" t="s">
        <v>406</v>
      </c>
      <c r="E36" t="s">
        <v>360</v>
      </c>
      <c r="F36" t="s">
        <v>361</v>
      </c>
      <c r="G36">
        <v>12</v>
      </c>
      <c r="H36" t="s">
        <v>318</v>
      </c>
      <c r="I36" s="8">
        <v>23833337</v>
      </c>
    </row>
    <row r="37" spans="1:9" x14ac:dyDescent="0.25">
      <c r="A37" t="s">
        <v>2196</v>
      </c>
      <c r="B37" t="s">
        <v>2196</v>
      </c>
      <c r="C37" t="s">
        <v>408</v>
      </c>
      <c r="D37" t="s">
        <v>410</v>
      </c>
      <c r="E37" t="s">
        <v>414</v>
      </c>
      <c r="F37" t="s">
        <v>415</v>
      </c>
      <c r="G37">
        <v>12</v>
      </c>
      <c r="H37" t="s">
        <v>413</v>
      </c>
      <c r="I37" s="8">
        <v>500000000</v>
      </c>
    </row>
    <row r="38" spans="1:9" x14ac:dyDescent="0.25">
      <c r="A38" t="s">
        <v>2196</v>
      </c>
      <c r="B38" t="s">
        <v>2196</v>
      </c>
      <c r="C38" t="s">
        <v>418</v>
      </c>
      <c r="D38" t="s">
        <v>419</v>
      </c>
      <c r="E38" t="s">
        <v>422</v>
      </c>
      <c r="F38" t="s">
        <v>423</v>
      </c>
      <c r="G38">
        <v>12</v>
      </c>
      <c r="H38" t="s">
        <v>318</v>
      </c>
      <c r="I38" s="8">
        <v>87524976</v>
      </c>
    </row>
    <row r="39" spans="1:9" x14ac:dyDescent="0.25">
      <c r="A39" t="s">
        <v>2196</v>
      </c>
      <c r="B39" t="s">
        <v>2196</v>
      </c>
      <c r="C39" t="s">
        <v>426</v>
      </c>
      <c r="D39" t="s">
        <v>428</v>
      </c>
      <c r="E39" t="s">
        <v>430</v>
      </c>
      <c r="F39" t="s">
        <v>431</v>
      </c>
      <c r="G39">
        <v>12</v>
      </c>
      <c r="H39" t="s">
        <v>318</v>
      </c>
      <c r="I39" s="8">
        <v>48583326</v>
      </c>
    </row>
    <row r="40" spans="1:9" x14ac:dyDescent="0.25">
      <c r="A40" t="s">
        <v>2196</v>
      </c>
      <c r="B40" t="s">
        <v>2196</v>
      </c>
      <c r="C40" t="s">
        <v>434</v>
      </c>
      <c r="D40" t="s">
        <v>435</v>
      </c>
      <c r="E40" t="s">
        <v>319</v>
      </c>
      <c r="F40" t="s">
        <v>320</v>
      </c>
      <c r="G40">
        <v>12</v>
      </c>
      <c r="H40" t="s">
        <v>318</v>
      </c>
      <c r="I40" s="8">
        <v>73333326</v>
      </c>
    </row>
    <row r="41" spans="1:9" x14ac:dyDescent="0.25">
      <c r="A41" t="s">
        <v>2196</v>
      </c>
      <c r="B41" t="s">
        <v>2196</v>
      </c>
      <c r="C41" t="s">
        <v>438</v>
      </c>
      <c r="D41" t="s">
        <v>440</v>
      </c>
      <c r="E41" t="s">
        <v>360</v>
      </c>
      <c r="F41" t="s">
        <v>361</v>
      </c>
      <c r="G41">
        <v>12</v>
      </c>
      <c r="H41" t="s">
        <v>413</v>
      </c>
      <c r="I41" s="8">
        <v>6417500</v>
      </c>
    </row>
    <row r="42" spans="1:9" x14ac:dyDescent="0.25">
      <c r="A42" t="s">
        <v>2196</v>
      </c>
      <c r="B42" t="s">
        <v>2196</v>
      </c>
      <c r="C42" t="s">
        <v>444</v>
      </c>
      <c r="D42" t="s">
        <v>445</v>
      </c>
      <c r="E42" t="s">
        <v>37</v>
      </c>
      <c r="F42" t="s">
        <v>449</v>
      </c>
      <c r="G42">
        <v>32</v>
      </c>
      <c r="H42" t="s">
        <v>448</v>
      </c>
      <c r="I42" s="8">
        <v>89478000</v>
      </c>
    </row>
    <row r="43" spans="1:9" x14ac:dyDescent="0.25">
      <c r="A43" t="s">
        <v>2196</v>
      </c>
      <c r="B43" t="s">
        <v>2196</v>
      </c>
      <c r="C43" t="s">
        <v>452</v>
      </c>
      <c r="D43" t="s">
        <v>454</v>
      </c>
      <c r="E43" t="s">
        <v>457</v>
      </c>
      <c r="F43" t="s">
        <v>458</v>
      </c>
      <c r="G43">
        <v>12</v>
      </c>
      <c r="H43" t="s">
        <v>318</v>
      </c>
      <c r="I43" s="8">
        <v>189933326</v>
      </c>
    </row>
    <row r="44" spans="1:9" x14ac:dyDescent="0.25">
      <c r="A44" t="s">
        <v>2196</v>
      </c>
      <c r="B44" t="s">
        <v>2196</v>
      </c>
      <c r="C44" t="s">
        <v>461</v>
      </c>
      <c r="D44" t="s">
        <v>462</v>
      </c>
      <c r="E44" t="s">
        <v>465</v>
      </c>
      <c r="F44" t="s">
        <v>466</v>
      </c>
      <c r="G44">
        <v>12</v>
      </c>
      <c r="H44" t="s">
        <v>413</v>
      </c>
      <c r="I44" s="8">
        <v>246357600</v>
      </c>
    </row>
    <row r="45" spans="1:9" x14ac:dyDescent="0.25">
      <c r="A45" t="s">
        <v>2196</v>
      </c>
      <c r="B45" t="s">
        <v>2196</v>
      </c>
      <c r="C45" t="s">
        <v>476</v>
      </c>
      <c r="D45" t="s">
        <v>477</v>
      </c>
      <c r="E45" t="s">
        <v>227</v>
      </c>
      <c r="F45" t="s">
        <v>480</v>
      </c>
      <c r="G45">
        <v>12</v>
      </c>
      <c r="H45" t="s">
        <v>413</v>
      </c>
      <c r="I45" s="8">
        <v>114626790</v>
      </c>
    </row>
    <row r="46" spans="1:9" x14ac:dyDescent="0.25">
      <c r="A46" t="s">
        <v>2196</v>
      </c>
      <c r="B46" t="s">
        <v>2196</v>
      </c>
      <c r="C46" t="s">
        <v>482</v>
      </c>
      <c r="D46" t="s">
        <v>484</v>
      </c>
      <c r="E46" t="s">
        <v>487</v>
      </c>
      <c r="F46" t="s">
        <v>488</v>
      </c>
      <c r="G46">
        <v>12</v>
      </c>
      <c r="H46" t="s">
        <v>308</v>
      </c>
      <c r="I46" s="8">
        <v>16817500</v>
      </c>
    </row>
    <row r="47" spans="1:9" x14ac:dyDescent="0.25">
      <c r="A47" t="s">
        <v>2196</v>
      </c>
      <c r="B47" t="s">
        <v>2196</v>
      </c>
      <c r="C47" t="s">
        <v>493</v>
      </c>
      <c r="D47" t="s">
        <v>494</v>
      </c>
      <c r="E47" t="s">
        <v>497</v>
      </c>
      <c r="F47" t="s">
        <v>302</v>
      </c>
      <c r="G47">
        <v>24</v>
      </c>
      <c r="H47" t="s">
        <v>278</v>
      </c>
      <c r="I47" s="8">
        <v>72999996</v>
      </c>
    </row>
    <row r="48" spans="1:9" x14ac:dyDescent="0.25">
      <c r="A48" t="s">
        <v>2196</v>
      </c>
      <c r="B48" t="s">
        <v>2196</v>
      </c>
      <c r="C48" t="s">
        <v>499</v>
      </c>
      <c r="D48" t="s">
        <v>501</v>
      </c>
      <c r="E48" t="s">
        <v>505</v>
      </c>
      <c r="F48" t="s">
        <v>506</v>
      </c>
      <c r="G48">
        <v>16</v>
      </c>
      <c r="H48" t="s">
        <v>504</v>
      </c>
      <c r="I48" s="8">
        <v>56250000</v>
      </c>
    </row>
    <row r="49" spans="1:9" x14ac:dyDescent="0.25">
      <c r="A49" t="s">
        <v>2196</v>
      </c>
      <c r="B49" t="s">
        <v>2196</v>
      </c>
      <c r="C49" t="s">
        <v>509</v>
      </c>
      <c r="D49" t="s">
        <v>510</v>
      </c>
      <c r="E49" t="s">
        <v>513</v>
      </c>
      <c r="F49" t="s">
        <v>514</v>
      </c>
      <c r="G49">
        <v>12</v>
      </c>
      <c r="H49" t="s">
        <v>413</v>
      </c>
      <c r="I49" s="8">
        <v>83594337</v>
      </c>
    </row>
    <row r="50" spans="1:9" x14ac:dyDescent="0.25">
      <c r="A50" t="s">
        <v>2196</v>
      </c>
      <c r="B50" t="s">
        <v>2196</v>
      </c>
      <c r="C50" t="s">
        <v>517</v>
      </c>
      <c r="D50" t="s">
        <v>518</v>
      </c>
      <c r="E50" t="s">
        <v>522</v>
      </c>
      <c r="F50" t="s">
        <v>523</v>
      </c>
      <c r="G50">
        <v>15</v>
      </c>
      <c r="H50" t="s">
        <v>521</v>
      </c>
      <c r="I50" s="8">
        <v>10192001</v>
      </c>
    </row>
    <row r="51" spans="1:9" x14ac:dyDescent="0.25">
      <c r="A51" t="s">
        <v>2196</v>
      </c>
      <c r="B51" t="s">
        <v>2196</v>
      </c>
      <c r="C51" t="s">
        <v>527</v>
      </c>
      <c r="D51" t="s">
        <v>528</v>
      </c>
      <c r="E51" t="s">
        <v>531</v>
      </c>
      <c r="F51" t="s">
        <v>532</v>
      </c>
      <c r="G51">
        <v>12</v>
      </c>
      <c r="H51" t="s">
        <v>413</v>
      </c>
      <c r="I51" s="8">
        <v>40000000</v>
      </c>
    </row>
    <row r="52" spans="1:9" x14ac:dyDescent="0.25">
      <c r="A52" t="s">
        <v>2196</v>
      </c>
      <c r="B52" t="s">
        <v>2196</v>
      </c>
      <c r="C52" t="s">
        <v>535</v>
      </c>
      <c r="D52" t="s">
        <v>537</v>
      </c>
      <c r="E52" t="s">
        <v>531</v>
      </c>
      <c r="F52" t="s">
        <v>532</v>
      </c>
      <c r="G52">
        <v>12</v>
      </c>
      <c r="H52" t="s">
        <v>413</v>
      </c>
      <c r="I52" s="8">
        <v>80000000</v>
      </c>
    </row>
    <row r="53" spans="1:9" x14ac:dyDescent="0.25">
      <c r="A53" t="s">
        <v>2196</v>
      </c>
      <c r="B53" t="s">
        <v>2196</v>
      </c>
      <c r="C53" t="s">
        <v>539</v>
      </c>
      <c r="D53" t="s">
        <v>541</v>
      </c>
      <c r="E53" t="s">
        <v>55</v>
      </c>
      <c r="F53" t="s">
        <v>544</v>
      </c>
      <c r="G53">
        <v>24</v>
      </c>
      <c r="H53" t="s">
        <v>278</v>
      </c>
      <c r="I53" s="8">
        <v>39999996</v>
      </c>
    </row>
    <row r="54" spans="1:9" x14ac:dyDescent="0.25">
      <c r="A54" t="s">
        <v>2196</v>
      </c>
      <c r="B54" t="s">
        <v>2196</v>
      </c>
      <c r="C54" t="s">
        <v>548</v>
      </c>
      <c r="D54" t="s">
        <v>550</v>
      </c>
      <c r="E54" t="s">
        <v>55</v>
      </c>
      <c r="F54" t="s">
        <v>544</v>
      </c>
      <c r="G54">
        <v>12</v>
      </c>
      <c r="H54" t="s">
        <v>413</v>
      </c>
      <c r="I54" s="8">
        <v>96100000</v>
      </c>
    </row>
    <row r="55" spans="1:9" x14ac:dyDescent="0.25">
      <c r="A55" t="s">
        <v>2196</v>
      </c>
      <c r="B55" t="s">
        <v>2196</v>
      </c>
      <c r="C55" t="s">
        <v>552</v>
      </c>
      <c r="D55" t="s">
        <v>553</v>
      </c>
      <c r="E55" t="s">
        <v>122</v>
      </c>
      <c r="F55" t="s">
        <v>555</v>
      </c>
      <c r="G55">
        <v>24</v>
      </c>
      <c r="H55" t="s">
        <v>278</v>
      </c>
      <c r="I55" s="8">
        <v>100200000</v>
      </c>
    </row>
    <row r="56" spans="1:9" x14ac:dyDescent="0.25">
      <c r="A56" t="s">
        <v>2196</v>
      </c>
      <c r="B56" t="s">
        <v>2196</v>
      </c>
      <c r="C56" t="s">
        <v>557</v>
      </c>
      <c r="D56" t="s">
        <v>558</v>
      </c>
      <c r="E56" t="s">
        <v>122</v>
      </c>
      <c r="F56" t="s">
        <v>555</v>
      </c>
      <c r="G56">
        <v>12</v>
      </c>
      <c r="H56" t="s">
        <v>413</v>
      </c>
      <c r="I56" s="8">
        <v>30000000</v>
      </c>
    </row>
    <row r="57" spans="1:9" x14ac:dyDescent="0.25">
      <c r="A57" t="s">
        <v>2196</v>
      </c>
      <c r="B57" t="s">
        <v>2196</v>
      </c>
      <c r="C57" t="s">
        <v>560</v>
      </c>
      <c r="D57" t="s">
        <v>562</v>
      </c>
      <c r="E57" t="s">
        <v>169</v>
      </c>
      <c r="F57" t="s">
        <v>65</v>
      </c>
      <c r="G57">
        <v>32</v>
      </c>
      <c r="H57" t="s">
        <v>196</v>
      </c>
      <c r="I57" s="8">
        <v>69333336</v>
      </c>
    </row>
    <row r="58" spans="1:9" x14ac:dyDescent="0.25">
      <c r="A58" t="s">
        <v>2196</v>
      </c>
      <c r="B58" t="s">
        <v>2196</v>
      </c>
      <c r="C58" t="s">
        <v>251</v>
      </c>
      <c r="D58" t="s">
        <v>253</v>
      </c>
      <c r="E58" t="s">
        <v>257</v>
      </c>
      <c r="F58" t="s">
        <v>258</v>
      </c>
      <c r="G58">
        <v>2</v>
      </c>
      <c r="H58" t="s">
        <v>282</v>
      </c>
      <c r="I58" s="8">
        <v>225000</v>
      </c>
    </row>
    <row r="59" spans="1:9" x14ac:dyDescent="0.25">
      <c r="A59" t="s">
        <v>2196</v>
      </c>
      <c r="B59" t="s">
        <v>2196</v>
      </c>
      <c r="C59" t="s">
        <v>251</v>
      </c>
      <c r="D59" t="s">
        <v>253</v>
      </c>
      <c r="E59" t="s">
        <v>257</v>
      </c>
      <c r="F59" t="s">
        <v>258</v>
      </c>
      <c r="G59">
        <v>2</v>
      </c>
      <c r="H59" t="s">
        <v>266</v>
      </c>
      <c r="I59" s="8">
        <v>45150000</v>
      </c>
    </row>
    <row r="60" spans="1:9" x14ac:dyDescent="0.25">
      <c r="A60" t="s">
        <v>2196</v>
      </c>
      <c r="B60" t="s">
        <v>2196</v>
      </c>
      <c r="C60" t="s">
        <v>251</v>
      </c>
      <c r="D60" t="s">
        <v>253</v>
      </c>
      <c r="E60" t="s">
        <v>257</v>
      </c>
      <c r="F60" t="s">
        <v>258</v>
      </c>
      <c r="G60">
        <v>2</v>
      </c>
      <c r="H60" t="s">
        <v>264</v>
      </c>
      <c r="I60" s="8">
        <v>7000000</v>
      </c>
    </row>
    <row r="61" spans="1:9" x14ac:dyDescent="0.25">
      <c r="A61" t="s">
        <v>2196</v>
      </c>
      <c r="B61" t="s">
        <v>2196</v>
      </c>
      <c r="C61" t="s">
        <v>251</v>
      </c>
      <c r="D61" t="s">
        <v>253</v>
      </c>
      <c r="E61" t="s">
        <v>257</v>
      </c>
      <c r="F61" t="s">
        <v>258</v>
      </c>
      <c r="G61">
        <v>4</v>
      </c>
      <c r="H61" t="s">
        <v>268</v>
      </c>
      <c r="I61" s="8">
        <v>24820000</v>
      </c>
    </row>
    <row r="62" spans="1:9" x14ac:dyDescent="0.25">
      <c r="A62" t="s">
        <v>2196</v>
      </c>
      <c r="B62" t="s">
        <v>2196</v>
      </c>
      <c r="C62" t="s">
        <v>251</v>
      </c>
      <c r="D62" t="s">
        <v>253</v>
      </c>
      <c r="E62" t="s">
        <v>257</v>
      </c>
      <c r="F62" t="s">
        <v>258</v>
      </c>
      <c r="G62">
        <v>4</v>
      </c>
      <c r="H62" t="s">
        <v>262</v>
      </c>
      <c r="I62" s="8">
        <v>71900000</v>
      </c>
    </row>
    <row r="63" spans="1:9" x14ac:dyDescent="0.25">
      <c r="A63" t="s">
        <v>2196</v>
      </c>
      <c r="B63" t="s">
        <v>2196</v>
      </c>
      <c r="C63" t="s">
        <v>251</v>
      </c>
      <c r="D63" t="s">
        <v>253</v>
      </c>
      <c r="E63" t="s">
        <v>257</v>
      </c>
      <c r="F63" t="s">
        <v>258</v>
      </c>
      <c r="G63">
        <v>4</v>
      </c>
      <c r="H63" t="s">
        <v>256</v>
      </c>
      <c r="I63" s="8">
        <v>81500000</v>
      </c>
    </row>
    <row r="64" spans="1:9" x14ac:dyDescent="0.25">
      <c r="A64" t="s">
        <v>2196</v>
      </c>
      <c r="B64" t="s">
        <v>2196</v>
      </c>
      <c r="C64" t="s">
        <v>251</v>
      </c>
      <c r="D64" t="s">
        <v>253</v>
      </c>
      <c r="E64" t="s">
        <v>257</v>
      </c>
      <c r="F64" t="s">
        <v>258</v>
      </c>
      <c r="G64">
        <v>6</v>
      </c>
      <c r="H64" t="s">
        <v>270</v>
      </c>
      <c r="I64" s="8">
        <v>23200001</v>
      </c>
    </row>
    <row r="65" spans="1:9" x14ac:dyDescent="0.25">
      <c r="A65" t="s">
        <v>2196</v>
      </c>
      <c r="B65" t="s">
        <v>2196</v>
      </c>
      <c r="C65" t="s">
        <v>251</v>
      </c>
      <c r="D65" t="s">
        <v>253</v>
      </c>
      <c r="E65" t="s">
        <v>257</v>
      </c>
      <c r="F65" t="s">
        <v>258</v>
      </c>
      <c r="G65">
        <v>7</v>
      </c>
      <c r="H65" t="s">
        <v>256</v>
      </c>
      <c r="I65" s="8">
        <v>20800000</v>
      </c>
    </row>
    <row r="66" spans="1:9" x14ac:dyDescent="0.25">
      <c r="A66" t="s">
        <v>2196</v>
      </c>
      <c r="B66" t="s">
        <v>2196</v>
      </c>
      <c r="C66" t="s">
        <v>251</v>
      </c>
      <c r="D66" t="s">
        <v>253</v>
      </c>
      <c r="E66" t="s">
        <v>257</v>
      </c>
      <c r="F66" t="s">
        <v>258</v>
      </c>
      <c r="G66">
        <v>8</v>
      </c>
      <c r="H66" t="s">
        <v>276</v>
      </c>
      <c r="I66" s="8">
        <v>45800000</v>
      </c>
    </row>
    <row r="67" spans="1:9" x14ac:dyDescent="0.25">
      <c r="A67" t="s">
        <v>2196</v>
      </c>
      <c r="B67" t="s">
        <v>2196</v>
      </c>
      <c r="C67" t="s">
        <v>251</v>
      </c>
      <c r="D67" t="s">
        <v>253</v>
      </c>
      <c r="E67" t="s">
        <v>257</v>
      </c>
      <c r="F67" t="s">
        <v>258</v>
      </c>
      <c r="G67">
        <v>8</v>
      </c>
      <c r="H67" t="s">
        <v>273</v>
      </c>
      <c r="I67" s="8">
        <v>13950000</v>
      </c>
    </row>
    <row r="68" spans="1:9" x14ac:dyDescent="0.25">
      <c r="A68" t="s">
        <v>2196</v>
      </c>
      <c r="B68" t="s">
        <v>2196</v>
      </c>
      <c r="C68" t="s">
        <v>251</v>
      </c>
      <c r="D68" t="s">
        <v>253</v>
      </c>
      <c r="E68" t="s">
        <v>257</v>
      </c>
      <c r="F68" t="s">
        <v>258</v>
      </c>
      <c r="G68">
        <v>24</v>
      </c>
      <c r="H68" t="s">
        <v>278</v>
      </c>
      <c r="I68" s="8">
        <v>21279996</v>
      </c>
    </row>
    <row r="69" spans="1:9" x14ac:dyDescent="0.25">
      <c r="A69" t="s">
        <v>2196</v>
      </c>
      <c r="B69" t="s">
        <v>2196</v>
      </c>
      <c r="C69" t="s">
        <v>375</v>
      </c>
      <c r="D69" t="s">
        <v>376</v>
      </c>
      <c r="E69" t="s">
        <v>378</v>
      </c>
      <c r="F69" t="s">
        <v>361</v>
      </c>
      <c r="G69">
        <v>12</v>
      </c>
      <c r="H69" t="s">
        <v>318</v>
      </c>
      <c r="I69" s="8">
        <v>17416663</v>
      </c>
    </row>
    <row r="70" spans="1:9" x14ac:dyDescent="0.25">
      <c r="A70" t="s">
        <v>2196</v>
      </c>
      <c r="B70" t="s">
        <v>2196</v>
      </c>
      <c r="C70" t="s">
        <v>468</v>
      </c>
      <c r="D70" t="s">
        <v>470</v>
      </c>
      <c r="E70" t="s">
        <v>473</v>
      </c>
      <c r="F70" t="s">
        <v>474</v>
      </c>
      <c r="G70">
        <v>12</v>
      </c>
      <c r="H70" t="s">
        <v>413</v>
      </c>
      <c r="I70" s="8">
        <v>394362600</v>
      </c>
    </row>
    <row r="71" spans="1:9" x14ac:dyDescent="0.25">
      <c r="A71" t="s">
        <v>2196</v>
      </c>
      <c r="B71" t="s">
        <v>2196</v>
      </c>
      <c r="C71" t="s">
        <v>545</v>
      </c>
      <c r="D71" t="s">
        <v>546</v>
      </c>
      <c r="E71" t="s">
        <v>414</v>
      </c>
      <c r="F71" t="s">
        <v>415</v>
      </c>
      <c r="G71">
        <v>12</v>
      </c>
      <c r="H71" t="s">
        <v>318</v>
      </c>
      <c r="I71" s="8">
        <v>30800000</v>
      </c>
    </row>
    <row r="72" spans="1:9" x14ac:dyDescent="0.25">
      <c r="A72" t="s">
        <v>2199</v>
      </c>
      <c r="B72" t="s">
        <v>1238</v>
      </c>
      <c r="C72" t="s">
        <v>1369</v>
      </c>
      <c r="D72" t="s">
        <v>1370</v>
      </c>
      <c r="E72" t="s">
        <v>1299</v>
      </c>
      <c r="F72" t="s">
        <v>1300</v>
      </c>
      <c r="G72">
        <v>1</v>
      </c>
      <c r="H72" s="1">
        <v>46113</v>
      </c>
      <c r="I72" s="8">
        <v>1578831000</v>
      </c>
    </row>
    <row r="73" spans="1:9" x14ac:dyDescent="0.25">
      <c r="A73" t="s">
        <v>2199</v>
      </c>
      <c r="B73" t="s">
        <v>1238</v>
      </c>
      <c r="C73" t="s">
        <v>1385</v>
      </c>
      <c r="D73" t="s">
        <v>1386</v>
      </c>
      <c r="E73" t="s">
        <v>1299</v>
      </c>
      <c r="F73" t="s">
        <v>1300</v>
      </c>
      <c r="G73">
        <v>1</v>
      </c>
      <c r="H73" s="1">
        <v>46113</v>
      </c>
      <c r="I73" s="8">
        <v>1969068000</v>
      </c>
    </row>
    <row r="74" spans="1:9" x14ac:dyDescent="0.25">
      <c r="A74" t="s">
        <v>2199</v>
      </c>
      <c r="B74" t="s">
        <v>1238</v>
      </c>
      <c r="C74" t="s">
        <v>1387</v>
      </c>
      <c r="D74" t="s">
        <v>1388</v>
      </c>
      <c r="E74" t="s">
        <v>1299</v>
      </c>
      <c r="F74" t="s">
        <v>1300</v>
      </c>
      <c r="G74">
        <v>1</v>
      </c>
      <c r="H74" s="1">
        <v>46113</v>
      </c>
      <c r="I74" s="8">
        <v>18632000</v>
      </c>
    </row>
    <row r="75" spans="1:9" x14ac:dyDescent="0.25">
      <c r="A75" t="s">
        <v>2199</v>
      </c>
      <c r="B75" t="s">
        <v>1238</v>
      </c>
      <c r="C75" t="s">
        <v>1393</v>
      </c>
      <c r="D75" t="s">
        <v>1394</v>
      </c>
      <c r="E75" t="s">
        <v>1299</v>
      </c>
      <c r="F75" t="s">
        <v>1300</v>
      </c>
      <c r="G75">
        <v>1</v>
      </c>
      <c r="H75" s="1">
        <v>46113</v>
      </c>
      <c r="I75" s="8">
        <v>280000000</v>
      </c>
    </row>
    <row r="76" spans="1:9" x14ac:dyDescent="0.25">
      <c r="A76" t="s">
        <v>2199</v>
      </c>
      <c r="B76" t="s">
        <v>1238</v>
      </c>
      <c r="C76" t="s">
        <v>1398</v>
      </c>
      <c r="D76" t="s">
        <v>1399</v>
      </c>
      <c r="E76" t="s">
        <v>1299</v>
      </c>
      <c r="F76" t="s">
        <v>1300</v>
      </c>
      <c r="G76">
        <v>1</v>
      </c>
      <c r="H76" s="1">
        <v>46143</v>
      </c>
      <c r="I76" s="8">
        <v>61000000</v>
      </c>
    </row>
    <row r="77" spans="1:9" x14ac:dyDescent="0.25">
      <c r="A77" t="s">
        <v>2199</v>
      </c>
      <c r="B77" t="s">
        <v>1238</v>
      </c>
      <c r="C77" t="s">
        <v>1464</v>
      </c>
      <c r="D77" t="s">
        <v>1465</v>
      </c>
      <c r="E77" t="s">
        <v>1075</v>
      </c>
      <c r="F77" t="s">
        <v>1076</v>
      </c>
      <c r="G77">
        <v>1</v>
      </c>
      <c r="H77" s="1">
        <v>46023</v>
      </c>
      <c r="I77" s="8">
        <v>1000000</v>
      </c>
    </row>
    <row r="78" spans="1:9" x14ac:dyDescent="0.25">
      <c r="A78" t="s">
        <v>2199</v>
      </c>
      <c r="B78" t="s">
        <v>1238</v>
      </c>
      <c r="C78" t="s">
        <v>1485</v>
      </c>
      <c r="D78" t="s">
        <v>1486</v>
      </c>
      <c r="E78" t="s">
        <v>1211</v>
      </c>
      <c r="F78" t="s">
        <v>320</v>
      </c>
      <c r="G78">
        <v>1</v>
      </c>
      <c r="H78" s="1">
        <v>46054</v>
      </c>
      <c r="I78" s="8">
        <v>250000</v>
      </c>
    </row>
    <row r="79" spans="1:9" x14ac:dyDescent="0.25">
      <c r="A79" t="s">
        <v>2199</v>
      </c>
      <c r="B79" t="s">
        <v>1238</v>
      </c>
      <c r="C79" t="s">
        <v>1624</v>
      </c>
      <c r="D79" t="s">
        <v>1621</v>
      </c>
      <c r="E79" t="s">
        <v>1608</v>
      </c>
      <c r="F79" t="s">
        <v>361</v>
      </c>
      <c r="G79">
        <v>1</v>
      </c>
      <c r="H79" s="1">
        <v>46023</v>
      </c>
      <c r="I79" s="8">
        <v>780000</v>
      </c>
    </row>
    <row r="80" spans="1:9" x14ac:dyDescent="0.25">
      <c r="A80" t="s">
        <v>2199</v>
      </c>
      <c r="B80" t="s">
        <v>1238</v>
      </c>
      <c r="C80" t="s">
        <v>1673</v>
      </c>
      <c r="D80" t="s">
        <v>1674</v>
      </c>
      <c r="E80" t="s">
        <v>1299</v>
      </c>
      <c r="F80" t="s">
        <v>1300</v>
      </c>
      <c r="G80">
        <v>1</v>
      </c>
      <c r="H80" s="1">
        <v>46113</v>
      </c>
      <c r="I80" s="8">
        <v>6773000</v>
      </c>
    </row>
    <row r="81" spans="1:9" x14ac:dyDescent="0.25">
      <c r="A81" t="s">
        <v>2199</v>
      </c>
      <c r="B81" t="s">
        <v>1238</v>
      </c>
      <c r="C81" t="s">
        <v>2037</v>
      </c>
      <c r="D81" t="s">
        <v>1658</v>
      </c>
      <c r="E81" t="s">
        <v>2039</v>
      </c>
      <c r="F81" t="s">
        <v>1661</v>
      </c>
      <c r="G81">
        <v>1</v>
      </c>
      <c r="H81" s="1">
        <v>46174</v>
      </c>
      <c r="I81" s="8">
        <v>19000000</v>
      </c>
    </row>
    <row r="82" spans="1:9" x14ac:dyDescent="0.25">
      <c r="A82" t="s">
        <v>2199</v>
      </c>
      <c r="B82" t="s">
        <v>1238</v>
      </c>
      <c r="C82" t="s">
        <v>2063</v>
      </c>
      <c r="D82" t="s">
        <v>2064</v>
      </c>
      <c r="E82" t="s">
        <v>768</v>
      </c>
      <c r="F82" t="s">
        <v>966</v>
      </c>
      <c r="G82">
        <v>1</v>
      </c>
      <c r="H82" s="1">
        <v>46023</v>
      </c>
      <c r="I82" s="8">
        <v>300000</v>
      </c>
    </row>
    <row r="83" spans="1:9" x14ac:dyDescent="0.25">
      <c r="A83" t="s">
        <v>2199</v>
      </c>
      <c r="B83" t="s">
        <v>1238</v>
      </c>
      <c r="C83" t="s">
        <v>2102</v>
      </c>
      <c r="D83" t="s">
        <v>2103</v>
      </c>
      <c r="E83" t="s">
        <v>1759</v>
      </c>
      <c r="F83" t="s">
        <v>1760</v>
      </c>
      <c r="G83">
        <v>1</v>
      </c>
      <c r="H83" s="1">
        <v>46082</v>
      </c>
      <c r="I83" s="8">
        <v>16000000</v>
      </c>
    </row>
    <row r="84" spans="1:9" x14ac:dyDescent="0.25">
      <c r="A84" t="s">
        <v>2199</v>
      </c>
      <c r="B84" t="s">
        <v>1238</v>
      </c>
      <c r="C84" t="s">
        <v>2140</v>
      </c>
      <c r="D84" t="s">
        <v>2141</v>
      </c>
      <c r="E84" t="s">
        <v>768</v>
      </c>
      <c r="F84" t="s">
        <v>966</v>
      </c>
      <c r="G84">
        <v>1</v>
      </c>
      <c r="H84" s="1">
        <v>46054</v>
      </c>
      <c r="I84" s="8">
        <v>250000</v>
      </c>
    </row>
    <row r="85" spans="1:9" x14ac:dyDescent="0.25">
      <c r="A85" t="s">
        <v>2199</v>
      </c>
      <c r="B85" t="s">
        <v>1238</v>
      </c>
      <c r="C85" t="s">
        <v>1239</v>
      </c>
      <c r="D85" t="s">
        <v>1241</v>
      </c>
      <c r="E85" t="s">
        <v>122</v>
      </c>
      <c r="F85" t="s">
        <v>544</v>
      </c>
      <c r="G85">
        <v>1</v>
      </c>
      <c r="H85" s="1">
        <v>46113</v>
      </c>
      <c r="I85" s="8">
        <v>108183000</v>
      </c>
    </row>
    <row r="86" spans="1:9" x14ac:dyDescent="0.25">
      <c r="A86" t="s">
        <v>2199</v>
      </c>
      <c r="B86" t="s">
        <v>1238</v>
      </c>
      <c r="C86" t="s">
        <v>1289</v>
      </c>
      <c r="D86" t="s">
        <v>1291</v>
      </c>
      <c r="E86" t="s">
        <v>768</v>
      </c>
      <c r="F86" t="s">
        <v>386</v>
      </c>
      <c r="G86">
        <v>1</v>
      </c>
      <c r="H86" s="1">
        <v>46023</v>
      </c>
      <c r="I86" s="8">
        <v>4000005</v>
      </c>
    </row>
    <row r="87" spans="1:9" x14ac:dyDescent="0.25">
      <c r="A87" t="s">
        <v>2199</v>
      </c>
      <c r="B87" t="s">
        <v>1238</v>
      </c>
      <c r="C87" t="s">
        <v>1295</v>
      </c>
      <c r="D87" t="s">
        <v>1297</v>
      </c>
      <c r="E87" t="s">
        <v>1299</v>
      </c>
      <c r="F87" t="s">
        <v>1300</v>
      </c>
      <c r="G87">
        <v>1</v>
      </c>
      <c r="H87" s="1">
        <v>46113</v>
      </c>
      <c r="I87" s="8">
        <v>142663000</v>
      </c>
    </row>
    <row r="88" spans="1:9" x14ac:dyDescent="0.25">
      <c r="A88" t="s">
        <v>2199</v>
      </c>
      <c r="B88" t="s">
        <v>1238</v>
      </c>
      <c r="C88" t="s">
        <v>1349</v>
      </c>
      <c r="D88" t="s">
        <v>1350</v>
      </c>
      <c r="E88" t="s">
        <v>1299</v>
      </c>
      <c r="F88" t="s">
        <v>1300</v>
      </c>
      <c r="G88">
        <v>1</v>
      </c>
      <c r="H88" s="1">
        <v>46113</v>
      </c>
      <c r="I88" s="8">
        <v>210000000</v>
      </c>
    </row>
    <row r="89" spans="1:9" x14ac:dyDescent="0.25">
      <c r="A89" t="s">
        <v>2199</v>
      </c>
      <c r="B89" t="s">
        <v>1238</v>
      </c>
      <c r="C89" t="s">
        <v>1352</v>
      </c>
      <c r="D89" t="s">
        <v>1353</v>
      </c>
      <c r="E89" t="s">
        <v>1299</v>
      </c>
      <c r="F89" t="s">
        <v>1300</v>
      </c>
      <c r="G89">
        <v>1</v>
      </c>
      <c r="H89" s="1">
        <v>46204</v>
      </c>
      <c r="I89" s="8">
        <v>129075000</v>
      </c>
    </row>
    <row r="90" spans="1:9" x14ac:dyDescent="0.25">
      <c r="A90" t="s">
        <v>2199</v>
      </c>
      <c r="B90" t="s">
        <v>374</v>
      </c>
      <c r="C90" t="s">
        <v>1590</v>
      </c>
      <c r="D90" t="s">
        <v>1591</v>
      </c>
      <c r="E90" t="s">
        <v>761</v>
      </c>
      <c r="F90" t="s">
        <v>762</v>
      </c>
      <c r="G90">
        <v>1</v>
      </c>
      <c r="H90" s="1">
        <v>46143</v>
      </c>
      <c r="I90" s="8">
        <v>295000</v>
      </c>
    </row>
    <row r="91" spans="1:9" x14ac:dyDescent="0.25">
      <c r="A91" t="s">
        <v>2199</v>
      </c>
      <c r="B91" t="s">
        <v>374</v>
      </c>
      <c r="C91" t="s">
        <v>1575</v>
      </c>
      <c r="D91" t="s">
        <v>1576</v>
      </c>
      <c r="E91" t="s">
        <v>761</v>
      </c>
      <c r="F91" t="s">
        <v>762</v>
      </c>
      <c r="G91">
        <v>1</v>
      </c>
      <c r="H91" s="1">
        <v>46054</v>
      </c>
      <c r="I91" s="8">
        <v>6590000</v>
      </c>
    </row>
    <row r="92" spans="1:9" x14ac:dyDescent="0.25">
      <c r="A92" t="s">
        <v>2199</v>
      </c>
      <c r="B92" t="s">
        <v>374</v>
      </c>
      <c r="C92" t="s">
        <v>1575</v>
      </c>
      <c r="D92" t="s">
        <v>1576</v>
      </c>
      <c r="E92" t="s">
        <v>761</v>
      </c>
      <c r="F92" t="s">
        <v>762</v>
      </c>
      <c r="G92">
        <v>1</v>
      </c>
      <c r="H92" s="1">
        <v>46143</v>
      </c>
      <c r="I92" s="8">
        <v>120000</v>
      </c>
    </row>
    <row r="93" spans="1:9" x14ac:dyDescent="0.25">
      <c r="A93" t="s">
        <v>2199</v>
      </c>
      <c r="B93" t="s">
        <v>374</v>
      </c>
      <c r="C93" t="s">
        <v>1595</v>
      </c>
      <c r="D93" t="s">
        <v>1597</v>
      </c>
      <c r="E93" t="s">
        <v>761</v>
      </c>
      <c r="F93" t="s">
        <v>762</v>
      </c>
      <c r="G93">
        <v>1</v>
      </c>
      <c r="H93" s="1">
        <v>46054</v>
      </c>
      <c r="I93" s="8">
        <v>360000</v>
      </c>
    </row>
    <row r="94" spans="1:9" x14ac:dyDescent="0.25">
      <c r="A94" t="s">
        <v>2199</v>
      </c>
      <c r="B94" t="s">
        <v>374</v>
      </c>
      <c r="C94" t="s">
        <v>1645</v>
      </c>
      <c r="D94" t="s">
        <v>1646</v>
      </c>
      <c r="E94" t="s">
        <v>1649</v>
      </c>
      <c r="F94" t="s">
        <v>762</v>
      </c>
      <c r="G94">
        <v>1</v>
      </c>
      <c r="H94" s="1">
        <v>46235</v>
      </c>
      <c r="I94" s="8">
        <v>4160004</v>
      </c>
    </row>
    <row r="95" spans="1:9" x14ac:dyDescent="0.25">
      <c r="A95" t="s">
        <v>2199</v>
      </c>
      <c r="B95" t="s">
        <v>374</v>
      </c>
      <c r="C95" t="s">
        <v>1650</v>
      </c>
      <c r="D95" t="s">
        <v>1651</v>
      </c>
      <c r="E95" t="s">
        <v>761</v>
      </c>
      <c r="F95" t="s">
        <v>762</v>
      </c>
      <c r="G95">
        <v>1</v>
      </c>
      <c r="H95" s="1">
        <v>46143</v>
      </c>
      <c r="I95" s="8">
        <v>200004</v>
      </c>
    </row>
    <row r="96" spans="1:9" x14ac:dyDescent="0.25">
      <c r="A96" t="s">
        <v>2199</v>
      </c>
      <c r="B96" t="s">
        <v>374</v>
      </c>
      <c r="C96" t="s">
        <v>1654</v>
      </c>
      <c r="D96" t="s">
        <v>1655</v>
      </c>
      <c r="E96" t="s">
        <v>761</v>
      </c>
      <c r="F96" t="s">
        <v>762</v>
      </c>
      <c r="G96">
        <v>1</v>
      </c>
      <c r="H96" s="1">
        <v>46143</v>
      </c>
      <c r="I96" s="8">
        <v>280000</v>
      </c>
    </row>
    <row r="97" spans="1:9" x14ac:dyDescent="0.25">
      <c r="A97" t="s">
        <v>2199</v>
      </c>
      <c r="B97" t="s">
        <v>374</v>
      </c>
      <c r="C97" t="s">
        <v>1657</v>
      </c>
      <c r="D97" t="s">
        <v>1658</v>
      </c>
      <c r="E97" t="s">
        <v>1660</v>
      </c>
      <c r="F97" t="s">
        <v>1661</v>
      </c>
      <c r="G97">
        <v>1</v>
      </c>
      <c r="H97" s="1">
        <v>46235</v>
      </c>
      <c r="I97" s="8">
        <v>4600000</v>
      </c>
    </row>
    <row r="98" spans="1:9" x14ac:dyDescent="0.25">
      <c r="A98" t="s">
        <v>2199</v>
      </c>
      <c r="B98" t="s">
        <v>374</v>
      </c>
      <c r="C98" t="s">
        <v>1657</v>
      </c>
      <c r="D98" t="s">
        <v>1658</v>
      </c>
      <c r="E98" t="s">
        <v>1660</v>
      </c>
      <c r="F98" t="s">
        <v>1661</v>
      </c>
      <c r="G98">
        <v>1</v>
      </c>
      <c r="H98" s="1">
        <v>46266</v>
      </c>
      <c r="I98" s="8">
        <v>14110018</v>
      </c>
    </row>
    <row r="99" spans="1:9" x14ac:dyDescent="0.25">
      <c r="A99" t="s">
        <v>2199</v>
      </c>
      <c r="B99" t="s">
        <v>374</v>
      </c>
      <c r="C99" t="s">
        <v>1967</v>
      </c>
      <c r="D99" t="s">
        <v>1969</v>
      </c>
      <c r="E99" t="s">
        <v>768</v>
      </c>
      <c r="F99" t="s">
        <v>1972</v>
      </c>
      <c r="G99">
        <v>1</v>
      </c>
      <c r="H99" s="1">
        <v>46054</v>
      </c>
      <c r="I99" s="8">
        <v>207409</v>
      </c>
    </row>
    <row r="100" spans="1:9" x14ac:dyDescent="0.25">
      <c r="A100" t="s">
        <v>2199</v>
      </c>
      <c r="B100" t="s">
        <v>374</v>
      </c>
      <c r="C100" t="s">
        <v>2028</v>
      </c>
      <c r="D100" t="s">
        <v>2029</v>
      </c>
      <c r="E100" t="s">
        <v>2032</v>
      </c>
      <c r="F100" t="s">
        <v>2033</v>
      </c>
      <c r="G100">
        <v>1</v>
      </c>
      <c r="H100" s="1">
        <v>46082</v>
      </c>
      <c r="I100" s="8">
        <v>7584540</v>
      </c>
    </row>
    <row r="101" spans="1:9" x14ac:dyDescent="0.25">
      <c r="A101" t="s">
        <v>2199</v>
      </c>
      <c r="B101" t="s">
        <v>374</v>
      </c>
      <c r="C101" t="s">
        <v>2080</v>
      </c>
      <c r="D101" t="s">
        <v>2081</v>
      </c>
      <c r="E101" t="s">
        <v>768</v>
      </c>
      <c r="F101" t="s">
        <v>386</v>
      </c>
      <c r="G101">
        <v>1</v>
      </c>
      <c r="H101" s="1">
        <v>46082</v>
      </c>
      <c r="I101" s="8">
        <v>350280</v>
      </c>
    </row>
    <row r="102" spans="1:9" x14ac:dyDescent="0.25">
      <c r="A102" t="s">
        <v>2199</v>
      </c>
      <c r="B102" t="s">
        <v>374</v>
      </c>
      <c r="C102" t="s">
        <v>2086</v>
      </c>
      <c r="D102" t="s">
        <v>2087</v>
      </c>
      <c r="E102" t="s">
        <v>768</v>
      </c>
      <c r="F102" t="s">
        <v>386</v>
      </c>
      <c r="G102">
        <v>1</v>
      </c>
      <c r="H102" s="1">
        <v>46082</v>
      </c>
      <c r="I102" s="8">
        <v>506160</v>
      </c>
    </row>
    <row r="103" spans="1:9" x14ac:dyDescent="0.25">
      <c r="A103" t="s">
        <v>2199</v>
      </c>
      <c r="B103" t="s">
        <v>374</v>
      </c>
      <c r="C103" t="s">
        <v>2110</v>
      </c>
      <c r="D103" t="s">
        <v>2111</v>
      </c>
      <c r="E103" t="s">
        <v>768</v>
      </c>
      <c r="F103" t="s">
        <v>386</v>
      </c>
      <c r="G103">
        <v>1</v>
      </c>
      <c r="H103" s="1">
        <v>46023</v>
      </c>
      <c r="I103" s="8">
        <v>1303030</v>
      </c>
    </row>
    <row r="104" spans="1:9" x14ac:dyDescent="0.25">
      <c r="A104" t="s">
        <v>2199</v>
      </c>
      <c r="B104" t="s">
        <v>374</v>
      </c>
      <c r="C104" t="s">
        <v>2159</v>
      </c>
      <c r="D104" t="s">
        <v>2160</v>
      </c>
      <c r="E104" t="s">
        <v>761</v>
      </c>
      <c r="F104" t="s">
        <v>762</v>
      </c>
      <c r="G104">
        <v>1</v>
      </c>
      <c r="H104" s="1">
        <v>46054</v>
      </c>
      <c r="I104" s="8">
        <v>3960016</v>
      </c>
    </row>
    <row r="105" spans="1:9" x14ac:dyDescent="0.25">
      <c r="A105" t="s">
        <v>2199</v>
      </c>
      <c r="B105" t="s">
        <v>374</v>
      </c>
      <c r="C105" t="s">
        <v>2159</v>
      </c>
      <c r="D105" t="s">
        <v>2160</v>
      </c>
      <c r="E105" t="s">
        <v>761</v>
      </c>
      <c r="F105" t="s">
        <v>762</v>
      </c>
      <c r="G105">
        <v>1</v>
      </c>
      <c r="H105" s="1">
        <v>46174</v>
      </c>
      <c r="I105" s="8">
        <v>3850009</v>
      </c>
    </row>
    <row r="106" spans="1:9" x14ac:dyDescent="0.25">
      <c r="A106" t="s">
        <v>2199</v>
      </c>
      <c r="B106" t="s">
        <v>374</v>
      </c>
      <c r="C106" t="s">
        <v>2181</v>
      </c>
      <c r="D106" t="s">
        <v>2182</v>
      </c>
      <c r="E106" t="s">
        <v>761</v>
      </c>
      <c r="F106" t="s">
        <v>762</v>
      </c>
      <c r="G106">
        <v>1</v>
      </c>
      <c r="H106" s="1">
        <v>46143</v>
      </c>
      <c r="I106" s="8">
        <v>280008</v>
      </c>
    </row>
    <row r="107" spans="1:9" x14ac:dyDescent="0.25">
      <c r="A107" t="s">
        <v>2199</v>
      </c>
      <c r="B107" t="s">
        <v>374</v>
      </c>
      <c r="C107" t="s">
        <v>584</v>
      </c>
      <c r="D107" t="s">
        <v>586</v>
      </c>
      <c r="E107" t="s">
        <v>590</v>
      </c>
      <c r="F107" t="s">
        <v>591</v>
      </c>
      <c r="G107">
        <v>10</v>
      </c>
      <c r="H107" t="s">
        <v>589</v>
      </c>
      <c r="I107" s="8">
        <v>56320000</v>
      </c>
    </row>
    <row r="108" spans="1:9" x14ac:dyDescent="0.25">
      <c r="A108" t="s">
        <v>2199</v>
      </c>
      <c r="B108" t="s">
        <v>374</v>
      </c>
      <c r="C108" t="s">
        <v>605</v>
      </c>
      <c r="D108" t="s">
        <v>607</v>
      </c>
      <c r="E108" t="s">
        <v>609</v>
      </c>
      <c r="F108" t="s">
        <v>610</v>
      </c>
      <c r="G108">
        <v>1</v>
      </c>
      <c r="H108" s="1">
        <v>46113</v>
      </c>
      <c r="I108" s="8">
        <v>30000000</v>
      </c>
    </row>
    <row r="109" spans="1:9" x14ac:dyDescent="0.25">
      <c r="A109" t="s">
        <v>2199</v>
      </c>
      <c r="B109" t="s">
        <v>374</v>
      </c>
      <c r="C109" t="s">
        <v>605</v>
      </c>
      <c r="D109" t="s">
        <v>607</v>
      </c>
      <c r="E109" t="s">
        <v>609</v>
      </c>
      <c r="F109" t="s">
        <v>610</v>
      </c>
      <c r="G109">
        <v>1</v>
      </c>
      <c r="H109" s="1">
        <v>46143</v>
      </c>
      <c r="I109" s="8">
        <v>30000000</v>
      </c>
    </row>
    <row r="110" spans="1:9" x14ac:dyDescent="0.25">
      <c r="A110" t="s">
        <v>2199</v>
      </c>
      <c r="B110" t="s">
        <v>374</v>
      </c>
      <c r="C110" t="s">
        <v>614</v>
      </c>
      <c r="D110" t="s">
        <v>616</v>
      </c>
      <c r="E110" t="s">
        <v>590</v>
      </c>
      <c r="F110" t="s">
        <v>591</v>
      </c>
      <c r="G110">
        <v>1</v>
      </c>
      <c r="H110" s="1">
        <v>46082</v>
      </c>
      <c r="I110" s="8">
        <v>410000</v>
      </c>
    </row>
    <row r="111" spans="1:9" x14ac:dyDescent="0.25">
      <c r="A111" t="s">
        <v>2199</v>
      </c>
      <c r="B111" t="s">
        <v>374</v>
      </c>
      <c r="C111" t="s">
        <v>683</v>
      </c>
      <c r="D111" t="s">
        <v>684</v>
      </c>
      <c r="E111" t="s">
        <v>657</v>
      </c>
      <c r="F111" t="s">
        <v>658</v>
      </c>
      <c r="G111">
        <v>1</v>
      </c>
      <c r="H111" s="1">
        <v>46235</v>
      </c>
      <c r="I111" s="8">
        <v>225000</v>
      </c>
    </row>
    <row r="112" spans="1:9" x14ac:dyDescent="0.25">
      <c r="A112" t="s">
        <v>2199</v>
      </c>
      <c r="B112" t="s">
        <v>374</v>
      </c>
      <c r="C112" t="s">
        <v>693</v>
      </c>
      <c r="D112" t="s">
        <v>694</v>
      </c>
      <c r="E112" t="s">
        <v>657</v>
      </c>
      <c r="F112" t="s">
        <v>658</v>
      </c>
      <c r="G112">
        <v>1</v>
      </c>
      <c r="H112" s="1">
        <v>46054</v>
      </c>
      <c r="I112" s="8">
        <v>260000</v>
      </c>
    </row>
    <row r="113" spans="1:9" x14ac:dyDescent="0.25">
      <c r="A113" t="s">
        <v>2199</v>
      </c>
      <c r="B113" t="s">
        <v>374</v>
      </c>
      <c r="C113" t="s">
        <v>699</v>
      </c>
      <c r="D113" t="s">
        <v>700</v>
      </c>
      <c r="E113" t="s">
        <v>657</v>
      </c>
      <c r="F113" t="s">
        <v>658</v>
      </c>
      <c r="G113">
        <v>1</v>
      </c>
      <c r="H113" s="1">
        <v>46174</v>
      </c>
      <c r="I113" s="8">
        <v>450000</v>
      </c>
    </row>
    <row r="114" spans="1:9" x14ac:dyDescent="0.25">
      <c r="A114" t="s">
        <v>2199</v>
      </c>
      <c r="B114" t="s">
        <v>374</v>
      </c>
      <c r="C114" t="s">
        <v>699</v>
      </c>
      <c r="D114" t="s">
        <v>700</v>
      </c>
      <c r="E114" t="s">
        <v>657</v>
      </c>
      <c r="F114" t="s">
        <v>658</v>
      </c>
      <c r="G114">
        <v>1</v>
      </c>
      <c r="H114" s="1">
        <v>46357</v>
      </c>
      <c r="I114" s="8">
        <v>450000</v>
      </c>
    </row>
    <row r="115" spans="1:9" x14ac:dyDescent="0.25">
      <c r="A115" t="s">
        <v>2199</v>
      </c>
      <c r="B115" t="s">
        <v>374</v>
      </c>
      <c r="C115" t="s">
        <v>702</v>
      </c>
      <c r="D115" t="s">
        <v>703</v>
      </c>
      <c r="E115" t="s">
        <v>657</v>
      </c>
      <c r="F115" t="s">
        <v>658</v>
      </c>
      <c r="G115">
        <v>1</v>
      </c>
      <c r="H115" s="1">
        <v>46266</v>
      </c>
      <c r="I115" s="8">
        <v>625000</v>
      </c>
    </row>
    <row r="116" spans="1:9" x14ac:dyDescent="0.25">
      <c r="A116" t="s">
        <v>2199</v>
      </c>
      <c r="B116" t="s">
        <v>374</v>
      </c>
      <c r="C116" t="s">
        <v>709</v>
      </c>
      <c r="D116" t="s">
        <v>710</v>
      </c>
      <c r="E116" t="s">
        <v>590</v>
      </c>
      <c r="F116" t="s">
        <v>591</v>
      </c>
      <c r="G116">
        <v>1</v>
      </c>
      <c r="H116" s="1">
        <v>46082</v>
      </c>
      <c r="I116" s="8">
        <v>150000</v>
      </c>
    </row>
    <row r="117" spans="1:9" x14ac:dyDescent="0.25">
      <c r="A117" t="s">
        <v>2199</v>
      </c>
      <c r="B117" t="s">
        <v>374</v>
      </c>
      <c r="C117" t="s">
        <v>737</v>
      </c>
      <c r="D117" t="s">
        <v>738</v>
      </c>
      <c r="E117" t="s">
        <v>657</v>
      </c>
      <c r="F117" t="s">
        <v>658</v>
      </c>
      <c r="G117">
        <v>1</v>
      </c>
      <c r="H117" s="1">
        <v>46023</v>
      </c>
      <c r="I117" s="8">
        <v>2772880</v>
      </c>
    </row>
    <row r="118" spans="1:9" x14ac:dyDescent="0.25">
      <c r="A118" t="s">
        <v>2199</v>
      </c>
      <c r="B118" t="s">
        <v>374</v>
      </c>
      <c r="C118" t="s">
        <v>741</v>
      </c>
      <c r="D118" t="s">
        <v>742</v>
      </c>
      <c r="E118" t="s">
        <v>657</v>
      </c>
      <c r="F118" t="s">
        <v>658</v>
      </c>
      <c r="G118">
        <v>1</v>
      </c>
      <c r="H118" s="1">
        <v>46082</v>
      </c>
      <c r="I118" s="8">
        <v>1468231</v>
      </c>
    </row>
    <row r="119" spans="1:9" x14ac:dyDescent="0.25">
      <c r="A119" t="s">
        <v>2199</v>
      </c>
      <c r="B119" t="s">
        <v>374</v>
      </c>
      <c r="C119" t="s">
        <v>749</v>
      </c>
      <c r="D119" t="s">
        <v>750</v>
      </c>
      <c r="E119" t="s">
        <v>657</v>
      </c>
      <c r="F119" t="s">
        <v>658</v>
      </c>
      <c r="G119">
        <v>1</v>
      </c>
      <c r="H119" s="1">
        <v>46113</v>
      </c>
      <c r="I119" s="8">
        <v>350000</v>
      </c>
    </row>
    <row r="120" spans="1:9" x14ac:dyDescent="0.25">
      <c r="A120" t="s">
        <v>2199</v>
      </c>
      <c r="B120" t="s">
        <v>374</v>
      </c>
      <c r="C120" t="s">
        <v>753</v>
      </c>
      <c r="D120" t="s">
        <v>754</v>
      </c>
      <c r="E120" t="s">
        <v>657</v>
      </c>
      <c r="F120" t="s">
        <v>658</v>
      </c>
      <c r="G120">
        <v>1</v>
      </c>
      <c r="H120" s="1">
        <v>46082</v>
      </c>
      <c r="I120" s="8">
        <v>1287890</v>
      </c>
    </row>
    <row r="121" spans="1:9" x14ac:dyDescent="0.25">
      <c r="A121" t="s">
        <v>2199</v>
      </c>
      <c r="B121" t="s">
        <v>374</v>
      </c>
      <c r="C121" t="s">
        <v>765</v>
      </c>
      <c r="D121" t="s">
        <v>766</v>
      </c>
      <c r="E121" t="s">
        <v>768</v>
      </c>
      <c r="F121" t="s">
        <v>386</v>
      </c>
      <c r="G121">
        <v>1</v>
      </c>
      <c r="H121" s="1">
        <v>46082</v>
      </c>
      <c r="I121" s="8">
        <v>283834</v>
      </c>
    </row>
    <row r="122" spans="1:9" x14ac:dyDescent="0.25">
      <c r="A122" t="s">
        <v>2199</v>
      </c>
      <c r="B122" t="s">
        <v>374</v>
      </c>
      <c r="C122" t="s">
        <v>782</v>
      </c>
      <c r="D122" t="s">
        <v>784</v>
      </c>
      <c r="E122" t="s">
        <v>768</v>
      </c>
      <c r="F122" t="s">
        <v>386</v>
      </c>
      <c r="G122">
        <v>1</v>
      </c>
      <c r="H122" s="1">
        <v>46023</v>
      </c>
      <c r="I122" s="8">
        <v>266424</v>
      </c>
    </row>
    <row r="123" spans="1:9" x14ac:dyDescent="0.25">
      <c r="A123" t="s">
        <v>2199</v>
      </c>
      <c r="B123" t="s">
        <v>374</v>
      </c>
      <c r="C123" t="s">
        <v>794</v>
      </c>
      <c r="D123" t="s">
        <v>795</v>
      </c>
      <c r="E123" t="s">
        <v>768</v>
      </c>
      <c r="F123" t="s">
        <v>386</v>
      </c>
      <c r="G123">
        <v>1</v>
      </c>
      <c r="H123" s="1">
        <v>46023</v>
      </c>
      <c r="I123" s="8">
        <v>503080</v>
      </c>
    </row>
    <row r="124" spans="1:9" x14ac:dyDescent="0.25">
      <c r="A124" t="s">
        <v>2199</v>
      </c>
      <c r="B124" t="s">
        <v>374</v>
      </c>
      <c r="C124" t="s">
        <v>799</v>
      </c>
      <c r="D124" t="s">
        <v>801</v>
      </c>
      <c r="E124" t="s">
        <v>768</v>
      </c>
      <c r="F124" t="s">
        <v>386</v>
      </c>
      <c r="G124">
        <v>1</v>
      </c>
      <c r="H124" s="1">
        <v>46054</v>
      </c>
      <c r="I124" s="8">
        <v>85670</v>
      </c>
    </row>
    <row r="125" spans="1:9" x14ac:dyDescent="0.25">
      <c r="A125" t="s">
        <v>2199</v>
      </c>
      <c r="B125" t="s">
        <v>374</v>
      </c>
      <c r="C125" t="s">
        <v>822</v>
      </c>
      <c r="D125" t="s">
        <v>823</v>
      </c>
      <c r="E125" t="s">
        <v>768</v>
      </c>
      <c r="F125" t="s">
        <v>386</v>
      </c>
      <c r="G125">
        <v>1</v>
      </c>
      <c r="H125" s="1">
        <v>46023</v>
      </c>
      <c r="I125" s="8">
        <v>450012</v>
      </c>
    </row>
    <row r="126" spans="1:9" x14ac:dyDescent="0.25">
      <c r="A126" t="s">
        <v>2199</v>
      </c>
      <c r="B126" t="s">
        <v>374</v>
      </c>
      <c r="C126" t="s">
        <v>841</v>
      </c>
      <c r="D126" t="s">
        <v>843</v>
      </c>
      <c r="E126" t="s">
        <v>768</v>
      </c>
      <c r="F126" t="s">
        <v>386</v>
      </c>
      <c r="G126">
        <v>1</v>
      </c>
      <c r="H126" s="1">
        <v>46023</v>
      </c>
      <c r="I126" s="8">
        <v>150000</v>
      </c>
    </row>
    <row r="127" spans="1:9" x14ac:dyDescent="0.25">
      <c r="A127" t="s">
        <v>2199</v>
      </c>
      <c r="B127" t="s">
        <v>374</v>
      </c>
      <c r="C127" t="s">
        <v>847</v>
      </c>
      <c r="D127" t="s">
        <v>848</v>
      </c>
      <c r="E127" t="s">
        <v>768</v>
      </c>
      <c r="F127" t="s">
        <v>386</v>
      </c>
      <c r="G127">
        <v>1</v>
      </c>
      <c r="H127" s="1">
        <v>46204</v>
      </c>
      <c r="I127" s="8">
        <v>72793</v>
      </c>
    </row>
    <row r="128" spans="1:9" x14ac:dyDescent="0.25">
      <c r="A128" t="s">
        <v>2199</v>
      </c>
      <c r="B128" t="s">
        <v>374</v>
      </c>
      <c r="C128" t="s">
        <v>851</v>
      </c>
      <c r="D128" t="s">
        <v>852</v>
      </c>
      <c r="E128" t="s">
        <v>768</v>
      </c>
      <c r="F128" t="s">
        <v>386</v>
      </c>
      <c r="G128">
        <v>1</v>
      </c>
      <c r="H128" s="1">
        <v>46235</v>
      </c>
      <c r="I128" s="8">
        <v>589022</v>
      </c>
    </row>
    <row r="129" spans="1:9" x14ac:dyDescent="0.25">
      <c r="A129" t="s">
        <v>2199</v>
      </c>
      <c r="B129" t="s">
        <v>374</v>
      </c>
      <c r="C129" t="s">
        <v>856</v>
      </c>
      <c r="D129" t="s">
        <v>857</v>
      </c>
      <c r="E129" t="s">
        <v>768</v>
      </c>
      <c r="F129" t="s">
        <v>386</v>
      </c>
      <c r="G129">
        <v>1</v>
      </c>
      <c r="H129" s="1">
        <v>46082</v>
      </c>
      <c r="I129" s="8">
        <v>300000</v>
      </c>
    </row>
    <row r="130" spans="1:9" x14ac:dyDescent="0.25">
      <c r="A130" t="s">
        <v>2199</v>
      </c>
      <c r="B130" t="s">
        <v>374</v>
      </c>
      <c r="C130" t="s">
        <v>915</v>
      </c>
      <c r="D130" t="s">
        <v>916</v>
      </c>
      <c r="E130" t="s">
        <v>768</v>
      </c>
      <c r="F130" t="s">
        <v>386</v>
      </c>
      <c r="G130">
        <v>1</v>
      </c>
      <c r="H130" s="1">
        <v>46327</v>
      </c>
      <c r="I130" s="8">
        <v>399870</v>
      </c>
    </row>
    <row r="131" spans="1:9" x14ac:dyDescent="0.25">
      <c r="A131" t="s">
        <v>2199</v>
      </c>
      <c r="B131" t="s">
        <v>374</v>
      </c>
      <c r="C131" t="s">
        <v>919</v>
      </c>
      <c r="D131" t="s">
        <v>920</v>
      </c>
      <c r="E131" t="s">
        <v>768</v>
      </c>
      <c r="F131" t="s">
        <v>386</v>
      </c>
      <c r="G131">
        <v>1</v>
      </c>
      <c r="H131" s="1">
        <v>46023</v>
      </c>
      <c r="I131" s="8">
        <v>159016</v>
      </c>
    </row>
    <row r="132" spans="1:9" x14ac:dyDescent="0.25">
      <c r="A132" t="s">
        <v>2199</v>
      </c>
      <c r="B132" t="s">
        <v>374</v>
      </c>
      <c r="C132" t="s">
        <v>927</v>
      </c>
      <c r="D132" t="s">
        <v>928</v>
      </c>
      <c r="E132" t="s">
        <v>768</v>
      </c>
      <c r="F132" t="s">
        <v>386</v>
      </c>
      <c r="G132">
        <v>1</v>
      </c>
      <c r="H132" s="1">
        <v>46054</v>
      </c>
      <c r="I132" s="8">
        <v>1131791</v>
      </c>
    </row>
    <row r="133" spans="1:9" x14ac:dyDescent="0.25">
      <c r="A133" t="s">
        <v>2199</v>
      </c>
      <c r="B133" t="s">
        <v>374</v>
      </c>
      <c r="C133" t="s">
        <v>1030</v>
      </c>
      <c r="D133" t="s">
        <v>1032</v>
      </c>
      <c r="E133" t="s">
        <v>1035</v>
      </c>
      <c r="F133" t="s">
        <v>1036</v>
      </c>
      <c r="G133">
        <v>1</v>
      </c>
      <c r="H133" s="1">
        <v>46082</v>
      </c>
      <c r="I133" s="8">
        <v>30400000</v>
      </c>
    </row>
    <row r="134" spans="1:9" x14ac:dyDescent="0.25">
      <c r="A134" t="s">
        <v>2199</v>
      </c>
      <c r="B134" t="s">
        <v>374</v>
      </c>
      <c r="C134" t="s">
        <v>1052</v>
      </c>
      <c r="D134" t="s">
        <v>1053</v>
      </c>
      <c r="E134" t="s">
        <v>768</v>
      </c>
      <c r="F134" t="s">
        <v>386</v>
      </c>
      <c r="G134">
        <v>1</v>
      </c>
      <c r="H134" s="1">
        <v>46082</v>
      </c>
      <c r="I134" s="8">
        <v>211860</v>
      </c>
    </row>
    <row r="135" spans="1:9" x14ac:dyDescent="0.25">
      <c r="A135" t="s">
        <v>2199</v>
      </c>
      <c r="B135" t="s">
        <v>374</v>
      </c>
      <c r="C135" t="s">
        <v>1055</v>
      </c>
      <c r="D135" t="s">
        <v>1056</v>
      </c>
      <c r="E135" t="s">
        <v>768</v>
      </c>
      <c r="F135" t="s">
        <v>386</v>
      </c>
      <c r="G135">
        <v>1</v>
      </c>
      <c r="H135" s="1">
        <v>46082</v>
      </c>
      <c r="I135" s="8">
        <v>263860</v>
      </c>
    </row>
    <row r="136" spans="1:9" x14ac:dyDescent="0.25">
      <c r="A136" t="s">
        <v>2199</v>
      </c>
      <c r="B136" t="s">
        <v>374</v>
      </c>
      <c r="C136" t="s">
        <v>1066</v>
      </c>
      <c r="D136" t="s">
        <v>1067</v>
      </c>
      <c r="E136" t="s">
        <v>790</v>
      </c>
      <c r="F136" t="s">
        <v>791</v>
      </c>
      <c r="G136">
        <v>1</v>
      </c>
      <c r="H136" s="1">
        <v>46296</v>
      </c>
      <c r="I136" s="8">
        <v>1750000</v>
      </c>
    </row>
    <row r="137" spans="1:9" x14ac:dyDescent="0.25">
      <c r="A137" t="s">
        <v>2199</v>
      </c>
      <c r="B137" t="s">
        <v>374</v>
      </c>
      <c r="C137" t="s">
        <v>1143</v>
      </c>
      <c r="D137" t="s">
        <v>1144</v>
      </c>
      <c r="E137" t="s">
        <v>768</v>
      </c>
      <c r="F137" t="s">
        <v>386</v>
      </c>
      <c r="G137">
        <v>1</v>
      </c>
      <c r="H137" s="1">
        <v>46235</v>
      </c>
      <c r="I137" s="8">
        <v>249504</v>
      </c>
    </row>
    <row r="138" spans="1:9" x14ac:dyDescent="0.25">
      <c r="A138" t="s">
        <v>2199</v>
      </c>
      <c r="B138" t="s">
        <v>374</v>
      </c>
      <c r="C138" t="s">
        <v>1149</v>
      </c>
      <c r="D138" t="s">
        <v>1150</v>
      </c>
      <c r="E138" t="s">
        <v>1152</v>
      </c>
      <c r="F138" t="s">
        <v>1153</v>
      </c>
      <c r="G138">
        <v>1</v>
      </c>
      <c r="H138" s="1">
        <v>46113</v>
      </c>
      <c r="I138" s="8">
        <v>672240</v>
      </c>
    </row>
    <row r="139" spans="1:9" x14ac:dyDescent="0.25">
      <c r="A139" t="s">
        <v>2199</v>
      </c>
      <c r="B139" t="s">
        <v>374</v>
      </c>
      <c r="C139" t="s">
        <v>1171</v>
      </c>
      <c r="D139" t="s">
        <v>1172</v>
      </c>
      <c r="E139" t="s">
        <v>1152</v>
      </c>
      <c r="F139" t="s">
        <v>1153</v>
      </c>
      <c r="G139">
        <v>1</v>
      </c>
      <c r="H139" s="1">
        <v>46174</v>
      </c>
      <c r="I139" s="8">
        <v>2975561</v>
      </c>
    </row>
    <row r="140" spans="1:9" x14ac:dyDescent="0.25">
      <c r="A140" t="s">
        <v>2199</v>
      </c>
      <c r="B140" t="s">
        <v>374</v>
      </c>
      <c r="C140" t="s">
        <v>1193</v>
      </c>
      <c r="D140" t="s">
        <v>1194</v>
      </c>
      <c r="E140" t="s">
        <v>733</v>
      </c>
      <c r="F140" t="s">
        <v>734</v>
      </c>
      <c r="G140">
        <v>1</v>
      </c>
      <c r="H140" s="1">
        <v>46204</v>
      </c>
      <c r="I140" s="8">
        <v>750000</v>
      </c>
    </row>
    <row r="141" spans="1:9" x14ac:dyDescent="0.25">
      <c r="A141" t="s">
        <v>2199</v>
      </c>
      <c r="B141" t="s">
        <v>374</v>
      </c>
      <c r="C141" t="s">
        <v>1193</v>
      </c>
      <c r="D141" t="s">
        <v>1194</v>
      </c>
      <c r="E141" t="s">
        <v>733</v>
      </c>
      <c r="F141" t="s">
        <v>734</v>
      </c>
      <c r="G141">
        <v>1</v>
      </c>
      <c r="H141" s="1">
        <v>46296</v>
      </c>
      <c r="I141" s="8">
        <v>750000</v>
      </c>
    </row>
    <row r="142" spans="1:9" x14ac:dyDescent="0.25">
      <c r="A142" t="s">
        <v>2199</v>
      </c>
      <c r="B142" t="s">
        <v>374</v>
      </c>
      <c r="C142" t="s">
        <v>1264</v>
      </c>
      <c r="D142" t="s">
        <v>1266</v>
      </c>
      <c r="E142" t="s">
        <v>768</v>
      </c>
      <c r="F142" t="s">
        <v>386</v>
      </c>
      <c r="G142">
        <v>1</v>
      </c>
      <c r="H142" s="1">
        <v>46082</v>
      </c>
      <c r="I142" s="8">
        <v>277131</v>
      </c>
    </row>
    <row r="143" spans="1:9" x14ac:dyDescent="0.25">
      <c r="A143" t="s">
        <v>2199</v>
      </c>
      <c r="B143" t="s">
        <v>28</v>
      </c>
      <c r="C143" t="s">
        <v>619</v>
      </c>
      <c r="D143" t="s">
        <v>621</v>
      </c>
      <c r="E143" t="s">
        <v>624</v>
      </c>
      <c r="F143" t="s">
        <v>625</v>
      </c>
      <c r="G143">
        <v>1</v>
      </c>
      <c r="H143" s="1">
        <v>46266</v>
      </c>
      <c r="I143" s="8">
        <v>1250000</v>
      </c>
    </row>
    <row r="144" spans="1:9" x14ac:dyDescent="0.25">
      <c r="A144" t="s">
        <v>2199</v>
      </c>
      <c r="B144" t="s">
        <v>28</v>
      </c>
      <c r="C144" t="s">
        <v>628</v>
      </c>
      <c r="D144" t="s">
        <v>629</v>
      </c>
      <c r="E144" t="s">
        <v>624</v>
      </c>
      <c r="F144" t="s">
        <v>625</v>
      </c>
      <c r="G144">
        <v>1</v>
      </c>
      <c r="H144" s="1">
        <v>46174</v>
      </c>
      <c r="I144" s="8">
        <v>300000</v>
      </c>
    </row>
    <row r="145" spans="1:9" x14ac:dyDescent="0.25">
      <c r="A145" t="s">
        <v>2199</v>
      </c>
      <c r="B145" t="s">
        <v>28</v>
      </c>
      <c r="C145" t="s">
        <v>632</v>
      </c>
      <c r="D145" t="s">
        <v>634</v>
      </c>
      <c r="E145" t="s">
        <v>624</v>
      </c>
      <c r="F145" t="s">
        <v>625</v>
      </c>
      <c r="G145">
        <v>1</v>
      </c>
      <c r="H145" s="1">
        <v>46204</v>
      </c>
      <c r="I145" s="8">
        <v>1320000</v>
      </c>
    </row>
    <row r="146" spans="1:9" x14ac:dyDescent="0.25">
      <c r="A146" t="s">
        <v>2199</v>
      </c>
      <c r="B146" t="s">
        <v>28</v>
      </c>
      <c r="C146" t="s">
        <v>637</v>
      </c>
      <c r="D146" t="s">
        <v>638</v>
      </c>
      <c r="E146" t="s">
        <v>640</v>
      </c>
      <c r="F146" t="s">
        <v>641</v>
      </c>
      <c r="G146">
        <v>1</v>
      </c>
      <c r="H146" s="1">
        <v>46082</v>
      </c>
      <c r="I146" s="8">
        <v>2000700</v>
      </c>
    </row>
    <row r="147" spans="1:9" x14ac:dyDescent="0.25">
      <c r="A147" t="s">
        <v>2199</v>
      </c>
      <c r="B147" t="s">
        <v>28</v>
      </c>
      <c r="C147" t="s">
        <v>644</v>
      </c>
      <c r="D147" t="s">
        <v>646</v>
      </c>
      <c r="E147" t="s">
        <v>640</v>
      </c>
      <c r="F147" t="s">
        <v>641</v>
      </c>
      <c r="G147">
        <v>1</v>
      </c>
      <c r="H147" s="1">
        <v>46082</v>
      </c>
      <c r="I147" s="8">
        <v>1510005</v>
      </c>
    </row>
    <row r="148" spans="1:9" x14ac:dyDescent="0.25">
      <c r="A148" t="s">
        <v>2199</v>
      </c>
      <c r="B148" t="s">
        <v>28</v>
      </c>
      <c r="C148" t="s">
        <v>649</v>
      </c>
      <c r="D148" t="s">
        <v>650</v>
      </c>
      <c r="E148" t="s">
        <v>640</v>
      </c>
      <c r="F148" t="s">
        <v>641</v>
      </c>
      <c r="G148">
        <v>1</v>
      </c>
      <c r="H148" s="1">
        <v>46082</v>
      </c>
      <c r="I148" s="8">
        <v>872500</v>
      </c>
    </row>
    <row r="149" spans="1:9" x14ac:dyDescent="0.25">
      <c r="A149" t="s">
        <v>2199</v>
      </c>
      <c r="B149" t="s">
        <v>28</v>
      </c>
      <c r="C149" t="s">
        <v>653</v>
      </c>
      <c r="D149" t="s">
        <v>655</v>
      </c>
      <c r="E149" t="s">
        <v>657</v>
      </c>
      <c r="F149" t="s">
        <v>658</v>
      </c>
      <c r="G149">
        <v>1</v>
      </c>
      <c r="H149" s="1">
        <v>46327</v>
      </c>
      <c r="I149" s="8">
        <v>540000</v>
      </c>
    </row>
    <row r="150" spans="1:9" x14ac:dyDescent="0.25">
      <c r="A150" t="s">
        <v>2199</v>
      </c>
      <c r="B150" t="s">
        <v>28</v>
      </c>
      <c r="C150" t="s">
        <v>661</v>
      </c>
      <c r="D150" t="s">
        <v>662</v>
      </c>
      <c r="E150" t="s">
        <v>657</v>
      </c>
      <c r="F150" t="s">
        <v>658</v>
      </c>
      <c r="G150">
        <v>1</v>
      </c>
      <c r="H150" s="1">
        <v>46113</v>
      </c>
      <c r="I150" s="8">
        <v>270000</v>
      </c>
    </row>
    <row r="151" spans="1:9" x14ac:dyDescent="0.25">
      <c r="A151" t="s">
        <v>2199</v>
      </c>
      <c r="B151" t="s">
        <v>28</v>
      </c>
      <c r="C151" t="s">
        <v>661</v>
      </c>
      <c r="D151" t="s">
        <v>662</v>
      </c>
      <c r="E151" t="s">
        <v>657</v>
      </c>
      <c r="F151" t="s">
        <v>658</v>
      </c>
      <c r="G151">
        <v>1</v>
      </c>
      <c r="H151" s="1">
        <v>46204</v>
      </c>
      <c r="I151" s="8">
        <v>135000</v>
      </c>
    </row>
    <row r="152" spans="1:9" x14ac:dyDescent="0.25">
      <c r="A152" t="s">
        <v>2199</v>
      </c>
      <c r="B152" t="s">
        <v>28</v>
      </c>
      <c r="C152" t="s">
        <v>661</v>
      </c>
      <c r="D152" t="s">
        <v>662</v>
      </c>
      <c r="E152" t="s">
        <v>657</v>
      </c>
      <c r="F152" t="s">
        <v>658</v>
      </c>
      <c r="G152">
        <v>1</v>
      </c>
      <c r="H152" s="1">
        <v>46266</v>
      </c>
      <c r="I152" s="8">
        <v>135000</v>
      </c>
    </row>
    <row r="153" spans="1:9" x14ac:dyDescent="0.25">
      <c r="A153" t="s">
        <v>2199</v>
      </c>
      <c r="B153" t="s">
        <v>28</v>
      </c>
      <c r="C153" t="s">
        <v>661</v>
      </c>
      <c r="D153" t="s">
        <v>662</v>
      </c>
      <c r="E153" t="s">
        <v>657</v>
      </c>
      <c r="F153" t="s">
        <v>658</v>
      </c>
      <c r="G153">
        <v>1</v>
      </c>
      <c r="H153" s="1">
        <v>46357</v>
      </c>
      <c r="I153" s="8">
        <v>135000</v>
      </c>
    </row>
    <row r="154" spans="1:9" x14ac:dyDescent="0.25">
      <c r="A154" t="s">
        <v>2199</v>
      </c>
      <c r="B154" t="s">
        <v>28</v>
      </c>
      <c r="C154" t="s">
        <v>661</v>
      </c>
      <c r="D154" t="s">
        <v>662</v>
      </c>
      <c r="E154" t="s">
        <v>657</v>
      </c>
      <c r="F154" t="s">
        <v>658</v>
      </c>
      <c r="G154">
        <v>3</v>
      </c>
      <c r="H154" t="s">
        <v>664</v>
      </c>
      <c r="I154" s="8">
        <v>405000</v>
      </c>
    </row>
    <row r="155" spans="1:9" x14ac:dyDescent="0.25">
      <c r="A155" t="s">
        <v>2199</v>
      </c>
      <c r="B155" t="s">
        <v>28</v>
      </c>
      <c r="C155" t="s">
        <v>665</v>
      </c>
      <c r="D155" t="s">
        <v>667</v>
      </c>
      <c r="E155" t="s">
        <v>657</v>
      </c>
      <c r="F155" t="s">
        <v>658</v>
      </c>
      <c r="G155">
        <v>1</v>
      </c>
      <c r="H155" s="1">
        <v>46082</v>
      </c>
      <c r="I155" s="8">
        <v>1500000</v>
      </c>
    </row>
    <row r="156" spans="1:9" x14ac:dyDescent="0.25">
      <c r="A156" t="s">
        <v>2199</v>
      </c>
      <c r="B156" t="s">
        <v>28</v>
      </c>
      <c r="C156" t="s">
        <v>670</v>
      </c>
      <c r="D156" t="s">
        <v>671</v>
      </c>
      <c r="E156" t="s">
        <v>657</v>
      </c>
      <c r="F156" t="s">
        <v>658</v>
      </c>
      <c r="G156">
        <v>1</v>
      </c>
      <c r="H156" s="1">
        <v>46023</v>
      </c>
      <c r="I156" s="8">
        <v>850000</v>
      </c>
    </row>
    <row r="157" spans="1:9" x14ac:dyDescent="0.25">
      <c r="A157" t="s">
        <v>2199</v>
      </c>
      <c r="B157" t="s">
        <v>28</v>
      </c>
      <c r="C157" t="s">
        <v>674</v>
      </c>
      <c r="D157" t="s">
        <v>675</v>
      </c>
      <c r="E157" t="s">
        <v>657</v>
      </c>
      <c r="F157" t="s">
        <v>658</v>
      </c>
      <c r="G157">
        <v>1</v>
      </c>
      <c r="H157" s="1">
        <v>46143</v>
      </c>
      <c r="I157" s="8">
        <v>900000</v>
      </c>
    </row>
    <row r="158" spans="1:9" x14ac:dyDescent="0.25">
      <c r="A158" t="s">
        <v>2199</v>
      </c>
      <c r="B158" t="s">
        <v>28</v>
      </c>
      <c r="C158" t="s">
        <v>677</v>
      </c>
      <c r="D158" t="s">
        <v>678</v>
      </c>
      <c r="E158" t="s">
        <v>657</v>
      </c>
      <c r="F158" t="s">
        <v>658</v>
      </c>
      <c r="G158">
        <v>1</v>
      </c>
      <c r="H158" s="1">
        <v>46174</v>
      </c>
      <c r="I158" s="8">
        <v>630000</v>
      </c>
    </row>
    <row r="159" spans="1:9" x14ac:dyDescent="0.25">
      <c r="A159" t="s">
        <v>2199</v>
      </c>
      <c r="B159" t="s">
        <v>28</v>
      </c>
      <c r="C159" t="s">
        <v>680</v>
      </c>
      <c r="D159" t="s">
        <v>681</v>
      </c>
      <c r="E159" t="s">
        <v>657</v>
      </c>
      <c r="F159" t="s">
        <v>658</v>
      </c>
      <c r="G159">
        <v>1</v>
      </c>
      <c r="H159" s="1">
        <v>46235</v>
      </c>
      <c r="I159" s="8">
        <v>135000</v>
      </c>
    </row>
    <row r="160" spans="1:9" x14ac:dyDescent="0.25">
      <c r="A160" t="s">
        <v>2199</v>
      </c>
      <c r="B160" t="s">
        <v>28</v>
      </c>
      <c r="C160" t="s">
        <v>686</v>
      </c>
      <c r="D160" t="s">
        <v>687</v>
      </c>
      <c r="E160" t="s">
        <v>227</v>
      </c>
      <c r="F160" t="s">
        <v>480</v>
      </c>
      <c r="G160">
        <v>12</v>
      </c>
      <c r="H160" t="s">
        <v>690</v>
      </c>
      <c r="I160" s="8">
        <v>101193519</v>
      </c>
    </row>
    <row r="161" spans="1:9" x14ac:dyDescent="0.25">
      <c r="A161" t="s">
        <v>2199</v>
      </c>
      <c r="B161" t="s">
        <v>28</v>
      </c>
      <c r="C161" t="s">
        <v>696</v>
      </c>
      <c r="D161" t="s">
        <v>697</v>
      </c>
      <c r="E161" t="s">
        <v>657</v>
      </c>
      <c r="F161" t="s">
        <v>658</v>
      </c>
      <c r="G161">
        <v>1</v>
      </c>
      <c r="H161" s="1">
        <v>46143</v>
      </c>
      <c r="I161" s="8">
        <v>675000</v>
      </c>
    </row>
    <row r="162" spans="1:9" x14ac:dyDescent="0.25">
      <c r="A162" t="s">
        <v>2199</v>
      </c>
      <c r="B162" t="s">
        <v>28</v>
      </c>
      <c r="C162" t="s">
        <v>706</v>
      </c>
      <c r="D162" t="s">
        <v>707</v>
      </c>
      <c r="E162" t="s">
        <v>590</v>
      </c>
      <c r="F162" t="s">
        <v>591</v>
      </c>
      <c r="G162">
        <v>1</v>
      </c>
      <c r="H162" s="1">
        <v>46082</v>
      </c>
      <c r="I162" s="8">
        <v>190000</v>
      </c>
    </row>
    <row r="163" spans="1:9" x14ac:dyDescent="0.25">
      <c r="A163" t="s">
        <v>2199</v>
      </c>
      <c r="B163" t="s">
        <v>28</v>
      </c>
      <c r="C163" t="s">
        <v>713</v>
      </c>
      <c r="D163" t="s">
        <v>714</v>
      </c>
      <c r="E163" t="s">
        <v>227</v>
      </c>
      <c r="F163" t="s">
        <v>480</v>
      </c>
      <c r="G163">
        <v>24</v>
      </c>
      <c r="H163" t="s">
        <v>717</v>
      </c>
      <c r="I163" s="8">
        <v>49483210</v>
      </c>
    </row>
    <row r="164" spans="1:9" x14ac:dyDescent="0.25">
      <c r="A164" t="s">
        <v>2199</v>
      </c>
      <c r="B164" t="s">
        <v>28</v>
      </c>
      <c r="C164" t="s">
        <v>718</v>
      </c>
      <c r="D164" t="s">
        <v>719</v>
      </c>
      <c r="E164" t="s">
        <v>657</v>
      </c>
      <c r="F164" t="s">
        <v>658</v>
      </c>
      <c r="G164">
        <v>1</v>
      </c>
      <c r="H164" s="1">
        <v>46023</v>
      </c>
      <c r="I164" s="8">
        <v>430010</v>
      </c>
    </row>
    <row r="165" spans="1:9" x14ac:dyDescent="0.25">
      <c r="A165" t="s">
        <v>2199</v>
      </c>
      <c r="B165" t="s">
        <v>28</v>
      </c>
      <c r="C165" t="s">
        <v>721</v>
      </c>
      <c r="D165" t="s">
        <v>722</v>
      </c>
      <c r="E165" t="s">
        <v>227</v>
      </c>
      <c r="F165" t="s">
        <v>480</v>
      </c>
      <c r="G165">
        <v>12</v>
      </c>
      <c r="H165" t="s">
        <v>690</v>
      </c>
      <c r="I165" s="8">
        <v>247689000</v>
      </c>
    </row>
    <row r="166" spans="1:9" x14ac:dyDescent="0.25">
      <c r="A166" t="s">
        <v>2199</v>
      </c>
      <c r="B166" t="s">
        <v>28</v>
      </c>
      <c r="C166" t="s">
        <v>724</v>
      </c>
      <c r="D166" t="s">
        <v>726</v>
      </c>
      <c r="E166" t="s">
        <v>657</v>
      </c>
      <c r="F166" t="s">
        <v>658</v>
      </c>
      <c r="G166">
        <v>1</v>
      </c>
      <c r="H166" s="1">
        <v>46082</v>
      </c>
      <c r="I166" s="8">
        <v>990002</v>
      </c>
    </row>
    <row r="167" spans="1:9" x14ac:dyDescent="0.25">
      <c r="A167" t="s">
        <v>2199</v>
      </c>
      <c r="B167" t="s">
        <v>28</v>
      </c>
      <c r="C167" t="s">
        <v>729</v>
      </c>
      <c r="D167" t="s">
        <v>731</v>
      </c>
      <c r="E167" t="s">
        <v>733</v>
      </c>
      <c r="F167" t="s">
        <v>734</v>
      </c>
      <c r="G167">
        <v>1</v>
      </c>
      <c r="H167" s="1">
        <v>46082</v>
      </c>
      <c r="I167" s="8">
        <v>1352694</v>
      </c>
    </row>
    <row r="168" spans="1:9" x14ac:dyDescent="0.25">
      <c r="A168" t="s">
        <v>2199</v>
      </c>
      <c r="B168" t="s">
        <v>28</v>
      </c>
      <c r="C168" t="s">
        <v>744</v>
      </c>
      <c r="D168" t="s">
        <v>746</v>
      </c>
      <c r="E168" t="s">
        <v>657</v>
      </c>
      <c r="F168" t="s">
        <v>658</v>
      </c>
      <c r="G168">
        <v>1</v>
      </c>
      <c r="H168" s="1">
        <v>46023</v>
      </c>
      <c r="I168" s="8">
        <v>300000</v>
      </c>
    </row>
    <row r="169" spans="1:9" x14ac:dyDescent="0.25">
      <c r="A169" t="s">
        <v>2199</v>
      </c>
      <c r="B169" t="s">
        <v>28</v>
      </c>
      <c r="C169" t="s">
        <v>756</v>
      </c>
      <c r="D169" t="s">
        <v>758</v>
      </c>
      <c r="E169" t="s">
        <v>761</v>
      </c>
      <c r="F169" t="s">
        <v>762</v>
      </c>
      <c r="G169">
        <v>1</v>
      </c>
      <c r="H169" s="1">
        <v>46296</v>
      </c>
      <c r="I169" s="8">
        <v>800000</v>
      </c>
    </row>
    <row r="170" spans="1:9" x14ac:dyDescent="0.25">
      <c r="A170" t="s">
        <v>2199</v>
      </c>
      <c r="B170" t="s">
        <v>28</v>
      </c>
      <c r="C170" t="s">
        <v>773</v>
      </c>
      <c r="D170" t="s">
        <v>774</v>
      </c>
      <c r="E170" t="s">
        <v>768</v>
      </c>
      <c r="F170" t="s">
        <v>386</v>
      </c>
      <c r="G170">
        <v>1</v>
      </c>
      <c r="H170" s="1">
        <v>46054</v>
      </c>
      <c r="I170" s="8">
        <v>1166048</v>
      </c>
    </row>
    <row r="171" spans="1:9" x14ac:dyDescent="0.25">
      <c r="A171" t="s">
        <v>2199</v>
      </c>
      <c r="B171" t="s">
        <v>28</v>
      </c>
      <c r="C171" t="s">
        <v>787</v>
      </c>
      <c r="D171" t="s">
        <v>788</v>
      </c>
      <c r="E171" t="s">
        <v>790</v>
      </c>
      <c r="F171" t="s">
        <v>791</v>
      </c>
      <c r="G171">
        <v>1</v>
      </c>
      <c r="H171" s="1">
        <v>46082</v>
      </c>
      <c r="I171" s="8">
        <v>1007461</v>
      </c>
    </row>
    <row r="172" spans="1:9" x14ac:dyDescent="0.25">
      <c r="A172" t="s">
        <v>2199</v>
      </c>
      <c r="B172" t="s">
        <v>28</v>
      </c>
      <c r="C172" t="s">
        <v>811</v>
      </c>
      <c r="D172" t="s">
        <v>813</v>
      </c>
      <c r="E172" t="s">
        <v>790</v>
      </c>
      <c r="F172" t="s">
        <v>791</v>
      </c>
      <c r="G172">
        <v>1</v>
      </c>
      <c r="H172" s="1">
        <v>46082</v>
      </c>
      <c r="I172" s="8">
        <v>400000</v>
      </c>
    </row>
    <row r="173" spans="1:9" x14ac:dyDescent="0.25">
      <c r="A173" t="s">
        <v>2199</v>
      </c>
      <c r="B173" t="s">
        <v>28</v>
      </c>
      <c r="C173" t="s">
        <v>816</v>
      </c>
      <c r="D173" t="s">
        <v>817</v>
      </c>
      <c r="E173" t="s">
        <v>768</v>
      </c>
      <c r="F173" t="s">
        <v>386</v>
      </c>
      <c r="G173">
        <v>1</v>
      </c>
      <c r="H173" s="1">
        <v>46023</v>
      </c>
      <c r="I173" s="8">
        <v>1854004</v>
      </c>
    </row>
    <row r="174" spans="1:9" x14ac:dyDescent="0.25">
      <c r="A174" t="s">
        <v>2199</v>
      </c>
      <c r="B174" t="s">
        <v>28</v>
      </c>
      <c r="C174" t="s">
        <v>816</v>
      </c>
      <c r="D174" t="s">
        <v>817</v>
      </c>
      <c r="E174" t="s">
        <v>768</v>
      </c>
      <c r="F174" t="s">
        <v>386</v>
      </c>
      <c r="G174">
        <v>1</v>
      </c>
      <c r="H174" s="1">
        <v>46082</v>
      </c>
      <c r="I174" s="8">
        <v>1900044</v>
      </c>
    </row>
    <row r="175" spans="1:9" x14ac:dyDescent="0.25">
      <c r="A175" t="s">
        <v>2199</v>
      </c>
      <c r="B175" t="s">
        <v>28</v>
      </c>
      <c r="C175" t="s">
        <v>816</v>
      </c>
      <c r="D175" t="s">
        <v>817</v>
      </c>
      <c r="E175" t="s">
        <v>768</v>
      </c>
      <c r="F175" t="s">
        <v>386</v>
      </c>
      <c r="G175">
        <v>1</v>
      </c>
      <c r="H175" s="1">
        <v>46113</v>
      </c>
      <c r="I175" s="8">
        <v>1450010</v>
      </c>
    </row>
    <row r="176" spans="1:9" x14ac:dyDescent="0.25">
      <c r="A176" t="s">
        <v>2199</v>
      </c>
      <c r="B176" t="s">
        <v>28</v>
      </c>
      <c r="C176" t="s">
        <v>827</v>
      </c>
      <c r="D176" t="s">
        <v>828</v>
      </c>
      <c r="E176" t="s">
        <v>761</v>
      </c>
      <c r="F176" t="s">
        <v>762</v>
      </c>
      <c r="G176">
        <v>1</v>
      </c>
      <c r="H176" s="1">
        <v>46023</v>
      </c>
      <c r="I176" s="8">
        <v>150000</v>
      </c>
    </row>
    <row r="177" spans="1:9" x14ac:dyDescent="0.25">
      <c r="A177" t="s">
        <v>2199</v>
      </c>
      <c r="B177" t="s">
        <v>28</v>
      </c>
      <c r="C177" t="s">
        <v>827</v>
      </c>
      <c r="D177" t="s">
        <v>828</v>
      </c>
      <c r="E177" t="s">
        <v>761</v>
      </c>
      <c r="F177" t="s">
        <v>762</v>
      </c>
      <c r="G177">
        <v>1</v>
      </c>
      <c r="H177" s="1">
        <v>46082</v>
      </c>
      <c r="I177" s="8">
        <v>1547066</v>
      </c>
    </row>
    <row r="178" spans="1:9" x14ac:dyDescent="0.25">
      <c r="A178" t="s">
        <v>2199</v>
      </c>
      <c r="B178" t="s">
        <v>28</v>
      </c>
      <c r="C178" t="s">
        <v>834</v>
      </c>
      <c r="D178" t="s">
        <v>835</v>
      </c>
      <c r="E178" t="s">
        <v>790</v>
      </c>
      <c r="F178" t="s">
        <v>791</v>
      </c>
      <c r="G178">
        <v>1</v>
      </c>
      <c r="H178" s="1">
        <v>46204</v>
      </c>
      <c r="I178" s="8">
        <v>400000</v>
      </c>
    </row>
    <row r="179" spans="1:9" x14ac:dyDescent="0.25">
      <c r="A179" t="s">
        <v>2199</v>
      </c>
      <c r="B179" t="s">
        <v>28</v>
      </c>
      <c r="C179" t="s">
        <v>837</v>
      </c>
      <c r="D179" t="s">
        <v>838</v>
      </c>
      <c r="E179" t="s">
        <v>768</v>
      </c>
      <c r="F179" t="s">
        <v>386</v>
      </c>
      <c r="G179">
        <v>1</v>
      </c>
      <c r="H179" s="1">
        <v>46023</v>
      </c>
      <c r="I179" s="8">
        <v>130000</v>
      </c>
    </row>
    <row r="180" spans="1:9" x14ac:dyDescent="0.25">
      <c r="A180" t="s">
        <v>2199</v>
      </c>
      <c r="B180" t="s">
        <v>28</v>
      </c>
      <c r="C180" t="s">
        <v>860</v>
      </c>
      <c r="D180" t="s">
        <v>861</v>
      </c>
      <c r="E180" t="s">
        <v>864</v>
      </c>
      <c r="F180" t="s">
        <v>865</v>
      </c>
      <c r="G180">
        <v>1</v>
      </c>
      <c r="H180" s="1">
        <v>46023</v>
      </c>
      <c r="I180" s="8">
        <v>370107</v>
      </c>
    </row>
    <row r="181" spans="1:9" x14ac:dyDescent="0.25">
      <c r="A181" t="s">
        <v>2199</v>
      </c>
      <c r="B181" t="s">
        <v>28</v>
      </c>
      <c r="C181" t="s">
        <v>868</v>
      </c>
      <c r="D181" t="s">
        <v>869</v>
      </c>
      <c r="E181" t="s">
        <v>624</v>
      </c>
      <c r="F181" t="s">
        <v>625</v>
      </c>
      <c r="G181">
        <v>1</v>
      </c>
      <c r="H181" s="1">
        <v>46143</v>
      </c>
      <c r="I181" s="8">
        <v>3000000</v>
      </c>
    </row>
    <row r="182" spans="1:9" x14ac:dyDescent="0.25">
      <c r="A182" t="s">
        <v>2199</v>
      </c>
      <c r="B182" t="s">
        <v>28</v>
      </c>
      <c r="C182" t="s">
        <v>871</v>
      </c>
      <c r="D182" t="s">
        <v>872</v>
      </c>
      <c r="E182" t="s">
        <v>761</v>
      </c>
      <c r="F182" t="s">
        <v>762</v>
      </c>
      <c r="G182">
        <v>1</v>
      </c>
      <c r="H182" s="1">
        <v>46204</v>
      </c>
      <c r="I182" s="8">
        <v>472004</v>
      </c>
    </row>
    <row r="183" spans="1:9" x14ac:dyDescent="0.25">
      <c r="A183" t="s">
        <v>2199</v>
      </c>
      <c r="B183" t="s">
        <v>28</v>
      </c>
      <c r="C183" t="s">
        <v>875</v>
      </c>
      <c r="D183" t="s">
        <v>876</v>
      </c>
      <c r="E183" t="s">
        <v>761</v>
      </c>
      <c r="F183" t="s">
        <v>762</v>
      </c>
      <c r="G183">
        <v>1</v>
      </c>
      <c r="H183" s="1">
        <v>46082</v>
      </c>
      <c r="I183" s="8">
        <v>600000</v>
      </c>
    </row>
    <row r="184" spans="1:9" x14ac:dyDescent="0.25">
      <c r="A184" t="s">
        <v>2199</v>
      </c>
      <c r="B184" t="s">
        <v>28</v>
      </c>
      <c r="C184" t="s">
        <v>879</v>
      </c>
      <c r="D184" t="s">
        <v>880</v>
      </c>
      <c r="E184" t="s">
        <v>761</v>
      </c>
      <c r="F184" t="s">
        <v>762</v>
      </c>
      <c r="G184">
        <v>1</v>
      </c>
      <c r="H184" s="1">
        <v>46143</v>
      </c>
      <c r="I184" s="8">
        <v>6100024</v>
      </c>
    </row>
    <row r="185" spans="1:9" x14ac:dyDescent="0.25">
      <c r="A185" t="s">
        <v>2199</v>
      </c>
      <c r="B185" t="s">
        <v>28</v>
      </c>
      <c r="C185" t="s">
        <v>884</v>
      </c>
      <c r="D185" t="s">
        <v>885</v>
      </c>
      <c r="E185" t="s">
        <v>761</v>
      </c>
      <c r="F185" t="s">
        <v>762</v>
      </c>
      <c r="G185">
        <v>1</v>
      </c>
      <c r="H185" s="1">
        <v>46023</v>
      </c>
      <c r="I185" s="8">
        <v>900000</v>
      </c>
    </row>
    <row r="186" spans="1:9" x14ac:dyDescent="0.25">
      <c r="A186" t="s">
        <v>2199</v>
      </c>
      <c r="B186" t="s">
        <v>28</v>
      </c>
      <c r="C186" t="s">
        <v>884</v>
      </c>
      <c r="D186" t="s">
        <v>885</v>
      </c>
      <c r="E186" t="s">
        <v>761</v>
      </c>
      <c r="F186" t="s">
        <v>762</v>
      </c>
      <c r="G186">
        <v>1</v>
      </c>
      <c r="H186" s="1">
        <v>46113</v>
      </c>
      <c r="I186" s="8">
        <v>1030006</v>
      </c>
    </row>
    <row r="187" spans="1:9" x14ac:dyDescent="0.25">
      <c r="A187" t="s">
        <v>2199</v>
      </c>
      <c r="B187" t="s">
        <v>28</v>
      </c>
      <c r="C187" t="s">
        <v>884</v>
      </c>
      <c r="D187" t="s">
        <v>885</v>
      </c>
      <c r="E187" t="s">
        <v>761</v>
      </c>
      <c r="F187" t="s">
        <v>762</v>
      </c>
      <c r="G187">
        <v>1</v>
      </c>
      <c r="H187" s="1">
        <v>46174</v>
      </c>
      <c r="I187" s="8">
        <v>800000</v>
      </c>
    </row>
    <row r="188" spans="1:9" x14ac:dyDescent="0.25">
      <c r="A188" t="s">
        <v>2199</v>
      </c>
      <c r="B188" t="s">
        <v>28</v>
      </c>
      <c r="C188" t="s">
        <v>888</v>
      </c>
      <c r="D188" t="s">
        <v>889</v>
      </c>
      <c r="E188" t="s">
        <v>309</v>
      </c>
      <c r="F188" t="s">
        <v>893</v>
      </c>
      <c r="G188">
        <v>12</v>
      </c>
      <c r="H188" t="s">
        <v>892</v>
      </c>
      <c r="I188" s="8">
        <v>31250000</v>
      </c>
    </row>
    <row r="189" spans="1:9" x14ac:dyDescent="0.25">
      <c r="A189" t="s">
        <v>2199</v>
      </c>
      <c r="B189" t="s">
        <v>28</v>
      </c>
      <c r="C189" t="s">
        <v>895</v>
      </c>
      <c r="D189" t="s">
        <v>896</v>
      </c>
      <c r="E189" t="s">
        <v>899</v>
      </c>
      <c r="F189" t="s">
        <v>900</v>
      </c>
      <c r="G189">
        <v>1</v>
      </c>
      <c r="H189" s="1">
        <v>46082</v>
      </c>
      <c r="I189" s="8">
        <v>200000</v>
      </c>
    </row>
    <row r="190" spans="1:9" x14ac:dyDescent="0.25">
      <c r="A190" t="s">
        <v>2199</v>
      </c>
      <c r="B190" t="s">
        <v>28</v>
      </c>
      <c r="C190" t="s">
        <v>903</v>
      </c>
      <c r="D190" t="s">
        <v>904</v>
      </c>
      <c r="E190" t="s">
        <v>906</v>
      </c>
      <c r="F190" t="s">
        <v>907</v>
      </c>
      <c r="G190">
        <v>1</v>
      </c>
      <c r="H190" s="1">
        <v>46054</v>
      </c>
      <c r="I190" s="8">
        <v>132000</v>
      </c>
    </row>
    <row r="191" spans="1:9" x14ac:dyDescent="0.25">
      <c r="A191" t="s">
        <v>2199</v>
      </c>
      <c r="B191" t="s">
        <v>28</v>
      </c>
      <c r="C191" t="s">
        <v>903</v>
      </c>
      <c r="D191" t="s">
        <v>904</v>
      </c>
      <c r="E191" t="s">
        <v>906</v>
      </c>
      <c r="F191" t="s">
        <v>907</v>
      </c>
      <c r="G191">
        <v>1</v>
      </c>
      <c r="H191" s="1">
        <v>46143</v>
      </c>
      <c r="I191" s="8">
        <v>46425001</v>
      </c>
    </row>
    <row r="192" spans="1:9" x14ac:dyDescent="0.25">
      <c r="A192" t="s">
        <v>2199</v>
      </c>
      <c r="B192" t="s">
        <v>28</v>
      </c>
      <c r="C192" t="s">
        <v>903</v>
      </c>
      <c r="D192" t="s">
        <v>904</v>
      </c>
      <c r="E192" t="s">
        <v>906</v>
      </c>
      <c r="F192" t="s">
        <v>907</v>
      </c>
      <c r="G192">
        <v>1</v>
      </c>
      <c r="H192" s="1">
        <v>46327</v>
      </c>
      <c r="I192" s="8">
        <v>120000</v>
      </c>
    </row>
    <row r="193" spans="1:9" x14ac:dyDescent="0.25">
      <c r="A193" t="s">
        <v>2199</v>
      </c>
      <c r="B193" t="s">
        <v>28</v>
      </c>
      <c r="C193" t="s">
        <v>922</v>
      </c>
      <c r="D193" t="s">
        <v>923</v>
      </c>
      <c r="E193" t="s">
        <v>926</v>
      </c>
      <c r="F193" t="s">
        <v>893</v>
      </c>
      <c r="G193">
        <v>12</v>
      </c>
      <c r="H193" t="s">
        <v>925</v>
      </c>
      <c r="I193" s="8">
        <v>23333328</v>
      </c>
    </row>
    <row r="194" spans="1:9" x14ac:dyDescent="0.25">
      <c r="A194" t="s">
        <v>2199</v>
      </c>
      <c r="B194" t="s">
        <v>28</v>
      </c>
      <c r="C194" t="s">
        <v>930</v>
      </c>
      <c r="D194" t="s">
        <v>931</v>
      </c>
      <c r="E194" t="s">
        <v>934</v>
      </c>
      <c r="F194" t="s">
        <v>935</v>
      </c>
      <c r="G194">
        <v>1</v>
      </c>
      <c r="H194" s="1">
        <v>46023</v>
      </c>
      <c r="I194" s="8">
        <v>681264</v>
      </c>
    </row>
    <row r="195" spans="1:9" x14ac:dyDescent="0.25">
      <c r="A195" t="s">
        <v>2199</v>
      </c>
      <c r="B195" t="s">
        <v>28</v>
      </c>
      <c r="C195" t="s">
        <v>938</v>
      </c>
      <c r="D195" t="s">
        <v>939</v>
      </c>
      <c r="E195" t="s">
        <v>942</v>
      </c>
      <c r="F195" t="s">
        <v>943</v>
      </c>
      <c r="G195">
        <v>1</v>
      </c>
      <c r="H195" s="1">
        <v>46113</v>
      </c>
      <c r="I195" s="8">
        <v>12003336</v>
      </c>
    </row>
    <row r="196" spans="1:9" x14ac:dyDescent="0.25">
      <c r="A196" t="s">
        <v>2199</v>
      </c>
      <c r="B196" t="s">
        <v>28</v>
      </c>
      <c r="C196" t="s">
        <v>947</v>
      </c>
      <c r="D196" t="s">
        <v>948</v>
      </c>
      <c r="E196" t="s">
        <v>950</v>
      </c>
      <c r="F196" t="s">
        <v>951</v>
      </c>
      <c r="G196">
        <v>1</v>
      </c>
      <c r="H196" s="1">
        <v>46082</v>
      </c>
      <c r="I196" s="8">
        <v>557936</v>
      </c>
    </row>
    <row r="197" spans="1:9" x14ac:dyDescent="0.25">
      <c r="A197" t="s">
        <v>2199</v>
      </c>
      <c r="B197" t="s">
        <v>28</v>
      </c>
      <c r="C197" t="s">
        <v>954</v>
      </c>
      <c r="D197" t="s">
        <v>955</v>
      </c>
      <c r="E197" t="s">
        <v>958</v>
      </c>
      <c r="F197" t="s">
        <v>959</v>
      </c>
      <c r="G197">
        <v>1</v>
      </c>
      <c r="H197" s="1">
        <v>46235</v>
      </c>
      <c r="I197" s="8">
        <v>675200</v>
      </c>
    </row>
    <row r="198" spans="1:9" x14ac:dyDescent="0.25">
      <c r="A198" t="s">
        <v>2199</v>
      </c>
      <c r="B198" t="s">
        <v>28</v>
      </c>
      <c r="C198" t="s">
        <v>963</v>
      </c>
      <c r="D198" t="s">
        <v>964</v>
      </c>
      <c r="E198" t="s">
        <v>768</v>
      </c>
      <c r="F198" t="s">
        <v>966</v>
      </c>
      <c r="G198">
        <v>1</v>
      </c>
      <c r="H198" s="1">
        <v>46054</v>
      </c>
      <c r="I198" s="8">
        <v>700002</v>
      </c>
    </row>
    <row r="199" spans="1:9" x14ac:dyDescent="0.25">
      <c r="A199" t="s">
        <v>2199</v>
      </c>
      <c r="B199" t="s">
        <v>28</v>
      </c>
      <c r="C199" t="s">
        <v>969</v>
      </c>
      <c r="D199" t="s">
        <v>970</v>
      </c>
      <c r="E199" t="s">
        <v>768</v>
      </c>
      <c r="F199" t="s">
        <v>966</v>
      </c>
      <c r="G199">
        <v>1</v>
      </c>
      <c r="H199" s="1">
        <v>46054</v>
      </c>
      <c r="I199" s="8">
        <v>7000008</v>
      </c>
    </row>
    <row r="200" spans="1:9" x14ac:dyDescent="0.25">
      <c r="A200" t="s">
        <v>2199</v>
      </c>
      <c r="B200" t="s">
        <v>28</v>
      </c>
      <c r="C200" t="s">
        <v>972</v>
      </c>
      <c r="D200" t="s">
        <v>973</v>
      </c>
      <c r="E200" t="s">
        <v>768</v>
      </c>
      <c r="F200" t="s">
        <v>966</v>
      </c>
      <c r="G200">
        <v>1</v>
      </c>
      <c r="H200" s="1">
        <v>46082</v>
      </c>
      <c r="I200" s="8">
        <v>800000</v>
      </c>
    </row>
    <row r="201" spans="1:9" x14ac:dyDescent="0.25">
      <c r="A201" t="s">
        <v>2199</v>
      </c>
      <c r="B201" t="s">
        <v>28</v>
      </c>
      <c r="C201" t="s">
        <v>975</v>
      </c>
      <c r="D201" t="s">
        <v>976</v>
      </c>
      <c r="E201" t="s">
        <v>768</v>
      </c>
      <c r="F201" t="s">
        <v>966</v>
      </c>
      <c r="G201">
        <v>1</v>
      </c>
      <c r="H201" s="1">
        <v>46054</v>
      </c>
      <c r="I201" s="8">
        <v>3500000</v>
      </c>
    </row>
    <row r="202" spans="1:9" x14ac:dyDescent="0.25">
      <c r="A202" t="s">
        <v>2199</v>
      </c>
      <c r="B202" t="s">
        <v>28</v>
      </c>
      <c r="C202" t="s">
        <v>978</v>
      </c>
      <c r="D202" t="s">
        <v>979</v>
      </c>
      <c r="E202" t="s">
        <v>768</v>
      </c>
      <c r="F202" t="s">
        <v>966</v>
      </c>
      <c r="G202">
        <v>1</v>
      </c>
      <c r="H202" s="1">
        <v>46082</v>
      </c>
      <c r="I202" s="8">
        <v>2000000</v>
      </c>
    </row>
    <row r="203" spans="1:9" x14ac:dyDescent="0.25">
      <c r="A203" t="s">
        <v>2199</v>
      </c>
      <c r="B203" t="s">
        <v>28</v>
      </c>
      <c r="C203" t="s">
        <v>981</v>
      </c>
      <c r="D203" t="s">
        <v>982</v>
      </c>
      <c r="E203" t="s">
        <v>768</v>
      </c>
      <c r="F203" t="s">
        <v>966</v>
      </c>
      <c r="G203">
        <v>1</v>
      </c>
      <c r="H203" s="1">
        <v>46113</v>
      </c>
      <c r="I203" s="8">
        <v>800004</v>
      </c>
    </row>
    <row r="204" spans="1:9" x14ac:dyDescent="0.25">
      <c r="A204" t="s">
        <v>2199</v>
      </c>
      <c r="B204" t="s">
        <v>28</v>
      </c>
      <c r="C204" t="s">
        <v>984</v>
      </c>
      <c r="D204" t="s">
        <v>985</v>
      </c>
      <c r="E204" t="s">
        <v>768</v>
      </c>
      <c r="F204" t="s">
        <v>966</v>
      </c>
      <c r="G204">
        <v>1</v>
      </c>
      <c r="H204" s="1">
        <v>46023</v>
      </c>
      <c r="I204" s="8">
        <v>600000</v>
      </c>
    </row>
    <row r="205" spans="1:9" x14ac:dyDescent="0.25">
      <c r="A205" t="s">
        <v>2199</v>
      </c>
      <c r="B205" t="s">
        <v>28</v>
      </c>
      <c r="C205" t="s">
        <v>987</v>
      </c>
      <c r="D205" t="s">
        <v>988</v>
      </c>
      <c r="E205" t="s">
        <v>768</v>
      </c>
      <c r="F205" t="s">
        <v>966</v>
      </c>
      <c r="G205">
        <v>1</v>
      </c>
      <c r="H205" s="1">
        <v>46204</v>
      </c>
      <c r="I205" s="8">
        <v>4000000</v>
      </c>
    </row>
    <row r="206" spans="1:9" x14ac:dyDescent="0.25">
      <c r="A206" t="s">
        <v>2199</v>
      </c>
      <c r="B206" t="s">
        <v>28</v>
      </c>
      <c r="C206" t="s">
        <v>990</v>
      </c>
      <c r="D206" t="s">
        <v>991</v>
      </c>
      <c r="E206" t="s">
        <v>768</v>
      </c>
      <c r="F206" t="s">
        <v>966</v>
      </c>
      <c r="G206">
        <v>1</v>
      </c>
      <c r="H206" s="1">
        <v>46082</v>
      </c>
      <c r="I206" s="8">
        <v>5500000</v>
      </c>
    </row>
    <row r="207" spans="1:9" x14ac:dyDescent="0.25">
      <c r="A207" t="s">
        <v>2199</v>
      </c>
      <c r="B207" t="s">
        <v>28</v>
      </c>
      <c r="C207" t="s">
        <v>993</v>
      </c>
      <c r="D207" t="s">
        <v>994</v>
      </c>
      <c r="E207" t="s">
        <v>768</v>
      </c>
      <c r="F207" t="s">
        <v>966</v>
      </c>
      <c r="G207">
        <v>1</v>
      </c>
      <c r="H207" s="1">
        <v>46113</v>
      </c>
      <c r="I207" s="8">
        <v>3000000</v>
      </c>
    </row>
    <row r="208" spans="1:9" x14ac:dyDescent="0.25">
      <c r="A208" t="s">
        <v>2199</v>
      </c>
      <c r="B208" t="s">
        <v>28</v>
      </c>
      <c r="C208" t="s">
        <v>996</v>
      </c>
      <c r="D208" t="s">
        <v>997</v>
      </c>
      <c r="E208" t="s">
        <v>934</v>
      </c>
      <c r="F208" t="s">
        <v>935</v>
      </c>
      <c r="G208">
        <v>1</v>
      </c>
      <c r="H208" s="1">
        <v>46023</v>
      </c>
      <c r="I208" s="8">
        <v>60000</v>
      </c>
    </row>
    <row r="209" spans="1:9" x14ac:dyDescent="0.25">
      <c r="A209" t="s">
        <v>2199</v>
      </c>
      <c r="B209" t="s">
        <v>28</v>
      </c>
      <c r="C209" t="s">
        <v>1000</v>
      </c>
      <c r="D209" t="s">
        <v>1001</v>
      </c>
      <c r="E209" t="s">
        <v>768</v>
      </c>
      <c r="F209" t="s">
        <v>966</v>
      </c>
      <c r="G209">
        <v>1</v>
      </c>
      <c r="H209" s="1">
        <v>46174</v>
      </c>
      <c r="I209" s="8">
        <v>1500000</v>
      </c>
    </row>
    <row r="210" spans="1:9" x14ac:dyDescent="0.25">
      <c r="A210" t="s">
        <v>2199</v>
      </c>
      <c r="B210" t="s">
        <v>28</v>
      </c>
      <c r="C210" t="s">
        <v>1003</v>
      </c>
      <c r="D210" t="s">
        <v>1004</v>
      </c>
      <c r="E210" t="s">
        <v>768</v>
      </c>
      <c r="F210" t="s">
        <v>966</v>
      </c>
      <c r="G210">
        <v>4</v>
      </c>
      <c r="H210" t="s">
        <v>1007</v>
      </c>
      <c r="I210" s="8">
        <v>17500000</v>
      </c>
    </row>
    <row r="211" spans="1:9" x14ac:dyDescent="0.25">
      <c r="A211" t="s">
        <v>2199</v>
      </c>
      <c r="B211" t="s">
        <v>28</v>
      </c>
      <c r="C211" t="s">
        <v>1008</v>
      </c>
      <c r="D211" t="s">
        <v>1010</v>
      </c>
      <c r="E211" t="s">
        <v>768</v>
      </c>
      <c r="F211" t="s">
        <v>966</v>
      </c>
      <c r="G211">
        <v>1</v>
      </c>
      <c r="H211" s="1">
        <v>46143</v>
      </c>
      <c r="I211" s="8">
        <v>1820000</v>
      </c>
    </row>
    <row r="212" spans="1:9" x14ac:dyDescent="0.25">
      <c r="A212" t="s">
        <v>2199</v>
      </c>
      <c r="B212" t="s">
        <v>28</v>
      </c>
      <c r="C212" t="s">
        <v>1013</v>
      </c>
      <c r="D212" t="s">
        <v>1014</v>
      </c>
      <c r="E212" t="s">
        <v>768</v>
      </c>
      <c r="F212" t="s">
        <v>966</v>
      </c>
      <c r="G212">
        <v>1</v>
      </c>
      <c r="H212" s="1">
        <v>46082</v>
      </c>
      <c r="I212" s="8">
        <v>1200000</v>
      </c>
    </row>
    <row r="213" spans="1:9" x14ac:dyDescent="0.25">
      <c r="A213" t="s">
        <v>2199</v>
      </c>
      <c r="B213" t="s">
        <v>28</v>
      </c>
      <c r="C213" t="s">
        <v>1016</v>
      </c>
      <c r="D213" t="s">
        <v>1017</v>
      </c>
      <c r="E213" t="s">
        <v>768</v>
      </c>
      <c r="F213" t="s">
        <v>966</v>
      </c>
      <c r="G213">
        <v>1</v>
      </c>
      <c r="H213" s="1">
        <v>46174</v>
      </c>
      <c r="I213" s="8">
        <v>2500020</v>
      </c>
    </row>
    <row r="214" spans="1:9" x14ac:dyDescent="0.25">
      <c r="A214" t="s">
        <v>2199</v>
      </c>
      <c r="B214" t="s">
        <v>28</v>
      </c>
      <c r="C214" t="s">
        <v>1019</v>
      </c>
      <c r="D214" t="s">
        <v>1020</v>
      </c>
      <c r="E214" t="s">
        <v>768</v>
      </c>
      <c r="F214" t="s">
        <v>966</v>
      </c>
      <c r="G214">
        <v>1</v>
      </c>
      <c r="H214" s="1">
        <v>46235</v>
      </c>
      <c r="I214" s="8">
        <v>2500000</v>
      </c>
    </row>
    <row r="215" spans="1:9" x14ac:dyDescent="0.25">
      <c r="A215" t="s">
        <v>2199</v>
      </c>
      <c r="B215" t="s">
        <v>28</v>
      </c>
      <c r="C215" t="s">
        <v>1022</v>
      </c>
      <c r="D215" t="s">
        <v>1023</v>
      </c>
      <c r="E215" t="s">
        <v>768</v>
      </c>
      <c r="F215" t="s">
        <v>966</v>
      </c>
      <c r="G215">
        <v>1</v>
      </c>
      <c r="H215" s="1">
        <v>46235</v>
      </c>
      <c r="I215" s="8">
        <v>2500000</v>
      </c>
    </row>
    <row r="216" spans="1:9" x14ac:dyDescent="0.25">
      <c r="A216" t="s">
        <v>2199</v>
      </c>
      <c r="B216" t="s">
        <v>28</v>
      </c>
      <c r="C216" t="s">
        <v>1025</v>
      </c>
      <c r="D216" t="s">
        <v>1026</v>
      </c>
      <c r="E216" t="s">
        <v>768</v>
      </c>
      <c r="F216" t="s">
        <v>386</v>
      </c>
      <c r="G216">
        <v>12</v>
      </c>
      <c r="H216" t="s">
        <v>1029</v>
      </c>
      <c r="I216" s="8">
        <v>0</v>
      </c>
    </row>
    <row r="217" spans="1:9" x14ac:dyDescent="0.25">
      <c r="A217" t="s">
        <v>2199</v>
      </c>
      <c r="B217" t="s">
        <v>28</v>
      </c>
      <c r="C217" t="s">
        <v>1039</v>
      </c>
      <c r="D217" t="s">
        <v>1040</v>
      </c>
      <c r="E217" t="s">
        <v>768</v>
      </c>
      <c r="F217" t="s">
        <v>386</v>
      </c>
      <c r="G217">
        <v>1</v>
      </c>
      <c r="H217" s="1">
        <v>46082</v>
      </c>
      <c r="I217" s="8">
        <v>816730</v>
      </c>
    </row>
    <row r="218" spans="1:9" x14ac:dyDescent="0.25">
      <c r="A218" t="s">
        <v>2199</v>
      </c>
      <c r="B218" t="s">
        <v>28</v>
      </c>
      <c r="C218" t="s">
        <v>1042</v>
      </c>
      <c r="D218" t="s">
        <v>1044</v>
      </c>
      <c r="E218" t="s">
        <v>531</v>
      </c>
      <c r="F218" t="s">
        <v>532</v>
      </c>
      <c r="G218">
        <v>12</v>
      </c>
      <c r="H218" t="s">
        <v>413</v>
      </c>
      <c r="I218" s="8">
        <v>60000000</v>
      </c>
    </row>
    <row r="219" spans="1:9" x14ac:dyDescent="0.25">
      <c r="A219" t="s">
        <v>2199</v>
      </c>
      <c r="B219" t="s">
        <v>28</v>
      </c>
      <c r="C219" t="s">
        <v>1047</v>
      </c>
      <c r="D219" t="s">
        <v>1049</v>
      </c>
      <c r="E219" t="s">
        <v>531</v>
      </c>
      <c r="F219" t="s">
        <v>1051</v>
      </c>
      <c r="G219">
        <v>12</v>
      </c>
      <c r="H219" t="s">
        <v>413</v>
      </c>
      <c r="I219" s="8">
        <v>11000000</v>
      </c>
    </row>
    <row r="220" spans="1:9" x14ac:dyDescent="0.25">
      <c r="A220" t="s">
        <v>2199</v>
      </c>
      <c r="B220" t="s">
        <v>28</v>
      </c>
      <c r="C220" t="s">
        <v>1059</v>
      </c>
      <c r="D220" t="s">
        <v>1060</v>
      </c>
      <c r="E220" t="s">
        <v>790</v>
      </c>
      <c r="F220" t="s">
        <v>791</v>
      </c>
      <c r="G220">
        <v>1</v>
      </c>
      <c r="H220" s="1">
        <v>46296</v>
      </c>
      <c r="I220" s="8">
        <v>510006</v>
      </c>
    </row>
    <row r="221" spans="1:9" x14ac:dyDescent="0.25">
      <c r="A221" t="s">
        <v>2199</v>
      </c>
      <c r="B221" t="s">
        <v>28</v>
      </c>
      <c r="C221" t="s">
        <v>1063</v>
      </c>
      <c r="D221" t="s">
        <v>1064</v>
      </c>
      <c r="E221" t="s">
        <v>790</v>
      </c>
      <c r="F221" t="s">
        <v>791</v>
      </c>
      <c r="G221">
        <v>1</v>
      </c>
      <c r="H221" s="1">
        <v>46296</v>
      </c>
      <c r="I221" s="8">
        <v>450000</v>
      </c>
    </row>
    <row r="222" spans="1:9" x14ac:dyDescent="0.25">
      <c r="A222" t="s">
        <v>2199</v>
      </c>
      <c r="B222" t="s">
        <v>28</v>
      </c>
      <c r="C222" t="s">
        <v>1069</v>
      </c>
      <c r="D222" t="s">
        <v>1070</v>
      </c>
      <c r="E222" t="s">
        <v>934</v>
      </c>
      <c r="F222" t="s">
        <v>935</v>
      </c>
      <c r="G222">
        <v>1</v>
      </c>
      <c r="H222" s="1">
        <v>46023</v>
      </c>
      <c r="I222" s="8">
        <v>450000</v>
      </c>
    </row>
    <row r="223" spans="1:9" x14ac:dyDescent="0.25">
      <c r="A223" t="s">
        <v>2199</v>
      </c>
      <c r="B223" t="s">
        <v>28</v>
      </c>
      <c r="C223" t="s">
        <v>1072</v>
      </c>
      <c r="D223" t="s">
        <v>1073</v>
      </c>
      <c r="E223" t="s">
        <v>1075</v>
      </c>
      <c r="F223" t="s">
        <v>1076</v>
      </c>
      <c r="G223">
        <v>1</v>
      </c>
      <c r="H223" s="1">
        <v>46054</v>
      </c>
      <c r="I223" s="8">
        <v>169000</v>
      </c>
    </row>
    <row r="224" spans="1:9" x14ac:dyDescent="0.25">
      <c r="A224" t="s">
        <v>2199</v>
      </c>
      <c r="B224" t="s">
        <v>28</v>
      </c>
      <c r="C224" t="s">
        <v>1079</v>
      </c>
      <c r="D224" t="s">
        <v>1081</v>
      </c>
      <c r="E224" t="s">
        <v>1075</v>
      </c>
      <c r="F224" t="s">
        <v>1076</v>
      </c>
      <c r="G224">
        <v>1</v>
      </c>
      <c r="H224" s="1">
        <v>46082</v>
      </c>
      <c r="I224" s="8">
        <v>100000</v>
      </c>
    </row>
    <row r="225" spans="1:9" x14ac:dyDescent="0.25">
      <c r="A225" t="s">
        <v>2199</v>
      </c>
      <c r="B225" t="s">
        <v>28</v>
      </c>
      <c r="C225" t="s">
        <v>1085</v>
      </c>
      <c r="D225" t="s">
        <v>1086</v>
      </c>
      <c r="E225" t="s">
        <v>934</v>
      </c>
      <c r="F225" t="s">
        <v>935</v>
      </c>
      <c r="G225">
        <v>1</v>
      </c>
      <c r="H225" s="1">
        <v>46023</v>
      </c>
      <c r="I225" s="8">
        <v>352600</v>
      </c>
    </row>
    <row r="226" spans="1:9" x14ac:dyDescent="0.25">
      <c r="A226" t="s">
        <v>2199</v>
      </c>
      <c r="B226" t="s">
        <v>28</v>
      </c>
      <c r="C226" t="s">
        <v>1089</v>
      </c>
      <c r="D226" t="s">
        <v>1090</v>
      </c>
      <c r="E226" t="s">
        <v>934</v>
      </c>
      <c r="F226" t="s">
        <v>935</v>
      </c>
      <c r="G226">
        <v>1</v>
      </c>
      <c r="H226" s="1">
        <v>46054</v>
      </c>
      <c r="I226" s="8">
        <v>50004</v>
      </c>
    </row>
    <row r="227" spans="1:9" x14ac:dyDescent="0.25">
      <c r="A227" t="s">
        <v>2199</v>
      </c>
      <c r="B227" t="s">
        <v>28</v>
      </c>
      <c r="C227" t="s">
        <v>1092</v>
      </c>
      <c r="D227" t="s">
        <v>1093</v>
      </c>
      <c r="E227" t="s">
        <v>1095</v>
      </c>
      <c r="F227" t="s">
        <v>1096</v>
      </c>
      <c r="G227">
        <v>1</v>
      </c>
      <c r="H227" s="1">
        <v>46296</v>
      </c>
      <c r="I227" s="8">
        <v>624234</v>
      </c>
    </row>
    <row r="228" spans="1:9" x14ac:dyDescent="0.25">
      <c r="A228" t="s">
        <v>2199</v>
      </c>
      <c r="B228" t="s">
        <v>28</v>
      </c>
      <c r="C228" t="s">
        <v>1099</v>
      </c>
      <c r="D228" t="s">
        <v>1100</v>
      </c>
      <c r="E228" t="s">
        <v>457</v>
      </c>
      <c r="F228" t="s">
        <v>458</v>
      </c>
      <c r="G228">
        <v>1</v>
      </c>
      <c r="H228" s="1">
        <v>46174</v>
      </c>
      <c r="I228" s="8">
        <v>183238</v>
      </c>
    </row>
    <row r="229" spans="1:9" x14ac:dyDescent="0.25">
      <c r="A229" t="s">
        <v>2199</v>
      </c>
      <c r="B229" t="s">
        <v>28</v>
      </c>
      <c r="C229" t="s">
        <v>1103</v>
      </c>
      <c r="D229" t="s">
        <v>1104</v>
      </c>
      <c r="E229" t="s">
        <v>1106</v>
      </c>
      <c r="F229" t="s">
        <v>1107</v>
      </c>
      <c r="G229">
        <v>1</v>
      </c>
      <c r="H229" s="1">
        <v>46296</v>
      </c>
      <c r="I229" s="8">
        <v>5696005</v>
      </c>
    </row>
    <row r="230" spans="1:9" x14ac:dyDescent="0.25">
      <c r="A230" t="s">
        <v>2199</v>
      </c>
      <c r="B230" t="s">
        <v>28</v>
      </c>
      <c r="C230" t="s">
        <v>1110</v>
      </c>
      <c r="D230" t="s">
        <v>1111</v>
      </c>
      <c r="E230" t="s">
        <v>457</v>
      </c>
      <c r="F230" t="s">
        <v>458</v>
      </c>
      <c r="G230">
        <v>1</v>
      </c>
      <c r="H230" s="1">
        <v>46204</v>
      </c>
      <c r="I230" s="8">
        <v>225046</v>
      </c>
    </row>
    <row r="231" spans="1:9" x14ac:dyDescent="0.25">
      <c r="A231" t="s">
        <v>2199</v>
      </c>
      <c r="B231" t="s">
        <v>28</v>
      </c>
      <c r="C231" t="s">
        <v>1113</v>
      </c>
      <c r="D231" t="s">
        <v>1115</v>
      </c>
      <c r="E231" t="s">
        <v>309</v>
      </c>
      <c r="F231" t="s">
        <v>893</v>
      </c>
      <c r="G231">
        <v>32</v>
      </c>
      <c r="H231" t="s">
        <v>1118</v>
      </c>
      <c r="I231" s="8">
        <v>371161848</v>
      </c>
    </row>
    <row r="232" spans="1:9" x14ac:dyDescent="0.25">
      <c r="A232" t="s">
        <v>2199</v>
      </c>
      <c r="B232" t="s">
        <v>28</v>
      </c>
      <c r="C232" t="s">
        <v>1119</v>
      </c>
      <c r="D232" t="s">
        <v>1120</v>
      </c>
      <c r="E232" t="s">
        <v>1122</v>
      </c>
      <c r="F232" t="s">
        <v>1123</v>
      </c>
      <c r="G232">
        <v>1</v>
      </c>
      <c r="H232" s="1">
        <v>46082</v>
      </c>
      <c r="I232" s="8">
        <v>600000</v>
      </c>
    </row>
    <row r="233" spans="1:9" x14ac:dyDescent="0.25">
      <c r="A233" t="s">
        <v>2199</v>
      </c>
      <c r="B233" t="s">
        <v>28</v>
      </c>
      <c r="C233" t="s">
        <v>1126</v>
      </c>
      <c r="D233" t="s">
        <v>1127</v>
      </c>
      <c r="E233" t="s">
        <v>1122</v>
      </c>
      <c r="F233" t="s">
        <v>1123</v>
      </c>
      <c r="G233">
        <v>1</v>
      </c>
      <c r="H233" s="1">
        <v>46082</v>
      </c>
      <c r="I233" s="8">
        <v>1700000</v>
      </c>
    </row>
    <row r="234" spans="1:9" x14ac:dyDescent="0.25">
      <c r="A234" t="s">
        <v>2199</v>
      </c>
      <c r="B234" t="s">
        <v>28</v>
      </c>
      <c r="C234" t="s">
        <v>1130</v>
      </c>
      <c r="D234" t="s">
        <v>1131</v>
      </c>
      <c r="E234" t="s">
        <v>1122</v>
      </c>
      <c r="F234" t="s">
        <v>1123</v>
      </c>
      <c r="G234">
        <v>1</v>
      </c>
      <c r="H234" s="1">
        <v>46082</v>
      </c>
      <c r="I234" s="8">
        <v>1670016</v>
      </c>
    </row>
    <row r="235" spans="1:9" x14ac:dyDescent="0.25">
      <c r="A235" t="s">
        <v>2199</v>
      </c>
      <c r="B235" t="s">
        <v>28</v>
      </c>
      <c r="C235" t="s">
        <v>1134</v>
      </c>
      <c r="D235" t="s">
        <v>1135</v>
      </c>
      <c r="E235" t="s">
        <v>1122</v>
      </c>
      <c r="F235" t="s">
        <v>1123</v>
      </c>
      <c r="G235">
        <v>1</v>
      </c>
      <c r="H235" s="1">
        <v>46082</v>
      </c>
      <c r="I235" s="8">
        <v>900000</v>
      </c>
    </row>
    <row r="236" spans="1:9" x14ac:dyDescent="0.25">
      <c r="A236" t="s">
        <v>2199</v>
      </c>
      <c r="B236" t="s">
        <v>28</v>
      </c>
      <c r="C236" t="s">
        <v>1138</v>
      </c>
      <c r="D236" t="s">
        <v>1140</v>
      </c>
      <c r="E236" t="s">
        <v>1122</v>
      </c>
      <c r="F236" t="s">
        <v>1123</v>
      </c>
      <c r="G236">
        <v>1</v>
      </c>
      <c r="H236" s="1">
        <v>46082</v>
      </c>
      <c r="I236" s="8">
        <v>3500010</v>
      </c>
    </row>
    <row r="237" spans="1:9" x14ac:dyDescent="0.25">
      <c r="A237" t="s">
        <v>2199</v>
      </c>
      <c r="B237" t="s">
        <v>28</v>
      </c>
      <c r="C237" t="s">
        <v>1156</v>
      </c>
      <c r="D237" t="s">
        <v>1158</v>
      </c>
      <c r="E237" t="s">
        <v>1162</v>
      </c>
      <c r="F237" t="s">
        <v>258</v>
      </c>
      <c r="G237">
        <v>1</v>
      </c>
      <c r="H237" s="1">
        <v>46174</v>
      </c>
      <c r="I237" s="8">
        <v>13300002</v>
      </c>
    </row>
    <row r="238" spans="1:9" x14ac:dyDescent="0.25">
      <c r="A238" t="s">
        <v>2199</v>
      </c>
      <c r="B238" t="s">
        <v>28</v>
      </c>
      <c r="C238" t="s">
        <v>1156</v>
      </c>
      <c r="D238" t="s">
        <v>1158</v>
      </c>
      <c r="E238" t="s">
        <v>1162</v>
      </c>
      <c r="F238" t="s">
        <v>258</v>
      </c>
      <c r="G238">
        <v>3</v>
      </c>
      <c r="H238" t="s">
        <v>1161</v>
      </c>
      <c r="I238" s="8">
        <v>4450000</v>
      </c>
    </row>
    <row r="239" spans="1:9" x14ac:dyDescent="0.25">
      <c r="A239" t="s">
        <v>2199</v>
      </c>
      <c r="B239" t="s">
        <v>28</v>
      </c>
      <c r="C239" t="s">
        <v>1168</v>
      </c>
      <c r="D239" t="s">
        <v>1169</v>
      </c>
      <c r="E239" t="s">
        <v>1162</v>
      </c>
      <c r="F239" t="s">
        <v>258</v>
      </c>
      <c r="G239">
        <v>12</v>
      </c>
      <c r="H239" t="s">
        <v>1029</v>
      </c>
      <c r="I239" s="8">
        <v>0</v>
      </c>
    </row>
    <row r="240" spans="1:9" x14ac:dyDescent="0.25">
      <c r="A240" t="s">
        <v>2199</v>
      </c>
      <c r="B240" t="s">
        <v>28</v>
      </c>
      <c r="C240" t="s">
        <v>1176</v>
      </c>
      <c r="D240" t="s">
        <v>1177</v>
      </c>
      <c r="E240" t="s">
        <v>1180</v>
      </c>
      <c r="F240" t="s">
        <v>1181</v>
      </c>
      <c r="G240">
        <v>1</v>
      </c>
      <c r="H240" s="1">
        <v>46082</v>
      </c>
      <c r="I240" s="8">
        <v>696000</v>
      </c>
    </row>
    <row r="241" spans="1:9" x14ac:dyDescent="0.25">
      <c r="A241" t="s">
        <v>2199</v>
      </c>
      <c r="B241" t="s">
        <v>28</v>
      </c>
      <c r="C241" t="s">
        <v>1183</v>
      </c>
      <c r="D241" t="s">
        <v>1185</v>
      </c>
      <c r="E241" t="s">
        <v>790</v>
      </c>
      <c r="F241" t="s">
        <v>791</v>
      </c>
      <c r="G241">
        <v>1</v>
      </c>
      <c r="H241" s="1">
        <v>46143</v>
      </c>
      <c r="I241" s="8">
        <v>2885085</v>
      </c>
    </row>
    <row r="242" spans="1:9" x14ac:dyDescent="0.25">
      <c r="A242" t="s">
        <v>2199</v>
      </c>
      <c r="B242" t="s">
        <v>28</v>
      </c>
      <c r="C242" t="s">
        <v>1188</v>
      </c>
      <c r="D242" t="s">
        <v>1189</v>
      </c>
      <c r="E242" t="s">
        <v>790</v>
      </c>
      <c r="F242" t="s">
        <v>791</v>
      </c>
      <c r="G242">
        <v>1</v>
      </c>
      <c r="H242" s="1">
        <v>46296</v>
      </c>
      <c r="I242" s="8">
        <v>2997268</v>
      </c>
    </row>
    <row r="243" spans="1:9" x14ac:dyDescent="0.25">
      <c r="A243" t="s">
        <v>2199</v>
      </c>
      <c r="B243" t="s">
        <v>28</v>
      </c>
      <c r="C243" t="s">
        <v>1207</v>
      </c>
      <c r="D243" t="s">
        <v>1208</v>
      </c>
      <c r="E243" t="s">
        <v>1211</v>
      </c>
      <c r="F243" t="s">
        <v>320</v>
      </c>
      <c r="G243">
        <v>1</v>
      </c>
      <c r="H243" s="1">
        <v>46113</v>
      </c>
      <c r="I243" s="8">
        <v>198030</v>
      </c>
    </row>
    <row r="244" spans="1:9" x14ac:dyDescent="0.25">
      <c r="A244" t="s">
        <v>2199</v>
      </c>
      <c r="B244" t="s">
        <v>28</v>
      </c>
      <c r="C244" t="s">
        <v>1213</v>
      </c>
      <c r="D244" t="s">
        <v>1214</v>
      </c>
      <c r="E244" t="s">
        <v>395</v>
      </c>
      <c r="F244" t="s">
        <v>1217</v>
      </c>
      <c r="G244">
        <v>1</v>
      </c>
      <c r="H244" s="1">
        <v>46023</v>
      </c>
      <c r="I244" s="8">
        <v>126581</v>
      </c>
    </row>
    <row r="245" spans="1:9" x14ac:dyDescent="0.25">
      <c r="A245" t="s">
        <v>2199</v>
      </c>
      <c r="B245" t="s">
        <v>28</v>
      </c>
      <c r="C245" t="s">
        <v>1219</v>
      </c>
      <c r="D245" t="s">
        <v>1220</v>
      </c>
      <c r="E245" t="s">
        <v>395</v>
      </c>
      <c r="F245" t="s">
        <v>1217</v>
      </c>
      <c r="G245">
        <v>1</v>
      </c>
      <c r="H245" s="1">
        <v>46023</v>
      </c>
      <c r="I245" s="8">
        <v>172000</v>
      </c>
    </row>
    <row r="246" spans="1:9" x14ac:dyDescent="0.25">
      <c r="A246" t="s">
        <v>2199</v>
      </c>
      <c r="B246" t="s">
        <v>28</v>
      </c>
      <c r="C246" t="s">
        <v>1224</v>
      </c>
      <c r="D246" t="s">
        <v>1225</v>
      </c>
      <c r="E246" t="s">
        <v>1211</v>
      </c>
      <c r="F246" t="s">
        <v>320</v>
      </c>
      <c r="G246">
        <v>1</v>
      </c>
      <c r="H246" s="1">
        <v>46113</v>
      </c>
      <c r="I246" s="8">
        <v>715014</v>
      </c>
    </row>
    <row r="247" spans="1:9" x14ac:dyDescent="0.25">
      <c r="A247" t="s">
        <v>2199</v>
      </c>
      <c r="B247" t="s">
        <v>28</v>
      </c>
      <c r="C247" t="s">
        <v>1228</v>
      </c>
      <c r="D247" t="s">
        <v>1229</v>
      </c>
      <c r="E247" t="s">
        <v>64</v>
      </c>
      <c r="F247" t="s">
        <v>65</v>
      </c>
      <c r="G247">
        <v>1</v>
      </c>
      <c r="H247" s="1">
        <v>46023</v>
      </c>
      <c r="I247" s="8">
        <v>930000</v>
      </c>
    </row>
    <row r="248" spans="1:9" x14ac:dyDescent="0.25">
      <c r="A248" t="s">
        <v>2199</v>
      </c>
      <c r="B248" t="s">
        <v>28</v>
      </c>
      <c r="C248" t="s">
        <v>1234</v>
      </c>
      <c r="D248" t="s">
        <v>1235</v>
      </c>
      <c r="E248" t="s">
        <v>64</v>
      </c>
      <c r="F248" t="s">
        <v>65</v>
      </c>
      <c r="G248">
        <v>1</v>
      </c>
      <c r="H248" s="1">
        <v>46054</v>
      </c>
      <c r="I248" s="8">
        <v>1400000</v>
      </c>
    </row>
    <row r="249" spans="1:9" x14ac:dyDescent="0.25">
      <c r="A249" t="s">
        <v>2199</v>
      </c>
      <c r="B249" t="s">
        <v>28</v>
      </c>
      <c r="C249" t="s">
        <v>1245</v>
      </c>
      <c r="D249" t="s">
        <v>1247</v>
      </c>
      <c r="E249" t="s">
        <v>122</v>
      </c>
      <c r="F249" t="s">
        <v>544</v>
      </c>
      <c r="G249">
        <v>1</v>
      </c>
      <c r="H249" s="1">
        <v>46054</v>
      </c>
      <c r="I249" s="8">
        <v>610000</v>
      </c>
    </row>
    <row r="250" spans="1:9" x14ac:dyDescent="0.25">
      <c r="A250" t="s">
        <v>2199</v>
      </c>
      <c r="B250" t="s">
        <v>28</v>
      </c>
      <c r="C250" t="s">
        <v>1252</v>
      </c>
      <c r="D250" t="s">
        <v>1253</v>
      </c>
      <c r="E250" t="s">
        <v>1255</v>
      </c>
      <c r="F250" t="s">
        <v>1256</v>
      </c>
      <c r="G250">
        <v>1</v>
      </c>
      <c r="H250" s="1">
        <v>46054</v>
      </c>
      <c r="I250" s="8">
        <v>52000</v>
      </c>
    </row>
    <row r="251" spans="1:9" x14ac:dyDescent="0.25">
      <c r="A251" t="s">
        <v>2199</v>
      </c>
      <c r="B251" t="s">
        <v>28</v>
      </c>
      <c r="C251" t="s">
        <v>1259</v>
      </c>
      <c r="D251" t="s">
        <v>1260</v>
      </c>
      <c r="E251" t="s">
        <v>395</v>
      </c>
      <c r="F251" t="s">
        <v>1217</v>
      </c>
      <c r="G251">
        <v>1</v>
      </c>
      <c r="H251" s="1">
        <v>46023</v>
      </c>
      <c r="I251" s="8">
        <v>370100</v>
      </c>
    </row>
    <row r="252" spans="1:9" x14ac:dyDescent="0.25">
      <c r="A252" t="s">
        <v>2199</v>
      </c>
      <c r="B252" t="s">
        <v>28</v>
      </c>
      <c r="C252" t="s">
        <v>1269</v>
      </c>
      <c r="D252" t="s">
        <v>1270</v>
      </c>
      <c r="E252" t="s">
        <v>1273</v>
      </c>
      <c r="F252" t="s">
        <v>514</v>
      </c>
      <c r="G252">
        <v>1</v>
      </c>
      <c r="H252" s="1">
        <v>46023</v>
      </c>
      <c r="I252" s="8">
        <v>304000</v>
      </c>
    </row>
    <row r="253" spans="1:9" x14ac:dyDescent="0.25">
      <c r="A253" t="s">
        <v>2199</v>
      </c>
      <c r="B253" t="s">
        <v>28</v>
      </c>
      <c r="C253" t="s">
        <v>1269</v>
      </c>
      <c r="D253" t="s">
        <v>1270</v>
      </c>
      <c r="E253" t="s">
        <v>1273</v>
      </c>
      <c r="F253" t="s">
        <v>514</v>
      </c>
      <c r="G253">
        <v>1</v>
      </c>
      <c r="H253" s="1">
        <v>46082</v>
      </c>
      <c r="I253" s="8">
        <v>299000</v>
      </c>
    </row>
    <row r="254" spans="1:9" x14ac:dyDescent="0.25">
      <c r="A254" t="s">
        <v>2199</v>
      </c>
      <c r="B254" t="s">
        <v>28</v>
      </c>
      <c r="C254" t="s">
        <v>1345</v>
      </c>
      <c r="D254" t="s">
        <v>1347</v>
      </c>
      <c r="E254" t="s">
        <v>1299</v>
      </c>
      <c r="F254" t="s">
        <v>1300</v>
      </c>
      <c r="G254">
        <v>1</v>
      </c>
      <c r="H254" s="1">
        <v>46113</v>
      </c>
      <c r="I254" s="8">
        <v>150000</v>
      </c>
    </row>
    <row r="255" spans="1:9" x14ac:dyDescent="0.25">
      <c r="A255" t="s">
        <v>2199</v>
      </c>
      <c r="B255" t="s">
        <v>28</v>
      </c>
      <c r="C255" t="s">
        <v>1395</v>
      </c>
      <c r="D255" t="s">
        <v>1396</v>
      </c>
      <c r="E255" t="s">
        <v>64</v>
      </c>
      <c r="F255" t="s">
        <v>65</v>
      </c>
      <c r="G255">
        <v>1</v>
      </c>
      <c r="H255" s="1">
        <v>46054</v>
      </c>
      <c r="I255" s="8">
        <v>500004</v>
      </c>
    </row>
    <row r="256" spans="1:9" x14ac:dyDescent="0.25">
      <c r="A256" t="s">
        <v>2199</v>
      </c>
      <c r="B256" t="s">
        <v>28</v>
      </c>
      <c r="C256" t="s">
        <v>1403</v>
      </c>
      <c r="D256" t="s">
        <v>1404</v>
      </c>
      <c r="E256" t="s">
        <v>1035</v>
      </c>
      <c r="F256" t="s">
        <v>1036</v>
      </c>
      <c r="G256">
        <v>1</v>
      </c>
      <c r="H256" s="1">
        <v>46327</v>
      </c>
      <c r="I256" s="8">
        <v>173624</v>
      </c>
    </row>
    <row r="257" spans="1:9" x14ac:dyDescent="0.25">
      <c r="A257" t="s">
        <v>2199</v>
      </c>
      <c r="B257" t="s">
        <v>28</v>
      </c>
      <c r="C257" t="s">
        <v>1407</v>
      </c>
      <c r="D257" t="s">
        <v>1408</v>
      </c>
      <c r="E257" t="s">
        <v>590</v>
      </c>
      <c r="F257" t="s">
        <v>591</v>
      </c>
      <c r="G257">
        <v>1</v>
      </c>
      <c r="H257" s="1">
        <v>46082</v>
      </c>
      <c r="I257" s="8">
        <v>80000</v>
      </c>
    </row>
    <row r="258" spans="1:9" x14ac:dyDescent="0.25">
      <c r="A258" t="s">
        <v>2199</v>
      </c>
      <c r="B258" t="s">
        <v>28</v>
      </c>
      <c r="C258" t="s">
        <v>1411</v>
      </c>
      <c r="D258" t="s">
        <v>1413</v>
      </c>
      <c r="E258" t="s">
        <v>1415</v>
      </c>
      <c r="F258" t="s">
        <v>514</v>
      </c>
      <c r="G258">
        <v>1</v>
      </c>
      <c r="H258" s="1">
        <v>46174</v>
      </c>
      <c r="I258" s="8">
        <v>2000000</v>
      </c>
    </row>
    <row r="259" spans="1:9" x14ac:dyDescent="0.25">
      <c r="A259" t="s">
        <v>2199</v>
      </c>
      <c r="B259" t="s">
        <v>28</v>
      </c>
      <c r="C259" t="s">
        <v>1416</v>
      </c>
      <c r="D259" t="s">
        <v>1417</v>
      </c>
      <c r="E259" t="s">
        <v>1415</v>
      </c>
      <c r="F259" t="s">
        <v>514</v>
      </c>
      <c r="G259">
        <v>1</v>
      </c>
      <c r="H259" s="1">
        <v>46357</v>
      </c>
      <c r="I259" s="8">
        <v>6000000</v>
      </c>
    </row>
    <row r="260" spans="1:9" x14ac:dyDescent="0.25">
      <c r="A260" t="s">
        <v>2199</v>
      </c>
      <c r="B260" t="s">
        <v>28</v>
      </c>
      <c r="C260" t="s">
        <v>1419</v>
      </c>
      <c r="D260" t="s">
        <v>1420</v>
      </c>
      <c r="E260" t="s">
        <v>1415</v>
      </c>
      <c r="F260" t="s">
        <v>514</v>
      </c>
      <c r="G260">
        <v>12</v>
      </c>
      <c r="H260" t="s">
        <v>1029</v>
      </c>
      <c r="I260" s="8">
        <v>0</v>
      </c>
    </row>
    <row r="261" spans="1:9" x14ac:dyDescent="0.25">
      <c r="A261" t="s">
        <v>2199</v>
      </c>
      <c r="B261" t="s">
        <v>28</v>
      </c>
      <c r="C261" t="s">
        <v>1422</v>
      </c>
      <c r="D261" t="s">
        <v>1423</v>
      </c>
      <c r="E261" t="s">
        <v>1415</v>
      </c>
      <c r="F261" t="s">
        <v>514</v>
      </c>
      <c r="G261">
        <v>1</v>
      </c>
      <c r="H261" s="1">
        <v>46327</v>
      </c>
      <c r="I261" s="8">
        <v>25000000</v>
      </c>
    </row>
    <row r="262" spans="1:9" x14ac:dyDescent="0.25">
      <c r="A262" t="s">
        <v>2199</v>
      </c>
      <c r="B262" t="s">
        <v>28</v>
      </c>
      <c r="C262" t="s">
        <v>1426</v>
      </c>
      <c r="D262" t="s">
        <v>1427</v>
      </c>
      <c r="E262" t="s">
        <v>1415</v>
      </c>
      <c r="F262" t="s">
        <v>514</v>
      </c>
      <c r="G262">
        <v>1</v>
      </c>
      <c r="H262" s="1">
        <v>46327</v>
      </c>
      <c r="I262" s="8">
        <v>10000000</v>
      </c>
    </row>
    <row r="263" spans="1:9" x14ac:dyDescent="0.25">
      <c r="A263" t="s">
        <v>2199</v>
      </c>
      <c r="B263" t="s">
        <v>28</v>
      </c>
      <c r="C263" t="s">
        <v>1429</v>
      </c>
      <c r="D263" t="s">
        <v>1430</v>
      </c>
      <c r="E263" t="s">
        <v>1432</v>
      </c>
      <c r="F263" t="s">
        <v>1433</v>
      </c>
      <c r="G263">
        <v>1</v>
      </c>
      <c r="H263" s="1">
        <v>46296</v>
      </c>
      <c r="I263" s="8">
        <v>35304528</v>
      </c>
    </row>
    <row r="264" spans="1:9" x14ac:dyDescent="0.25">
      <c r="A264" t="s">
        <v>2199</v>
      </c>
      <c r="B264" t="s">
        <v>28</v>
      </c>
      <c r="C264" t="s">
        <v>1436</v>
      </c>
      <c r="D264" t="s">
        <v>1438</v>
      </c>
      <c r="E264" t="s">
        <v>64</v>
      </c>
      <c r="F264" t="s">
        <v>65</v>
      </c>
      <c r="G264">
        <v>1</v>
      </c>
      <c r="H264" s="1">
        <v>46235</v>
      </c>
      <c r="I264" s="8">
        <v>500000</v>
      </c>
    </row>
    <row r="265" spans="1:9" x14ac:dyDescent="0.25">
      <c r="A265" t="s">
        <v>2199</v>
      </c>
      <c r="B265" t="s">
        <v>28</v>
      </c>
      <c r="C265" t="s">
        <v>1442</v>
      </c>
      <c r="D265" t="s">
        <v>1443</v>
      </c>
      <c r="E265" t="s">
        <v>1445</v>
      </c>
      <c r="F265" t="s">
        <v>1446</v>
      </c>
      <c r="G265">
        <v>1</v>
      </c>
      <c r="H265" s="1">
        <v>46054</v>
      </c>
      <c r="I265" s="8">
        <v>299940</v>
      </c>
    </row>
    <row r="266" spans="1:9" x14ac:dyDescent="0.25">
      <c r="A266" t="s">
        <v>2199</v>
      </c>
      <c r="B266" t="s">
        <v>28</v>
      </c>
      <c r="C266" t="s">
        <v>1449</v>
      </c>
      <c r="D266" t="s">
        <v>1450</v>
      </c>
      <c r="E266" t="s">
        <v>1075</v>
      </c>
      <c r="F266" t="s">
        <v>1076</v>
      </c>
      <c r="G266">
        <v>1</v>
      </c>
      <c r="H266" s="1">
        <v>46023</v>
      </c>
      <c r="I266" s="8">
        <v>160000</v>
      </c>
    </row>
    <row r="267" spans="1:9" x14ac:dyDescent="0.25">
      <c r="A267" t="s">
        <v>2199</v>
      </c>
      <c r="B267" t="s">
        <v>28</v>
      </c>
      <c r="C267" t="s">
        <v>1449</v>
      </c>
      <c r="D267" t="s">
        <v>1450</v>
      </c>
      <c r="E267" t="s">
        <v>1075</v>
      </c>
      <c r="F267" t="s">
        <v>1076</v>
      </c>
      <c r="G267">
        <v>1</v>
      </c>
      <c r="H267" s="1">
        <v>46082</v>
      </c>
      <c r="I267" s="8">
        <v>230000</v>
      </c>
    </row>
    <row r="268" spans="1:9" x14ac:dyDescent="0.25">
      <c r="A268" t="s">
        <v>2199</v>
      </c>
      <c r="B268" t="s">
        <v>28</v>
      </c>
      <c r="C268" t="s">
        <v>1453</v>
      </c>
      <c r="D268" t="s">
        <v>1454</v>
      </c>
      <c r="E268" t="s">
        <v>1445</v>
      </c>
      <c r="F268" t="s">
        <v>1446</v>
      </c>
      <c r="G268">
        <v>1</v>
      </c>
      <c r="H268" s="1">
        <v>46113</v>
      </c>
      <c r="I268" s="8">
        <v>720000</v>
      </c>
    </row>
    <row r="269" spans="1:9" x14ac:dyDescent="0.25">
      <c r="A269" t="s">
        <v>2199</v>
      </c>
      <c r="B269" t="s">
        <v>28</v>
      </c>
      <c r="C269" t="s">
        <v>1456</v>
      </c>
      <c r="D269" t="s">
        <v>1457</v>
      </c>
      <c r="E269" t="s">
        <v>1211</v>
      </c>
      <c r="F269" t="s">
        <v>320</v>
      </c>
      <c r="G269">
        <v>1</v>
      </c>
      <c r="H269" s="1">
        <v>46054</v>
      </c>
      <c r="I269" s="8">
        <v>170001</v>
      </c>
    </row>
    <row r="270" spans="1:9" x14ac:dyDescent="0.25">
      <c r="A270" t="s">
        <v>2199</v>
      </c>
      <c r="B270" t="s">
        <v>28</v>
      </c>
      <c r="C270" t="s">
        <v>1460</v>
      </c>
      <c r="D270" t="s">
        <v>1461</v>
      </c>
      <c r="E270" t="s">
        <v>1075</v>
      </c>
      <c r="F270" t="s">
        <v>1076</v>
      </c>
      <c r="G270">
        <v>1</v>
      </c>
      <c r="H270" s="1">
        <v>46023</v>
      </c>
      <c r="I270" s="8">
        <v>8196174</v>
      </c>
    </row>
    <row r="271" spans="1:9" x14ac:dyDescent="0.25">
      <c r="A271" t="s">
        <v>2199</v>
      </c>
      <c r="B271" t="s">
        <v>28</v>
      </c>
      <c r="C271" t="s">
        <v>1466</v>
      </c>
      <c r="D271" t="s">
        <v>1467</v>
      </c>
      <c r="E271" t="s">
        <v>1469</v>
      </c>
      <c r="F271" t="s">
        <v>1470</v>
      </c>
      <c r="G271">
        <v>1</v>
      </c>
      <c r="H271" s="1">
        <v>46054</v>
      </c>
      <c r="I271" s="8">
        <v>5000001</v>
      </c>
    </row>
    <row r="272" spans="1:9" x14ac:dyDescent="0.25">
      <c r="A272" t="s">
        <v>2199</v>
      </c>
      <c r="B272" t="s">
        <v>28</v>
      </c>
      <c r="C272" t="s">
        <v>1473</v>
      </c>
      <c r="D272" t="s">
        <v>1474</v>
      </c>
      <c r="E272" t="s">
        <v>1477</v>
      </c>
      <c r="F272" t="s">
        <v>219</v>
      </c>
      <c r="G272">
        <v>1</v>
      </c>
      <c r="H272" s="1">
        <v>46023</v>
      </c>
      <c r="I272" s="8">
        <v>300006</v>
      </c>
    </row>
    <row r="273" spans="1:9" x14ac:dyDescent="0.25">
      <c r="A273" t="s">
        <v>2199</v>
      </c>
      <c r="B273" t="s">
        <v>28</v>
      </c>
      <c r="C273" t="s">
        <v>1479</v>
      </c>
      <c r="D273" t="s">
        <v>1480</v>
      </c>
      <c r="E273" t="s">
        <v>1445</v>
      </c>
      <c r="F273" t="s">
        <v>1446</v>
      </c>
      <c r="G273">
        <v>1</v>
      </c>
      <c r="H273" s="1">
        <v>46143</v>
      </c>
      <c r="I273" s="8">
        <v>220000</v>
      </c>
    </row>
    <row r="274" spans="1:9" x14ac:dyDescent="0.25">
      <c r="A274" t="s">
        <v>2199</v>
      </c>
      <c r="B274" t="s">
        <v>28</v>
      </c>
      <c r="C274" t="s">
        <v>1482</v>
      </c>
      <c r="D274" t="s">
        <v>1483</v>
      </c>
      <c r="E274" t="s">
        <v>1477</v>
      </c>
      <c r="F274" t="s">
        <v>219</v>
      </c>
      <c r="G274">
        <v>1</v>
      </c>
      <c r="H274" s="1">
        <v>46023</v>
      </c>
      <c r="I274" s="8">
        <v>1500018</v>
      </c>
    </row>
    <row r="275" spans="1:9" x14ac:dyDescent="0.25">
      <c r="A275" t="s">
        <v>2199</v>
      </c>
      <c r="B275" t="s">
        <v>28</v>
      </c>
      <c r="C275" t="s">
        <v>1489</v>
      </c>
      <c r="D275" t="s">
        <v>1490</v>
      </c>
      <c r="E275" t="s">
        <v>1211</v>
      </c>
      <c r="F275" t="s">
        <v>320</v>
      </c>
      <c r="G275">
        <v>1</v>
      </c>
      <c r="H275" s="1">
        <v>46113</v>
      </c>
      <c r="I275" s="8">
        <v>218020</v>
      </c>
    </row>
    <row r="276" spans="1:9" x14ac:dyDescent="0.25">
      <c r="A276" t="s">
        <v>2199</v>
      </c>
      <c r="B276" t="s">
        <v>28</v>
      </c>
      <c r="C276" t="s">
        <v>1492</v>
      </c>
      <c r="D276" t="s">
        <v>1494</v>
      </c>
      <c r="E276" t="s">
        <v>590</v>
      </c>
      <c r="F276" t="s">
        <v>591</v>
      </c>
      <c r="G276">
        <v>1</v>
      </c>
      <c r="H276" s="1">
        <v>46082</v>
      </c>
      <c r="I276" s="8">
        <v>100000</v>
      </c>
    </row>
    <row r="277" spans="1:9" x14ac:dyDescent="0.25">
      <c r="A277" t="s">
        <v>2199</v>
      </c>
      <c r="B277" t="s">
        <v>28</v>
      </c>
      <c r="C277" t="s">
        <v>1497</v>
      </c>
      <c r="D277" t="s">
        <v>1498</v>
      </c>
      <c r="E277" t="s">
        <v>1075</v>
      </c>
      <c r="F277" t="s">
        <v>1076</v>
      </c>
      <c r="G277">
        <v>1</v>
      </c>
      <c r="H277" s="1">
        <v>46082</v>
      </c>
      <c r="I277" s="8">
        <v>335005</v>
      </c>
    </row>
    <row r="278" spans="1:9" x14ac:dyDescent="0.25">
      <c r="A278" t="s">
        <v>2199</v>
      </c>
      <c r="B278" t="s">
        <v>28</v>
      </c>
      <c r="C278" t="s">
        <v>1501</v>
      </c>
      <c r="D278" t="s">
        <v>1502</v>
      </c>
      <c r="E278" t="s">
        <v>1505</v>
      </c>
      <c r="F278" t="s">
        <v>423</v>
      </c>
      <c r="G278">
        <v>12</v>
      </c>
      <c r="H278" t="s">
        <v>413</v>
      </c>
      <c r="I278" s="8">
        <v>2400000</v>
      </c>
    </row>
    <row r="279" spans="1:9" x14ac:dyDescent="0.25">
      <c r="A279" t="s">
        <v>2199</v>
      </c>
      <c r="B279" t="s">
        <v>28</v>
      </c>
      <c r="C279" t="s">
        <v>1509</v>
      </c>
      <c r="D279" t="s">
        <v>1510</v>
      </c>
      <c r="E279" t="s">
        <v>590</v>
      </c>
      <c r="F279" t="s">
        <v>591</v>
      </c>
      <c r="G279">
        <v>1</v>
      </c>
      <c r="H279" s="1">
        <v>46113</v>
      </c>
      <c r="I279" s="8">
        <v>300090</v>
      </c>
    </row>
    <row r="280" spans="1:9" x14ac:dyDescent="0.25">
      <c r="A280" t="s">
        <v>2199</v>
      </c>
      <c r="B280" t="s">
        <v>28</v>
      </c>
      <c r="C280" t="s">
        <v>1514</v>
      </c>
      <c r="D280" t="s">
        <v>1515</v>
      </c>
      <c r="E280" t="s">
        <v>1075</v>
      </c>
      <c r="F280" t="s">
        <v>1076</v>
      </c>
      <c r="G280">
        <v>1</v>
      </c>
      <c r="H280" s="1">
        <v>46266</v>
      </c>
      <c r="I280" s="8">
        <v>150000</v>
      </c>
    </row>
    <row r="281" spans="1:9" x14ac:dyDescent="0.25">
      <c r="A281" t="s">
        <v>2199</v>
      </c>
      <c r="B281" t="s">
        <v>28</v>
      </c>
      <c r="C281" t="s">
        <v>1518</v>
      </c>
      <c r="D281" t="s">
        <v>1520</v>
      </c>
      <c r="E281" t="s">
        <v>761</v>
      </c>
      <c r="F281" t="s">
        <v>762</v>
      </c>
      <c r="G281">
        <v>1</v>
      </c>
      <c r="H281" s="1">
        <v>46143</v>
      </c>
      <c r="I281" s="8">
        <v>1660004</v>
      </c>
    </row>
    <row r="282" spans="1:9" x14ac:dyDescent="0.25">
      <c r="A282" t="s">
        <v>2199</v>
      </c>
      <c r="B282" t="s">
        <v>28</v>
      </c>
      <c r="C282" t="s">
        <v>1525</v>
      </c>
      <c r="D282" t="s">
        <v>1502</v>
      </c>
      <c r="E282" t="s">
        <v>1505</v>
      </c>
      <c r="F282" t="s">
        <v>423</v>
      </c>
      <c r="G282">
        <v>1</v>
      </c>
      <c r="H282" s="1">
        <v>46023</v>
      </c>
      <c r="I282" s="8">
        <v>3861900</v>
      </c>
    </row>
    <row r="283" spans="1:9" x14ac:dyDescent="0.25">
      <c r="A283" t="s">
        <v>2199</v>
      </c>
      <c r="B283" t="s">
        <v>28</v>
      </c>
      <c r="C283" t="s">
        <v>1528</v>
      </c>
      <c r="D283" t="s">
        <v>1529</v>
      </c>
      <c r="E283" t="s">
        <v>1075</v>
      </c>
      <c r="F283" t="s">
        <v>1076</v>
      </c>
      <c r="G283">
        <v>1</v>
      </c>
      <c r="H283" s="1">
        <v>46143</v>
      </c>
      <c r="I283" s="8">
        <v>36000</v>
      </c>
    </row>
    <row r="284" spans="1:9" x14ac:dyDescent="0.25">
      <c r="A284" t="s">
        <v>2199</v>
      </c>
      <c r="B284" t="s">
        <v>28</v>
      </c>
      <c r="C284" t="s">
        <v>1532</v>
      </c>
      <c r="D284" t="s">
        <v>1533</v>
      </c>
      <c r="E284" t="s">
        <v>761</v>
      </c>
      <c r="F284" t="s">
        <v>762</v>
      </c>
      <c r="G284">
        <v>1</v>
      </c>
      <c r="H284" s="1">
        <v>46143</v>
      </c>
      <c r="I284" s="8">
        <v>2740091</v>
      </c>
    </row>
    <row r="285" spans="1:9" x14ac:dyDescent="0.25">
      <c r="A285" t="s">
        <v>2199</v>
      </c>
      <c r="B285" t="s">
        <v>28</v>
      </c>
      <c r="C285" t="s">
        <v>1539</v>
      </c>
      <c r="D285" t="s">
        <v>1540</v>
      </c>
      <c r="E285" t="s">
        <v>1211</v>
      </c>
      <c r="F285" t="s">
        <v>320</v>
      </c>
      <c r="G285">
        <v>1</v>
      </c>
      <c r="H285" s="1">
        <v>46327</v>
      </c>
      <c r="I285" s="8">
        <v>400000</v>
      </c>
    </row>
    <row r="286" spans="1:9" x14ac:dyDescent="0.25">
      <c r="A286" t="s">
        <v>2199</v>
      </c>
      <c r="B286" t="s">
        <v>28</v>
      </c>
      <c r="C286" t="s">
        <v>1542</v>
      </c>
      <c r="D286" t="s">
        <v>1543</v>
      </c>
      <c r="E286" t="s">
        <v>1075</v>
      </c>
      <c r="F286" t="s">
        <v>1076</v>
      </c>
      <c r="G286">
        <v>1</v>
      </c>
      <c r="H286" s="1">
        <v>46204</v>
      </c>
      <c r="I286" s="8">
        <v>800000</v>
      </c>
    </row>
    <row r="287" spans="1:9" x14ac:dyDescent="0.25">
      <c r="A287" t="s">
        <v>2199</v>
      </c>
      <c r="B287" t="s">
        <v>28</v>
      </c>
      <c r="C287" t="s">
        <v>1546</v>
      </c>
      <c r="D287" t="s">
        <v>1548</v>
      </c>
      <c r="E287" t="s">
        <v>761</v>
      </c>
      <c r="F287" t="s">
        <v>762</v>
      </c>
      <c r="G287">
        <v>1</v>
      </c>
      <c r="H287" s="1">
        <v>46143</v>
      </c>
      <c r="I287" s="8">
        <v>1322042</v>
      </c>
    </row>
    <row r="288" spans="1:9" x14ac:dyDescent="0.25">
      <c r="A288" t="s">
        <v>2199</v>
      </c>
      <c r="B288" t="s">
        <v>28</v>
      </c>
      <c r="C288" t="s">
        <v>1551</v>
      </c>
      <c r="D288" t="s">
        <v>1553</v>
      </c>
      <c r="E288" t="s">
        <v>761</v>
      </c>
      <c r="F288" t="s">
        <v>762</v>
      </c>
      <c r="G288">
        <v>1</v>
      </c>
      <c r="H288" s="1">
        <v>46143</v>
      </c>
      <c r="I288" s="8">
        <v>334061</v>
      </c>
    </row>
    <row r="289" spans="1:9" x14ac:dyDescent="0.25">
      <c r="A289" t="s">
        <v>2199</v>
      </c>
      <c r="B289" t="s">
        <v>28</v>
      </c>
      <c r="C289" t="s">
        <v>1555</v>
      </c>
      <c r="D289" t="s">
        <v>1556</v>
      </c>
      <c r="E289" t="s">
        <v>1559</v>
      </c>
      <c r="F289" t="s">
        <v>1560</v>
      </c>
      <c r="G289">
        <v>1</v>
      </c>
      <c r="H289" s="1">
        <v>46113</v>
      </c>
      <c r="I289" s="8">
        <v>14500000</v>
      </c>
    </row>
    <row r="290" spans="1:9" x14ac:dyDescent="0.25">
      <c r="A290" t="s">
        <v>2199</v>
      </c>
      <c r="B290" t="s">
        <v>28</v>
      </c>
      <c r="C290" t="s">
        <v>1563</v>
      </c>
      <c r="D290" t="s">
        <v>1404</v>
      </c>
      <c r="E290" t="s">
        <v>1035</v>
      </c>
      <c r="F290" t="s">
        <v>1036</v>
      </c>
      <c r="G290">
        <v>1</v>
      </c>
      <c r="H290" s="1">
        <v>46327</v>
      </c>
      <c r="I290" s="8">
        <v>460000</v>
      </c>
    </row>
    <row r="291" spans="1:9" x14ac:dyDescent="0.25">
      <c r="A291" t="s">
        <v>2199</v>
      </c>
      <c r="B291" t="s">
        <v>28</v>
      </c>
      <c r="C291" t="s">
        <v>1566</v>
      </c>
      <c r="D291" t="s">
        <v>1567</v>
      </c>
      <c r="E291" t="s">
        <v>1211</v>
      </c>
      <c r="F291" t="s">
        <v>320</v>
      </c>
      <c r="G291">
        <v>1</v>
      </c>
      <c r="H291" s="1">
        <v>46054</v>
      </c>
      <c r="I291" s="8">
        <v>120000</v>
      </c>
    </row>
    <row r="292" spans="1:9" x14ac:dyDescent="0.25">
      <c r="A292" t="s">
        <v>2199</v>
      </c>
      <c r="B292" t="s">
        <v>28</v>
      </c>
      <c r="C292" t="s">
        <v>1569</v>
      </c>
      <c r="D292" t="s">
        <v>1570</v>
      </c>
      <c r="E292" t="s">
        <v>1572</v>
      </c>
      <c r="F292" t="s">
        <v>1573</v>
      </c>
      <c r="G292">
        <v>1</v>
      </c>
      <c r="H292" s="1">
        <v>46082</v>
      </c>
      <c r="I292" s="8">
        <v>7000000</v>
      </c>
    </row>
    <row r="293" spans="1:9" x14ac:dyDescent="0.25">
      <c r="A293" t="s">
        <v>2199</v>
      </c>
      <c r="B293" t="s">
        <v>28</v>
      </c>
      <c r="C293" t="s">
        <v>1585</v>
      </c>
      <c r="D293" t="s">
        <v>1587</v>
      </c>
      <c r="E293" t="s">
        <v>1572</v>
      </c>
      <c r="F293" t="s">
        <v>1573</v>
      </c>
      <c r="G293">
        <v>1</v>
      </c>
      <c r="H293" s="1">
        <v>46082</v>
      </c>
      <c r="I293" s="8">
        <v>1428000</v>
      </c>
    </row>
    <row r="294" spans="1:9" x14ac:dyDescent="0.25">
      <c r="A294" t="s">
        <v>2199</v>
      </c>
      <c r="B294" t="s">
        <v>28</v>
      </c>
      <c r="C294" t="s">
        <v>1600</v>
      </c>
      <c r="D294" t="s">
        <v>1601</v>
      </c>
      <c r="E294" t="s">
        <v>1572</v>
      </c>
      <c r="F294" t="s">
        <v>1573</v>
      </c>
      <c r="G294">
        <v>1</v>
      </c>
      <c r="H294" s="1">
        <v>46235</v>
      </c>
      <c r="I294" s="8">
        <v>1428000</v>
      </c>
    </row>
    <row r="295" spans="1:9" x14ac:dyDescent="0.25">
      <c r="A295" t="s">
        <v>2199</v>
      </c>
      <c r="B295" t="s">
        <v>28</v>
      </c>
      <c r="C295" t="s">
        <v>1604</v>
      </c>
      <c r="D295" t="s">
        <v>1605</v>
      </c>
      <c r="E295" t="s">
        <v>1608</v>
      </c>
      <c r="F295" t="s">
        <v>361</v>
      </c>
      <c r="G295">
        <v>1</v>
      </c>
      <c r="H295" s="1">
        <v>46023</v>
      </c>
      <c r="I295" s="8">
        <v>1160000</v>
      </c>
    </row>
    <row r="296" spans="1:9" x14ac:dyDescent="0.25">
      <c r="A296" t="s">
        <v>2199</v>
      </c>
      <c r="B296" t="s">
        <v>28</v>
      </c>
      <c r="C296" t="s">
        <v>1610</v>
      </c>
      <c r="D296" t="s">
        <v>1611</v>
      </c>
      <c r="E296" t="s">
        <v>1613</v>
      </c>
      <c r="F296" t="s">
        <v>1614</v>
      </c>
      <c r="G296">
        <v>1</v>
      </c>
      <c r="H296" s="1">
        <v>46023</v>
      </c>
      <c r="I296" s="8">
        <v>50932000</v>
      </c>
    </row>
    <row r="297" spans="1:9" x14ac:dyDescent="0.25">
      <c r="A297" t="s">
        <v>2199</v>
      </c>
      <c r="B297" t="s">
        <v>28</v>
      </c>
      <c r="C297" t="s">
        <v>1610</v>
      </c>
      <c r="D297" t="s">
        <v>1611</v>
      </c>
      <c r="E297" t="s">
        <v>1613</v>
      </c>
      <c r="F297" t="s">
        <v>1614</v>
      </c>
      <c r="G297">
        <v>1</v>
      </c>
      <c r="H297" s="1">
        <v>46054</v>
      </c>
      <c r="I297" s="8">
        <v>6500001</v>
      </c>
    </row>
    <row r="298" spans="1:9" x14ac:dyDescent="0.25">
      <c r="A298" t="s">
        <v>2199</v>
      </c>
      <c r="B298" t="s">
        <v>28</v>
      </c>
      <c r="C298" t="s">
        <v>1610</v>
      </c>
      <c r="D298" t="s">
        <v>1611</v>
      </c>
      <c r="E298" t="s">
        <v>1613</v>
      </c>
      <c r="F298" t="s">
        <v>1614</v>
      </c>
      <c r="G298">
        <v>1</v>
      </c>
      <c r="H298" s="1">
        <v>46082</v>
      </c>
      <c r="I298" s="8">
        <v>5000001</v>
      </c>
    </row>
    <row r="299" spans="1:9" x14ac:dyDescent="0.25">
      <c r="A299" t="s">
        <v>2199</v>
      </c>
      <c r="B299" t="s">
        <v>28</v>
      </c>
      <c r="C299" t="s">
        <v>1620</v>
      </c>
      <c r="D299" t="s">
        <v>1621</v>
      </c>
      <c r="E299" t="s">
        <v>1608</v>
      </c>
      <c r="F299" t="s">
        <v>361</v>
      </c>
      <c r="G299">
        <v>1</v>
      </c>
      <c r="H299" s="1">
        <v>46023</v>
      </c>
      <c r="I299" s="8">
        <v>600000</v>
      </c>
    </row>
    <row r="300" spans="1:9" x14ac:dyDescent="0.25">
      <c r="A300" t="s">
        <v>2199</v>
      </c>
      <c r="B300" t="s">
        <v>28</v>
      </c>
      <c r="C300" t="s">
        <v>1626</v>
      </c>
      <c r="D300" t="s">
        <v>1627</v>
      </c>
      <c r="E300" t="s">
        <v>1572</v>
      </c>
      <c r="F300" t="s">
        <v>1573</v>
      </c>
      <c r="G300">
        <v>1</v>
      </c>
      <c r="H300" s="1">
        <v>46113</v>
      </c>
      <c r="I300" s="8">
        <v>5580820</v>
      </c>
    </row>
    <row r="301" spans="1:9" x14ac:dyDescent="0.25">
      <c r="A301" t="s">
        <v>2199</v>
      </c>
      <c r="B301" t="s">
        <v>28</v>
      </c>
      <c r="C301" t="s">
        <v>1632</v>
      </c>
      <c r="D301" t="s">
        <v>1633</v>
      </c>
      <c r="E301" t="s">
        <v>934</v>
      </c>
      <c r="F301" t="s">
        <v>935</v>
      </c>
      <c r="G301">
        <v>1</v>
      </c>
      <c r="H301" s="1">
        <v>46204</v>
      </c>
      <c r="I301" s="8">
        <v>440000</v>
      </c>
    </row>
    <row r="302" spans="1:9" x14ac:dyDescent="0.25">
      <c r="A302" t="s">
        <v>2199</v>
      </c>
      <c r="B302" t="s">
        <v>28</v>
      </c>
      <c r="C302" t="s">
        <v>1637</v>
      </c>
      <c r="D302" t="s">
        <v>1177</v>
      </c>
      <c r="E302" t="s">
        <v>1180</v>
      </c>
      <c r="F302" t="s">
        <v>1181</v>
      </c>
      <c r="G302">
        <v>1</v>
      </c>
      <c r="H302" s="1">
        <v>46082</v>
      </c>
      <c r="I302" s="8">
        <v>115003</v>
      </c>
    </row>
    <row r="303" spans="1:9" x14ac:dyDescent="0.25">
      <c r="A303" t="s">
        <v>2199</v>
      </c>
      <c r="B303" t="s">
        <v>28</v>
      </c>
      <c r="C303" t="s">
        <v>1638</v>
      </c>
      <c r="D303" t="s">
        <v>1639</v>
      </c>
      <c r="E303" t="s">
        <v>1642</v>
      </c>
      <c r="F303" t="s">
        <v>1643</v>
      </c>
      <c r="G303">
        <v>1</v>
      </c>
      <c r="H303" s="1">
        <v>46082</v>
      </c>
      <c r="I303" s="8">
        <v>405000</v>
      </c>
    </row>
    <row r="304" spans="1:9" x14ac:dyDescent="0.25">
      <c r="A304" t="s">
        <v>2199</v>
      </c>
      <c r="B304" t="s">
        <v>28</v>
      </c>
      <c r="C304" t="s">
        <v>1667</v>
      </c>
      <c r="D304" t="s">
        <v>1668</v>
      </c>
      <c r="E304" t="s">
        <v>64</v>
      </c>
      <c r="F304" t="s">
        <v>65</v>
      </c>
      <c r="G304">
        <v>1</v>
      </c>
      <c r="H304" s="1">
        <v>46054</v>
      </c>
      <c r="I304" s="8">
        <v>175017</v>
      </c>
    </row>
    <row r="305" spans="1:9" x14ac:dyDescent="0.25">
      <c r="A305" t="s">
        <v>2199</v>
      </c>
      <c r="B305" t="s">
        <v>28</v>
      </c>
      <c r="C305" t="s">
        <v>1667</v>
      </c>
      <c r="D305" t="s">
        <v>1668</v>
      </c>
      <c r="E305" t="s">
        <v>64</v>
      </c>
      <c r="F305" t="s">
        <v>65</v>
      </c>
      <c r="G305">
        <v>4</v>
      </c>
      <c r="H305" t="s">
        <v>1672</v>
      </c>
      <c r="I305" s="8">
        <v>367136</v>
      </c>
    </row>
    <row r="306" spans="1:9" x14ac:dyDescent="0.25">
      <c r="A306" t="s">
        <v>2199</v>
      </c>
      <c r="B306" t="s">
        <v>28</v>
      </c>
      <c r="C306" t="s">
        <v>1675</v>
      </c>
      <c r="D306" t="s">
        <v>1658</v>
      </c>
      <c r="E306" t="s">
        <v>1660</v>
      </c>
      <c r="F306" t="s">
        <v>1661</v>
      </c>
      <c r="G306">
        <v>1</v>
      </c>
      <c r="H306" s="1">
        <v>46174</v>
      </c>
      <c r="I306" s="8">
        <v>2502600</v>
      </c>
    </row>
    <row r="307" spans="1:9" x14ac:dyDescent="0.25">
      <c r="A307" t="s">
        <v>2199</v>
      </c>
      <c r="B307" t="s">
        <v>28</v>
      </c>
      <c r="C307" t="s">
        <v>1679</v>
      </c>
      <c r="D307" t="s">
        <v>1680</v>
      </c>
      <c r="E307" t="s">
        <v>457</v>
      </c>
      <c r="F307" t="s">
        <v>1682</v>
      </c>
      <c r="G307">
        <v>1</v>
      </c>
      <c r="H307" s="1">
        <v>46023</v>
      </c>
      <c r="I307" s="8">
        <v>222014</v>
      </c>
    </row>
    <row r="308" spans="1:9" x14ac:dyDescent="0.25">
      <c r="A308" t="s">
        <v>2199</v>
      </c>
      <c r="B308" t="s">
        <v>28</v>
      </c>
      <c r="C308" t="s">
        <v>1684</v>
      </c>
      <c r="D308" t="s">
        <v>1685</v>
      </c>
      <c r="E308" t="s">
        <v>1642</v>
      </c>
      <c r="F308" t="s">
        <v>1643</v>
      </c>
      <c r="G308">
        <v>1</v>
      </c>
      <c r="H308" s="1">
        <v>46054</v>
      </c>
      <c r="I308" s="8">
        <v>200000</v>
      </c>
    </row>
    <row r="309" spans="1:9" x14ac:dyDescent="0.25">
      <c r="A309" t="s">
        <v>2199</v>
      </c>
      <c r="B309" t="s">
        <v>28</v>
      </c>
      <c r="C309" t="s">
        <v>1687</v>
      </c>
      <c r="D309" t="s">
        <v>1688</v>
      </c>
      <c r="E309" t="s">
        <v>1690</v>
      </c>
      <c r="F309" t="s">
        <v>865</v>
      </c>
      <c r="G309">
        <v>1</v>
      </c>
      <c r="H309" s="1">
        <v>46082</v>
      </c>
      <c r="I309" s="8">
        <v>2026009</v>
      </c>
    </row>
    <row r="310" spans="1:9" x14ac:dyDescent="0.25">
      <c r="A310" t="s">
        <v>2199</v>
      </c>
      <c r="B310" t="s">
        <v>28</v>
      </c>
      <c r="C310" t="s">
        <v>1694</v>
      </c>
      <c r="D310" t="s">
        <v>1695</v>
      </c>
      <c r="E310" t="s">
        <v>414</v>
      </c>
      <c r="F310" t="s">
        <v>1697</v>
      </c>
      <c r="G310">
        <v>1</v>
      </c>
      <c r="H310" s="1">
        <v>46143</v>
      </c>
      <c r="I310" s="8">
        <v>2500008</v>
      </c>
    </row>
    <row r="311" spans="1:9" x14ac:dyDescent="0.25">
      <c r="A311" t="s">
        <v>2199</v>
      </c>
      <c r="B311" t="s">
        <v>28</v>
      </c>
      <c r="C311" t="s">
        <v>1699</v>
      </c>
      <c r="D311" t="s">
        <v>1658</v>
      </c>
      <c r="E311" t="s">
        <v>1660</v>
      </c>
      <c r="F311" t="s">
        <v>1661</v>
      </c>
      <c r="G311">
        <v>1</v>
      </c>
      <c r="H311" s="1">
        <v>46174</v>
      </c>
      <c r="I311" s="8">
        <v>500115</v>
      </c>
    </row>
    <row r="312" spans="1:9" x14ac:dyDescent="0.25">
      <c r="A312" t="s">
        <v>2199</v>
      </c>
      <c r="B312" t="s">
        <v>28</v>
      </c>
      <c r="C312" t="s">
        <v>1700</v>
      </c>
      <c r="D312" t="s">
        <v>1701</v>
      </c>
      <c r="E312" t="s">
        <v>1704</v>
      </c>
      <c r="F312" t="s">
        <v>1705</v>
      </c>
      <c r="G312">
        <v>1</v>
      </c>
      <c r="H312" s="1">
        <v>46143</v>
      </c>
      <c r="I312" s="8">
        <v>4059825</v>
      </c>
    </row>
    <row r="313" spans="1:9" x14ac:dyDescent="0.25">
      <c r="A313" t="s">
        <v>2199</v>
      </c>
      <c r="B313" t="s">
        <v>28</v>
      </c>
      <c r="C313" t="s">
        <v>1708</v>
      </c>
      <c r="D313" t="s">
        <v>1709</v>
      </c>
      <c r="E313" t="s">
        <v>958</v>
      </c>
      <c r="F313" t="s">
        <v>959</v>
      </c>
      <c r="G313">
        <v>1</v>
      </c>
      <c r="H313" s="1">
        <v>46023</v>
      </c>
      <c r="I313" s="8">
        <v>550000</v>
      </c>
    </row>
    <row r="314" spans="1:9" x14ac:dyDescent="0.25">
      <c r="A314" t="s">
        <v>2199</v>
      </c>
      <c r="B314" t="s">
        <v>28</v>
      </c>
      <c r="C314" t="s">
        <v>1712</v>
      </c>
      <c r="D314" t="s">
        <v>1713</v>
      </c>
      <c r="E314" t="s">
        <v>1572</v>
      </c>
      <c r="F314" t="s">
        <v>1573</v>
      </c>
      <c r="G314">
        <v>1</v>
      </c>
      <c r="H314" s="1">
        <v>46082</v>
      </c>
      <c r="I314" s="8">
        <v>783090</v>
      </c>
    </row>
    <row r="315" spans="1:9" x14ac:dyDescent="0.25">
      <c r="A315" t="s">
        <v>2199</v>
      </c>
      <c r="B315" t="s">
        <v>28</v>
      </c>
      <c r="C315" t="s">
        <v>1715</v>
      </c>
      <c r="D315" t="s">
        <v>1716</v>
      </c>
      <c r="E315" t="s">
        <v>958</v>
      </c>
      <c r="F315" t="s">
        <v>959</v>
      </c>
      <c r="G315">
        <v>1</v>
      </c>
      <c r="H315" s="1">
        <v>46023</v>
      </c>
      <c r="I315" s="8">
        <v>60000</v>
      </c>
    </row>
    <row r="316" spans="1:9" x14ac:dyDescent="0.25">
      <c r="A316" t="s">
        <v>2199</v>
      </c>
      <c r="B316" t="s">
        <v>28</v>
      </c>
      <c r="C316" t="s">
        <v>1718</v>
      </c>
      <c r="D316" t="s">
        <v>1719</v>
      </c>
      <c r="E316" t="s">
        <v>1723</v>
      </c>
      <c r="F316" t="s">
        <v>154</v>
      </c>
      <c r="G316">
        <v>24</v>
      </c>
      <c r="H316" t="s">
        <v>1722</v>
      </c>
      <c r="I316" s="8">
        <v>0</v>
      </c>
    </row>
    <row r="317" spans="1:9" x14ac:dyDescent="0.25">
      <c r="A317" t="s">
        <v>2199</v>
      </c>
      <c r="B317" t="s">
        <v>28</v>
      </c>
      <c r="C317" t="s">
        <v>1725</v>
      </c>
      <c r="D317" t="s">
        <v>1726</v>
      </c>
      <c r="E317" t="s">
        <v>1211</v>
      </c>
      <c r="F317" t="s">
        <v>320</v>
      </c>
      <c r="G317">
        <v>1</v>
      </c>
      <c r="H317" s="1">
        <v>46143</v>
      </c>
      <c r="I317" s="8">
        <v>900000</v>
      </c>
    </row>
    <row r="318" spans="1:9" x14ac:dyDescent="0.25">
      <c r="A318" t="s">
        <v>2199</v>
      </c>
      <c r="B318" t="s">
        <v>28</v>
      </c>
      <c r="C318" t="s">
        <v>1728</v>
      </c>
      <c r="D318" t="s">
        <v>1729</v>
      </c>
      <c r="E318" t="s">
        <v>1211</v>
      </c>
      <c r="F318" t="s">
        <v>320</v>
      </c>
      <c r="G318">
        <v>1</v>
      </c>
      <c r="H318" s="1">
        <v>46357</v>
      </c>
      <c r="I318" s="8">
        <v>1500000</v>
      </c>
    </row>
    <row r="319" spans="1:9" x14ac:dyDescent="0.25">
      <c r="A319" t="s">
        <v>2199</v>
      </c>
      <c r="B319" t="s">
        <v>28</v>
      </c>
      <c r="C319" t="s">
        <v>1731</v>
      </c>
      <c r="D319" t="s">
        <v>1732</v>
      </c>
      <c r="E319" t="s">
        <v>1572</v>
      </c>
      <c r="F319" t="s">
        <v>1573</v>
      </c>
      <c r="G319">
        <v>1</v>
      </c>
      <c r="H319" s="1">
        <v>46082</v>
      </c>
      <c r="I319" s="8">
        <v>726450</v>
      </c>
    </row>
    <row r="320" spans="1:9" x14ac:dyDescent="0.25">
      <c r="A320" t="s">
        <v>2199</v>
      </c>
      <c r="B320" t="s">
        <v>28</v>
      </c>
      <c r="C320" t="s">
        <v>1734</v>
      </c>
      <c r="D320" t="s">
        <v>1736</v>
      </c>
      <c r="E320" t="s">
        <v>624</v>
      </c>
      <c r="F320" t="s">
        <v>625</v>
      </c>
      <c r="G320">
        <v>1</v>
      </c>
      <c r="H320" s="1">
        <v>46143</v>
      </c>
      <c r="I320" s="8">
        <v>5000000</v>
      </c>
    </row>
    <row r="321" spans="1:9" x14ac:dyDescent="0.25">
      <c r="A321" t="s">
        <v>2199</v>
      </c>
      <c r="B321" t="s">
        <v>28</v>
      </c>
      <c r="C321" t="s">
        <v>1738</v>
      </c>
      <c r="D321" t="s">
        <v>1739</v>
      </c>
      <c r="E321" t="s">
        <v>1723</v>
      </c>
      <c r="F321" t="s">
        <v>154</v>
      </c>
      <c r="G321">
        <v>1</v>
      </c>
      <c r="H321" s="1">
        <v>46113</v>
      </c>
      <c r="I321" s="8">
        <v>500000</v>
      </c>
    </row>
    <row r="322" spans="1:9" x14ac:dyDescent="0.25">
      <c r="A322" t="s">
        <v>2199</v>
      </c>
      <c r="B322" t="s">
        <v>28</v>
      </c>
      <c r="C322" t="s">
        <v>1741</v>
      </c>
      <c r="D322" t="s">
        <v>1742</v>
      </c>
      <c r="E322" t="s">
        <v>1744</v>
      </c>
      <c r="F322" t="s">
        <v>1745</v>
      </c>
      <c r="G322">
        <v>1</v>
      </c>
      <c r="H322" s="1">
        <v>46082</v>
      </c>
      <c r="I322" s="8">
        <v>316013</v>
      </c>
    </row>
    <row r="323" spans="1:9" x14ac:dyDescent="0.25">
      <c r="A323" t="s">
        <v>2199</v>
      </c>
      <c r="B323" t="s">
        <v>28</v>
      </c>
      <c r="C323" t="s">
        <v>1748</v>
      </c>
      <c r="D323" t="s">
        <v>1749</v>
      </c>
      <c r="E323" t="s">
        <v>1752</v>
      </c>
      <c r="F323" t="s">
        <v>1753</v>
      </c>
      <c r="G323">
        <v>1</v>
      </c>
      <c r="H323" s="1">
        <v>46023</v>
      </c>
      <c r="I323" s="8">
        <v>10000000</v>
      </c>
    </row>
    <row r="324" spans="1:9" x14ac:dyDescent="0.25">
      <c r="A324" t="s">
        <v>2199</v>
      </c>
      <c r="B324" t="s">
        <v>28</v>
      </c>
      <c r="C324" t="s">
        <v>1756</v>
      </c>
      <c r="D324" t="s">
        <v>1757</v>
      </c>
      <c r="E324" t="s">
        <v>1759</v>
      </c>
      <c r="F324" t="s">
        <v>1760</v>
      </c>
      <c r="G324">
        <v>1</v>
      </c>
      <c r="H324" s="1">
        <v>46266</v>
      </c>
      <c r="I324" s="8">
        <v>15000018</v>
      </c>
    </row>
    <row r="325" spans="1:9" x14ac:dyDescent="0.25">
      <c r="A325" t="s">
        <v>2199</v>
      </c>
      <c r="B325" t="s">
        <v>28</v>
      </c>
      <c r="C325" t="s">
        <v>1763</v>
      </c>
      <c r="D325" t="s">
        <v>1764</v>
      </c>
      <c r="E325" t="s">
        <v>1759</v>
      </c>
      <c r="F325" t="s">
        <v>1760</v>
      </c>
      <c r="G325">
        <v>1</v>
      </c>
      <c r="H325" s="1">
        <v>46204</v>
      </c>
      <c r="I325" s="8">
        <v>30000000</v>
      </c>
    </row>
    <row r="326" spans="1:9" x14ac:dyDescent="0.25">
      <c r="A326" t="s">
        <v>2199</v>
      </c>
      <c r="B326" t="s">
        <v>28</v>
      </c>
      <c r="C326" t="s">
        <v>1767</v>
      </c>
      <c r="D326" t="s">
        <v>1768</v>
      </c>
      <c r="E326" t="s">
        <v>1642</v>
      </c>
      <c r="F326" t="s">
        <v>1643</v>
      </c>
      <c r="G326">
        <v>1</v>
      </c>
      <c r="H326" s="1">
        <v>46082</v>
      </c>
      <c r="I326" s="8">
        <v>280000</v>
      </c>
    </row>
    <row r="327" spans="1:9" x14ac:dyDescent="0.25">
      <c r="A327" t="s">
        <v>2199</v>
      </c>
      <c r="B327" t="s">
        <v>28</v>
      </c>
      <c r="C327" t="s">
        <v>1770</v>
      </c>
      <c r="D327" t="s">
        <v>1771</v>
      </c>
      <c r="E327" t="s">
        <v>1773</v>
      </c>
      <c r="F327" t="s">
        <v>1774</v>
      </c>
      <c r="G327">
        <v>1</v>
      </c>
      <c r="H327" s="1">
        <v>46113</v>
      </c>
      <c r="I327" s="8">
        <v>7000000</v>
      </c>
    </row>
    <row r="328" spans="1:9" x14ac:dyDescent="0.25">
      <c r="A328" t="s">
        <v>2199</v>
      </c>
      <c r="B328" t="s">
        <v>28</v>
      </c>
      <c r="C328" t="s">
        <v>1777</v>
      </c>
      <c r="D328" t="s">
        <v>1778</v>
      </c>
      <c r="E328" t="s">
        <v>1744</v>
      </c>
      <c r="F328" t="s">
        <v>1745</v>
      </c>
      <c r="G328">
        <v>1</v>
      </c>
      <c r="H328" s="1">
        <v>46143</v>
      </c>
      <c r="I328" s="8">
        <v>1200000</v>
      </c>
    </row>
    <row r="329" spans="1:9" x14ac:dyDescent="0.25">
      <c r="A329" t="s">
        <v>2199</v>
      </c>
      <c r="B329" t="s">
        <v>28</v>
      </c>
      <c r="C329" t="s">
        <v>1780</v>
      </c>
      <c r="D329" t="s">
        <v>1781</v>
      </c>
      <c r="E329" t="s">
        <v>1744</v>
      </c>
      <c r="F329" t="s">
        <v>1745</v>
      </c>
      <c r="G329">
        <v>1</v>
      </c>
      <c r="H329" s="1">
        <v>46082</v>
      </c>
      <c r="I329" s="8">
        <v>150100</v>
      </c>
    </row>
    <row r="330" spans="1:9" x14ac:dyDescent="0.25">
      <c r="A330" t="s">
        <v>2199</v>
      </c>
      <c r="B330" t="s">
        <v>28</v>
      </c>
      <c r="C330" t="s">
        <v>1783</v>
      </c>
      <c r="D330" t="s">
        <v>1784</v>
      </c>
      <c r="E330" t="s">
        <v>1773</v>
      </c>
      <c r="F330" t="s">
        <v>1774</v>
      </c>
      <c r="G330">
        <v>1</v>
      </c>
      <c r="H330" s="1">
        <v>46082</v>
      </c>
      <c r="I330" s="8">
        <v>1500000</v>
      </c>
    </row>
    <row r="331" spans="1:9" x14ac:dyDescent="0.25">
      <c r="A331" t="s">
        <v>2199</v>
      </c>
      <c r="B331" t="s">
        <v>28</v>
      </c>
      <c r="C331" t="s">
        <v>1787</v>
      </c>
      <c r="D331" t="s">
        <v>1788</v>
      </c>
      <c r="E331" t="s">
        <v>1642</v>
      </c>
      <c r="F331" t="s">
        <v>1643</v>
      </c>
      <c r="G331">
        <v>1</v>
      </c>
      <c r="H331" s="1">
        <v>46266</v>
      </c>
      <c r="I331" s="8">
        <v>118548</v>
      </c>
    </row>
    <row r="332" spans="1:9" x14ac:dyDescent="0.25">
      <c r="A332" t="s">
        <v>2199</v>
      </c>
      <c r="B332" t="s">
        <v>28</v>
      </c>
      <c r="C332" t="s">
        <v>1790</v>
      </c>
      <c r="D332" t="s">
        <v>1791</v>
      </c>
      <c r="E332" t="s">
        <v>1773</v>
      </c>
      <c r="F332" t="s">
        <v>1774</v>
      </c>
      <c r="G332">
        <v>1</v>
      </c>
      <c r="H332" s="1">
        <v>46054</v>
      </c>
      <c r="I332" s="8">
        <v>1000000</v>
      </c>
    </row>
    <row r="333" spans="1:9" x14ac:dyDescent="0.25">
      <c r="A333" t="s">
        <v>2199</v>
      </c>
      <c r="B333" t="s">
        <v>28</v>
      </c>
      <c r="C333" t="s">
        <v>1793</v>
      </c>
      <c r="D333" t="s">
        <v>1794</v>
      </c>
      <c r="E333" t="s">
        <v>1797</v>
      </c>
      <c r="F333" t="s">
        <v>1798</v>
      </c>
      <c r="G333">
        <v>1</v>
      </c>
      <c r="H333" s="1">
        <v>46023</v>
      </c>
      <c r="I333" s="8">
        <v>110000</v>
      </c>
    </row>
    <row r="334" spans="1:9" x14ac:dyDescent="0.25">
      <c r="A334" t="s">
        <v>2199</v>
      </c>
      <c r="B334" t="s">
        <v>28</v>
      </c>
      <c r="C334" t="s">
        <v>1802</v>
      </c>
      <c r="D334" t="s">
        <v>1803</v>
      </c>
      <c r="E334" t="s">
        <v>1805</v>
      </c>
      <c r="F334" t="s">
        <v>523</v>
      </c>
      <c r="G334">
        <v>1</v>
      </c>
      <c r="H334" s="1">
        <v>46054</v>
      </c>
      <c r="I334" s="8">
        <v>600000</v>
      </c>
    </row>
    <row r="335" spans="1:9" x14ac:dyDescent="0.25">
      <c r="A335" t="s">
        <v>2199</v>
      </c>
      <c r="B335" t="s">
        <v>28</v>
      </c>
      <c r="C335" t="s">
        <v>1807</v>
      </c>
      <c r="D335" t="s">
        <v>1808</v>
      </c>
      <c r="E335" t="s">
        <v>1752</v>
      </c>
      <c r="F335" t="s">
        <v>1753</v>
      </c>
      <c r="G335">
        <v>1</v>
      </c>
      <c r="H335" s="1">
        <v>46023</v>
      </c>
      <c r="I335" s="8">
        <v>10000000</v>
      </c>
    </row>
    <row r="336" spans="1:9" x14ac:dyDescent="0.25">
      <c r="A336" t="s">
        <v>2199</v>
      </c>
      <c r="B336" t="s">
        <v>28</v>
      </c>
      <c r="C336" t="s">
        <v>1811</v>
      </c>
      <c r="D336" t="s">
        <v>1812</v>
      </c>
      <c r="E336" t="s">
        <v>1797</v>
      </c>
      <c r="F336" t="s">
        <v>1798</v>
      </c>
      <c r="G336">
        <v>1</v>
      </c>
      <c r="H336" s="1">
        <v>46023</v>
      </c>
      <c r="I336" s="8">
        <v>500000</v>
      </c>
    </row>
    <row r="337" spans="1:9" x14ac:dyDescent="0.25">
      <c r="A337" t="s">
        <v>2199</v>
      </c>
      <c r="B337" t="s">
        <v>28</v>
      </c>
      <c r="C337" t="s">
        <v>1815</v>
      </c>
      <c r="D337" t="s">
        <v>1816</v>
      </c>
      <c r="E337" t="s">
        <v>1642</v>
      </c>
      <c r="F337" t="s">
        <v>1643</v>
      </c>
      <c r="G337">
        <v>1</v>
      </c>
      <c r="H337" s="1">
        <v>46113</v>
      </c>
      <c r="I337" s="8">
        <v>450008</v>
      </c>
    </row>
    <row r="338" spans="1:9" x14ac:dyDescent="0.25">
      <c r="A338" t="s">
        <v>2199</v>
      </c>
      <c r="B338" t="s">
        <v>28</v>
      </c>
      <c r="C338" t="s">
        <v>1818</v>
      </c>
      <c r="D338" t="s">
        <v>1819</v>
      </c>
      <c r="E338" t="s">
        <v>1723</v>
      </c>
      <c r="F338" t="s">
        <v>154</v>
      </c>
      <c r="G338">
        <v>1</v>
      </c>
      <c r="H338" s="1">
        <v>46174</v>
      </c>
      <c r="I338" s="8">
        <v>700000</v>
      </c>
    </row>
    <row r="339" spans="1:9" x14ac:dyDescent="0.25">
      <c r="A339" t="s">
        <v>2199</v>
      </c>
      <c r="B339" t="s">
        <v>28</v>
      </c>
      <c r="C339" t="s">
        <v>1821</v>
      </c>
      <c r="D339" t="s">
        <v>1822</v>
      </c>
      <c r="E339" t="s">
        <v>1723</v>
      </c>
      <c r="F339" t="s">
        <v>154</v>
      </c>
      <c r="G339">
        <v>1</v>
      </c>
      <c r="H339" s="1">
        <v>46113</v>
      </c>
      <c r="I339" s="8">
        <v>2000160</v>
      </c>
    </row>
    <row r="340" spans="1:9" x14ac:dyDescent="0.25">
      <c r="A340" t="s">
        <v>2199</v>
      </c>
      <c r="B340" t="s">
        <v>28</v>
      </c>
      <c r="C340" t="s">
        <v>1824</v>
      </c>
      <c r="D340" t="s">
        <v>1825</v>
      </c>
      <c r="E340" t="s">
        <v>1805</v>
      </c>
      <c r="F340" t="s">
        <v>523</v>
      </c>
      <c r="G340">
        <v>1</v>
      </c>
      <c r="H340" s="1">
        <v>46113</v>
      </c>
      <c r="I340" s="8">
        <v>420000</v>
      </c>
    </row>
    <row r="341" spans="1:9" x14ac:dyDescent="0.25">
      <c r="A341" t="s">
        <v>2199</v>
      </c>
      <c r="B341" t="s">
        <v>28</v>
      </c>
      <c r="C341" t="s">
        <v>1832</v>
      </c>
      <c r="D341" t="s">
        <v>1833</v>
      </c>
      <c r="E341" t="s">
        <v>1642</v>
      </c>
      <c r="F341" t="s">
        <v>1643</v>
      </c>
      <c r="G341">
        <v>1</v>
      </c>
      <c r="H341" s="1">
        <v>46174</v>
      </c>
      <c r="I341" s="8">
        <v>1000000</v>
      </c>
    </row>
    <row r="342" spans="1:9" x14ac:dyDescent="0.25">
      <c r="A342" t="s">
        <v>2199</v>
      </c>
      <c r="B342" t="s">
        <v>28</v>
      </c>
      <c r="C342" t="s">
        <v>1835</v>
      </c>
      <c r="D342" t="s">
        <v>1836</v>
      </c>
      <c r="E342" t="s">
        <v>1642</v>
      </c>
      <c r="F342" t="s">
        <v>1643</v>
      </c>
      <c r="G342">
        <v>1</v>
      </c>
      <c r="H342" s="1">
        <v>46235</v>
      </c>
      <c r="I342" s="8">
        <v>440040</v>
      </c>
    </row>
    <row r="343" spans="1:9" x14ac:dyDescent="0.25">
      <c r="A343" t="s">
        <v>2199</v>
      </c>
      <c r="B343" t="s">
        <v>28</v>
      </c>
      <c r="C343" t="s">
        <v>1839</v>
      </c>
      <c r="D343" t="s">
        <v>1840</v>
      </c>
      <c r="E343" t="s">
        <v>1572</v>
      </c>
      <c r="F343" t="s">
        <v>1573</v>
      </c>
      <c r="G343">
        <v>1</v>
      </c>
      <c r="H343" s="1">
        <v>46113</v>
      </c>
      <c r="I343" s="8">
        <v>2578000</v>
      </c>
    </row>
    <row r="344" spans="1:9" x14ac:dyDescent="0.25">
      <c r="A344" t="s">
        <v>2199</v>
      </c>
      <c r="B344" t="s">
        <v>28</v>
      </c>
      <c r="C344" t="s">
        <v>1842</v>
      </c>
      <c r="D344" t="s">
        <v>1843</v>
      </c>
      <c r="E344" t="s">
        <v>122</v>
      </c>
      <c r="F344" t="s">
        <v>544</v>
      </c>
      <c r="G344">
        <v>1</v>
      </c>
      <c r="H344" s="1">
        <v>46143</v>
      </c>
      <c r="I344" s="8">
        <v>3000000</v>
      </c>
    </row>
    <row r="345" spans="1:9" x14ac:dyDescent="0.25">
      <c r="A345" t="s">
        <v>2199</v>
      </c>
      <c r="B345" t="s">
        <v>28</v>
      </c>
      <c r="C345" t="s">
        <v>1845</v>
      </c>
      <c r="D345" t="s">
        <v>1846</v>
      </c>
      <c r="E345" t="s">
        <v>1572</v>
      </c>
      <c r="F345" t="s">
        <v>1573</v>
      </c>
      <c r="G345">
        <v>1</v>
      </c>
      <c r="H345" s="1">
        <v>46266</v>
      </c>
      <c r="I345" s="8">
        <v>1428000</v>
      </c>
    </row>
    <row r="346" spans="1:9" x14ac:dyDescent="0.25">
      <c r="A346" t="s">
        <v>2199</v>
      </c>
      <c r="B346" t="s">
        <v>28</v>
      </c>
      <c r="C346" t="s">
        <v>1848</v>
      </c>
      <c r="D346" t="s">
        <v>1849</v>
      </c>
      <c r="E346" t="s">
        <v>414</v>
      </c>
      <c r="F346" t="s">
        <v>1852</v>
      </c>
      <c r="G346">
        <v>1</v>
      </c>
      <c r="H346" s="1">
        <v>46082</v>
      </c>
      <c r="I346" s="8">
        <v>9000000</v>
      </c>
    </row>
    <row r="347" spans="1:9" x14ac:dyDescent="0.25">
      <c r="A347" t="s">
        <v>2199</v>
      </c>
      <c r="B347" t="s">
        <v>28</v>
      </c>
      <c r="C347" t="s">
        <v>1853</v>
      </c>
      <c r="D347" t="s">
        <v>1854</v>
      </c>
      <c r="E347" t="s">
        <v>1445</v>
      </c>
      <c r="F347" t="s">
        <v>1446</v>
      </c>
      <c r="G347">
        <v>1</v>
      </c>
      <c r="H347" s="1">
        <v>46054</v>
      </c>
      <c r="I347" s="8">
        <v>3000000</v>
      </c>
    </row>
    <row r="348" spans="1:9" x14ac:dyDescent="0.25">
      <c r="A348" t="s">
        <v>2199</v>
      </c>
      <c r="B348" t="s">
        <v>28</v>
      </c>
      <c r="C348" t="s">
        <v>1856</v>
      </c>
      <c r="D348" t="s">
        <v>1857</v>
      </c>
      <c r="E348" t="s">
        <v>761</v>
      </c>
      <c r="F348" t="s">
        <v>762</v>
      </c>
      <c r="G348">
        <v>1</v>
      </c>
      <c r="H348" s="1">
        <v>46174</v>
      </c>
      <c r="I348" s="8">
        <v>1250000</v>
      </c>
    </row>
    <row r="349" spans="1:9" x14ac:dyDescent="0.25">
      <c r="A349" t="s">
        <v>2199</v>
      </c>
      <c r="B349" t="s">
        <v>28</v>
      </c>
      <c r="C349" t="s">
        <v>1860</v>
      </c>
      <c r="D349" t="s">
        <v>1861</v>
      </c>
      <c r="E349" t="s">
        <v>1797</v>
      </c>
      <c r="F349" t="s">
        <v>1798</v>
      </c>
      <c r="G349">
        <v>1</v>
      </c>
      <c r="H349" s="1">
        <v>46054</v>
      </c>
      <c r="I349" s="8">
        <v>449086</v>
      </c>
    </row>
    <row r="350" spans="1:9" x14ac:dyDescent="0.25">
      <c r="A350" t="s">
        <v>2199</v>
      </c>
      <c r="B350" t="s">
        <v>28</v>
      </c>
      <c r="C350" t="s">
        <v>1865</v>
      </c>
      <c r="D350" t="s">
        <v>1866</v>
      </c>
      <c r="E350" t="s">
        <v>1868</v>
      </c>
      <c r="F350" t="s">
        <v>1869</v>
      </c>
      <c r="G350">
        <v>1</v>
      </c>
      <c r="H350" s="1">
        <v>46023</v>
      </c>
      <c r="I350" s="8">
        <v>506850</v>
      </c>
    </row>
    <row r="351" spans="1:9" x14ac:dyDescent="0.25">
      <c r="A351" t="s">
        <v>2199</v>
      </c>
      <c r="B351" t="s">
        <v>28</v>
      </c>
      <c r="C351" t="s">
        <v>1872</v>
      </c>
      <c r="D351" t="s">
        <v>1873</v>
      </c>
      <c r="E351" t="s">
        <v>1875</v>
      </c>
      <c r="F351" t="s">
        <v>1876</v>
      </c>
      <c r="G351">
        <v>1</v>
      </c>
      <c r="H351" s="1">
        <v>46082</v>
      </c>
      <c r="I351" s="8">
        <v>505068</v>
      </c>
    </row>
    <row r="352" spans="1:9" x14ac:dyDescent="0.25">
      <c r="A352" t="s">
        <v>2199</v>
      </c>
      <c r="B352" t="s">
        <v>28</v>
      </c>
      <c r="C352" t="s">
        <v>1879</v>
      </c>
      <c r="D352" t="s">
        <v>1880</v>
      </c>
      <c r="E352" t="s">
        <v>768</v>
      </c>
      <c r="F352" t="s">
        <v>966</v>
      </c>
      <c r="G352">
        <v>1</v>
      </c>
      <c r="H352" s="1">
        <v>46235</v>
      </c>
      <c r="I352" s="8">
        <v>12000000</v>
      </c>
    </row>
    <row r="353" spans="1:9" x14ac:dyDescent="0.25">
      <c r="A353" t="s">
        <v>2199</v>
      </c>
      <c r="B353" t="s">
        <v>28</v>
      </c>
      <c r="C353" t="s">
        <v>1883</v>
      </c>
      <c r="D353" t="s">
        <v>1884</v>
      </c>
      <c r="E353" t="s">
        <v>1759</v>
      </c>
      <c r="F353" t="s">
        <v>1760</v>
      </c>
      <c r="G353">
        <v>1</v>
      </c>
      <c r="H353" s="1">
        <v>46082</v>
      </c>
      <c r="I353" s="8">
        <v>3550000</v>
      </c>
    </row>
    <row r="354" spans="1:9" x14ac:dyDescent="0.25">
      <c r="A354" t="s">
        <v>2199</v>
      </c>
      <c r="B354" t="s">
        <v>28</v>
      </c>
      <c r="C354" t="s">
        <v>1890</v>
      </c>
      <c r="D354" t="s">
        <v>1891</v>
      </c>
      <c r="E354" t="s">
        <v>1893</v>
      </c>
      <c r="F354" t="s">
        <v>1894</v>
      </c>
      <c r="G354">
        <v>1</v>
      </c>
      <c r="H354" s="1">
        <v>46023</v>
      </c>
      <c r="I354" s="8">
        <v>70000</v>
      </c>
    </row>
    <row r="355" spans="1:9" x14ac:dyDescent="0.25">
      <c r="A355" t="s">
        <v>2199</v>
      </c>
      <c r="B355" t="s">
        <v>28</v>
      </c>
      <c r="C355" t="s">
        <v>1897</v>
      </c>
      <c r="D355" t="s">
        <v>1898</v>
      </c>
      <c r="E355" t="s">
        <v>1797</v>
      </c>
      <c r="F355" t="s">
        <v>1798</v>
      </c>
      <c r="G355">
        <v>1</v>
      </c>
      <c r="H355" s="1">
        <v>46023</v>
      </c>
      <c r="I355" s="8">
        <v>335000</v>
      </c>
    </row>
    <row r="356" spans="1:9" x14ac:dyDescent="0.25">
      <c r="A356" t="s">
        <v>2199</v>
      </c>
      <c r="B356" t="s">
        <v>28</v>
      </c>
      <c r="C356" t="s">
        <v>1901</v>
      </c>
      <c r="D356" t="s">
        <v>1903</v>
      </c>
      <c r="E356" t="s">
        <v>761</v>
      </c>
      <c r="F356" t="s">
        <v>762</v>
      </c>
      <c r="G356">
        <v>1</v>
      </c>
      <c r="H356" s="1">
        <v>46054</v>
      </c>
      <c r="I356" s="8">
        <v>6517038</v>
      </c>
    </row>
    <row r="357" spans="1:9" x14ac:dyDescent="0.25">
      <c r="A357" t="s">
        <v>2199</v>
      </c>
      <c r="B357" t="s">
        <v>28</v>
      </c>
      <c r="C357" t="s">
        <v>1908</v>
      </c>
      <c r="D357" t="s">
        <v>1909</v>
      </c>
      <c r="E357" t="s">
        <v>1797</v>
      </c>
      <c r="F357" t="s">
        <v>1798</v>
      </c>
      <c r="G357">
        <v>1</v>
      </c>
      <c r="H357" s="1">
        <v>46023</v>
      </c>
      <c r="I357" s="8">
        <v>170000</v>
      </c>
    </row>
    <row r="358" spans="1:9" x14ac:dyDescent="0.25">
      <c r="A358" t="s">
        <v>2199</v>
      </c>
      <c r="B358" t="s">
        <v>28</v>
      </c>
      <c r="C358" t="s">
        <v>1911</v>
      </c>
      <c r="D358" t="s">
        <v>1912</v>
      </c>
      <c r="E358" t="s">
        <v>1893</v>
      </c>
      <c r="F358" t="s">
        <v>1894</v>
      </c>
      <c r="G358">
        <v>1</v>
      </c>
      <c r="H358" s="1">
        <v>46023</v>
      </c>
      <c r="I358" s="8">
        <v>100000</v>
      </c>
    </row>
    <row r="359" spans="1:9" x14ac:dyDescent="0.25">
      <c r="A359" t="s">
        <v>2199</v>
      </c>
      <c r="B359" t="s">
        <v>28</v>
      </c>
      <c r="C359" t="s">
        <v>1914</v>
      </c>
      <c r="D359" t="s">
        <v>1916</v>
      </c>
      <c r="E359" t="s">
        <v>1445</v>
      </c>
      <c r="F359" t="s">
        <v>1446</v>
      </c>
      <c r="G359">
        <v>1</v>
      </c>
      <c r="H359" s="1">
        <v>46082</v>
      </c>
      <c r="I359" s="8">
        <v>220000</v>
      </c>
    </row>
    <row r="360" spans="1:9" x14ac:dyDescent="0.25">
      <c r="A360" t="s">
        <v>2199</v>
      </c>
      <c r="B360" t="s">
        <v>28</v>
      </c>
      <c r="C360" t="s">
        <v>1921</v>
      </c>
      <c r="D360" t="s">
        <v>1922</v>
      </c>
      <c r="E360" t="s">
        <v>1924</v>
      </c>
      <c r="F360" t="s">
        <v>1869</v>
      </c>
      <c r="G360">
        <v>1</v>
      </c>
      <c r="H360" s="1">
        <v>46023</v>
      </c>
      <c r="I360" s="8">
        <v>511508</v>
      </c>
    </row>
    <row r="361" spans="1:9" x14ac:dyDescent="0.25">
      <c r="A361" t="s">
        <v>2199</v>
      </c>
      <c r="B361" t="s">
        <v>28</v>
      </c>
      <c r="C361" t="s">
        <v>1927</v>
      </c>
      <c r="D361" t="s">
        <v>1928</v>
      </c>
      <c r="E361" t="s">
        <v>1931</v>
      </c>
      <c r="F361" t="s">
        <v>1932</v>
      </c>
      <c r="G361">
        <v>1</v>
      </c>
      <c r="H361" s="1">
        <v>46204</v>
      </c>
      <c r="I361" s="8">
        <v>200908160</v>
      </c>
    </row>
    <row r="362" spans="1:9" x14ac:dyDescent="0.25">
      <c r="A362" t="s">
        <v>2199</v>
      </c>
      <c r="B362" t="s">
        <v>28</v>
      </c>
      <c r="C362" t="s">
        <v>1927</v>
      </c>
      <c r="D362" t="s">
        <v>1928</v>
      </c>
      <c r="E362" t="s">
        <v>1931</v>
      </c>
      <c r="F362" t="s">
        <v>1932</v>
      </c>
      <c r="G362">
        <v>1</v>
      </c>
      <c r="H362" s="1">
        <v>46266</v>
      </c>
      <c r="I362" s="8">
        <v>6900000</v>
      </c>
    </row>
    <row r="363" spans="1:9" x14ac:dyDescent="0.25">
      <c r="A363" t="s">
        <v>2199</v>
      </c>
      <c r="B363" t="s">
        <v>28</v>
      </c>
      <c r="C363" t="s">
        <v>1942</v>
      </c>
      <c r="D363" t="s">
        <v>1943</v>
      </c>
      <c r="E363" t="s">
        <v>761</v>
      </c>
      <c r="F363" t="s">
        <v>762</v>
      </c>
      <c r="G363">
        <v>1</v>
      </c>
      <c r="H363" s="1">
        <v>46204</v>
      </c>
      <c r="I363" s="8">
        <v>1793388</v>
      </c>
    </row>
    <row r="364" spans="1:9" x14ac:dyDescent="0.25">
      <c r="A364" t="s">
        <v>2199</v>
      </c>
      <c r="B364" t="s">
        <v>28</v>
      </c>
      <c r="C364" t="s">
        <v>1948</v>
      </c>
      <c r="D364" t="s">
        <v>1949</v>
      </c>
      <c r="E364" t="s">
        <v>414</v>
      </c>
      <c r="F364" t="s">
        <v>1852</v>
      </c>
      <c r="G364">
        <v>1</v>
      </c>
      <c r="H364" s="1">
        <v>46082</v>
      </c>
      <c r="I364" s="8">
        <v>10002100</v>
      </c>
    </row>
    <row r="365" spans="1:9" x14ac:dyDescent="0.25">
      <c r="A365" t="s">
        <v>2199</v>
      </c>
      <c r="B365" t="s">
        <v>28</v>
      </c>
      <c r="C365" t="s">
        <v>1951</v>
      </c>
      <c r="D365" t="s">
        <v>1952</v>
      </c>
      <c r="E365" t="s">
        <v>761</v>
      </c>
      <c r="F365" t="s">
        <v>762</v>
      </c>
      <c r="G365">
        <v>1</v>
      </c>
      <c r="H365" s="1">
        <v>46113</v>
      </c>
      <c r="I365" s="8">
        <v>1149277</v>
      </c>
    </row>
    <row r="366" spans="1:9" x14ac:dyDescent="0.25">
      <c r="A366" t="s">
        <v>2199</v>
      </c>
      <c r="B366" t="s">
        <v>28</v>
      </c>
      <c r="C366" t="s">
        <v>1955</v>
      </c>
      <c r="D366" t="s">
        <v>1956</v>
      </c>
      <c r="E366" t="s">
        <v>414</v>
      </c>
      <c r="F366" t="s">
        <v>1852</v>
      </c>
      <c r="G366">
        <v>1</v>
      </c>
      <c r="H366" s="1">
        <v>46082</v>
      </c>
      <c r="I366" s="8">
        <v>5560000</v>
      </c>
    </row>
    <row r="367" spans="1:9" x14ac:dyDescent="0.25">
      <c r="A367" t="s">
        <v>2199</v>
      </c>
      <c r="B367" t="s">
        <v>28</v>
      </c>
      <c r="C367" t="s">
        <v>1960</v>
      </c>
      <c r="D367" t="s">
        <v>1961</v>
      </c>
      <c r="E367" t="s">
        <v>1963</v>
      </c>
      <c r="F367" t="s">
        <v>1964</v>
      </c>
      <c r="G367">
        <v>1</v>
      </c>
      <c r="H367" s="1">
        <v>46266</v>
      </c>
      <c r="I367" s="8">
        <v>920000</v>
      </c>
    </row>
    <row r="368" spans="1:9" x14ac:dyDescent="0.25">
      <c r="A368" t="s">
        <v>2199</v>
      </c>
      <c r="B368" t="s">
        <v>28</v>
      </c>
      <c r="C368" t="s">
        <v>1976</v>
      </c>
      <c r="D368" t="s">
        <v>1977</v>
      </c>
      <c r="E368" t="s">
        <v>1660</v>
      </c>
      <c r="F368" t="s">
        <v>1980</v>
      </c>
      <c r="G368">
        <v>1</v>
      </c>
      <c r="H368" s="1">
        <v>46113</v>
      </c>
      <c r="I368" s="8">
        <v>15984280</v>
      </c>
    </row>
    <row r="369" spans="1:9" x14ac:dyDescent="0.25">
      <c r="A369" t="s">
        <v>2199</v>
      </c>
      <c r="B369" t="s">
        <v>28</v>
      </c>
      <c r="C369" t="s">
        <v>1981</v>
      </c>
      <c r="D369" t="s">
        <v>1982</v>
      </c>
      <c r="E369" t="s">
        <v>1985</v>
      </c>
      <c r="F369" t="s">
        <v>1986</v>
      </c>
      <c r="G369">
        <v>1</v>
      </c>
      <c r="H369" s="1">
        <v>46023</v>
      </c>
      <c r="I369" s="8">
        <v>901000</v>
      </c>
    </row>
    <row r="370" spans="1:9" x14ac:dyDescent="0.25">
      <c r="A370" t="s">
        <v>2199</v>
      </c>
      <c r="B370" t="s">
        <v>28</v>
      </c>
      <c r="C370" t="s">
        <v>1990</v>
      </c>
      <c r="D370" t="s">
        <v>1991</v>
      </c>
      <c r="E370" t="s">
        <v>414</v>
      </c>
      <c r="F370" t="s">
        <v>1852</v>
      </c>
      <c r="G370">
        <v>1</v>
      </c>
      <c r="H370" s="1">
        <v>46113</v>
      </c>
      <c r="I370" s="8">
        <v>3500000</v>
      </c>
    </row>
    <row r="371" spans="1:9" x14ac:dyDescent="0.25">
      <c r="A371" t="s">
        <v>2199</v>
      </c>
      <c r="B371" t="s">
        <v>28</v>
      </c>
      <c r="C371" t="s">
        <v>1993</v>
      </c>
      <c r="D371" t="s">
        <v>1994</v>
      </c>
      <c r="E371" t="s">
        <v>414</v>
      </c>
      <c r="F371" t="s">
        <v>1996</v>
      </c>
      <c r="G371">
        <v>1</v>
      </c>
      <c r="H371" s="1">
        <v>46082</v>
      </c>
      <c r="I371" s="8">
        <v>15135390</v>
      </c>
    </row>
    <row r="372" spans="1:9" x14ac:dyDescent="0.25">
      <c r="A372" t="s">
        <v>2199</v>
      </c>
      <c r="B372" t="s">
        <v>28</v>
      </c>
      <c r="C372" t="s">
        <v>1997</v>
      </c>
      <c r="D372" t="s">
        <v>1998</v>
      </c>
      <c r="E372" t="s">
        <v>1985</v>
      </c>
      <c r="F372" t="s">
        <v>1986</v>
      </c>
      <c r="G372">
        <v>1</v>
      </c>
      <c r="H372" s="1">
        <v>46113</v>
      </c>
      <c r="I372" s="8">
        <v>1200000</v>
      </c>
    </row>
    <row r="373" spans="1:9" x14ac:dyDescent="0.25">
      <c r="A373" t="s">
        <v>2199</v>
      </c>
      <c r="B373" t="s">
        <v>28</v>
      </c>
      <c r="C373" t="s">
        <v>2000</v>
      </c>
      <c r="D373" t="s">
        <v>2001</v>
      </c>
      <c r="E373" t="s">
        <v>1985</v>
      </c>
      <c r="F373" t="s">
        <v>1986</v>
      </c>
      <c r="G373">
        <v>12</v>
      </c>
      <c r="H373" t="s">
        <v>413</v>
      </c>
      <c r="I373" s="8">
        <v>20000000</v>
      </c>
    </row>
    <row r="374" spans="1:9" x14ac:dyDescent="0.25">
      <c r="A374" t="s">
        <v>2199</v>
      </c>
      <c r="B374" t="s">
        <v>28</v>
      </c>
      <c r="C374" t="s">
        <v>2005</v>
      </c>
      <c r="D374" t="s">
        <v>2006</v>
      </c>
      <c r="E374" t="s">
        <v>1469</v>
      </c>
      <c r="F374" t="s">
        <v>2008</v>
      </c>
      <c r="G374">
        <v>1</v>
      </c>
      <c r="H374" s="1">
        <v>46082</v>
      </c>
      <c r="I374" s="8">
        <v>729076</v>
      </c>
    </row>
    <row r="375" spans="1:9" x14ac:dyDescent="0.25">
      <c r="A375" t="s">
        <v>2199</v>
      </c>
      <c r="B375" t="s">
        <v>28</v>
      </c>
      <c r="C375" t="s">
        <v>2005</v>
      </c>
      <c r="D375" t="s">
        <v>2006</v>
      </c>
      <c r="E375" t="s">
        <v>1469</v>
      </c>
      <c r="F375" t="s">
        <v>2008</v>
      </c>
      <c r="G375">
        <v>1</v>
      </c>
      <c r="H375" s="1">
        <v>46113</v>
      </c>
      <c r="I375" s="8">
        <v>158235</v>
      </c>
    </row>
    <row r="376" spans="1:9" x14ac:dyDescent="0.25">
      <c r="A376" t="s">
        <v>2199</v>
      </c>
      <c r="B376" t="s">
        <v>28</v>
      </c>
      <c r="C376" t="s">
        <v>2005</v>
      </c>
      <c r="D376" t="s">
        <v>2006</v>
      </c>
      <c r="E376" t="s">
        <v>1469</v>
      </c>
      <c r="F376" t="s">
        <v>2008</v>
      </c>
      <c r="G376">
        <v>1</v>
      </c>
      <c r="H376" s="1">
        <v>46174</v>
      </c>
      <c r="I376" s="8">
        <v>24000</v>
      </c>
    </row>
    <row r="377" spans="1:9" x14ac:dyDescent="0.25">
      <c r="A377" t="s">
        <v>2199</v>
      </c>
      <c r="B377" t="s">
        <v>28</v>
      </c>
      <c r="C377" t="s">
        <v>2011</v>
      </c>
      <c r="D377" t="s">
        <v>2012</v>
      </c>
      <c r="E377" t="s">
        <v>1985</v>
      </c>
      <c r="F377" t="s">
        <v>1986</v>
      </c>
      <c r="G377">
        <v>12</v>
      </c>
      <c r="H377" t="s">
        <v>413</v>
      </c>
      <c r="I377" s="8">
        <v>50008000</v>
      </c>
    </row>
    <row r="378" spans="1:9" x14ac:dyDescent="0.25">
      <c r="A378" t="s">
        <v>2199</v>
      </c>
      <c r="B378" t="s">
        <v>28</v>
      </c>
      <c r="C378" t="s">
        <v>2016</v>
      </c>
      <c r="D378" t="s">
        <v>2017</v>
      </c>
      <c r="E378" t="s">
        <v>1963</v>
      </c>
      <c r="F378" t="s">
        <v>1964</v>
      </c>
      <c r="G378">
        <v>1</v>
      </c>
      <c r="H378" s="1">
        <v>46082</v>
      </c>
      <c r="I378" s="8">
        <v>230032</v>
      </c>
    </row>
    <row r="379" spans="1:9" x14ac:dyDescent="0.25">
      <c r="A379" t="s">
        <v>2199</v>
      </c>
      <c r="B379" t="s">
        <v>28</v>
      </c>
      <c r="C379" t="s">
        <v>2020</v>
      </c>
      <c r="D379" t="s">
        <v>2021</v>
      </c>
      <c r="E379" t="s">
        <v>1985</v>
      </c>
      <c r="F379" t="s">
        <v>1986</v>
      </c>
      <c r="G379">
        <v>1</v>
      </c>
      <c r="H379" s="1">
        <v>46023</v>
      </c>
      <c r="I379" s="8">
        <v>700005</v>
      </c>
    </row>
    <row r="380" spans="1:9" x14ac:dyDescent="0.25">
      <c r="A380" t="s">
        <v>2199</v>
      </c>
      <c r="B380" t="s">
        <v>28</v>
      </c>
      <c r="C380" t="s">
        <v>2024</v>
      </c>
      <c r="D380" t="s">
        <v>2025</v>
      </c>
      <c r="E380" t="s">
        <v>1985</v>
      </c>
      <c r="F380" t="s">
        <v>1986</v>
      </c>
      <c r="G380">
        <v>12</v>
      </c>
      <c r="H380" t="s">
        <v>413</v>
      </c>
      <c r="I380" s="8">
        <v>10000000</v>
      </c>
    </row>
    <row r="381" spans="1:9" x14ac:dyDescent="0.25">
      <c r="A381" t="s">
        <v>2199</v>
      </c>
      <c r="B381" t="s">
        <v>28</v>
      </c>
      <c r="C381" t="s">
        <v>2041</v>
      </c>
      <c r="D381" t="s">
        <v>2042</v>
      </c>
      <c r="E381" t="s">
        <v>657</v>
      </c>
      <c r="F381" t="s">
        <v>658</v>
      </c>
      <c r="G381">
        <v>1</v>
      </c>
      <c r="H381" s="1">
        <v>46023</v>
      </c>
      <c r="I381" s="8">
        <v>2638010</v>
      </c>
    </row>
    <row r="382" spans="1:9" x14ac:dyDescent="0.25">
      <c r="A382" t="s">
        <v>2199</v>
      </c>
      <c r="B382" t="s">
        <v>28</v>
      </c>
      <c r="C382" t="s">
        <v>2047</v>
      </c>
      <c r="D382" t="s">
        <v>2048</v>
      </c>
      <c r="E382" t="s">
        <v>2051</v>
      </c>
      <c r="F382" t="s">
        <v>2052</v>
      </c>
      <c r="G382">
        <v>1</v>
      </c>
      <c r="H382" s="1">
        <v>46174</v>
      </c>
      <c r="I382" s="8">
        <v>1248835</v>
      </c>
    </row>
    <row r="383" spans="1:9" x14ac:dyDescent="0.25">
      <c r="A383" t="s">
        <v>2199</v>
      </c>
      <c r="B383" t="s">
        <v>28</v>
      </c>
      <c r="C383" t="s">
        <v>2056</v>
      </c>
      <c r="D383" t="s">
        <v>2057</v>
      </c>
      <c r="E383" t="s">
        <v>1642</v>
      </c>
      <c r="F383" t="s">
        <v>1643</v>
      </c>
      <c r="G383">
        <v>1</v>
      </c>
      <c r="H383" s="1">
        <v>46113</v>
      </c>
      <c r="I383" s="8">
        <v>708024</v>
      </c>
    </row>
    <row r="384" spans="1:9" x14ac:dyDescent="0.25">
      <c r="A384" t="s">
        <v>2199</v>
      </c>
      <c r="B384" t="s">
        <v>28</v>
      </c>
      <c r="C384" t="s">
        <v>2056</v>
      </c>
      <c r="D384" t="s">
        <v>2057</v>
      </c>
      <c r="E384" t="s">
        <v>1642</v>
      </c>
      <c r="F384" t="s">
        <v>1643</v>
      </c>
      <c r="G384">
        <v>1</v>
      </c>
      <c r="H384" s="1">
        <v>46204</v>
      </c>
      <c r="I384" s="8">
        <v>175014</v>
      </c>
    </row>
    <row r="385" spans="1:9" x14ac:dyDescent="0.25">
      <c r="A385" t="s">
        <v>2199</v>
      </c>
      <c r="B385" t="s">
        <v>28</v>
      </c>
      <c r="C385" t="s">
        <v>2067</v>
      </c>
      <c r="D385" t="s">
        <v>2068</v>
      </c>
      <c r="E385" t="s">
        <v>590</v>
      </c>
      <c r="F385" t="s">
        <v>591</v>
      </c>
      <c r="G385">
        <v>1</v>
      </c>
      <c r="H385" s="1">
        <v>46082</v>
      </c>
      <c r="I385" s="8">
        <v>490280</v>
      </c>
    </row>
    <row r="386" spans="1:9" x14ac:dyDescent="0.25">
      <c r="A386" t="s">
        <v>2199</v>
      </c>
      <c r="B386" t="s">
        <v>28</v>
      </c>
      <c r="C386" t="s">
        <v>2070</v>
      </c>
      <c r="D386" t="s">
        <v>2071</v>
      </c>
      <c r="E386" t="s">
        <v>1642</v>
      </c>
      <c r="F386" t="s">
        <v>1643</v>
      </c>
      <c r="G386">
        <v>1</v>
      </c>
      <c r="H386" s="1">
        <v>46143</v>
      </c>
      <c r="I386" s="8">
        <v>70000</v>
      </c>
    </row>
    <row r="387" spans="1:9" x14ac:dyDescent="0.25">
      <c r="A387" t="s">
        <v>2199</v>
      </c>
      <c r="B387" t="s">
        <v>28</v>
      </c>
      <c r="C387" t="s">
        <v>2074</v>
      </c>
      <c r="D387" t="s">
        <v>788</v>
      </c>
      <c r="E387" t="s">
        <v>2076</v>
      </c>
      <c r="F387" t="s">
        <v>2077</v>
      </c>
      <c r="G387">
        <v>1</v>
      </c>
      <c r="H387" s="1">
        <v>46082</v>
      </c>
      <c r="I387" s="8">
        <v>2473910</v>
      </c>
    </row>
    <row r="388" spans="1:9" x14ac:dyDescent="0.25">
      <c r="A388" t="s">
        <v>2199</v>
      </c>
      <c r="B388" t="s">
        <v>28</v>
      </c>
      <c r="C388" t="s">
        <v>2083</v>
      </c>
      <c r="D388" t="s">
        <v>1916</v>
      </c>
      <c r="E388" t="s">
        <v>1445</v>
      </c>
      <c r="F388" t="s">
        <v>1446</v>
      </c>
      <c r="G388">
        <v>1</v>
      </c>
      <c r="H388" s="1">
        <v>46082</v>
      </c>
      <c r="I388" s="8">
        <v>200000</v>
      </c>
    </row>
    <row r="389" spans="1:9" x14ac:dyDescent="0.25">
      <c r="A389" t="s">
        <v>2199</v>
      </c>
      <c r="B389" t="s">
        <v>28</v>
      </c>
      <c r="C389" t="s">
        <v>2089</v>
      </c>
      <c r="D389" t="s">
        <v>2090</v>
      </c>
      <c r="E389" t="s">
        <v>761</v>
      </c>
      <c r="F389" t="s">
        <v>762</v>
      </c>
      <c r="G389">
        <v>1</v>
      </c>
      <c r="H389" s="1">
        <v>46143</v>
      </c>
      <c r="I389" s="8">
        <v>3287930</v>
      </c>
    </row>
    <row r="390" spans="1:9" x14ac:dyDescent="0.25">
      <c r="A390" t="s">
        <v>2199</v>
      </c>
      <c r="B390" t="s">
        <v>28</v>
      </c>
      <c r="C390" t="s">
        <v>2097</v>
      </c>
      <c r="D390" t="s">
        <v>2098</v>
      </c>
      <c r="E390" t="s">
        <v>590</v>
      </c>
      <c r="F390" t="s">
        <v>591</v>
      </c>
      <c r="G390">
        <v>1</v>
      </c>
      <c r="H390" s="1">
        <v>46113</v>
      </c>
      <c r="I390" s="8">
        <v>464009</v>
      </c>
    </row>
    <row r="391" spans="1:9" x14ac:dyDescent="0.25">
      <c r="A391" t="s">
        <v>2199</v>
      </c>
      <c r="B391" t="s">
        <v>28</v>
      </c>
      <c r="C391" t="s">
        <v>2097</v>
      </c>
      <c r="D391" t="s">
        <v>2098</v>
      </c>
      <c r="E391" t="s">
        <v>590</v>
      </c>
      <c r="F391" t="s">
        <v>591</v>
      </c>
      <c r="G391">
        <v>1</v>
      </c>
      <c r="H391" s="1">
        <v>46143</v>
      </c>
      <c r="I391" s="8">
        <v>1709097</v>
      </c>
    </row>
    <row r="392" spans="1:9" x14ac:dyDescent="0.25">
      <c r="A392" t="s">
        <v>2199</v>
      </c>
      <c r="B392" t="s">
        <v>28</v>
      </c>
      <c r="C392" t="s">
        <v>2107</v>
      </c>
      <c r="D392" t="s">
        <v>2108</v>
      </c>
      <c r="E392" t="s">
        <v>761</v>
      </c>
      <c r="F392" t="s">
        <v>762</v>
      </c>
      <c r="G392">
        <v>1</v>
      </c>
      <c r="H392" s="1">
        <v>46054</v>
      </c>
      <c r="I392" s="8">
        <v>2525004</v>
      </c>
    </row>
    <row r="393" spans="1:9" x14ac:dyDescent="0.25">
      <c r="A393" t="s">
        <v>2199</v>
      </c>
      <c r="B393" t="s">
        <v>28</v>
      </c>
      <c r="C393" t="s">
        <v>2115</v>
      </c>
      <c r="D393" t="s">
        <v>2116</v>
      </c>
      <c r="E393" t="s">
        <v>761</v>
      </c>
      <c r="F393" t="s">
        <v>762</v>
      </c>
      <c r="G393">
        <v>1</v>
      </c>
      <c r="H393" s="1">
        <v>46266</v>
      </c>
      <c r="I393" s="8">
        <v>2225980</v>
      </c>
    </row>
    <row r="394" spans="1:9" x14ac:dyDescent="0.25">
      <c r="A394" t="s">
        <v>2199</v>
      </c>
      <c r="B394" t="s">
        <v>28</v>
      </c>
      <c r="C394" t="s">
        <v>2121</v>
      </c>
      <c r="D394" t="s">
        <v>2122</v>
      </c>
      <c r="E394" t="s">
        <v>2124</v>
      </c>
      <c r="F394" t="s">
        <v>1217</v>
      </c>
      <c r="G394">
        <v>1</v>
      </c>
      <c r="H394" s="1">
        <v>46113</v>
      </c>
      <c r="I394" s="8">
        <v>5429170</v>
      </c>
    </row>
    <row r="395" spans="1:9" x14ac:dyDescent="0.25">
      <c r="A395" t="s">
        <v>2199</v>
      </c>
      <c r="B395" t="s">
        <v>28</v>
      </c>
      <c r="C395" t="s">
        <v>2121</v>
      </c>
      <c r="D395" t="s">
        <v>2122</v>
      </c>
      <c r="E395" t="s">
        <v>2124</v>
      </c>
      <c r="F395" t="s">
        <v>1217</v>
      </c>
      <c r="G395">
        <v>1</v>
      </c>
      <c r="H395" s="1">
        <v>46143</v>
      </c>
      <c r="I395" s="8">
        <v>9000000</v>
      </c>
    </row>
    <row r="396" spans="1:9" x14ac:dyDescent="0.25">
      <c r="A396" t="s">
        <v>2199</v>
      </c>
      <c r="B396" t="s">
        <v>28</v>
      </c>
      <c r="C396" t="s">
        <v>2121</v>
      </c>
      <c r="D396" t="s">
        <v>2122</v>
      </c>
      <c r="E396" t="s">
        <v>2124</v>
      </c>
      <c r="F396" t="s">
        <v>1217</v>
      </c>
      <c r="G396">
        <v>1</v>
      </c>
      <c r="H396" s="1">
        <v>46174</v>
      </c>
      <c r="I396" s="8">
        <v>9000000</v>
      </c>
    </row>
    <row r="397" spans="1:9" x14ac:dyDescent="0.25">
      <c r="A397" t="s">
        <v>2199</v>
      </c>
      <c r="B397" t="s">
        <v>28</v>
      </c>
      <c r="C397" t="s">
        <v>2121</v>
      </c>
      <c r="D397" t="s">
        <v>2122</v>
      </c>
      <c r="E397" t="s">
        <v>2124</v>
      </c>
      <c r="F397" t="s">
        <v>1217</v>
      </c>
      <c r="G397">
        <v>3</v>
      </c>
      <c r="H397" t="s">
        <v>2129</v>
      </c>
      <c r="I397" s="8">
        <v>5000000</v>
      </c>
    </row>
    <row r="398" spans="1:9" x14ac:dyDescent="0.25">
      <c r="A398" t="s">
        <v>2199</v>
      </c>
      <c r="B398" t="s">
        <v>28</v>
      </c>
      <c r="C398" t="s">
        <v>2121</v>
      </c>
      <c r="D398" t="s">
        <v>2122</v>
      </c>
      <c r="E398" t="s">
        <v>2124</v>
      </c>
      <c r="F398" t="s">
        <v>1217</v>
      </c>
      <c r="G398">
        <v>4</v>
      </c>
      <c r="H398" t="s">
        <v>2133</v>
      </c>
      <c r="I398" s="8">
        <v>600000</v>
      </c>
    </row>
    <row r="399" spans="1:9" x14ac:dyDescent="0.25">
      <c r="A399" t="s">
        <v>2199</v>
      </c>
      <c r="B399" t="s">
        <v>28</v>
      </c>
      <c r="C399" t="s">
        <v>2144</v>
      </c>
      <c r="D399" t="s">
        <v>2145</v>
      </c>
      <c r="E399" t="s">
        <v>64</v>
      </c>
      <c r="F399" t="s">
        <v>65</v>
      </c>
      <c r="G399">
        <v>1</v>
      </c>
      <c r="H399" s="1">
        <v>46113</v>
      </c>
      <c r="I399" s="8">
        <v>1953508</v>
      </c>
    </row>
    <row r="400" spans="1:9" x14ac:dyDescent="0.25">
      <c r="A400" t="s">
        <v>2199</v>
      </c>
      <c r="B400" t="s">
        <v>28</v>
      </c>
      <c r="C400" t="s">
        <v>2149</v>
      </c>
      <c r="D400" t="s">
        <v>2150</v>
      </c>
      <c r="E400" t="s">
        <v>2152</v>
      </c>
      <c r="F400" t="s">
        <v>2153</v>
      </c>
      <c r="G400">
        <v>1</v>
      </c>
      <c r="H400" s="1">
        <v>46054</v>
      </c>
      <c r="I400" s="8">
        <v>6587696</v>
      </c>
    </row>
    <row r="401" spans="1:9" x14ac:dyDescent="0.25">
      <c r="A401" t="s">
        <v>2199</v>
      </c>
      <c r="B401" t="s">
        <v>28</v>
      </c>
      <c r="C401" t="s">
        <v>2156</v>
      </c>
      <c r="D401" t="s">
        <v>2157</v>
      </c>
      <c r="E401" t="s">
        <v>395</v>
      </c>
      <c r="F401" t="s">
        <v>1217</v>
      </c>
      <c r="G401">
        <v>1</v>
      </c>
      <c r="H401" s="1">
        <v>46023</v>
      </c>
      <c r="I401" s="8">
        <v>821208</v>
      </c>
    </row>
    <row r="402" spans="1:9" x14ac:dyDescent="0.25">
      <c r="A402" t="s">
        <v>2199</v>
      </c>
      <c r="B402" t="s">
        <v>28</v>
      </c>
      <c r="C402" t="s">
        <v>2166</v>
      </c>
      <c r="D402" t="s">
        <v>2167</v>
      </c>
      <c r="E402" t="s">
        <v>64</v>
      </c>
      <c r="F402" t="s">
        <v>65</v>
      </c>
      <c r="G402">
        <v>1</v>
      </c>
      <c r="H402" s="1">
        <v>46054</v>
      </c>
      <c r="I402" s="8">
        <v>395496</v>
      </c>
    </row>
    <row r="403" spans="1:9" x14ac:dyDescent="0.25">
      <c r="A403" t="s">
        <v>2199</v>
      </c>
      <c r="B403" t="s">
        <v>28</v>
      </c>
      <c r="C403" t="s">
        <v>2169</v>
      </c>
      <c r="D403" t="s">
        <v>2170</v>
      </c>
      <c r="E403" t="s">
        <v>2171</v>
      </c>
      <c r="F403" t="s">
        <v>2172</v>
      </c>
      <c r="G403">
        <v>1</v>
      </c>
      <c r="H403" s="1">
        <v>46054</v>
      </c>
      <c r="I403" s="8">
        <v>1527348</v>
      </c>
    </row>
    <row r="404" spans="1:9" x14ac:dyDescent="0.25">
      <c r="A404" t="s">
        <v>2199</v>
      </c>
      <c r="B404" t="s">
        <v>28</v>
      </c>
      <c r="C404" t="s">
        <v>2174</v>
      </c>
      <c r="D404" t="s">
        <v>2175</v>
      </c>
      <c r="E404" t="s">
        <v>1893</v>
      </c>
      <c r="F404" t="s">
        <v>2177</v>
      </c>
      <c r="G404">
        <v>1</v>
      </c>
      <c r="H404" s="1">
        <v>46023</v>
      </c>
      <c r="I404" s="8">
        <v>489000</v>
      </c>
    </row>
    <row r="405" spans="1:9" x14ac:dyDescent="0.25">
      <c r="A405" t="s">
        <v>2199</v>
      </c>
      <c r="B405" t="s">
        <v>28</v>
      </c>
      <c r="C405" t="s">
        <v>2178</v>
      </c>
      <c r="D405" t="s">
        <v>2179</v>
      </c>
      <c r="E405" t="s">
        <v>950</v>
      </c>
      <c r="F405" t="s">
        <v>951</v>
      </c>
      <c r="G405">
        <v>1</v>
      </c>
      <c r="H405" s="1">
        <v>46113</v>
      </c>
      <c r="I405" s="8">
        <v>57500000</v>
      </c>
    </row>
    <row r="406" spans="1:9" x14ac:dyDescent="0.25">
      <c r="A406" t="s">
        <v>2199</v>
      </c>
      <c r="B406" t="s">
        <v>28</v>
      </c>
      <c r="C406" t="s">
        <v>2183</v>
      </c>
      <c r="D406" t="s">
        <v>2184</v>
      </c>
      <c r="E406" t="s">
        <v>761</v>
      </c>
      <c r="F406" t="s">
        <v>762</v>
      </c>
      <c r="G406">
        <v>1</v>
      </c>
      <c r="H406" s="1">
        <v>46143</v>
      </c>
      <c r="I406" s="8">
        <v>11310771</v>
      </c>
    </row>
    <row r="407" spans="1:9" x14ac:dyDescent="0.25">
      <c r="A407" t="s">
        <v>2199</v>
      </c>
      <c r="B407" t="s">
        <v>567</v>
      </c>
      <c r="C407" t="s">
        <v>568</v>
      </c>
      <c r="D407" t="s">
        <v>570</v>
      </c>
      <c r="E407" t="s">
        <v>573</v>
      </c>
      <c r="F407" t="s">
        <v>574</v>
      </c>
      <c r="G407">
        <v>1</v>
      </c>
      <c r="H407" s="1">
        <v>46113</v>
      </c>
      <c r="I407" s="8">
        <v>40000000</v>
      </c>
    </row>
    <row r="408" spans="1:9" x14ac:dyDescent="0.25">
      <c r="A408" t="s">
        <v>2199</v>
      </c>
      <c r="B408" t="s">
        <v>567</v>
      </c>
      <c r="C408" t="s">
        <v>568</v>
      </c>
      <c r="D408" t="s">
        <v>570</v>
      </c>
      <c r="E408" t="s">
        <v>573</v>
      </c>
      <c r="F408" t="s">
        <v>574</v>
      </c>
      <c r="G408">
        <v>1</v>
      </c>
      <c r="H408" s="1">
        <v>46174</v>
      </c>
      <c r="I408" s="8">
        <v>3000000</v>
      </c>
    </row>
    <row r="409" spans="1:9" x14ac:dyDescent="0.25">
      <c r="A409" t="s">
        <v>2199</v>
      </c>
      <c r="B409" t="s">
        <v>567</v>
      </c>
      <c r="C409" t="s">
        <v>568</v>
      </c>
      <c r="D409" t="s">
        <v>570</v>
      </c>
      <c r="E409" t="s">
        <v>573</v>
      </c>
      <c r="F409" t="s">
        <v>574</v>
      </c>
      <c r="G409">
        <v>1</v>
      </c>
      <c r="H409" s="1">
        <v>46266</v>
      </c>
      <c r="I409" s="8">
        <v>25000000</v>
      </c>
    </row>
    <row r="410" spans="1:9" x14ac:dyDescent="0.25">
      <c r="A410" t="s">
        <v>2199</v>
      </c>
      <c r="B410" t="s">
        <v>567</v>
      </c>
      <c r="C410" t="s">
        <v>568</v>
      </c>
      <c r="D410" t="s">
        <v>570</v>
      </c>
      <c r="E410" t="s">
        <v>573</v>
      </c>
      <c r="F410" t="s">
        <v>574</v>
      </c>
      <c r="G410">
        <v>1</v>
      </c>
      <c r="H410" s="1">
        <v>46296</v>
      </c>
      <c r="I410" s="8">
        <v>35000000</v>
      </c>
    </row>
    <row r="411" spans="1:9" x14ac:dyDescent="0.25">
      <c r="A411" t="s">
        <v>2199</v>
      </c>
      <c r="B411" t="s">
        <v>567</v>
      </c>
      <c r="C411" t="s">
        <v>568</v>
      </c>
      <c r="D411" t="s">
        <v>570</v>
      </c>
      <c r="E411" t="s">
        <v>573</v>
      </c>
      <c r="F411" t="s">
        <v>574</v>
      </c>
      <c r="G411">
        <v>1</v>
      </c>
      <c r="H411" s="1">
        <v>46327</v>
      </c>
      <c r="I411" s="8">
        <v>15000000</v>
      </c>
    </row>
    <row r="412" spans="1:9" x14ac:dyDescent="0.25">
      <c r="A412" t="s">
        <v>2199</v>
      </c>
      <c r="B412" t="s">
        <v>567</v>
      </c>
      <c r="C412" t="s">
        <v>568</v>
      </c>
      <c r="D412" t="s">
        <v>570</v>
      </c>
      <c r="E412" t="s">
        <v>573</v>
      </c>
      <c r="F412" t="s">
        <v>574</v>
      </c>
      <c r="G412">
        <v>1</v>
      </c>
      <c r="H412" s="1">
        <v>46357</v>
      </c>
      <c r="I412" s="8">
        <v>38000000</v>
      </c>
    </row>
    <row r="413" spans="1:9" x14ac:dyDescent="0.25">
      <c r="A413" t="s">
        <v>2199</v>
      </c>
      <c r="B413" t="s">
        <v>594</v>
      </c>
      <c r="C413" t="s">
        <v>1280</v>
      </c>
      <c r="D413" t="s">
        <v>1281</v>
      </c>
      <c r="E413" t="s">
        <v>624</v>
      </c>
      <c r="F413" t="s">
        <v>625</v>
      </c>
      <c r="G413">
        <v>1</v>
      </c>
      <c r="H413" s="1">
        <v>46296</v>
      </c>
      <c r="I413" s="8">
        <v>25000000</v>
      </c>
    </row>
    <row r="414" spans="1:9" x14ac:dyDescent="0.25">
      <c r="A414" t="s">
        <v>2199</v>
      </c>
      <c r="B414" t="s">
        <v>594</v>
      </c>
      <c r="C414" t="s">
        <v>1283</v>
      </c>
      <c r="D414" t="s">
        <v>1284</v>
      </c>
      <c r="E414" t="s">
        <v>624</v>
      </c>
      <c r="F414" t="s">
        <v>625</v>
      </c>
      <c r="G414">
        <v>1</v>
      </c>
      <c r="H414" s="1">
        <v>46327</v>
      </c>
      <c r="I414" s="8">
        <v>37000000</v>
      </c>
    </row>
    <row r="415" spans="1:9" x14ac:dyDescent="0.25">
      <c r="A415" t="s">
        <v>2199</v>
      </c>
      <c r="B415" t="s">
        <v>594</v>
      </c>
      <c r="C415" t="s">
        <v>1286</v>
      </c>
      <c r="D415" t="s">
        <v>1287</v>
      </c>
      <c r="E415" t="s">
        <v>624</v>
      </c>
      <c r="F415" t="s">
        <v>625</v>
      </c>
      <c r="G415">
        <v>1</v>
      </c>
      <c r="H415" s="1">
        <v>46235</v>
      </c>
      <c r="I415" s="8">
        <v>60000000</v>
      </c>
    </row>
    <row r="416" spans="1:9" x14ac:dyDescent="0.25">
      <c r="A416" t="s">
        <v>2199</v>
      </c>
      <c r="B416" t="s">
        <v>594</v>
      </c>
      <c r="C416" t="s">
        <v>1355</v>
      </c>
      <c r="D416" t="s">
        <v>1356</v>
      </c>
      <c r="E416" t="s">
        <v>1299</v>
      </c>
      <c r="F416" t="s">
        <v>1300</v>
      </c>
      <c r="G416">
        <v>1</v>
      </c>
      <c r="H416" s="1">
        <v>46204</v>
      </c>
      <c r="I416" s="8">
        <v>17187000</v>
      </c>
    </row>
    <row r="417" spans="1:9" x14ac:dyDescent="0.25">
      <c r="A417" t="s">
        <v>2199</v>
      </c>
      <c r="B417" t="s">
        <v>594</v>
      </c>
      <c r="C417" t="s">
        <v>1357</v>
      </c>
      <c r="D417" t="s">
        <v>1358</v>
      </c>
      <c r="E417" t="s">
        <v>1299</v>
      </c>
      <c r="F417" t="s">
        <v>1300</v>
      </c>
      <c r="G417">
        <v>1</v>
      </c>
      <c r="H417" s="1">
        <v>46174</v>
      </c>
      <c r="I417" s="8">
        <v>293779000</v>
      </c>
    </row>
    <row r="418" spans="1:9" x14ac:dyDescent="0.25">
      <c r="A418" t="s">
        <v>2199</v>
      </c>
      <c r="B418" t="s">
        <v>594</v>
      </c>
      <c r="C418" t="s">
        <v>1360</v>
      </c>
      <c r="D418" t="s">
        <v>1361</v>
      </c>
      <c r="E418" t="s">
        <v>624</v>
      </c>
      <c r="F418" t="s">
        <v>625</v>
      </c>
      <c r="G418">
        <v>1</v>
      </c>
      <c r="H418" s="1">
        <v>46266</v>
      </c>
      <c r="I418" s="8">
        <v>37000000</v>
      </c>
    </row>
    <row r="419" spans="1:9" x14ac:dyDescent="0.25">
      <c r="A419" t="s">
        <v>2199</v>
      </c>
      <c r="B419" t="s">
        <v>594</v>
      </c>
      <c r="C419" t="s">
        <v>1363</v>
      </c>
      <c r="D419" t="s">
        <v>1364</v>
      </c>
      <c r="E419" t="s">
        <v>1299</v>
      </c>
      <c r="F419" t="s">
        <v>1300</v>
      </c>
      <c r="G419">
        <v>1</v>
      </c>
      <c r="H419" s="1">
        <v>46143</v>
      </c>
      <c r="I419" s="8">
        <v>102410000</v>
      </c>
    </row>
    <row r="420" spans="1:9" x14ac:dyDescent="0.25">
      <c r="A420" t="s">
        <v>2199</v>
      </c>
      <c r="B420" t="s">
        <v>594</v>
      </c>
      <c r="C420" t="s">
        <v>1366</v>
      </c>
      <c r="D420" t="s">
        <v>1367</v>
      </c>
      <c r="E420" t="s">
        <v>624</v>
      </c>
      <c r="F420" t="s">
        <v>625</v>
      </c>
      <c r="G420">
        <v>1</v>
      </c>
      <c r="H420" s="1">
        <v>46266</v>
      </c>
      <c r="I420" s="8">
        <v>103000000</v>
      </c>
    </row>
    <row r="421" spans="1:9" x14ac:dyDescent="0.25">
      <c r="A421" t="s">
        <v>2199</v>
      </c>
      <c r="B421" t="s">
        <v>594</v>
      </c>
      <c r="C421" t="s">
        <v>1382</v>
      </c>
      <c r="D421" t="s">
        <v>1383</v>
      </c>
      <c r="E421" t="s">
        <v>1299</v>
      </c>
      <c r="F421" t="s">
        <v>1300</v>
      </c>
      <c r="G421">
        <v>1</v>
      </c>
      <c r="H421" s="1">
        <v>46113</v>
      </c>
      <c r="I421" s="8">
        <v>6442000</v>
      </c>
    </row>
    <row r="422" spans="1:9" x14ac:dyDescent="0.25">
      <c r="A422" t="s">
        <v>2199</v>
      </c>
      <c r="B422" t="s">
        <v>594</v>
      </c>
      <c r="C422" t="s">
        <v>1401</v>
      </c>
      <c r="D422" t="s">
        <v>1402</v>
      </c>
      <c r="E422" t="s">
        <v>1299</v>
      </c>
      <c r="F422" t="s">
        <v>1300</v>
      </c>
      <c r="G422">
        <v>1</v>
      </c>
      <c r="H422" s="1">
        <v>46143</v>
      </c>
      <c r="I422" s="8">
        <v>356525000</v>
      </c>
    </row>
    <row r="423" spans="1:9" x14ac:dyDescent="0.25">
      <c r="A423" t="s">
        <v>2199</v>
      </c>
      <c r="B423" t="s">
        <v>594</v>
      </c>
      <c r="C423" t="s">
        <v>1827</v>
      </c>
      <c r="D423" t="s">
        <v>1828</v>
      </c>
      <c r="E423" t="s">
        <v>1723</v>
      </c>
      <c r="F423" t="s">
        <v>1831</v>
      </c>
      <c r="G423">
        <v>1</v>
      </c>
      <c r="H423" s="1">
        <v>46023</v>
      </c>
      <c r="I423" s="8">
        <v>7200000</v>
      </c>
    </row>
    <row r="424" spans="1:9" x14ac:dyDescent="0.25">
      <c r="A424" t="s">
        <v>2199</v>
      </c>
      <c r="B424" t="s">
        <v>594</v>
      </c>
      <c r="C424" t="s">
        <v>595</v>
      </c>
      <c r="D424" t="s">
        <v>597</v>
      </c>
      <c r="E424" t="s">
        <v>590</v>
      </c>
      <c r="F424" t="s">
        <v>591</v>
      </c>
      <c r="G424">
        <v>1</v>
      </c>
      <c r="H424" s="1">
        <v>46082</v>
      </c>
      <c r="I424" s="8">
        <v>24115000</v>
      </c>
    </row>
    <row r="425" spans="1:9" x14ac:dyDescent="0.25">
      <c r="A425" t="s">
        <v>2199</v>
      </c>
      <c r="B425" t="s">
        <v>594</v>
      </c>
      <c r="C425" t="s">
        <v>595</v>
      </c>
      <c r="D425" t="s">
        <v>597</v>
      </c>
      <c r="E425" t="s">
        <v>590</v>
      </c>
      <c r="F425" t="s">
        <v>591</v>
      </c>
      <c r="G425">
        <v>1</v>
      </c>
      <c r="H425" s="1">
        <v>46143</v>
      </c>
      <c r="I425" s="8">
        <v>251000006</v>
      </c>
    </row>
    <row r="426" spans="1:9" x14ac:dyDescent="0.25">
      <c r="A426" t="s">
        <v>2199</v>
      </c>
      <c r="B426" t="s">
        <v>594</v>
      </c>
      <c r="C426" t="s">
        <v>595</v>
      </c>
      <c r="D426" t="s">
        <v>597</v>
      </c>
      <c r="E426" t="s">
        <v>590</v>
      </c>
      <c r="F426" t="s">
        <v>591</v>
      </c>
      <c r="G426">
        <v>1</v>
      </c>
      <c r="H426" s="1">
        <v>46266</v>
      </c>
      <c r="I426" s="8">
        <v>3500000</v>
      </c>
    </row>
    <row r="427" spans="1:9" x14ac:dyDescent="0.25">
      <c r="A427" t="s">
        <v>2199</v>
      </c>
      <c r="B427" t="s">
        <v>594</v>
      </c>
      <c r="C427" t="s">
        <v>803</v>
      </c>
      <c r="D427" t="s">
        <v>805</v>
      </c>
      <c r="E427" t="s">
        <v>624</v>
      </c>
      <c r="F427" t="s">
        <v>625</v>
      </c>
      <c r="G427">
        <v>1</v>
      </c>
      <c r="H427" s="1">
        <v>46266</v>
      </c>
      <c r="I427" s="8">
        <v>37000000</v>
      </c>
    </row>
    <row r="428" spans="1:9" x14ac:dyDescent="0.25">
      <c r="A428" t="s">
        <v>2199</v>
      </c>
      <c r="B428" t="s">
        <v>594</v>
      </c>
      <c r="C428" t="s">
        <v>808</v>
      </c>
      <c r="D428" t="s">
        <v>809</v>
      </c>
      <c r="E428" t="s">
        <v>624</v>
      </c>
      <c r="F428" t="s">
        <v>625</v>
      </c>
      <c r="G428">
        <v>1</v>
      </c>
      <c r="H428" s="1">
        <v>46296</v>
      </c>
      <c r="I428" s="8">
        <v>37000000</v>
      </c>
    </row>
    <row r="429" spans="1:9" x14ac:dyDescent="0.25">
      <c r="A429" t="s">
        <v>2199</v>
      </c>
      <c r="B429" t="s">
        <v>594</v>
      </c>
      <c r="C429" t="s">
        <v>1196</v>
      </c>
      <c r="D429" t="s">
        <v>1197</v>
      </c>
      <c r="E429" t="s">
        <v>1200</v>
      </c>
      <c r="F429" t="s">
        <v>514</v>
      </c>
      <c r="G429">
        <v>1</v>
      </c>
      <c r="H429" s="1">
        <v>46357</v>
      </c>
      <c r="I429" s="8">
        <v>3430002</v>
      </c>
    </row>
    <row r="430" spans="1:9" x14ac:dyDescent="0.25">
      <c r="A430" t="s">
        <v>2199</v>
      </c>
      <c r="B430" t="s">
        <v>594</v>
      </c>
      <c r="C430" t="s">
        <v>1204</v>
      </c>
      <c r="D430" t="s">
        <v>1205</v>
      </c>
      <c r="E430" t="s">
        <v>624</v>
      </c>
      <c r="F430" t="s">
        <v>625</v>
      </c>
      <c r="G430">
        <v>1</v>
      </c>
      <c r="H430" s="1">
        <v>46327</v>
      </c>
      <c r="I430" s="8">
        <v>37000000</v>
      </c>
    </row>
    <row r="431" spans="1:9" x14ac:dyDescent="0.25">
      <c r="A431" t="s">
        <v>2199</v>
      </c>
      <c r="B431" t="s">
        <v>1304</v>
      </c>
      <c r="C431" t="s">
        <v>1339</v>
      </c>
      <c r="D431" t="s">
        <v>1340</v>
      </c>
      <c r="E431" t="s">
        <v>1342</v>
      </c>
      <c r="F431" t="s">
        <v>1343</v>
      </c>
      <c r="G431">
        <v>1</v>
      </c>
      <c r="H431" s="1">
        <v>46174</v>
      </c>
      <c r="I431" s="8">
        <v>525000</v>
      </c>
    </row>
    <row r="432" spans="1:9" x14ac:dyDescent="0.25">
      <c r="A432" t="s">
        <v>2199</v>
      </c>
      <c r="B432" t="s">
        <v>1304</v>
      </c>
      <c r="C432" t="s">
        <v>1371</v>
      </c>
      <c r="D432" t="s">
        <v>1373</v>
      </c>
      <c r="E432" t="s">
        <v>1200</v>
      </c>
      <c r="F432" t="s">
        <v>514</v>
      </c>
      <c r="G432">
        <v>1</v>
      </c>
      <c r="H432" s="1">
        <v>46174</v>
      </c>
      <c r="I432" s="8">
        <v>1058222000</v>
      </c>
    </row>
    <row r="433" spans="1:9" x14ac:dyDescent="0.25">
      <c r="A433" t="s">
        <v>2199</v>
      </c>
      <c r="B433" t="s">
        <v>1304</v>
      </c>
      <c r="C433" t="s">
        <v>1376</v>
      </c>
      <c r="D433" t="s">
        <v>1377</v>
      </c>
      <c r="E433" t="s">
        <v>1200</v>
      </c>
      <c r="F433" t="s">
        <v>514</v>
      </c>
      <c r="G433">
        <v>1</v>
      </c>
      <c r="H433" s="1">
        <v>46174</v>
      </c>
      <c r="I433" s="8">
        <v>916961000</v>
      </c>
    </row>
    <row r="434" spans="1:9" x14ac:dyDescent="0.25">
      <c r="A434" t="s">
        <v>2199</v>
      </c>
      <c r="B434" t="s">
        <v>1304</v>
      </c>
      <c r="C434" t="s">
        <v>1379</v>
      </c>
      <c r="D434" t="s">
        <v>1380</v>
      </c>
      <c r="E434" t="s">
        <v>1200</v>
      </c>
      <c r="F434" t="s">
        <v>514</v>
      </c>
      <c r="G434">
        <v>1</v>
      </c>
      <c r="H434" s="1">
        <v>46113</v>
      </c>
      <c r="I434" s="8">
        <v>888441000</v>
      </c>
    </row>
    <row r="435" spans="1:9" x14ac:dyDescent="0.25">
      <c r="A435" t="s">
        <v>2199</v>
      </c>
      <c r="B435" t="s">
        <v>1304</v>
      </c>
      <c r="C435" t="s">
        <v>1389</v>
      </c>
      <c r="D435" t="s">
        <v>1390</v>
      </c>
      <c r="E435" t="s">
        <v>1342</v>
      </c>
      <c r="F435" t="s">
        <v>1392</v>
      </c>
      <c r="G435">
        <v>1</v>
      </c>
      <c r="H435" s="1">
        <v>46174</v>
      </c>
      <c r="I435" s="8">
        <v>630000</v>
      </c>
    </row>
    <row r="436" spans="1:9" x14ac:dyDescent="0.25">
      <c r="A436" t="s">
        <v>2199</v>
      </c>
      <c r="B436" t="s">
        <v>1304</v>
      </c>
      <c r="C436" t="s">
        <v>1887</v>
      </c>
      <c r="D436" t="s">
        <v>1888</v>
      </c>
      <c r="E436" t="s">
        <v>1200</v>
      </c>
      <c r="F436" t="s">
        <v>514</v>
      </c>
      <c r="G436">
        <v>1</v>
      </c>
      <c r="H436" s="1">
        <v>46082</v>
      </c>
      <c r="I436" s="8">
        <v>493463899</v>
      </c>
    </row>
    <row r="437" spans="1:9" x14ac:dyDescent="0.25">
      <c r="A437" t="s">
        <v>2199</v>
      </c>
      <c r="B437" t="s">
        <v>1304</v>
      </c>
      <c r="C437" t="s">
        <v>1887</v>
      </c>
      <c r="D437" t="s">
        <v>1888</v>
      </c>
      <c r="E437" t="s">
        <v>1200</v>
      </c>
      <c r="F437" t="s">
        <v>514</v>
      </c>
      <c r="G437">
        <v>1</v>
      </c>
      <c r="H437" s="1">
        <v>46113</v>
      </c>
      <c r="I437" s="8">
        <v>424384098</v>
      </c>
    </row>
    <row r="438" spans="1:9" x14ac:dyDescent="0.25">
      <c r="A438" t="s">
        <v>2199</v>
      </c>
      <c r="B438" t="s">
        <v>1304</v>
      </c>
      <c r="C438" t="s">
        <v>1887</v>
      </c>
      <c r="D438" t="s">
        <v>1888</v>
      </c>
      <c r="E438" t="s">
        <v>1200</v>
      </c>
      <c r="F438" t="s">
        <v>514</v>
      </c>
      <c r="G438">
        <v>1</v>
      </c>
      <c r="H438" s="1">
        <v>46357</v>
      </c>
      <c r="I438" s="8">
        <v>1157231542</v>
      </c>
    </row>
    <row r="439" spans="1:9" x14ac:dyDescent="0.25">
      <c r="A439" t="s">
        <v>2199</v>
      </c>
      <c r="B439" t="s">
        <v>1304</v>
      </c>
      <c r="C439" t="s">
        <v>1305</v>
      </c>
      <c r="D439" t="s">
        <v>1306</v>
      </c>
      <c r="E439" t="s">
        <v>624</v>
      </c>
      <c r="F439" t="s">
        <v>625</v>
      </c>
      <c r="G439">
        <v>1</v>
      </c>
      <c r="H439" s="1">
        <v>46327</v>
      </c>
      <c r="I439" s="8">
        <v>1680000000</v>
      </c>
    </row>
    <row r="440" spans="1:9" x14ac:dyDescent="0.25">
      <c r="A440" t="s">
        <v>2199</v>
      </c>
      <c r="B440" t="s">
        <v>1304</v>
      </c>
      <c r="C440" t="s">
        <v>1308</v>
      </c>
      <c r="D440" t="s">
        <v>1309</v>
      </c>
      <c r="E440" t="s">
        <v>624</v>
      </c>
      <c r="F440" t="s">
        <v>625</v>
      </c>
      <c r="G440">
        <v>1</v>
      </c>
      <c r="H440" s="1">
        <v>46327</v>
      </c>
      <c r="I440" s="8">
        <v>80000000</v>
      </c>
    </row>
    <row r="441" spans="1:9" x14ac:dyDescent="0.25">
      <c r="A441" t="s">
        <v>2199</v>
      </c>
      <c r="B441" t="s">
        <v>1304</v>
      </c>
      <c r="C441" t="s">
        <v>1311</v>
      </c>
      <c r="D441" t="s">
        <v>1313</v>
      </c>
      <c r="E441" t="s">
        <v>1315</v>
      </c>
      <c r="F441" t="s">
        <v>1316</v>
      </c>
      <c r="G441">
        <v>1</v>
      </c>
      <c r="H441" s="1">
        <v>46327</v>
      </c>
      <c r="I441" s="8">
        <v>250000000</v>
      </c>
    </row>
    <row r="442" spans="1:9" x14ac:dyDescent="0.25">
      <c r="A442" t="s">
        <v>2199</v>
      </c>
      <c r="B442" t="s">
        <v>1304</v>
      </c>
      <c r="C442" t="s">
        <v>1319</v>
      </c>
      <c r="D442" t="s">
        <v>1320</v>
      </c>
      <c r="E442" t="s">
        <v>624</v>
      </c>
      <c r="F442" t="s">
        <v>625</v>
      </c>
      <c r="G442">
        <v>1</v>
      </c>
      <c r="H442" s="1">
        <v>46266</v>
      </c>
      <c r="I442" s="8">
        <v>55000000</v>
      </c>
    </row>
    <row r="443" spans="1:9" x14ac:dyDescent="0.25">
      <c r="A443" t="s">
        <v>2199</v>
      </c>
      <c r="B443" t="s">
        <v>1304</v>
      </c>
      <c r="C443" t="s">
        <v>1322</v>
      </c>
      <c r="D443" t="s">
        <v>1323</v>
      </c>
      <c r="E443" t="s">
        <v>1325</v>
      </c>
      <c r="F443" t="s">
        <v>1326</v>
      </c>
      <c r="G443">
        <v>1</v>
      </c>
      <c r="H443" s="1">
        <v>46296</v>
      </c>
      <c r="I443" s="8">
        <v>80000000</v>
      </c>
    </row>
    <row r="444" spans="1:9" x14ac:dyDescent="0.25">
      <c r="A444" t="s">
        <v>2199</v>
      </c>
      <c r="B444" t="s">
        <v>1304</v>
      </c>
      <c r="C444" t="s">
        <v>1328</v>
      </c>
      <c r="D444" t="s">
        <v>1329</v>
      </c>
      <c r="E444" t="s">
        <v>1325</v>
      </c>
      <c r="F444" t="s">
        <v>1326</v>
      </c>
      <c r="G444">
        <v>1</v>
      </c>
      <c r="H444" s="1">
        <v>46296</v>
      </c>
      <c r="I444" s="8">
        <v>80000000</v>
      </c>
    </row>
    <row r="445" spans="1:9" x14ac:dyDescent="0.25">
      <c r="A445" t="s">
        <v>2199</v>
      </c>
      <c r="B445" t="s">
        <v>1304</v>
      </c>
      <c r="C445" t="s">
        <v>1331</v>
      </c>
      <c r="D445" t="s">
        <v>1332</v>
      </c>
      <c r="E445" t="s">
        <v>624</v>
      </c>
      <c r="F445" t="s">
        <v>625</v>
      </c>
      <c r="G445">
        <v>1</v>
      </c>
      <c r="H445" s="1">
        <v>46296</v>
      </c>
      <c r="I445" s="8">
        <v>90000000</v>
      </c>
    </row>
    <row r="446" spans="1:9" x14ac:dyDescent="0.25">
      <c r="A446" t="s">
        <v>2199</v>
      </c>
      <c r="B446" t="s">
        <v>1304</v>
      </c>
      <c r="C446" t="s">
        <v>1334</v>
      </c>
      <c r="D446" t="s">
        <v>1335</v>
      </c>
      <c r="E446" t="s">
        <v>1337</v>
      </c>
      <c r="F446" t="s">
        <v>1107</v>
      </c>
      <c r="G446">
        <v>1</v>
      </c>
      <c r="H446" s="1">
        <v>46357</v>
      </c>
      <c r="I446" s="8">
        <v>9814756</v>
      </c>
    </row>
    <row r="447" spans="1:9" x14ac:dyDescent="0.25">
      <c r="A447" t="s">
        <v>2198</v>
      </c>
      <c r="I447" s="8">
        <v>22142532917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2F7848C-ADA3-48AE-88F8-53AB7B54C1B9}">
  <dimension ref="A3:C11"/>
  <sheetViews>
    <sheetView workbookViewId="0">
      <selection activeCell="B31" sqref="B31"/>
    </sheetView>
  </sheetViews>
  <sheetFormatPr baseColWidth="10" defaultRowHeight="15" x14ac:dyDescent="0.25"/>
  <cols>
    <col min="1" max="1" width="41.5703125" bestFit="1" customWidth="1"/>
    <col min="2" max="2" width="14.42578125" bestFit="1" customWidth="1"/>
    <col min="3" max="3" width="15.5703125" bestFit="1" customWidth="1"/>
  </cols>
  <sheetData>
    <row r="3" spans="1:3" x14ac:dyDescent="0.25">
      <c r="A3" s="4" t="s">
        <v>1</v>
      </c>
      <c r="B3" s="3" t="s">
        <v>2214</v>
      </c>
      <c r="C3" s="3" t="s">
        <v>2200</v>
      </c>
    </row>
    <row r="4" spans="1:3" x14ac:dyDescent="0.25">
      <c r="A4" s="5" t="s">
        <v>28</v>
      </c>
      <c r="B4" s="3">
        <v>238</v>
      </c>
      <c r="C4" s="48">
        <v>1932801598</v>
      </c>
    </row>
    <row r="5" spans="1:3" x14ac:dyDescent="0.25">
      <c r="A5" s="5" t="s">
        <v>1238</v>
      </c>
      <c r="B5" s="3">
        <v>18</v>
      </c>
      <c r="C5" s="48">
        <v>4545805005</v>
      </c>
    </row>
    <row r="6" spans="1:3" x14ac:dyDescent="0.25">
      <c r="A6" s="5" t="s">
        <v>374</v>
      </c>
      <c r="B6" s="3">
        <v>47</v>
      </c>
      <c r="C6" s="48">
        <v>216217147</v>
      </c>
    </row>
    <row r="7" spans="1:3" x14ac:dyDescent="0.25">
      <c r="A7" s="5" t="s">
        <v>567</v>
      </c>
      <c r="B7" s="3">
        <v>1</v>
      </c>
      <c r="C7" s="48">
        <v>156000000</v>
      </c>
    </row>
    <row r="8" spans="1:3" x14ac:dyDescent="0.25">
      <c r="A8" s="5" t="s">
        <v>594</v>
      </c>
      <c r="B8" s="3">
        <v>16</v>
      </c>
      <c r="C8" s="48">
        <v>1438588008</v>
      </c>
    </row>
    <row r="9" spans="1:3" x14ac:dyDescent="0.25">
      <c r="A9" s="5" t="s">
        <v>1304</v>
      </c>
      <c r="B9" s="3">
        <v>14</v>
      </c>
      <c r="C9" s="48">
        <v>7264673295</v>
      </c>
    </row>
    <row r="10" spans="1:3" x14ac:dyDescent="0.25">
      <c r="A10" s="5" t="s">
        <v>2212</v>
      </c>
      <c r="B10" s="3">
        <v>59</v>
      </c>
      <c r="C10" s="48">
        <v>6588447864</v>
      </c>
    </row>
    <row r="11" spans="1:3" x14ac:dyDescent="0.25">
      <c r="A11" s="5" t="s">
        <v>2198</v>
      </c>
      <c r="B11" s="3">
        <v>393</v>
      </c>
      <c r="C11" s="48">
        <v>22142532917</v>
      </c>
    </row>
  </sheetData>
  <pageMargins left="0.7" right="0.7" top="0.75" bottom="0.75" header="0.3" footer="0.3"/>
  <pageSetup orientation="portrait"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6CFDBB-3738-4BAE-9CE7-FF4DD4ECB14C}">
  <dimension ref="A1:G394"/>
  <sheetViews>
    <sheetView topLeftCell="D1" workbookViewId="0">
      <selection activeCell="C4" sqref="C4"/>
    </sheetView>
  </sheetViews>
  <sheetFormatPr baseColWidth="10" defaultRowHeight="15" x14ac:dyDescent="0.25"/>
  <cols>
    <col min="3" max="3" width="24.85546875" customWidth="1"/>
    <col min="4" max="4" width="87.140625" customWidth="1"/>
    <col min="7" max="7" width="15.5703125" style="2" bestFit="1" customWidth="1"/>
  </cols>
  <sheetData>
    <row r="1" spans="1:7" x14ac:dyDescent="0.25">
      <c r="A1" s="9" t="s">
        <v>2197</v>
      </c>
      <c r="B1" s="9" t="s">
        <v>2213</v>
      </c>
      <c r="C1" s="9" t="s">
        <v>2</v>
      </c>
      <c r="D1" s="9" t="s">
        <v>6</v>
      </c>
      <c r="E1" s="9" t="s">
        <v>16</v>
      </c>
      <c r="F1" s="9" t="s">
        <v>17</v>
      </c>
      <c r="G1" s="33" t="s">
        <v>2202</v>
      </c>
    </row>
    <row r="2" spans="1:7" x14ac:dyDescent="0.25">
      <c r="A2" t="s">
        <v>2196</v>
      </c>
      <c r="B2" t="s">
        <v>2196</v>
      </c>
      <c r="C2" t="s">
        <v>29</v>
      </c>
      <c r="D2" t="s">
        <v>33</v>
      </c>
      <c r="E2" t="s">
        <v>37</v>
      </c>
      <c r="F2" t="s">
        <v>38</v>
      </c>
      <c r="G2" s="2">
        <v>30000000</v>
      </c>
    </row>
    <row r="3" spans="1:7" x14ac:dyDescent="0.25">
      <c r="A3" t="s">
        <v>2196</v>
      </c>
      <c r="B3" t="s">
        <v>2196</v>
      </c>
      <c r="C3" t="s">
        <v>284</v>
      </c>
      <c r="D3" t="s">
        <v>286</v>
      </c>
      <c r="E3" t="s">
        <v>290</v>
      </c>
      <c r="F3" t="s">
        <v>291</v>
      </c>
      <c r="G3" s="2">
        <v>75000000</v>
      </c>
    </row>
    <row r="4" spans="1:7" x14ac:dyDescent="0.25">
      <c r="A4" t="s">
        <v>2196</v>
      </c>
      <c r="B4" t="s">
        <v>2196</v>
      </c>
      <c r="C4" t="s">
        <v>44</v>
      </c>
      <c r="D4" t="s">
        <v>46</v>
      </c>
      <c r="E4" t="s">
        <v>37</v>
      </c>
      <c r="F4" t="s">
        <v>49</v>
      </c>
      <c r="G4" s="2">
        <v>6711996</v>
      </c>
    </row>
    <row r="5" spans="1:7" x14ac:dyDescent="0.25">
      <c r="A5" t="s">
        <v>2196</v>
      </c>
      <c r="B5" t="s">
        <v>2196</v>
      </c>
      <c r="C5" t="s">
        <v>298</v>
      </c>
      <c r="D5" t="s">
        <v>300</v>
      </c>
      <c r="E5" t="s">
        <v>182</v>
      </c>
      <c r="F5" t="s">
        <v>302</v>
      </c>
      <c r="G5" s="2">
        <v>144000000</v>
      </c>
    </row>
    <row r="6" spans="1:7" x14ac:dyDescent="0.25">
      <c r="A6" t="s">
        <v>2196</v>
      </c>
      <c r="B6" t="s">
        <v>2196</v>
      </c>
      <c r="C6" t="s">
        <v>304</v>
      </c>
      <c r="D6" t="s">
        <v>305</v>
      </c>
      <c r="E6" t="s">
        <v>309</v>
      </c>
      <c r="F6" t="s">
        <v>310</v>
      </c>
      <c r="G6" s="2">
        <v>40833335</v>
      </c>
    </row>
    <row r="7" spans="1:7" x14ac:dyDescent="0.25">
      <c r="A7" t="s">
        <v>2196</v>
      </c>
      <c r="B7" t="s">
        <v>2196</v>
      </c>
      <c r="C7" t="s">
        <v>191</v>
      </c>
      <c r="D7" t="s">
        <v>201</v>
      </c>
      <c r="E7" t="s">
        <v>197</v>
      </c>
      <c r="F7" t="s">
        <v>198</v>
      </c>
      <c r="G7" s="8">
        <v>111102840</v>
      </c>
    </row>
    <row r="8" spans="1:7" x14ac:dyDescent="0.25">
      <c r="A8" t="s">
        <v>2196</v>
      </c>
      <c r="B8" t="s">
        <v>2196</v>
      </c>
      <c r="C8" t="s">
        <v>202</v>
      </c>
      <c r="D8" t="s">
        <v>203</v>
      </c>
      <c r="E8" t="s">
        <v>182</v>
      </c>
      <c r="F8" t="s">
        <v>183</v>
      </c>
      <c r="G8" s="2">
        <v>70333380</v>
      </c>
    </row>
    <row r="9" spans="1:7" x14ac:dyDescent="0.25">
      <c r="A9" t="s">
        <v>2196</v>
      </c>
      <c r="B9" t="s">
        <v>2196</v>
      </c>
      <c r="C9" t="s">
        <v>214</v>
      </c>
      <c r="D9" t="s">
        <v>216</v>
      </c>
      <c r="E9" t="s">
        <v>218</v>
      </c>
      <c r="F9" t="s">
        <v>219</v>
      </c>
      <c r="G9" s="2">
        <v>6255504</v>
      </c>
    </row>
    <row r="10" spans="1:7" x14ac:dyDescent="0.25">
      <c r="A10" t="s">
        <v>2196</v>
      </c>
      <c r="B10" t="s">
        <v>2196</v>
      </c>
      <c r="C10" t="s">
        <v>51</v>
      </c>
      <c r="D10" t="s">
        <v>52</v>
      </c>
      <c r="E10" t="s">
        <v>55</v>
      </c>
      <c r="F10" t="s">
        <v>56</v>
      </c>
      <c r="G10" s="2">
        <v>6712008</v>
      </c>
    </row>
    <row r="11" spans="1:7" x14ac:dyDescent="0.25">
      <c r="A11" t="s">
        <v>2196</v>
      </c>
      <c r="B11" t="s">
        <v>2196</v>
      </c>
      <c r="C11" t="s">
        <v>222</v>
      </c>
      <c r="D11" t="s">
        <v>224</v>
      </c>
      <c r="E11" t="s">
        <v>227</v>
      </c>
      <c r="F11" t="s">
        <v>228</v>
      </c>
      <c r="G11" s="2">
        <v>48115128</v>
      </c>
    </row>
    <row r="12" spans="1:7" x14ac:dyDescent="0.25">
      <c r="A12" t="s">
        <v>2196</v>
      </c>
      <c r="B12" t="s">
        <v>2196</v>
      </c>
      <c r="C12" t="s">
        <v>238</v>
      </c>
      <c r="D12" t="s">
        <v>239</v>
      </c>
      <c r="E12" t="s">
        <v>227</v>
      </c>
      <c r="F12" t="s">
        <v>228</v>
      </c>
      <c r="G12" s="2">
        <v>237155100</v>
      </c>
    </row>
    <row r="13" spans="1:7" x14ac:dyDescent="0.25">
      <c r="A13" t="s">
        <v>2196</v>
      </c>
      <c r="B13" t="s">
        <v>2196</v>
      </c>
      <c r="C13" t="s">
        <v>244</v>
      </c>
      <c r="D13" t="s">
        <v>245</v>
      </c>
      <c r="E13" t="s">
        <v>227</v>
      </c>
      <c r="F13" t="s">
        <v>228</v>
      </c>
      <c r="G13" s="2">
        <v>284700000</v>
      </c>
    </row>
    <row r="14" spans="1:7" x14ac:dyDescent="0.25">
      <c r="A14" t="s">
        <v>2196</v>
      </c>
      <c r="B14" t="s">
        <v>2196</v>
      </c>
      <c r="C14" t="s">
        <v>68</v>
      </c>
      <c r="D14" t="s">
        <v>70</v>
      </c>
      <c r="E14" t="s">
        <v>74</v>
      </c>
      <c r="F14" t="s">
        <v>75</v>
      </c>
      <c r="G14" s="2">
        <v>40432878</v>
      </c>
    </row>
    <row r="15" spans="1:7" x14ac:dyDescent="0.25">
      <c r="A15" t="s">
        <v>2196</v>
      </c>
      <c r="B15" t="s">
        <v>2196</v>
      </c>
      <c r="C15" t="s">
        <v>59</v>
      </c>
      <c r="D15" t="s">
        <v>60</v>
      </c>
      <c r="E15" t="s">
        <v>64</v>
      </c>
      <c r="F15" t="s">
        <v>65</v>
      </c>
      <c r="G15" s="2">
        <v>43333332</v>
      </c>
    </row>
    <row r="16" spans="1:7" x14ac:dyDescent="0.25">
      <c r="A16" t="s">
        <v>2196</v>
      </c>
      <c r="B16" t="s">
        <v>2196</v>
      </c>
      <c r="C16" t="s">
        <v>82</v>
      </c>
      <c r="D16" t="s">
        <v>83</v>
      </c>
      <c r="E16" t="s">
        <v>74</v>
      </c>
      <c r="F16" t="s">
        <v>85</v>
      </c>
      <c r="G16" s="2">
        <v>78361124</v>
      </c>
    </row>
    <row r="17" spans="1:7" x14ac:dyDescent="0.25">
      <c r="A17" t="s">
        <v>2196</v>
      </c>
      <c r="B17" t="s">
        <v>2196</v>
      </c>
      <c r="C17" t="s">
        <v>91</v>
      </c>
      <c r="D17" t="s">
        <v>92</v>
      </c>
      <c r="E17" t="s">
        <v>74</v>
      </c>
      <c r="F17" t="s">
        <v>85</v>
      </c>
      <c r="G17" s="2">
        <v>78361124</v>
      </c>
    </row>
    <row r="18" spans="1:7" x14ac:dyDescent="0.25">
      <c r="A18" t="s">
        <v>2196</v>
      </c>
      <c r="B18" t="s">
        <v>2196</v>
      </c>
      <c r="C18" t="s">
        <v>103</v>
      </c>
      <c r="D18" t="s">
        <v>105</v>
      </c>
      <c r="E18" t="s">
        <v>109</v>
      </c>
      <c r="F18" t="s">
        <v>110</v>
      </c>
      <c r="G18" s="2">
        <v>18060000</v>
      </c>
    </row>
    <row r="19" spans="1:7" x14ac:dyDescent="0.25">
      <c r="A19" t="s">
        <v>2196</v>
      </c>
      <c r="B19" t="s">
        <v>2196</v>
      </c>
      <c r="C19" t="s">
        <v>117</v>
      </c>
      <c r="D19" t="s">
        <v>119</v>
      </c>
      <c r="E19" t="s">
        <v>122</v>
      </c>
      <c r="F19" t="s">
        <v>123</v>
      </c>
      <c r="G19" s="2">
        <v>150000000</v>
      </c>
    </row>
    <row r="20" spans="1:7" x14ac:dyDescent="0.25">
      <c r="A20" t="s">
        <v>2196</v>
      </c>
      <c r="B20" t="s">
        <v>2196</v>
      </c>
      <c r="C20" t="s">
        <v>128</v>
      </c>
      <c r="D20" t="s">
        <v>130</v>
      </c>
      <c r="E20" t="s">
        <v>109</v>
      </c>
      <c r="F20" t="s">
        <v>133</v>
      </c>
      <c r="G20" s="2">
        <v>397359215</v>
      </c>
    </row>
    <row r="21" spans="1:7" x14ac:dyDescent="0.25">
      <c r="A21" t="s">
        <v>2196</v>
      </c>
      <c r="B21" t="s">
        <v>2196</v>
      </c>
      <c r="C21" t="s">
        <v>136</v>
      </c>
      <c r="D21" t="s">
        <v>138</v>
      </c>
      <c r="E21" t="s">
        <v>141</v>
      </c>
      <c r="F21" t="s">
        <v>142</v>
      </c>
      <c r="G21" s="2">
        <v>496977708</v>
      </c>
    </row>
    <row r="22" spans="1:7" x14ac:dyDescent="0.25">
      <c r="A22" t="s">
        <v>2196</v>
      </c>
      <c r="B22" t="s">
        <v>2196</v>
      </c>
      <c r="C22" t="s">
        <v>148</v>
      </c>
      <c r="D22" t="s">
        <v>150</v>
      </c>
      <c r="E22" t="s">
        <v>153</v>
      </c>
      <c r="F22" t="s">
        <v>154</v>
      </c>
      <c r="G22" s="2">
        <v>118000004</v>
      </c>
    </row>
    <row r="23" spans="1:7" x14ac:dyDescent="0.25">
      <c r="A23" t="s">
        <v>2196</v>
      </c>
      <c r="B23" t="s">
        <v>2196</v>
      </c>
      <c r="C23" t="s">
        <v>165</v>
      </c>
      <c r="D23" t="s">
        <v>167</v>
      </c>
      <c r="E23" t="s">
        <v>169</v>
      </c>
      <c r="F23" t="s">
        <v>65</v>
      </c>
      <c r="G23" s="2">
        <v>10000004</v>
      </c>
    </row>
    <row r="24" spans="1:7" x14ac:dyDescent="0.25">
      <c r="A24" t="s">
        <v>2196</v>
      </c>
      <c r="B24" t="s">
        <v>2196</v>
      </c>
      <c r="C24" t="s">
        <v>177</v>
      </c>
      <c r="D24" t="s">
        <v>179</v>
      </c>
      <c r="E24" t="s">
        <v>182</v>
      </c>
      <c r="F24" t="s">
        <v>183</v>
      </c>
      <c r="G24" s="2">
        <v>905196910</v>
      </c>
    </row>
    <row r="25" spans="1:7" x14ac:dyDescent="0.25">
      <c r="A25" t="s">
        <v>2196</v>
      </c>
      <c r="B25" t="s">
        <v>2196</v>
      </c>
      <c r="C25" t="s">
        <v>313</v>
      </c>
      <c r="D25" t="s">
        <v>315</v>
      </c>
      <c r="E25" t="s">
        <v>319</v>
      </c>
      <c r="F25" t="s">
        <v>320</v>
      </c>
      <c r="G25" s="2">
        <v>36208337</v>
      </c>
    </row>
    <row r="26" spans="1:7" x14ac:dyDescent="0.25">
      <c r="A26" t="s">
        <v>2196</v>
      </c>
      <c r="B26" t="s">
        <v>2196</v>
      </c>
      <c r="C26" t="s">
        <v>323</v>
      </c>
      <c r="D26" t="s">
        <v>324</v>
      </c>
      <c r="E26" t="s">
        <v>319</v>
      </c>
      <c r="F26" t="s">
        <v>320</v>
      </c>
      <c r="G26" s="2">
        <v>28875000</v>
      </c>
    </row>
    <row r="27" spans="1:7" x14ac:dyDescent="0.25">
      <c r="A27" t="s">
        <v>2196</v>
      </c>
      <c r="B27" t="s">
        <v>2196</v>
      </c>
      <c r="C27" t="s">
        <v>328</v>
      </c>
      <c r="D27" t="s">
        <v>329</v>
      </c>
      <c r="E27" t="s">
        <v>332</v>
      </c>
      <c r="F27" t="s">
        <v>333</v>
      </c>
      <c r="G27" s="2">
        <v>52500000</v>
      </c>
    </row>
    <row r="28" spans="1:7" x14ac:dyDescent="0.25">
      <c r="A28" t="s">
        <v>2196</v>
      </c>
      <c r="B28" t="s">
        <v>2196</v>
      </c>
      <c r="C28" t="s">
        <v>337</v>
      </c>
      <c r="D28" t="s">
        <v>338</v>
      </c>
      <c r="E28" t="s">
        <v>341</v>
      </c>
      <c r="F28" t="s">
        <v>342</v>
      </c>
      <c r="G28" s="2">
        <v>11000004</v>
      </c>
    </row>
    <row r="29" spans="1:7" x14ac:dyDescent="0.25">
      <c r="A29" t="s">
        <v>2196</v>
      </c>
      <c r="B29" t="s">
        <v>2196</v>
      </c>
      <c r="C29" t="s">
        <v>355</v>
      </c>
      <c r="D29" t="s">
        <v>357</v>
      </c>
      <c r="E29" t="s">
        <v>360</v>
      </c>
      <c r="F29" t="s">
        <v>361</v>
      </c>
      <c r="G29" s="2">
        <v>30250000</v>
      </c>
    </row>
    <row r="30" spans="1:7" x14ac:dyDescent="0.25">
      <c r="A30" t="s">
        <v>2196</v>
      </c>
      <c r="B30" t="s">
        <v>2196</v>
      </c>
      <c r="C30" t="s">
        <v>366</v>
      </c>
      <c r="D30" t="s">
        <v>368</v>
      </c>
      <c r="E30" t="s">
        <v>341</v>
      </c>
      <c r="F30" t="s">
        <v>372</v>
      </c>
      <c r="G30" s="2">
        <v>80000000</v>
      </c>
    </row>
    <row r="31" spans="1:7" x14ac:dyDescent="0.25">
      <c r="A31" t="s">
        <v>2196</v>
      </c>
      <c r="B31" t="s">
        <v>2196</v>
      </c>
      <c r="C31" t="s">
        <v>382</v>
      </c>
      <c r="D31" t="s">
        <v>383</v>
      </c>
      <c r="E31" t="s">
        <v>385</v>
      </c>
      <c r="F31" t="s">
        <v>386</v>
      </c>
      <c r="G31" s="2">
        <v>16041663</v>
      </c>
    </row>
    <row r="32" spans="1:7" x14ac:dyDescent="0.25">
      <c r="A32" t="s">
        <v>2196</v>
      </c>
      <c r="B32" t="s">
        <v>2196</v>
      </c>
      <c r="C32" t="s">
        <v>389</v>
      </c>
      <c r="D32" t="s">
        <v>390</v>
      </c>
      <c r="E32" t="s">
        <v>378</v>
      </c>
      <c r="F32" t="s">
        <v>361</v>
      </c>
      <c r="G32" s="2">
        <v>16500000</v>
      </c>
    </row>
    <row r="33" spans="1:7" x14ac:dyDescent="0.25">
      <c r="A33" t="s">
        <v>2196</v>
      </c>
      <c r="B33" t="s">
        <v>2196</v>
      </c>
      <c r="C33" t="s">
        <v>392</v>
      </c>
      <c r="D33" t="s">
        <v>393</v>
      </c>
      <c r="E33" t="s">
        <v>395</v>
      </c>
      <c r="F33" t="s">
        <v>396</v>
      </c>
      <c r="G33" s="2">
        <v>17416663</v>
      </c>
    </row>
    <row r="34" spans="1:7" x14ac:dyDescent="0.25">
      <c r="A34" t="s">
        <v>2196</v>
      </c>
      <c r="B34" t="s">
        <v>2196</v>
      </c>
      <c r="C34" t="s">
        <v>399</v>
      </c>
      <c r="D34" t="s">
        <v>400</v>
      </c>
      <c r="E34" t="s">
        <v>402</v>
      </c>
      <c r="F34" t="s">
        <v>320</v>
      </c>
      <c r="G34" s="2">
        <v>28875000</v>
      </c>
    </row>
    <row r="35" spans="1:7" x14ac:dyDescent="0.25">
      <c r="A35" t="s">
        <v>2196</v>
      </c>
      <c r="B35" t="s">
        <v>2196</v>
      </c>
      <c r="C35" t="s">
        <v>405</v>
      </c>
      <c r="D35" t="s">
        <v>406</v>
      </c>
      <c r="E35" t="s">
        <v>360</v>
      </c>
      <c r="F35" t="s">
        <v>361</v>
      </c>
      <c r="G35" s="2">
        <v>23833337</v>
      </c>
    </row>
    <row r="36" spans="1:7" x14ac:dyDescent="0.25">
      <c r="A36" t="s">
        <v>2196</v>
      </c>
      <c r="B36" t="s">
        <v>2196</v>
      </c>
      <c r="C36" t="s">
        <v>408</v>
      </c>
      <c r="D36" t="s">
        <v>410</v>
      </c>
      <c r="E36" t="s">
        <v>414</v>
      </c>
      <c r="F36" t="s">
        <v>415</v>
      </c>
      <c r="G36" s="2">
        <v>500000000</v>
      </c>
    </row>
    <row r="37" spans="1:7" x14ac:dyDescent="0.25">
      <c r="A37" t="s">
        <v>2196</v>
      </c>
      <c r="B37" t="s">
        <v>2196</v>
      </c>
      <c r="C37" t="s">
        <v>418</v>
      </c>
      <c r="D37" t="s">
        <v>419</v>
      </c>
      <c r="E37" t="s">
        <v>422</v>
      </c>
      <c r="F37" t="s">
        <v>423</v>
      </c>
      <c r="G37" s="2">
        <v>87524976</v>
      </c>
    </row>
    <row r="38" spans="1:7" x14ac:dyDescent="0.25">
      <c r="A38" t="s">
        <v>2196</v>
      </c>
      <c r="B38" t="s">
        <v>2196</v>
      </c>
      <c r="C38" t="s">
        <v>426</v>
      </c>
      <c r="D38" t="s">
        <v>428</v>
      </c>
      <c r="E38" t="s">
        <v>430</v>
      </c>
      <c r="F38" t="s">
        <v>431</v>
      </c>
      <c r="G38" s="2">
        <v>48583326</v>
      </c>
    </row>
    <row r="39" spans="1:7" x14ac:dyDescent="0.25">
      <c r="A39" t="s">
        <v>2196</v>
      </c>
      <c r="B39" t="s">
        <v>2196</v>
      </c>
      <c r="C39" t="s">
        <v>434</v>
      </c>
      <c r="D39" t="s">
        <v>435</v>
      </c>
      <c r="E39" t="s">
        <v>319</v>
      </c>
      <c r="F39" t="s">
        <v>320</v>
      </c>
      <c r="G39" s="2">
        <v>73333326</v>
      </c>
    </row>
    <row r="40" spans="1:7" x14ac:dyDescent="0.25">
      <c r="A40" t="s">
        <v>2196</v>
      </c>
      <c r="B40" t="s">
        <v>2196</v>
      </c>
      <c r="C40" t="s">
        <v>438</v>
      </c>
      <c r="D40" t="s">
        <v>440</v>
      </c>
      <c r="E40" t="s">
        <v>360</v>
      </c>
      <c r="F40" t="s">
        <v>361</v>
      </c>
      <c r="G40" s="2">
        <v>6417500</v>
      </c>
    </row>
    <row r="41" spans="1:7" x14ac:dyDescent="0.25">
      <c r="A41" t="s">
        <v>2196</v>
      </c>
      <c r="B41" t="s">
        <v>2196</v>
      </c>
      <c r="C41" t="s">
        <v>444</v>
      </c>
      <c r="D41" t="s">
        <v>445</v>
      </c>
      <c r="E41" t="s">
        <v>37</v>
      </c>
      <c r="F41" t="s">
        <v>449</v>
      </c>
      <c r="G41" s="2">
        <v>89478000</v>
      </c>
    </row>
    <row r="42" spans="1:7" x14ac:dyDescent="0.25">
      <c r="A42" t="s">
        <v>2196</v>
      </c>
      <c r="B42" t="s">
        <v>2196</v>
      </c>
      <c r="C42" t="s">
        <v>452</v>
      </c>
      <c r="D42" t="s">
        <v>454</v>
      </c>
      <c r="E42" t="s">
        <v>457</v>
      </c>
      <c r="F42" t="s">
        <v>458</v>
      </c>
      <c r="G42" s="2">
        <v>189933326</v>
      </c>
    </row>
    <row r="43" spans="1:7" x14ac:dyDescent="0.25">
      <c r="A43" t="s">
        <v>2196</v>
      </c>
      <c r="B43" t="s">
        <v>2196</v>
      </c>
      <c r="C43" t="s">
        <v>461</v>
      </c>
      <c r="D43" t="s">
        <v>462</v>
      </c>
      <c r="E43" t="s">
        <v>465</v>
      </c>
      <c r="F43" t="s">
        <v>466</v>
      </c>
      <c r="G43" s="2">
        <v>246357600</v>
      </c>
    </row>
    <row r="44" spans="1:7" x14ac:dyDescent="0.25">
      <c r="A44" t="s">
        <v>2196</v>
      </c>
      <c r="B44" t="s">
        <v>2196</v>
      </c>
      <c r="C44" t="s">
        <v>476</v>
      </c>
      <c r="D44" t="s">
        <v>477</v>
      </c>
      <c r="E44" t="s">
        <v>227</v>
      </c>
      <c r="F44" t="s">
        <v>480</v>
      </c>
      <c r="G44" s="2">
        <v>114626790</v>
      </c>
    </row>
    <row r="45" spans="1:7" x14ac:dyDescent="0.25">
      <c r="A45" t="s">
        <v>2196</v>
      </c>
      <c r="B45" t="s">
        <v>2196</v>
      </c>
      <c r="C45" t="s">
        <v>482</v>
      </c>
      <c r="D45" t="s">
        <v>484</v>
      </c>
      <c r="E45" t="s">
        <v>487</v>
      </c>
      <c r="F45" t="s">
        <v>488</v>
      </c>
      <c r="G45" s="2">
        <v>16817500</v>
      </c>
    </row>
    <row r="46" spans="1:7" x14ac:dyDescent="0.25">
      <c r="A46" t="s">
        <v>2196</v>
      </c>
      <c r="B46" t="s">
        <v>2196</v>
      </c>
      <c r="C46" t="s">
        <v>493</v>
      </c>
      <c r="D46" t="s">
        <v>494</v>
      </c>
      <c r="E46" t="s">
        <v>497</v>
      </c>
      <c r="F46" t="s">
        <v>302</v>
      </c>
      <c r="G46" s="2">
        <v>72999996</v>
      </c>
    </row>
    <row r="47" spans="1:7" x14ac:dyDescent="0.25">
      <c r="A47" t="s">
        <v>2196</v>
      </c>
      <c r="B47" t="s">
        <v>2196</v>
      </c>
      <c r="C47" t="s">
        <v>499</v>
      </c>
      <c r="D47" t="s">
        <v>501</v>
      </c>
      <c r="E47" t="s">
        <v>505</v>
      </c>
      <c r="F47" t="s">
        <v>506</v>
      </c>
      <c r="G47" s="2">
        <v>56250000</v>
      </c>
    </row>
    <row r="48" spans="1:7" x14ac:dyDescent="0.25">
      <c r="A48" t="s">
        <v>2196</v>
      </c>
      <c r="B48" t="s">
        <v>2196</v>
      </c>
      <c r="C48" t="s">
        <v>509</v>
      </c>
      <c r="D48" t="s">
        <v>510</v>
      </c>
      <c r="E48" t="s">
        <v>513</v>
      </c>
      <c r="F48" t="s">
        <v>514</v>
      </c>
      <c r="G48" s="2">
        <v>83594337</v>
      </c>
    </row>
    <row r="49" spans="1:7" x14ac:dyDescent="0.25">
      <c r="A49" t="s">
        <v>2196</v>
      </c>
      <c r="B49" t="s">
        <v>2196</v>
      </c>
      <c r="C49" t="s">
        <v>517</v>
      </c>
      <c r="D49" t="s">
        <v>518</v>
      </c>
      <c r="E49" t="s">
        <v>522</v>
      </c>
      <c r="F49" t="s">
        <v>523</v>
      </c>
      <c r="G49" s="2">
        <v>10192001</v>
      </c>
    </row>
    <row r="50" spans="1:7" x14ac:dyDescent="0.25">
      <c r="A50" t="s">
        <v>2196</v>
      </c>
      <c r="B50" t="s">
        <v>2196</v>
      </c>
      <c r="C50" t="s">
        <v>527</v>
      </c>
      <c r="D50" t="s">
        <v>528</v>
      </c>
      <c r="E50" t="s">
        <v>531</v>
      </c>
      <c r="F50" t="s">
        <v>532</v>
      </c>
      <c r="G50" s="2">
        <v>40000000</v>
      </c>
    </row>
    <row r="51" spans="1:7" x14ac:dyDescent="0.25">
      <c r="A51" t="s">
        <v>2196</v>
      </c>
      <c r="B51" t="s">
        <v>2196</v>
      </c>
      <c r="C51" t="s">
        <v>535</v>
      </c>
      <c r="D51" t="s">
        <v>537</v>
      </c>
      <c r="E51" t="s">
        <v>531</v>
      </c>
      <c r="F51" t="s">
        <v>532</v>
      </c>
      <c r="G51" s="2">
        <v>80000000</v>
      </c>
    </row>
    <row r="52" spans="1:7" x14ac:dyDescent="0.25">
      <c r="A52" t="s">
        <v>2196</v>
      </c>
      <c r="B52" t="s">
        <v>2196</v>
      </c>
      <c r="C52" t="s">
        <v>539</v>
      </c>
      <c r="D52" t="s">
        <v>541</v>
      </c>
      <c r="E52" t="s">
        <v>55</v>
      </c>
      <c r="F52" t="s">
        <v>544</v>
      </c>
      <c r="G52" s="2">
        <v>39999996</v>
      </c>
    </row>
    <row r="53" spans="1:7" x14ac:dyDescent="0.25">
      <c r="A53" t="s">
        <v>2196</v>
      </c>
      <c r="B53" t="s">
        <v>2196</v>
      </c>
      <c r="C53" t="s">
        <v>548</v>
      </c>
      <c r="D53" t="s">
        <v>550</v>
      </c>
      <c r="E53" t="s">
        <v>55</v>
      </c>
      <c r="F53" t="s">
        <v>544</v>
      </c>
      <c r="G53" s="2">
        <v>96100000</v>
      </c>
    </row>
    <row r="54" spans="1:7" x14ac:dyDescent="0.25">
      <c r="A54" t="s">
        <v>2196</v>
      </c>
      <c r="B54" t="s">
        <v>2196</v>
      </c>
      <c r="C54" t="s">
        <v>552</v>
      </c>
      <c r="D54" t="s">
        <v>553</v>
      </c>
      <c r="E54" t="s">
        <v>122</v>
      </c>
      <c r="F54" t="s">
        <v>555</v>
      </c>
      <c r="G54" s="2">
        <v>100200000</v>
      </c>
    </row>
    <row r="55" spans="1:7" x14ac:dyDescent="0.25">
      <c r="A55" t="s">
        <v>2196</v>
      </c>
      <c r="B55" t="s">
        <v>2196</v>
      </c>
      <c r="C55" t="s">
        <v>557</v>
      </c>
      <c r="D55" t="s">
        <v>558</v>
      </c>
      <c r="E55" t="s">
        <v>122</v>
      </c>
      <c r="F55" t="s">
        <v>555</v>
      </c>
      <c r="G55" s="2">
        <v>30000000</v>
      </c>
    </row>
    <row r="56" spans="1:7" x14ac:dyDescent="0.25">
      <c r="A56" t="s">
        <v>2196</v>
      </c>
      <c r="B56" t="s">
        <v>2196</v>
      </c>
      <c r="C56" t="s">
        <v>560</v>
      </c>
      <c r="D56" t="s">
        <v>562</v>
      </c>
      <c r="E56" t="s">
        <v>169</v>
      </c>
      <c r="F56" t="s">
        <v>65</v>
      </c>
      <c r="G56" s="2">
        <v>69333336</v>
      </c>
    </row>
    <row r="57" spans="1:7" x14ac:dyDescent="0.25">
      <c r="A57" t="s">
        <v>2196</v>
      </c>
      <c r="B57" t="s">
        <v>2196</v>
      </c>
      <c r="C57" t="s">
        <v>251</v>
      </c>
      <c r="D57" t="s">
        <v>253</v>
      </c>
      <c r="E57" t="s">
        <v>257</v>
      </c>
      <c r="F57" t="s">
        <v>258</v>
      </c>
      <c r="G57" s="2">
        <v>355624997</v>
      </c>
    </row>
    <row r="58" spans="1:7" x14ac:dyDescent="0.25">
      <c r="A58" t="s">
        <v>2196</v>
      </c>
      <c r="B58" t="s">
        <v>2196</v>
      </c>
      <c r="C58" t="s">
        <v>375</v>
      </c>
      <c r="D58" t="s">
        <v>376</v>
      </c>
      <c r="E58" t="s">
        <v>378</v>
      </c>
      <c r="F58" t="s">
        <v>361</v>
      </c>
      <c r="G58" s="2">
        <v>17416663</v>
      </c>
    </row>
    <row r="59" spans="1:7" x14ac:dyDescent="0.25">
      <c r="A59" t="s">
        <v>2196</v>
      </c>
      <c r="B59" t="s">
        <v>2196</v>
      </c>
      <c r="C59" t="s">
        <v>468</v>
      </c>
      <c r="D59" t="s">
        <v>470</v>
      </c>
      <c r="E59" t="s">
        <v>473</v>
      </c>
      <c r="F59" t="s">
        <v>474</v>
      </c>
      <c r="G59" s="2">
        <v>394362600</v>
      </c>
    </row>
    <row r="60" spans="1:7" x14ac:dyDescent="0.25">
      <c r="A60" t="s">
        <v>2196</v>
      </c>
      <c r="B60" t="s">
        <v>2196</v>
      </c>
      <c r="C60" t="s">
        <v>545</v>
      </c>
      <c r="D60" t="s">
        <v>546</v>
      </c>
      <c r="E60" t="s">
        <v>414</v>
      </c>
      <c r="F60" t="s">
        <v>415</v>
      </c>
      <c r="G60" s="2">
        <v>30800000</v>
      </c>
    </row>
    <row r="61" spans="1:7" x14ac:dyDescent="0.25">
      <c r="A61" t="s">
        <v>2199</v>
      </c>
      <c r="B61" t="s">
        <v>1238</v>
      </c>
      <c r="C61" t="s">
        <v>1369</v>
      </c>
      <c r="D61" t="s">
        <v>1370</v>
      </c>
      <c r="E61" t="s">
        <v>1299</v>
      </c>
      <c r="F61" t="s">
        <v>1300</v>
      </c>
      <c r="G61" s="2">
        <v>1578831000</v>
      </c>
    </row>
    <row r="62" spans="1:7" x14ac:dyDescent="0.25">
      <c r="A62" t="s">
        <v>2199</v>
      </c>
      <c r="B62" t="s">
        <v>1238</v>
      </c>
      <c r="C62" t="s">
        <v>1385</v>
      </c>
      <c r="D62" t="s">
        <v>1386</v>
      </c>
      <c r="E62" t="s">
        <v>1299</v>
      </c>
      <c r="F62" t="s">
        <v>1300</v>
      </c>
      <c r="G62" s="2">
        <v>1969068000</v>
      </c>
    </row>
    <row r="63" spans="1:7" x14ac:dyDescent="0.25">
      <c r="A63" t="s">
        <v>2199</v>
      </c>
      <c r="B63" t="s">
        <v>1238</v>
      </c>
      <c r="C63" t="s">
        <v>1387</v>
      </c>
      <c r="D63" t="s">
        <v>1388</v>
      </c>
      <c r="E63" t="s">
        <v>1299</v>
      </c>
      <c r="F63" t="s">
        <v>1300</v>
      </c>
      <c r="G63" s="2">
        <v>18632000</v>
      </c>
    </row>
    <row r="64" spans="1:7" x14ac:dyDescent="0.25">
      <c r="A64" t="s">
        <v>2199</v>
      </c>
      <c r="B64" t="s">
        <v>1238</v>
      </c>
      <c r="C64" t="s">
        <v>1393</v>
      </c>
      <c r="D64" t="s">
        <v>1394</v>
      </c>
      <c r="E64" t="s">
        <v>1299</v>
      </c>
      <c r="F64" t="s">
        <v>1300</v>
      </c>
      <c r="G64" s="2">
        <v>280000000</v>
      </c>
    </row>
    <row r="65" spans="1:7" x14ac:dyDescent="0.25">
      <c r="A65" t="s">
        <v>2199</v>
      </c>
      <c r="B65" t="s">
        <v>1238</v>
      </c>
      <c r="C65" t="s">
        <v>1398</v>
      </c>
      <c r="D65" t="s">
        <v>1399</v>
      </c>
      <c r="E65" t="s">
        <v>1299</v>
      </c>
      <c r="F65" t="s">
        <v>1300</v>
      </c>
      <c r="G65" s="2">
        <v>61000000</v>
      </c>
    </row>
    <row r="66" spans="1:7" x14ac:dyDescent="0.25">
      <c r="A66" t="s">
        <v>2199</v>
      </c>
      <c r="B66" t="s">
        <v>1238</v>
      </c>
      <c r="C66" t="s">
        <v>1464</v>
      </c>
      <c r="D66" t="s">
        <v>1465</v>
      </c>
      <c r="E66" t="s">
        <v>1075</v>
      </c>
      <c r="F66" t="s">
        <v>1076</v>
      </c>
      <c r="G66" s="2">
        <v>1000000</v>
      </c>
    </row>
    <row r="67" spans="1:7" x14ac:dyDescent="0.25">
      <c r="A67" t="s">
        <v>2199</v>
      </c>
      <c r="B67" t="s">
        <v>1238</v>
      </c>
      <c r="C67" t="s">
        <v>1485</v>
      </c>
      <c r="D67" t="s">
        <v>1486</v>
      </c>
      <c r="E67" t="s">
        <v>1211</v>
      </c>
      <c r="F67" t="s">
        <v>320</v>
      </c>
      <c r="G67" s="2">
        <v>250000</v>
      </c>
    </row>
    <row r="68" spans="1:7" x14ac:dyDescent="0.25">
      <c r="A68" t="s">
        <v>2199</v>
      </c>
      <c r="B68" t="s">
        <v>1238</v>
      </c>
      <c r="C68" t="s">
        <v>1624</v>
      </c>
      <c r="D68" t="s">
        <v>1621</v>
      </c>
      <c r="E68" t="s">
        <v>1608</v>
      </c>
      <c r="F68" t="s">
        <v>361</v>
      </c>
      <c r="G68" s="2">
        <v>780000</v>
      </c>
    </row>
    <row r="69" spans="1:7" x14ac:dyDescent="0.25">
      <c r="A69" t="s">
        <v>2199</v>
      </c>
      <c r="B69" t="s">
        <v>1238</v>
      </c>
      <c r="C69" t="s">
        <v>1673</v>
      </c>
      <c r="D69" t="s">
        <v>1674</v>
      </c>
      <c r="E69" t="s">
        <v>1299</v>
      </c>
      <c r="F69" t="s">
        <v>1300</v>
      </c>
      <c r="G69" s="2">
        <v>6773000</v>
      </c>
    </row>
    <row r="70" spans="1:7" x14ac:dyDescent="0.25">
      <c r="A70" t="s">
        <v>2199</v>
      </c>
      <c r="B70" t="s">
        <v>1238</v>
      </c>
      <c r="C70" t="s">
        <v>2037</v>
      </c>
      <c r="D70" t="s">
        <v>1658</v>
      </c>
      <c r="E70" t="s">
        <v>2039</v>
      </c>
      <c r="F70" t="s">
        <v>1661</v>
      </c>
      <c r="G70" s="2">
        <v>19000000</v>
      </c>
    </row>
    <row r="71" spans="1:7" x14ac:dyDescent="0.25">
      <c r="A71" t="s">
        <v>2199</v>
      </c>
      <c r="B71" t="s">
        <v>1238</v>
      </c>
      <c r="C71" t="s">
        <v>2063</v>
      </c>
      <c r="D71" t="s">
        <v>2064</v>
      </c>
      <c r="E71" t="s">
        <v>768</v>
      </c>
      <c r="F71" t="s">
        <v>966</v>
      </c>
      <c r="G71" s="2">
        <v>300000</v>
      </c>
    </row>
    <row r="72" spans="1:7" x14ac:dyDescent="0.25">
      <c r="A72" t="s">
        <v>2199</v>
      </c>
      <c r="B72" t="s">
        <v>1238</v>
      </c>
      <c r="C72" t="s">
        <v>2102</v>
      </c>
      <c r="D72" t="s">
        <v>2103</v>
      </c>
      <c r="E72" t="s">
        <v>1759</v>
      </c>
      <c r="F72" t="s">
        <v>1760</v>
      </c>
      <c r="G72" s="2">
        <v>16000000</v>
      </c>
    </row>
    <row r="73" spans="1:7" x14ac:dyDescent="0.25">
      <c r="A73" t="s">
        <v>2199</v>
      </c>
      <c r="B73" t="s">
        <v>1238</v>
      </c>
      <c r="C73" t="s">
        <v>2140</v>
      </c>
      <c r="D73" t="s">
        <v>2141</v>
      </c>
      <c r="E73" t="s">
        <v>768</v>
      </c>
      <c r="F73" t="s">
        <v>966</v>
      </c>
      <c r="G73" s="2">
        <v>250000</v>
      </c>
    </row>
    <row r="74" spans="1:7" x14ac:dyDescent="0.25">
      <c r="A74" t="s">
        <v>2199</v>
      </c>
      <c r="B74" t="s">
        <v>1238</v>
      </c>
      <c r="C74" t="s">
        <v>1239</v>
      </c>
      <c r="D74" t="s">
        <v>1241</v>
      </c>
      <c r="E74" t="s">
        <v>122</v>
      </c>
      <c r="F74" t="s">
        <v>544</v>
      </c>
      <c r="G74" s="2">
        <v>108183000</v>
      </c>
    </row>
    <row r="75" spans="1:7" x14ac:dyDescent="0.25">
      <c r="A75" t="s">
        <v>2199</v>
      </c>
      <c r="B75" t="s">
        <v>1238</v>
      </c>
      <c r="C75" t="s">
        <v>1289</v>
      </c>
      <c r="D75" t="s">
        <v>1291</v>
      </c>
      <c r="E75" t="s">
        <v>768</v>
      </c>
      <c r="F75" t="s">
        <v>386</v>
      </c>
      <c r="G75" s="2">
        <v>4000005</v>
      </c>
    </row>
    <row r="76" spans="1:7" x14ac:dyDescent="0.25">
      <c r="A76" t="s">
        <v>2199</v>
      </c>
      <c r="B76" t="s">
        <v>1238</v>
      </c>
      <c r="C76" t="s">
        <v>1295</v>
      </c>
      <c r="D76" t="s">
        <v>1297</v>
      </c>
      <c r="E76" t="s">
        <v>1299</v>
      </c>
      <c r="F76" t="s">
        <v>1300</v>
      </c>
      <c r="G76" s="2">
        <v>142663000</v>
      </c>
    </row>
    <row r="77" spans="1:7" x14ac:dyDescent="0.25">
      <c r="A77" t="s">
        <v>2199</v>
      </c>
      <c r="B77" t="s">
        <v>1238</v>
      </c>
      <c r="C77" t="s">
        <v>1349</v>
      </c>
      <c r="D77" t="s">
        <v>1350</v>
      </c>
      <c r="E77" t="s">
        <v>1299</v>
      </c>
      <c r="F77" t="s">
        <v>1300</v>
      </c>
      <c r="G77" s="2">
        <v>210000000</v>
      </c>
    </row>
    <row r="78" spans="1:7" x14ac:dyDescent="0.25">
      <c r="A78" t="s">
        <v>2199</v>
      </c>
      <c r="B78" t="s">
        <v>1238</v>
      </c>
      <c r="C78" t="s">
        <v>1352</v>
      </c>
      <c r="D78" t="s">
        <v>1353</v>
      </c>
      <c r="E78" t="s">
        <v>1299</v>
      </c>
      <c r="F78" t="s">
        <v>1300</v>
      </c>
      <c r="G78" s="2">
        <v>129075000</v>
      </c>
    </row>
    <row r="79" spans="1:7" x14ac:dyDescent="0.25">
      <c r="A79" t="s">
        <v>2199</v>
      </c>
      <c r="B79" t="s">
        <v>374</v>
      </c>
      <c r="C79" t="s">
        <v>1590</v>
      </c>
      <c r="D79" t="s">
        <v>1591</v>
      </c>
      <c r="E79" t="s">
        <v>761</v>
      </c>
      <c r="F79" t="s">
        <v>762</v>
      </c>
      <c r="G79" s="2">
        <v>295000</v>
      </c>
    </row>
    <row r="80" spans="1:7" x14ac:dyDescent="0.25">
      <c r="A80" t="s">
        <v>2199</v>
      </c>
      <c r="B80" t="s">
        <v>374</v>
      </c>
      <c r="C80" t="s">
        <v>1575</v>
      </c>
      <c r="D80" t="s">
        <v>1576</v>
      </c>
      <c r="E80" t="s">
        <v>761</v>
      </c>
      <c r="F80" t="s">
        <v>762</v>
      </c>
      <c r="G80" s="2">
        <v>6710000</v>
      </c>
    </row>
    <row r="81" spans="1:7" x14ac:dyDescent="0.25">
      <c r="A81" t="s">
        <v>2199</v>
      </c>
      <c r="B81" t="s">
        <v>374</v>
      </c>
      <c r="C81" t="s">
        <v>1595</v>
      </c>
      <c r="D81" t="s">
        <v>1597</v>
      </c>
      <c r="E81" t="s">
        <v>761</v>
      </c>
      <c r="F81" t="s">
        <v>762</v>
      </c>
      <c r="G81" s="2">
        <v>360000</v>
      </c>
    </row>
    <row r="82" spans="1:7" x14ac:dyDescent="0.25">
      <c r="A82" t="s">
        <v>2199</v>
      </c>
      <c r="B82" t="s">
        <v>374</v>
      </c>
      <c r="C82" t="s">
        <v>1645</v>
      </c>
      <c r="D82" t="s">
        <v>1646</v>
      </c>
      <c r="E82" t="s">
        <v>1649</v>
      </c>
      <c r="F82" t="s">
        <v>762</v>
      </c>
      <c r="G82" s="2">
        <v>4160004</v>
      </c>
    </row>
    <row r="83" spans="1:7" x14ac:dyDescent="0.25">
      <c r="A83" t="s">
        <v>2199</v>
      </c>
      <c r="B83" t="s">
        <v>374</v>
      </c>
      <c r="C83" t="s">
        <v>1650</v>
      </c>
      <c r="D83" t="s">
        <v>1651</v>
      </c>
      <c r="E83" t="s">
        <v>761</v>
      </c>
      <c r="F83" t="s">
        <v>762</v>
      </c>
      <c r="G83" s="2">
        <v>200004</v>
      </c>
    </row>
    <row r="84" spans="1:7" x14ac:dyDescent="0.25">
      <c r="A84" t="s">
        <v>2199</v>
      </c>
      <c r="B84" t="s">
        <v>374</v>
      </c>
      <c r="C84" t="s">
        <v>1654</v>
      </c>
      <c r="D84" t="s">
        <v>1655</v>
      </c>
      <c r="E84" t="s">
        <v>761</v>
      </c>
      <c r="F84" t="s">
        <v>762</v>
      </c>
      <c r="G84" s="2">
        <v>280000</v>
      </c>
    </row>
    <row r="85" spans="1:7" x14ac:dyDescent="0.25">
      <c r="A85" t="s">
        <v>2199</v>
      </c>
      <c r="B85" t="s">
        <v>374</v>
      </c>
      <c r="C85" t="s">
        <v>1657</v>
      </c>
      <c r="D85" t="s">
        <v>1658</v>
      </c>
      <c r="E85" t="s">
        <v>1660</v>
      </c>
      <c r="F85" t="s">
        <v>1661</v>
      </c>
      <c r="G85" s="2">
        <v>18710018</v>
      </c>
    </row>
    <row r="86" spans="1:7" x14ac:dyDescent="0.25">
      <c r="A86" t="s">
        <v>2199</v>
      </c>
      <c r="B86" t="s">
        <v>374</v>
      </c>
      <c r="C86" t="s">
        <v>1967</v>
      </c>
      <c r="D86" t="s">
        <v>1969</v>
      </c>
      <c r="E86" t="s">
        <v>768</v>
      </c>
      <c r="F86" t="s">
        <v>1972</v>
      </c>
      <c r="G86" s="2">
        <v>207409</v>
      </c>
    </row>
    <row r="87" spans="1:7" x14ac:dyDescent="0.25">
      <c r="A87" t="s">
        <v>2199</v>
      </c>
      <c r="B87" t="s">
        <v>374</v>
      </c>
      <c r="C87" t="s">
        <v>2028</v>
      </c>
      <c r="D87" t="s">
        <v>2029</v>
      </c>
      <c r="E87" t="s">
        <v>2032</v>
      </c>
      <c r="F87" t="s">
        <v>2033</v>
      </c>
      <c r="G87" s="2">
        <v>7584540</v>
      </c>
    </row>
    <row r="88" spans="1:7" x14ac:dyDescent="0.25">
      <c r="A88" t="s">
        <v>2199</v>
      </c>
      <c r="B88" t="s">
        <v>374</v>
      </c>
      <c r="C88" t="s">
        <v>2080</v>
      </c>
      <c r="D88" t="s">
        <v>2081</v>
      </c>
      <c r="E88" t="s">
        <v>768</v>
      </c>
      <c r="F88" t="s">
        <v>386</v>
      </c>
      <c r="G88" s="2">
        <v>350280</v>
      </c>
    </row>
    <row r="89" spans="1:7" x14ac:dyDescent="0.25">
      <c r="A89" t="s">
        <v>2199</v>
      </c>
      <c r="B89" t="s">
        <v>374</v>
      </c>
      <c r="C89" t="s">
        <v>2086</v>
      </c>
      <c r="D89" t="s">
        <v>2087</v>
      </c>
      <c r="E89" t="s">
        <v>768</v>
      </c>
      <c r="F89" t="s">
        <v>386</v>
      </c>
      <c r="G89" s="2">
        <v>506160</v>
      </c>
    </row>
    <row r="90" spans="1:7" x14ac:dyDescent="0.25">
      <c r="A90" t="s">
        <v>2199</v>
      </c>
      <c r="B90" t="s">
        <v>374</v>
      </c>
      <c r="C90" t="s">
        <v>2110</v>
      </c>
      <c r="D90" t="s">
        <v>2111</v>
      </c>
      <c r="E90" t="s">
        <v>768</v>
      </c>
      <c r="F90" t="s">
        <v>386</v>
      </c>
      <c r="G90" s="2">
        <v>1303030</v>
      </c>
    </row>
    <row r="91" spans="1:7" x14ac:dyDescent="0.25">
      <c r="A91" t="s">
        <v>2199</v>
      </c>
      <c r="B91" t="s">
        <v>374</v>
      </c>
      <c r="C91" t="s">
        <v>2159</v>
      </c>
      <c r="D91" t="s">
        <v>2160</v>
      </c>
      <c r="E91" t="s">
        <v>761</v>
      </c>
      <c r="F91" t="s">
        <v>762</v>
      </c>
      <c r="G91" s="2">
        <v>7810025</v>
      </c>
    </row>
    <row r="92" spans="1:7" x14ac:dyDescent="0.25">
      <c r="A92" t="s">
        <v>2199</v>
      </c>
      <c r="B92" t="s">
        <v>374</v>
      </c>
      <c r="C92" t="s">
        <v>2181</v>
      </c>
      <c r="D92" t="s">
        <v>2182</v>
      </c>
      <c r="E92" t="s">
        <v>761</v>
      </c>
      <c r="F92" t="s">
        <v>762</v>
      </c>
      <c r="G92" s="2">
        <v>280008</v>
      </c>
    </row>
    <row r="93" spans="1:7" x14ac:dyDescent="0.25">
      <c r="A93" t="s">
        <v>2199</v>
      </c>
      <c r="B93" t="s">
        <v>374</v>
      </c>
      <c r="C93" t="s">
        <v>584</v>
      </c>
      <c r="D93" t="s">
        <v>586</v>
      </c>
      <c r="E93" t="s">
        <v>590</v>
      </c>
      <c r="F93" t="s">
        <v>591</v>
      </c>
      <c r="G93" s="2">
        <v>56320000</v>
      </c>
    </row>
    <row r="94" spans="1:7" x14ac:dyDescent="0.25">
      <c r="A94" t="s">
        <v>2199</v>
      </c>
      <c r="B94" t="s">
        <v>374</v>
      </c>
      <c r="C94" t="s">
        <v>605</v>
      </c>
      <c r="D94" t="s">
        <v>607</v>
      </c>
      <c r="E94" t="s">
        <v>609</v>
      </c>
      <c r="F94" t="s">
        <v>610</v>
      </c>
      <c r="G94" s="2">
        <v>60000000</v>
      </c>
    </row>
    <row r="95" spans="1:7" x14ac:dyDescent="0.25">
      <c r="A95" t="s">
        <v>2199</v>
      </c>
      <c r="B95" t="s">
        <v>374</v>
      </c>
      <c r="C95" t="s">
        <v>614</v>
      </c>
      <c r="D95" t="s">
        <v>616</v>
      </c>
      <c r="E95" t="s">
        <v>590</v>
      </c>
      <c r="F95" t="s">
        <v>591</v>
      </c>
      <c r="G95" s="2">
        <v>410000</v>
      </c>
    </row>
    <row r="96" spans="1:7" x14ac:dyDescent="0.25">
      <c r="A96" t="s">
        <v>2199</v>
      </c>
      <c r="B96" t="s">
        <v>374</v>
      </c>
      <c r="C96" t="s">
        <v>683</v>
      </c>
      <c r="D96" t="s">
        <v>684</v>
      </c>
      <c r="E96" t="s">
        <v>657</v>
      </c>
      <c r="F96" t="s">
        <v>658</v>
      </c>
      <c r="G96" s="2">
        <v>225000</v>
      </c>
    </row>
    <row r="97" spans="1:7" x14ac:dyDescent="0.25">
      <c r="A97" t="s">
        <v>2199</v>
      </c>
      <c r="B97" t="s">
        <v>374</v>
      </c>
      <c r="C97" t="s">
        <v>693</v>
      </c>
      <c r="D97" t="s">
        <v>694</v>
      </c>
      <c r="E97" t="s">
        <v>657</v>
      </c>
      <c r="F97" t="s">
        <v>658</v>
      </c>
      <c r="G97" s="2">
        <v>260000</v>
      </c>
    </row>
    <row r="98" spans="1:7" x14ac:dyDescent="0.25">
      <c r="A98" t="s">
        <v>2199</v>
      </c>
      <c r="B98" t="s">
        <v>374</v>
      </c>
      <c r="C98" t="s">
        <v>699</v>
      </c>
      <c r="D98" t="s">
        <v>700</v>
      </c>
      <c r="E98" t="s">
        <v>657</v>
      </c>
      <c r="F98" t="s">
        <v>658</v>
      </c>
      <c r="G98" s="2">
        <v>900000</v>
      </c>
    </row>
    <row r="99" spans="1:7" x14ac:dyDescent="0.25">
      <c r="A99" t="s">
        <v>2199</v>
      </c>
      <c r="B99" t="s">
        <v>374</v>
      </c>
      <c r="C99" t="s">
        <v>702</v>
      </c>
      <c r="D99" t="s">
        <v>703</v>
      </c>
      <c r="E99" t="s">
        <v>657</v>
      </c>
      <c r="F99" t="s">
        <v>658</v>
      </c>
      <c r="G99" s="2">
        <v>625000</v>
      </c>
    </row>
    <row r="100" spans="1:7" x14ac:dyDescent="0.25">
      <c r="A100" t="s">
        <v>2199</v>
      </c>
      <c r="B100" t="s">
        <v>374</v>
      </c>
      <c r="C100" t="s">
        <v>709</v>
      </c>
      <c r="D100" t="s">
        <v>710</v>
      </c>
      <c r="E100" t="s">
        <v>590</v>
      </c>
      <c r="F100" t="s">
        <v>591</v>
      </c>
      <c r="G100" s="2">
        <v>150000</v>
      </c>
    </row>
    <row r="101" spans="1:7" x14ac:dyDescent="0.25">
      <c r="A101" t="s">
        <v>2199</v>
      </c>
      <c r="B101" t="s">
        <v>374</v>
      </c>
      <c r="C101" t="s">
        <v>737</v>
      </c>
      <c r="D101" t="s">
        <v>738</v>
      </c>
      <c r="E101" t="s">
        <v>657</v>
      </c>
      <c r="F101" t="s">
        <v>658</v>
      </c>
      <c r="G101" s="2">
        <v>2772880</v>
      </c>
    </row>
    <row r="102" spans="1:7" x14ac:dyDescent="0.25">
      <c r="A102" t="s">
        <v>2199</v>
      </c>
      <c r="B102" t="s">
        <v>374</v>
      </c>
      <c r="C102" t="s">
        <v>741</v>
      </c>
      <c r="D102" t="s">
        <v>742</v>
      </c>
      <c r="E102" t="s">
        <v>657</v>
      </c>
      <c r="F102" t="s">
        <v>658</v>
      </c>
      <c r="G102" s="2">
        <v>1468231</v>
      </c>
    </row>
    <row r="103" spans="1:7" x14ac:dyDescent="0.25">
      <c r="A103" t="s">
        <v>2199</v>
      </c>
      <c r="B103" t="s">
        <v>374</v>
      </c>
      <c r="C103" t="s">
        <v>749</v>
      </c>
      <c r="D103" t="s">
        <v>750</v>
      </c>
      <c r="E103" t="s">
        <v>657</v>
      </c>
      <c r="F103" t="s">
        <v>658</v>
      </c>
      <c r="G103" s="2">
        <v>350000</v>
      </c>
    </row>
    <row r="104" spans="1:7" x14ac:dyDescent="0.25">
      <c r="A104" t="s">
        <v>2199</v>
      </c>
      <c r="B104" t="s">
        <v>374</v>
      </c>
      <c r="C104" t="s">
        <v>753</v>
      </c>
      <c r="D104" t="s">
        <v>754</v>
      </c>
      <c r="E104" t="s">
        <v>657</v>
      </c>
      <c r="F104" t="s">
        <v>658</v>
      </c>
      <c r="G104" s="2">
        <v>1287890</v>
      </c>
    </row>
    <row r="105" spans="1:7" x14ac:dyDescent="0.25">
      <c r="A105" t="s">
        <v>2199</v>
      </c>
      <c r="B105" t="s">
        <v>374</v>
      </c>
      <c r="C105" t="s">
        <v>765</v>
      </c>
      <c r="D105" t="s">
        <v>766</v>
      </c>
      <c r="E105" t="s">
        <v>768</v>
      </c>
      <c r="F105" t="s">
        <v>386</v>
      </c>
      <c r="G105" s="2">
        <v>283834</v>
      </c>
    </row>
    <row r="106" spans="1:7" x14ac:dyDescent="0.25">
      <c r="A106" t="s">
        <v>2199</v>
      </c>
      <c r="B106" t="s">
        <v>374</v>
      </c>
      <c r="C106" t="s">
        <v>782</v>
      </c>
      <c r="D106" t="s">
        <v>784</v>
      </c>
      <c r="E106" t="s">
        <v>768</v>
      </c>
      <c r="F106" t="s">
        <v>386</v>
      </c>
      <c r="G106" s="2">
        <v>266424</v>
      </c>
    </row>
    <row r="107" spans="1:7" x14ac:dyDescent="0.25">
      <c r="A107" t="s">
        <v>2199</v>
      </c>
      <c r="B107" t="s">
        <v>374</v>
      </c>
      <c r="C107" t="s">
        <v>794</v>
      </c>
      <c r="D107" t="s">
        <v>795</v>
      </c>
      <c r="E107" t="s">
        <v>768</v>
      </c>
      <c r="F107" t="s">
        <v>386</v>
      </c>
      <c r="G107" s="2">
        <v>503080</v>
      </c>
    </row>
    <row r="108" spans="1:7" x14ac:dyDescent="0.25">
      <c r="A108" t="s">
        <v>2199</v>
      </c>
      <c r="B108" t="s">
        <v>374</v>
      </c>
      <c r="C108" t="s">
        <v>799</v>
      </c>
      <c r="D108" t="s">
        <v>801</v>
      </c>
      <c r="E108" t="s">
        <v>768</v>
      </c>
      <c r="F108" t="s">
        <v>386</v>
      </c>
      <c r="G108" s="2">
        <v>85670</v>
      </c>
    </row>
    <row r="109" spans="1:7" x14ac:dyDescent="0.25">
      <c r="A109" t="s">
        <v>2199</v>
      </c>
      <c r="B109" t="s">
        <v>374</v>
      </c>
      <c r="C109" t="s">
        <v>822</v>
      </c>
      <c r="D109" t="s">
        <v>823</v>
      </c>
      <c r="E109" t="s">
        <v>768</v>
      </c>
      <c r="F109" t="s">
        <v>386</v>
      </c>
      <c r="G109" s="2">
        <v>450012</v>
      </c>
    </row>
    <row r="110" spans="1:7" x14ac:dyDescent="0.25">
      <c r="A110" t="s">
        <v>2199</v>
      </c>
      <c r="B110" t="s">
        <v>374</v>
      </c>
      <c r="C110" t="s">
        <v>841</v>
      </c>
      <c r="D110" t="s">
        <v>843</v>
      </c>
      <c r="E110" t="s">
        <v>768</v>
      </c>
      <c r="F110" t="s">
        <v>386</v>
      </c>
      <c r="G110" s="2">
        <v>150000</v>
      </c>
    </row>
    <row r="111" spans="1:7" x14ac:dyDescent="0.25">
      <c r="A111" t="s">
        <v>2199</v>
      </c>
      <c r="B111" t="s">
        <v>374</v>
      </c>
      <c r="C111" t="s">
        <v>847</v>
      </c>
      <c r="D111" t="s">
        <v>848</v>
      </c>
      <c r="E111" t="s">
        <v>768</v>
      </c>
      <c r="F111" t="s">
        <v>386</v>
      </c>
      <c r="G111" s="2">
        <v>72793</v>
      </c>
    </row>
    <row r="112" spans="1:7" x14ac:dyDescent="0.25">
      <c r="A112" t="s">
        <v>2199</v>
      </c>
      <c r="B112" t="s">
        <v>374</v>
      </c>
      <c r="C112" t="s">
        <v>851</v>
      </c>
      <c r="D112" t="s">
        <v>852</v>
      </c>
      <c r="E112" t="s">
        <v>768</v>
      </c>
      <c r="F112" t="s">
        <v>386</v>
      </c>
      <c r="G112" s="2">
        <v>589022</v>
      </c>
    </row>
    <row r="113" spans="1:7" x14ac:dyDescent="0.25">
      <c r="A113" t="s">
        <v>2199</v>
      </c>
      <c r="B113" t="s">
        <v>374</v>
      </c>
      <c r="C113" t="s">
        <v>856</v>
      </c>
      <c r="D113" t="s">
        <v>857</v>
      </c>
      <c r="E113" t="s">
        <v>768</v>
      </c>
      <c r="F113" t="s">
        <v>386</v>
      </c>
      <c r="G113" s="2">
        <v>300000</v>
      </c>
    </row>
    <row r="114" spans="1:7" x14ac:dyDescent="0.25">
      <c r="A114" t="s">
        <v>2199</v>
      </c>
      <c r="B114" t="s">
        <v>374</v>
      </c>
      <c r="C114" t="s">
        <v>915</v>
      </c>
      <c r="D114" t="s">
        <v>916</v>
      </c>
      <c r="E114" t="s">
        <v>768</v>
      </c>
      <c r="F114" t="s">
        <v>386</v>
      </c>
      <c r="G114" s="2">
        <v>399870</v>
      </c>
    </row>
    <row r="115" spans="1:7" x14ac:dyDescent="0.25">
      <c r="A115" t="s">
        <v>2199</v>
      </c>
      <c r="B115" t="s">
        <v>374</v>
      </c>
      <c r="C115" t="s">
        <v>919</v>
      </c>
      <c r="D115" t="s">
        <v>920</v>
      </c>
      <c r="E115" t="s">
        <v>768</v>
      </c>
      <c r="F115" t="s">
        <v>386</v>
      </c>
      <c r="G115" s="2">
        <v>159016</v>
      </c>
    </row>
    <row r="116" spans="1:7" x14ac:dyDescent="0.25">
      <c r="A116" t="s">
        <v>2199</v>
      </c>
      <c r="B116" t="s">
        <v>374</v>
      </c>
      <c r="C116" t="s">
        <v>927</v>
      </c>
      <c r="D116" t="s">
        <v>928</v>
      </c>
      <c r="E116" t="s">
        <v>768</v>
      </c>
      <c r="F116" t="s">
        <v>386</v>
      </c>
      <c r="G116" s="2">
        <v>1131791</v>
      </c>
    </row>
    <row r="117" spans="1:7" x14ac:dyDescent="0.25">
      <c r="A117" t="s">
        <v>2199</v>
      </c>
      <c r="B117" t="s">
        <v>374</v>
      </c>
      <c r="C117" t="s">
        <v>1030</v>
      </c>
      <c r="D117" t="s">
        <v>1032</v>
      </c>
      <c r="E117" t="s">
        <v>1035</v>
      </c>
      <c r="F117" t="s">
        <v>1036</v>
      </c>
      <c r="G117" s="2">
        <v>30400000</v>
      </c>
    </row>
    <row r="118" spans="1:7" x14ac:dyDescent="0.25">
      <c r="A118" t="s">
        <v>2199</v>
      </c>
      <c r="B118" t="s">
        <v>374</v>
      </c>
      <c r="C118" t="s">
        <v>1052</v>
      </c>
      <c r="D118" t="s">
        <v>1053</v>
      </c>
      <c r="E118" t="s">
        <v>768</v>
      </c>
      <c r="F118" t="s">
        <v>386</v>
      </c>
      <c r="G118" s="2">
        <v>211860</v>
      </c>
    </row>
    <row r="119" spans="1:7" x14ac:dyDescent="0.25">
      <c r="A119" t="s">
        <v>2199</v>
      </c>
      <c r="B119" t="s">
        <v>374</v>
      </c>
      <c r="C119" t="s">
        <v>1055</v>
      </c>
      <c r="D119" t="s">
        <v>1056</v>
      </c>
      <c r="E119" t="s">
        <v>768</v>
      </c>
      <c r="F119" t="s">
        <v>386</v>
      </c>
      <c r="G119" s="2">
        <v>263860</v>
      </c>
    </row>
    <row r="120" spans="1:7" x14ac:dyDescent="0.25">
      <c r="A120" t="s">
        <v>2199</v>
      </c>
      <c r="B120" t="s">
        <v>374</v>
      </c>
      <c r="C120" t="s">
        <v>1066</v>
      </c>
      <c r="D120" t="s">
        <v>1067</v>
      </c>
      <c r="E120" t="s">
        <v>790</v>
      </c>
      <c r="F120" t="s">
        <v>791</v>
      </c>
      <c r="G120" s="2">
        <v>1750000</v>
      </c>
    </row>
    <row r="121" spans="1:7" x14ac:dyDescent="0.25">
      <c r="A121" t="s">
        <v>2199</v>
      </c>
      <c r="B121" t="s">
        <v>374</v>
      </c>
      <c r="C121" t="s">
        <v>1143</v>
      </c>
      <c r="D121" t="s">
        <v>1144</v>
      </c>
      <c r="E121" t="s">
        <v>768</v>
      </c>
      <c r="F121" t="s">
        <v>386</v>
      </c>
      <c r="G121" s="2">
        <v>249504</v>
      </c>
    </row>
    <row r="122" spans="1:7" x14ac:dyDescent="0.25">
      <c r="A122" t="s">
        <v>2199</v>
      </c>
      <c r="B122" t="s">
        <v>374</v>
      </c>
      <c r="C122" t="s">
        <v>1149</v>
      </c>
      <c r="D122" t="s">
        <v>1150</v>
      </c>
      <c r="E122" t="s">
        <v>1152</v>
      </c>
      <c r="F122" t="s">
        <v>1153</v>
      </c>
      <c r="G122" s="2">
        <v>672240</v>
      </c>
    </row>
    <row r="123" spans="1:7" x14ac:dyDescent="0.25">
      <c r="A123" t="s">
        <v>2199</v>
      </c>
      <c r="B123" t="s">
        <v>374</v>
      </c>
      <c r="C123" t="s">
        <v>1171</v>
      </c>
      <c r="D123" t="s">
        <v>1172</v>
      </c>
      <c r="E123" t="s">
        <v>1152</v>
      </c>
      <c r="F123" t="s">
        <v>1153</v>
      </c>
      <c r="G123" s="2">
        <v>2975561</v>
      </c>
    </row>
    <row r="124" spans="1:7" x14ac:dyDescent="0.25">
      <c r="A124" t="s">
        <v>2199</v>
      </c>
      <c r="B124" t="s">
        <v>374</v>
      </c>
      <c r="C124" t="s">
        <v>1193</v>
      </c>
      <c r="D124" t="s">
        <v>1194</v>
      </c>
      <c r="E124" t="s">
        <v>733</v>
      </c>
      <c r="F124" t="s">
        <v>734</v>
      </c>
      <c r="G124" s="2">
        <v>1500000</v>
      </c>
    </row>
    <row r="125" spans="1:7" x14ac:dyDescent="0.25">
      <c r="A125" t="s">
        <v>2199</v>
      </c>
      <c r="B125" t="s">
        <v>374</v>
      </c>
      <c r="C125" t="s">
        <v>1264</v>
      </c>
      <c r="D125" t="s">
        <v>1266</v>
      </c>
      <c r="E125" t="s">
        <v>768</v>
      </c>
      <c r="F125" t="s">
        <v>386</v>
      </c>
      <c r="G125" s="2">
        <v>277131</v>
      </c>
    </row>
    <row r="126" spans="1:7" x14ac:dyDescent="0.25">
      <c r="A126" t="s">
        <v>2199</v>
      </c>
      <c r="B126" t="s">
        <v>28</v>
      </c>
      <c r="C126" t="s">
        <v>619</v>
      </c>
      <c r="D126" t="s">
        <v>621</v>
      </c>
      <c r="E126" t="s">
        <v>624</v>
      </c>
      <c r="F126" t="s">
        <v>625</v>
      </c>
      <c r="G126" s="2">
        <v>1250000</v>
      </c>
    </row>
    <row r="127" spans="1:7" x14ac:dyDescent="0.25">
      <c r="A127" t="s">
        <v>2199</v>
      </c>
      <c r="B127" t="s">
        <v>28</v>
      </c>
      <c r="C127" t="s">
        <v>628</v>
      </c>
      <c r="D127" t="s">
        <v>629</v>
      </c>
      <c r="E127" t="s">
        <v>624</v>
      </c>
      <c r="F127" t="s">
        <v>625</v>
      </c>
      <c r="G127" s="2">
        <v>300000</v>
      </c>
    </row>
    <row r="128" spans="1:7" x14ac:dyDescent="0.25">
      <c r="A128" t="s">
        <v>2199</v>
      </c>
      <c r="B128" t="s">
        <v>28</v>
      </c>
      <c r="C128" t="s">
        <v>632</v>
      </c>
      <c r="D128" t="s">
        <v>634</v>
      </c>
      <c r="E128" t="s">
        <v>624</v>
      </c>
      <c r="F128" t="s">
        <v>625</v>
      </c>
      <c r="G128" s="2">
        <v>1320000</v>
      </c>
    </row>
    <row r="129" spans="1:7" x14ac:dyDescent="0.25">
      <c r="A129" t="s">
        <v>2199</v>
      </c>
      <c r="B129" t="s">
        <v>28</v>
      </c>
      <c r="C129" t="s">
        <v>637</v>
      </c>
      <c r="D129" t="s">
        <v>638</v>
      </c>
      <c r="E129" t="s">
        <v>640</v>
      </c>
      <c r="F129" t="s">
        <v>641</v>
      </c>
      <c r="G129" s="2">
        <v>2000700</v>
      </c>
    </row>
    <row r="130" spans="1:7" x14ac:dyDescent="0.25">
      <c r="A130" t="s">
        <v>2199</v>
      </c>
      <c r="B130" t="s">
        <v>28</v>
      </c>
      <c r="C130" t="s">
        <v>644</v>
      </c>
      <c r="D130" t="s">
        <v>646</v>
      </c>
      <c r="E130" t="s">
        <v>640</v>
      </c>
      <c r="F130" t="s">
        <v>641</v>
      </c>
      <c r="G130" s="2">
        <v>1510005</v>
      </c>
    </row>
    <row r="131" spans="1:7" x14ac:dyDescent="0.25">
      <c r="A131" t="s">
        <v>2199</v>
      </c>
      <c r="B131" t="s">
        <v>28</v>
      </c>
      <c r="C131" t="s">
        <v>649</v>
      </c>
      <c r="D131" t="s">
        <v>650</v>
      </c>
      <c r="E131" t="s">
        <v>640</v>
      </c>
      <c r="F131" t="s">
        <v>641</v>
      </c>
      <c r="G131" s="2">
        <v>872500</v>
      </c>
    </row>
    <row r="132" spans="1:7" x14ac:dyDescent="0.25">
      <c r="A132" t="s">
        <v>2199</v>
      </c>
      <c r="B132" t="s">
        <v>28</v>
      </c>
      <c r="C132" t="s">
        <v>653</v>
      </c>
      <c r="D132" t="s">
        <v>655</v>
      </c>
      <c r="E132" t="s">
        <v>657</v>
      </c>
      <c r="F132" t="s">
        <v>658</v>
      </c>
      <c r="G132" s="2">
        <v>540000</v>
      </c>
    </row>
    <row r="133" spans="1:7" x14ac:dyDescent="0.25">
      <c r="A133" t="s">
        <v>2199</v>
      </c>
      <c r="B133" t="s">
        <v>28</v>
      </c>
      <c r="C133" t="s">
        <v>661</v>
      </c>
      <c r="D133" t="s">
        <v>662</v>
      </c>
      <c r="E133" t="s">
        <v>657</v>
      </c>
      <c r="F133" t="s">
        <v>658</v>
      </c>
      <c r="G133" s="2">
        <v>1080000</v>
      </c>
    </row>
    <row r="134" spans="1:7" x14ac:dyDescent="0.25">
      <c r="A134" t="s">
        <v>2199</v>
      </c>
      <c r="B134" t="s">
        <v>28</v>
      </c>
      <c r="C134" t="s">
        <v>665</v>
      </c>
      <c r="D134" t="s">
        <v>667</v>
      </c>
      <c r="E134" t="s">
        <v>657</v>
      </c>
      <c r="F134" t="s">
        <v>658</v>
      </c>
      <c r="G134" s="2">
        <v>1500000</v>
      </c>
    </row>
    <row r="135" spans="1:7" x14ac:dyDescent="0.25">
      <c r="A135" t="s">
        <v>2199</v>
      </c>
      <c r="B135" t="s">
        <v>28</v>
      </c>
      <c r="C135" t="s">
        <v>670</v>
      </c>
      <c r="D135" t="s">
        <v>671</v>
      </c>
      <c r="E135" t="s">
        <v>657</v>
      </c>
      <c r="F135" t="s">
        <v>658</v>
      </c>
      <c r="G135" s="2">
        <v>850000</v>
      </c>
    </row>
    <row r="136" spans="1:7" x14ac:dyDescent="0.25">
      <c r="A136" t="s">
        <v>2199</v>
      </c>
      <c r="B136" t="s">
        <v>28</v>
      </c>
      <c r="C136" t="s">
        <v>674</v>
      </c>
      <c r="D136" t="s">
        <v>675</v>
      </c>
      <c r="E136" t="s">
        <v>657</v>
      </c>
      <c r="F136" t="s">
        <v>658</v>
      </c>
      <c r="G136" s="2">
        <v>900000</v>
      </c>
    </row>
    <row r="137" spans="1:7" x14ac:dyDescent="0.25">
      <c r="A137" t="s">
        <v>2199</v>
      </c>
      <c r="B137" t="s">
        <v>28</v>
      </c>
      <c r="C137" t="s">
        <v>677</v>
      </c>
      <c r="D137" t="s">
        <v>678</v>
      </c>
      <c r="E137" t="s">
        <v>657</v>
      </c>
      <c r="F137" t="s">
        <v>658</v>
      </c>
      <c r="G137" s="2">
        <v>630000</v>
      </c>
    </row>
    <row r="138" spans="1:7" x14ac:dyDescent="0.25">
      <c r="A138" t="s">
        <v>2199</v>
      </c>
      <c r="B138" t="s">
        <v>28</v>
      </c>
      <c r="C138" t="s">
        <v>680</v>
      </c>
      <c r="D138" t="s">
        <v>681</v>
      </c>
      <c r="E138" t="s">
        <v>657</v>
      </c>
      <c r="F138" t="s">
        <v>658</v>
      </c>
      <c r="G138" s="2">
        <v>135000</v>
      </c>
    </row>
    <row r="139" spans="1:7" x14ac:dyDescent="0.25">
      <c r="A139" t="s">
        <v>2199</v>
      </c>
      <c r="B139" t="s">
        <v>28</v>
      </c>
      <c r="C139" t="s">
        <v>686</v>
      </c>
      <c r="D139" t="s">
        <v>687</v>
      </c>
      <c r="E139" t="s">
        <v>227</v>
      </c>
      <c r="F139" t="s">
        <v>480</v>
      </c>
      <c r="G139" s="2">
        <v>101193519</v>
      </c>
    </row>
    <row r="140" spans="1:7" x14ac:dyDescent="0.25">
      <c r="A140" t="s">
        <v>2199</v>
      </c>
      <c r="B140" t="s">
        <v>28</v>
      </c>
      <c r="C140" t="s">
        <v>696</v>
      </c>
      <c r="D140" t="s">
        <v>697</v>
      </c>
      <c r="E140" t="s">
        <v>657</v>
      </c>
      <c r="F140" t="s">
        <v>658</v>
      </c>
      <c r="G140" s="2">
        <v>675000</v>
      </c>
    </row>
    <row r="141" spans="1:7" x14ac:dyDescent="0.25">
      <c r="A141" t="s">
        <v>2199</v>
      </c>
      <c r="B141" t="s">
        <v>28</v>
      </c>
      <c r="C141" t="s">
        <v>706</v>
      </c>
      <c r="D141" t="s">
        <v>707</v>
      </c>
      <c r="E141" t="s">
        <v>590</v>
      </c>
      <c r="F141" t="s">
        <v>591</v>
      </c>
      <c r="G141" s="2">
        <v>190000</v>
      </c>
    </row>
    <row r="142" spans="1:7" x14ac:dyDescent="0.25">
      <c r="A142" t="s">
        <v>2199</v>
      </c>
      <c r="B142" t="s">
        <v>28</v>
      </c>
      <c r="C142" t="s">
        <v>713</v>
      </c>
      <c r="D142" t="s">
        <v>714</v>
      </c>
      <c r="E142" t="s">
        <v>227</v>
      </c>
      <c r="F142" t="s">
        <v>480</v>
      </c>
      <c r="G142" s="2">
        <v>49483210</v>
      </c>
    </row>
    <row r="143" spans="1:7" x14ac:dyDescent="0.25">
      <c r="A143" t="s">
        <v>2199</v>
      </c>
      <c r="B143" t="s">
        <v>28</v>
      </c>
      <c r="C143" t="s">
        <v>718</v>
      </c>
      <c r="D143" t="s">
        <v>719</v>
      </c>
      <c r="E143" t="s">
        <v>657</v>
      </c>
      <c r="F143" t="s">
        <v>658</v>
      </c>
      <c r="G143" s="2">
        <v>430010</v>
      </c>
    </row>
    <row r="144" spans="1:7" x14ac:dyDescent="0.25">
      <c r="A144" t="s">
        <v>2199</v>
      </c>
      <c r="B144" t="s">
        <v>28</v>
      </c>
      <c r="C144" t="s">
        <v>721</v>
      </c>
      <c r="D144" t="s">
        <v>722</v>
      </c>
      <c r="E144" t="s">
        <v>227</v>
      </c>
      <c r="F144" t="s">
        <v>480</v>
      </c>
      <c r="G144" s="2">
        <v>247689000</v>
      </c>
    </row>
    <row r="145" spans="1:7" x14ac:dyDescent="0.25">
      <c r="A145" t="s">
        <v>2199</v>
      </c>
      <c r="B145" t="s">
        <v>28</v>
      </c>
      <c r="C145" t="s">
        <v>724</v>
      </c>
      <c r="D145" t="s">
        <v>726</v>
      </c>
      <c r="E145" t="s">
        <v>657</v>
      </c>
      <c r="F145" t="s">
        <v>658</v>
      </c>
      <c r="G145" s="2">
        <v>990002</v>
      </c>
    </row>
    <row r="146" spans="1:7" x14ac:dyDescent="0.25">
      <c r="A146" t="s">
        <v>2199</v>
      </c>
      <c r="B146" t="s">
        <v>28</v>
      </c>
      <c r="C146" t="s">
        <v>729</v>
      </c>
      <c r="D146" t="s">
        <v>731</v>
      </c>
      <c r="E146" t="s">
        <v>733</v>
      </c>
      <c r="F146" t="s">
        <v>734</v>
      </c>
      <c r="G146" s="2">
        <v>1352694</v>
      </c>
    </row>
    <row r="147" spans="1:7" x14ac:dyDescent="0.25">
      <c r="A147" t="s">
        <v>2199</v>
      </c>
      <c r="B147" t="s">
        <v>28</v>
      </c>
      <c r="C147" t="s">
        <v>744</v>
      </c>
      <c r="D147" t="s">
        <v>746</v>
      </c>
      <c r="E147" t="s">
        <v>657</v>
      </c>
      <c r="F147" t="s">
        <v>658</v>
      </c>
      <c r="G147" s="2">
        <v>300000</v>
      </c>
    </row>
    <row r="148" spans="1:7" x14ac:dyDescent="0.25">
      <c r="A148" t="s">
        <v>2199</v>
      </c>
      <c r="B148" t="s">
        <v>28</v>
      </c>
      <c r="C148" t="s">
        <v>756</v>
      </c>
      <c r="D148" t="s">
        <v>758</v>
      </c>
      <c r="E148" t="s">
        <v>761</v>
      </c>
      <c r="F148" t="s">
        <v>762</v>
      </c>
      <c r="G148" s="2">
        <v>800000</v>
      </c>
    </row>
    <row r="149" spans="1:7" x14ac:dyDescent="0.25">
      <c r="A149" t="s">
        <v>2199</v>
      </c>
      <c r="B149" t="s">
        <v>28</v>
      </c>
      <c r="C149" t="s">
        <v>773</v>
      </c>
      <c r="D149" t="s">
        <v>774</v>
      </c>
      <c r="E149" t="s">
        <v>768</v>
      </c>
      <c r="F149" t="s">
        <v>386</v>
      </c>
      <c r="G149" s="2">
        <v>1166048</v>
      </c>
    </row>
    <row r="150" spans="1:7" x14ac:dyDescent="0.25">
      <c r="A150" t="s">
        <v>2199</v>
      </c>
      <c r="B150" t="s">
        <v>28</v>
      </c>
      <c r="C150" t="s">
        <v>787</v>
      </c>
      <c r="D150" t="s">
        <v>788</v>
      </c>
      <c r="E150" t="s">
        <v>790</v>
      </c>
      <c r="F150" t="s">
        <v>791</v>
      </c>
      <c r="G150" s="2">
        <v>1007461</v>
      </c>
    </row>
    <row r="151" spans="1:7" x14ac:dyDescent="0.25">
      <c r="A151" t="s">
        <v>2199</v>
      </c>
      <c r="B151" t="s">
        <v>28</v>
      </c>
      <c r="C151" t="s">
        <v>811</v>
      </c>
      <c r="D151" t="s">
        <v>813</v>
      </c>
      <c r="E151" t="s">
        <v>790</v>
      </c>
      <c r="F151" t="s">
        <v>791</v>
      </c>
      <c r="G151" s="2">
        <v>400000</v>
      </c>
    </row>
    <row r="152" spans="1:7" x14ac:dyDescent="0.25">
      <c r="A152" t="s">
        <v>2199</v>
      </c>
      <c r="B152" t="s">
        <v>28</v>
      </c>
      <c r="C152" t="s">
        <v>816</v>
      </c>
      <c r="D152" t="s">
        <v>817</v>
      </c>
      <c r="E152" t="s">
        <v>768</v>
      </c>
      <c r="F152" t="s">
        <v>386</v>
      </c>
      <c r="G152" s="2">
        <v>5204058</v>
      </c>
    </row>
    <row r="153" spans="1:7" x14ac:dyDescent="0.25">
      <c r="A153" t="s">
        <v>2199</v>
      </c>
      <c r="B153" t="s">
        <v>28</v>
      </c>
      <c r="C153" t="s">
        <v>827</v>
      </c>
      <c r="D153" t="s">
        <v>828</v>
      </c>
      <c r="E153" t="s">
        <v>761</v>
      </c>
      <c r="F153" t="s">
        <v>762</v>
      </c>
      <c r="G153" s="2">
        <v>1697066</v>
      </c>
    </row>
    <row r="154" spans="1:7" x14ac:dyDescent="0.25">
      <c r="A154" t="s">
        <v>2199</v>
      </c>
      <c r="B154" t="s">
        <v>28</v>
      </c>
      <c r="C154" t="s">
        <v>834</v>
      </c>
      <c r="D154" t="s">
        <v>835</v>
      </c>
      <c r="E154" t="s">
        <v>790</v>
      </c>
      <c r="F154" t="s">
        <v>791</v>
      </c>
      <c r="G154" s="2">
        <v>400000</v>
      </c>
    </row>
    <row r="155" spans="1:7" x14ac:dyDescent="0.25">
      <c r="A155" t="s">
        <v>2199</v>
      </c>
      <c r="B155" t="s">
        <v>28</v>
      </c>
      <c r="C155" t="s">
        <v>837</v>
      </c>
      <c r="D155" t="s">
        <v>838</v>
      </c>
      <c r="E155" t="s">
        <v>768</v>
      </c>
      <c r="F155" t="s">
        <v>386</v>
      </c>
      <c r="G155" s="2">
        <v>130000</v>
      </c>
    </row>
    <row r="156" spans="1:7" x14ac:dyDescent="0.25">
      <c r="A156" t="s">
        <v>2199</v>
      </c>
      <c r="B156" t="s">
        <v>28</v>
      </c>
      <c r="C156" t="s">
        <v>860</v>
      </c>
      <c r="D156" t="s">
        <v>861</v>
      </c>
      <c r="E156" t="s">
        <v>864</v>
      </c>
      <c r="F156" t="s">
        <v>865</v>
      </c>
      <c r="G156" s="2">
        <v>370107</v>
      </c>
    </row>
    <row r="157" spans="1:7" x14ac:dyDescent="0.25">
      <c r="A157" t="s">
        <v>2199</v>
      </c>
      <c r="B157" t="s">
        <v>28</v>
      </c>
      <c r="C157" t="s">
        <v>868</v>
      </c>
      <c r="D157" t="s">
        <v>869</v>
      </c>
      <c r="E157" t="s">
        <v>624</v>
      </c>
      <c r="F157" t="s">
        <v>625</v>
      </c>
      <c r="G157" s="2">
        <v>3000000</v>
      </c>
    </row>
    <row r="158" spans="1:7" x14ac:dyDescent="0.25">
      <c r="A158" t="s">
        <v>2199</v>
      </c>
      <c r="B158" t="s">
        <v>28</v>
      </c>
      <c r="C158" t="s">
        <v>871</v>
      </c>
      <c r="D158" t="s">
        <v>872</v>
      </c>
      <c r="E158" t="s">
        <v>761</v>
      </c>
      <c r="F158" t="s">
        <v>762</v>
      </c>
      <c r="G158" s="2">
        <v>472004</v>
      </c>
    </row>
    <row r="159" spans="1:7" x14ac:dyDescent="0.25">
      <c r="A159" t="s">
        <v>2199</v>
      </c>
      <c r="B159" t="s">
        <v>28</v>
      </c>
      <c r="C159" t="s">
        <v>875</v>
      </c>
      <c r="D159" t="s">
        <v>876</v>
      </c>
      <c r="E159" t="s">
        <v>761</v>
      </c>
      <c r="F159" t="s">
        <v>762</v>
      </c>
      <c r="G159" s="2">
        <v>600000</v>
      </c>
    </row>
    <row r="160" spans="1:7" x14ac:dyDescent="0.25">
      <c r="A160" t="s">
        <v>2199</v>
      </c>
      <c r="B160" t="s">
        <v>28</v>
      </c>
      <c r="C160" t="s">
        <v>879</v>
      </c>
      <c r="D160" t="s">
        <v>880</v>
      </c>
      <c r="E160" t="s">
        <v>761</v>
      </c>
      <c r="F160" t="s">
        <v>762</v>
      </c>
      <c r="G160" s="2">
        <v>6100024</v>
      </c>
    </row>
    <row r="161" spans="1:7" x14ac:dyDescent="0.25">
      <c r="A161" t="s">
        <v>2199</v>
      </c>
      <c r="B161" t="s">
        <v>28</v>
      </c>
      <c r="C161" t="s">
        <v>884</v>
      </c>
      <c r="D161" t="s">
        <v>885</v>
      </c>
      <c r="E161" t="s">
        <v>761</v>
      </c>
      <c r="F161" t="s">
        <v>762</v>
      </c>
      <c r="G161" s="2">
        <v>2730006</v>
      </c>
    </row>
    <row r="162" spans="1:7" x14ac:dyDescent="0.25">
      <c r="A162" t="s">
        <v>2199</v>
      </c>
      <c r="B162" t="s">
        <v>28</v>
      </c>
      <c r="C162" t="s">
        <v>888</v>
      </c>
      <c r="D162" t="s">
        <v>889</v>
      </c>
      <c r="E162" t="s">
        <v>309</v>
      </c>
      <c r="F162" t="s">
        <v>893</v>
      </c>
      <c r="G162" s="2">
        <v>31250000</v>
      </c>
    </row>
    <row r="163" spans="1:7" x14ac:dyDescent="0.25">
      <c r="A163" t="s">
        <v>2199</v>
      </c>
      <c r="B163" t="s">
        <v>28</v>
      </c>
      <c r="C163" t="s">
        <v>895</v>
      </c>
      <c r="D163" t="s">
        <v>896</v>
      </c>
      <c r="E163" t="s">
        <v>899</v>
      </c>
      <c r="F163" t="s">
        <v>900</v>
      </c>
      <c r="G163" s="2">
        <v>200000</v>
      </c>
    </row>
    <row r="164" spans="1:7" x14ac:dyDescent="0.25">
      <c r="A164" t="s">
        <v>2199</v>
      </c>
      <c r="B164" t="s">
        <v>28</v>
      </c>
      <c r="C164" t="s">
        <v>903</v>
      </c>
      <c r="D164" t="s">
        <v>904</v>
      </c>
      <c r="E164" t="s">
        <v>906</v>
      </c>
      <c r="F164" t="s">
        <v>907</v>
      </c>
      <c r="G164" s="2">
        <v>46677001</v>
      </c>
    </row>
    <row r="165" spans="1:7" x14ac:dyDescent="0.25">
      <c r="A165" t="s">
        <v>2199</v>
      </c>
      <c r="B165" t="s">
        <v>28</v>
      </c>
      <c r="C165" t="s">
        <v>922</v>
      </c>
      <c r="D165" t="s">
        <v>923</v>
      </c>
      <c r="E165" t="s">
        <v>926</v>
      </c>
      <c r="F165" t="s">
        <v>893</v>
      </c>
      <c r="G165" s="2">
        <v>23333328</v>
      </c>
    </row>
    <row r="166" spans="1:7" x14ac:dyDescent="0.25">
      <c r="A166" t="s">
        <v>2199</v>
      </c>
      <c r="B166" t="s">
        <v>28</v>
      </c>
      <c r="C166" t="s">
        <v>930</v>
      </c>
      <c r="D166" t="s">
        <v>931</v>
      </c>
      <c r="E166" t="s">
        <v>934</v>
      </c>
      <c r="F166" t="s">
        <v>935</v>
      </c>
      <c r="G166" s="2">
        <v>681264</v>
      </c>
    </row>
    <row r="167" spans="1:7" x14ac:dyDescent="0.25">
      <c r="A167" t="s">
        <v>2199</v>
      </c>
      <c r="B167" t="s">
        <v>28</v>
      </c>
      <c r="C167" t="s">
        <v>938</v>
      </c>
      <c r="D167" t="s">
        <v>939</v>
      </c>
      <c r="E167" t="s">
        <v>942</v>
      </c>
      <c r="F167" t="s">
        <v>943</v>
      </c>
      <c r="G167" s="2">
        <v>12003336</v>
      </c>
    </row>
    <row r="168" spans="1:7" x14ac:dyDescent="0.25">
      <c r="A168" t="s">
        <v>2199</v>
      </c>
      <c r="B168" t="s">
        <v>28</v>
      </c>
      <c r="C168" t="s">
        <v>947</v>
      </c>
      <c r="D168" t="s">
        <v>948</v>
      </c>
      <c r="E168" t="s">
        <v>950</v>
      </c>
      <c r="F168" t="s">
        <v>951</v>
      </c>
      <c r="G168" s="2">
        <v>557936</v>
      </c>
    </row>
    <row r="169" spans="1:7" x14ac:dyDescent="0.25">
      <c r="A169" t="s">
        <v>2199</v>
      </c>
      <c r="B169" t="s">
        <v>28</v>
      </c>
      <c r="C169" t="s">
        <v>954</v>
      </c>
      <c r="D169" t="s">
        <v>955</v>
      </c>
      <c r="E169" t="s">
        <v>958</v>
      </c>
      <c r="F169" t="s">
        <v>959</v>
      </c>
      <c r="G169" s="2">
        <v>675200</v>
      </c>
    </row>
    <row r="170" spans="1:7" x14ac:dyDescent="0.25">
      <c r="A170" t="s">
        <v>2199</v>
      </c>
      <c r="B170" t="s">
        <v>28</v>
      </c>
      <c r="C170" t="s">
        <v>963</v>
      </c>
      <c r="D170" t="s">
        <v>964</v>
      </c>
      <c r="E170" t="s">
        <v>768</v>
      </c>
      <c r="F170" t="s">
        <v>966</v>
      </c>
      <c r="G170" s="2">
        <v>700002</v>
      </c>
    </row>
    <row r="171" spans="1:7" x14ac:dyDescent="0.25">
      <c r="A171" t="s">
        <v>2199</v>
      </c>
      <c r="B171" t="s">
        <v>28</v>
      </c>
      <c r="C171" t="s">
        <v>969</v>
      </c>
      <c r="D171" t="s">
        <v>970</v>
      </c>
      <c r="E171" t="s">
        <v>768</v>
      </c>
      <c r="F171" t="s">
        <v>966</v>
      </c>
      <c r="G171" s="2">
        <v>7000008</v>
      </c>
    </row>
    <row r="172" spans="1:7" x14ac:dyDescent="0.25">
      <c r="A172" t="s">
        <v>2199</v>
      </c>
      <c r="B172" t="s">
        <v>28</v>
      </c>
      <c r="C172" t="s">
        <v>972</v>
      </c>
      <c r="D172" t="s">
        <v>973</v>
      </c>
      <c r="E172" t="s">
        <v>768</v>
      </c>
      <c r="F172" t="s">
        <v>966</v>
      </c>
      <c r="G172" s="2">
        <v>800000</v>
      </c>
    </row>
    <row r="173" spans="1:7" x14ac:dyDescent="0.25">
      <c r="A173" t="s">
        <v>2199</v>
      </c>
      <c r="B173" t="s">
        <v>28</v>
      </c>
      <c r="C173" t="s">
        <v>975</v>
      </c>
      <c r="D173" t="s">
        <v>976</v>
      </c>
      <c r="E173" t="s">
        <v>768</v>
      </c>
      <c r="F173" t="s">
        <v>966</v>
      </c>
      <c r="G173" s="2">
        <v>3500000</v>
      </c>
    </row>
    <row r="174" spans="1:7" x14ac:dyDescent="0.25">
      <c r="A174" t="s">
        <v>2199</v>
      </c>
      <c r="B174" t="s">
        <v>28</v>
      </c>
      <c r="C174" t="s">
        <v>978</v>
      </c>
      <c r="D174" t="s">
        <v>979</v>
      </c>
      <c r="E174" t="s">
        <v>768</v>
      </c>
      <c r="F174" t="s">
        <v>966</v>
      </c>
      <c r="G174" s="2">
        <v>2000000</v>
      </c>
    </row>
    <row r="175" spans="1:7" x14ac:dyDescent="0.25">
      <c r="A175" t="s">
        <v>2199</v>
      </c>
      <c r="B175" t="s">
        <v>28</v>
      </c>
      <c r="C175" t="s">
        <v>981</v>
      </c>
      <c r="D175" t="s">
        <v>982</v>
      </c>
      <c r="E175" t="s">
        <v>768</v>
      </c>
      <c r="F175" t="s">
        <v>966</v>
      </c>
      <c r="G175" s="2">
        <v>800004</v>
      </c>
    </row>
    <row r="176" spans="1:7" x14ac:dyDescent="0.25">
      <c r="A176" t="s">
        <v>2199</v>
      </c>
      <c r="B176" t="s">
        <v>28</v>
      </c>
      <c r="C176" t="s">
        <v>984</v>
      </c>
      <c r="D176" t="s">
        <v>985</v>
      </c>
      <c r="E176" t="s">
        <v>768</v>
      </c>
      <c r="F176" t="s">
        <v>966</v>
      </c>
      <c r="G176" s="2">
        <v>600000</v>
      </c>
    </row>
    <row r="177" spans="1:7" x14ac:dyDescent="0.25">
      <c r="A177" t="s">
        <v>2199</v>
      </c>
      <c r="B177" t="s">
        <v>28</v>
      </c>
      <c r="C177" t="s">
        <v>987</v>
      </c>
      <c r="D177" t="s">
        <v>988</v>
      </c>
      <c r="E177" t="s">
        <v>768</v>
      </c>
      <c r="F177" t="s">
        <v>966</v>
      </c>
      <c r="G177" s="2">
        <v>4000000</v>
      </c>
    </row>
    <row r="178" spans="1:7" x14ac:dyDescent="0.25">
      <c r="A178" t="s">
        <v>2199</v>
      </c>
      <c r="B178" t="s">
        <v>28</v>
      </c>
      <c r="C178" t="s">
        <v>990</v>
      </c>
      <c r="D178" t="s">
        <v>991</v>
      </c>
      <c r="E178" t="s">
        <v>768</v>
      </c>
      <c r="F178" t="s">
        <v>966</v>
      </c>
      <c r="G178" s="2">
        <v>5500000</v>
      </c>
    </row>
    <row r="179" spans="1:7" x14ac:dyDescent="0.25">
      <c r="A179" t="s">
        <v>2199</v>
      </c>
      <c r="B179" t="s">
        <v>28</v>
      </c>
      <c r="C179" t="s">
        <v>993</v>
      </c>
      <c r="D179" t="s">
        <v>994</v>
      </c>
      <c r="E179" t="s">
        <v>768</v>
      </c>
      <c r="F179" t="s">
        <v>966</v>
      </c>
      <c r="G179" s="2">
        <v>3000000</v>
      </c>
    </row>
    <row r="180" spans="1:7" x14ac:dyDescent="0.25">
      <c r="A180" t="s">
        <v>2199</v>
      </c>
      <c r="B180" t="s">
        <v>28</v>
      </c>
      <c r="C180" t="s">
        <v>996</v>
      </c>
      <c r="D180" t="s">
        <v>997</v>
      </c>
      <c r="E180" t="s">
        <v>934</v>
      </c>
      <c r="F180" t="s">
        <v>935</v>
      </c>
      <c r="G180" s="2">
        <v>60000</v>
      </c>
    </row>
    <row r="181" spans="1:7" x14ac:dyDescent="0.25">
      <c r="A181" t="s">
        <v>2199</v>
      </c>
      <c r="B181" t="s">
        <v>28</v>
      </c>
      <c r="C181" t="s">
        <v>1000</v>
      </c>
      <c r="D181" t="s">
        <v>1001</v>
      </c>
      <c r="E181" t="s">
        <v>768</v>
      </c>
      <c r="F181" t="s">
        <v>966</v>
      </c>
      <c r="G181" s="2">
        <v>1500000</v>
      </c>
    </row>
    <row r="182" spans="1:7" x14ac:dyDescent="0.25">
      <c r="A182" t="s">
        <v>2199</v>
      </c>
      <c r="B182" t="s">
        <v>28</v>
      </c>
      <c r="C182" t="s">
        <v>1003</v>
      </c>
      <c r="D182" t="s">
        <v>1004</v>
      </c>
      <c r="E182" t="s">
        <v>768</v>
      </c>
      <c r="F182" t="s">
        <v>966</v>
      </c>
      <c r="G182" s="2">
        <v>17500000</v>
      </c>
    </row>
    <row r="183" spans="1:7" x14ac:dyDescent="0.25">
      <c r="A183" t="s">
        <v>2199</v>
      </c>
      <c r="B183" t="s">
        <v>28</v>
      </c>
      <c r="C183" t="s">
        <v>1008</v>
      </c>
      <c r="D183" t="s">
        <v>1010</v>
      </c>
      <c r="E183" t="s">
        <v>768</v>
      </c>
      <c r="F183" t="s">
        <v>966</v>
      </c>
      <c r="G183" s="2">
        <v>1820000</v>
      </c>
    </row>
    <row r="184" spans="1:7" x14ac:dyDescent="0.25">
      <c r="A184" t="s">
        <v>2199</v>
      </c>
      <c r="B184" t="s">
        <v>28</v>
      </c>
      <c r="C184" t="s">
        <v>1013</v>
      </c>
      <c r="D184" t="s">
        <v>1014</v>
      </c>
      <c r="E184" t="s">
        <v>768</v>
      </c>
      <c r="F184" t="s">
        <v>966</v>
      </c>
      <c r="G184" s="2">
        <v>1200000</v>
      </c>
    </row>
    <row r="185" spans="1:7" x14ac:dyDescent="0.25">
      <c r="A185" t="s">
        <v>2199</v>
      </c>
      <c r="B185" t="s">
        <v>28</v>
      </c>
      <c r="C185" t="s">
        <v>1016</v>
      </c>
      <c r="D185" t="s">
        <v>1017</v>
      </c>
      <c r="E185" t="s">
        <v>768</v>
      </c>
      <c r="F185" t="s">
        <v>966</v>
      </c>
      <c r="G185" s="2">
        <v>2500020</v>
      </c>
    </row>
    <row r="186" spans="1:7" x14ac:dyDescent="0.25">
      <c r="A186" t="s">
        <v>2199</v>
      </c>
      <c r="B186" t="s">
        <v>28</v>
      </c>
      <c r="C186" t="s">
        <v>1019</v>
      </c>
      <c r="D186" t="s">
        <v>1020</v>
      </c>
      <c r="E186" t="s">
        <v>768</v>
      </c>
      <c r="F186" t="s">
        <v>966</v>
      </c>
      <c r="G186" s="2">
        <v>2500000</v>
      </c>
    </row>
    <row r="187" spans="1:7" x14ac:dyDescent="0.25">
      <c r="A187" t="s">
        <v>2199</v>
      </c>
      <c r="B187" t="s">
        <v>28</v>
      </c>
      <c r="C187" t="s">
        <v>1022</v>
      </c>
      <c r="D187" t="s">
        <v>1023</v>
      </c>
      <c r="E187" t="s">
        <v>768</v>
      </c>
      <c r="F187" t="s">
        <v>966</v>
      </c>
      <c r="G187" s="2">
        <v>2500000</v>
      </c>
    </row>
    <row r="188" spans="1:7" x14ac:dyDescent="0.25">
      <c r="A188" t="s">
        <v>2199</v>
      </c>
      <c r="B188" t="s">
        <v>28</v>
      </c>
      <c r="C188" t="s">
        <v>1025</v>
      </c>
      <c r="D188" t="s">
        <v>1026</v>
      </c>
      <c r="E188" t="s">
        <v>768</v>
      </c>
      <c r="F188" t="s">
        <v>386</v>
      </c>
      <c r="G188" s="2">
        <v>0</v>
      </c>
    </row>
    <row r="189" spans="1:7" x14ac:dyDescent="0.25">
      <c r="A189" t="s">
        <v>2199</v>
      </c>
      <c r="B189" t="s">
        <v>28</v>
      </c>
      <c r="C189" t="s">
        <v>1039</v>
      </c>
      <c r="D189" t="s">
        <v>1040</v>
      </c>
      <c r="E189" t="s">
        <v>768</v>
      </c>
      <c r="F189" t="s">
        <v>386</v>
      </c>
      <c r="G189" s="2">
        <v>816730</v>
      </c>
    </row>
    <row r="190" spans="1:7" x14ac:dyDescent="0.25">
      <c r="A190" t="s">
        <v>2199</v>
      </c>
      <c r="B190" t="s">
        <v>28</v>
      </c>
      <c r="C190" t="s">
        <v>1042</v>
      </c>
      <c r="D190" t="s">
        <v>1044</v>
      </c>
      <c r="E190" t="s">
        <v>531</v>
      </c>
      <c r="F190" t="s">
        <v>532</v>
      </c>
      <c r="G190" s="2">
        <v>60000000</v>
      </c>
    </row>
    <row r="191" spans="1:7" x14ac:dyDescent="0.25">
      <c r="A191" t="s">
        <v>2199</v>
      </c>
      <c r="B191" t="s">
        <v>28</v>
      </c>
      <c r="C191" t="s">
        <v>1047</v>
      </c>
      <c r="D191" t="s">
        <v>1049</v>
      </c>
      <c r="E191" t="s">
        <v>531</v>
      </c>
      <c r="F191" t="s">
        <v>1051</v>
      </c>
      <c r="G191" s="2">
        <v>11000000</v>
      </c>
    </row>
    <row r="192" spans="1:7" x14ac:dyDescent="0.25">
      <c r="A192" t="s">
        <v>2199</v>
      </c>
      <c r="B192" t="s">
        <v>28</v>
      </c>
      <c r="C192" t="s">
        <v>1059</v>
      </c>
      <c r="D192" t="s">
        <v>1060</v>
      </c>
      <c r="E192" t="s">
        <v>790</v>
      </c>
      <c r="F192" t="s">
        <v>791</v>
      </c>
      <c r="G192" s="2">
        <v>510006</v>
      </c>
    </row>
    <row r="193" spans="1:7" x14ac:dyDescent="0.25">
      <c r="A193" t="s">
        <v>2199</v>
      </c>
      <c r="B193" t="s">
        <v>28</v>
      </c>
      <c r="C193" t="s">
        <v>1063</v>
      </c>
      <c r="D193" t="s">
        <v>1064</v>
      </c>
      <c r="E193" t="s">
        <v>790</v>
      </c>
      <c r="F193" t="s">
        <v>791</v>
      </c>
      <c r="G193" s="2">
        <v>450000</v>
      </c>
    </row>
    <row r="194" spans="1:7" x14ac:dyDescent="0.25">
      <c r="A194" t="s">
        <v>2199</v>
      </c>
      <c r="B194" t="s">
        <v>28</v>
      </c>
      <c r="C194" t="s">
        <v>1069</v>
      </c>
      <c r="D194" t="s">
        <v>1070</v>
      </c>
      <c r="E194" t="s">
        <v>934</v>
      </c>
      <c r="F194" t="s">
        <v>935</v>
      </c>
      <c r="G194" s="2">
        <v>450000</v>
      </c>
    </row>
    <row r="195" spans="1:7" x14ac:dyDescent="0.25">
      <c r="A195" t="s">
        <v>2199</v>
      </c>
      <c r="B195" t="s">
        <v>28</v>
      </c>
      <c r="C195" t="s">
        <v>1072</v>
      </c>
      <c r="D195" t="s">
        <v>1073</v>
      </c>
      <c r="E195" t="s">
        <v>1075</v>
      </c>
      <c r="F195" t="s">
        <v>1076</v>
      </c>
      <c r="G195" s="2">
        <v>169000</v>
      </c>
    </row>
    <row r="196" spans="1:7" x14ac:dyDescent="0.25">
      <c r="A196" t="s">
        <v>2199</v>
      </c>
      <c r="B196" t="s">
        <v>28</v>
      </c>
      <c r="C196" t="s">
        <v>1079</v>
      </c>
      <c r="D196" t="s">
        <v>1081</v>
      </c>
      <c r="E196" t="s">
        <v>1075</v>
      </c>
      <c r="F196" t="s">
        <v>1076</v>
      </c>
      <c r="G196" s="2">
        <v>100000</v>
      </c>
    </row>
    <row r="197" spans="1:7" x14ac:dyDescent="0.25">
      <c r="A197" t="s">
        <v>2199</v>
      </c>
      <c r="B197" t="s">
        <v>28</v>
      </c>
      <c r="C197" t="s">
        <v>1085</v>
      </c>
      <c r="D197" t="s">
        <v>1086</v>
      </c>
      <c r="E197" t="s">
        <v>934</v>
      </c>
      <c r="F197" t="s">
        <v>935</v>
      </c>
      <c r="G197" s="2">
        <v>352600</v>
      </c>
    </row>
    <row r="198" spans="1:7" x14ac:dyDescent="0.25">
      <c r="A198" t="s">
        <v>2199</v>
      </c>
      <c r="B198" t="s">
        <v>28</v>
      </c>
      <c r="C198" t="s">
        <v>1089</v>
      </c>
      <c r="D198" t="s">
        <v>1090</v>
      </c>
      <c r="E198" t="s">
        <v>934</v>
      </c>
      <c r="F198" t="s">
        <v>935</v>
      </c>
      <c r="G198" s="2">
        <v>50004</v>
      </c>
    </row>
    <row r="199" spans="1:7" x14ac:dyDescent="0.25">
      <c r="A199" t="s">
        <v>2199</v>
      </c>
      <c r="B199" t="s">
        <v>28</v>
      </c>
      <c r="C199" t="s">
        <v>1092</v>
      </c>
      <c r="D199" t="s">
        <v>1093</v>
      </c>
      <c r="E199" t="s">
        <v>1095</v>
      </c>
      <c r="F199" t="s">
        <v>1096</v>
      </c>
      <c r="G199" s="2">
        <v>624234</v>
      </c>
    </row>
    <row r="200" spans="1:7" x14ac:dyDescent="0.25">
      <c r="A200" t="s">
        <v>2199</v>
      </c>
      <c r="B200" t="s">
        <v>28</v>
      </c>
      <c r="C200" t="s">
        <v>1099</v>
      </c>
      <c r="D200" t="s">
        <v>1100</v>
      </c>
      <c r="E200" t="s">
        <v>457</v>
      </c>
      <c r="F200" t="s">
        <v>458</v>
      </c>
      <c r="G200" s="2">
        <v>183238</v>
      </c>
    </row>
    <row r="201" spans="1:7" x14ac:dyDescent="0.25">
      <c r="A201" t="s">
        <v>2199</v>
      </c>
      <c r="B201" t="s">
        <v>28</v>
      </c>
      <c r="C201" t="s">
        <v>1103</v>
      </c>
      <c r="D201" t="s">
        <v>1104</v>
      </c>
      <c r="E201" t="s">
        <v>1106</v>
      </c>
      <c r="F201" t="s">
        <v>1107</v>
      </c>
      <c r="G201" s="2">
        <v>5696005</v>
      </c>
    </row>
    <row r="202" spans="1:7" x14ac:dyDescent="0.25">
      <c r="A202" t="s">
        <v>2199</v>
      </c>
      <c r="B202" t="s">
        <v>28</v>
      </c>
      <c r="C202" t="s">
        <v>1110</v>
      </c>
      <c r="D202" t="s">
        <v>1111</v>
      </c>
      <c r="E202" t="s">
        <v>457</v>
      </c>
      <c r="F202" t="s">
        <v>458</v>
      </c>
      <c r="G202" s="2">
        <v>225046</v>
      </c>
    </row>
    <row r="203" spans="1:7" x14ac:dyDescent="0.25">
      <c r="A203" t="s">
        <v>2199</v>
      </c>
      <c r="B203" t="s">
        <v>28</v>
      </c>
      <c r="C203" t="s">
        <v>1113</v>
      </c>
      <c r="D203" t="s">
        <v>1115</v>
      </c>
      <c r="E203" t="s">
        <v>309</v>
      </c>
      <c r="F203" t="s">
        <v>893</v>
      </c>
      <c r="G203" s="2">
        <v>371161848</v>
      </c>
    </row>
    <row r="204" spans="1:7" x14ac:dyDescent="0.25">
      <c r="A204" t="s">
        <v>2199</v>
      </c>
      <c r="B204" t="s">
        <v>28</v>
      </c>
      <c r="C204" t="s">
        <v>1119</v>
      </c>
      <c r="D204" t="s">
        <v>1120</v>
      </c>
      <c r="E204" t="s">
        <v>1122</v>
      </c>
      <c r="F204" t="s">
        <v>1123</v>
      </c>
      <c r="G204" s="2">
        <v>600000</v>
      </c>
    </row>
    <row r="205" spans="1:7" x14ac:dyDescent="0.25">
      <c r="A205" t="s">
        <v>2199</v>
      </c>
      <c r="B205" t="s">
        <v>28</v>
      </c>
      <c r="C205" t="s">
        <v>1126</v>
      </c>
      <c r="D205" t="s">
        <v>1127</v>
      </c>
      <c r="E205" t="s">
        <v>1122</v>
      </c>
      <c r="F205" t="s">
        <v>1123</v>
      </c>
      <c r="G205" s="2">
        <v>1700000</v>
      </c>
    </row>
    <row r="206" spans="1:7" x14ac:dyDescent="0.25">
      <c r="A206" t="s">
        <v>2199</v>
      </c>
      <c r="B206" t="s">
        <v>28</v>
      </c>
      <c r="C206" t="s">
        <v>1130</v>
      </c>
      <c r="D206" t="s">
        <v>1131</v>
      </c>
      <c r="E206" t="s">
        <v>1122</v>
      </c>
      <c r="F206" t="s">
        <v>1123</v>
      </c>
      <c r="G206" s="2">
        <v>1670016</v>
      </c>
    </row>
    <row r="207" spans="1:7" x14ac:dyDescent="0.25">
      <c r="A207" t="s">
        <v>2199</v>
      </c>
      <c r="B207" t="s">
        <v>28</v>
      </c>
      <c r="C207" t="s">
        <v>1134</v>
      </c>
      <c r="D207" t="s">
        <v>1135</v>
      </c>
      <c r="E207" t="s">
        <v>1122</v>
      </c>
      <c r="F207" t="s">
        <v>1123</v>
      </c>
      <c r="G207" s="2">
        <v>900000</v>
      </c>
    </row>
    <row r="208" spans="1:7" x14ac:dyDescent="0.25">
      <c r="A208" t="s">
        <v>2199</v>
      </c>
      <c r="B208" t="s">
        <v>28</v>
      </c>
      <c r="C208" t="s">
        <v>1138</v>
      </c>
      <c r="D208" t="s">
        <v>1140</v>
      </c>
      <c r="E208" t="s">
        <v>1122</v>
      </c>
      <c r="F208" t="s">
        <v>1123</v>
      </c>
      <c r="G208" s="2">
        <v>3500010</v>
      </c>
    </row>
    <row r="209" spans="1:7" x14ac:dyDescent="0.25">
      <c r="A209" t="s">
        <v>2199</v>
      </c>
      <c r="B209" t="s">
        <v>28</v>
      </c>
      <c r="C209" t="s">
        <v>1156</v>
      </c>
      <c r="D209" t="s">
        <v>1158</v>
      </c>
      <c r="E209" t="s">
        <v>1162</v>
      </c>
      <c r="F209" t="s">
        <v>258</v>
      </c>
      <c r="G209" s="2">
        <v>17750002</v>
      </c>
    </row>
    <row r="210" spans="1:7" x14ac:dyDescent="0.25">
      <c r="A210" t="s">
        <v>2199</v>
      </c>
      <c r="B210" t="s">
        <v>28</v>
      </c>
      <c r="C210" t="s">
        <v>1168</v>
      </c>
      <c r="D210" t="s">
        <v>1169</v>
      </c>
      <c r="E210" t="s">
        <v>1162</v>
      </c>
      <c r="F210" t="s">
        <v>258</v>
      </c>
      <c r="G210" s="2">
        <v>0</v>
      </c>
    </row>
    <row r="211" spans="1:7" x14ac:dyDescent="0.25">
      <c r="A211" t="s">
        <v>2199</v>
      </c>
      <c r="B211" t="s">
        <v>28</v>
      </c>
      <c r="C211" t="s">
        <v>1176</v>
      </c>
      <c r="D211" t="s">
        <v>1177</v>
      </c>
      <c r="E211" t="s">
        <v>1180</v>
      </c>
      <c r="F211" t="s">
        <v>1181</v>
      </c>
      <c r="G211" s="2">
        <v>696000</v>
      </c>
    </row>
    <row r="212" spans="1:7" x14ac:dyDescent="0.25">
      <c r="A212" t="s">
        <v>2199</v>
      </c>
      <c r="B212" t="s">
        <v>28</v>
      </c>
      <c r="C212" t="s">
        <v>1183</v>
      </c>
      <c r="D212" t="s">
        <v>1185</v>
      </c>
      <c r="E212" t="s">
        <v>790</v>
      </c>
      <c r="F212" t="s">
        <v>791</v>
      </c>
      <c r="G212" s="2">
        <v>2885085</v>
      </c>
    </row>
    <row r="213" spans="1:7" x14ac:dyDescent="0.25">
      <c r="A213" t="s">
        <v>2199</v>
      </c>
      <c r="B213" t="s">
        <v>28</v>
      </c>
      <c r="C213" t="s">
        <v>1188</v>
      </c>
      <c r="D213" t="s">
        <v>1189</v>
      </c>
      <c r="E213" t="s">
        <v>790</v>
      </c>
      <c r="F213" t="s">
        <v>791</v>
      </c>
      <c r="G213" s="2">
        <v>2997268</v>
      </c>
    </row>
    <row r="214" spans="1:7" x14ac:dyDescent="0.25">
      <c r="A214" t="s">
        <v>2199</v>
      </c>
      <c r="B214" t="s">
        <v>28</v>
      </c>
      <c r="C214" t="s">
        <v>1207</v>
      </c>
      <c r="D214" t="s">
        <v>1208</v>
      </c>
      <c r="E214" t="s">
        <v>1211</v>
      </c>
      <c r="F214" t="s">
        <v>320</v>
      </c>
      <c r="G214" s="2">
        <v>198030</v>
      </c>
    </row>
    <row r="215" spans="1:7" x14ac:dyDescent="0.25">
      <c r="A215" t="s">
        <v>2199</v>
      </c>
      <c r="B215" t="s">
        <v>28</v>
      </c>
      <c r="C215" t="s">
        <v>1213</v>
      </c>
      <c r="D215" t="s">
        <v>1214</v>
      </c>
      <c r="E215" t="s">
        <v>395</v>
      </c>
      <c r="F215" t="s">
        <v>1217</v>
      </c>
      <c r="G215" s="2">
        <v>126581</v>
      </c>
    </row>
    <row r="216" spans="1:7" x14ac:dyDescent="0.25">
      <c r="A216" t="s">
        <v>2199</v>
      </c>
      <c r="B216" t="s">
        <v>28</v>
      </c>
      <c r="C216" t="s">
        <v>1219</v>
      </c>
      <c r="D216" t="s">
        <v>1220</v>
      </c>
      <c r="E216" t="s">
        <v>395</v>
      </c>
      <c r="F216" t="s">
        <v>1217</v>
      </c>
      <c r="G216" s="2">
        <v>172000</v>
      </c>
    </row>
    <row r="217" spans="1:7" x14ac:dyDescent="0.25">
      <c r="A217" t="s">
        <v>2199</v>
      </c>
      <c r="B217" t="s">
        <v>28</v>
      </c>
      <c r="C217" t="s">
        <v>1224</v>
      </c>
      <c r="D217" t="s">
        <v>1225</v>
      </c>
      <c r="E217" t="s">
        <v>1211</v>
      </c>
      <c r="F217" t="s">
        <v>320</v>
      </c>
      <c r="G217" s="2">
        <v>715014</v>
      </c>
    </row>
    <row r="218" spans="1:7" x14ac:dyDescent="0.25">
      <c r="A218" t="s">
        <v>2199</v>
      </c>
      <c r="B218" t="s">
        <v>28</v>
      </c>
      <c r="C218" t="s">
        <v>1228</v>
      </c>
      <c r="D218" t="s">
        <v>1229</v>
      </c>
      <c r="E218" t="s">
        <v>64</v>
      </c>
      <c r="F218" t="s">
        <v>65</v>
      </c>
      <c r="G218" s="2">
        <v>930000</v>
      </c>
    </row>
    <row r="219" spans="1:7" x14ac:dyDescent="0.25">
      <c r="A219" t="s">
        <v>2199</v>
      </c>
      <c r="B219" t="s">
        <v>28</v>
      </c>
      <c r="C219" t="s">
        <v>1234</v>
      </c>
      <c r="D219" t="s">
        <v>1235</v>
      </c>
      <c r="E219" t="s">
        <v>64</v>
      </c>
      <c r="F219" t="s">
        <v>65</v>
      </c>
      <c r="G219" s="2">
        <v>1400000</v>
      </c>
    </row>
    <row r="220" spans="1:7" x14ac:dyDescent="0.25">
      <c r="A220" t="s">
        <v>2199</v>
      </c>
      <c r="B220" t="s">
        <v>28</v>
      </c>
      <c r="C220" t="s">
        <v>1245</v>
      </c>
      <c r="D220" t="s">
        <v>1247</v>
      </c>
      <c r="E220" t="s">
        <v>122</v>
      </c>
      <c r="F220" t="s">
        <v>544</v>
      </c>
      <c r="G220" s="2">
        <v>610000</v>
      </c>
    </row>
    <row r="221" spans="1:7" x14ac:dyDescent="0.25">
      <c r="A221" t="s">
        <v>2199</v>
      </c>
      <c r="B221" t="s">
        <v>28</v>
      </c>
      <c r="C221" t="s">
        <v>1252</v>
      </c>
      <c r="D221" t="s">
        <v>1253</v>
      </c>
      <c r="E221" t="s">
        <v>1255</v>
      </c>
      <c r="F221" t="s">
        <v>1256</v>
      </c>
      <c r="G221" s="2">
        <v>52000</v>
      </c>
    </row>
    <row r="222" spans="1:7" x14ac:dyDescent="0.25">
      <c r="A222" t="s">
        <v>2199</v>
      </c>
      <c r="B222" t="s">
        <v>28</v>
      </c>
      <c r="C222" t="s">
        <v>1259</v>
      </c>
      <c r="D222" t="s">
        <v>1260</v>
      </c>
      <c r="E222" t="s">
        <v>395</v>
      </c>
      <c r="F222" t="s">
        <v>1217</v>
      </c>
      <c r="G222" s="2">
        <v>370100</v>
      </c>
    </row>
    <row r="223" spans="1:7" x14ac:dyDescent="0.25">
      <c r="A223" t="s">
        <v>2199</v>
      </c>
      <c r="B223" t="s">
        <v>28</v>
      </c>
      <c r="C223" t="s">
        <v>1269</v>
      </c>
      <c r="D223" t="s">
        <v>1270</v>
      </c>
      <c r="E223" t="s">
        <v>1273</v>
      </c>
      <c r="F223" t="s">
        <v>514</v>
      </c>
      <c r="G223" s="2">
        <v>603000</v>
      </c>
    </row>
    <row r="224" spans="1:7" x14ac:dyDescent="0.25">
      <c r="A224" t="s">
        <v>2199</v>
      </c>
      <c r="B224" t="s">
        <v>28</v>
      </c>
      <c r="C224" t="s">
        <v>1345</v>
      </c>
      <c r="D224" t="s">
        <v>1347</v>
      </c>
      <c r="E224" t="s">
        <v>1299</v>
      </c>
      <c r="F224" t="s">
        <v>1300</v>
      </c>
      <c r="G224" s="2">
        <v>150000</v>
      </c>
    </row>
    <row r="225" spans="1:7" x14ac:dyDescent="0.25">
      <c r="A225" t="s">
        <v>2199</v>
      </c>
      <c r="B225" t="s">
        <v>28</v>
      </c>
      <c r="C225" t="s">
        <v>1395</v>
      </c>
      <c r="D225" t="s">
        <v>1396</v>
      </c>
      <c r="E225" t="s">
        <v>64</v>
      </c>
      <c r="F225" t="s">
        <v>65</v>
      </c>
      <c r="G225" s="2">
        <v>500004</v>
      </c>
    </row>
    <row r="226" spans="1:7" x14ac:dyDescent="0.25">
      <c r="A226" t="s">
        <v>2199</v>
      </c>
      <c r="B226" t="s">
        <v>28</v>
      </c>
      <c r="C226" t="s">
        <v>1403</v>
      </c>
      <c r="D226" t="s">
        <v>1404</v>
      </c>
      <c r="E226" t="s">
        <v>1035</v>
      </c>
      <c r="F226" t="s">
        <v>1036</v>
      </c>
      <c r="G226" s="2">
        <v>173624</v>
      </c>
    </row>
    <row r="227" spans="1:7" x14ac:dyDescent="0.25">
      <c r="A227" t="s">
        <v>2199</v>
      </c>
      <c r="B227" t="s">
        <v>28</v>
      </c>
      <c r="C227" t="s">
        <v>1407</v>
      </c>
      <c r="D227" t="s">
        <v>1408</v>
      </c>
      <c r="E227" t="s">
        <v>590</v>
      </c>
      <c r="F227" t="s">
        <v>591</v>
      </c>
      <c r="G227" s="2">
        <v>80000</v>
      </c>
    </row>
    <row r="228" spans="1:7" x14ac:dyDescent="0.25">
      <c r="A228" t="s">
        <v>2199</v>
      </c>
      <c r="B228" t="s">
        <v>28</v>
      </c>
      <c r="C228" t="s">
        <v>1411</v>
      </c>
      <c r="D228" t="s">
        <v>1413</v>
      </c>
      <c r="E228" t="s">
        <v>1415</v>
      </c>
      <c r="F228" t="s">
        <v>514</v>
      </c>
      <c r="G228" s="2">
        <v>2000000</v>
      </c>
    </row>
    <row r="229" spans="1:7" x14ac:dyDescent="0.25">
      <c r="A229" t="s">
        <v>2199</v>
      </c>
      <c r="B229" t="s">
        <v>28</v>
      </c>
      <c r="C229" t="s">
        <v>1416</v>
      </c>
      <c r="D229" t="s">
        <v>1417</v>
      </c>
      <c r="E229" t="s">
        <v>1415</v>
      </c>
      <c r="F229" t="s">
        <v>514</v>
      </c>
      <c r="G229" s="2">
        <v>6000000</v>
      </c>
    </row>
    <row r="230" spans="1:7" x14ac:dyDescent="0.25">
      <c r="A230" t="s">
        <v>2199</v>
      </c>
      <c r="B230" t="s">
        <v>28</v>
      </c>
      <c r="C230" t="s">
        <v>1419</v>
      </c>
      <c r="D230" t="s">
        <v>1420</v>
      </c>
      <c r="E230" t="s">
        <v>1415</v>
      </c>
      <c r="F230" t="s">
        <v>514</v>
      </c>
      <c r="G230" s="2">
        <v>0</v>
      </c>
    </row>
    <row r="231" spans="1:7" x14ac:dyDescent="0.25">
      <c r="A231" t="s">
        <v>2199</v>
      </c>
      <c r="B231" t="s">
        <v>28</v>
      </c>
      <c r="C231" t="s">
        <v>1422</v>
      </c>
      <c r="D231" t="s">
        <v>1423</v>
      </c>
      <c r="E231" t="s">
        <v>1415</v>
      </c>
      <c r="F231" t="s">
        <v>514</v>
      </c>
      <c r="G231" s="2">
        <v>25000000</v>
      </c>
    </row>
    <row r="232" spans="1:7" x14ac:dyDescent="0.25">
      <c r="A232" t="s">
        <v>2199</v>
      </c>
      <c r="B232" t="s">
        <v>28</v>
      </c>
      <c r="C232" t="s">
        <v>1426</v>
      </c>
      <c r="D232" t="s">
        <v>1427</v>
      </c>
      <c r="E232" t="s">
        <v>1415</v>
      </c>
      <c r="F232" t="s">
        <v>514</v>
      </c>
      <c r="G232" s="2">
        <v>10000000</v>
      </c>
    </row>
    <row r="233" spans="1:7" x14ac:dyDescent="0.25">
      <c r="A233" t="s">
        <v>2199</v>
      </c>
      <c r="B233" t="s">
        <v>28</v>
      </c>
      <c r="C233" t="s">
        <v>1429</v>
      </c>
      <c r="D233" t="s">
        <v>1430</v>
      </c>
      <c r="E233" t="s">
        <v>1432</v>
      </c>
      <c r="F233" t="s">
        <v>1433</v>
      </c>
      <c r="G233" s="2">
        <v>35304528</v>
      </c>
    </row>
    <row r="234" spans="1:7" x14ac:dyDescent="0.25">
      <c r="A234" t="s">
        <v>2199</v>
      </c>
      <c r="B234" t="s">
        <v>28</v>
      </c>
      <c r="C234" t="s">
        <v>1436</v>
      </c>
      <c r="D234" t="s">
        <v>1438</v>
      </c>
      <c r="E234" t="s">
        <v>64</v>
      </c>
      <c r="F234" t="s">
        <v>65</v>
      </c>
      <c r="G234" s="2">
        <v>500000</v>
      </c>
    </row>
    <row r="235" spans="1:7" x14ac:dyDescent="0.25">
      <c r="A235" t="s">
        <v>2199</v>
      </c>
      <c r="B235" t="s">
        <v>28</v>
      </c>
      <c r="C235" t="s">
        <v>1442</v>
      </c>
      <c r="D235" t="s">
        <v>1443</v>
      </c>
      <c r="E235" t="s">
        <v>1445</v>
      </c>
      <c r="F235" t="s">
        <v>1446</v>
      </c>
      <c r="G235" s="2">
        <v>299940</v>
      </c>
    </row>
    <row r="236" spans="1:7" x14ac:dyDescent="0.25">
      <c r="A236" t="s">
        <v>2199</v>
      </c>
      <c r="B236" t="s">
        <v>28</v>
      </c>
      <c r="C236" t="s">
        <v>1449</v>
      </c>
      <c r="D236" t="s">
        <v>1450</v>
      </c>
      <c r="E236" t="s">
        <v>1075</v>
      </c>
      <c r="F236" t="s">
        <v>1076</v>
      </c>
      <c r="G236" s="2">
        <v>390000</v>
      </c>
    </row>
    <row r="237" spans="1:7" x14ac:dyDescent="0.25">
      <c r="A237" t="s">
        <v>2199</v>
      </c>
      <c r="B237" t="s">
        <v>28</v>
      </c>
      <c r="C237" t="s">
        <v>1453</v>
      </c>
      <c r="D237" t="s">
        <v>1454</v>
      </c>
      <c r="E237" t="s">
        <v>1445</v>
      </c>
      <c r="F237" t="s">
        <v>1446</v>
      </c>
      <c r="G237" s="2">
        <v>720000</v>
      </c>
    </row>
    <row r="238" spans="1:7" x14ac:dyDescent="0.25">
      <c r="A238" t="s">
        <v>2199</v>
      </c>
      <c r="B238" t="s">
        <v>28</v>
      </c>
      <c r="C238" t="s">
        <v>1456</v>
      </c>
      <c r="D238" t="s">
        <v>1457</v>
      </c>
      <c r="E238" t="s">
        <v>1211</v>
      </c>
      <c r="F238" t="s">
        <v>320</v>
      </c>
      <c r="G238" s="2">
        <v>170001</v>
      </c>
    </row>
    <row r="239" spans="1:7" x14ac:dyDescent="0.25">
      <c r="A239" t="s">
        <v>2199</v>
      </c>
      <c r="B239" t="s">
        <v>28</v>
      </c>
      <c r="C239" t="s">
        <v>1460</v>
      </c>
      <c r="D239" t="s">
        <v>1461</v>
      </c>
      <c r="E239" t="s">
        <v>1075</v>
      </c>
      <c r="F239" t="s">
        <v>1076</v>
      </c>
      <c r="G239" s="2">
        <v>8196174</v>
      </c>
    </row>
    <row r="240" spans="1:7" x14ac:dyDescent="0.25">
      <c r="A240" t="s">
        <v>2199</v>
      </c>
      <c r="B240" t="s">
        <v>28</v>
      </c>
      <c r="C240" t="s">
        <v>1466</v>
      </c>
      <c r="D240" t="s">
        <v>1467</v>
      </c>
      <c r="E240" t="s">
        <v>1469</v>
      </c>
      <c r="F240" t="s">
        <v>1470</v>
      </c>
      <c r="G240" s="2">
        <v>5000001</v>
      </c>
    </row>
    <row r="241" spans="1:7" x14ac:dyDescent="0.25">
      <c r="A241" t="s">
        <v>2199</v>
      </c>
      <c r="B241" t="s">
        <v>28</v>
      </c>
      <c r="C241" t="s">
        <v>1473</v>
      </c>
      <c r="D241" t="s">
        <v>1474</v>
      </c>
      <c r="E241" t="s">
        <v>1477</v>
      </c>
      <c r="F241" t="s">
        <v>219</v>
      </c>
      <c r="G241" s="2">
        <v>300006</v>
      </c>
    </row>
    <row r="242" spans="1:7" x14ac:dyDescent="0.25">
      <c r="A242" t="s">
        <v>2199</v>
      </c>
      <c r="B242" t="s">
        <v>28</v>
      </c>
      <c r="C242" t="s">
        <v>1479</v>
      </c>
      <c r="D242" t="s">
        <v>1480</v>
      </c>
      <c r="E242" t="s">
        <v>1445</v>
      </c>
      <c r="F242" t="s">
        <v>1446</v>
      </c>
      <c r="G242" s="2">
        <v>220000</v>
      </c>
    </row>
    <row r="243" spans="1:7" x14ac:dyDescent="0.25">
      <c r="A243" t="s">
        <v>2199</v>
      </c>
      <c r="B243" t="s">
        <v>28</v>
      </c>
      <c r="C243" t="s">
        <v>1482</v>
      </c>
      <c r="D243" t="s">
        <v>1483</v>
      </c>
      <c r="E243" t="s">
        <v>1477</v>
      </c>
      <c r="F243" t="s">
        <v>219</v>
      </c>
      <c r="G243" s="2">
        <v>1500018</v>
      </c>
    </row>
    <row r="244" spans="1:7" x14ac:dyDescent="0.25">
      <c r="A244" t="s">
        <v>2199</v>
      </c>
      <c r="B244" t="s">
        <v>28</v>
      </c>
      <c r="C244" t="s">
        <v>1489</v>
      </c>
      <c r="D244" t="s">
        <v>1490</v>
      </c>
      <c r="E244" t="s">
        <v>1211</v>
      </c>
      <c r="F244" t="s">
        <v>320</v>
      </c>
      <c r="G244" s="2">
        <v>218020</v>
      </c>
    </row>
    <row r="245" spans="1:7" x14ac:dyDescent="0.25">
      <c r="A245" t="s">
        <v>2199</v>
      </c>
      <c r="B245" t="s">
        <v>28</v>
      </c>
      <c r="C245" t="s">
        <v>1492</v>
      </c>
      <c r="D245" t="s">
        <v>1494</v>
      </c>
      <c r="E245" t="s">
        <v>590</v>
      </c>
      <c r="F245" t="s">
        <v>591</v>
      </c>
      <c r="G245" s="2">
        <v>100000</v>
      </c>
    </row>
    <row r="246" spans="1:7" x14ac:dyDescent="0.25">
      <c r="A246" t="s">
        <v>2199</v>
      </c>
      <c r="B246" t="s">
        <v>28</v>
      </c>
      <c r="C246" t="s">
        <v>1497</v>
      </c>
      <c r="D246" t="s">
        <v>1498</v>
      </c>
      <c r="E246" t="s">
        <v>1075</v>
      </c>
      <c r="F246" t="s">
        <v>1076</v>
      </c>
      <c r="G246" s="2">
        <v>335005</v>
      </c>
    </row>
    <row r="247" spans="1:7" x14ac:dyDescent="0.25">
      <c r="A247" t="s">
        <v>2199</v>
      </c>
      <c r="B247" t="s">
        <v>28</v>
      </c>
      <c r="C247" t="s">
        <v>1501</v>
      </c>
      <c r="D247" t="s">
        <v>1502</v>
      </c>
      <c r="E247" t="s">
        <v>1505</v>
      </c>
      <c r="F247" t="s">
        <v>423</v>
      </c>
      <c r="G247" s="2">
        <v>2400000</v>
      </c>
    </row>
    <row r="248" spans="1:7" x14ac:dyDescent="0.25">
      <c r="A248" t="s">
        <v>2199</v>
      </c>
      <c r="B248" t="s">
        <v>28</v>
      </c>
      <c r="C248" t="s">
        <v>1509</v>
      </c>
      <c r="D248" t="s">
        <v>1510</v>
      </c>
      <c r="E248" t="s">
        <v>590</v>
      </c>
      <c r="F248" t="s">
        <v>591</v>
      </c>
      <c r="G248" s="2">
        <v>300090</v>
      </c>
    </row>
    <row r="249" spans="1:7" x14ac:dyDescent="0.25">
      <c r="A249" t="s">
        <v>2199</v>
      </c>
      <c r="B249" t="s">
        <v>28</v>
      </c>
      <c r="C249" t="s">
        <v>1514</v>
      </c>
      <c r="D249" t="s">
        <v>1515</v>
      </c>
      <c r="E249" t="s">
        <v>1075</v>
      </c>
      <c r="F249" t="s">
        <v>1076</v>
      </c>
      <c r="G249" s="2">
        <v>150000</v>
      </c>
    </row>
    <row r="250" spans="1:7" x14ac:dyDescent="0.25">
      <c r="A250" t="s">
        <v>2199</v>
      </c>
      <c r="B250" t="s">
        <v>28</v>
      </c>
      <c r="C250" t="s">
        <v>1518</v>
      </c>
      <c r="D250" t="s">
        <v>1520</v>
      </c>
      <c r="E250" t="s">
        <v>761</v>
      </c>
      <c r="F250" t="s">
        <v>762</v>
      </c>
      <c r="G250" s="2">
        <v>1660004</v>
      </c>
    </row>
    <row r="251" spans="1:7" x14ac:dyDescent="0.25">
      <c r="A251" t="s">
        <v>2199</v>
      </c>
      <c r="B251" t="s">
        <v>28</v>
      </c>
      <c r="C251" t="s">
        <v>1525</v>
      </c>
      <c r="D251" t="s">
        <v>1502</v>
      </c>
      <c r="E251" t="s">
        <v>1505</v>
      </c>
      <c r="F251" t="s">
        <v>423</v>
      </c>
      <c r="G251" s="2">
        <v>3861900</v>
      </c>
    </row>
    <row r="252" spans="1:7" x14ac:dyDescent="0.25">
      <c r="A252" t="s">
        <v>2199</v>
      </c>
      <c r="B252" t="s">
        <v>28</v>
      </c>
      <c r="C252" t="s">
        <v>1528</v>
      </c>
      <c r="D252" t="s">
        <v>1529</v>
      </c>
      <c r="E252" t="s">
        <v>1075</v>
      </c>
      <c r="F252" t="s">
        <v>1076</v>
      </c>
      <c r="G252" s="2">
        <v>36000</v>
      </c>
    </row>
    <row r="253" spans="1:7" x14ac:dyDescent="0.25">
      <c r="A253" t="s">
        <v>2199</v>
      </c>
      <c r="B253" t="s">
        <v>28</v>
      </c>
      <c r="C253" t="s">
        <v>1532</v>
      </c>
      <c r="D253" t="s">
        <v>1533</v>
      </c>
      <c r="E253" t="s">
        <v>761</v>
      </c>
      <c r="F253" t="s">
        <v>762</v>
      </c>
      <c r="G253" s="2">
        <v>2740091</v>
      </c>
    </row>
    <row r="254" spans="1:7" x14ac:dyDescent="0.25">
      <c r="A254" t="s">
        <v>2199</v>
      </c>
      <c r="B254" t="s">
        <v>28</v>
      </c>
      <c r="C254" t="s">
        <v>1539</v>
      </c>
      <c r="D254" t="s">
        <v>1540</v>
      </c>
      <c r="E254" t="s">
        <v>1211</v>
      </c>
      <c r="F254" t="s">
        <v>320</v>
      </c>
      <c r="G254" s="2">
        <v>400000</v>
      </c>
    </row>
    <row r="255" spans="1:7" x14ac:dyDescent="0.25">
      <c r="A255" t="s">
        <v>2199</v>
      </c>
      <c r="B255" t="s">
        <v>28</v>
      </c>
      <c r="C255" t="s">
        <v>1542</v>
      </c>
      <c r="D255" t="s">
        <v>1543</v>
      </c>
      <c r="E255" t="s">
        <v>1075</v>
      </c>
      <c r="F255" t="s">
        <v>1076</v>
      </c>
      <c r="G255" s="2">
        <v>800000</v>
      </c>
    </row>
    <row r="256" spans="1:7" x14ac:dyDescent="0.25">
      <c r="A256" t="s">
        <v>2199</v>
      </c>
      <c r="B256" t="s">
        <v>28</v>
      </c>
      <c r="C256" t="s">
        <v>1546</v>
      </c>
      <c r="D256" t="s">
        <v>1548</v>
      </c>
      <c r="E256" t="s">
        <v>761</v>
      </c>
      <c r="F256" t="s">
        <v>762</v>
      </c>
      <c r="G256" s="2">
        <v>1322042</v>
      </c>
    </row>
    <row r="257" spans="1:7" x14ac:dyDescent="0.25">
      <c r="A257" t="s">
        <v>2199</v>
      </c>
      <c r="B257" t="s">
        <v>28</v>
      </c>
      <c r="C257" t="s">
        <v>1551</v>
      </c>
      <c r="D257" t="s">
        <v>1553</v>
      </c>
      <c r="E257" t="s">
        <v>761</v>
      </c>
      <c r="F257" t="s">
        <v>762</v>
      </c>
      <c r="G257" s="2">
        <v>334061</v>
      </c>
    </row>
    <row r="258" spans="1:7" x14ac:dyDescent="0.25">
      <c r="A258" t="s">
        <v>2199</v>
      </c>
      <c r="B258" t="s">
        <v>28</v>
      </c>
      <c r="C258" t="s">
        <v>1555</v>
      </c>
      <c r="D258" t="s">
        <v>1556</v>
      </c>
      <c r="E258" t="s">
        <v>1559</v>
      </c>
      <c r="F258" t="s">
        <v>1560</v>
      </c>
      <c r="G258" s="2">
        <v>14500000</v>
      </c>
    </row>
    <row r="259" spans="1:7" x14ac:dyDescent="0.25">
      <c r="A259" t="s">
        <v>2199</v>
      </c>
      <c r="B259" t="s">
        <v>28</v>
      </c>
      <c r="C259" t="s">
        <v>1563</v>
      </c>
      <c r="D259" t="s">
        <v>1404</v>
      </c>
      <c r="E259" t="s">
        <v>1035</v>
      </c>
      <c r="F259" t="s">
        <v>1036</v>
      </c>
      <c r="G259" s="2">
        <v>460000</v>
      </c>
    </row>
    <row r="260" spans="1:7" x14ac:dyDescent="0.25">
      <c r="A260" t="s">
        <v>2199</v>
      </c>
      <c r="B260" t="s">
        <v>28</v>
      </c>
      <c r="C260" t="s">
        <v>1566</v>
      </c>
      <c r="D260" t="s">
        <v>1567</v>
      </c>
      <c r="E260" t="s">
        <v>1211</v>
      </c>
      <c r="F260" t="s">
        <v>320</v>
      </c>
      <c r="G260" s="2">
        <v>120000</v>
      </c>
    </row>
    <row r="261" spans="1:7" x14ac:dyDescent="0.25">
      <c r="A261" t="s">
        <v>2199</v>
      </c>
      <c r="B261" t="s">
        <v>28</v>
      </c>
      <c r="C261" t="s">
        <v>1569</v>
      </c>
      <c r="D261" t="s">
        <v>1570</v>
      </c>
      <c r="E261" t="s">
        <v>1572</v>
      </c>
      <c r="F261" t="s">
        <v>1573</v>
      </c>
      <c r="G261" s="2">
        <v>7000000</v>
      </c>
    </row>
    <row r="262" spans="1:7" x14ac:dyDescent="0.25">
      <c r="A262" t="s">
        <v>2199</v>
      </c>
      <c r="B262" t="s">
        <v>28</v>
      </c>
      <c r="C262" t="s">
        <v>1585</v>
      </c>
      <c r="D262" t="s">
        <v>1587</v>
      </c>
      <c r="E262" t="s">
        <v>1572</v>
      </c>
      <c r="F262" t="s">
        <v>1573</v>
      </c>
      <c r="G262" s="2">
        <v>1428000</v>
      </c>
    </row>
    <row r="263" spans="1:7" x14ac:dyDescent="0.25">
      <c r="A263" t="s">
        <v>2199</v>
      </c>
      <c r="B263" t="s">
        <v>28</v>
      </c>
      <c r="C263" t="s">
        <v>1600</v>
      </c>
      <c r="D263" t="s">
        <v>1601</v>
      </c>
      <c r="E263" t="s">
        <v>1572</v>
      </c>
      <c r="F263" t="s">
        <v>1573</v>
      </c>
      <c r="G263" s="2">
        <v>1428000</v>
      </c>
    </row>
    <row r="264" spans="1:7" x14ac:dyDescent="0.25">
      <c r="A264" t="s">
        <v>2199</v>
      </c>
      <c r="B264" t="s">
        <v>28</v>
      </c>
      <c r="C264" t="s">
        <v>1604</v>
      </c>
      <c r="D264" t="s">
        <v>1605</v>
      </c>
      <c r="E264" t="s">
        <v>1608</v>
      </c>
      <c r="F264" t="s">
        <v>361</v>
      </c>
      <c r="G264" s="2">
        <v>1160000</v>
      </c>
    </row>
    <row r="265" spans="1:7" x14ac:dyDescent="0.25">
      <c r="A265" t="s">
        <v>2199</v>
      </c>
      <c r="B265" t="s">
        <v>28</v>
      </c>
      <c r="C265" t="s">
        <v>1610</v>
      </c>
      <c r="D265" t="s">
        <v>1611</v>
      </c>
      <c r="E265" t="s">
        <v>1613</v>
      </c>
      <c r="F265" t="s">
        <v>1614</v>
      </c>
      <c r="G265" s="2">
        <v>62432002</v>
      </c>
    </row>
    <row r="266" spans="1:7" x14ac:dyDescent="0.25">
      <c r="A266" t="s">
        <v>2199</v>
      </c>
      <c r="B266" t="s">
        <v>28</v>
      </c>
      <c r="C266" t="s">
        <v>1620</v>
      </c>
      <c r="D266" t="s">
        <v>1621</v>
      </c>
      <c r="E266" t="s">
        <v>1608</v>
      </c>
      <c r="F266" t="s">
        <v>361</v>
      </c>
      <c r="G266" s="2">
        <v>600000</v>
      </c>
    </row>
    <row r="267" spans="1:7" x14ac:dyDescent="0.25">
      <c r="A267" t="s">
        <v>2199</v>
      </c>
      <c r="B267" t="s">
        <v>28</v>
      </c>
      <c r="C267" t="s">
        <v>1626</v>
      </c>
      <c r="D267" t="s">
        <v>1627</v>
      </c>
      <c r="E267" t="s">
        <v>1572</v>
      </c>
      <c r="F267" t="s">
        <v>1573</v>
      </c>
      <c r="G267" s="2">
        <v>5580820</v>
      </c>
    </row>
    <row r="268" spans="1:7" x14ac:dyDescent="0.25">
      <c r="A268" t="s">
        <v>2199</v>
      </c>
      <c r="B268" t="s">
        <v>28</v>
      </c>
      <c r="C268" t="s">
        <v>1632</v>
      </c>
      <c r="D268" t="s">
        <v>1633</v>
      </c>
      <c r="E268" t="s">
        <v>934</v>
      </c>
      <c r="F268" t="s">
        <v>935</v>
      </c>
      <c r="G268" s="2">
        <v>440000</v>
      </c>
    </row>
    <row r="269" spans="1:7" x14ac:dyDescent="0.25">
      <c r="A269" t="s">
        <v>2199</v>
      </c>
      <c r="B269" t="s">
        <v>28</v>
      </c>
      <c r="C269" t="s">
        <v>1637</v>
      </c>
      <c r="D269" t="s">
        <v>1177</v>
      </c>
      <c r="E269" t="s">
        <v>1180</v>
      </c>
      <c r="F269" t="s">
        <v>1181</v>
      </c>
      <c r="G269" s="2">
        <v>115003</v>
      </c>
    </row>
    <row r="270" spans="1:7" x14ac:dyDescent="0.25">
      <c r="A270" t="s">
        <v>2199</v>
      </c>
      <c r="B270" t="s">
        <v>28</v>
      </c>
      <c r="C270" t="s">
        <v>1638</v>
      </c>
      <c r="D270" t="s">
        <v>1639</v>
      </c>
      <c r="E270" t="s">
        <v>1642</v>
      </c>
      <c r="F270" t="s">
        <v>1643</v>
      </c>
      <c r="G270" s="2">
        <v>405000</v>
      </c>
    </row>
    <row r="271" spans="1:7" x14ac:dyDescent="0.25">
      <c r="A271" t="s">
        <v>2199</v>
      </c>
      <c r="B271" t="s">
        <v>28</v>
      </c>
      <c r="C271" t="s">
        <v>1667</v>
      </c>
      <c r="D271" t="s">
        <v>1668</v>
      </c>
      <c r="E271" t="s">
        <v>64</v>
      </c>
      <c r="F271" t="s">
        <v>65</v>
      </c>
      <c r="G271" s="2">
        <v>542153</v>
      </c>
    </row>
    <row r="272" spans="1:7" x14ac:dyDescent="0.25">
      <c r="A272" t="s">
        <v>2199</v>
      </c>
      <c r="B272" t="s">
        <v>28</v>
      </c>
      <c r="C272" t="s">
        <v>1675</v>
      </c>
      <c r="D272" t="s">
        <v>1658</v>
      </c>
      <c r="E272" t="s">
        <v>1660</v>
      </c>
      <c r="F272" t="s">
        <v>1661</v>
      </c>
      <c r="G272" s="2">
        <v>2502600</v>
      </c>
    </row>
    <row r="273" spans="1:7" x14ac:dyDescent="0.25">
      <c r="A273" t="s">
        <v>2199</v>
      </c>
      <c r="B273" t="s">
        <v>28</v>
      </c>
      <c r="C273" t="s">
        <v>1679</v>
      </c>
      <c r="D273" t="s">
        <v>1680</v>
      </c>
      <c r="E273" t="s">
        <v>457</v>
      </c>
      <c r="F273" t="s">
        <v>1682</v>
      </c>
      <c r="G273" s="2">
        <v>222014</v>
      </c>
    </row>
    <row r="274" spans="1:7" x14ac:dyDescent="0.25">
      <c r="A274" t="s">
        <v>2199</v>
      </c>
      <c r="B274" t="s">
        <v>28</v>
      </c>
      <c r="C274" t="s">
        <v>1684</v>
      </c>
      <c r="D274" t="s">
        <v>1685</v>
      </c>
      <c r="E274" t="s">
        <v>1642</v>
      </c>
      <c r="F274" t="s">
        <v>1643</v>
      </c>
      <c r="G274" s="2">
        <v>200000</v>
      </c>
    </row>
    <row r="275" spans="1:7" x14ac:dyDescent="0.25">
      <c r="A275" t="s">
        <v>2199</v>
      </c>
      <c r="B275" t="s">
        <v>28</v>
      </c>
      <c r="C275" t="s">
        <v>1687</v>
      </c>
      <c r="D275" t="s">
        <v>1688</v>
      </c>
      <c r="E275" t="s">
        <v>1690</v>
      </c>
      <c r="F275" t="s">
        <v>865</v>
      </c>
      <c r="G275" s="2">
        <v>2026009</v>
      </c>
    </row>
    <row r="276" spans="1:7" x14ac:dyDescent="0.25">
      <c r="A276" t="s">
        <v>2199</v>
      </c>
      <c r="B276" t="s">
        <v>28</v>
      </c>
      <c r="C276" t="s">
        <v>1694</v>
      </c>
      <c r="D276" t="s">
        <v>1695</v>
      </c>
      <c r="E276" t="s">
        <v>414</v>
      </c>
      <c r="F276" t="s">
        <v>1697</v>
      </c>
      <c r="G276" s="2">
        <v>2500008</v>
      </c>
    </row>
    <row r="277" spans="1:7" x14ac:dyDescent="0.25">
      <c r="A277" t="s">
        <v>2199</v>
      </c>
      <c r="B277" t="s">
        <v>28</v>
      </c>
      <c r="C277" t="s">
        <v>1699</v>
      </c>
      <c r="D277" t="s">
        <v>1658</v>
      </c>
      <c r="E277" t="s">
        <v>1660</v>
      </c>
      <c r="F277" t="s">
        <v>1661</v>
      </c>
      <c r="G277" s="2">
        <v>500115</v>
      </c>
    </row>
    <row r="278" spans="1:7" x14ac:dyDescent="0.25">
      <c r="A278" t="s">
        <v>2199</v>
      </c>
      <c r="B278" t="s">
        <v>28</v>
      </c>
      <c r="C278" t="s">
        <v>1700</v>
      </c>
      <c r="D278" t="s">
        <v>1701</v>
      </c>
      <c r="E278" t="s">
        <v>1704</v>
      </c>
      <c r="F278" t="s">
        <v>1705</v>
      </c>
      <c r="G278" s="2">
        <v>4059825</v>
      </c>
    </row>
    <row r="279" spans="1:7" x14ac:dyDescent="0.25">
      <c r="A279" t="s">
        <v>2199</v>
      </c>
      <c r="B279" t="s">
        <v>28</v>
      </c>
      <c r="C279" t="s">
        <v>1708</v>
      </c>
      <c r="D279" t="s">
        <v>1709</v>
      </c>
      <c r="E279" t="s">
        <v>958</v>
      </c>
      <c r="F279" t="s">
        <v>959</v>
      </c>
      <c r="G279" s="2">
        <v>550000</v>
      </c>
    </row>
    <row r="280" spans="1:7" x14ac:dyDescent="0.25">
      <c r="A280" t="s">
        <v>2199</v>
      </c>
      <c r="B280" t="s">
        <v>28</v>
      </c>
      <c r="C280" t="s">
        <v>1712</v>
      </c>
      <c r="D280" t="s">
        <v>1713</v>
      </c>
      <c r="E280" t="s">
        <v>1572</v>
      </c>
      <c r="F280" t="s">
        <v>1573</v>
      </c>
      <c r="G280" s="2">
        <v>783090</v>
      </c>
    </row>
    <row r="281" spans="1:7" x14ac:dyDescent="0.25">
      <c r="A281" t="s">
        <v>2199</v>
      </c>
      <c r="B281" t="s">
        <v>28</v>
      </c>
      <c r="C281" t="s">
        <v>1715</v>
      </c>
      <c r="D281" t="s">
        <v>1716</v>
      </c>
      <c r="E281" t="s">
        <v>958</v>
      </c>
      <c r="F281" t="s">
        <v>959</v>
      </c>
      <c r="G281" s="2">
        <v>60000</v>
      </c>
    </row>
    <row r="282" spans="1:7" x14ac:dyDescent="0.25">
      <c r="A282" t="s">
        <v>2199</v>
      </c>
      <c r="B282" t="s">
        <v>28</v>
      </c>
      <c r="C282" t="s">
        <v>1718</v>
      </c>
      <c r="D282" t="s">
        <v>1719</v>
      </c>
      <c r="E282" t="s">
        <v>1723</v>
      </c>
      <c r="F282" t="s">
        <v>154</v>
      </c>
      <c r="G282" s="2">
        <v>0</v>
      </c>
    </row>
    <row r="283" spans="1:7" x14ac:dyDescent="0.25">
      <c r="A283" t="s">
        <v>2199</v>
      </c>
      <c r="B283" t="s">
        <v>28</v>
      </c>
      <c r="C283" t="s">
        <v>1725</v>
      </c>
      <c r="D283" t="s">
        <v>1726</v>
      </c>
      <c r="E283" t="s">
        <v>1211</v>
      </c>
      <c r="F283" t="s">
        <v>320</v>
      </c>
      <c r="G283" s="2">
        <v>900000</v>
      </c>
    </row>
    <row r="284" spans="1:7" x14ac:dyDescent="0.25">
      <c r="A284" t="s">
        <v>2199</v>
      </c>
      <c r="B284" t="s">
        <v>28</v>
      </c>
      <c r="C284" t="s">
        <v>1728</v>
      </c>
      <c r="D284" t="s">
        <v>1729</v>
      </c>
      <c r="E284" t="s">
        <v>1211</v>
      </c>
      <c r="F284" t="s">
        <v>320</v>
      </c>
      <c r="G284" s="2">
        <v>1500000</v>
      </c>
    </row>
    <row r="285" spans="1:7" x14ac:dyDescent="0.25">
      <c r="A285" t="s">
        <v>2199</v>
      </c>
      <c r="B285" t="s">
        <v>28</v>
      </c>
      <c r="C285" t="s">
        <v>1731</v>
      </c>
      <c r="D285" t="s">
        <v>1732</v>
      </c>
      <c r="E285" t="s">
        <v>1572</v>
      </c>
      <c r="F285" t="s">
        <v>1573</v>
      </c>
      <c r="G285" s="2">
        <v>726450</v>
      </c>
    </row>
    <row r="286" spans="1:7" x14ac:dyDescent="0.25">
      <c r="A286" t="s">
        <v>2199</v>
      </c>
      <c r="B286" t="s">
        <v>28</v>
      </c>
      <c r="C286" t="s">
        <v>1734</v>
      </c>
      <c r="D286" t="s">
        <v>1736</v>
      </c>
      <c r="E286" t="s">
        <v>624</v>
      </c>
      <c r="F286" t="s">
        <v>625</v>
      </c>
      <c r="G286" s="2">
        <v>5000000</v>
      </c>
    </row>
    <row r="287" spans="1:7" x14ac:dyDescent="0.25">
      <c r="A287" t="s">
        <v>2199</v>
      </c>
      <c r="B287" t="s">
        <v>28</v>
      </c>
      <c r="C287" t="s">
        <v>1738</v>
      </c>
      <c r="D287" t="s">
        <v>1739</v>
      </c>
      <c r="E287" t="s">
        <v>1723</v>
      </c>
      <c r="F287" t="s">
        <v>154</v>
      </c>
      <c r="G287" s="2">
        <v>500000</v>
      </c>
    </row>
    <row r="288" spans="1:7" x14ac:dyDescent="0.25">
      <c r="A288" t="s">
        <v>2199</v>
      </c>
      <c r="B288" t="s">
        <v>28</v>
      </c>
      <c r="C288" t="s">
        <v>1741</v>
      </c>
      <c r="D288" t="s">
        <v>1742</v>
      </c>
      <c r="E288" t="s">
        <v>1744</v>
      </c>
      <c r="F288" t="s">
        <v>1745</v>
      </c>
      <c r="G288" s="2">
        <v>316013</v>
      </c>
    </row>
    <row r="289" spans="1:7" x14ac:dyDescent="0.25">
      <c r="A289" t="s">
        <v>2199</v>
      </c>
      <c r="B289" t="s">
        <v>28</v>
      </c>
      <c r="C289" t="s">
        <v>1748</v>
      </c>
      <c r="D289" t="s">
        <v>1749</v>
      </c>
      <c r="E289" t="s">
        <v>1752</v>
      </c>
      <c r="F289" t="s">
        <v>1753</v>
      </c>
      <c r="G289" s="2">
        <v>10000000</v>
      </c>
    </row>
    <row r="290" spans="1:7" x14ac:dyDescent="0.25">
      <c r="A290" t="s">
        <v>2199</v>
      </c>
      <c r="B290" t="s">
        <v>28</v>
      </c>
      <c r="C290" t="s">
        <v>1756</v>
      </c>
      <c r="D290" t="s">
        <v>1757</v>
      </c>
      <c r="E290" t="s">
        <v>1759</v>
      </c>
      <c r="F290" t="s">
        <v>1760</v>
      </c>
      <c r="G290" s="2">
        <v>15000018</v>
      </c>
    </row>
    <row r="291" spans="1:7" x14ac:dyDescent="0.25">
      <c r="A291" t="s">
        <v>2199</v>
      </c>
      <c r="B291" t="s">
        <v>28</v>
      </c>
      <c r="C291" t="s">
        <v>1763</v>
      </c>
      <c r="D291" t="s">
        <v>1764</v>
      </c>
      <c r="E291" t="s">
        <v>1759</v>
      </c>
      <c r="F291" t="s">
        <v>1760</v>
      </c>
      <c r="G291" s="2">
        <v>30000000</v>
      </c>
    </row>
    <row r="292" spans="1:7" x14ac:dyDescent="0.25">
      <c r="A292" t="s">
        <v>2199</v>
      </c>
      <c r="B292" t="s">
        <v>28</v>
      </c>
      <c r="C292" t="s">
        <v>1767</v>
      </c>
      <c r="D292" t="s">
        <v>1768</v>
      </c>
      <c r="E292" t="s">
        <v>1642</v>
      </c>
      <c r="F292" t="s">
        <v>1643</v>
      </c>
      <c r="G292" s="2">
        <v>280000</v>
      </c>
    </row>
    <row r="293" spans="1:7" x14ac:dyDescent="0.25">
      <c r="A293" t="s">
        <v>2199</v>
      </c>
      <c r="B293" t="s">
        <v>28</v>
      </c>
      <c r="C293" t="s">
        <v>1770</v>
      </c>
      <c r="D293" t="s">
        <v>1771</v>
      </c>
      <c r="E293" t="s">
        <v>1773</v>
      </c>
      <c r="F293" t="s">
        <v>1774</v>
      </c>
      <c r="G293" s="2">
        <v>7000000</v>
      </c>
    </row>
    <row r="294" spans="1:7" x14ac:dyDescent="0.25">
      <c r="A294" t="s">
        <v>2199</v>
      </c>
      <c r="B294" t="s">
        <v>28</v>
      </c>
      <c r="C294" t="s">
        <v>1777</v>
      </c>
      <c r="D294" t="s">
        <v>1778</v>
      </c>
      <c r="E294" t="s">
        <v>1744</v>
      </c>
      <c r="F294" t="s">
        <v>1745</v>
      </c>
      <c r="G294" s="2">
        <v>1200000</v>
      </c>
    </row>
    <row r="295" spans="1:7" x14ac:dyDescent="0.25">
      <c r="A295" t="s">
        <v>2199</v>
      </c>
      <c r="B295" t="s">
        <v>28</v>
      </c>
      <c r="C295" t="s">
        <v>1780</v>
      </c>
      <c r="D295" t="s">
        <v>1781</v>
      </c>
      <c r="E295" t="s">
        <v>1744</v>
      </c>
      <c r="F295" t="s">
        <v>1745</v>
      </c>
      <c r="G295" s="2">
        <v>150100</v>
      </c>
    </row>
    <row r="296" spans="1:7" x14ac:dyDescent="0.25">
      <c r="A296" t="s">
        <v>2199</v>
      </c>
      <c r="B296" t="s">
        <v>28</v>
      </c>
      <c r="C296" t="s">
        <v>1783</v>
      </c>
      <c r="D296" t="s">
        <v>1784</v>
      </c>
      <c r="E296" t="s">
        <v>1773</v>
      </c>
      <c r="F296" t="s">
        <v>1774</v>
      </c>
      <c r="G296" s="2">
        <v>1500000</v>
      </c>
    </row>
    <row r="297" spans="1:7" x14ac:dyDescent="0.25">
      <c r="A297" t="s">
        <v>2199</v>
      </c>
      <c r="B297" t="s">
        <v>28</v>
      </c>
      <c r="C297" t="s">
        <v>1787</v>
      </c>
      <c r="D297" t="s">
        <v>1788</v>
      </c>
      <c r="E297" t="s">
        <v>1642</v>
      </c>
      <c r="F297" t="s">
        <v>1643</v>
      </c>
      <c r="G297" s="2">
        <v>118548</v>
      </c>
    </row>
    <row r="298" spans="1:7" x14ac:dyDescent="0.25">
      <c r="A298" t="s">
        <v>2199</v>
      </c>
      <c r="B298" t="s">
        <v>28</v>
      </c>
      <c r="C298" t="s">
        <v>1790</v>
      </c>
      <c r="D298" t="s">
        <v>1791</v>
      </c>
      <c r="E298" t="s">
        <v>1773</v>
      </c>
      <c r="F298" t="s">
        <v>1774</v>
      </c>
      <c r="G298" s="2">
        <v>1000000</v>
      </c>
    </row>
    <row r="299" spans="1:7" x14ac:dyDescent="0.25">
      <c r="A299" t="s">
        <v>2199</v>
      </c>
      <c r="B299" t="s">
        <v>28</v>
      </c>
      <c r="C299" t="s">
        <v>1793</v>
      </c>
      <c r="D299" t="s">
        <v>1794</v>
      </c>
      <c r="E299" t="s">
        <v>1797</v>
      </c>
      <c r="F299" t="s">
        <v>1798</v>
      </c>
      <c r="G299" s="2">
        <v>110000</v>
      </c>
    </row>
    <row r="300" spans="1:7" x14ac:dyDescent="0.25">
      <c r="A300" t="s">
        <v>2199</v>
      </c>
      <c r="B300" t="s">
        <v>28</v>
      </c>
      <c r="C300" t="s">
        <v>1802</v>
      </c>
      <c r="D300" t="s">
        <v>1803</v>
      </c>
      <c r="E300" t="s">
        <v>1805</v>
      </c>
      <c r="F300" t="s">
        <v>523</v>
      </c>
      <c r="G300" s="2">
        <v>600000</v>
      </c>
    </row>
    <row r="301" spans="1:7" x14ac:dyDescent="0.25">
      <c r="A301" t="s">
        <v>2199</v>
      </c>
      <c r="B301" t="s">
        <v>28</v>
      </c>
      <c r="C301" t="s">
        <v>1807</v>
      </c>
      <c r="D301" t="s">
        <v>1808</v>
      </c>
      <c r="E301" t="s">
        <v>1752</v>
      </c>
      <c r="F301" t="s">
        <v>1753</v>
      </c>
      <c r="G301" s="2">
        <v>10000000</v>
      </c>
    </row>
    <row r="302" spans="1:7" x14ac:dyDescent="0.25">
      <c r="A302" t="s">
        <v>2199</v>
      </c>
      <c r="B302" t="s">
        <v>28</v>
      </c>
      <c r="C302" t="s">
        <v>1811</v>
      </c>
      <c r="D302" t="s">
        <v>1812</v>
      </c>
      <c r="E302" t="s">
        <v>1797</v>
      </c>
      <c r="F302" t="s">
        <v>1798</v>
      </c>
      <c r="G302" s="2">
        <v>500000</v>
      </c>
    </row>
    <row r="303" spans="1:7" x14ac:dyDescent="0.25">
      <c r="A303" t="s">
        <v>2199</v>
      </c>
      <c r="B303" t="s">
        <v>28</v>
      </c>
      <c r="C303" t="s">
        <v>1815</v>
      </c>
      <c r="D303" t="s">
        <v>1816</v>
      </c>
      <c r="E303" t="s">
        <v>1642</v>
      </c>
      <c r="F303" t="s">
        <v>1643</v>
      </c>
      <c r="G303" s="2">
        <v>450008</v>
      </c>
    </row>
    <row r="304" spans="1:7" x14ac:dyDescent="0.25">
      <c r="A304" t="s">
        <v>2199</v>
      </c>
      <c r="B304" t="s">
        <v>28</v>
      </c>
      <c r="C304" t="s">
        <v>1818</v>
      </c>
      <c r="D304" t="s">
        <v>1819</v>
      </c>
      <c r="E304" t="s">
        <v>1723</v>
      </c>
      <c r="F304" t="s">
        <v>154</v>
      </c>
      <c r="G304" s="2">
        <v>700000</v>
      </c>
    </row>
    <row r="305" spans="1:7" x14ac:dyDescent="0.25">
      <c r="A305" t="s">
        <v>2199</v>
      </c>
      <c r="B305" t="s">
        <v>28</v>
      </c>
      <c r="C305" t="s">
        <v>1821</v>
      </c>
      <c r="D305" t="s">
        <v>1822</v>
      </c>
      <c r="E305" t="s">
        <v>1723</v>
      </c>
      <c r="F305" t="s">
        <v>154</v>
      </c>
      <c r="G305" s="2">
        <v>2000160</v>
      </c>
    </row>
    <row r="306" spans="1:7" x14ac:dyDescent="0.25">
      <c r="A306" t="s">
        <v>2199</v>
      </c>
      <c r="B306" t="s">
        <v>28</v>
      </c>
      <c r="C306" t="s">
        <v>1824</v>
      </c>
      <c r="D306" t="s">
        <v>1825</v>
      </c>
      <c r="E306" t="s">
        <v>1805</v>
      </c>
      <c r="F306" t="s">
        <v>523</v>
      </c>
      <c r="G306" s="2">
        <v>420000</v>
      </c>
    </row>
    <row r="307" spans="1:7" x14ac:dyDescent="0.25">
      <c r="A307" t="s">
        <v>2199</v>
      </c>
      <c r="B307" t="s">
        <v>28</v>
      </c>
      <c r="C307" t="s">
        <v>1832</v>
      </c>
      <c r="D307" t="s">
        <v>1833</v>
      </c>
      <c r="E307" t="s">
        <v>1642</v>
      </c>
      <c r="F307" t="s">
        <v>1643</v>
      </c>
      <c r="G307" s="2">
        <v>1000000</v>
      </c>
    </row>
    <row r="308" spans="1:7" x14ac:dyDescent="0.25">
      <c r="A308" t="s">
        <v>2199</v>
      </c>
      <c r="B308" t="s">
        <v>28</v>
      </c>
      <c r="C308" t="s">
        <v>1835</v>
      </c>
      <c r="D308" t="s">
        <v>1836</v>
      </c>
      <c r="E308" t="s">
        <v>1642</v>
      </c>
      <c r="F308" t="s">
        <v>1643</v>
      </c>
      <c r="G308" s="2">
        <v>440040</v>
      </c>
    </row>
    <row r="309" spans="1:7" x14ac:dyDescent="0.25">
      <c r="A309" t="s">
        <v>2199</v>
      </c>
      <c r="B309" t="s">
        <v>28</v>
      </c>
      <c r="C309" t="s">
        <v>1839</v>
      </c>
      <c r="D309" t="s">
        <v>1840</v>
      </c>
      <c r="E309" t="s">
        <v>1572</v>
      </c>
      <c r="F309" t="s">
        <v>1573</v>
      </c>
      <c r="G309" s="2">
        <v>2578000</v>
      </c>
    </row>
    <row r="310" spans="1:7" x14ac:dyDescent="0.25">
      <c r="A310" t="s">
        <v>2199</v>
      </c>
      <c r="B310" t="s">
        <v>28</v>
      </c>
      <c r="C310" t="s">
        <v>1842</v>
      </c>
      <c r="D310" t="s">
        <v>1843</v>
      </c>
      <c r="E310" t="s">
        <v>122</v>
      </c>
      <c r="F310" t="s">
        <v>544</v>
      </c>
      <c r="G310" s="2">
        <v>3000000</v>
      </c>
    </row>
    <row r="311" spans="1:7" x14ac:dyDescent="0.25">
      <c r="A311" t="s">
        <v>2199</v>
      </c>
      <c r="B311" t="s">
        <v>28</v>
      </c>
      <c r="C311" t="s">
        <v>1845</v>
      </c>
      <c r="D311" t="s">
        <v>1846</v>
      </c>
      <c r="E311" t="s">
        <v>1572</v>
      </c>
      <c r="F311" t="s">
        <v>1573</v>
      </c>
      <c r="G311" s="2">
        <v>1428000</v>
      </c>
    </row>
    <row r="312" spans="1:7" x14ac:dyDescent="0.25">
      <c r="A312" t="s">
        <v>2199</v>
      </c>
      <c r="B312" t="s">
        <v>28</v>
      </c>
      <c r="C312" t="s">
        <v>1848</v>
      </c>
      <c r="D312" t="s">
        <v>1849</v>
      </c>
      <c r="E312" t="s">
        <v>414</v>
      </c>
      <c r="F312" t="s">
        <v>1852</v>
      </c>
      <c r="G312" s="2">
        <v>9000000</v>
      </c>
    </row>
    <row r="313" spans="1:7" x14ac:dyDescent="0.25">
      <c r="A313" t="s">
        <v>2199</v>
      </c>
      <c r="B313" t="s">
        <v>28</v>
      </c>
      <c r="C313" t="s">
        <v>1853</v>
      </c>
      <c r="D313" t="s">
        <v>1854</v>
      </c>
      <c r="E313" t="s">
        <v>1445</v>
      </c>
      <c r="F313" t="s">
        <v>1446</v>
      </c>
      <c r="G313" s="2">
        <v>3000000</v>
      </c>
    </row>
    <row r="314" spans="1:7" x14ac:dyDescent="0.25">
      <c r="A314" t="s">
        <v>2199</v>
      </c>
      <c r="B314" t="s">
        <v>28</v>
      </c>
      <c r="C314" t="s">
        <v>1856</v>
      </c>
      <c r="D314" t="s">
        <v>1857</v>
      </c>
      <c r="E314" t="s">
        <v>761</v>
      </c>
      <c r="F314" t="s">
        <v>762</v>
      </c>
      <c r="G314" s="2">
        <v>1250000</v>
      </c>
    </row>
    <row r="315" spans="1:7" x14ac:dyDescent="0.25">
      <c r="A315" t="s">
        <v>2199</v>
      </c>
      <c r="B315" t="s">
        <v>28</v>
      </c>
      <c r="C315" t="s">
        <v>1860</v>
      </c>
      <c r="D315" t="s">
        <v>1861</v>
      </c>
      <c r="E315" t="s">
        <v>1797</v>
      </c>
      <c r="F315" t="s">
        <v>1798</v>
      </c>
      <c r="G315" s="2">
        <v>449086</v>
      </c>
    </row>
    <row r="316" spans="1:7" x14ac:dyDescent="0.25">
      <c r="A316" t="s">
        <v>2199</v>
      </c>
      <c r="B316" t="s">
        <v>28</v>
      </c>
      <c r="C316" t="s">
        <v>1865</v>
      </c>
      <c r="D316" t="s">
        <v>1866</v>
      </c>
      <c r="E316" t="s">
        <v>1868</v>
      </c>
      <c r="F316" t="s">
        <v>1869</v>
      </c>
      <c r="G316" s="2">
        <v>506850</v>
      </c>
    </row>
    <row r="317" spans="1:7" x14ac:dyDescent="0.25">
      <c r="A317" t="s">
        <v>2199</v>
      </c>
      <c r="B317" t="s">
        <v>28</v>
      </c>
      <c r="C317" t="s">
        <v>1872</v>
      </c>
      <c r="D317" t="s">
        <v>1873</v>
      </c>
      <c r="E317" t="s">
        <v>1875</v>
      </c>
      <c r="F317" t="s">
        <v>1876</v>
      </c>
      <c r="G317" s="2">
        <v>505068</v>
      </c>
    </row>
    <row r="318" spans="1:7" x14ac:dyDescent="0.25">
      <c r="A318" t="s">
        <v>2199</v>
      </c>
      <c r="B318" t="s">
        <v>28</v>
      </c>
      <c r="C318" t="s">
        <v>1879</v>
      </c>
      <c r="D318" t="s">
        <v>1880</v>
      </c>
      <c r="E318" t="s">
        <v>768</v>
      </c>
      <c r="F318" t="s">
        <v>966</v>
      </c>
      <c r="G318" s="2">
        <v>12000000</v>
      </c>
    </row>
    <row r="319" spans="1:7" x14ac:dyDescent="0.25">
      <c r="A319" t="s">
        <v>2199</v>
      </c>
      <c r="B319" t="s">
        <v>28</v>
      </c>
      <c r="C319" t="s">
        <v>1883</v>
      </c>
      <c r="D319" t="s">
        <v>1884</v>
      </c>
      <c r="E319" t="s">
        <v>1759</v>
      </c>
      <c r="F319" t="s">
        <v>1760</v>
      </c>
      <c r="G319" s="2">
        <v>3550000</v>
      </c>
    </row>
    <row r="320" spans="1:7" x14ac:dyDescent="0.25">
      <c r="A320" t="s">
        <v>2199</v>
      </c>
      <c r="B320" t="s">
        <v>28</v>
      </c>
      <c r="C320" t="s">
        <v>1890</v>
      </c>
      <c r="D320" t="s">
        <v>1891</v>
      </c>
      <c r="E320" t="s">
        <v>1893</v>
      </c>
      <c r="F320" t="s">
        <v>1894</v>
      </c>
      <c r="G320" s="2">
        <v>70000</v>
      </c>
    </row>
    <row r="321" spans="1:7" x14ac:dyDescent="0.25">
      <c r="A321" t="s">
        <v>2199</v>
      </c>
      <c r="B321" t="s">
        <v>28</v>
      </c>
      <c r="C321" t="s">
        <v>1897</v>
      </c>
      <c r="D321" t="s">
        <v>1898</v>
      </c>
      <c r="E321" t="s">
        <v>1797</v>
      </c>
      <c r="F321" t="s">
        <v>1798</v>
      </c>
      <c r="G321" s="2">
        <v>335000</v>
      </c>
    </row>
    <row r="322" spans="1:7" x14ac:dyDescent="0.25">
      <c r="A322" t="s">
        <v>2199</v>
      </c>
      <c r="B322" t="s">
        <v>28</v>
      </c>
      <c r="C322" t="s">
        <v>1901</v>
      </c>
      <c r="D322" t="s">
        <v>1903</v>
      </c>
      <c r="E322" t="s">
        <v>761</v>
      </c>
      <c r="F322" t="s">
        <v>762</v>
      </c>
      <c r="G322" s="2">
        <v>6517038</v>
      </c>
    </row>
    <row r="323" spans="1:7" x14ac:dyDescent="0.25">
      <c r="A323" t="s">
        <v>2199</v>
      </c>
      <c r="B323" t="s">
        <v>28</v>
      </c>
      <c r="C323" t="s">
        <v>1908</v>
      </c>
      <c r="D323" t="s">
        <v>1909</v>
      </c>
      <c r="E323" t="s">
        <v>1797</v>
      </c>
      <c r="F323" t="s">
        <v>1798</v>
      </c>
      <c r="G323" s="2">
        <v>170000</v>
      </c>
    </row>
    <row r="324" spans="1:7" x14ac:dyDescent="0.25">
      <c r="A324" t="s">
        <v>2199</v>
      </c>
      <c r="B324" t="s">
        <v>28</v>
      </c>
      <c r="C324" t="s">
        <v>1911</v>
      </c>
      <c r="D324" t="s">
        <v>1912</v>
      </c>
      <c r="E324" t="s">
        <v>1893</v>
      </c>
      <c r="F324" t="s">
        <v>1894</v>
      </c>
      <c r="G324" s="2">
        <v>100000</v>
      </c>
    </row>
    <row r="325" spans="1:7" x14ac:dyDescent="0.25">
      <c r="A325" t="s">
        <v>2199</v>
      </c>
      <c r="B325" t="s">
        <v>28</v>
      </c>
      <c r="C325" t="s">
        <v>1914</v>
      </c>
      <c r="D325" t="s">
        <v>1916</v>
      </c>
      <c r="E325" t="s">
        <v>1445</v>
      </c>
      <c r="F325" t="s">
        <v>1446</v>
      </c>
      <c r="G325" s="2">
        <v>220000</v>
      </c>
    </row>
    <row r="326" spans="1:7" x14ac:dyDescent="0.25">
      <c r="A326" t="s">
        <v>2199</v>
      </c>
      <c r="B326" t="s">
        <v>28</v>
      </c>
      <c r="C326" t="s">
        <v>1921</v>
      </c>
      <c r="D326" t="s">
        <v>1922</v>
      </c>
      <c r="E326" t="s">
        <v>1924</v>
      </c>
      <c r="F326" t="s">
        <v>1869</v>
      </c>
      <c r="G326" s="2">
        <v>511508</v>
      </c>
    </row>
    <row r="327" spans="1:7" x14ac:dyDescent="0.25">
      <c r="A327" t="s">
        <v>2199</v>
      </c>
      <c r="B327" t="s">
        <v>28</v>
      </c>
      <c r="C327" t="s">
        <v>1927</v>
      </c>
      <c r="D327" t="s">
        <v>1928</v>
      </c>
      <c r="E327" t="s">
        <v>1931</v>
      </c>
      <c r="F327" t="s">
        <v>1932</v>
      </c>
      <c r="G327" s="2">
        <v>207808160</v>
      </c>
    </row>
    <row r="328" spans="1:7" x14ac:dyDescent="0.25">
      <c r="A328" t="s">
        <v>2199</v>
      </c>
      <c r="B328" t="s">
        <v>28</v>
      </c>
      <c r="C328" t="s">
        <v>1942</v>
      </c>
      <c r="D328" t="s">
        <v>1943</v>
      </c>
      <c r="E328" t="s">
        <v>761</v>
      </c>
      <c r="F328" t="s">
        <v>762</v>
      </c>
      <c r="G328" s="2">
        <v>1793388</v>
      </c>
    </row>
    <row r="329" spans="1:7" x14ac:dyDescent="0.25">
      <c r="A329" t="s">
        <v>2199</v>
      </c>
      <c r="B329" t="s">
        <v>28</v>
      </c>
      <c r="C329" t="s">
        <v>1948</v>
      </c>
      <c r="D329" t="s">
        <v>1949</v>
      </c>
      <c r="E329" t="s">
        <v>414</v>
      </c>
      <c r="F329" t="s">
        <v>1852</v>
      </c>
      <c r="G329" s="2">
        <v>10002100</v>
      </c>
    </row>
    <row r="330" spans="1:7" x14ac:dyDescent="0.25">
      <c r="A330" t="s">
        <v>2199</v>
      </c>
      <c r="B330" t="s">
        <v>28</v>
      </c>
      <c r="C330" t="s">
        <v>1951</v>
      </c>
      <c r="D330" t="s">
        <v>1952</v>
      </c>
      <c r="E330" t="s">
        <v>761</v>
      </c>
      <c r="F330" t="s">
        <v>762</v>
      </c>
      <c r="G330" s="2">
        <v>1149277</v>
      </c>
    </row>
    <row r="331" spans="1:7" x14ac:dyDescent="0.25">
      <c r="A331" t="s">
        <v>2199</v>
      </c>
      <c r="B331" t="s">
        <v>28</v>
      </c>
      <c r="C331" t="s">
        <v>1955</v>
      </c>
      <c r="D331" t="s">
        <v>1956</v>
      </c>
      <c r="E331" t="s">
        <v>414</v>
      </c>
      <c r="F331" t="s">
        <v>1852</v>
      </c>
      <c r="G331" s="2">
        <v>5560000</v>
      </c>
    </row>
    <row r="332" spans="1:7" x14ac:dyDescent="0.25">
      <c r="A332" t="s">
        <v>2199</v>
      </c>
      <c r="B332" t="s">
        <v>28</v>
      </c>
      <c r="C332" t="s">
        <v>1960</v>
      </c>
      <c r="D332" t="s">
        <v>1961</v>
      </c>
      <c r="E332" t="s">
        <v>1963</v>
      </c>
      <c r="F332" t="s">
        <v>1964</v>
      </c>
      <c r="G332" s="2">
        <v>920000</v>
      </c>
    </row>
    <row r="333" spans="1:7" x14ac:dyDescent="0.25">
      <c r="A333" t="s">
        <v>2199</v>
      </c>
      <c r="B333" t="s">
        <v>28</v>
      </c>
      <c r="C333" t="s">
        <v>1976</v>
      </c>
      <c r="D333" t="s">
        <v>1977</v>
      </c>
      <c r="E333" t="s">
        <v>1660</v>
      </c>
      <c r="F333" t="s">
        <v>1980</v>
      </c>
      <c r="G333" s="2">
        <v>15984280</v>
      </c>
    </row>
    <row r="334" spans="1:7" x14ac:dyDescent="0.25">
      <c r="A334" t="s">
        <v>2199</v>
      </c>
      <c r="B334" t="s">
        <v>28</v>
      </c>
      <c r="C334" t="s">
        <v>1981</v>
      </c>
      <c r="D334" t="s">
        <v>1982</v>
      </c>
      <c r="E334" t="s">
        <v>1985</v>
      </c>
      <c r="F334" t="s">
        <v>1986</v>
      </c>
      <c r="G334" s="2">
        <v>901000</v>
      </c>
    </row>
    <row r="335" spans="1:7" x14ac:dyDescent="0.25">
      <c r="A335" t="s">
        <v>2199</v>
      </c>
      <c r="B335" t="s">
        <v>28</v>
      </c>
      <c r="C335" t="s">
        <v>1990</v>
      </c>
      <c r="D335" t="s">
        <v>1991</v>
      </c>
      <c r="E335" t="s">
        <v>414</v>
      </c>
      <c r="F335" t="s">
        <v>1852</v>
      </c>
      <c r="G335" s="2">
        <v>3500000</v>
      </c>
    </row>
    <row r="336" spans="1:7" x14ac:dyDescent="0.25">
      <c r="A336" t="s">
        <v>2199</v>
      </c>
      <c r="B336" t="s">
        <v>28</v>
      </c>
      <c r="C336" t="s">
        <v>1993</v>
      </c>
      <c r="D336" t="s">
        <v>1994</v>
      </c>
      <c r="E336" t="s">
        <v>414</v>
      </c>
      <c r="F336" t="s">
        <v>1996</v>
      </c>
      <c r="G336" s="2">
        <v>15135390</v>
      </c>
    </row>
    <row r="337" spans="1:7" x14ac:dyDescent="0.25">
      <c r="A337" t="s">
        <v>2199</v>
      </c>
      <c r="B337" t="s">
        <v>28</v>
      </c>
      <c r="C337" t="s">
        <v>1997</v>
      </c>
      <c r="D337" t="s">
        <v>1998</v>
      </c>
      <c r="E337" t="s">
        <v>1985</v>
      </c>
      <c r="F337" t="s">
        <v>1986</v>
      </c>
      <c r="G337" s="2">
        <v>1200000</v>
      </c>
    </row>
    <row r="338" spans="1:7" x14ac:dyDescent="0.25">
      <c r="A338" t="s">
        <v>2199</v>
      </c>
      <c r="B338" t="s">
        <v>28</v>
      </c>
      <c r="C338" t="s">
        <v>2000</v>
      </c>
      <c r="D338" t="s">
        <v>2001</v>
      </c>
      <c r="E338" t="s">
        <v>1985</v>
      </c>
      <c r="F338" t="s">
        <v>1986</v>
      </c>
      <c r="G338" s="2">
        <v>20000000</v>
      </c>
    </row>
    <row r="339" spans="1:7" x14ac:dyDescent="0.25">
      <c r="A339" t="s">
        <v>2199</v>
      </c>
      <c r="B339" t="s">
        <v>28</v>
      </c>
      <c r="C339" t="s">
        <v>2005</v>
      </c>
      <c r="D339" t="s">
        <v>2006</v>
      </c>
      <c r="E339" t="s">
        <v>1469</v>
      </c>
      <c r="F339" t="s">
        <v>2008</v>
      </c>
      <c r="G339" s="2">
        <v>911311</v>
      </c>
    </row>
    <row r="340" spans="1:7" x14ac:dyDescent="0.25">
      <c r="A340" t="s">
        <v>2199</v>
      </c>
      <c r="B340" t="s">
        <v>28</v>
      </c>
      <c r="C340" t="s">
        <v>2011</v>
      </c>
      <c r="D340" t="s">
        <v>2012</v>
      </c>
      <c r="E340" t="s">
        <v>1985</v>
      </c>
      <c r="F340" t="s">
        <v>1986</v>
      </c>
      <c r="G340" s="2">
        <v>50008000</v>
      </c>
    </row>
    <row r="341" spans="1:7" x14ac:dyDescent="0.25">
      <c r="A341" t="s">
        <v>2199</v>
      </c>
      <c r="B341" t="s">
        <v>28</v>
      </c>
      <c r="C341" t="s">
        <v>2016</v>
      </c>
      <c r="D341" t="s">
        <v>2017</v>
      </c>
      <c r="E341" t="s">
        <v>1963</v>
      </c>
      <c r="F341" t="s">
        <v>1964</v>
      </c>
      <c r="G341" s="2">
        <v>230032</v>
      </c>
    </row>
    <row r="342" spans="1:7" x14ac:dyDescent="0.25">
      <c r="A342" t="s">
        <v>2199</v>
      </c>
      <c r="B342" t="s">
        <v>28</v>
      </c>
      <c r="C342" t="s">
        <v>2020</v>
      </c>
      <c r="D342" t="s">
        <v>2021</v>
      </c>
      <c r="E342" t="s">
        <v>1985</v>
      </c>
      <c r="F342" t="s">
        <v>1986</v>
      </c>
      <c r="G342" s="2">
        <v>700005</v>
      </c>
    </row>
    <row r="343" spans="1:7" x14ac:dyDescent="0.25">
      <c r="A343" t="s">
        <v>2199</v>
      </c>
      <c r="B343" t="s">
        <v>28</v>
      </c>
      <c r="C343" t="s">
        <v>2024</v>
      </c>
      <c r="D343" t="s">
        <v>2025</v>
      </c>
      <c r="E343" t="s">
        <v>1985</v>
      </c>
      <c r="F343" t="s">
        <v>1986</v>
      </c>
      <c r="G343" s="2">
        <v>10000000</v>
      </c>
    </row>
    <row r="344" spans="1:7" x14ac:dyDescent="0.25">
      <c r="A344" t="s">
        <v>2199</v>
      </c>
      <c r="B344" t="s">
        <v>28</v>
      </c>
      <c r="C344" t="s">
        <v>2041</v>
      </c>
      <c r="D344" t="s">
        <v>2042</v>
      </c>
      <c r="E344" t="s">
        <v>657</v>
      </c>
      <c r="F344" t="s">
        <v>658</v>
      </c>
      <c r="G344" s="2">
        <v>2638010</v>
      </c>
    </row>
    <row r="345" spans="1:7" x14ac:dyDescent="0.25">
      <c r="A345" t="s">
        <v>2199</v>
      </c>
      <c r="B345" t="s">
        <v>28</v>
      </c>
      <c r="C345" t="s">
        <v>2047</v>
      </c>
      <c r="D345" t="s">
        <v>2048</v>
      </c>
      <c r="E345" t="s">
        <v>2051</v>
      </c>
      <c r="F345" t="s">
        <v>2052</v>
      </c>
      <c r="G345" s="2">
        <v>1248835</v>
      </c>
    </row>
    <row r="346" spans="1:7" x14ac:dyDescent="0.25">
      <c r="A346" t="s">
        <v>2199</v>
      </c>
      <c r="B346" t="s">
        <v>28</v>
      </c>
      <c r="C346" t="s">
        <v>2056</v>
      </c>
      <c r="D346" t="s">
        <v>2057</v>
      </c>
      <c r="E346" t="s">
        <v>1642</v>
      </c>
      <c r="F346" t="s">
        <v>1643</v>
      </c>
      <c r="G346" s="2">
        <v>883038</v>
      </c>
    </row>
    <row r="347" spans="1:7" x14ac:dyDescent="0.25">
      <c r="A347" t="s">
        <v>2199</v>
      </c>
      <c r="B347" t="s">
        <v>28</v>
      </c>
      <c r="C347" t="s">
        <v>2067</v>
      </c>
      <c r="D347" t="s">
        <v>2068</v>
      </c>
      <c r="E347" t="s">
        <v>590</v>
      </c>
      <c r="F347" t="s">
        <v>591</v>
      </c>
      <c r="G347" s="2">
        <v>490280</v>
      </c>
    </row>
    <row r="348" spans="1:7" x14ac:dyDescent="0.25">
      <c r="A348" t="s">
        <v>2199</v>
      </c>
      <c r="B348" t="s">
        <v>28</v>
      </c>
      <c r="C348" t="s">
        <v>2070</v>
      </c>
      <c r="D348" t="s">
        <v>2071</v>
      </c>
      <c r="E348" t="s">
        <v>1642</v>
      </c>
      <c r="F348" t="s">
        <v>1643</v>
      </c>
      <c r="G348" s="2">
        <v>70000</v>
      </c>
    </row>
    <row r="349" spans="1:7" x14ac:dyDescent="0.25">
      <c r="A349" t="s">
        <v>2199</v>
      </c>
      <c r="B349" t="s">
        <v>28</v>
      </c>
      <c r="C349" t="s">
        <v>2074</v>
      </c>
      <c r="D349" t="s">
        <v>788</v>
      </c>
      <c r="E349" t="s">
        <v>2076</v>
      </c>
      <c r="F349" t="s">
        <v>2077</v>
      </c>
      <c r="G349" s="2">
        <v>2473910</v>
      </c>
    </row>
    <row r="350" spans="1:7" x14ac:dyDescent="0.25">
      <c r="A350" t="s">
        <v>2199</v>
      </c>
      <c r="B350" t="s">
        <v>28</v>
      </c>
      <c r="C350" t="s">
        <v>2083</v>
      </c>
      <c r="D350" t="s">
        <v>1916</v>
      </c>
      <c r="E350" t="s">
        <v>1445</v>
      </c>
      <c r="F350" t="s">
        <v>1446</v>
      </c>
      <c r="G350" s="2">
        <v>200000</v>
      </c>
    </row>
    <row r="351" spans="1:7" x14ac:dyDescent="0.25">
      <c r="A351" t="s">
        <v>2199</v>
      </c>
      <c r="B351" t="s">
        <v>28</v>
      </c>
      <c r="C351" t="s">
        <v>2089</v>
      </c>
      <c r="D351" t="s">
        <v>2090</v>
      </c>
      <c r="E351" t="s">
        <v>761</v>
      </c>
      <c r="F351" t="s">
        <v>762</v>
      </c>
      <c r="G351" s="2">
        <v>3287930</v>
      </c>
    </row>
    <row r="352" spans="1:7" x14ac:dyDescent="0.25">
      <c r="A352" t="s">
        <v>2199</v>
      </c>
      <c r="B352" t="s">
        <v>28</v>
      </c>
      <c r="C352" t="s">
        <v>2097</v>
      </c>
      <c r="D352" t="s">
        <v>2098</v>
      </c>
      <c r="E352" t="s">
        <v>590</v>
      </c>
      <c r="F352" t="s">
        <v>591</v>
      </c>
      <c r="G352" s="2">
        <v>2173106</v>
      </c>
    </row>
    <row r="353" spans="1:7" x14ac:dyDescent="0.25">
      <c r="A353" t="s">
        <v>2199</v>
      </c>
      <c r="B353" t="s">
        <v>28</v>
      </c>
      <c r="C353" t="s">
        <v>2107</v>
      </c>
      <c r="D353" t="s">
        <v>2108</v>
      </c>
      <c r="E353" t="s">
        <v>761</v>
      </c>
      <c r="F353" t="s">
        <v>762</v>
      </c>
      <c r="G353" s="2">
        <v>2525004</v>
      </c>
    </row>
    <row r="354" spans="1:7" x14ac:dyDescent="0.25">
      <c r="A354" t="s">
        <v>2199</v>
      </c>
      <c r="B354" t="s">
        <v>28</v>
      </c>
      <c r="C354" t="s">
        <v>2115</v>
      </c>
      <c r="D354" t="s">
        <v>2116</v>
      </c>
      <c r="E354" t="s">
        <v>761</v>
      </c>
      <c r="F354" t="s">
        <v>762</v>
      </c>
      <c r="G354" s="2">
        <v>2225980</v>
      </c>
    </row>
    <row r="355" spans="1:7" x14ac:dyDescent="0.25">
      <c r="A355" t="s">
        <v>2199</v>
      </c>
      <c r="B355" t="s">
        <v>28</v>
      </c>
      <c r="C355" t="s">
        <v>2121</v>
      </c>
      <c r="D355" t="s">
        <v>2122</v>
      </c>
      <c r="E355" t="s">
        <v>2124</v>
      </c>
      <c r="F355" t="s">
        <v>1217</v>
      </c>
      <c r="G355" s="2">
        <v>29029170</v>
      </c>
    </row>
    <row r="356" spans="1:7" x14ac:dyDescent="0.25">
      <c r="A356" t="s">
        <v>2199</v>
      </c>
      <c r="B356" t="s">
        <v>28</v>
      </c>
      <c r="C356" t="s">
        <v>2144</v>
      </c>
      <c r="D356" t="s">
        <v>2145</v>
      </c>
      <c r="E356" t="s">
        <v>64</v>
      </c>
      <c r="F356" t="s">
        <v>65</v>
      </c>
      <c r="G356" s="2">
        <v>1953508</v>
      </c>
    </row>
    <row r="357" spans="1:7" x14ac:dyDescent="0.25">
      <c r="A357" t="s">
        <v>2199</v>
      </c>
      <c r="B357" t="s">
        <v>28</v>
      </c>
      <c r="C357" t="s">
        <v>2149</v>
      </c>
      <c r="D357" t="s">
        <v>2150</v>
      </c>
      <c r="E357" t="s">
        <v>2152</v>
      </c>
      <c r="F357" t="s">
        <v>2153</v>
      </c>
      <c r="G357" s="2">
        <v>6587696</v>
      </c>
    </row>
    <row r="358" spans="1:7" x14ac:dyDescent="0.25">
      <c r="A358" t="s">
        <v>2199</v>
      </c>
      <c r="B358" t="s">
        <v>28</v>
      </c>
      <c r="C358" t="s">
        <v>2156</v>
      </c>
      <c r="D358" t="s">
        <v>2157</v>
      </c>
      <c r="E358" t="s">
        <v>395</v>
      </c>
      <c r="F358" t="s">
        <v>1217</v>
      </c>
      <c r="G358" s="2">
        <v>821208</v>
      </c>
    </row>
    <row r="359" spans="1:7" x14ac:dyDescent="0.25">
      <c r="A359" t="s">
        <v>2199</v>
      </c>
      <c r="B359" t="s">
        <v>28</v>
      </c>
      <c r="C359" t="s">
        <v>2166</v>
      </c>
      <c r="D359" t="s">
        <v>2167</v>
      </c>
      <c r="E359" t="s">
        <v>64</v>
      </c>
      <c r="F359" t="s">
        <v>65</v>
      </c>
      <c r="G359" s="2">
        <v>395496</v>
      </c>
    </row>
    <row r="360" spans="1:7" x14ac:dyDescent="0.25">
      <c r="A360" t="s">
        <v>2199</v>
      </c>
      <c r="B360" t="s">
        <v>28</v>
      </c>
      <c r="C360" t="s">
        <v>2169</v>
      </c>
      <c r="D360" t="s">
        <v>2170</v>
      </c>
      <c r="E360" t="s">
        <v>2171</v>
      </c>
      <c r="F360" t="s">
        <v>2172</v>
      </c>
      <c r="G360" s="2">
        <v>1527348</v>
      </c>
    </row>
    <row r="361" spans="1:7" x14ac:dyDescent="0.25">
      <c r="A361" t="s">
        <v>2199</v>
      </c>
      <c r="B361" t="s">
        <v>28</v>
      </c>
      <c r="C361" t="s">
        <v>2174</v>
      </c>
      <c r="D361" t="s">
        <v>2175</v>
      </c>
      <c r="E361" t="s">
        <v>1893</v>
      </c>
      <c r="F361" t="s">
        <v>2177</v>
      </c>
      <c r="G361" s="2">
        <v>489000</v>
      </c>
    </row>
    <row r="362" spans="1:7" x14ac:dyDescent="0.25">
      <c r="A362" t="s">
        <v>2199</v>
      </c>
      <c r="B362" t="s">
        <v>28</v>
      </c>
      <c r="C362" t="s">
        <v>2178</v>
      </c>
      <c r="D362" t="s">
        <v>2179</v>
      </c>
      <c r="E362" t="s">
        <v>950</v>
      </c>
      <c r="F362" t="s">
        <v>951</v>
      </c>
      <c r="G362" s="2">
        <v>57500000</v>
      </c>
    </row>
    <row r="363" spans="1:7" x14ac:dyDescent="0.25">
      <c r="A363" t="s">
        <v>2199</v>
      </c>
      <c r="B363" t="s">
        <v>28</v>
      </c>
      <c r="C363" t="s">
        <v>2183</v>
      </c>
      <c r="D363" t="s">
        <v>2184</v>
      </c>
      <c r="E363" t="s">
        <v>761</v>
      </c>
      <c r="F363" t="s">
        <v>762</v>
      </c>
      <c r="G363" s="2">
        <v>11310771</v>
      </c>
    </row>
    <row r="364" spans="1:7" x14ac:dyDescent="0.25">
      <c r="A364" t="s">
        <v>2199</v>
      </c>
      <c r="B364" t="s">
        <v>567</v>
      </c>
      <c r="C364" t="s">
        <v>568</v>
      </c>
      <c r="D364" t="s">
        <v>570</v>
      </c>
      <c r="E364" t="s">
        <v>573</v>
      </c>
      <c r="F364" t="s">
        <v>574</v>
      </c>
      <c r="G364" s="2">
        <v>156000000</v>
      </c>
    </row>
    <row r="365" spans="1:7" x14ac:dyDescent="0.25">
      <c r="A365" t="s">
        <v>2199</v>
      </c>
      <c r="B365" t="s">
        <v>594</v>
      </c>
      <c r="C365" t="s">
        <v>1280</v>
      </c>
      <c r="D365" t="s">
        <v>1281</v>
      </c>
      <c r="E365" t="s">
        <v>624</v>
      </c>
      <c r="F365" t="s">
        <v>625</v>
      </c>
      <c r="G365" s="2">
        <v>25000000</v>
      </c>
    </row>
    <row r="366" spans="1:7" x14ac:dyDescent="0.25">
      <c r="A366" t="s">
        <v>2199</v>
      </c>
      <c r="B366" t="s">
        <v>594</v>
      </c>
      <c r="C366" t="s">
        <v>1283</v>
      </c>
      <c r="D366" t="s">
        <v>1284</v>
      </c>
      <c r="E366" t="s">
        <v>624</v>
      </c>
      <c r="F366" t="s">
        <v>625</v>
      </c>
      <c r="G366" s="2">
        <v>37000000</v>
      </c>
    </row>
    <row r="367" spans="1:7" x14ac:dyDescent="0.25">
      <c r="A367" t="s">
        <v>2199</v>
      </c>
      <c r="B367" t="s">
        <v>594</v>
      </c>
      <c r="C367" t="s">
        <v>1286</v>
      </c>
      <c r="D367" t="s">
        <v>1287</v>
      </c>
      <c r="E367" t="s">
        <v>624</v>
      </c>
      <c r="F367" t="s">
        <v>625</v>
      </c>
      <c r="G367" s="2">
        <v>60000000</v>
      </c>
    </row>
    <row r="368" spans="1:7" x14ac:dyDescent="0.25">
      <c r="A368" t="s">
        <v>2199</v>
      </c>
      <c r="B368" t="s">
        <v>594</v>
      </c>
      <c r="C368" t="s">
        <v>1355</v>
      </c>
      <c r="D368" t="s">
        <v>1356</v>
      </c>
      <c r="E368" t="s">
        <v>1299</v>
      </c>
      <c r="F368" t="s">
        <v>1300</v>
      </c>
      <c r="G368" s="2">
        <v>17187000</v>
      </c>
    </row>
    <row r="369" spans="1:7" x14ac:dyDescent="0.25">
      <c r="A369" t="s">
        <v>2199</v>
      </c>
      <c r="B369" t="s">
        <v>594</v>
      </c>
      <c r="C369" t="s">
        <v>1357</v>
      </c>
      <c r="D369" t="s">
        <v>1358</v>
      </c>
      <c r="E369" t="s">
        <v>1299</v>
      </c>
      <c r="F369" t="s">
        <v>1300</v>
      </c>
      <c r="G369" s="2">
        <v>293779000</v>
      </c>
    </row>
    <row r="370" spans="1:7" x14ac:dyDescent="0.25">
      <c r="A370" t="s">
        <v>2199</v>
      </c>
      <c r="B370" t="s">
        <v>594</v>
      </c>
      <c r="C370" t="s">
        <v>1360</v>
      </c>
      <c r="D370" t="s">
        <v>1361</v>
      </c>
      <c r="E370" t="s">
        <v>624</v>
      </c>
      <c r="F370" t="s">
        <v>625</v>
      </c>
      <c r="G370" s="2">
        <v>37000000</v>
      </c>
    </row>
    <row r="371" spans="1:7" x14ac:dyDescent="0.25">
      <c r="A371" t="s">
        <v>2199</v>
      </c>
      <c r="B371" t="s">
        <v>594</v>
      </c>
      <c r="C371" t="s">
        <v>1363</v>
      </c>
      <c r="D371" t="s">
        <v>1364</v>
      </c>
      <c r="E371" t="s">
        <v>1299</v>
      </c>
      <c r="F371" t="s">
        <v>1300</v>
      </c>
      <c r="G371" s="2">
        <v>102410000</v>
      </c>
    </row>
    <row r="372" spans="1:7" x14ac:dyDescent="0.25">
      <c r="A372" t="s">
        <v>2199</v>
      </c>
      <c r="B372" t="s">
        <v>594</v>
      </c>
      <c r="C372" t="s">
        <v>1366</v>
      </c>
      <c r="D372" t="s">
        <v>1367</v>
      </c>
      <c r="E372" t="s">
        <v>624</v>
      </c>
      <c r="F372" t="s">
        <v>625</v>
      </c>
      <c r="G372" s="2">
        <v>103000000</v>
      </c>
    </row>
    <row r="373" spans="1:7" x14ac:dyDescent="0.25">
      <c r="A373" t="s">
        <v>2199</v>
      </c>
      <c r="B373" t="s">
        <v>594</v>
      </c>
      <c r="C373" t="s">
        <v>1382</v>
      </c>
      <c r="D373" t="s">
        <v>1383</v>
      </c>
      <c r="E373" t="s">
        <v>1299</v>
      </c>
      <c r="F373" t="s">
        <v>1300</v>
      </c>
      <c r="G373" s="2">
        <v>6442000</v>
      </c>
    </row>
    <row r="374" spans="1:7" x14ac:dyDescent="0.25">
      <c r="A374" t="s">
        <v>2199</v>
      </c>
      <c r="B374" t="s">
        <v>594</v>
      </c>
      <c r="C374" t="s">
        <v>1401</v>
      </c>
      <c r="D374" t="s">
        <v>1402</v>
      </c>
      <c r="E374" t="s">
        <v>1299</v>
      </c>
      <c r="F374" t="s">
        <v>1300</v>
      </c>
      <c r="G374" s="2">
        <v>356525000</v>
      </c>
    </row>
    <row r="375" spans="1:7" x14ac:dyDescent="0.25">
      <c r="A375" t="s">
        <v>2199</v>
      </c>
      <c r="B375" t="s">
        <v>594</v>
      </c>
      <c r="C375" t="s">
        <v>1827</v>
      </c>
      <c r="D375" t="s">
        <v>1828</v>
      </c>
      <c r="E375" t="s">
        <v>1723</v>
      </c>
      <c r="F375" t="s">
        <v>1831</v>
      </c>
      <c r="G375" s="2">
        <v>7200000</v>
      </c>
    </row>
    <row r="376" spans="1:7" x14ac:dyDescent="0.25">
      <c r="A376" t="s">
        <v>2199</v>
      </c>
      <c r="B376" t="s">
        <v>594</v>
      </c>
      <c r="C376" t="s">
        <v>595</v>
      </c>
      <c r="D376" t="s">
        <v>597</v>
      </c>
      <c r="E376" t="s">
        <v>590</v>
      </c>
      <c r="F376" t="s">
        <v>591</v>
      </c>
      <c r="G376" s="2">
        <v>278615006</v>
      </c>
    </row>
    <row r="377" spans="1:7" x14ac:dyDescent="0.25">
      <c r="A377" t="s">
        <v>2199</v>
      </c>
      <c r="B377" t="s">
        <v>594</v>
      </c>
      <c r="C377" t="s">
        <v>803</v>
      </c>
      <c r="D377" t="s">
        <v>805</v>
      </c>
      <c r="E377" t="s">
        <v>624</v>
      </c>
      <c r="F377" t="s">
        <v>625</v>
      </c>
      <c r="G377" s="2">
        <v>37000000</v>
      </c>
    </row>
    <row r="378" spans="1:7" x14ac:dyDescent="0.25">
      <c r="A378" t="s">
        <v>2199</v>
      </c>
      <c r="B378" t="s">
        <v>594</v>
      </c>
      <c r="C378" t="s">
        <v>808</v>
      </c>
      <c r="D378" t="s">
        <v>809</v>
      </c>
      <c r="E378" t="s">
        <v>624</v>
      </c>
      <c r="F378" t="s">
        <v>625</v>
      </c>
      <c r="G378" s="2">
        <v>37000000</v>
      </c>
    </row>
    <row r="379" spans="1:7" x14ac:dyDescent="0.25">
      <c r="A379" t="s">
        <v>2199</v>
      </c>
      <c r="B379" t="s">
        <v>594</v>
      </c>
      <c r="C379" t="s">
        <v>1196</v>
      </c>
      <c r="D379" t="s">
        <v>1197</v>
      </c>
      <c r="E379" t="s">
        <v>1200</v>
      </c>
      <c r="F379" t="s">
        <v>514</v>
      </c>
      <c r="G379" s="2">
        <v>3430002</v>
      </c>
    </row>
    <row r="380" spans="1:7" x14ac:dyDescent="0.25">
      <c r="A380" t="s">
        <v>2199</v>
      </c>
      <c r="B380" t="s">
        <v>594</v>
      </c>
      <c r="C380" t="s">
        <v>1204</v>
      </c>
      <c r="D380" t="s">
        <v>1205</v>
      </c>
      <c r="E380" t="s">
        <v>624</v>
      </c>
      <c r="F380" t="s">
        <v>625</v>
      </c>
      <c r="G380" s="2">
        <v>37000000</v>
      </c>
    </row>
    <row r="381" spans="1:7" x14ac:dyDescent="0.25">
      <c r="A381" t="s">
        <v>2199</v>
      </c>
      <c r="B381" t="s">
        <v>1304</v>
      </c>
      <c r="C381" t="s">
        <v>1339</v>
      </c>
      <c r="D381" t="s">
        <v>1340</v>
      </c>
      <c r="E381" t="s">
        <v>1342</v>
      </c>
      <c r="F381" t="s">
        <v>1343</v>
      </c>
      <c r="G381" s="2">
        <v>525000</v>
      </c>
    </row>
    <row r="382" spans="1:7" x14ac:dyDescent="0.25">
      <c r="A382" t="s">
        <v>2199</v>
      </c>
      <c r="B382" t="s">
        <v>1304</v>
      </c>
      <c r="C382" t="s">
        <v>1371</v>
      </c>
      <c r="D382" t="s">
        <v>1373</v>
      </c>
      <c r="E382" t="s">
        <v>1200</v>
      </c>
      <c r="F382" t="s">
        <v>514</v>
      </c>
      <c r="G382" s="2">
        <v>1058222000</v>
      </c>
    </row>
    <row r="383" spans="1:7" x14ac:dyDescent="0.25">
      <c r="A383" t="s">
        <v>2199</v>
      </c>
      <c r="B383" t="s">
        <v>1304</v>
      </c>
      <c r="C383" t="s">
        <v>1376</v>
      </c>
      <c r="D383" t="s">
        <v>1377</v>
      </c>
      <c r="E383" t="s">
        <v>1200</v>
      </c>
      <c r="F383" t="s">
        <v>514</v>
      </c>
      <c r="G383" s="2">
        <v>916961000</v>
      </c>
    </row>
    <row r="384" spans="1:7" x14ac:dyDescent="0.25">
      <c r="A384" t="s">
        <v>2199</v>
      </c>
      <c r="B384" t="s">
        <v>1304</v>
      </c>
      <c r="C384" t="s">
        <v>1379</v>
      </c>
      <c r="D384" t="s">
        <v>1380</v>
      </c>
      <c r="E384" t="s">
        <v>1200</v>
      </c>
      <c r="F384" t="s">
        <v>514</v>
      </c>
      <c r="G384" s="2">
        <v>888441000</v>
      </c>
    </row>
    <row r="385" spans="1:7" x14ac:dyDescent="0.25">
      <c r="A385" t="s">
        <v>2199</v>
      </c>
      <c r="B385" t="s">
        <v>1304</v>
      </c>
      <c r="C385" t="s">
        <v>1389</v>
      </c>
      <c r="D385" t="s">
        <v>1390</v>
      </c>
      <c r="E385" t="s">
        <v>1342</v>
      </c>
      <c r="F385" t="s">
        <v>1392</v>
      </c>
      <c r="G385" s="2">
        <v>630000</v>
      </c>
    </row>
    <row r="386" spans="1:7" x14ac:dyDescent="0.25">
      <c r="A386" t="s">
        <v>2199</v>
      </c>
      <c r="B386" t="s">
        <v>1304</v>
      </c>
      <c r="C386" t="s">
        <v>1887</v>
      </c>
      <c r="D386" t="s">
        <v>1888</v>
      </c>
      <c r="E386" t="s">
        <v>1200</v>
      </c>
      <c r="F386" t="s">
        <v>514</v>
      </c>
      <c r="G386" s="2">
        <v>2075079539</v>
      </c>
    </row>
    <row r="387" spans="1:7" x14ac:dyDescent="0.25">
      <c r="A387" t="s">
        <v>2199</v>
      </c>
      <c r="B387" t="s">
        <v>1304</v>
      </c>
      <c r="C387" t="s">
        <v>1305</v>
      </c>
      <c r="D387" t="s">
        <v>1306</v>
      </c>
      <c r="E387" t="s">
        <v>624</v>
      </c>
      <c r="F387" t="s">
        <v>625</v>
      </c>
      <c r="G387" s="2">
        <v>1680000000</v>
      </c>
    </row>
    <row r="388" spans="1:7" x14ac:dyDescent="0.25">
      <c r="A388" t="s">
        <v>2199</v>
      </c>
      <c r="B388" t="s">
        <v>1304</v>
      </c>
      <c r="C388" t="s">
        <v>1308</v>
      </c>
      <c r="D388" t="s">
        <v>1309</v>
      </c>
      <c r="E388" t="s">
        <v>624</v>
      </c>
      <c r="F388" t="s">
        <v>625</v>
      </c>
      <c r="G388" s="2">
        <v>80000000</v>
      </c>
    </row>
    <row r="389" spans="1:7" x14ac:dyDescent="0.25">
      <c r="A389" t="s">
        <v>2199</v>
      </c>
      <c r="B389" t="s">
        <v>1304</v>
      </c>
      <c r="C389" t="s">
        <v>1311</v>
      </c>
      <c r="D389" t="s">
        <v>1313</v>
      </c>
      <c r="E389" t="s">
        <v>1315</v>
      </c>
      <c r="F389" t="s">
        <v>1316</v>
      </c>
      <c r="G389" s="2">
        <v>250000000</v>
      </c>
    </row>
    <row r="390" spans="1:7" x14ac:dyDescent="0.25">
      <c r="A390" t="s">
        <v>2199</v>
      </c>
      <c r="B390" t="s">
        <v>1304</v>
      </c>
      <c r="C390" t="s">
        <v>1319</v>
      </c>
      <c r="D390" t="s">
        <v>1320</v>
      </c>
      <c r="E390" t="s">
        <v>624</v>
      </c>
      <c r="F390" t="s">
        <v>625</v>
      </c>
      <c r="G390" s="2">
        <v>55000000</v>
      </c>
    </row>
    <row r="391" spans="1:7" x14ac:dyDescent="0.25">
      <c r="A391" t="s">
        <v>2199</v>
      </c>
      <c r="B391" t="s">
        <v>1304</v>
      </c>
      <c r="C391" t="s">
        <v>1322</v>
      </c>
      <c r="D391" t="s">
        <v>1323</v>
      </c>
      <c r="E391" t="s">
        <v>1325</v>
      </c>
      <c r="F391" t="s">
        <v>1326</v>
      </c>
      <c r="G391" s="2">
        <v>80000000</v>
      </c>
    </row>
    <row r="392" spans="1:7" x14ac:dyDescent="0.25">
      <c r="A392" t="s">
        <v>2199</v>
      </c>
      <c r="B392" t="s">
        <v>1304</v>
      </c>
      <c r="C392" t="s">
        <v>1328</v>
      </c>
      <c r="D392" t="s">
        <v>1329</v>
      </c>
      <c r="E392" t="s">
        <v>1325</v>
      </c>
      <c r="F392" t="s">
        <v>1326</v>
      </c>
      <c r="G392" s="2">
        <v>80000000</v>
      </c>
    </row>
    <row r="393" spans="1:7" x14ac:dyDescent="0.25">
      <c r="A393" t="s">
        <v>2199</v>
      </c>
      <c r="B393" t="s">
        <v>1304</v>
      </c>
      <c r="C393" t="s">
        <v>1331</v>
      </c>
      <c r="D393" t="s">
        <v>1332</v>
      </c>
      <c r="E393" t="s">
        <v>624</v>
      </c>
      <c r="F393" t="s">
        <v>625</v>
      </c>
      <c r="G393" s="2">
        <v>90000000</v>
      </c>
    </row>
    <row r="394" spans="1:7" x14ac:dyDescent="0.25">
      <c r="A394" t="s">
        <v>2199</v>
      </c>
      <c r="B394" t="s">
        <v>1304</v>
      </c>
      <c r="C394" t="s">
        <v>1334</v>
      </c>
      <c r="D394" t="s">
        <v>1335</v>
      </c>
      <c r="E394" t="s">
        <v>1337</v>
      </c>
      <c r="F394" t="s">
        <v>1107</v>
      </c>
      <c r="G394" s="2">
        <v>9814756</v>
      </c>
    </row>
  </sheetData>
  <conditionalFormatting sqref="C1:C1048576">
    <cfRule type="duplicateValues" dxfId="1" priority="1"/>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026A031-6351-4313-BDEC-D4A7B0EF0881}">
  <dimension ref="A1:D395"/>
  <sheetViews>
    <sheetView topLeftCell="B1" workbookViewId="0">
      <selection activeCell="B18" sqref="B18:C18"/>
    </sheetView>
  </sheetViews>
  <sheetFormatPr baseColWidth="10" defaultRowHeight="15" x14ac:dyDescent="0.25"/>
  <cols>
    <col min="1" max="1" width="19" style="3" bestFit="1" customWidth="1"/>
    <col min="2" max="2" width="43" customWidth="1"/>
    <col min="3" max="3" width="28.85546875" style="27" bestFit="1" customWidth="1"/>
    <col min="4" max="4" width="94.28515625" style="30" bestFit="1" customWidth="1"/>
  </cols>
  <sheetData>
    <row r="1" spans="1:4" x14ac:dyDescent="0.25">
      <c r="A1" s="13" t="s">
        <v>2</v>
      </c>
      <c r="B1" s="12" t="s">
        <v>6</v>
      </c>
      <c r="C1" s="25" t="s">
        <v>16</v>
      </c>
      <c r="D1" s="28" t="s">
        <v>17</v>
      </c>
    </row>
    <row r="2" spans="1:4" x14ac:dyDescent="0.25">
      <c r="A2" s="14" t="s">
        <v>29</v>
      </c>
      <c r="B2" s="10" t="s">
        <v>33</v>
      </c>
      <c r="C2" s="26" t="s">
        <v>37</v>
      </c>
      <c r="D2" s="29" t="s">
        <v>38</v>
      </c>
    </row>
    <row r="3" spans="1:4" x14ac:dyDescent="0.25">
      <c r="A3" s="15" t="s">
        <v>284</v>
      </c>
      <c r="B3" s="7" t="s">
        <v>286</v>
      </c>
      <c r="C3" s="27" t="s">
        <v>290</v>
      </c>
      <c r="D3" s="30" t="s">
        <v>291</v>
      </c>
    </row>
    <row r="4" spans="1:4" x14ac:dyDescent="0.25">
      <c r="A4" s="14" t="s">
        <v>44</v>
      </c>
      <c r="B4" s="10" t="s">
        <v>46</v>
      </c>
      <c r="C4" s="26" t="s">
        <v>37</v>
      </c>
      <c r="D4" s="29" t="s">
        <v>49</v>
      </c>
    </row>
    <row r="5" spans="1:4" x14ac:dyDescent="0.25">
      <c r="A5" s="14" t="s">
        <v>298</v>
      </c>
      <c r="B5" s="10" t="s">
        <v>300</v>
      </c>
      <c r="C5" s="26" t="s">
        <v>182</v>
      </c>
      <c r="D5" s="29" t="s">
        <v>302</v>
      </c>
    </row>
    <row r="6" spans="1:4" x14ac:dyDescent="0.25">
      <c r="A6" s="14" t="s">
        <v>304</v>
      </c>
      <c r="B6" s="10" t="s">
        <v>305</v>
      </c>
      <c r="C6" s="26" t="s">
        <v>309</v>
      </c>
      <c r="D6" s="29" t="s">
        <v>310</v>
      </c>
    </row>
    <row r="7" spans="1:4" x14ac:dyDescent="0.25">
      <c r="A7" s="14" t="s">
        <v>191</v>
      </c>
      <c r="B7" s="10" t="s">
        <v>201</v>
      </c>
      <c r="C7" s="26" t="s">
        <v>197</v>
      </c>
      <c r="D7" s="29" t="s">
        <v>198</v>
      </c>
    </row>
    <row r="8" spans="1:4" x14ac:dyDescent="0.25">
      <c r="A8" s="14" t="s">
        <v>191</v>
      </c>
      <c r="B8" s="10" t="s">
        <v>193</v>
      </c>
      <c r="C8" s="26" t="s">
        <v>197</v>
      </c>
      <c r="D8" s="29" t="s">
        <v>198</v>
      </c>
    </row>
    <row r="9" spans="1:4" x14ac:dyDescent="0.25">
      <c r="A9" s="14" t="s">
        <v>202</v>
      </c>
      <c r="B9" s="10" t="s">
        <v>203</v>
      </c>
      <c r="C9" s="26" t="s">
        <v>182</v>
      </c>
      <c r="D9" s="29" t="s">
        <v>183</v>
      </c>
    </row>
    <row r="10" spans="1:4" x14ac:dyDescent="0.25">
      <c r="A10" s="14" t="s">
        <v>214</v>
      </c>
      <c r="B10" s="10" t="s">
        <v>216</v>
      </c>
      <c r="C10" s="26" t="s">
        <v>218</v>
      </c>
      <c r="D10" s="29" t="s">
        <v>219</v>
      </c>
    </row>
    <row r="11" spans="1:4" x14ac:dyDescent="0.25">
      <c r="A11" s="14" t="s">
        <v>51</v>
      </c>
      <c r="B11" s="10" t="s">
        <v>52</v>
      </c>
      <c r="C11" s="26" t="s">
        <v>55</v>
      </c>
      <c r="D11" s="29" t="s">
        <v>56</v>
      </c>
    </row>
    <row r="12" spans="1:4" x14ac:dyDescent="0.25">
      <c r="A12" s="14" t="s">
        <v>222</v>
      </c>
      <c r="B12" s="10" t="s">
        <v>224</v>
      </c>
      <c r="C12" s="26" t="s">
        <v>227</v>
      </c>
      <c r="D12" s="29" t="s">
        <v>228</v>
      </c>
    </row>
    <row r="13" spans="1:4" x14ac:dyDescent="0.25">
      <c r="A13" s="14" t="s">
        <v>238</v>
      </c>
      <c r="B13" s="10" t="s">
        <v>239</v>
      </c>
      <c r="C13" s="26" t="s">
        <v>227</v>
      </c>
      <c r="D13" s="29" t="s">
        <v>228</v>
      </c>
    </row>
    <row r="14" spans="1:4" x14ac:dyDescent="0.25">
      <c r="A14" s="14" t="s">
        <v>244</v>
      </c>
      <c r="B14" s="10" t="s">
        <v>245</v>
      </c>
      <c r="C14" s="26" t="s">
        <v>227</v>
      </c>
      <c r="D14" s="29" t="s">
        <v>228</v>
      </c>
    </row>
    <row r="15" spans="1:4" x14ac:dyDescent="0.25">
      <c r="A15" s="14" t="s">
        <v>619</v>
      </c>
      <c r="B15" s="10" t="s">
        <v>621</v>
      </c>
      <c r="C15" s="26" t="s">
        <v>624</v>
      </c>
      <c r="D15" s="29" t="s">
        <v>625</v>
      </c>
    </row>
    <row r="16" spans="1:4" x14ac:dyDescent="0.25">
      <c r="A16" s="14" t="s">
        <v>628</v>
      </c>
      <c r="B16" s="10" t="s">
        <v>629</v>
      </c>
      <c r="C16" s="26" t="s">
        <v>624</v>
      </c>
      <c r="D16" s="29" t="s">
        <v>625</v>
      </c>
    </row>
    <row r="17" spans="1:4" x14ac:dyDescent="0.25">
      <c r="A17" s="14" t="s">
        <v>632</v>
      </c>
      <c r="B17" s="10" t="s">
        <v>634</v>
      </c>
      <c r="C17" s="26" t="s">
        <v>624</v>
      </c>
      <c r="D17" s="29" t="s">
        <v>625</v>
      </c>
    </row>
    <row r="18" spans="1:4" x14ac:dyDescent="0.25">
      <c r="A18" s="14" t="s">
        <v>637</v>
      </c>
      <c r="B18" s="10" t="s">
        <v>638</v>
      </c>
      <c r="C18" s="26" t="s">
        <v>640</v>
      </c>
      <c r="D18" s="29" t="s">
        <v>641</v>
      </c>
    </row>
    <row r="19" spans="1:4" x14ac:dyDescent="0.25">
      <c r="A19" s="14" t="s">
        <v>644</v>
      </c>
      <c r="B19" s="10" t="s">
        <v>646</v>
      </c>
      <c r="C19" s="26" t="s">
        <v>640</v>
      </c>
      <c r="D19" s="29" t="s">
        <v>641</v>
      </c>
    </row>
    <row r="20" spans="1:4" x14ac:dyDescent="0.25">
      <c r="A20" s="14" t="s">
        <v>649</v>
      </c>
      <c r="B20" s="10" t="s">
        <v>650</v>
      </c>
      <c r="C20" s="26" t="s">
        <v>640</v>
      </c>
      <c r="D20" s="29" t="s">
        <v>641</v>
      </c>
    </row>
    <row r="21" spans="1:4" x14ac:dyDescent="0.25">
      <c r="A21" s="14" t="s">
        <v>653</v>
      </c>
      <c r="B21" s="10" t="s">
        <v>655</v>
      </c>
      <c r="C21" s="26" t="s">
        <v>657</v>
      </c>
      <c r="D21" s="29" t="s">
        <v>658</v>
      </c>
    </row>
    <row r="22" spans="1:4" x14ac:dyDescent="0.25">
      <c r="A22" s="14" t="s">
        <v>661</v>
      </c>
      <c r="B22" s="10" t="s">
        <v>662</v>
      </c>
      <c r="C22" s="26" t="s">
        <v>657</v>
      </c>
      <c r="D22" s="29" t="s">
        <v>658</v>
      </c>
    </row>
    <row r="23" spans="1:4" x14ac:dyDescent="0.25">
      <c r="A23" s="14" t="s">
        <v>68</v>
      </c>
      <c r="B23" s="10" t="s">
        <v>70</v>
      </c>
      <c r="C23" s="26" t="s">
        <v>74</v>
      </c>
      <c r="D23" s="29" t="s">
        <v>75</v>
      </c>
    </row>
    <row r="24" spans="1:4" x14ac:dyDescent="0.25">
      <c r="A24" s="14" t="s">
        <v>59</v>
      </c>
      <c r="B24" s="10" t="s">
        <v>60</v>
      </c>
      <c r="C24" s="26" t="s">
        <v>64</v>
      </c>
      <c r="D24" s="29" t="s">
        <v>65</v>
      </c>
    </row>
    <row r="25" spans="1:4" x14ac:dyDescent="0.25">
      <c r="A25" s="14" t="s">
        <v>82</v>
      </c>
      <c r="B25" s="10" t="s">
        <v>83</v>
      </c>
      <c r="C25" s="26" t="s">
        <v>74</v>
      </c>
      <c r="D25" s="29" t="s">
        <v>85</v>
      </c>
    </row>
    <row r="26" spans="1:4" x14ac:dyDescent="0.25">
      <c r="A26" s="14" t="s">
        <v>91</v>
      </c>
      <c r="B26" s="10" t="s">
        <v>92</v>
      </c>
      <c r="C26" s="26" t="s">
        <v>74</v>
      </c>
      <c r="D26" s="29" t="s">
        <v>85</v>
      </c>
    </row>
    <row r="27" spans="1:4" x14ac:dyDescent="0.25">
      <c r="A27" s="14" t="s">
        <v>665</v>
      </c>
      <c r="B27" s="10" t="s">
        <v>667</v>
      </c>
      <c r="C27" s="26" t="s">
        <v>657</v>
      </c>
      <c r="D27" s="29" t="s">
        <v>658</v>
      </c>
    </row>
    <row r="28" spans="1:4" x14ac:dyDescent="0.25">
      <c r="A28" s="14" t="s">
        <v>103</v>
      </c>
      <c r="B28" s="10" t="s">
        <v>105</v>
      </c>
      <c r="C28" s="26" t="s">
        <v>109</v>
      </c>
      <c r="D28" s="29" t="s">
        <v>110</v>
      </c>
    </row>
    <row r="29" spans="1:4" x14ac:dyDescent="0.25">
      <c r="A29" s="14" t="s">
        <v>670</v>
      </c>
      <c r="B29" s="10" t="s">
        <v>671</v>
      </c>
      <c r="C29" s="26" t="s">
        <v>657</v>
      </c>
      <c r="D29" s="29" t="s">
        <v>658</v>
      </c>
    </row>
    <row r="30" spans="1:4" x14ac:dyDescent="0.25">
      <c r="A30" s="14" t="s">
        <v>117</v>
      </c>
      <c r="B30" s="10" t="s">
        <v>119</v>
      </c>
      <c r="C30" s="26" t="s">
        <v>122</v>
      </c>
      <c r="D30" s="29" t="s">
        <v>123</v>
      </c>
    </row>
    <row r="31" spans="1:4" x14ac:dyDescent="0.25">
      <c r="A31" s="14" t="s">
        <v>674</v>
      </c>
      <c r="B31" s="10" t="s">
        <v>675</v>
      </c>
      <c r="C31" s="26" t="s">
        <v>657</v>
      </c>
      <c r="D31" s="29" t="s">
        <v>658</v>
      </c>
    </row>
    <row r="32" spans="1:4" x14ac:dyDescent="0.25">
      <c r="A32" s="14" t="s">
        <v>128</v>
      </c>
      <c r="B32" s="10" t="s">
        <v>130</v>
      </c>
      <c r="C32" s="26" t="s">
        <v>109</v>
      </c>
      <c r="D32" s="29" t="s">
        <v>133</v>
      </c>
    </row>
    <row r="33" spans="1:4" x14ac:dyDescent="0.25">
      <c r="A33" s="14" t="s">
        <v>677</v>
      </c>
      <c r="B33" s="10" t="s">
        <v>678</v>
      </c>
      <c r="C33" s="26" t="s">
        <v>657</v>
      </c>
      <c r="D33" s="29" t="s">
        <v>658</v>
      </c>
    </row>
    <row r="34" spans="1:4" x14ac:dyDescent="0.25">
      <c r="A34" s="14" t="s">
        <v>680</v>
      </c>
      <c r="B34" s="10" t="s">
        <v>681</v>
      </c>
      <c r="C34" s="26" t="s">
        <v>657</v>
      </c>
      <c r="D34" s="29" t="s">
        <v>658</v>
      </c>
    </row>
    <row r="35" spans="1:4" x14ac:dyDescent="0.25">
      <c r="A35" s="14" t="s">
        <v>686</v>
      </c>
      <c r="B35" s="10" t="s">
        <v>687</v>
      </c>
      <c r="C35" s="26" t="s">
        <v>227</v>
      </c>
      <c r="D35" s="29" t="s">
        <v>480</v>
      </c>
    </row>
    <row r="36" spans="1:4" x14ac:dyDescent="0.25">
      <c r="A36" s="14" t="s">
        <v>696</v>
      </c>
      <c r="B36" s="10" t="s">
        <v>697</v>
      </c>
      <c r="C36" s="26" t="s">
        <v>657</v>
      </c>
      <c r="D36" s="29" t="s">
        <v>658</v>
      </c>
    </row>
    <row r="37" spans="1:4" x14ac:dyDescent="0.25">
      <c r="A37" s="14" t="s">
        <v>706</v>
      </c>
      <c r="B37" s="10" t="s">
        <v>707</v>
      </c>
      <c r="C37" s="26" t="s">
        <v>590</v>
      </c>
      <c r="D37" s="29" t="s">
        <v>591</v>
      </c>
    </row>
    <row r="38" spans="1:4" x14ac:dyDescent="0.25">
      <c r="A38" s="14" t="s">
        <v>713</v>
      </c>
      <c r="B38" s="10" t="s">
        <v>714</v>
      </c>
      <c r="C38" s="26" t="s">
        <v>227</v>
      </c>
      <c r="D38" s="29" t="s">
        <v>480</v>
      </c>
    </row>
    <row r="39" spans="1:4" x14ac:dyDescent="0.25">
      <c r="A39" s="14" t="s">
        <v>136</v>
      </c>
      <c r="B39" s="10" t="s">
        <v>138</v>
      </c>
      <c r="C39" s="26" t="s">
        <v>141</v>
      </c>
      <c r="D39" s="29" t="s">
        <v>142</v>
      </c>
    </row>
    <row r="40" spans="1:4" x14ac:dyDescent="0.25">
      <c r="A40" s="14" t="s">
        <v>718</v>
      </c>
      <c r="B40" s="10" t="s">
        <v>719</v>
      </c>
      <c r="C40" s="26" t="s">
        <v>657</v>
      </c>
      <c r="D40" s="29" t="s">
        <v>658</v>
      </c>
    </row>
    <row r="41" spans="1:4" x14ac:dyDescent="0.25">
      <c r="A41" s="14" t="s">
        <v>721</v>
      </c>
      <c r="B41" s="10" t="s">
        <v>722</v>
      </c>
      <c r="C41" s="26" t="s">
        <v>227</v>
      </c>
      <c r="D41" s="29" t="s">
        <v>480</v>
      </c>
    </row>
    <row r="42" spans="1:4" x14ac:dyDescent="0.25">
      <c r="A42" s="14" t="s">
        <v>724</v>
      </c>
      <c r="B42" s="10" t="s">
        <v>726</v>
      </c>
      <c r="C42" s="26" t="s">
        <v>657</v>
      </c>
      <c r="D42" s="29" t="s">
        <v>658</v>
      </c>
    </row>
    <row r="43" spans="1:4" x14ac:dyDescent="0.25">
      <c r="A43" s="14" t="s">
        <v>148</v>
      </c>
      <c r="B43" s="10" t="s">
        <v>150</v>
      </c>
      <c r="C43" s="26" t="s">
        <v>153</v>
      </c>
      <c r="D43" s="29" t="s">
        <v>154</v>
      </c>
    </row>
    <row r="44" spans="1:4" x14ac:dyDescent="0.25">
      <c r="A44" s="14" t="s">
        <v>729</v>
      </c>
      <c r="B44" s="10" t="s">
        <v>731</v>
      </c>
      <c r="C44" s="26" t="s">
        <v>733</v>
      </c>
      <c r="D44" s="29" t="s">
        <v>734</v>
      </c>
    </row>
    <row r="45" spans="1:4" x14ac:dyDescent="0.25">
      <c r="A45" s="14" t="s">
        <v>744</v>
      </c>
      <c r="B45" s="10" t="s">
        <v>746</v>
      </c>
      <c r="C45" s="26" t="s">
        <v>657</v>
      </c>
      <c r="D45" s="29" t="s">
        <v>658</v>
      </c>
    </row>
    <row r="46" spans="1:4" x14ac:dyDescent="0.25">
      <c r="A46" s="14" t="s">
        <v>165</v>
      </c>
      <c r="B46" s="10" t="s">
        <v>167</v>
      </c>
      <c r="C46" s="26" t="s">
        <v>169</v>
      </c>
      <c r="D46" s="29" t="s">
        <v>65</v>
      </c>
    </row>
    <row r="47" spans="1:4" x14ac:dyDescent="0.25">
      <c r="A47" s="14" t="s">
        <v>756</v>
      </c>
      <c r="B47" s="10" t="s">
        <v>758</v>
      </c>
      <c r="C47" s="26" t="s">
        <v>761</v>
      </c>
      <c r="D47" s="29" t="s">
        <v>762</v>
      </c>
    </row>
    <row r="48" spans="1:4" x14ac:dyDescent="0.25">
      <c r="A48" s="14" t="s">
        <v>773</v>
      </c>
      <c r="B48" s="10" t="s">
        <v>774</v>
      </c>
      <c r="C48" s="26" t="s">
        <v>768</v>
      </c>
      <c r="D48" s="29" t="s">
        <v>386</v>
      </c>
    </row>
    <row r="49" spans="1:4" x14ac:dyDescent="0.25">
      <c r="A49" s="14" t="s">
        <v>787</v>
      </c>
      <c r="B49" s="10" t="s">
        <v>788</v>
      </c>
      <c r="C49" s="26" t="s">
        <v>790</v>
      </c>
      <c r="D49" s="29" t="s">
        <v>791</v>
      </c>
    </row>
    <row r="50" spans="1:4" x14ac:dyDescent="0.25">
      <c r="A50" s="14" t="s">
        <v>811</v>
      </c>
      <c r="B50" s="10" t="s">
        <v>813</v>
      </c>
      <c r="C50" s="26" t="s">
        <v>790</v>
      </c>
      <c r="D50" s="29" t="s">
        <v>791</v>
      </c>
    </row>
    <row r="51" spans="1:4" x14ac:dyDescent="0.25">
      <c r="A51" s="14" t="s">
        <v>816</v>
      </c>
      <c r="B51" s="10" t="s">
        <v>817</v>
      </c>
      <c r="C51" s="26" t="s">
        <v>768</v>
      </c>
      <c r="D51" s="29" t="s">
        <v>386</v>
      </c>
    </row>
    <row r="52" spans="1:4" x14ac:dyDescent="0.25">
      <c r="A52" s="14" t="s">
        <v>827</v>
      </c>
      <c r="B52" s="10" t="s">
        <v>828</v>
      </c>
      <c r="C52" s="26" t="s">
        <v>761</v>
      </c>
      <c r="D52" s="29" t="s">
        <v>762</v>
      </c>
    </row>
    <row r="53" spans="1:4" x14ac:dyDescent="0.25">
      <c r="A53" s="14" t="s">
        <v>834</v>
      </c>
      <c r="B53" s="10" t="s">
        <v>835</v>
      </c>
      <c r="C53" s="26" t="s">
        <v>790</v>
      </c>
      <c r="D53" s="29" t="s">
        <v>791</v>
      </c>
    </row>
    <row r="54" spans="1:4" x14ac:dyDescent="0.25">
      <c r="A54" s="14" t="s">
        <v>837</v>
      </c>
      <c r="B54" s="10" t="s">
        <v>838</v>
      </c>
      <c r="C54" s="26" t="s">
        <v>768</v>
      </c>
      <c r="D54" s="29" t="s">
        <v>386</v>
      </c>
    </row>
    <row r="55" spans="1:4" x14ac:dyDescent="0.25">
      <c r="A55" s="14" t="s">
        <v>860</v>
      </c>
      <c r="B55" s="10" t="s">
        <v>861</v>
      </c>
      <c r="C55" s="26" t="s">
        <v>864</v>
      </c>
      <c r="D55" s="29" t="s">
        <v>865</v>
      </c>
    </row>
    <row r="56" spans="1:4" x14ac:dyDescent="0.25">
      <c r="A56" s="14" t="s">
        <v>868</v>
      </c>
      <c r="B56" s="10" t="s">
        <v>869</v>
      </c>
      <c r="C56" s="26" t="s">
        <v>624</v>
      </c>
      <c r="D56" s="29" t="s">
        <v>625</v>
      </c>
    </row>
    <row r="57" spans="1:4" x14ac:dyDescent="0.25">
      <c r="A57" s="14" t="s">
        <v>871</v>
      </c>
      <c r="B57" s="10" t="s">
        <v>872</v>
      </c>
      <c r="C57" s="26" t="s">
        <v>761</v>
      </c>
      <c r="D57" s="29" t="s">
        <v>762</v>
      </c>
    </row>
    <row r="58" spans="1:4" x14ac:dyDescent="0.25">
      <c r="A58" s="14" t="s">
        <v>875</v>
      </c>
      <c r="B58" s="10" t="s">
        <v>876</v>
      </c>
      <c r="C58" s="26" t="s">
        <v>761</v>
      </c>
      <c r="D58" s="29" t="s">
        <v>762</v>
      </c>
    </row>
    <row r="59" spans="1:4" x14ac:dyDescent="0.25">
      <c r="A59" s="14" t="s">
        <v>879</v>
      </c>
      <c r="B59" s="10" t="s">
        <v>880</v>
      </c>
      <c r="C59" s="26" t="s">
        <v>761</v>
      </c>
      <c r="D59" s="29" t="s">
        <v>762</v>
      </c>
    </row>
    <row r="60" spans="1:4" x14ac:dyDescent="0.25">
      <c r="A60" s="14" t="s">
        <v>884</v>
      </c>
      <c r="B60" s="10" t="s">
        <v>885</v>
      </c>
      <c r="C60" s="26" t="s">
        <v>761</v>
      </c>
      <c r="D60" s="29" t="s">
        <v>762</v>
      </c>
    </row>
    <row r="61" spans="1:4" x14ac:dyDescent="0.25">
      <c r="A61" s="14" t="s">
        <v>888</v>
      </c>
      <c r="B61" s="10" t="s">
        <v>889</v>
      </c>
      <c r="C61" s="26" t="s">
        <v>309</v>
      </c>
      <c r="D61" s="29" t="s">
        <v>893</v>
      </c>
    </row>
    <row r="62" spans="1:4" x14ac:dyDescent="0.25">
      <c r="A62" s="14" t="s">
        <v>895</v>
      </c>
      <c r="B62" s="10" t="s">
        <v>896</v>
      </c>
      <c r="C62" s="26" t="s">
        <v>899</v>
      </c>
      <c r="D62" s="29" t="s">
        <v>900</v>
      </c>
    </row>
    <row r="63" spans="1:4" x14ac:dyDescent="0.25">
      <c r="A63" s="14" t="s">
        <v>903</v>
      </c>
      <c r="B63" s="10" t="s">
        <v>904</v>
      </c>
      <c r="C63" s="26" t="s">
        <v>906</v>
      </c>
      <c r="D63" s="29" t="s">
        <v>907</v>
      </c>
    </row>
    <row r="64" spans="1:4" x14ac:dyDescent="0.25">
      <c r="A64" s="14" t="s">
        <v>922</v>
      </c>
      <c r="B64" s="10" t="s">
        <v>923</v>
      </c>
      <c r="C64" s="26" t="s">
        <v>926</v>
      </c>
      <c r="D64" s="29" t="s">
        <v>893</v>
      </c>
    </row>
    <row r="65" spans="1:4" x14ac:dyDescent="0.25">
      <c r="A65" s="14" t="s">
        <v>930</v>
      </c>
      <c r="B65" s="10" t="s">
        <v>931</v>
      </c>
      <c r="C65" s="26" t="s">
        <v>934</v>
      </c>
      <c r="D65" s="29" t="s">
        <v>935</v>
      </c>
    </row>
    <row r="66" spans="1:4" x14ac:dyDescent="0.25">
      <c r="A66" s="14" t="s">
        <v>177</v>
      </c>
      <c r="B66" s="10" t="s">
        <v>179</v>
      </c>
      <c r="C66" s="26" t="s">
        <v>182</v>
      </c>
      <c r="D66" s="29" t="s">
        <v>183</v>
      </c>
    </row>
    <row r="67" spans="1:4" x14ac:dyDescent="0.25">
      <c r="A67" s="14" t="s">
        <v>938</v>
      </c>
      <c r="B67" s="10" t="s">
        <v>939</v>
      </c>
      <c r="C67" s="26" t="s">
        <v>942</v>
      </c>
      <c r="D67" s="29" t="s">
        <v>943</v>
      </c>
    </row>
    <row r="68" spans="1:4" x14ac:dyDescent="0.25">
      <c r="A68" s="14" t="s">
        <v>947</v>
      </c>
      <c r="B68" s="10" t="s">
        <v>948</v>
      </c>
      <c r="C68" s="26" t="s">
        <v>950</v>
      </c>
      <c r="D68" s="29" t="s">
        <v>951</v>
      </c>
    </row>
    <row r="69" spans="1:4" x14ac:dyDescent="0.25">
      <c r="A69" s="14" t="s">
        <v>954</v>
      </c>
      <c r="B69" s="10" t="s">
        <v>955</v>
      </c>
      <c r="C69" s="26" t="s">
        <v>958</v>
      </c>
      <c r="D69" s="29" t="s">
        <v>959</v>
      </c>
    </row>
    <row r="70" spans="1:4" x14ac:dyDescent="0.25">
      <c r="A70" s="14" t="s">
        <v>963</v>
      </c>
      <c r="B70" s="10" t="s">
        <v>964</v>
      </c>
      <c r="C70" s="26" t="s">
        <v>768</v>
      </c>
      <c r="D70" s="29" t="s">
        <v>966</v>
      </c>
    </row>
    <row r="71" spans="1:4" x14ac:dyDescent="0.25">
      <c r="A71" s="14" t="s">
        <v>969</v>
      </c>
      <c r="B71" s="10" t="s">
        <v>970</v>
      </c>
      <c r="C71" s="26" t="s">
        <v>768</v>
      </c>
      <c r="D71" s="29" t="s">
        <v>966</v>
      </c>
    </row>
    <row r="72" spans="1:4" x14ac:dyDescent="0.25">
      <c r="A72" s="14" t="s">
        <v>972</v>
      </c>
      <c r="B72" s="10" t="s">
        <v>973</v>
      </c>
      <c r="C72" s="26" t="s">
        <v>768</v>
      </c>
      <c r="D72" s="29" t="s">
        <v>966</v>
      </c>
    </row>
    <row r="73" spans="1:4" x14ac:dyDescent="0.25">
      <c r="A73" s="14" t="s">
        <v>975</v>
      </c>
      <c r="B73" s="10" t="s">
        <v>976</v>
      </c>
      <c r="C73" s="26" t="s">
        <v>768</v>
      </c>
      <c r="D73" s="29" t="s">
        <v>966</v>
      </c>
    </row>
    <row r="74" spans="1:4" x14ac:dyDescent="0.25">
      <c r="A74" s="14" t="s">
        <v>978</v>
      </c>
      <c r="B74" s="10" t="s">
        <v>979</v>
      </c>
      <c r="C74" s="26" t="s">
        <v>768</v>
      </c>
      <c r="D74" s="29" t="s">
        <v>966</v>
      </c>
    </row>
    <row r="75" spans="1:4" x14ac:dyDescent="0.25">
      <c r="A75" s="14" t="s">
        <v>981</v>
      </c>
      <c r="B75" s="10" t="s">
        <v>982</v>
      </c>
      <c r="C75" s="26" t="s">
        <v>768</v>
      </c>
      <c r="D75" s="29" t="s">
        <v>966</v>
      </c>
    </row>
    <row r="76" spans="1:4" x14ac:dyDescent="0.25">
      <c r="A76" s="14" t="s">
        <v>984</v>
      </c>
      <c r="B76" s="10" t="s">
        <v>985</v>
      </c>
      <c r="C76" s="26" t="s">
        <v>768</v>
      </c>
      <c r="D76" s="29" t="s">
        <v>966</v>
      </c>
    </row>
    <row r="77" spans="1:4" x14ac:dyDescent="0.25">
      <c r="A77" s="14" t="s">
        <v>987</v>
      </c>
      <c r="B77" s="10" t="s">
        <v>988</v>
      </c>
      <c r="C77" s="26" t="s">
        <v>768</v>
      </c>
      <c r="D77" s="29" t="s">
        <v>966</v>
      </c>
    </row>
    <row r="78" spans="1:4" x14ac:dyDescent="0.25">
      <c r="A78" s="14" t="s">
        <v>990</v>
      </c>
      <c r="B78" s="10" t="s">
        <v>991</v>
      </c>
      <c r="C78" s="26" t="s">
        <v>768</v>
      </c>
      <c r="D78" s="29" t="s">
        <v>966</v>
      </c>
    </row>
    <row r="79" spans="1:4" x14ac:dyDescent="0.25">
      <c r="A79" s="14" t="s">
        <v>993</v>
      </c>
      <c r="B79" s="10" t="s">
        <v>994</v>
      </c>
      <c r="C79" s="26" t="s">
        <v>768</v>
      </c>
      <c r="D79" s="29" t="s">
        <v>966</v>
      </c>
    </row>
    <row r="80" spans="1:4" x14ac:dyDescent="0.25">
      <c r="A80" s="14" t="s">
        <v>996</v>
      </c>
      <c r="B80" s="10" t="s">
        <v>997</v>
      </c>
      <c r="C80" s="26" t="s">
        <v>934</v>
      </c>
      <c r="D80" s="29" t="s">
        <v>935</v>
      </c>
    </row>
    <row r="81" spans="1:4" x14ac:dyDescent="0.25">
      <c r="A81" s="14" t="s">
        <v>1000</v>
      </c>
      <c r="B81" s="10" t="s">
        <v>1001</v>
      </c>
      <c r="C81" s="26" t="s">
        <v>768</v>
      </c>
      <c r="D81" s="29" t="s">
        <v>966</v>
      </c>
    </row>
    <row r="82" spans="1:4" x14ac:dyDescent="0.25">
      <c r="A82" s="14" t="s">
        <v>1003</v>
      </c>
      <c r="B82" s="10" t="s">
        <v>1004</v>
      </c>
      <c r="C82" s="26" t="s">
        <v>768</v>
      </c>
      <c r="D82" s="29" t="s">
        <v>966</v>
      </c>
    </row>
    <row r="83" spans="1:4" x14ac:dyDescent="0.25">
      <c r="A83" s="14" t="s">
        <v>313</v>
      </c>
      <c r="B83" s="10" t="s">
        <v>315</v>
      </c>
      <c r="C83" s="26" t="s">
        <v>319</v>
      </c>
      <c r="D83" s="29" t="s">
        <v>320</v>
      </c>
    </row>
    <row r="84" spans="1:4" x14ac:dyDescent="0.25">
      <c r="A84" s="14" t="s">
        <v>1008</v>
      </c>
      <c r="B84" s="10" t="s">
        <v>1010</v>
      </c>
      <c r="C84" s="26" t="s">
        <v>768</v>
      </c>
      <c r="D84" s="29" t="s">
        <v>966</v>
      </c>
    </row>
    <row r="85" spans="1:4" x14ac:dyDescent="0.25">
      <c r="A85" s="14" t="s">
        <v>323</v>
      </c>
      <c r="B85" s="10" t="s">
        <v>324</v>
      </c>
      <c r="C85" s="26" t="s">
        <v>319</v>
      </c>
      <c r="D85" s="29" t="s">
        <v>320</v>
      </c>
    </row>
    <row r="86" spans="1:4" x14ac:dyDescent="0.25">
      <c r="A86" s="14" t="s">
        <v>1013</v>
      </c>
      <c r="B86" s="10" t="s">
        <v>1014</v>
      </c>
      <c r="C86" s="26" t="s">
        <v>768</v>
      </c>
      <c r="D86" s="29" t="s">
        <v>966</v>
      </c>
    </row>
    <row r="87" spans="1:4" x14ac:dyDescent="0.25">
      <c r="A87" s="14" t="s">
        <v>328</v>
      </c>
      <c r="B87" s="10" t="s">
        <v>329</v>
      </c>
      <c r="C87" s="26" t="s">
        <v>332</v>
      </c>
      <c r="D87" s="29" t="s">
        <v>333</v>
      </c>
    </row>
    <row r="88" spans="1:4" x14ac:dyDescent="0.25">
      <c r="A88" s="14" t="s">
        <v>1016</v>
      </c>
      <c r="B88" s="10" t="s">
        <v>1017</v>
      </c>
      <c r="C88" s="26" t="s">
        <v>768</v>
      </c>
      <c r="D88" s="29" t="s">
        <v>966</v>
      </c>
    </row>
    <row r="89" spans="1:4" x14ac:dyDescent="0.25">
      <c r="A89" s="14" t="s">
        <v>337</v>
      </c>
      <c r="B89" s="10" t="s">
        <v>338</v>
      </c>
      <c r="C89" s="26" t="s">
        <v>341</v>
      </c>
      <c r="D89" s="29" t="s">
        <v>342</v>
      </c>
    </row>
    <row r="90" spans="1:4" x14ac:dyDescent="0.25">
      <c r="A90" s="14" t="s">
        <v>1019</v>
      </c>
      <c r="B90" s="10" t="s">
        <v>1020</v>
      </c>
      <c r="C90" s="26" t="s">
        <v>768</v>
      </c>
      <c r="D90" s="29" t="s">
        <v>966</v>
      </c>
    </row>
    <row r="91" spans="1:4" x14ac:dyDescent="0.25">
      <c r="A91" s="14" t="s">
        <v>355</v>
      </c>
      <c r="B91" s="10" t="s">
        <v>357</v>
      </c>
      <c r="C91" s="26" t="s">
        <v>360</v>
      </c>
      <c r="D91" s="29" t="s">
        <v>361</v>
      </c>
    </row>
    <row r="92" spans="1:4" x14ac:dyDescent="0.25">
      <c r="A92" s="14" t="s">
        <v>1022</v>
      </c>
      <c r="B92" s="10" t="s">
        <v>1023</v>
      </c>
      <c r="C92" s="26" t="s">
        <v>768</v>
      </c>
      <c r="D92" s="29" t="s">
        <v>966</v>
      </c>
    </row>
    <row r="93" spans="1:4" x14ac:dyDescent="0.25">
      <c r="A93" s="14" t="s">
        <v>366</v>
      </c>
      <c r="B93" s="10" t="s">
        <v>368</v>
      </c>
      <c r="C93" s="26" t="s">
        <v>341</v>
      </c>
      <c r="D93" s="29" t="s">
        <v>372</v>
      </c>
    </row>
    <row r="94" spans="1:4" x14ac:dyDescent="0.25">
      <c r="A94" s="14" t="s">
        <v>1025</v>
      </c>
      <c r="B94" s="10" t="s">
        <v>1026</v>
      </c>
      <c r="C94" s="26" t="s">
        <v>768</v>
      </c>
      <c r="D94" s="29" t="s">
        <v>386</v>
      </c>
    </row>
    <row r="95" spans="1:4" x14ac:dyDescent="0.25">
      <c r="A95" s="14" t="s">
        <v>382</v>
      </c>
      <c r="B95" s="10" t="s">
        <v>383</v>
      </c>
      <c r="C95" s="26" t="s">
        <v>385</v>
      </c>
      <c r="D95" s="29" t="s">
        <v>386</v>
      </c>
    </row>
    <row r="96" spans="1:4" x14ac:dyDescent="0.25">
      <c r="A96" s="14" t="s">
        <v>1039</v>
      </c>
      <c r="B96" s="10" t="s">
        <v>1040</v>
      </c>
      <c r="C96" s="26" t="s">
        <v>768</v>
      </c>
      <c r="D96" s="29" t="s">
        <v>386</v>
      </c>
    </row>
    <row r="97" spans="1:4" x14ac:dyDescent="0.25">
      <c r="A97" s="14" t="s">
        <v>389</v>
      </c>
      <c r="B97" s="10" t="s">
        <v>390</v>
      </c>
      <c r="C97" s="26" t="s">
        <v>378</v>
      </c>
      <c r="D97" s="29" t="s">
        <v>361</v>
      </c>
    </row>
    <row r="98" spans="1:4" x14ac:dyDescent="0.25">
      <c r="A98" s="14" t="s">
        <v>1042</v>
      </c>
      <c r="B98" s="10" t="s">
        <v>1044</v>
      </c>
      <c r="C98" s="26" t="s">
        <v>531</v>
      </c>
      <c r="D98" s="29" t="s">
        <v>532</v>
      </c>
    </row>
    <row r="99" spans="1:4" x14ac:dyDescent="0.25">
      <c r="A99" s="14" t="s">
        <v>392</v>
      </c>
      <c r="B99" s="10" t="s">
        <v>393</v>
      </c>
      <c r="C99" s="26" t="s">
        <v>395</v>
      </c>
      <c r="D99" s="29" t="s">
        <v>396</v>
      </c>
    </row>
    <row r="100" spans="1:4" x14ac:dyDescent="0.25">
      <c r="A100" s="14" t="s">
        <v>1047</v>
      </c>
      <c r="B100" s="10" t="s">
        <v>1049</v>
      </c>
      <c r="C100" s="26" t="s">
        <v>531</v>
      </c>
      <c r="D100" s="29" t="s">
        <v>1051</v>
      </c>
    </row>
    <row r="101" spans="1:4" x14ac:dyDescent="0.25">
      <c r="A101" s="14" t="s">
        <v>399</v>
      </c>
      <c r="B101" s="10" t="s">
        <v>400</v>
      </c>
      <c r="C101" s="26" t="s">
        <v>402</v>
      </c>
      <c r="D101" s="29" t="s">
        <v>320</v>
      </c>
    </row>
    <row r="102" spans="1:4" x14ac:dyDescent="0.25">
      <c r="A102" s="14" t="s">
        <v>405</v>
      </c>
      <c r="B102" s="10" t="s">
        <v>406</v>
      </c>
      <c r="C102" s="26" t="s">
        <v>360</v>
      </c>
      <c r="D102" s="29" t="s">
        <v>361</v>
      </c>
    </row>
    <row r="103" spans="1:4" x14ac:dyDescent="0.25">
      <c r="A103" s="14" t="s">
        <v>1059</v>
      </c>
      <c r="B103" s="10" t="s">
        <v>1060</v>
      </c>
      <c r="C103" s="26" t="s">
        <v>790</v>
      </c>
      <c r="D103" s="29" t="s">
        <v>791</v>
      </c>
    </row>
    <row r="104" spans="1:4" x14ac:dyDescent="0.25">
      <c r="A104" s="14" t="s">
        <v>408</v>
      </c>
      <c r="B104" s="10" t="s">
        <v>410</v>
      </c>
      <c r="C104" s="26" t="s">
        <v>414</v>
      </c>
      <c r="D104" s="29" t="s">
        <v>415</v>
      </c>
    </row>
    <row r="105" spans="1:4" x14ac:dyDescent="0.25">
      <c r="A105" s="14" t="s">
        <v>1063</v>
      </c>
      <c r="B105" s="10" t="s">
        <v>1064</v>
      </c>
      <c r="C105" s="26" t="s">
        <v>790</v>
      </c>
      <c r="D105" s="29" t="s">
        <v>791</v>
      </c>
    </row>
    <row r="106" spans="1:4" x14ac:dyDescent="0.25">
      <c r="A106" s="14" t="s">
        <v>418</v>
      </c>
      <c r="B106" s="10" t="s">
        <v>419</v>
      </c>
      <c r="C106" s="26" t="s">
        <v>422</v>
      </c>
      <c r="D106" s="29" t="s">
        <v>423</v>
      </c>
    </row>
    <row r="107" spans="1:4" x14ac:dyDescent="0.25">
      <c r="A107" s="14" t="s">
        <v>1069</v>
      </c>
      <c r="B107" s="10" t="s">
        <v>1070</v>
      </c>
      <c r="C107" s="26" t="s">
        <v>934</v>
      </c>
      <c r="D107" s="29" t="s">
        <v>935</v>
      </c>
    </row>
    <row r="108" spans="1:4" x14ac:dyDescent="0.25">
      <c r="A108" s="14" t="s">
        <v>426</v>
      </c>
      <c r="B108" s="10" t="s">
        <v>428</v>
      </c>
      <c r="C108" s="26" t="s">
        <v>430</v>
      </c>
      <c r="D108" s="29" t="s">
        <v>431</v>
      </c>
    </row>
    <row r="109" spans="1:4" x14ac:dyDescent="0.25">
      <c r="A109" s="14" t="s">
        <v>1072</v>
      </c>
      <c r="B109" s="10" t="s">
        <v>1073</v>
      </c>
      <c r="C109" s="26" t="s">
        <v>1075</v>
      </c>
      <c r="D109" s="29" t="s">
        <v>1076</v>
      </c>
    </row>
    <row r="110" spans="1:4" x14ac:dyDescent="0.25">
      <c r="A110" s="14" t="s">
        <v>1079</v>
      </c>
      <c r="B110" s="10" t="s">
        <v>1081</v>
      </c>
      <c r="C110" s="26" t="s">
        <v>1075</v>
      </c>
      <c r="D110" s="29" t="s">
        <v>1076</v>
      </c>
    </row>
    <row r="111" spans="1:4" x14ac:dyDescent="0.25">
      <c r="A111" s="14" t="s">
        <v>1085</v>
      </c>
      <c r="B111" s="10" t="s">
        <v>1086</v>
      </c>
      <c r="C111" s="26" t="s">
        <v>934</v>
      </c>
      <c r="D111" s="29" t="s">
        <v>935</v>
      </c>
    </row>
    <row r="112" spans="1:4" x14ac:dyDescent="0.25">
      <c r="A112" s="14" t="s">
        <v>434</v>
      </c>
      <c r="B112" s="10" t="s">
        <v>435</v>
      </c>
      <c r="C112" s="26" t="s">
        <v>319</v>
      </c>
      <c r="D112" s="29" t="s">
        <v>320</v>
      </c>
    </row>
    <row r="113" spans="1:4" x14ac:dyDescent="0.25">
      <c r="A113" s="14" t="s">
        <v>1089</v>
      </c>
      <c r="B113" s="10" t="s">
        <v>1090</v>
      </c>
      <c r="C113" s="26" t="s">
        <v>934</v>
      </c>
      <c r="D113" s="29" t="s">
        <v>935</v>
      </c>
    </row>
    <row r="114" spans="1:4" x14ac:dyDescent="0.25">
      <c r="A114" s="14" t="s">
        <v>438</v>
      </c>
      <c r="B114" s="10" t="s">
        <v>440</v>
      </c>
      <c r="C114" s="26" t="s">
        <v>360</v>
      </c>
      <c r="D114" s="29" t="s">
        <v>361</v>
      </c>
    </row>
    <row r="115" spans="1:4" x14ac:dyDescent="0.25">
      <c r="A115" s="14" t="s">
        <v>1092</v>
      </c>
      <c r="B115" s="10" t="s">
        <v>1093</v>
      </c>
      <c r="C115" s="26" t="s">
        <v>1095</v>
      </c>
      <c r="D115" s="29" t="s">
        <v>1096</v>
      </c>
    </row>
    <row r="116" spans="1:4" x14ac:dyDescent="0.25">
      <c r="A116" s="14" t="s">
        <v>444</v>
      </c>
      <c r="B116" s="10" t="s">
        <v>445</v>
      </c>
      <c r="C116" s="26" t="s">
        <v>37</v>
      </c>
      <c r="D116" s="29" t="s">
        <v>449</v>
      </c>
    </row>
    <row r="117" spans="1:4" x14ac:dyDescent="0.25">
      <c r="A117" s="14" t="s">
        <v>1099</v>
      </c>
      <c r="B117" s="10" t="s">
        <v>1100</v>
      </c>
      <c r="C117" s="26" t="s">
        <v>457</v>
      </c>
      <c r="D117" s="29" t="s">
        <v>458</v>
      </c>
    </row>
    <row r="118" spans="1:4" x14ac:dyDescent="0.25">
      <c r="A118" s="14" t="s">
        <v>452</v>
      </c>
      <c r="B118" s="10" t="s">
        <v>454</v>
      </c>
      <c r="C118" s="26" t="s">
        <v>457</v>
      </c>
      <c r="D118" s="29" t="s">
        <v>458</v>
      </c>
    </row>
    <row r="119" spans="1:4" x14ac:dyDescent="0.25">
      <c r="A119" s="14" t="s">
        <v>1103</v>
      </c>
      <c r="B119" s="10" t="s">
        <v>1104</v>
      </c>
      <c r="C119" s="26" t="s">
        <v>1106</v>
      </c>
      <c r="D119" s="29" t="s">
        <v>1107</v>
      </c>
    </row>
    <row r="120" spans="1:4" x14ac:dyDescent="0.25">
      <c r="A120" s="14" t="s">
        <v>461</v>
      </c>
      <c r="B120" s="10" t="s">
        <v>462</v>
      </c>
      <c r="C120" s="26" t="s">
        <v>465</v>
      </c>
      <c r="D120" s="29" t="s">
        <v>466</v>
      </c>
    </row>
    <row r="121" spans="1:4" x14ac:dyDescent="0.25">
      <c r="A121" s="14" t="s">
        <v>1110</v>
      </c>
      <c r="B121" s="10" t="s">
        <v>1111</v>
      </c>
      <c r="C121" s="26" t="s">
        <v>457</v>
      </c>
      <c r="D121" s="29" t="s">
        <v>458</v>
      </c>
    </row>
    <row r="122" spans="1:4" x14ac:dyDescent="0.25">
      <c r="A122" s="14" t="s">
        <v>476</v>
      </c>
      <c r="B122" s="10" t="s">
        <v>477</v>
      </c>
      <c r="C122" s="26" t="s">
        <v>227</v>
      </c>
      <c r="D122" s="29" t="s">
        <v>480</v>
      </c>
    </row>
    <row r="123" spans="1:4" x14ac:dyDescent="0.25">
      <c r="A123" s="14" t="s">
        <v>1113</v>
      </c>
      <c r="B123" s="10" t="s">
        <v>1115</v>
      </c>
      <c r="C123" s="26" t="s">
        <v>309</v>
      </c>
      <c r="D123" s="29" t="s">
        <v>893</v>
      </c>
    </row>
    <row r="124" spans="1:4" x14ac:dyDescent="0.25">
      <c r="A124" s="14" t="s">
        <v>482</v>
      </c>
      <c r="B124" s="10" t="s">
        <v>484</v>
      </c>
      <c r="C124" s="26" t="s">
        <v>487</v>
      </c>
      <c r="D124" s="29" t="s">
        <v>488</v>
      </c>
    </row>
    <row r="125" spans="1:4" x14ac:dyDescent="0.25">
      <c r="A125" s="14" t="s">
        <v>1119</v>
      </c>
      <c r="B125" s="10" t="s">
        <v>1120</v>
      </c>
      <c r="C125" s="26" t="s">
        <v>1122</v>
      </c>
      <c r="D125" s="29" t="s">
        <v>1123</v>
      </c>
    </row>
    <row r="126" spans="1:4" x14ac:dyDescent="0.25">
      <c r="A126" s="14" t="s">
        <v>493</v>
      </c>
      <c r="B126" s="10" t="s">
        <v>494</v>
      </c>
      <c r="C126" s="26" t="s">
        <v>497</v>
      </c>
      <c r="D126" s="29" t="s">
        <v>302</v>
      </c>
    </row>
    <row r="127" spans="1:4" x14ac:dyDescent="0.25">
      <c r="A127" s="14" t="s">
        <v>1126</v>
      </c>
      <c r="B127" s="10" t="s">
        <v>1127</v>
      </c>
      <c r="C127" s="26" t="s">
        <v>1122</v>
      </c>
      <c r="D127" s="29" t="s">
        <v>1123</v>
      </c>
    </row>
    <row r="128" spans="1:4" x14ac:dyDescent="0.25">
      <c r="A128" s="14" t="s">
        <v>499</v>
      </c>
      <c r="B128" s="10" t="s">
        <v>501</v>
      </c>
      <c r="C128" s="26" t="s">
        <v>505</v>
      </c>
      <c r="D128" s="29" t="s">
        <v>506</v>
      </c>
    </row>
    <row r="129" spans="1:4" x14ac:dyDescent="0.25">
      <c r="A129" s="14" t="s">
        <v>1130</v>
      </c>
      <c r="B129" s="10" t="s">
        <v>1131</v>
      </c>
      <c r="C129" s="26" t="s">
        <v>1122</v>
      </c>
      <c r="D129" s="29" t="s">
        <v>1123</v>
      </c>
    </row>
    <row r="130" spans="1:4" x14ac:dyDescent="0.25">
      <c r="A130" s="14" t="s">
        <v>509</v>
      </c>
      <c r="B130" s="10" t="s">
        <v>510</v>
      </c>
      <c r="C130" s="26" t="s">
        <v>513</v>
      </c>
      <c r="D130" s="29" t="s">
        <v>514</v>
      </c>
    </row>
    <row r="131" spans="1:4" x14ac:dyDescent="0.25">
      <c r="A131" s="14" t="s">
        <v>1134</v>
      </c>
      <c r="B131" s="10" t="s">
        <v>1135</v>
      </c>
      <c r="C131" s="26" t="s">
        <v>1122</v>
      </c>
      <c r="D131" s="29" t="s">
        <v>1123</v>
      </c>
    </row>
    <row r="132" spans="1:4" x14ac:dyDescent="0.25">
      <c r="A132" s="14" t="s">
        <v>517</v>
      </c>
      <c r="B132" s="10" t="s">
        <v>518</v>
      </c>
      <c r="C132" s="26" t="s">
        <v>522</v>
      </c>
      <c r="D132" s="29" t="s">
        <v>523</v>
      </c>
    </row>
    <row r="133" spans="1:4" x14ac:dyDescent="0.25">
      <c r="A133" s="14" t="s">
        <v>1138</v>
      </c>
      <c r="B133" s="10" t="s">
        <v>1140</v>
      </c>
      <c r="C133" s="26" t="s">
        <v>1122</v>
      </c>
      <c r="D133" s="29" t="s">
        <v>1123</v>
      </c>
    </row>
    <row r="134" spans="1:4" x14ac:dyDescent="0.25">
      <c r="A134" s="14" t="s">
        <v>527</v>
      </c>
      <c r="B134" s="10" t="s">
        <v>528</v>
      </c>
      <c r="C134" s="26" t="s">
        <v>531</v>
      </c>
      <c r="D134" s="29" t="s">
        <v>532</v>
      </c>
    </row>
    <row r="135" spans="1:4" x14ac:dyDescent="0.25">
      <c r="A135" s="14" t="s">
        <v>1156</v>
      </c>
      <c r="B135" s="10" t="s">
        <v>1158</v>
      </c>
      <c r="C135" s="26" t="s">
        <v>1162</v>
      </c>
      <c r="D135" s="29" t="s">
        <v>258</v>
      </c>
    </row>
    <row r="136" spans="1:4" x14ac:dyDescent="0.25">
      <c r="A136" s="14" t="s">
        <v>535</v>
      </c>
      <c r="B136" s="10" t="s">
        <v>537</v>
      </c>
      <c r="C136" s="26" t="s">
        <v>531</v>
      </c>
      <c r="D136" s="29" t="s">
        <v>532</v>
      </c>
    </row>
    <row r="137" spans="1:4" x14ac:dyDescent="0.25">
      <c r="A137" s="14" t="s">
        <v>539</v>
      </c>
      <c r="B137" s="10" t="s">
        <v>541</v>
      </c>
      <c r="C137" s="26" t="s">
        <v>55</v>
      </c>
      <c r="D137" s="29" t="s">
        <v>544</v>
      </c>
    </row>
    <row r="138" spans="1:4" x14ac:dyDescent="0.25">
      <c r="A138" s="14" t="s">
        <v>1168</v>
      </c>
      <c r="B138" s="10" t="s">
        <v>1169</v>
      </c>
      <c r="C138" s="26" t="s">
        <v>1162</v>
      </c>
      <c r="D138" s="29" t="s">
        <v>258</v>
      </c>
    </row>
    <row r="139" spans="1:4" x14ac:dyDescent="0.25">
      <c r="A139" s="14" t="s">
        <v>548</v>
      </c>
      <c r="B139" s="10" t="s">
        <v>550</v>
      </c>
      <c r="C139" s="26" t="s">
        <v>55</v>
      </c>
      <c r="D139" s="29" t="s">
        <v>544</v>
      </c>
    </row>
    <row r="140" spans="1:4" x14ac:dyDescent="0.25">
      <c r="A140" s="14" t="s">
        <v>1176</v>
      </c>
      <c r="B140" s="10" t="s">
        <v>1177</v>
      </c>
      <c r="C140" s="26" t="s">
        <v>1180</v>
      </c>
      <c r="D140" s="29" t="s">
        <v>1181</v>
      </c>
    </row>
    <row r="141" spans="1:4" x14ac:dyDescent="0.25">
      <c r="A141" s="14" t="s">
        <v>552</v>
      </c>
      <c r="B141" s="10" t="s">
        <v>553</v>
      </c>
      <c r="C141" s="26" t="s">
        <v>122</v>
      </c>
      <c r="D141" s="29" t="s">
        <v>555</v>
      </c>
    </row>
    <row r="142" spans="1:4" x14ac:dyDescent="0.25">
      <c r="A142" s="14" t="s">
        <v>1183</v>
      </c>
      <c r="B142" s="10" t="s">
        <v>1185</v>
      </c>
      <c r="C142" s="26" t="s">
        <v>790</v>
      </c>
      <c r="D142" s="29" t="s">
        <v>791</v>
      </c>
    </row>
    <row r="143" spans="1:4" x14ac:dyDescent="0.25">
      <c r="A143" s="14" t="s">
        <v>557</v>
      </c>
      <c r="B143" s="10" t="s">
        <v>558</v>
      </c>
      <c r="C143" s="26" t="s">
        <v>122</v>
      </c>
      <c r="D143" s="29" t="s">
        <v>555</v>
      </c>
    </row>
    <row r="144" spans="1:4" x14ac:dyDescent="0.25">
      <c r="A144" s="14" t="s">
        <v>1188</v>
      </c>
      <c r="B144" s="10" t="s">
        <v>1189</v>
      </c>
      <c r="C144" s="26" t="s">
        <v>790</v>
      </c>
      <c r="D144" s="29" t="s">
        <v>791</v>
      </c>
    </row>
    <row r="145" spans="1:4" x14ac:dyDescent="0.25">
      <c r="A145" s="14" t="s">
        <v>1207</v>
      </c>
      <c r="B145" s="10" t="s">
        <v>1208</v>
      </c>
      <c r="C145" s="26" t="s">
        <v>1211</v>
      </c>
      <c r="D145" s="29" t="s">
        <v>320</v>
      </c>
    </row>
    <row r="146" spans="1:4" x14ac:dyDescent="0.25">
      <c r="A146" s="14" t="s">
        <v>1213</v>
      </c>
      <c r="B146" s="10" t="s">
        <v>1214</v>
      </c>
      <c r="C146" s="26" t="s">
        <v>395</v>
      </c>
      <c r="D146" s="29" t="s">
        <v>1217</v>
      </c>
    </row>
    <row r="147" spans="1:4" x14ac:dyDescent="0.25">
      <c r="A147" s="14" t="s">
        <v>1219</v>
      </c>
      <c r="B147" s="10" t="s">
        <v>1220</v>
      </c>
      <c r="C147" s="26" t="s">
        <v>395</v>
      </c>
      <c r="D147" s="29" t="s">
        <v>1217</v>
      </c>
    </row>
    <row r="148" spans="1:4" x14ac:dyDescent="0.25">
      <c r="A148" s="14" t="s">
        <v>1224</v>
      </c>
      <c r="B148" s="10" t="s">
        <v>1225</v>
      </c>
      <c r="C148" s="26" t="s">
        <v>1211</v>
      </c>
      <c r="D148" s="29" t="s">
        <v>320</v>
      </c>
    </row>
    <row r="149" spans="1:4" x14ac:dyDescent="0.25">
      <c r="A149" s="14" t="s">
        <v>1228</v>
      </c>
      <c r="B149" s="10" t="s">
        <v>1229</v>
      </c>
      <c r="C149" s="26" t="s">
        <v>64</v>
      </c>
      <c r="D149" s="29" t="s">
        <v>65</v>
      </c>
    </row>
    <row r="150" spans="1:4" x14ac:dyDescent="0.25">
      <c r="A150" s="14" t="s">
        <v>560</v>
      </c>
      <c r="B150" s="10" t="s">
        <v>562</v>
      </c>
      <c r="C150" s="26" t="s">
        <v>169</v>
      </c>
      <c r="D150" s="29" t="s">
        <v>65</v>
      </c>
    </row>
    <row r="151" spans="1:4" x14ac:dyDescent="0.25">
      <c r="A151" s="14" t="s">
        <v>1234</v>
      </c>
      <c r="B151" s="10" t="s">
        <v>1235</v>
      </c>
      <c r="C151" s="26" t="s">
        <v>64</v>
      </c>
      <c r="D151" s="29" t="s">
        <v>65</v>
      </c>
    </row>
    <row r="152" spans="1:4" x14ac:dyDescent="0.25">
      <c r="A152" s="14" t="s">
        <v>1245</v>
      </c>
      <c r="B152" s="10" t="s">
        <v>1247</v>
      </c>
      <c r="C152" s="26" t="s">
        <v>122</v>
      </c>
      <c r="D152" s="29" t="s">
        <v>544</v>
      </c>
    </row>
    <row r="153" spans="1:4" x14ac:dyDescent="0.25">
      <c r="A153" s="14" t="s">
        <v>1252</v>
      </c>
      <c r="B153" s="10" t="s">
        <v>1253</v>
      </c>
      <c r="C153" s="26" t="s">
        <v>1255</v>
      </c>
      <c r="D153" s="29" t="s">
        <v>1256</v>
      </c>
    </row>
    <row r="154" spans="1:4" x14ac:dyDescent="0.25">
      <c r="A154" s="14" t="s">
        <v>1259</v>
      </c>
      <c r="B154" s="10" t="s">
        <v>1260</v>
      </c>
      <c r="C154" s="26" t="s">
        <v>395</v>
      </c>
      <c r="D154" s="29" t="s">
        <v>1217</v>
      </c>
    </row>
    <row r="155" spans="1:4" x14ac:dyDescent="0.25">
      <c r="A155" s="14" t="s">
        <v>1269</v>
      </c>
      <c r="B155" s="10" t="s">
        <v>1270</v>
      </c>
      <c r="C155" s="26" t="s">
        <v>1273</v>
      </c>
      <c r="D155" s="29" t="s">
        <v>514</v>
      </c>
    </row>
    <row r="156" spans="1:4" x14ac:dyDescent="0.25">
      <c r="A156" s="14" t="s">
        <v>1345</v>
      </c>
      <c r="B156" s="10" t="s">
        <v>1347</v>
      </c>
      <c r="C156" s="26" t="s">
        <v>1299</v>
      </c>
      <c r="D156" s="29" t="s">
        <v>1300</v>
      </c>
    </row>
    <row r="157" spans="1:4" x14ac:dyDescent="0.25">
      <c r="A157" s="14" t="s">
        <v>1395</v>
      </c>
      <c r="B157" s="10" t="s">
        <v>1396</v>
      </c>
      <c r="C157" s="26" t="s">
        <v>64</v>
      </c>
      <c r="D157" s="29" t="s">
        <v>65</v>
      </c>
    </row>
    <row r="158" spans="1:4" x14ac:dyDescent="0.25">
      <c r="A158" s="14" t="s">
        <v>1403</v>
      </c>
      <c r="B158" s="10" t="s">
        <v>1404</v>
      </c>
      <c r="C158" s="26" t="s">
        <v>1035</v>
      </c>
      <c r="D158" s="29" t="s">
        <v>1036</v>
      </c>
    </row>
    <row r="159" spans="1:4" x14ac:dyDescent="0.25">
      <c r="A159" s="14" t="s">
        <v>1407</v>
      </c>
      <c r="B159" s="10" t="s">
        <v>1408</v>
      </c>
      <c r="C159" s="26" t="s">
        <v>590</v>
      </c>
      <c r="D159" s="29" t="s">
        <v>591</v>
      </c>
    </row>
    <row r="160" spans="1:4" x14ac:dyDescent="0.25">
      <c r="A160" s="14" t="s">
        <v>1411</v>
      </c>
      <c r="B160" s="10" t="s">
        <v>1413</v>
      </c>
      <c r="C160" s="26" t="s">
        <v>1415</v>
      </c>
      <c r="D160" s="29" t="s">
        <v>514</v>
      </c>
    </row>
    <row r="161" spans="1:4" x14ac:dyDescent="0.25">
      <c r="A161" s="14" t="s">
        <v>1416</v>
      </c>
      <c r="B161" s="10" t="s">
        <v>1417</v>
      </c>
      <c r="C161" s="26" t="s">
        <v>1415</v>
      </c>
      <c r="D161" s="29" t="s">
        <v>514</v>
      </c>
    </row>
    <row r="162" spans="1:4" x14ac:dyDescent="0.25">
      <c r="A162" s="14" t="s">
        <v>1419</v>
      </c>
      <c r="B162" s="10" t="s">
        <v>1420</v>
      </c>
      <c r="C162" s="26" t="s">
        <v>1415</v>
      </c>
      <c r="D162" s="29" t="s">
        <v>514</v>
      </c>
    </row>
    <row r="163" spans="1:4" x14ac:dyDescent="0.25">
      <c r="A163" s="14" t="s">
        <v>1422</v>
      </c>
      <c r="B163" s="10" t="s">
        <v>1423</v>
      </c>
      <c r="C163" s="26" t="s">
        <v>1415</v>
      </c>
      <c r="D163" s="29" t="s">
        <v>514</v>
      </c>
    </row>
    <row r="164" spans="1:4" x14ac:dyDescent="0.25">
      <c r="A164" s="14" t="s">
        <v>1426</v>
      </c>
      <c r="B164" s="10" t="s">
        <v>1427</v>
      </c>
      <c r="C164" s="26" t="s">
        <v>1415</v>
      </c>
      <c r="D164" s="29" t="s">
        <v>514</v>
      </c>
    </row>
    <row r="165" spans="1:4" x14ac:dyDescent="0.25">
      <c r="A165" s="14" t="s">
        <v>1429</v>
      </c>
      <c r="B165" s="10" t="s">
        <v>1430</v>
      </c>
      <c r="C165" s="26" t="s">
        <v>1432</v>
      </c>
      <c r="D165" s="29" t="s">
        <v>1433</v>
      </c>
    </row>
    <row r="166" spans="1:4" x14ac:dyDescent="0.25">
      <c r="A166" s="14" t="s">
        <v>1436</v>
      </c>
      <c r="B166" s="10" t="s">
        <v>1438</v>
      </c>
      <c r="C166" s="26" t="s">
        <v>64</v>
      </c>
      <c r="D166" s="29" t="s">
        <v>65</v>
      </c>
    </row>
    <row r="167" spans="1:4" x14ac:dyDescent="0.25">
      <c r="A167" s="14" t="s">
        <v>1442</v>
      </c>
      <c r="B167" s="10" t="s">
        <v>1443</v>
      </c>
      <c r="C167" s="26" t="s">
        <v>1445</v>
      </c>
      <c r="D167" s="29" t="s">
        <v>1446</v>
      </c>
    </row>
    <row r="168" spans="1:4" x14ac:dyDescent="0.25">
      <c r="A168" s="14" t="s">
        <v>1449</v>
      </c>
      <c r="B168" s="10" t="s">
        <v>1450</v>
      </c>
      <c r="C168" s="26" t="s">
        <v>1075</v>
      </c>
      <c r="D168" s="29" t="s">
        <v>1076</v>
      </c>
    </row>
    <row r="169" spans="1:4" x14ac:dyDescent="0.25">
      <c r="A169" s="14" t="s">
        <v>1453</v>
      </c>
      <c r="B169" s="10" t="s">
        <v>1454</v>
      </c>
      <c r="C169" s="26" t="s">
        <v>1445</v>
      </c>
      <c r="D169" s="29" t="s">
        <v>1446</v>
      </c>
    </row>
    <row r="170" spans="1:4" x14ac:dyDescent="0.25">
      <c r="A170" s="14" t="s">
        <v>1456</v>
      </c>
      <c r="B170" s="10" t="s">
        <v>1457</v>
      </c>
      <c r="C170" s="26" t="s">
        <v>1211</v>
      </c>
      <c r="D170" s="29" t="s">
        <v>320</v>
      </c>
    </row>
    <row r="171" spans="1:4" x14ac:dyDescent="0.25">
      <c r="A171" s="14" t="s">
        <v>1460</v>
      </c>
      <c r="B171" s="10" t="s">
        <v>1461</v>
      </c>
      <c r="C171" s="26" t="s">
        <v>1075</v>
      </c>
      <c r="D171" s="29" t="s">
        <v>1076</v>
      </c>
    </row>
    <row r="172" spans="1:4" x14ac:dyDescent="0.25">
      <c r="A172" s="14" t="s">
        <v>1466</v>
      </c>
      <c r="B172" s="10" t="s">
        <v>1467</v>
      </c>
      <c r="C172" s="26" t="s">
        <v>1469</v>
      </c>
      <c r="D172" s="29" t="s">
        <v>1470</v>
      </c>
    </row>
    <row r="173" spans="1:4" x14ac:dyDescent="0.25">
      <c r="A173" s="14" t="s">
        <v>1473</v>
      </c>
      <c r="B173" s="10" t="s">
        <v>1474</v>
      </c>
      <c r="C173" s="26" t="s">
        <v>1477</v>
      </c>
      <c r="D173" s="29" t="s">
        <v>219</v>
      </c>
    </row>
    <row r="174" spans="1:4" x14ac:dyDescent="0.25">
      <c r="A174" s="14" t="s">
        <v>1479</v>
      </c>
      <c r="B174" s="10" t="s">
        <v>1480</v>
      </c>
      <c r="C174" s="26" t="s">
        <v>1445</v>
      </c>
      <c r="D174" s="29" t="s">
        <v>1446</v>
      </c>
    </row>
    <row r="175" spans="1:4" x14ac:dyDescent="0.25">
      <c r="A175" s="14" t="s">
        <v>1482</v>
      </c>
      <c r="B175" s="10" t="s">
        <v>1483</v>
      </c>
      <c r="C175" s="26" t="s">
        <v>1477</v>
      </c>
      <c r="D175" s="29" t="s">
        <v>219</v>
      </c>
    </row>
    <row r="176" spans="1:4" x14ac:dyDescent="0.25">
      <c r="A176" s="14" t="s">
        <v>1489</v>
      </c>
      <c r="B176" s="10" t="s">
        <v>1490</v>
      </c>
      <c r="C176" s="26" t="s">
        <v>1211</v>
      </c>
      <c r="D176" s="29" t="s">
        <v>320</v>
      </c>
    </row>
    <row r="177" spans="1:4" x14ac:dyDescent="0.25">
      <c r="A177" s="14" t="s">
        <v>1492</v>
      </c>
      <c r="B177" s="10" t="s">
        <v>1494</v>
      </c>
      <c r="C177" s="26" t="s">
        <v>590</v>
      </c>
      <c r="D177" s="29" t="s">
        <v>591</v>
      </c>
    </row>
    <row r="178" spans="1:4" x14ac:dyDescent="0.25">
      <c r="A178" s="14" t="s">
        <v>1497</v>
      </c>
      <c r="B178" s="10" t="s">
        <v>1498</v>
      </c>
      <c r="C178" s="26" t="s">
        <v>1075</v>
      </c>
      <c r="D178" s="29" t="s">
        <v>1076</v>
      </c>
    </row>
    <row r="179" spans="1:4" x14ac:dyDescent="0.25">
      <c r="A179" s="14" t="s">
        <v>1501</v>
      </c>
      <c r="B179" s="10" t="s">
        <v>1502</v>
      </c>
      <c r="C179" s="26" t="s">
        <v>1505</v>
      </c>
      <c r="D179" s="29" t="s">
        <v>423</v>
      </c>
    </row>
    <row r="180" spans="1:4" x14ac:dyDescent="0.25">
      <c r="A180" s="14" t="s">
        <v>1509</v>
      </c>
      <c r="B180" s="10" t="s">
        <v>1510</v>
      </c>
      <c r="C180" s="26" t="s">
        <v>590</v>
      </c>
      <c r="D180" s="29" t="s">
        <v>591</v>
      </c>
    </row>
    <row r="181" spans="1:4" x14ac:dyDescent="0.25">
      <c r="A181" s="14" t="s">
        <v>1514</v>
      </c>
      <c r="B181" s="10" t="s">
        <v>1515</v>
      </c>
      <c r="C181" s="26" t="s">
        <v>1075</v>
      </c>
      <c r="D181" s="29" t="s">
        <v>1076</v>
      </c>
    </row>
    <row r="182" spans="1:4" x14ac:dyDescent="0.25">
      <c r="A182" s="14" t="s">
        <v>1518</v>
      </c>
      <c r="B182" s="10" t="s">
        <v>1520</v>
      </c>
      <c r="C182" s="26" t="s">
        <v>761</v>
      </c>
      <c r="D182" s="29" t="s">
        <v>762</v>
      </c>
    </row>
    <row r="183" spans="1:4" x14ac:dyDescent="0.25">
      <c r="A183" s="14" t="s">
        <v>1525</v>
      </c>
      <c r="B183" s="10" t="s">
        <v>1502</v>
      </c>
      <c r="C183" s="26" t="s">
        <v>1505</v>
      </c>
      <c r="D183" s="29" t="s">
        <v>423</v>
      </c>
    </row>
    <row r="184" spans="1:4" x14ac:dyDescent="0.25">
      <c r="A184" s="14" t="s">
        <v>1528</v>
      </c>
      <c r="B184" s="10" t="s">
        <v>1529</v>
      </c>
      <c r="C184" s="26" t="s">
        <v>1075</v>
      </c>
      <c r="D184" s="29" t="s">
        <v>1076</v>
      </c>
    </row>
    <row r="185" spans="1:4" x14ac:dyDescent="0.25">
      <c r="A185" s="14" t="s">
        <v>1532</v>
      </c>
      <c r="B185" s="10" t="s">
        <v>1533</v>
      </c>
      <c r="C185" s="26" t="s">
        <v>761</v>
      </c>
      <c r="D185" s="29" t="s">
        <v>762</v>
      </c>
    </row>
    <row r="186" spans="1:4" x14ac:dyDescent="0.25">
      <c r="A186" s="14" t="s">
        <v>1539</v>
      </c>
      <c r="B186" s="10" t="s">
        <v>1540</v>
      </c>
      <c r="C186" s="26" t="s">
        <v>1211</v>
      </c>
      <c r="D186" s="29" t="s">
        <v>320</v>
      </c>
    </row>
    <row r="187" spans="1:4" x14ac:dyDescent="0.25">
      <c r="A187" s="14" t="s">
        <v>1542</v>
      </c>
      <c r="B187" s="10" t="s">
        <v>1543</v>
      </c>
      <c r="C187" s="26" t="s">
        <v>1075</v>
      </c>
      <c r="D187" s="29" t="s">
        <v>1076</v>
      </c>
    </row>
    <row r="188" spans="1:4" x14ac:dyDescent="0.25">
      <c r="A188" s="14" t="s">
        <v>1546</v>
      </c>
      <c r="B188" s="10" t="s">
        <v>1548</v>
      </c>
      <c r="C188" s="26" t="s">
        <v>761</v>
      </c>
      <c r="D188" s="29" t="s">
        <v>762</v>
      </c>
    </row>
    <row r="189" spans="1:4" x14ac:dyDescent="0.25">
      <c r="A189" s="14" t="s">
        <v>1551</v>
      </c>
      <c r="B189" s="10" t="s">
        <v>1553</v>
      </c>
      <c r="C189" s="26" t="s">
        <v>761</v>
      </c>
      <c r="D189" s="29" t="s">
        <v>762</v>
      </c>
    </row>
    <row r="190" spans="1:4" x14ac:dyDescent="0.25">
      <c r="A190" s="14" t="s">
        <v>1555</v>
      </c>
      <c r="B190" s="10" t="s">
        <v>1556</v>
      </c>
      <c r="C190" s="26" t="s">
        <v>1559</v>
      </c>
      <c r="D190" s="29" t="s">
        <v>1560</v>
      </c>
    </row>
    <row r="191" spans="1:4" x14ac:dyDescent="0.25">
      <c r="A191" s="14" t="s">
        <v>1563</v>
      </c>
      <c r="B191" s="10" t="s">
        <v>1404</v>
      </c>
      <c r="C191" s="26" t="s">
        <v>1035</v>
      </c>
      <c r="D191" s="29" t="s">
        <v>1036</v>
      </c>
    </row>
    <row r="192" spans="1:4" x14ac:dyDescent="0.25">
      <c r="A192" s="14" t="s">
        <v>1566</v>
      </c>
      <c r="B192" s="10" t="s">
        <v>1567</v>
      </c>
      <c r="C192" s="26" t="s">
        <v>1211</v>
      </c>
      <c r="D192" s="29" t="s">
        <v>320</v>
      </c>
    </row>
    <row r="193" spans="1:4" x14ac:dyDescent="0.25">
      <c r="A193" s="14" t="s">
        <v>1569</v>
      </c>
      <c r="B193" s="10" t="s">
        <v>1570</v>
      </c>
      <c r="C193" s="26" t="s">
        <v>1572</v>
      </c>
      <c r="D193" s="29" t="s">
        <v>1573</v>
      </c>
    </row>
    <row r="194" spans="1:4" x14ac:dyDescent="0.25">
      <c r="A194" s="14" t="s">
        <v>1585</v>
      </c>
      <c r="B194" s="10" t="s">
        <v>1587</v>
      </c>
      <c r="C194" s="26" t="s">
        <v>1572</v>
      </c>
      <c r="D194" s="29" t="s">
        <v>1573</v>
      </c>
    </row>
    <row r="195" spans="1:4" x14ac:dyDescent="0.25">
      <c r="A195" s="14" t="s">
        <v>1590</v>
      </c>
      <c r="B195" s="10" t="s">
        <v>1591</v>
      </c>
      <c r="C195" s="26" t="s">
        <v>761</v>
      </c>
      <c r="D195" s="29" t="s">
        <v>762</v>
      </c>
    </row>
    <row r="196" spans="1:4" x14ac:dyDescent="0.25">
      <c r="A196" s="14" t="s">
        <v>1600</v>
      </c>
      <c r="B196" s="10" t="s">
        <v>1601</v>
      </c>
      <c r="C196" s="26" t="s">
        <v>1572</v>
      </c>
      <c r="D196" s="29" t="s">
        <v>1573</v>
      </c>
    </row>
    <row r="197" spans="1:4" x14ac:dyDescent="0.25">
      <c r="A197" s="14" t="s">
        <v>1604</v>
      </c>
      <c r="B197" s="10" t="s">
        <v>1605</v>
      </c>
      <c r="C197" s="26" t="s">
        <v>1608</v>
      </c>
      <c r="D197" s="29" t="s">
        <v>361</v>
      </c>
    </row>
    <row r="198" spans="1:4" x14ac:dyDescent="0.25">
      <c r="A198" s="14" t="s">
        <v>1610</v>
      </c>
      <c r="B198" s="10" t="s">
        <v>1611</v>
      </c>
      <c r="C198" s="26" t="s">
        <v>1613</v>
      </c>
      <c r="D198" s="29" t="s">
        <v>1614</v>
      </c>
    </row>
    <row r="199" spans="1:4" x14ac:dyDescent="0.25">
      <c r="A199" s="14" t="s">
        <v>1620</v>
      </c>
      <c r="B199" s="10" t="s">
        <v>1621</v>
      </c>
      <c r="C199" s="26" t="s">
        <v>1608</v>
      </c>
      <c r="D199" s="29" t="s">
        <v>361</v>
      </c>
    </row>
    <row r="200" spans="1:4" x14ac:dyDescent="0.25">
      <c r="A200" s="14" t="s">
        <v>1626</v>
      </c>
      <c r="B200" s="10" t="s">
        <v>1627</v>
      </c>
      <c r="C200" s="26" t="s">
        <v>1572</v>
      </c>
      <c r="D200" s="29" t="s">
        <v>1573</v>
      </c>
    </row>
    <row r="201" spans="1:4" x14ac:dyDescent="0.25">
      <c r="A201" s="14" t="s">
        <v>1632</v>
      </c>
      <c r="B201" s="10" t="s">
        <v>1633</v>
      </c>
      <c r="C201" s="26" t="s">
        <v>934</v>
      </c>
      <c r="D201" s="29" t="s">
        <v>935</v>
      </c>
    </row>
    <row r="202" spans="1:4" x14ac:dyDescent="0.25">
      <c r="A202" s="14" t="s">
        <v>1637</v>
      </c>
      <c r="B202" s="10" t="s">
        <v>1177</v>
      </c>
      <c r="C202" s="26" t="s">
        <v>1180</v>
      </c>
      <c r="D202" s="29" t="s">
        <v>1181</v>
      </c>
    </row>
    <row r="203" spans="1:4" x14ac:dyDescent="0.25">
      <c r="A203" s="14" t="s">
        <v>1638</v>
      </c>
      <c r="B203" s="10" t="s">
        <v>1639</v>
      </c>
      <c r="C203" s="26" t="s">
        <v>1642</v>
      </c>
      <c r="D203" s="29" t="s">
        <v>1643</v>
      </c>
    </row>
    <row r="204" spans="1:4" x14ac:dyDescent="0.25">
      <c r="A204" s="14" t="s">
        <v>1667</v>
      </c>
      <c r="B204" s="10" t="s">
        <v>1668</v>
      </c>
      <c r="C204" s="26" t="s">
        <v>64</v>
      </c>
      <c r="D204" s="29" t="s">
        <v>65</v>
      </c>
    </row>
    <row r="205" spans="1:4" x14ac:dyDescent="0.25">
      <c r="A205" s="14" t="s">
        <v>1675</v>
      </c>
      <c r="B205" s="10" t="s">
        <v>1658</v>
      </c>
      <c r="C205" s="26" t="s">
        <v>1660</v>
      </c>
      <c r="D205" s="29" t="s">
        <v>1661</v>
      </c>
    </row>
    <row r="206" spans="1:4" x14ac:dyDescent="0.25">
      <c r="A206" s="14" t="s">
        <v>1679</v>
      </c>
      <c r="B206" s="10" t="s">
        <v>1680</v>
      </c>
      <c r="C206" s="26" t="s">
        <v>457</v>
      </c>
      <c r="D206" s="29" t="s">
        <v>1682</v>
      </c>
    </row>
    <row r="207" spans="1:4" x14ac:dyDescent="0.25">
      <c r="A207" s="14" t="s">
        <v>1684</v>
      </c>
      <c r="B207" s="10" t="s">
        <v>1685</v>
      </c>
      <c r="C207" s="26" t="s">
        <v>1642</v>
      </c>
      <c r="D207" s="29" t="s">
        <v>1643</v>
      </c>
    </row>
    <row r="208" spans="1:4" x14ac:dyDescent="0.25">
      <c r="A208" s="14" t="s">
        <v>1687</v>
      </c>
      <c r="B208" s="10" t="s">
        <v>1688</v>
      </c>
      <c r="C208" s="26" t="s">
        <v>1690</v>
      </c>
      <c r="D208" s="29" t="s">
        <v>865</v>
      </c>
    </row>
    <row r="209" spans="1:4" x14ac:dyDescent="0.25">
      <c r="A209" s="14" t="s">
        <v>1694</v>
      </c>
      <c r="B209" s="10" t="s">
        <v>1695</v>
      </c>
      <c r="C209" s="26" t="s">
        <v>414</v>
      </c>
      <c r="D209" s="29" t="s">
        <v>1697</v>
      </c>
    </row>
    <row r="210" spans="1:4" x14ac:dyDescent="0.25">
      <c r="A210" s="14" t="s">
        <v>1699</v>
      </c>
      <c r="B210" s="10" t="s">
        <v>1658</v>
      </c>
      <c r="C210" s="26" t="s">
        <v>1660</v>
      </c>
      <c r="D210" s="29" t="s">
        <v>1661</v>
      </c>
    </row>
    <row r="211" spans="1:4" x14ac:dyDescent="0.25">
      <c r="A211" s="14" t="s">
        <v>1700</v>
      </c>
      <c r="B211" s="10" t="s">
        <v>1701</v>
      </c>
      <c r="C211" s="26" t="s">
        <v>1704</v>
      </c>
      <c r="D211" s="29" t="s">
        <v>1705</v>
      </c>
    </row>
    <row r="212" spans="1:4" x14ac:dyDescent="0.25">
      <c r="A212" s="14" t="s">
        <v>1708</v>
      </c>
      <c r="B212" s="10" t="s">
        <v>1709</v>
      </c>
      <c r="C212" s="26" t="s">
        <v>958</v>
      </c>
      <c r="D212" s="29" t="s">
        <v>959</v>
      </c>
    </row>
    <row r="213" spans="1:4" x14ac:dyDescent="0.25">
      <c r="A213" s="14" t="s">
        <v>1712</v>
      </c>
      <c r="B213" s="10" t="s">
        <v>1713</v>
      </c>
      <c r="C213" s="26" t="s">
        <v>1572</v>
      </c>
      <c r="D213" s="29" t="s">
        <v>1573</v>
      </c>
    </row>
    <row r="214" spans="1:4" x14ac:dyDescent="0.25">
      <c r="A214" s="14" t="s">
        <v>1715</v>
      </c>
      <c r="B214" s="10" t="s">
        <v>1716</v>
      </c>
      <c r="C214" s="26" t="s">
        <v>958</v>
      </c>
      <c r="D214" s="29" t="s">
        <v>959</v>
      </c>
    </row>
    <row r="215" spans="1:4" x14ac:dyDescent="0.25">
      <c r="A215" s="14" t="s">
        <v>1718</v>
      </c>
      <c r="B215" s="10" t="s">
        <v>1719</v>
      </c>
      <c r="C215" s="26" t="s">
        <v>1723</v>
      </c>
      <c r="D215" s="29" t="s">
        <v>154</v>
      </c>
    </row>
    <row r="216" spans="1:4" x14ac:dyDescent="0.25">
      <c r="A216" s="14" t="s">
        <v>1725</v>
      </c>
      <c r="B216" s="10" t="s">
        <v>1726</v>
      </c>
      <c r="C216" s="26" t="s">
        <v>1211</v>
      </c>
      <c r="D216" s="29" t="s">
        <v>320</v>
      </c>
    </row>
    <row r="217" spans="1:4" x14ac:dyDescent="0.25">
      <c r="A217" s="14" t="s">
        <v>1728</v>
      </c>
      <c r="B217" s="10" t="s">
        <v>1729</v>
      </c>
      <c r="C217" s="26" t="s">
        <v>1211</v>
      </c>
      <c r="D217" s="29" t="s">
        <v>320</v>
      </c>
    </row>
    <row r="218" spans="1:4" x14ac:dyDescent="0.25">
      <c r="A218" s="14" t="s">
        <v>1731</v>
      </c>
      <c r="B218" s="10" t="s">
        <v>1732</v>
      </c>
      <c r="C218" s="26" t="s">
        <v>1572</v>
      </c>
      <c r="D218" s="29" t="s">
        <v>1573</v>
      </c>
    </row>
    <row r="219" spans="1:4" x14ac:dyDescent="0.25">
      <c r="A219" s="14" t="s">
        <v>1734</v>
      </c>
      <c r="B219" s="10" t="s">
        <v>1736</v>
      </c>
      <c r="C219" s="26" t="s">
        <v>624</v>
      </c>
      <c r="D219" s="29" t="s">
        <v>625</v>
      </c>
    </row>
    <row r="220" spans="1:4" x14ac:dyDescent="0.25">
      <c r="A220" s="14" t="s">
        <v>1738</v>
      </c>
      <c r="B220" s="10" t="s">
        <v>1739</v>
      </c>
      <c r="C220" s="26" t="s">
        <v>1723</v>
      </c>
      <c r="D220" s="29" t="s">
        <v>154</v>
      </c>
    </row>
    <row r="221" spans="1:4" x14ac:dyDescent="0.25">
      <c r="A221" s="14" t="s">
        <v>1741</v>
      </c>
      <c r="B221" s="10" t="s">
        <v>1742</v>
      </c>
      <c r="C221" s="26" t="s">
        <v>1744</v>
      </c>
      <c r="D221" s="29" t="s">
        <v>1745</v>
      </c>
    </row>
    <row r="222" spans="1:4" x14ac:dyDescent="0.25">
      <c r="A222" s="14" t="s">
        <v>1748</v>
      </c>
      <c r="B222" s="10" t="s">
        <v>1749</v>
      </c>
      <c r="C222" s="26" t="s">
        <v>1752</v>
      </c>
      <c r="D222" s="29" t="s">
        <v>1753</v>
      </c>
    </row>
    <row r="223" spans="1:4" x14ac:dyDescent="0.25">
      <c r="A223" s="14" t="s">
        <v>1756</v>
      </c>
      <c r="B223" s="10" t="s">
        <v>1757</v>
      </c>
      <c r="C223" s="26" t="s">
        <v>1759</v>
      </c>
      <c r="D223" s="29" t="s">
        <v>1760</v>
      </c>
    </row>
    <row r="224" spans="1:4" x14ac:dyDescent="0.25">
      <c r="A224" s="14" t="s">
        <v>1763</v>
      </c>
      <c r="B224" s="10" t="s">
        <v>1764</v>
      </c>
      <c r="C224" s="26" t="s">
        <v>1759</v>
      </c>
      <c r="D224" s="29" t="s">
        <v>1760</v>
      </c>
    </row>
    <row r="225" spans="1:4" x14ac:dyDescent="0.25">
      <c r="A225" s="14" t="s">
        <v>1767</v>
      </c>
      <c r="B225" s="10" t="s">
        <v>1768</v>
      </c>
      <c r="C225" s="26" t="s">
        <v>1642</v>
      </c>
      <c r="D225" s="29" t="s">
        <v>1643</v>
      </c>
    </row>
    <row r="226" spans="1:4" x14ac:dyDescent="0.25">
      <c r="A226" s="14" t="s">
        <v>1770</v>
      </c>
      <c r="B226" s="10" t="s">
        <v>1771</v>
      </c>
      <c r="C226" s="26" t="s">
        <v>1773</v>
      </c>
      <c r="D226" s="29" t="s">
        <v>1774</v>
      </c>
    </row>
    <row r="227" spans="1:4" x14ac:dyDescent="0.25">
      <c r="A227" s="14" t="s">
        <v>1777</v>
      </c>
      <c r="B227" s="10" t="s">
        <v>1778</v>
      </c>
      <c r="C227" s="26" t="s">
        <v>1744</v>
      </c>
      <c r="D227" s="29" t="s">
        <v>1745</v>
      </c>
    </row>
    <row r="228" spans="1:4" x14ac:dyDescent="0.25">
      <c r="A228" s="14" t="s">
        <v>1780</v>
      </c>
      <c r="B228" s="10" t="s">
        <v>1781</v>
      </c>
      <c r="C228" s="26" t="s">
        <v>1744</v>
      </c>
      <c r="D228" s="29" t="s">
        <v>1745</v>
      </c>
    </row>
    <row r="229" spans="1:4" x14ac:dyDescent="0.25">
      <c r="A229" s="14" t="s">
        <v>1783</v>
      </c>
      <c r="B229" s="10" t="s">
        <v>1784</v>
      </c>
      <c r="C229" s="26" t="s">
        <v>1773</v>
      </c>
      <c r="D229" s="29" t="s">
        <v>1774</v>
      </c>
    </row>
    <row r="230" spans="1:4" x14ac:dyDescent="0.25">
      <c r="A230" s="14" t="s">
        <v>1787</v>
      </c>
      <c r="B230" s="10" t="s">
        <v>1788</v>
      </c>
      <c r="C230" s="26" t="s">
        <v>1642</v>
      </c>
      <c r="D230" s="29" t="s">
        <v>1643</v>
      </c>
    </row>
    <row r="231" spans="1:4" x14ac:dyDescent="0.25">
      <c r="A231" s="14" t="s">
        <v>1790</v>
      </c>
      <c r="B231" s="10" t="s">
        <v>1791</v>
      </c>
      <c r="C231" s="26" t="s">
        <v>1773</v>
      </c>
      <c r="D231" s="29" t="s">
        <v>1774</v>
      </c>
    </row>
    <row r="232" spans="1:4" x14ac:dyDescent="0.25">
      <c r="A232" s="14" t="s">
        <v>1793</v>
      </c>
      <c r="B232" s="10" t="s">
        <v>1794</v>
      </c>
      <c r="C232" s="26" t="s">
        <v>1797</v>
      </c>
      <c r="D232" s="29" t="s">
        <v>1798</v>
      </c>
    </row>
    <row r="233" spans="1:4" x14ac:dyDescent="0.25">
      <c r="A233" s="14" t="s">
        <v>1802</v>
      </c>
      <c r="B233" s="10" t="s">
        <v>1803</v>
      </c>
      <c r="C233" s="26" t="s">
        <v>1805</v>
      </c>
      <c r="D233" s="29" t="s">
        <v>523</v>
      </c>
    </row>
    <row r="234" spans="1:4" x14ac:dyDescent="0.25">
      <c r="A234" s="14" t="s">
        <v>1807</v>
      </c>
      <c r="B234" s="10" t="s">
        <v>1808</v>
      </c>
      <c r="C234" s="26" t="s">
        <v>1752</v>
      </c>
      <c r="D234" s="29" t="s">
        <v>1753</v>
      </c>
    </row>
    <row r="235" spans="1:4" x14ac:dyDescent="0.25">
      <c r="A235" s="14" t="s">
        <v>1811</v>
      </c>
      <c r="B235" s="10" t="s">
        <v>1812</v>
      </c>
      <c r="C235" s="26" t="s">
        <v>1797</v>
      </c>
      <c r="D235" s="29" t="s">
        <v>1798</v>
      </c>
    </row>
    <row r="236" spans="1:4" x14ac:dyDescent="0.25">
      <c r="A236" s="14" t="s">
        <v>1815</v>
      </c>
      <c r="B236" s="10" t="s">
        <v>1816</v>
      </c>
      <c r="C236" s="26" t="s">
        <v>1642</v>
      </c>
      <c r="D236" s="29" t="s">
        <v>1643</v>
      </c>
    </row>
    <row r="237" spans="1:4" x14ac:dyDescent="0.25">
      <c r="A237" s="14" t="s">
        <v>1818</v>
      </c>
      <c r="B237" s="10" t="s">
        <v>1819</v>
      </c>
      <c r="C237" s="26" t="s">
        <v>1723</v>
      </c>
      <c r="D237" s="29" t="s">
        <v>154</v>
      </c>
    </row>
    <row r="238" spans="1:4" x14ac:dyDescent="0.25">
      <c r="A238" s="14" t="s">
        <v>1821</v>
      </c>
      <c r="B238" s="10" t="s">
        <v>1822</v>
      </c>
      <c r="C238" s="26" t="s">
        <v>1723</v>
      </c>
      <c r="D238" s="29" t="s">
        <v>154</v>
      </c>
    </row>
    <row r="239" spans="1:4" x14ac:dyDescent="0.25">
      <c r="A239" s="14" t="s">
        <v>1824</v>
      </c>
      <c r="B239" s="10" t="s">
        <v>1825</v>
      </c>
      <c r="C239" s="26" t="s">
        <v>1805</v>
      </c>
      <c r="D239" s="29" t="s">
        <v>523</v>
      </c>
    </row>
    <row r="240" spans="1:4" x14ac:dyDescent="0.25">
      <c r="A240" s="14" t="s">
        <v>1832</v>
      </c>
      <c r="B240" s="10" t="s">
        <v>1833</v>
      </c>
      <c r="C240" s="26" t="s">
        <v>1642</v>
      </c>
      <c r="D240" s="29" t="s">
        <v>1643</v>
      </c>
    </row>
    <row r="241" spans="1:4" x14ac:dyDescent="0.25">
      <c r="A241" s="14" t="s">
        <v>1835</v>
      </c>
      <c r="B241" s="10" t="s">
        <v>1836</v>
      </c>
      <c r="C241" s="26" t="s">
        <v>1642</v>
      </c>
      <c r="D241" s="29" t="s">
        <v>1643</v>
      </c>
    </row>
    <row r="242" spans="1:4" x14ac:dyDescent="0.25">
      <c r="A242" s="14" t="s">
        <v>1839</v>
      </c>
      <c r="B242" s="10" t="s">
        <v>1840</v>
      </c>
      <c r="C242" s="26" t="s">
        <v>1572</v>
      </c>
      <c r="D242" s="29" t="s">
        <v>1573</v>
      </c>
    </row>
    <row r="243" spans="1:4" x14ac:dyDescent="0.25">
      <c r="A243" s="14" t="s">
        <v>1842</v>
      </c>
      <c r="B243" s="10" t="s">
        <v>1843</v>
      </c>
      <c r="C243" s="26" t="s">
        <v>122</v>
      </c>
      <c r="D243" s="29" t="s">
        <v>544</v>
      </c>
    </row>
    <row r="244" spans="1:4" x14ac:dyDescent="0.25">
      <c r="A244" s="14" t="s">
        <v>1845</v>
      </c>
      <c r="B244" s="10" t="s">
        <v>1846</v>
      </c>
      <c r="C244" s="26" t="s">
        <v>1572</v>
      </c>
      <c r="D244" s="29" t="s">
        <v>1573</v>
      </c>
    </row>
    <row r="245" spans="1:4" x14ac:dyDescent="0.25">
      <c r="A245" s="14" t="s">
        <v>1848</v>
      </c>
      <c r="B245" s="10" t="s">
        <v>1849</v>
      </c>
      <c r="C245" s="26" t="s">
        <v>414</v>
      </c>
      <c r="D245" s="29" t="s">
        <v>1852</v>
      </c>
    </row>
    <row r="246" spans="1:4" x14ac:dyDescent="0.25">
      <c r="A246" s="14" t="s">
        <v>1853</v>
      </c>
      <c r="B246" s="10" t="s">
        <v>1854</v>
      </c>
      <c r="C246" s="26" t="s">
        <v>1445</v>
      </c>
      <c r="D246" s="29" t="s">
        <v>1446</v>
      </c>
    </row>
    <row r="247" spans="1:4" x14ac:dyDescent="0.25">
      <c r="A247" s="14" t="s">
        <v>1856</v>
      </c>
      <c r="B247" s="10" t="s">
        <v>1857</v>
      </c>
      <c r="C247" s="26" t="s">
        <v>761</v>
      </c>
      <c r="D247" s="29" t="s">
        <v>762</v>
      </c>
    </row>
    <row r="248" spans="1:4" x14ac:dyDescent="0.25">
      <c r="A248" s="14" t="s">
        <v>1860</v>
      </c>
      <c r="B248" s="10" t="s">
        <v>1861</v>
      </c>
      <c r="C248" s="26" t="s">
        <v>1797</v>
      </c>
      <c r="D248" s="29" t="s">
        <v>1798</v>
      </c>
    </row>
    <row r="249" spans="1:4" x14ac:dyDescent="0.25">
      <c r="A249" s="14" t="s">
        <v>1865</v>
      </c>
      <c r="B249" s="10" t="s">
        <v>1866</v>
      </c>
      <c r="C249" s="26" t="s">
        <v>1868</v>
      </c>
      <c r="D249" s="29" t="s">
        <v>1869</v>
      </c>
    </row>
    <row r="250" spans="1:4" x14ac:dyDescent="0.25">
      <c r="A250" s="14" t="s">
        <v>1872</v>
      </c>
      <c r="B250" s="10" t="s">
        <v>1873</v>
      </c>
      <c r="C250" s="26" t="s">
        <v>1875</v>
      </c>
      <c r="D250" s="29" t="s">
        <v>1876</v>
      </c>
    </row>
    <row r="251" spans="1:4" x14ac:dyDescent="0.25">
      <c r="A251" s="14" t="s">
        <v>1879</v>
      </c>
      <c r="B251" s="10" t="s">
        <v>1880</v>
      </c>
      <c r="C251" s="26" t="s">
        <v>768</v>
      </c>
      <c r="D251" s="29" t="s">
        <v>966</v>
      </c>
    </row>
    <row r="252" spans="1:4" x14ac:dyDescent="0.25">
      <c r="A252" s="14" t="s">
        <v>1883</v>
      </c>
      <c r="B252" s="10" t="s">
        <v>1884</v>
      </c>
      <c r="C252" s="26" t="s">
        <v>1759</v>
      </c>
      <c r="D252" s="29" t="s">
        <v>1760</v>
      </c>
    </row>
    <row r="253" spans="1:4" x14ac:dyDescent="0.25">
      <c r="A253" s="14" t="s">
        <v>1890</v>
      </c>
      <c r="B253" s="10" t="s">
        <v>1891</v>
      </c>
      <c r="C253" s="26" t="s">
        <v>1893</v>
      </c>
      <c r="D253" s="29" t="s">
        <v>1894</v>
      </c>
    </row>
    <row r="254" spans="1:4" x14ac:dyDescent="0.25">
      <c r="A254" s="14" t="s">
        <v>1897</v>
      </c>
      <c r="B254" s="10" t="s">
        <v>1898</v>
      </c>
      <c r="C254" s="26" t="s">
        <v>1797</v>
      </c>
      <c r="D254" s="29" t="s">
        <v>1798</v>
      </c>
    </row>
    <row r="255" spans="1:4" x14ac:dyDescent="0.25">
      <c r="A255" s="14" t="s">
        <v>1901</v>
      </c>
      <c r="B255" s="10" t="s">
        <v>1903</v>
      </c>
      <c r="C255" s="26" t="s">
        <v>761</v>
      </c>
      <c r="D255" s="29" t="s">
        <v>762</v>
      </c>
    </row>
    <row r="256" spans="1:4" x14ac:dyDescent="0.25">
      <c r="A256" s="14" t="s">
        <v>1908</v>
      </c>
      <c r="B256" s="10" t="s">
        <v>1909</v>
      </c>
      <c r="C256" s="26" t="s">
        <v>1797</v>
      </c>
      <c r="D256" s="29" t="s">
        <v>1798</v>
      </c>
    </row>
    <row r="257" spans="1:4" x14ac:dyDescent="0.25">
      <c r="A257" s="14" t="s">
        <v>1911</v>
      </c>
      <c r="B257" s="10" t="s">
        <v>1912</v>
      </c>
      <c r="C257" s="26" t="s">
        <v>1893</v>
      </c>
      <c r="D257" s="29" t="s">
        <v>1894</v>
      </c>
    </row>
    <row r="258" spans="1:4" x14ac:dyDescent="0.25">
      <c r="A258" s="14" t="s">
        <v>1914</v>
      </c>
      <c r="B258" s="10" t="s">
        <v>1916</v>
      </c>
      <c r="C258" s="26" t="s">
        <v>1445</v>
      </c>
      <c r="D258" s="29" t="s">
        <v>1446</v>
      </c>
    </row>
    <row r="259" spans="1:4" x14ac:dyDescent="0.25">
      <c r="A259" s="14" t="s">
        <v>1921</v>
      </c>
      <c r="B259" s="10" t="s">
        <v>1922</v>
      </c>
      <c r="C259" s="26" t="s">
        <v>1924</v>
      </c>
      <c r="D259" s="29" t="s">
        <v>1869</v>
      </c>
    </row>
    <row r="260" spans="1:4" x14ac:dyDescent="0.25">
      <c r="A260" s="14" t="s">
        <v>1927</v>
      </c>
      <c r="B260" s="10" t="s">
        <v>1928</v>
      </c>
      <c r="C260" s="26" t="s">
        <v>1931</v>
      </c>
      <c r="D260" s="29" t="s">
        <v>1932</v>
      </c>
    </row>
    <row r="261" spans="1:4" x14ac:dyDescent="0.25">
      <c r="A261" s="14" t="s">
        <v>1942</v>
      </c>
      <c r="B261" s="10" t="s">
        <v>1943</v>
      </c>
      <c r="C261" s="26" t="s">
        <v>761</v>
      </c>
      <c r="D261" s="29" t="s">
        <v>762</v>
      </c>
    </row>
    <row r="262" spans="1:4" x14ac:dyDescent="0.25">
      <c r="A262" s="14" t="s">
        <v>1948</v>
      </c>
      <c r="B262" s="10" t="s">
        <v>1949</v>
      </c>
      <c r="C262" s="26" t="s">
        <v>414</v>
      </c>
      <c r="D262" s="29" t="s">
        <v>1852</v>
      </c>
    </row>
    <row r="263" spans="1:4" x14ac:dyDescent="0.25">
      <c r="A263" s="14" t="s">
        <v>1951</v>
      </c>
      <c r="B263" s="10" t="s">
        <v>1952</v>
      </c>
      <c r="C263" s="26" t="s">
        <v>761</v>
      </c>
      <c r="D263" s="29" t="s">
        <v>762</v>
      </c>
    </row>
    <row r="264" spans="1:4" x14ac:dyDescent="0.25">
      <c r="A264" s="14" t="s">
        <v>1955</v>
      </c>
      <c r="B264" s="10" t="s">
        <v>1956</v>
      </c>
      <c r="C264" s="26" t="s">
        <v>414</v>
      </c>
      <c r="D264" s="29" t="s">
        <v>1852</v>
      </c>
    </row>
    <row r="265" spans="1:4" x14ac:dyDescent="0.25">
      <c r="A265" s="14" t="s">
        <v>1960</v>
      </c>
      <c r="B265" s="10" t="s">
        <v>1961</v>
      </c>
      <c r="C265" s="26" t="s">
        <v>1963</v>
      </c>
      <c r="D265" s="29" t="s">
        <v>1964</v>
      </c>
    </row>
    <row r="266" spans="1:4" x14ac:dyDescent="0.25">
      <c r="A266" s="14" t="s">
        <v>1976</v>
      </c>
      <c r="B266" s="10" t="s">
        <v>1977</v>
      </c>
      <c r="C266" s="26" t="s">
        <v>1660</v>
      </c>
      <c r="D266" s="29" t="s">
        <v>1980</v>
      </c>
    </row>
    <row r="267" spans="1:4" x14ac:dyDescent="0.25">
      <c r="A267" s="14" t="s">
        <v>1981</v>
      </c>
      <c r="B267" s="10" t="s">
        <v>1982</v>
      </c>
      <c r="C267" s="26" t="s">
        <v>1985</v>
      </c>
      <c r="D267" s="29" t="s">
        <v>1986</v>
      </c>
    </row>
    <row r="268" spans="1:4" x14ac:dyDescent="0.25">
      <c r="A268" s="14" t="s">
        <v>1990</v>
      </c>
      <c r="B268" s="10" t="s">
        <v>1991</v>
      </c>
      <c r="C268" s="26" t="s">
        <v>414</v>
      </c>
      <c r="D268" s="29" t="s">
        <v>1852</v>
      </c>
    </row>
    <row r="269" spans="1:4" x14ac:dyDescent="0.25">
      <c r="A269" s="14" t="s">
        <v>1993</v>
      </c>
      <c r="B269" s="10" t="s">
        <v>1994</v>
      </c>
      <c r="C269" s="26" t="s">
        <v>414</v>
      </c>
      <c r="D269" s="29" t="s">
        <v>1996</v>
      </c>
    </row>
    <row r="270" spans="1:4" x14ac:dyDescent="0.25">
      <c r="A270" s="14" t="s">
        <v>1997</v>
      </c>
      <c r="B270" s="10" t="s">
        <v>1998</v>
      </c>
      <c r="C270" s="26" t="s">
        <v>1985</v>
      </c>
      <c r="D270" s="29" t="s">
        <v>1986</v>
      </c>
    </row>
    <row r="271" spans="1:4" x14ac:dyDescent="0.25">
      <c r="A271" s="14" t="s">
        <v>2000</v>
      </c>
      <c r="B271" s="10" t="s">
        <v>2001</v>
      </c>
      <c r="C271" s="26" t="s">
        <v>1985</v>
      </c>
      <c r="D271" s="29" t="s">
        <v>1986</v>
      </c>
    </row>
    <row r="272" spans="1:4" x14ac:dyDescent="0.25">
      <c r="A272" s="14" t="s">
        <v>2005</v>
      </c>
      <c r="B272" s="10" t="s">
        <v>2006</v>
      </c>
      <c r="C272" s="26" t="s">
        <v>1469</v>
      </c>
      <c r="D272" s="29" t="s">
        <v>2008</v>
      </c>
    </row>
    <row r="273" spans="1:4" x14ac:dyDescent="0.25">
      <c r="A273" s="14" t="s">
        <v>2011</v>
      </c>
      <c r="B273" s="10" t="s">
        <v>2012</v>
      </c>
      <c r="C273" s="26" t="s">
        <v>1985</v>
      </c>
      <c r="D273" s="29" t="s">
        <v>1986</v>
      </c>
    </row>
    <row r="274" spans="1:4" x14ac:dyDescent="0.25">
      <c r="A274" s="14" t="s">
        <v>2016</v>
      </c>
      <c r="B274" s="10" t="s">
        <v>2017</v>
      </c>
      <c r="C274" s="26" t="s">
        <v>1963</v>
      </c>
      <c r="D274" s="29" t="s">
        <v>1964</v>
      </c>
    </row>
    <row r="275" spans="1:4" x14ac:dyDescent="0.25">
      <c r="A275" s="14" t="s">
        <v>2020</v>
      </c>
      <c r="B275" s="10" t="s">
        <v>2021</v>
      </c>
      <c r="C275" s="26" t="s">
        <v>1985</v>
      </c>
      <c r="D275" s="29" t="s">
        <v>1986</v>
      </c>
    </row>
    <row r="276" spans="1:4" x14ac:dyDescent="0.25">
      <c r="A276" s="14" t="s">
        <v>2024</v>
      </c>
      <c r="B276" s="10" t="s">
        <v>2025</v>
      </c>
      <c r="C276" s="26" t="s">
        <v>1985</v>
      </c>
      <c r="D276" s="29" t="s">
        <v>1986</v>
      </c>
    </row>
    <row r="277" spans="1:4" x14ac:dyDescent="0.25">
      <c r="A277" s="14" t="s">
        <v>2041</v>
      </c>
      <c r="B277" s="10" t="s">
        <v>2042</v>
      </c>
      <c r="C277" s="26" t="s">
        <v>657</v>
      </c>
      <c r="D277" s="29" t="s">
        <v>658</v>
      </c>
    </row>
    <row r="278" spans="1:4" x14ac:dyDescent="0.25">
      <c r="A278" s="14" t="s">
        <v>2047</v>
      </c>
      <c r="B278" s="10" t="s">
        <v>2048</v>
      </c>
      <c r="C278" s="26" t="s">
        <v>2051</v>
      </c>
      <c r="D278" s="29" t="s">
        <v>2052</v>
      </c>
    </row>
    <row r="279" spans="1:4" x14ac:dyDescent="0.25">
      <c r="A279" s="14" t="s">
        <v>2056</v>
      </c>
      <c r="B279" s="10" t="s">
        <v>2057</v>
      </c>
      <c r="C279" s="26" t="s">
        <v>1642</v>
      </c>
      <c r="D279" s="29" t="s">
        <v>1643</v>
      </c>
    </row>
    <row r="280" spans="1:4" x14ac:dyDescent="0.25">
      <c r="A280" s="14" t="s">
        <v>2067</v>
      </c>
      <c r="B280" s="10" t="s">
        <v>2068</v>
      </c>
      <c r="C280" s="26" t="s">
        <v>590</v>
      </c>
      <c r="D280" s="29" t="s">
        <v>591</v>
      </c>
    </row>
    <row r="281" spans="1:4" x14ac:dyDescent="0.25">
      <c r="A281" s="14" t="s">
        <v>2070</v>
      </c>
      <c r="B281" s="10" t="s">
        <v>2071</v>
      </c>
      <c r="C281" s="26" t="s">
        <v>1642</v>
      </c>
      <c r="D281" s="29" t="s">
        <v>1643</v>
      </c>
    </row>
    <row r="282" spans="1:4" x14ac:dyDescent="0.25">
      <c r="A282" s="14" t="s">
        <v>2074</v>
      </c>
      <c r="B282" s="10" t="s">
        <v>788</v>
      </c>
      <c r="C282" s="26" t="s">
        <v>2076</v>
      </c>
      <c r="D282" s="29" t="s">
        <v>2077</v>
      </c>
    </row>
    <row r="283" spans="1:4" x14ac:dyDescent="0.25">
      <c r="A283" s="14" t="s">
        <v>2083</v>
      </c>
      <c r="B283" s="10" t="s">
        <v>1916</v>
      </c>
      <c r="C283" s="26" t="s">
        <v>1445</v>
      </c>
      <c r="D283" s="29" t="s">
        <v>1446</v>
      </c>
    </row>
    <row r="284" spans="1:4" x14ac:dyDescent="0.25">
      <c r="A284" s="14" t="s">
        <v>2089</v>
      </c>
      <c r="B284" s="10" t="s">
        <v>2090</v>
      </c>
      <c r="C284" s="26" t="s">
        <v>761</v>
      </c>
      <c r="D284" s="29" t="s">
        <v>762</v>
      </c>
    </row>
    <row r="285" spans="1:4" x14ac:dyDescent="0.25">
      <c r="A285" s="14" t="s">
        <v>2097</v>
      </c>
      <c r="B285" s="10" t="s">
        <v>2098</v>
      </c>
      <c r="C285" s="26" t="s">
        <v>590</v>
      </c>
      <c r="D285" s="29" t="s">
        <v>591</v>
      </c>
    </row>
    <row r="286" spans="1:4" x14ac:dyDescent="0.25">
      <c r="A286" s="14" t="s">
        <v>2107</v>
      </c>
      <c r="B286" s="10" t="s">
        <v>2108</v>
      </c>
      <c r="C286" s="26" t="s">
        <v>761</v>
      </c>
      <c r="D286" s="29" t="s">
        <v>762</v>
      </c>
    </row>
    <row r="287" spans="1:4" x14ac:dyDescent="0.25">
      <c r="A287" s="14" t="s">
        <v>2115</v>
      </c>
      <c r="B287" s="10" t="s">
        <v>2116</v>
      </c>
      <c r="C287" s="26" t="s">
        <v>761</v>
      </c>
      <c r="D287" s="29" t="s">
        <v>762</v>
      </c>
    </row>
    <row r="288" spans="1:4" x14ac:dyDescent="0.25">
      <c r="A288" s="14" t="s">
        <v>2121</v>
      </c>
      <c r="B288" s="10" t="s">
        <v>2122</v>
      </c>
      <c r="C288" s="26" t="s">
        <v>2124</v>
      </c>
      <c r="D288" s="29" t="s">
        <v>1217</v>
      </c>
    </row>
    <row r="289" spans="1:4" x14ac:dyDescent="0.25">
      <c r="A289" s="14" t="s">
        <v>2144</v>
      </c>
      <c r="B289" s="10" t="s">
        <v>2145</v>
      </c>
      <c r="C289" s="26" t="s">
        <v>64</v>
      </c>
      <c r="D289" s="29" t="s">
        <v>65</v>
      </c>
    </row>
    <row r="290" spans="1:4" x14ac:dyDescent="0.25">
      <c r="A290" s="14" t="s">
        <v>2149</v>
      </c>
      <c r="B290" s="10" t="s">
        <v>2150</v>
      </c>
      <c r="C290" s="26" t="s">
        <v>2152</v>
      </c>
      <c r="D290" s="29" t="s">
        <v>2153</v>
      </c>
    </row>
    <row r="291" spans="1:4" x14ac:dyDescent="0.25">
      <c r="A291" s="14" t="s">
        <v>2156</v>
      </c>
      <c r="B291" s="10" t="s">
        <v>2157</v>
      </c>
      <c r="C291" s="26" t="s">
        <v>395</v>
      </c>
      <c r="D291" s="29" t="s">
        <v>1217</v>
      </c>
    </row>
    <row r="292" spans="1:4" x14ac:dyDescent="0.25">
      <c r="A292" s="14" t="s">
        <v>2166</v>
      </c>
      <c r="B292" s="10" t="s">
        <v>2167</v>
      </c>
      <c r="C292" s="26" t="s">
        <v>64</v>
      </c>
      <c r="D292" s="29" t="s">
        <v>65</v>
      </c>
    </row>
    <row r="293" spans="1:4" x14ac:dyDescent="0.25">
      <c r="A293" s="14" t="s">
        <v>2169</v>
      </c>
      <c r="B293" s="10" t="s">
        <v>2170</v>
      </c>
      <c r="C293" s="26" t="s">
        <v>2171</v>
      </c>
      <c r="D293" s="29" t="s">
        <v>2172</v>
      </c>
    </row>
    <row r="294" spans="1:4" x14ac:dyDescent="0.25">
      <c r="A294" s="14" t="s">
        <v>2174</v>
      </c>
      <c r="B294" s="10" t="s">
        <v>2175</v>
      </c>
      <c r="C294" s="26" t="s">
        <v>1893</v>
      </c>
      <c r="D294" s="29" t="s">
        <v>2177</v>
      </c>
    </row>
    <row r="295" spans="1:4" x14ac:dyDescent="0.25">
      <c r="A295" s="14" t="s">
        <v>2178</v>
      </c>
      <c r="B295" s="10" t="s">
        <v>2179</v>
      </c>
      <c r="C295" s="26" t="s">
        <v>950</v>
      </c>
      <c r="D295" s="29" t="s">
        <v>951</v>
      </c>
    </row>
    <row r="296" spans="1:4" x14ac:dyDescent="0.25">
      <c r="A296" s="14" t="s">
        <v>2183</v>
      </c>
      <c r="B296" s="10" t="s">
        <v>2184</v>
      </c>
      <c r="C296" s="26" t="s">
        <v>761</v>
      </c>
      <c r="D296" s="29" t="s">
        <v>762</v>
      </c>
    </row>
    <row r="297" spans="1:4" x14ac:dyDescent="0.25">
      <c r="A297" s="14" t="s">
        <v>251</v>
      </c>
      <c r="B297" s="10" t="s">
        <v>253</v>
      </c>
      <c r="C297" s="26" t="s">
        <v>257</v>
      </c>
      <c r="D297" s="29" t="s">
        <v>258</v>
      </c>
    </row>
    <row r="298" spans="1:4" x14ac:dyDescent="0.25">
      <c r="A298" s="14" t="s">
        <v>568</v>
      </c>
      <c r="B298" s="10" t="s">
        <v>570</v>
      </c>
      <c r="C298" s="26" t="s">
        <v>573</v>
      </c>
      <c r="D298" s="29" t="s">
        <v>574</v>
      </c>
    </row>
    <row r="299" spans="1:4" x14ac:dyDescent="0.25">
      <c r="A299" s="14" t="s">
        <v>1369</v>
      </c>
      <c r="B299" s="10" t="s">
        <v>1370</v>
      </c>
      <c r="C299" s="26" t="s">
        <v>1299</v>
      </c>
      <c r="D299" s="29" t="s">
        <v>1300</v>
      </c>
    </row>
    <row r="300" spans="1:4" x14ac:dyDescent="0.25">
      <c r="A300" s="14" t="s">
        <v>1385</v>
      </c>
      <c r="B300" s="10" t="s">
        <v>1386</v>
      </c>
      <c r="C300" s="26" t="s">
        <v>1299</v>
      </c>
      <c r="D300" s="29" t="s">
        <v>1300</v>
      </c>
    </row>
    <row r="301" spans="1:4" x14ac:dyDescent="0.25">
      <c r="A301" s="14" t="s">
        <v>1387</v>
      </c>
      <c r="B301" s="10" t="s">
        <v>1388</v>
      </c>
      <c r="C301" s="26" t="s">
        <v>1299</v>
      </c>
      <c r="D301" s="29" t="s">
        <v>1300</v>
      </c>
    </row>
    <row r="302" spans="1:4" x14ac:dyDescent="0.25">
      <c r="A302" s="14" t="s">
        <v>1393</v>
      </c>
      <c r="B302" s="10" t="s">
        <v>1394</v>
      </c>
      <c r="C302" s="26" t="s">
        <v>1299</v>
      </c>
      <c r="D302" s="29" t="s">
        <v>1300</v>
      </c>
    </row>
    <row r="303" spans="1:4" x14ac:dyDescent="0.25">
      <c r="A303" s="14" t="s">
        <v>1398</v>
      </c>
      <c r="B303" s="10" t="s">
        <v>1399</v>
      </c>
      <c r="C303" s="26" t="s">
        <v>1299</v>
      </c>
      <c r="D303" s="29" t="s">
        <v>1300</v>
      </c>
    </row>
    <row r="304" spans="1:4" x14ac:dyDescent="0.25">
      <c r="A304" s="14" t="s">
        <v>1464</v>
      </c>
      <c r="B304" s="10" t="s">
        <v>1465</v>
      </c>
      <c r="C304" s="26" t="s">
        <v>1075</v>
      </c>
      <c r="D304" s="29" t="s">
        <v>1076</v>
      </c>
    </row>
    <row r="305" spans="1:4" x14ac:dyDescent="0.25">
      <c r="A305" s="14" t="s">
        <v>1485</v>
      </c>
      <c r="B305" s="10" t="s">
        <v>1486</v>
      </c>
      <c r="C305" s="26" t="s">
        <v>1211</v>
      </c>
      <c r="D305" s="29" t="s">
        <v>320</v>
      </c>
    </row>
    <row r="306" spans="1:4" x14ac:dyDescent="0.25">
      <c r="A306" s="14" t="s">
        <v>1624</v>
      </c>
      <c r="B306" s="10" t="s">
        <v>1621</v>
      </c>
      <c r="C306" s="26" t="s">
        <v>1608</v>
      </c>
      <c r="D306" s="29" t="s">
        <v>361</v>
      </c>
    </row>
    <row r="307" spans="1:4" x14ac:dyDescent="0.25">
      <c r="A307" s="14" t="s">
        <v>1673</v>
      </c>
      <c r="B307" s="10" t="s">
        <v>1674</v>
      </c>
      <c r="C307" s="26" t="s">
        <v>1299</v>
      </c>
      <c r="D307" s="29" t="s">
        <v>1300</v>
      </c>
    </row>
    <row r="308" spans="1:4" x14ac:dyDescent="0.25">
      <c r="A308" s="14" t="s">
        <v>2037</v>
      </c>
      <c r="B308" s="10" t="s">
        <v>1658</v>
      </c>
      <c r="C308" s="26" t="s">
        <v>2039</v>
      </c>
      <c r="D308" s="29" t="s">
        <v>1661</v>
      </c>
    </row>
    <row r="309" spans="1:4" x14ac:dyDescent="0.25">
      <c r="A309" s="14" t="s">
        <v>2063</v>
      </c>
      <c r="B309" s="10" t="s">
        <v>2064</v>
      </c>
      <c r="C309" s="26" t="s">
        <v>768</v>
      </c>
      <c r="D309" s="29" t="s">
        <v>966</v>
      </c>
    </row>
    <row r="310" spans="1:4" x14ac:dyDescent="0.25">
      <c r="A310" s="14" t="s">
        <v>2102</v>
      </c>
      <c r="B310" s="10" t="s">
        <v>2103</v>
      </c>
      <c r="C310" s="26" t="s">
        <v>1759</v>
      </c>
      <c r="D310" s="29" t="s">
        <v>1760</v>
      </c>
    </row>
    <row r="311" spans="1:4" x14ac:dyDescent="0.25">
      <c r="A311" s="14" t="s">
        <v>2140</v>
      </c>
      <c r="B311" s="10" t="s">
        <v>2141</v>
      </c>
      <c r="C311" s="26" t="s">
        <v>768</v>
      </c>
      <c r="D311" s="29" t="s">
        <v>966</v>
      </c>
    </row>
    <row r="312" spans="1:4" x14ac:dyDescent="0.25">
      <c r="A312" s="14" t="s">
        <v>1239</v>
      </c>
      <c r="B312" s="10" t="s">
        <v>1241</v>
      </c>
      <c r="C312" s="26" t="s">
        <v>122</v>
      </c>
      <c r="D312" s="29" t="s">
        <v>544</v>
      </c>
    </row>
    <row r="313" spans="1:4" x14ac:dyDescent="0.25">
      <c r="A313" s="14" t="s">
        <v>1289</v>
      </c>
      <c r="B313" s="10" t="s">
        <v>1291</v>
      </c>
      <c r="C313" s="26" t="s">
        <v>768</v>
      </c>
      <c r="D313" s="29" t="s">
        <v>386</v>
      </c>
    </row>
    <row r="314" spans="1:4" x14ac:dyDescent="0.25">
      <c r="A314" s="14" t="s">
        <v>1295</v>
      </c>
      <c r="B314" s="10" t="s">
        <v>1297</v>
      </c>
      <c r="C314" s="26" t="s">
        <v>1299</v>
      </c>
      <c r="D314" s="29" t="s">
        <v>1300</v>
      </c>
    </row>
    <row r="315" spans="1:4" x14ac:dyDescent="0.25">
      <c r="A315" s="14" t="s">
        <v>1349</v>
      </c>
      <c r="B315" s="10" t="s">
        <v>1350</v>
      </c>
      <c r="C315" s="26" t="s">
        <v>1299</v>
      </c>
      <c r="D315" s="29" t="s">
        <v>1300</v>
      </c>
    </row>
    <row r="316" spans="1:4" x14ac:dyDescent="0.25">
      <c r="A316" s="14" t="s">
        <v>1352</v>
      </c>
      <c r="B316" s="10" t="s">
        <v>1353</v>
      </c>
      <c r="C316" s="26" t="s">
        <v>1299</v>
      </c>
      <c r="D316" s="29" t="s">
        <v>1300</v>
      </c>
    </row>
    <row r="317" spans="1:4" x14ac:dyDescent="0.25">
      <c r="A317" s="14" t="s">
        <v>1339</v>
      </c>
      <c r="B317" s="10" t="s">
        <v>1340</v>
      </c>
      <c r="C317" s="26" t="s">
        <v>1342</v>
      </c>
      <c r="D317" s="29" t="s">
        <v>1343</v>
      </c>
    </row>
    <row r="318" spans="1:4" x14ac:dyDescent="0.25">
      <c r="A318" s="14" t="s">
        <v>1371</v>
      </c>
      <c r="B318" s="10" t="s">
        <v>1373</v>
      </c>
      <c r="C318" s="26" t="s">
        <v>1200</v>
      </c>
      <c r="D318" s="29" t="s">
        <v>514</v>
      </c>
    </row>
    <row r="319" spans="1:4" x14ac:dyDescent="0.25">
      <c r="A319" s="14" t="s">
        <v>1376</v>
      </c>
      <c r="B319" s="10" t="s">
        <v>1377</v>
      </c>
      <c r="C319" s="26" t="s">
        <v>1200</v>
      </c>
      <c r="D319" s="29" t="s">
        <v>514</v>
      </c>
    </row>
    <row r="320" spans="1:4" x14ac:dyDescent="0.25">
      <c r="A320" s="14" t="s">
        <v>1379</v>
      </c>
      <c r="B320" s="10" t="s">
        <v>1380</v>
      </c>
      <c r="C320" s="26" t="s">
        <v>1200</v>
      </c>
      <c r="D320" s="29" t="s">
        <v>514</v>
      </c>
    </row>
    <row r="321" spans="1:4" x14ac:dyDescent="0.25">
      <c r="A321" s="14" t="s">
        <v>1389</v>
      </c>
      <c r="B321" s="10" t="s">
        <v>1390</v>
      </c>
      <c r="C321" s="26" t="s">
        <v>1342</v>
      </c>
      <c r="D321" s="29" t="s">
        <v>1392</v>
      </c>
    </row>
    <row r="322" spans="1:4" x14ac:dyDescent="0.25">
      <c r="A322" s="14" t="s">
        <v>1887</v>
      </c>
      <c r="B322" s="10" t="s">
        <v>1888</v>
      </c>
      <c r="C322" s="26" t="s">
        <v>1200</v>
      </c>
      <c r="D322" s="29" t="s">
        <v>514</v>
      </c>
    </row>
    <row r="323" spans="1:4" x14ac:dyDescent="0.25">
      <c r="A323" s="14" t="s">
        <v>1305</v>
      </c>
      <c r="B323" s="10" t="s">
        <v>1306</v>
      </c>
      <c r="C323" s="26" t="s">
        <v>624</v>
      </c>
      <c r="D323" s="29" t="s">
        <v>625</v>
      </c>
    </row>
    <row r="324" spans="1:4" x14ac:dyDescent="0.25">
      <c r="A324" s="14" t="s">
        <v>1308</v>
      </c>
      <c r="B324" s="10" t="s">
        <v>1309</v>
      </c>
      <c r="C324" s="26" t="s">
        <v>624</v>
      </c>
      <c r="D324" s="29" t="s">
        <v>625</v>
      </c>
    </row>
    <row r="325" spans="1:4" x14ac:dyDescent="0.25">
      <c r="A325" s="14" t="s">
        <v>1311</v>
      </c>
      <c r="B325" s="10" t="s">
        <v>1313</v>
      </c>
      <c r="C325" s="26" t="s">
        <v>1315</v>
      </c>
      <c r="D325" s="29" t="s">
        <v>1316</v>
      </c>
    </row>
    <row r="326" spans="1:4" x14ac:dyDescent="0.25">
      <c r="A326" s="14" t="s">
        <v>1319</v>
      </c>
      <c r="B326" s="10" t="s">
        <v>1320</v>
      </c>
      <c r="C326" s="26" t="s">
        <v>624</v>
      </c>
      <c r="D326" s="29" t="s">
        <v>625</v>
      </c>
    </row>
    <row r="327" spans="1:4" x14ac:dyDescent="0.25">
      <c r="A327" s="14" t="s">
        <v>1322</v>
      </c>
      <c r="B327" s="10" t="s">
        <v>1323</v>
      </c>
      <c r="C327" s="26" t="s">
        <v>1325</v>
      </c>
      <c r="D327" s="29" t="s">
        <v>1326</v>
      </c>
    </row>
    <row r="328" spans="1:4" x14ac:dyDescent="0.25">
      <c r="A328" s="14" t="s">
        <v>1328</v>
      </c>
      <c r="B328" s="10" t="s">
        <v>1329</v>
      </c>
      <c r="C328" s="26" t="s">
        <v>1325</v>
      </c>
      <c r="D328" s="29" t="s">
        <v>1326</v>
      </c>
    </row>
    <row r="329" spans="1:4" x14ac:dyDescent="0.25">
      <c r="A329" s="14" t="s">
        <v>1331</v>
      </c>
      <c r="B329" s="10" t="s">
        <v>1332</v>
      </c>
      <c r="C329" s="26" t="s">
        <v>624</v>
      </c>
      <c r="D329" s="29" t="s">
        <v>625</v>
      </c>
    </row>
    <row r="330" spans="1:4" x14ac:dyDescent="0.25">
      <c r="A330" s="14" t="s">
        <v>1334</v>
      </c>
      <c r="B330" s="10" t="s">
        <v>1335</v>
      </c>
      <c r="C330" s="26" t="s">
        <v>1337</v>
      </c>
      <c r="D330" s="29" t="s">
        <v>1107</v>
      </c>
    </row>
    <row r="331" spans="1:4" x14ac:dyDescent="0.25">
      <c r="A331" s="14" t="s">
        <v>1575</v>
      </c>
      <c r="B331" s="10" t="s">
        <v>1576</v>
      </c>
      <c r="C331" s="26" t="s">
        <v>761</v>
      </c>
      <c r="D331" s="29" t="s">
        <v>762</v>
      </c>
    </row>
    <row r="332" spans="1:4" x14ac:dyDescent="0.25">
      <c r="A332" s="14" t="s">
        <v>1595</v>
      </c>
      <c r="B332" s="10" t="s">
        <v>1597</v>
      </c>
      <c r="C332" s="26" t="s">
        <v>761</v>
      </c>
      <c r="D332" s="29" t="s">
        <v>762</v>
      </c>
    </row>
    <row r="333" spans="1:4" x14ac:dyDescent="0.25">
      <c r="A333" s="14" t="s">
        <v>1645</v>
      </c>
      <c r="B333" s="10" t="s">
        <v>1646</v>
      </c>
      <c r="C333" s="26" t="s">
        <v>1649</v>
      </c>
      <c r="D333" s="29" t="s">
        <v>762</v>
      </c>
    </row>
    <row r="334" spans="1:4" x14ac:dyDescent="0.25">
      <c r="A334" s="14" t="s">
        <v>1650</v>
      </c>
      <c r="B334" s="10" t="s">
        <v>1651</v>
      </c>
      <c r="C334" s="26" t="s">
        <v>761</v>
      </c>
      <c r="D334" s="29" t="s">
        <v>762</v>
      </c>
    </row>
    <row r="335" spans="1:4" x14ac:dyDescent="0.25">
      <c r="A335" s="14" t="s">
        <v>1654</v>
      </c>
      <c r="B335" s="10" t="s">
        <v>1655</v>
      </c>
      <c r="C335" s="26" t="s">
        <v>761</v>
      </c>
      <c r="D335" s="29" t="s">
        <v>762</v>
      </c>
    </row>
    <row r="336" spans="1:4" x14ac:dyDescent="0.25">
      <c r="A336" s="14" t="s">
        <v>1657</v>
      </c>
      <c r="B336" s="10" t="s">
        <v>1658</v>
      </c>
      <c r="C336" s="26" t="s">
        <v>1660</v>
      </c>
      <c r="D336" s="29" t="s">
        <v>1661</v>
      </c>
    </row>
    <row r="337" spans="1:4" x14ac:dyDescent="0.25">
      <c r="A337" s="14" t="s">
        <v>1967</v>
      </c>
      <c r="B337" s="10" t="s">
        <v>1969</v>
      </c>
      <c r="C337" s="26" t="s">
        <v>768</v>
      </c>
      <c r="D337" s="29" t="s">
        <v>1972</v>
      </c>
    </row>
    <row r="338" spans="1:4" x14ac:dyDescent="0.25">
      <c r="A338" s="14" t="s">
        <v>2028</v>
      </c>
      <c r="B338" s="10" t="s">
        <v>2029</v>
      </c>
      <c r="C338" s="26" t="s">
        <v>2032</v>
      </c>
      <c r="D338" s="29" t="s">
        <v>2033</v>
      </c>
    </row>
    <row r="339" spans="1:4" x14ac:dyDescent="0.25">
      <c r="A339" s="14" t="s">
        <v>2080</v>
      </c>
      <c r="B339" s="10" t="s">
        <v>2081</v>
      </c>
      <c r="C339" s="26" t="s">
        <v>768</v>
      </c>
      <c r="D339" s="29" t="s">
        <v>386</v>
      </c>
    </row>
    <row r="340" spans="1:4" x14ac:dyDescent="0.25">
      <c r="A340" s="14" t="s">
        <v>2086</v>
      </c>
      <c r="B340" s="10" t="s">
        <v>2087</v>
      </c>
      <c r="C340" s="26" t="s">
        <v>768</v>
      </c>
      <c r="D340" s="29" t="s">
        <v>386</v>
      </c>
    </row>
    <row r="341" spans="1:4" x14ac:dyDescent="0.25">
      <c r="A341" s="14" t="s">
        <v>2110</v>
      </c>
      <c r="B341" s="10" t="s">
        <v>2111</v>
      </c>
      <c r="C341" s="26" t="s">
        <v>768</v>
      </c>
      <c r="D341" s="29" t="s">
        <v>386</v>
      </c>
    </row>
    <row r="342" spans="1:4" x14ac:dyDescent="0.25">
      <c r="A342" s="14" t="s">
        <v>2159</v>
      </c>
      <c r="B342" s="10" t="s">
        <v>2160</v>
      </c>
      <c r="C342" s="26" t="s">
        <v>761</v>
      </c>
      <c r="D342" s="29" t="s">
        <v>762</v>
      </c>
    </row>
    <row r="343" spans="1:4" x14ac:dyDescent="0.25">
      <c r="A343" s="14" t="s">
        <v>2181</v>
      </c>
      <c r="B343" s="10" t="s">
        <v>2182</v>
      </c>
      <c r="C343" s="26" t="s">
        <v>761</v>
      </c>
      <c r="D343" s="29" t="s">
        <v>762</v>
      </c>
    </row>
    <row r="344" spans="1:4" x14ac:dyDescent="0.25">
      <c r="A344" s="14" t="s">
        <v>375</v>
      </c>
      <c r="B344" s="10" t="s">
        <v>376</v>
      </c>
      <c r="C344" s="26" t="s">
        <v>378</v>
      </c>
      <c r="D344" s="29" t="s">
        <v>361</v>
      </c>
    </row>
    <row r="345" spans="1:4" x14ac:dyDescent="0.25">
      <c r="A345" s="14" t="s">
        <v>468</v>
      </c>
      <c r="B345" s="10" t="s">
        <v>470</v>
      </c>
      <c r="C345" s="26" t="s">
        <v>473</v>
      </c>
      <c r="D345" s="29" t="s">
        <v>474</v>
      </c>
    </row>
    <row r="346" spans="1:4" x14ac:dyDescent="0.25">
      <c r="A346" s="14" t="s">
        <v>545</v>
      </c>
      <c r="B346" s="10" t="s">
        <v>546</v>
      </c>
      <c r="C346" s="26" t="s">
        <v>414</v>
      </c>
      <c r="D346" s="29" t="s">
        <v>415</v>
      </c>
    </row>
    <row r="347" spans="1:4" x14ac:dyDescent="0.25">
      <c r="A347" s="14" t="s">
        <v>584</v>
      </c>
      <c r="B347" s="10" t="s">
        <v>586</v>
      </c>
      <c r="C347" s="26" t="s">
        <v>590</v>
      </c>
      <c r="D347" s="29" t="s">
        <v>591</v>
      </c>
    </row>
    <row r="348" spans="1:4" x14ac:dyDescent="0.25">
      <c r="A348" s="14" t="s">
        <v>605</v>
      </c>
      <c r="B348" s="10" t="s">
        <v>607</v>
      </c>
      <c r="C348" s="26" t="s">
        <v>609</v>
      </c>
      <c r="D348" s="29" t="s">
        <v>610</v>
      </c>
    </row>
    <row r="349" spans="1:4" x14ac:dyDescent="0.25">
      <c r="A349" s="14" t="s">
        <v>614</v>
      </c>
      <c r="B349" s="10" t="s">
        <v>616</v>
      </c>
      <c r="C349" s="26" t="s">
        <v>590</v>
      </c>
      <c r="D349" s="29" t="s">
        <v>591</v>
      </c>
    </row>
    <row r="350" spans="1:4" x14ac:dyDescent="0.25">
      <c r="A350" s="14" t="s">
        <v>683</v>
      </c>
      <c r="B350" s="10" t="s">
        <v>684</v>
      </c>
      <c r="C350" s="26" t="s">
        <v>657</v>
      </c>
      <c r="D350" s="29" t="s">
        <v>658</v>
      </c>
    </row>
    <row r="351" spans="1:4" x14ac:dyDescent="0.25">
      <c r="A351" s="14" t="s">
        <v>693</v>
      </c>
      <c r="B351" s="10" t="s">
        <v>694</v>
      </c>
      <c r="C351" s="26" t="s">
        <v>657</v>
      </c>
      <c r="D351" s="29" t="s">
        <v>658</v>
      </c>
    </row>
    <row r="352" spans="1:4" x14ac:dyDescent="0.25">
      <c r="A352" s="14" t="s">
        <v>699</v>
      </c>
      <c r="B352" s="10" t="s">
        <v>700</v>
      </c>
      <c r="C352" s="26" t="s">
        <v>657</v>
      </c>
      <c r="D352" s="29" t="s">
        <v>658</v>
      </c>
    </row>
    <row r="353" spans="1:4" x14ac:dyDescent="0.25">
      <c r="A353" s="14" t="s">
        <v>702</v>
      </c>
      <c r="B353" s="10" t="s">
        <v>703</v>
      </c>
      <c r="C353" s="26" t="s">
        <v>657</v>
      </c>
      <c r="D353" s="29" t="s">
        <v>658</v>
      </c>
    </row>
    <row r="354" spans="1:4" x14ac:dyDescent="0.25">
      <c r="A354" s="14" t="s">
        <v>709</v>
      </c>
      <c r="B354" s="10" t="s">
        <v>710</v>
      </c>
      <c r="C354" s="26" t="s">
        <v>590</v>
      </c>
      <c r="D354" s="29" t="s">
        <v>591</v>
      </c>
    </row>
    <row r="355" spans="1:4" x14ac:dyDescent="0.25">
      <c r="A355" s="14" t="s">
        <v>737</v>
      </c>
      <c r="B355" s="10" t="s">
        <v>738</v>
      </c>
      <c r="C355" s="26" t="s">
        <v>657</v>
      </c>
      <c r="D355" s="29" t="s">
        <v>658</v>
      </c>
    </row>
    <row r="356" spans="1:4" x14ac:dyDescent="0.25">
      <c r="A356" s="14" t="s">
        <v>741</v>
      </c>
      <c r="B356" s="10" t="s">
        <v>742</v>
      </c>
      <c r="C356" s="26" t="s">
        <v>657</v>
      </c>
      <c r="D356" s="29" t="s">
        <v>658</v>
      </c>
    </row>
    <row r="357" spans="1:4" x14ac:dyDescent="0.25">
      <c r="A357" s="14" t="s">
        <v>749</v>
      </c>
      <c r="B357" s="10" t="s">
        <v>750</v>
      </c>
      <c r="C357" s="26" t="s">
        <v>657</v>
      </c>
      <c r="D357" s="29" t="s">
        <v>658</v>
      </c>
    </row>
    <row r="358" spans="1:4" x14ac:dyDescent="0.25">
      <c r="A358" s="14" t="s">
        <v>753</v>
      </c>
      <c r="B358" s="10" t="s">
        <v>754</v>
      </c>
      <c r="C358" s="26" t="s">
        <v>657</v>
      </c>
      <c r="D358" s="29" t="s">
        <v>658</v>
      </c>
    </row>
    <row r="359" spans="1:4" x14ac:dyDescent="0.25">
      <c r="A359" s="14" t="s">
        <v>765</v>
      </c>
      <c r="B359" s="10" t="s">
        <v>766</v>
      </c>
      <c r="C359" s="26" t="s">
        <v>768</v>
      </c>
      <c r="D359" s="29" t="s">
        <v>386</v>
      </c>
    </row>
    <row r="360" spans="1:4" x14ac:dyDescent="0.25">
      <c r="A360" s="14" t="s">
        <v>782</v>
      </c>
      <c r="B360" s="10" t="s">
        <v>784</v>
      </c>
      <c r="C360" s="26" t="s">
        <v>768</v>
      </c>
      <c r="D360" s="29" t="s">
        <v>386</v>
      </c>
    </row>
    <row r="361" spans="1:4" x14ac:dyDescent="0.25">
      <c r="A361" s="14" t="s">
        <v>794</v>
      </c>
      <c r="B361" s="10" t="s">
        <v>795</v>
      </c>
      <c r="C361" s="26" t="s">
        <v>768</v>
      </c>
      <c r="D361" s="29" t="s">
        <v>386</v>
      </c>
    </row>
    <row r="362" spans="1:4" x14ac:dyDescent="0.25">
      <c r="A362" s="14" t="s">
        <v>799</v>
      </c>
      <c r="B362" s="10" t="s">
        <v>801</v>
      </c>
      <c r="C362" s="26" t="s">
        <v>768</v>
      </c>
      <c r="D362" s="29" t="s">
        <v>386</v>
      </c>
    </row>
    <row r="363" spans="1:4" x14ac:dyDescent="0.25">
      <c r="A363" s="14" t="s">
        <v>822</v>
      </c>
      <c r="B363" s="10" t="s">
        <v>823</v>
      </c>
      <c r="C363" s="26" t="s">
        <v>768</v>
      </c>
      <c r="D363" s="29" t="s">
        <v>386</v>
      </c>
    </row>
    <row r="364" spans="1:4" x14ac:dyDescent="0.25">
      <c r="A364" s="14" t="s">
        <v>841</v>
      </c>
      <c r="B364" s="10" t="s">
        <v>843</v>
      </c>
      <c r="C364" s="26" t="s">
        <v>768</v>
      </c>
      <c r="D364" s="29" t="s">
        <v>386</v>
      </c>
    </row>
    <row r="365" spans="1:4" x14ac:dyDescent="0.25">
      <c r="A365" s="14" t="s">
        <v>847</v>
      </c>
      <c r="B365" s="10" t="s">
        <v>848</v>
      </c>
      <c r="C365" s="26" t="s">
        <v>768</v>
      </c>
      <c r="D365" s="29" t="s">
        <v>386</v>
      </c>
    </row>
    <row r="366" spans="1:4" x14ac:dyDescent="0.25">
      <c r="A366" s="14" t="s">
        <v>851</v>
      </c>
      <c r="B366" s="10" t="s">
        <v>852</v>
      </c>
      <c r="C366" s="26" t="s">
        <v>768</v>
      </c>
      <c r="D366" s="29" t="s">
        <v>386</v>
      </c>
    </row>
    <row r="367" spans="1:4" x14ac:dyDescent="0.25">
      <c r="A367" s="14" t="s">
        <v>856</v>
      </c>
      <c r="B367" s="10" t="s">
        <v>857</v>
      </c>
      <c r="C367" s="26" t="s">
        <v>768</v>
      </c>
      <c r="D367" s="29" t="s">
        <v>386</v>
      </c>
    </row>
    <row r="368" spans="1:4" x14ac:dyDescent="0.25">
      <c r="A368" s="14" t="s">
        <v>915</v>
      </c>
      <c r="B368" s="10" t="s">
        <v>916</v>
      </c>
      <c r="C368" s="26" t="s">
        <v>768</v>
      </c>
      <c r="D368" s="29" t="s">
        <v>386</v>
      </c>
    </row>
    <row r="369" spans="1:4" x14ac:dyDescent="0.25">
      <c r="A369" s="14" t="s">
        <v>919</v>
      </c>
      <c r="B369" s="10" t="s">
        <v>920</v>
      </c>
      <c r="C369" s="26" t="s">
        <v>768</v>
      </c>
      <c r="D369" s="29" t="s">
        <v>386</v>
      </c>
    </row>
    <row r="370" spans="1:4" x14ac:dyDescent="0.25">
      <c r="A370" s="14" t="s">
        <v>927</v>
      </c>
      <c r="B370" s="10" t="s">
        <v>928</v>
      </c>
      <c r="C370" s="26" t="s">
        <v>768</v>
      </c>
      <c r="D370" s="29" t="s">
        <v>386</v>
      </c>
    </row>
    <row r="371" spans="1:4" x14ac:dyDescent="0.25">
      <c r="A371" s="14" t="s">
        <v>1030</v>
      </c>
      <c r="B371" s="10" t="s">
        <v>1032</v>
      </c>
      <c r="C371" s="26" t="s">
        <v>1035</v>
      </c>
      <c r="D371" s="29" t="s">
        <v>1036</v>
      </c>
    </row>
    <row r="372" spans="1:4" x14ac:dyDescent="0.25">
      <c r="A372" s="14" t="s">
        <v>1052</v>
      </c>
      <c r="B372" s="10" t="s">
        <v>1053</v>
      </c>
      <c r="C372" s="26" t="s">
        <v>768</v>
      </c>
      <c r="D372" s="29" t="s">
        <v>386</v>
      </c>
    </row>
    <row r="373" spans="1:4" x14ac:dyDescent="0.25">
      <c r="A373" s="14" t="s">
        <v>1055</v>
      </c>
      <c r="B373" s="10" t="s">
        <v>1056</v>
      </c>
      <c r="C373" s="26" t="s">
        <v>768</v>
      </c>
      <c r="D373" s="29" t="s">
        <v>386</v>
      </c>
    </row>
    <row r="374" spans="1:4" x14ac:dyDescent="0.25">
      <c r="A374" s="14" t="s">
        <v>1066</v>
      </c>
      <c r="B374" s="10" t="s">
        <v>1067</v>
      </c>
      <c r="C374" s="26" t="s">
        <v>790</v>
      </c>
      <c r="D374" s="29" t="s">
        <v>791</v>
      </c>
    </row>
    <row r="375" spans="1:4" x14ac:dyDescent="0.25">
      <c r="A375" s="14" t="s">
        <v>1143</v>
      </c>
      <c r="B375" s="10" t="s">
        <v>1144</v>
      </c>
      <c r="C375" s="26" t="s">
        <v>768</v>
      </c>
      <c r="D375" s="29" t="s">
        <v>386</v>
      </c>
    </row>
    <row r="376" spans="1:4" x14ac:dyDescent="0.25">
      <c r="A376" s="14" t="s">
        <v>1149</v>
      </c>
      <c r="B376" s="10" t="s">
        <v>1150</v>
      </c>
      <c r="C376" s="26" t="s">
        <v>1152</v>
      </c>
      <c r="D376" s="29" t="s">
        <v>1153</v>
      </c>
    </row>
    <row r="377" spans="1:4" x14ac:dyDescent="0.25">
      <c r="A377" s="14" t="s">
        <v>1171</v>
      </c>
      <c r="B377" s="10" t="s">
        <v>1172</v>
      </c>
      <c r="C377" s="26" t="s">
        <v>1152</v>
      </c>
      <c r="D377" s="29" t="s">
        <v>1153</v>
      </c>
    </row>
    <row r="378" spans="1:4" x14ac:dyDescent="0.25">
      <c r="A378" s="14" t="s">
        <v>1193</v>
      </c>
      <c r="B378" s="10" t="s">
        <v>1194</v>
      </c>
      <c r="C378" s="26" t="s">
        <v>733</v>
      </c>
      <c r="D378" s="29" t="s">
        <v>734</v>
      </c>
    </row>
    <row r="379" spans="1:4" x14ac:dyDescent="0.25">
      <c r="A379" s="14" t="s">
        <v>1264</v>
      </c>
      <c r="B379" s="10" t="s">
        <v>1266</v>
      </c>
      <c r="C379" s="26" t="s">
        <v>768</v>
      </c>
      <c r="D379" s="29" t="s">
        <v>386</v>
      </c>
    </row>
    <row r="380" spans="1:4" x14ac:dyDescent="0.25">
      <c r="A380" s="14" t="s">
        <v>1280</v>
      </c>
      <c r="B380" s="10" t="s">
        <v>1281</v>
      </c>
      <c r="C380" s="26" t="s">
        <v>624</v>
      </c>
      <c r="D380" s="29" t="s">
        <v>625</v>
      </c>
    </row>
    <row r="381" spans="1:4" x14ac:dyDescent="0.25">
      <c r="A381" s="14" t="s">
        <v>1283</v>
      </c>
      <c r="B381" s="10" t="s">
        <v>1284</v>
      </c>
      <c r="C381" s="26" t="s">
        <v>624</v>
      </c>
      <c r="D381" s="29" t="s">
        <v>625</v>
      </c>
    </row>
    <row r="382" spans="1:4" x14ac:dyDescent="0.25">
      <c r="A382" s="14" t="s">
        <v>1286</v>
      </c>
      <c r="B382" s="10" t="s">
        <v>1287</v>
      </c>
      <c r="C382" s="26" t="s">
        <v>624</v>
      </c>
      <c r="D382" s="29" t="s">
        <v>625</v>
      </c>
    </row>
    <row r="383" spans="1:4" x14ac:dyDescent="0.25">
      <c r="A383" s="14" t="s">
        <v>1355</v>
      </c>
      <c r="B383" s="10" t="s">
        <v>1356</v>
      </c>
      <c r="C383" s="26" t="s">
        <v>1299</v>
      </c>
      <c r="D383" s="29" t="s">
        <v>1300</v>
      </c>
    </row>
    <row r="384" spans="1:4" x14ac:dyDescent="0.25">
      <c r="A384" s="14" t="s">
        <v>1357</v>
      </c>
      <c r="B384" s="10" t="s">
        <v>1358</v>
      </c>
      <c r="C384" s="26" t="s">
        <v>1299</v>
      </c>
      <c r="D384" s="29" t="s">
        <v>1300</v>
      </c>
    </row>
    <row r="385" spans="1:4" x14ac:dyDescent="0.25">
      <c r="A385" s="14" t="s">
        <v>1360</v>
      </c>
      <c r="B385" s="10" t="s">
        <v>1361</v>
      </c>
      <c r="C385" s="26" t="s">
        <v>624</v>
      </c>
      <c r="D385" s="29" t="s">
        <v>625</v>
      </c>
    </row>
    <row r="386" spans="1:4" x14ac:dyDescent="0.25">
      <c r="A386" s="14" t="s">
        <v>1363</v>
      </c>
      <c r="B386" s="10" t="s">
        <v>1364</v>
      </c>
      <c r="C386" s="26" t="s">
        <v>1299</v>
      </c>
      <c r="D386" s="29" t="s">
        <v>1300</v>
      </c>
    </row>
    <row r="387" spans="1:4" x14ac:dyDescent="0.25">
      <c r="A387" s="14" t="s">
        <v>1366</v>
      </c>
      <c r="B387" s="10" t="s">
        <v>1367</v>
      </c>
      <c r="C387" s="26" t="s">
        <v>624</v>
      </c>
      <c r="D387" s="29" t="s">
        <v>625</v>
      </c>
    </row>
    <row r="388" spans="1:4" x14ac:dyDescent="0.25">
      <c r="A388" s="14" t="s">
        <v>1382</v>
      </c>
      <c r="B388" s="10" t="s">
        <v>1383</v>
      </c>
      <c r="C388" s="26" t="s">
        <v>1299</v>
      </c>
      <c r="D388" s="29" t="s">
        <v>1300</v>
      </c>
    </row>
    <row r="389" spans="1:4" x14ac:dyDescent="0.25">
      <c r="A389" s="14" t="s">
        <v>1401</v>
      </c>
      <c r="B389" s="10" t="s">
        <v>1402</v>
      </c>
      <c r="C389" s="26" t="s">
        <v>1299</v>
      </c>
      <c r="D389" s="29" t="s">
        <v>1300</v>
      </c>
    </row>
    <row r="390" spans="1:4" x14ac:dyDescent="0.25">
      <c r="A390" s="14" t="s">
        <v>1827</v>
      </c>
      <c r="B390" s="10" t="s">
        <v>1828</v>
      </c>
      <c r="C390" s="26" t="s">
        <v>1723</v>
      </c>
      <c r="D390" s="29" t="s">
        <v>1831</v>
      </c>
    </row>
    <row r="391" spans="1:4" x14ac:dyDescent="0.25">
      <c r="A391" s="14" t="s">
        <v>595</v>
      </c>
      <c r="B391" s="10" t="s">
        <v>597</v>
      </c>
      <c r="C391" s="26" t="s">
        <v>590</v>
      </c>
      <c r="D391" s="29" t="s">
        <v>591</v>
      </c>
    </row>
    <row r="392" spans="1:4" x14ac:dyDescent="0.25">
      <c r="A392" s="14" t="s">
        <v>803</v>
      </c>
      <c r="B392" s="10" t="s">
        <v>805</v>
      </c>
      <c r="C392" s="26" t="s">
        <v>624</v>
      </c>
      <c r="D392" s="29" t="s">
        <v>625</v>
      </c>
    </row>
    <row r="393" spans="1:4" x14ac:dyDescent="0.25">
      <c r="A393" s="14" t="s">
        <v>808</v>
      </c>
      <c r="B393" s="10" t="s">
        <v>809</v>
      </c>
      <c r="C393" s="26" t="s">
        <v>624</v>
      </c>
      <c r="D393" s="29" t="s">
        <v>625</v>
      </c>
    </row>
    <row r="394" spans="1:4" x14ac:dyDescent="0.25">
      <c r="A394" s="14" t="s">
        <v>1196</v>
      </c>
      <c r="B394" s="10" t="s">
        <v>1197</v>
      </c>
      <c r="C394" s="26" t="s">
        <v>1200</v>
      </c>
      <c r="D394" s="29" t="s">
        <v>514</v>
      </c>
    </row>
    <row r="395" spans="1:4" x14ac:dyDescent="0.25">
      <c r="A395" s="14" t="s">
        <v>1204</v>
      </c>
      <c r="B395" s="10" t="s">
        <v>1205</v>
      </c>
      <c r="C395" s="26" t="s">
        <v>624</v>
      </c>
      <c r="D395" s="29" t="s">
        <v>625</v>
      </c>
    </row>
  </sheetData>
  <conditionalFormatting sqref="A7:D8">
    <cfRule type="duplicateValues" dxfId="0" priority="1"/>
  </conditionalFormatting>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FEEDB86-321B-4F07-9943-1142B2E6A54E}">
  <dimension ref="A1:P704"/>
  <sheetViews>
    <sheetView topLeftCell="K1" zoomScale="80" zoomScaleNormal="80" workbookViewId="0">
      <selection activeCell="J20" sqref="J20:N22"/>
    </sheetView>
  </sheetViews>
  <sheetFormatPr baseColWidth="10" defaultRowHeight="15" x14ac:dyDescent="0.25"/>
  <cols>
    <col min="1" max="1" width="19.85546875" style="3" customWidth="1"/>
    <col min="2" max="2" width="13.42578125" style="3" customWidth="1"/>
    <col min="3" max="3" width="20.7109375" style="3" customWidth="1"/>
    <col min="4" max="4" width="21.42578125" style="6" customWidth="1"/>
    <col min="5" max="5" width="92.7109375" customWidth="1"/>
    <col min="6" max="6" width="16.7109375" style="20" bestFit="1" customWidth="1"/>
    <col min="7" max="7" width="17.5703125" style="3" bestFit="1" customWidth="1"/>
    <col min="8" max="8" width="22.140625" style="3" customWidth="1"/>
    <col min="9" max="9" width="23.5703125" style="2" customWidth="1"/>
    <col min="10" max="10" width="23.5703125" style="6" customWidth="1"/>
    <col min="11" max="11" width="40.140625" style="6" customWidth="1"/>
    <col min="12" max="12" width="15.28515625" style="3" bestFit="1" customWidth="1"/>
    <col min="13" max="13" width="14.140625" style="3" bestFit="1" customWidth="1"/>
    <col min="14" max="14" width="77.28515625" style="3" bestFit="1" customWidth="1"/>
  </cols>
  <sheetData>
    <row r="1" spans="1:16" x14ac:dyDescent="0.25">
      <c r="A1" s="13" t="s">
        <v>2</v>
      </c>
      <c r="B1" s="13" t="s">
        <v>2203</v>
      </c>
      <c r="C1" s="18" t="s">
        <v>2211</v>
      </c>
      <c r="D1" s="18" t="s">
        <v>1</v>
      </c>
      <c r="E1" s="12" t="s">
        <v>6</v>
      </c>
      <c r="F1" s="18" t="s">
        <v>2201</v>
      </c>
      <c r="G1" s="13" t="s">
        <v>8</v>
      </c>
      <c r="H1" s="12" t="s">
        <v>9</v>
      </c>
      <c r="I1" s="24" t="s">
        <v>2204</v>
      </c>
      <c r="J1" s="18" t="s">
        <v>16</v>
      </c>
      <c r="K1" s="18" t="s">
        <v>17</v>
      </c>
      <c r="L1" s="13" t="s">
        <v>2215</v>
      </c>
      <c r="M1" s="50" t="s">
        <v>2216</v>
      </c>
      <c r="N1" s="13" t="s">
        <v>2255</v>
      </c>
      <c r="O1" s="50" t="s">
        <v>2281</v>
      </c>
      <c r="P1" s="50" t="s">
        <v>2282</v>
      </c>
    </row>
    <row r="2" spans="1:16" x14ac:dyDescent="0.25">
      <c r="A2" s="14" t="s">
        <v>1756</v>
      </c>
      <c r="B2" s="16" t="s">
        <v>2199</v>
      </c>
      <c r="C2" s="19" t="s">
        <v>28</v>
      </c>
      <c r="D2" s="19" t="s">
        <v>28</v>
      </c>
      <c r="E2" s="10" t="s">
        <v>1757</v>
      </c>
      <c r="F2" s="20">
        <v>46174</v>
      </c>
      <c r="G2" s="16">
        <v>1</v>
      </c>
      <c r="H2" s="11" t="s">
        <v>1237</v>
      </c>
      <c r="I2" s="31">
        <v>15000018</v>
      </c>
      <c r="J2" s="19" t="s">
        <v>1759</v>
      </c>
      <c r="K2" s="19" t="s">
        <v>1760</v>
      </c>
      <c r="L2" s="3" t="s">
        <v>2217</v>
      </c>
      <c r="M2" s="3" t="s">
        <v>2256</v>
      </c>
      <c r="N2" s="3" t="s">
        <v>2280</v>
      </c>
    </row>
    <row r="3" spans="1:16" x14ac:dyDescent="0.25">
      <c r="A3" s="15" t="s">
        <v>1763</v>
      </c>
      <c r="B3" s="17" t="s">
        <v>2199</v>
      </c>
      <c r="C3" s="6" t="s">
        <v>28</v>
      </c>
      <c r="D3" s="6" t="s">
        <v>28</v>
      </c>
      <c r="E3" s="7" t="s">
        <v>1764</v>
      </c>
      <c r="F3" s="20">
        <v>46174</v>
      </c>
      <c r="G3" s="17">
        <v>1</v>
      </c>
      <c r="H3" t="s">
        <v>1766</v>
      </c>
      <c r="I3" s="32">
        <v>30000000</v>
      </c>
      <c r="J3" s="19" t="s">
        <v>1759</v>
      </c>
      <c r="K3" s="6" t="s">
        <v>1760</v>
      </c>
      <c r="L3" s="3" t="s">
        <v>2217</v>
      </c>
      <c r="M3" s="3" t="s">
        <v>2256</v>
      </c>
      <c r="N3" s="3" t="s">
        <v>2280</v>
      </c>
    </row>
    <row r="4" spans="1:16" x14ac:dyDescent="0.25">
      <c r="A4" s="14" t="s">
        <v>1883</v>
      </c>
      <c r="B4" s="16" t="s">
        <v>2199</v>
      </c>
      <c r="C4" s="19" t="s">
        <v>28</v>
      </c>
      <c r="D4" s="19" t="s">
        <v>28</v>
      </c>
      <c r="E4" s="10" t="s">
        <v>1884</v>
      </c>
      <c r="F4" s="20">
        <v>46082</v>
      </c>
      <c r="G4" s="16">
        <v>1</v>
      </c>
      <c r="H4" s="11" t="s">
        <v>1886</v>
      </c>
      <c r="I4" s="31">
        <v>3550000</v>
      </c>
      <c r="J4" s="19" t="s">
        <v>1759</v>
      </c>
      <c r="K4" s="19" t="s">
        <v>1760</v>
      </c>
      <c r="L4" s="3" t="s">
        <v>2217</v>
      </c>
      <c r="M4" s="3" t="s">
        <v>2256</v>
      </c>
      <c r="N4" s="3" t="s">
        <v>2280</v>
      </c>
    </row>
    <row r="5" spans="1:16" x14ac:dyDescent="0.25">
      <c r="A5" s="15" t="s">
        <v>2102</v>
      </c>
      <c r="B5" s="17" t="s">
        <v>2199</v>
      </c>
      <c r="C5" s="6" t="s">
        <v>1238</v>
      </c>
      <c r="D5" s="6" t="s">
        <v>1238</v>
      </c>
      <c r="E5" s="7" t="s">
        <v>2103</v>
      </c>
      <c r="F5" s="20">
        <v>46082</v>
      </c>
      <c r="G5" s="17">
        <v>2</v>
      </c>
      <c r="H5" t="s">
        <v>2106</v>
      </c>
      <c r="I5" s="32">
        <v>1000000</v>
      </c>
      <c r="J5" s="19" t="s">
        <v>1759</v>
      </c>
      <c r="K5" s="6" t="s">
        <v>1760</v>
      </c>
      <c r="L5" s="3" t="s">
        <v>2217</v>
      </c>
      <c r="M5" s="3" t="s">
        <v>2256</v>
      </c>
      <c r="N5" s="3" t="s">
        <v>2280</v>
      </c>
    </row>
    <row r="6" spans="1:16" x14ac:dyDescent="0.25">
      <c r="A6" s="14" t="s">
        <v>2102</v>
      </c>
      <c r="B6" s="16" t="s">
        <v>2199</v>
      </c>
      <c r="C6" s="19" t="s">
        <v>1238</v>
      </c>
      <c r="D6" s="19" t="s">
        <v>1238</v>
      </c>
      <c r="E6" s="10" t="s">
        <v>2103</v>
      </c>
      <c r="F6" s="20">
        <v>46082</v>
      </c>
      <c r="G6" s="16">
        <v>2</v>
      </c>
      <c r="H6" s="11" t="s">
        <v>2105</v>
      </c>
      <c r="I6" s="31">
        <v>15000000</v>
      </c>
      <c r="J6" s="19" t="s">
        <v>1759</v>
      </c>
      <c r="K6" s="19" t="s">
        <v>1760</v>
      </c>
      <c r="L6" s="3" t="s">
        <v>2217</v>
      </c>
      <c r="M6" s="3" t="s">
        <v>2256</v>
      </c>
      <c r="N6" s="3" t="s">
        <v>2280</v>
      </c>
    </row>
    <row r="7" spans="1:16" x14ac:dyDescent="0.25">
      <c r="A7" s="15" t="s">
        <v>191</v>
      </c>
      <c r="B7" s="17" t="s">
        <v>2196</v>
      </c>
      <c r="C7" s="17" t="s">
        <v>2196</v>
      </c>
      <c r="D7" s="6" t="s">
        <v>28</v>
      </c>
      <c r="E7" s="7" t="s">
        <v>201</v>
      </c>
      <c r="F7" s="20">
        <v>45870</v>
      </c>
      <c r="G7" s="17">
        <v>2</v>
      </c>
      <c r="H7" t="s">
        <v>195</v>
      </c>
      <c r="I7" s="32">
        <v>74068560</v>
      </c>
      <c r="J7" s="19" t="s">
        <v>197</v>
      </c>
      <c r="K7" s="6" t="s">
        <v>198</v>
      </c>
      <c r="L7" s="3" t="s">
        <v>2217</v>
      </c>
      <c r="M7" s="3" t="s">
        <v>2256</v>
      </c>
      <c r="N7" s="3" t="s">
        <v>2280</v>
      </c>
    </row>
    <row r="8" spans="1:16" x14ac:dyDescent="0.25">
      <c r="A8" s="14" t="s">
        <v>191</v>
      </c>
      <c r="B8" s="16" t="s">
        <v>2196</v>
      </c>
      <c r="C8" s="16" t="s">
        <v>2196</v>
      </c>
      <c r="D8" s="19" t="s">
        <v>28</v>
      </c>
      <c r="E8" s="10" t="s">
        <v>193</v>
      </c>
      <c r="F8" s="20">
        <v>45992</v>
      </c>
      <c r="G8" s="16">
        <v>2</v>
      </c>
      <c r="H8" s="11" t="s">
        <v>195</v>
      </c>
      <c r="I8" s="31">
        <v>37034280</v>
      </c>
      <c r="J8" s="19" t="s">
        <v>197</v>
      </c>
      <c r="K8" s="19" t="s">
        <v>198</v>
      </c>
      <c r="L8" s="3" t="s">
        <v>2217</v>
      </c>
      <c r="M8" s="3" t="s">
        <v>2256</v>
      </c>
      <c r="N8" s="3" t="s">
        <v>2280</v>
      </c>
    </row>
    <row r="9" spans="1:16" x14ac:dyDescent="0.25">
      <c r="A9" s="15" t="s">
        <v>2121</v>
      </c>
      <c r="B9" s="17" t="s">
        <v>2199</v>
      </c>
      <c r="C9" s="6" t="s">
        <v>28</v>
      </c>
      <c r="D9" s="6" t="s">
        <v>28</v>
      </c>
      <c r="E9" s="7" t="s">
        <v>2122</v>
      </c>
      <c r="F9" s="20">
        <v>46082</v>
      </c>
      <c r="G9" s="17">
        <v>23</v>
      </c>
      <c r="H9" t="s">
        <v>2059</v>
      </c>
      <c r="I9" s="32">
        <v>35000</v>
      </c>
      <c r="J9" s="19" t="s">
        <v>2124</v>
      </c>
      <c r="K9" s="6" t="s">
        <v>1217</v>
      </c>
      <c r="L9" s="3" t="s">
        <v>2218</v>
      </c>
      <c r="M9" s="3" t="s">
        <v>2234</v>
      </c>
      <c r="N9" s="3" t="s">
        <v>2218</v>
      </c>
    </row>
    <row r="10" spans="1:16" x14ac:dyDescent="0.25">
      <c r="A10" s="14" t="s">
        <v>2121</v>
      </c>
      <c r="B10" s="16" t="s">
        <v>2199</v>
      </c>
      <c r="C10" s="19" t="s">
        <v>28</v>
      </c>
      <c r="D10" s="19" t="s">
        <v>28</v>
      </c>
      <c r="E10" s="10" t="s">
        <v>2122</v>
      </c>
      <c r="F10" s="20">
        <v>46082</v>
      </c>
      <c r="G10" s="16">
        <v>23</v>
      </c>
      <c r="H10" s="11" t="s">
        <v>359</v>
      </c>
      <c r="I10" s="31">
        <v>490000</v>
      </c>
      <c r="J10" s="19" t="s">
        <v>2124</v>
      </c>
      <c r="K10" s="19" t="s">
        <v>1217</v>
      </c>
      <c r="L10" s="3" t="s">
        <v>2218</v>
      </c>
      <c r="M10" s="3" t="s">
        <v>2234</v>
      </c>
      <c r="N10" s="3" t="s">
        <v>2218</v>
      </c>
    </row>
    <row r="11" spans="1:16" x14ac:dyDescent="0.25">
      <c r="A11" s="15" t="s">
        <v>2121</v>
      </c>
      <c r="B11" s="17" t="s">
        <v>2199</v>
      </c>
      <c r="C11" s="6" t="s">
        <v>28</v>
      </c>
      <c r="D11" s="6" t="s">
        <v>28</v>
      </c>
      <c r="E11" s="7" t="s">
        <v>2122</v>
      </c>
      <c r="F11" s="20">
        <v>46082</v>
      </c>
      <c r="G11" s="17">
        <v>23</v>
      </c>
      <c r="H11" t="s">
        <v>1864</v>
      </c>
      <c r="I11" s="32">
        <v>308000</v>
      </c>
      <c r="J11" s="19" t="s">
        <v>2124</v>
      </c>
      <c r="K11" s="6" t="s">
        <v>1217</v>
      </c>
      <c r="L11" s="3" t="s">
        <v>2218</v>
      </c>
      <c r="M11" s="3" t="s">
        <v>2234</v>
      </c>
      <c r="N11" s="3" t="s">
        <v>2218</v>
      </c>
    </row>
    <row r="12" spans="1:16" x14ac:dyDescent="0.25">
      <c r="A12" s="14" t="s">
        <v>2121</v>
      </c>
      <c r="B12" s="16" t="s">
        <v>2199</v>
      </c>
      <c r="C12" s="19" t="s">
        <v>28</v>
      </c>
      <c r="D12" s="19" t="s">
        <v>28</v>
      </c>
      <c r="E12" s="10" t="s">
        <v>2122</v>
      </c>
      <c r="F12" s="20">
        <v>46082</v>
      </c>
      <c r="G12" s="16">
        <v>23</v>
      </c>
      <c r="H12" s="11" t="s">
        <v>1938</v>
      </c>
      <c r="I12" s="31">
        <v>145040</v>
      </c>
      <c r="J12" s="19" t="s">
        <v>2124</v>
      </c>
      <c r="K12" s="19" t="s">
        <v>1217</v>
      </c>
      <c r="L12" s="3" t="s">
        <v>2218</v>
      </c>
      <c r="M12" s="3" t="s">
        <v>2234</v>
      </c>
      <c r="N12" s="3" t="s">
        <v>2218</v>
      </c>
    </row>
    <row r="13" spans="1:16" x14ac:dyDescent="0.25">
      <c r="A13" s="15" t="s">
        <v>2121</v>
      </c>
      <c r="B13" s="17" t="s">
        <v>2199</v>
      </c>
      <c r="C13" s="6" t="s">
        <v>28</v>
      </c>
      <c r="D13" s="6" t="s">
        <v>28</v>
      </c>
      <c r="E13" s="7" t="s">
        <v>2122</v>
      </c>
      <c r="F13" s="20">
        <v>46082</v>
      </c>
      <c r="G13" s="17">
        <v>23</v>
      </c>
      <c r="H13" t="s">
        <v>1251</v>
      </c>
      <c r="I13" s="32">
        <v>35000</v>
      </c>
      <c r="J13" s="19" t="s">
        <v>2124</v>
      </c>
      <c r="K13" s="6" t="s">
        <v>1217</v>
      </c>
      <c r="L13" s="3" t="s">
        <v>2218</v>
      </c>
      <c r="M13" s="3" t="s">
        <v>2234</v>
      </c>
      <c r="N13" s="3" t="s">
        <v>2218</v>
      </c>
    </row>
    <row r="14" spans="1:16" x14ac:dyDescent="0.25">
      <c r="A14" s="14" t="s">
        <v>2121</v>
      </c>
      <c r="B14" s="16" t="s">
        <v>2199</v>
      </c>
      <c r="C14" s="19" t="s">
        <v>28</v>
      </c>
      <c r="D14" s="19" t="s">
        <v>28</v>
      </c>
      <c r="E14" s="10" t="s">
        <v>2122</v>
      </c>
      <c r="F14" s="20">
        <v>46143</v>
      </c>
      <c r="G14" s="16">
        <v>23</v>
      </c>
      <c r="H14" s="11" t="s">
        <v>2134</v>
      </c>
      <c r="I14" s="31">
        <v>1000000</v>
      </c>
      <c r="J14" s="19" t="s">
        <v>2124</v>
      </c>
      <c r="K14" s="19" t="s">
        <v>1217</v>
      </c>
      <c r="L14" s="3" t="s">
        <v>2218</v>
      </c>
      <c r="M14" s="3" t="s">
        <v>2234</v>
      </c>
      <c r="N14" s="3" t="s">
        <v>2218</v>
      </c>
    </row>
    <row r="15" spans="1:16" x14ac:dyDescent="0.25">
      <c r="A15" s="15" t="s">
        <v>2121</v>
      </c>
      <c r="B15" s="17" t="s">
        <v>2199</v>
      </c>
      <c r="C15" s="6" t="s">
        <v>28</v>
      </c>
      <c r="D15" s="6" t="s">
        <v>28</v>
      </c>
      <c r="E15" s="7" t="s">
        <v>2122</v>
      </c>
      <c r="F15" s="20">
        <v>46082</v>
      </c>
      <c r="G15" s="17">
        <v>23</v>
      </c>
      <c r="H15" t="s">
        <v>2138</v>
      </c>
      <c r="I15" s="32">
        <v>40000</v>
      </c>
      <c r="J15" s="19" t="s">
        <v>2124</v>
      </c>
      <c r="K15" s="6" t="s">
        <v>1217</v>
      </c>
      <c r="L15" s="3" t="s">
        <v>2218</v>
      </c>
      <c r="M15" s="3" t="s">
        <v>2234</v>
      </c>
      <c r="N15" s="3" t="s">
        <v>2218</v>
      </c>
    </row>
    <row r="16" spans="1:16" x14ac:dyDescent="0.25">
      <c r="A16" s="14" t="s">
        <v>2121</v>
      </c>
      <c r="B16" s="16" t="s">
        <v>2199</v>
      </c>
      <c r="C16" s="19" t="s">
        <v>28</v>
      </c>
      <c r="D16" s="19" t="s">
        <v>28</v>
      </c>
      <c r="E16" s="10" t="s">
        <v>2122</v>
      </c>
      <c r="F16" s="20">
        <v>46082</v>
      </c>
      <c r="G16" s="16">
        <v>23</v>
      </c>
      <c r="H16" s="11" t="s">
        <v>2135</v>
      </c>
      <c r="I16" s="31">
        <v>2000000</v>
      </c>
      <c r="J16" s="19" t="s">
        <v>2124</v>
      </c>
      <c r="K16" s="19" t="s">
        <v>1217</v>
      </c>
      <c r="L16" s="3" t="s">
        <v>2218</v>
      </c>
      <c r="M16" s="3" t="s">
        <v>2234</v>
      </c>
      <c r="N16" s="3" t="s">
        <v>2218</v>
      </c>
    </row>
    <row r="17" spans="1:14" x14ac:dyDescent="0.25">
      <c r="A17" s="15" t="s">
        <v>2121</v>
      </c>
      <c r="B17" s="17" t="s">
        <v>2199</v>
      </c>
      <c r="C17" s="6" t="s">
        <v>28</v>
      </c>
      <c r="D17" s="6" t="s">
        <v>28</v>
      </c>
      <c r="E17" s="7" t="s">
        <v>2122</v>
      </c>
      <c r="F17" s="20">
        <v>46143</v>
      </c>
      <c r="G17" s="17">
        <v>23</v>
      </c>
      <c r="H17" t="s">
        <v>2132</v>
      </c>
      <c r="I17" s="32">
        <v>600000</v>
      </c>
      <c r="J17" s="19" t="s">
        <v>2124</v>
      </c>
      <c r="K17" s="6" t="s">
        <v>1217</v>
      </c>
      <c r="L17" s="3" t="s">
        <v>2218</v>
      </c>
      <c r="M17" s="3" t="s">
        <v>2234</v>
      </c>
      <c r="N17" s="3" t="s">
        <v>2218</v>
      </c>
    </row>
    <row r="18" spans="1:14" x14ac:dyDescent="0.25">
      <c r="A18" s="14" t="s">
        <v>2121</v>
      </c>
      <c r="B18" s="16" t="s">
        <v>2199</v>
      </c>
      <c r="C18" s="19" t="s">
        <v>28</v>
      </c>
      <c r="D18" s="19" t="s">
        <v>28</v>
      </c>
      <c r="E18" s="10" t="s">
        <v>2122</v>
      </c>
      <c r="F18" s="20">
        <v>46082</v>
      </c>
      <c r="G18" s="16">
        <v>23</v>
      </c>
      <c r="H18" s="11" t="s">
        <v>2139</v>
      </c>
      <c r="I18" s="31">
        <v>156000</v>
      </c>
      <c r="J18" s="19" t="s">
        <v>2124</v>
      </c>
      <c r="K18" s="19" t="s">
        <v>1217</v>
      </c>
      <c r="L18" s="3" t="s">
        <v>2218</v>
      </c>
      <c r="M18" s="3" t="s">
        <v>2234</v>
      </c>
      <c r="N18" s="3" t="s">
        <v>2218</v>
      </c>
    </row>
    <row r="19" spans="1:14" x14ac:dyDescent="0.25">
      <c r="A19" s="15" t="s">
        <v>2121</v>
      </c>
      <c r="B19" s="17" t="s">
        <v>2199</v>
      </c>
      <c r="C19" s="6" t="s">
        <v>28</v>
      </c>
      <c r="D19" s="6" t="s">
        <v>28</v>
      </c>
      <c r="E19" s="7" t="s">
        <v>2122</v>
      </c>
      <c r="F19" s="20">
        <v>46082</v>
      </c>
      <c r="G19" s="17">
        <v>23</v>
      </c>
      <c r="H19" t="s">
        <v>2127</v>
      </c>
      <c r="I19" s="32">
        <v>1010080</v>
      </c>
      <c r="J19" s="19" t="s">
        <v>2124</v>
      </c>
      <c r="K19" s="6" t="s">
        <v>1217</v>
      </c>
      <c r="L19" s="3" t="s">
        <v>2218</v>
      </c>
      <c r="M19" s="3" t="s">
        <v>2234</v>
      </c>
      <c r="N19" s="3" t="s">
        <v>2218</v>
      </c>
    </row>
    <row r="20" spans="1:14" x14ac:dyDescent="0.25">
      <c r="A20" s="14" t="s">
        <v>2121</v>
      </c>
      <c r="B20" s="16" t="s">
        <v>2199</v>
      </c>
      <c r="C20" s="19" t="s">
        <v>28</v>
      </c>
      <c r="D20" s="19" t="s">
        <v>28</v>
      </c>
      <c r="E20" s="10" t="s">
        <v>2122</v>
      </c>
      <c r="F20" s="20">
        <v>46082</v>
      </c>
      <c r="G20" s="16">
        <v>23</v>
      </c>
      <c r="H20" s="11" t="s">
        <v>2128</v>
      </c>
      <c r="I20" s="31">
        <v>40000</v>
      </c>
      <c r="J20" s="19" t="s">
        <v>2124</v>
      </c>
      <c r="K20" s="19" t="s">
        <v>1217</v>
      </c>
      <c r="L20" s="3" t="s">
        <v>2218</v>
      </c>
      <c r="M20" s="3" t="s">
        <v>2234</v>
      </c>
      <c r="N20" s="3" t="s">
        <v>2218</v>
      </c>
    </row>
    <row r="21" spans="1:14" x14ac:dyDescent="0.25">
      <c r="A21" s="15" t="s">
        <v>2121</v>
      </c>
      <c r="B21" s="17" t="s">
        <v>2199</v>
      </c>
      <c r="C21" s="6" t="s">
        <v>28</v>
      </c>
      <c r="D21" s="6" t="s">
        <v>28</v>
      </c>
      <c r="E21" s="7" t="s">
        <v>2122</v>
      </c>
      <c r="F21" s="20">
        <v>46113</v>
      </c>
      <c r="G21" s="17">
        <v>23</v>
      </c>
      <c r="H21" t="s">
        <v>512</v>
      </c>
      <c r="I21" s="32">
        <v>5000000</v>
      </c>
      <c r="J21" s="19" t="s">
        <v>2124</v>
      </c>
      <c r="K21" s="6" t="s">
        <v>1217</v>
      </c>
      <c r="L21" s="3" t="s">
        <v>2218</v>
      </c>
      <c r="M21" s="3" t="s">
        <v>2234</v>
      </c>
      <c r="N21" s="3" t="s">
        <v>2218</v>
      </c>
    </row>
    <row r="22" spans="1:14" x14ac:dyDescent="0.25">
      <c r="A22" s="14" t="s">
        <v>2121</v>
      </c>
      <c r="B22" s="16" t="s">
        <v>2199</v>
      </c>
      <c r="C22" s="19" t="s">
        <v>28</v>
      </c>
      <c r="D22" s="19" t="s">
        <v>28</v>
      </c>
      <c r="E22" s="10" t="s">
        <v>2122</v>
      </c>
      <c r="F22" s="20">
        <v>46082</v>
      </c>
      <c r="G22" s="16">
        <v>23</v>
      </c>
      <c r="H22" s="11" t="s">
        <v>2095</v>
      </c>
      <c r="I22" s="31">
        <v>715050</v>
      </c>
      <c r="J22" s="19" t="s">
        <v>2124</v>
      </c>
      <c r="K22" s="19" t="s">
        <v>1217</v>
      </c>
      <c r="L22" s="3" t="s">
        <v>2218</v>
      </c>
      <c r="M22" s="3" t="s">
        <v>2234</v>
      </c>
      <c r="N22" s="3" t="s">
        <v>2218</v>
      </c>
    </row>
    <row r="23" spans="1:14" x14ac:dyDescent="0.25">
      <c r="A23" s="15" t="s">
        <v>2121</v>
      </c>
      <c r="B23" s="17" t="s">
        <v>2199</v>
      </c>
      <c r="C23" s="6" t="s">
        <v>28</v>
      </c>
      <c r="D23" s="6" t="s">
        <v>28</v>
      </c>
      <c r="E23" s="7" t="s">
        <v>2122</v>
      </c>
      <c r="F23" s="20">
        <v>46143</v>
      </c>
      <c r="G23" s="17">
        <v>23</v>
      </c>
      <c r="H23" t="s">
        <v>1617</v>
      </c>
      <c r="I23" s="32">
        <v>1000000</v>
      </c>
      <c r="J23" s="19" t="s">
        <v>2124</v>
      </c>
      <c r="K23" s="6" t="s">
        <v>1217</v>
      </c>
      <c r="L23" s="3" t="s">
        <v>2218</v>
      </c>
      <c r="M23" s="3" t="s">
        <v>2234</v>
      </c>
      <c r="N23" s="3" t="s">
        <v>2218</v>
      </c>
    </row>
    <row r="24" spans="1:14" x14ac:dyDescent="0.25">
      <c r="A24" s="14" t="s">
        <v>2121</v>
      </c>
      <c r="B24" s="16" t="s">
        <v>2199</v>
      </c>
      <c r="C24" s="19" t="s">
        <v>28</v>
      </c>
      <c r="D24" s="19" t="s">
        <v>28</v>
      </c>
      <c r="E24" s="10" t="s">
        <v>2122</v>
      </c>
      <c r="F24" s="20">
        <v>46082</v>
      </c>
      <c r="G24" s="16">
        <v>23</v>
      </c>
      <c r="H24" s="11" t="s">
        <v>912</v>
      </c>
      <c r="I24" s="31">
        <v>385000</v>
      </c>
      <c r="J24" s="19" t="s">
        <v>2124</v>
      </c>
      <c r="K24" s="19" t="s">
        <v>1217</v>
      </c>
      <c r="L24" s="3" t="s">
        <v>2218</v>
      </c>
      <c r="M24" s="3" t="s">
        <v>2234</v>
      </c>
      <c r="N24" s="3" t="s">
        <v>2218</v>
      </c>
    </row>
    <row r="25" spans="1:14" x14ac:dyDescent="0.25">
      <c r="A25" s="15" t="s">
        <v>2121</v>
      </c>
      <c r="B25" s="17" t="s">
        <v>2199</v>
      </c>
      <c r="C25" s="6" t="s">
        <v>28</v>
      </c>
      <c r="D25" s="6" t="s">
        <v>28</v>
      </c>
      <c r="E25" s="7" t="s">
        <v>2122</v>
      </c>
      <c r="F25" s="20">
        <v>46113</v>
      </c>
      <c r="G25" s="17">
        <v>23</v>
      </c>
      <c r="H25" t="s">
        <v>288</v>
      </c>
      <c r="I25" s="32">
        <v>6000000</v>
      </c>
      <c r="J25" s="19" t="s">
        <v>2124</v>
      </c>
      <c r="K25" s="6" t="s">
        <v>1217</v>
      </c>
      <c r="L25" s="3" t="s">
        <v>2218</v>
      </c>
      <c r="M25" s="3" t="s">
        <v>2234</v>
      </c>
      <c r="N25" s="3" t="s">
        <v>2218</v>
      </c>
    </row>
    <row r="26" spans="1:14" x14ac:dyDescent="0.25">
      <c r="A26" s="14" t="s">
        <v>2121</v>
      </c>
      <c r="B26" s="16" t="s">
        <v>2199</v>
      </c>
      <c r="C26" s="19" t="s">
        <v>28</v>
      </c>
      <c r="D26" s="19" t="s">
        <v>28</v>
      </c>
      <c r="E26" s="10" t="s">
        <v>2122</v>
      </c>
      <c r="F26" s="20">
        <v>46143</v>
      </c>
      <c r="G26" s="16">
        <v>23</v>
      </c>
      <c r="H26" s="11" t="s">
        <v>2130</v>
      </c>
      <c r="I26" s="31">
        <v>2500000</v>
      </c>
      <c r="J26" s="19" t="s">
        <v>2124</v>
      </c>
      <c r="K26" s="19" t="s">
        <v>1217</v>
      </c>
      <c r="L26" s="3" t="s">
        <v>2218</v>
      </c>
      <c r="M26" s="3" t="s">
        <v>2234</v>
      </c>
      <c r="N26" s="3" t="s">
        <v>2218</v>
      </c>
    </row>
    <row r="27" spans="1:14" x14ac:dyDescent="0.25">
      <c r="A27" s="15" t="s">
        <v>2121</v>
      </c>
      <c r="B27" s="17" t="s">
        <v>2199</v>
      </c>
      <c r="C27" s="6" t="s">
        <v>28</v>
      </c>
      <c r="D27" s="6" t="s">
        <v>28</v>
      </c>
      <c r="E27" s="7" t="s">
        <v>2122</v>
      </c>
      <c r="F27" s="20">
        <v>46082</v>
      </c>
      <c r="G27" s="17">
        <v>23</v>
      </c>
      <c r="H27" t="s">
        <v>1939</v>
      </c>
      <c r="I27" s="32">
        <v>70000</v>
      </c>
      <c r="J27" s="19" t="s">
        <v>2124</v>
      </c>
      <c r="K27" s="6" t="s">
        <v>1217</v>
      </c>
      <c r="L27" s="3" t="s">
        <v>2218</v>
      </c>
      <c r="M27" s="3" t="s">
        <v>2234</v>
      </c>
      <c r="N27" s="3" t="s">
        <v>2218</v>
      </c>
    </row>
    <row r="28" spans="1:14" x14ac:dyDescent="0.25">
      <c r="A28" s="14" t="s">
        <v>2121</v>
      </c>
      <c r="B28" s="16" t="s">
        <v>2199</v>
      </c>
      <c r="C28" s="19" t="s">
        <v>28</v>
      </c>
      <c r="D28" s="19" t="s">
        <v>28</v>
      </c>
      <c r="E28" s="10" t="s">
        <v>2122</v>
      </c>
      <c r="F28" s="20">
        <v>46143</v>
      </c>
      <c r="G28" s="16">
        <v>23</v>
      </c>
      <c r="H28" s="11" t="s">
        <v>1936</v>
      </c>
      <c r="I28" s="31">
        <v>500000</v>
      </c>
      <c r="J28" s="19" t="s">
        <v>2124</v>
      </c>
      <c r="K28" s="19" t="s">
        <v>1217</v>
      </c>
      <c r="L28" s="3" t="s">
        <v>2218</v>
      </c>
      <c r="M28" s="3" t="s">
        <v>2234</v>
      </c>
      <c r="N28" s="3" t="s">
        <v>2218</v>
      </c>
    </row>
    <row r="29" spans="1:14" x14ac:dyDescent="0.25">
      <c r="A29" s="15" t="s">
        <v>2121</v>
      </c>
      <c r="B29" s="17" t="s">
        <v>2199</v>
      </c>
      <c r="C29" s="6" t="s">
        <v>28</v>
      </c>
      <c r="D29" s="6" t="s">
        <v>28</v>
      </c>
      <c r="E29" s="7" t="s">
        <v>2122</v>
      </c>
      <c r="F29" s="20">
        <v>46143</v>
      </c>
      <c r="G29" s="17">
        <v>23</v>
      </c>
      <c r="H29" t="s">
        <v>2136</v>
      </c>
      <c r="I29" s="32">
        <v>4000000</v>
      </c>
      <c r="J29" s="19" t="s">
        <v>2124</v>
      </c>
      <c r="K29" s="6" t="s">
        <v>1217</v>
      </c>
      <c r="L29" s="3" t="s">
        <v>2218</v>
      </c>
      <c r="M29" s="3" t="s">
        <v>2234</v>
      </c>
      <c r="N29" s="3" t="s">
        <v>2218</v>
      </c>
    </row>
    <row r="30" spans="1:14" x14ac:dyDescent="0.25">
      <c r="A30" s="14" t="s">
        <v>2121</v>
      </c>
      <c r="B30" s="16" t="s">
        <v>2199</v>
      </c>
      <c r="C30" s="19" t="s">
        <v>28</v>
      </c>
      <c r="D30" s="19" t="s">
        <v>28</v>
      </c>
      <c r="E30" s="10" t="s">
        <v>2122</v>
      </c>
      <c r="F30" s="20">
        <v>46113</v>
      </c>
      <c r="G30" s="16">
        <v>23</v>
      </c>
      <c r="H30" s="11" t="s">
        <v>1930</v>
      </c>
      <c r="I30" s="31">
        <v>1000000</v>
      </c>
      <c r="J30" s="19" t="s">
        <v>2124</v>
      </c>
      <c r="K30" s="19" t="s">
        <v>1217</v>
      </c>
      <c r="L30" s="3" t="s">
        <v>2218</v>
      </c>
      <c r="M30" s="3" t="s">
        <v>2234</v>
      </c>
      <c r="N30" s="3" t="s">
        <v>2218</v>
      </c>
    </row>
    <row r="31" spans="1:14" x14ac:dyDescent="0.25">
      <c r="A31" s="15" t="s">
        <v>2121</v>
      </c>
      <c r="B31" s="17" t="s">
        <v>2199</v>
      </c>
      <c r="C31" s="6" t="s">
        <v>28</v>
      </c>
      <c r="D31" s="6" t="s">
        <v>28</v>
      </c>
      <c r="E31" s="7" t="s">
        <v>2122</v>
      </c>
      <c r="F31" s="20">
        <v>46113</v>
      </c>
      <c r="G31" s="17">
        <v>23</v>
      </c>
      <c r="H31" t="s">
        <v>2137</v>
      </c>
      <c r="I31" s="32">
        <v>2000000</v>
      </c>
      <c r="J31" s="19" t="s">
        <v>2124</v>
      </c>
      <c r="K31" s="6" t="s">
        <v>1217</v>
      </c>
      <c r="L31" s="3" t="s">
        <v>2218</v>
      </c>
      <c r="M31" s="3" t="s">
        <v>2234</v>
      </c>
      <c r="N31" s="3" t="s">
        <v>2218</v>
      </c>
    </row>
    <row r="32" spans="1:14" x14ac:dyDescent="0.25">
      <c r="A32" s="14" t="s">
        <v>1927</v>
      </c>
      <c r="B32" s="16" t="s">
        <v>2199</v>
      </c>
      <c r="C32" s="19" t="s">
        <v>28</v>
      </c>
      <c r="D32" s="19" t="s">
        <v>28</v>
      </c>
      <c r="E32" s="10" t="s">
        <v>1928</v>
      </c>
      <c r="F32" s="20">
        <v>46174</v>
      </c>
      <c r="G32" s="16">
        <v>9</v>
      </c>
      <c r="H32" s="11" t="s">
        <v>359</v>
      </c>
      <c r="I32" s="31">
        <v>738320</v>
      </c>
      <c r="J32" s="19" t="s">
        <v>1931</v>
      </c>
      <c r="K32" s="19" t="s">
        <v>1932</v>
      </c>
      <c r="L32" s="3" t="s">
        <v>2219</v>
      </c>
      <c r="M32" s="3" t="s">
        <v>2227</v>
      </c>
      <c r="N32" s="3" t="s">
        <v>2257</v>
      </c>
    </row>
    <row r="33" spans="1:14" x14ac:dyDescent="0.25">
      <c r="A33" s="15" t="s">
        <v>1927</v>
      </c>
      <c r="B33" s="17" t="s">
        <v>2199</v>
      </c>
      <c r="C33" s="6" t="s">
        <v>28</v>
      </c>
      <c r="D33" s="6" t="s">
        <v>28</v>
      </c>
      <c r="E33" s="7" t="s">
        <v>1928</v>
      </c>
      <c r="F33" s="20">
        <v>46235</v>
      </c>
      <c r="G33" s="17">
        <v>9</v>
      </c>
      <c r="H33" t="s">
        <v>1941</v>
      </c>
      <c r="I33" s="32">
        <v>1500000</v>
      </c>
      <c r="J33" s="19" t="s">
        <v>1931</v>
      </c>
      <c r="K33" s="6" t="s">
        <v>1932</v>
      </c>
      <c r="L33" s="3" t="s">
        <v>2219</v>
      </c>
      <c r="M33" s="3" t="s">
        <v>2227</v>
      </c>
      <c r="N33" s="3" t="s">
        <v>2257</v>
      </c>
    </row>
    <row r="34" spans="1:14" x14ac:dyDescent="0.25">
      <c r="A34" s="14" t="s">
        <v>1927</v>
      </c>
      <c r="B34" s="16" t="s">
        <v>2199</v>
      </c>
      <c r="C34" s="19" t="s">
        <v>28</v>
      </c>
      <c r="D34" s="19" t="s">
        <v>28</v>
      </c>
      <c r="E34" s="10" t="s">
        <v>1928</v>
      </c>
      <c r="F34" s="20">
        <v>46174</v>
      </c>
      <c r="G34" s="16">
        <v>9</v>
      </c>
      <c r="H34" s="11" t="s">
        <v>1938</v>
      </c>
      <c r="I34" s="31">
        <v>3100800</v>
      </c>
      <c r="J34" s="19" t="s">
        <v>1931</v>
      </c>
      <c r="K34" s="19" t="s">
        <v>1932</v>
      </c>
      <c r="L34" s="3" t="s">
        <v>2219</v>
      </c>
      <c r="M34" s="3" t="s">
        <v>2227</v>
      </c>
      <c r="N34" s="3" t="s">
        <v>2257</v>
      </c>
    </row>
    <row r="35" spans="1:14" x14ac:dyDescent="0.25">
      <c r="A35" s="15" t="s">
        <v>1927</v>
      </c>
      <c r="B35" s="17" t="s">
        <v>2199</v>
      </c>
      <c r="C35" s="6" t="s">
        <v>28</v>
      </c>
      <c r="D35" s="6" t="s">
        <v>28</v>
      </c>
      <c r="E35" s="7" t="s">
        <v>1928</v>
      </c>
      <c r="F35" s="20">
        <v>46174</v>
      </c>
      <c r="G35" s="17">
        <v>9</v>
      </c>
      <c r="H35" t="s">
        <v>1940</v>
      </c>
      <c r="I35" s="32">
        <v>50000</v>
      </c>
      <c r="J35" s="19" t="s">
        <v>1931</v>
      </c>
      <c r="K35" s="6" t="s">
        <v>1932</v>
      </c>
      <c r="L35" s="3" t="s">
        <v>2219</v>
      </c>
      <c r="M35" s="3" t="s">
        <v>2227</v>
      </c>
      <c r="N35" s="3" t="s">
        <v>2257</v>
      </c>
    </row>
    <row r="36" spans="1:14" x14ac:dyDescent="0.25">
      <c r="A36" s="14" t="s">
        <v>1927</v>
      </c>
      <c r="B36" s="16" t="s">
        <v>2199</v>
      </c>
      <c r="C36" s="19" t="s">
        <v>28</v>
      </c>
      <c r="D36" s="19" t="s">
        <v>28</v>
      </c>
      <c r="E36" s="10" t="s">
        <v>1928</v>
      </c>
      <c r="F36" s="20">
        <v>46174</v>
      </c>
      <c r="G36" s="16">
        <v>9</v>
      </c>
      <c r="H36" s="11" t="s">
        <v>1907</v>
      </c>
      <c r="I36" s="31">
        <v>169040</v>
      </c>
      <c r="J36" s="19" t="s">
        <v>1931</v>
      </c>
      <c r="K36" s="19" t="s">
        <v>1932</v>
      </c>
      <c r="L36" s="3" t="s">
        <v>2219</v>
      </c>
      <c r="M36" s="3" t="s">
        <v>2227</v>
      </c>
      <c r="N36" s="3" t="s">
        <v>2257</v>
      </c>
    </row>
    <row r="37" spans="1:14" x14ac:dyDescent="0.25">
      <c r="A37" s="15" t="s">
        <v>1927</v>
      </c>
      <c r="B37" s="17" t="s">
        <v>2199</v>
      </c>
      <c r="C37" s="6" t="s">
        <v>28</v>
      </c>
      <c r="D37" s="6" t="s">
        <v>28</v>
      </c>
      <c r="E37" s="7" t="s">
        <v>1928</v>
      </c>
      <c r="F37" s="20">
        <v>46174</v>
      </c>
      <c r="G37" s="17">
        <v>9</v>
      </c>
      <c r="H37" t="s">
        <v>1939</v>
      </c>
      <c r="I37" s="32">
        <v>50000</v>
      </c>
      <c r="J37" s="19" t="s">
        <v>1931</v>
      </c>
      <c r="K37" s="6" t="s">
        <v>1932</v>
      </c>
      <c r="L37" s="3" t="s">
        <v>2219</v>
      </c>
      <c r="M37" s="3" t="s">
        <v>2227</v>
      </c>
      <c r="N37" s="3" t="s">
        <v>2257</v>
      </c>
    </row>
    <row r="38" spans="1:14" x14ac:dyDescent="0.25">
      <c r="A38" s="14" t="s">
        <v>1927</v>
      </c>
      <c r="B38" s="16" t="s">
        <v>2199</v>
      </c>
      <c r="C38" s="19" t="s">
        <v>28</v>
      </c>
      <c r="D38" s="19" t="s">
        <v>28</v>
      </c>
      <c r="E38" s="10" t="s">
        <v>1928</v>
      </c>
      <c r="F38" s="20">
        <v>46235</v>
      </c>
      <c r="G38" s="16">
        <v>9</v>
      </c>
      <c r="H38" s="11" t="s">
        <v>1936</v>
      </c>
      <c r="I38" s="31">
        <v>5400000</v>
      </c>
      <c r="J38" s="19" t="s">
        <v>1931</v>
      </c>
      <c r="K38" s="19" t="s">
        <v>1932</v>
      </c>
      <c r="L38" s="3" t="s">
        <v>2219</v>
      </c>
      <c r="M38" s="3" t="s">
        <v>2227</v>
      </c>
      <c r="N38" s="3" t="s">
        <v>2257</v>
      </c>
    </row>
    <row r="39" spans="1:14" x14ac:dyDescent="0.25">
      <c r="A39" s="15" t="s">
        <v>1927</v>
      </c>
      <c r="B39" s="17" t="s">
        <v>2199</v>
      </c>
      <c r="C39" s="6" t="s">
        <v>28</v>
      </c>
      <c r="D39" s="6" t="s">
        <v>28</v>
      </c>
      <c r="E39" s="7" t="s">
        <v>1928</v>
      </c>
      <c r="F39" s="20">
        <v>46174</v>
      </c>
      <c r="G39" s="17">
        <v>9</v>
      </c>
      <c r="H39" t="s">
        <v>1930</v>
      </c>
      <c r="I39" s="32">
        <v>195000000</v>
      </c>
      <c r="J39" s="19" t="s">
        <v>1931</v>
      </c>
      <c r="K39" s="6" t="s">
        <v>1932</v>
      </c>
      <c r="L39" s="3" t="s">
        <v>2219</v>
      </c>
      <c r="M39" s="3" t="s">
        <v>2227</v>
      </c>
      <c r="N39" s="3" t="s">
        <v>2257</v>
      </c>
    </row>
    <row r="40" spans="1:14" x14ac:dyDescent="0.25">
      <c r="A40" s="14" t="s">
        <v>1927</v>
      </c>
      <c r="B40" s="16" t="s">
        <v>2199</v>
      </c>
      <c r="C40" s="19" t="s">
        <v>28</v>
      </c>
      <c r="D40" s="19" t="s">
        <v>28</v>
      </c>
      <c r="E40" s="10" t="s">
        <v>1928</v>
      </c>
      <c r="F40" s="20">
        <v>46174</v>
      </c>
      <c r="G40" s="16">
        <v>9</v>
      </c>
      <c r="H40" s="11" t="s">
        <v>1935</v>
      </c>
      <c r="I40" s="31">
        <v>1800000</v>
      </c>
      <c r="J40" s="19" t="s">
        <v>1931</v>
      </c>
      <c r="K40" s="19" t="s">
        <v>1932</v>
      </c>
      <c r="L40" s="3" t="s">
        <v>2219</v>
      </c>
      <c r="M40" s="3" t="s">
        <v>2227</v>
      </c>
      <c r="N40" s="3" t="s">
        <v>2257</v>
      </c>
    </row>
    <row r="41" spans="1:14" x14ac:dyDescent="0.25">
      <c r="A41" s="15" t="s">
        <v>686</v>
      </c>
      <c r="B41" s="17" t="s">
        <v>2199</v>
      </c>
      <c r="C41" s="6" t="s">
        <v>28</v>
      </c>
      <c r="D41" s="6" t="s">
        <v>28</v>
      </c>
      <c r="E41" s="7" t="s">
        <v>687</v>
      </c>
      <c r="F41" s="20">
        <v>46082</v>
      </c>
      <c r="G41" s="17">
        <v>3</v>
      </c>
      <c r="H41" t="s">
        <v>692</v>
      </c>
      <c r="I41" s="32">
        <v>36406019</v>
      </c>
      <c r="J41" s="19" t="s">
        <v>227</v>
      </c>
      <c r="K41" s="6" t="s">
        <v>480</v>
      </c>
      <c r="L41" s="3" t="s">
        <v>2220</v>
      </c>
      <c r="M41" s="3" t="s">
        <v>2234</v>
      </c>
      <c r="N41" s="3" t="s">
        <v>2258</v>
      </c>
    </row>
    <row r="42" spans="1:14" x14ac:dyDescent="0.25">
      <c r="A42" s="14" t="s">
        <v>686</v>
      </c>
      <c r="B42" s="16" t="s">
        <v>2199</v>
      </c>
      <c r="C42" s="19" t="s">
        <v>28</v>
      </c>
      <c r="D42" s="19" t="s">
        <v>28</v>
      </c>
      <c r="E42" s="10" t="s">
        <v>687</v>
      </c>
      <c r="F42" s="20">
        <v>46082</v>
      </c>
      <c r="G42" s="16">
        <v>3</v>
      </c>
      <c r="H42" s="11" t="s">
        <v>689</v>
      </c>
      <c r="I42" s="31">
        <v>64787500</v>
      </c>
      <c r="J42" s="19" t="s">
        <v>227</v>
      </c>
      <c r="K42" s="19" t="s">
        <v>480</v>
      </c>
      <c r="L42" s="3" t="s">
        <v>2220</v>
      </c>
      <c r="M42" s="3" t="s">
        <v>2234</v>
      </c>
      <c r="N42" s="3" t="s">
        <v>2258</v>
      </c>
    </row>
    <row r="43" spans="1:14" x14ac:dyDescent="0.25">
      <c r="A43" s="15" t="s">
        <v>713</v>
      </c>
      <c r="B43" s="17" t="s">
        <v>2199</v>
      </c>
      <c r="C43" s="6" t="s">
        <v>28</v>
      </c>
      <c r="D43" s="6" t="s">
        <v>28</v>
      </c>
      <c r="E43" s="7" t="s">
        <v>714</v>
      </c>
      <c r="F43" s="20">
        <v>46082</v>
      </c>
      <c r="G43" s="17">
        <v>1</v>
      </c>
      <c r="H43" t="s">
        <v>716</v>
      </c>
      <c r="I43" s="32">
        <v>49483210</v>
      </c>
      <c r="J43" s="19" t="s">
        <v>227</v>
      </c>
      <c r="K43" s="6" t="s">
        <v>480</v>
      </c>
      <c r="L43" s="3" t="s">
        <v>2220</v>
      </c>
      <c r="M43" s="3" t="s">
        <v>2234</v>
      </c>
      <c r="N43" s="3" t="s">
        <v>2258</v>
      </c>
    </row>
    <row r="44" spans="1:14" x14ac:dyDescent="0.25">
      <c r="A44" s="14" t="s">
        <v>721</v>
      </c>
      <c r="B44" s="16" t="s">
        <v>2199</v>
      </c>
      <c r="C44" s="19" t="s">
        <v>28</v>
      </c>
      <c r="D44" s="19" t="s">
        <v>28</v>
      </c>
      <c r="E44" s="10" t="s">
        <v>722</v>
      </c>
      <c r="F44" s="20">
        <v>46082</v>
      </c>
      <c r="G44" s="16">
        <v>1</v>
      </c>
      <c r="H44" s="11" t="s">
        <v>716</v>
      </c>
      <c r="I44" s="31">
        <v>247689000</v>
      </c>
      <c r="J44" s="19" t="s">
        <v>227</v>
      </c>
      <c r="K44" s="19" t="s">
        <v>480</v>
      </c>
      <c r="L44" s="3" t="s">
        <v>2220</v>
      </c>
      <c r="M44" s="3" t="s">
        <v>2234</v>
      </c>
      <c r="N44" s="3" t="s">
        <v>2258</v>
      </c>
    </row>
    <row r="45" spans="1:14" x14ac:dyDescent="0.25">
      <c r="A45" s="15" t="s">
        <v>222</v>
      </c>
      <c r="B45" s="17" t="s">
        <v>2196</v>
      </c>
      <c r="C45" s="17" t="s">
        <v>2196</v>
      </c>
      <c r="D45" s="6" t="s">
        <v>28</v>
      </c>
      <c r="E45" s="7" t="s">
        <v>224</v>
      </c>
      <c r="F45" s="20">
        <v>45658</v>
      </c>
      <c r="G45" s="17">
        <v>2</v>
      </c>
      <c r="H45" t="s">
        <v>226</v>
      </c>
      <c r="I45" s="32">
        <v>48115128</v>
      </c>
      <c r="J45" s="19" t="s">
        <v>227</v>
      </c>
      <c r="K45" s="6" t="s">
        <v>228</v>
      </c>
      <c r="L45" s="3" t="s">
        <v>2220</v>
      </c>
      <c r="M45" s="3" t="s">
        <v>2234</v>
      </c>
      <c r="N45" s="3" t="s">
        <v>2258</v>
      </c>
    </row>
    <row r="46" spans="1:14" x14ac:dyDescent="0.25">
      <c r="A46" s="14" t="s">
        <v>238</v>
      </c>
      <c r="B46" s="16" t="s">
        <v>2196</v>
      </c>
      <c r="C46" s="16" t="s">
        <v>2196</v>
      </c>
      <c r="D46" s="19" t="s">
        <v>28</v>
      </c>
      <c r="E46" s="10" t="s">
        <v>239</v>
      </c>
      <c r="F46" s="20">
        <v>45658</v>
      </c>
      <c r="G46" s="16">
        <v>2</v>
      </c>
      <c r="H46" s="11" t="s">
        <v>226</v>
      </c>
      <c r="I46" s="31">
        <v>237155100</v>
      </c>
      <c r="J46" s="19" t="s">
        <v>227</v>
      </c>
      <c r="K46" s="19" t="s">
        <v>228</v>
      </c>
      <c r="L46" s="3" t="s">
        <v>2220</v>
      </c>
      <c r="M46" s="3" t="s">
        <v>2234</v>
      </c>
      <c r="N46" s="3" t="s">
        <v>2258</v>
      </c>
    </row>
    <row r="47" spans="1:14" x14ac:dyDescent="0.25">
      <c r="A47" s="15" t="s">
        <v>244</v>
      </c>
      <c r="B47" s="17" t="s">
        <v>2196</v>
      </c>
      <c r="C47" s="17" t="s">
        <v>2196</v>
      </c>
      <c r="D47" s="6" t="s">
        <v>28</v>
      </c>
      <c r="E47" s="7" t="s">
        <v>245</v>
      </c>
      <c r="F47" s="20">
        <v>45658</v>
      </c>
      <c r="G47" s="17">
        <v>2</v>
      </c>
      <c r="H47" t="s">
        <v>226</v>
      </c>
      <c r="I47" s="32">
        <v>284700000</v>
      </c>
      <c r="J47" s="19" t="s">
        <v>227</v>
      </c>
      <c r="K47" s="6" t="s">
        <v>228</v>
      </c>
      <c r="L47" s="3" t="s">
        <v>2220</v>
      </c>
      <c r="M47" s="3" t="s">
        <v>2234</v>
      </c>
      <c r="N47" s="3" t="s">
        <v>2258</v>
      </c>
    </row>
    <row r="48" spans="1:14" x14ac:dyDescent="0.25">
      <c r="A48" s="14" t="s">
        <v>476</v>
      </c>
      <c r="B48" s="16" t="s">
        <v>2196</v>
      </c>
      <c r="C48" s="16" t="s">
        <v>2196</v>
      </c>
      <c r="D48" s="19" t="s">
        <v>28</v>
      </c>
      <c r="E48" s="10" t="s">
        <v>477</v>
      </c>
      <c r="F48" s="20">
        <v>45870</v>
      </c>
      <c r="G48" s="16">
        <v>2</v>
      </c>
      <c r="H48" s="11" t="s">
        <v>481</v>
      </c>
      <c r="I48" s="31">
        <v>23924290</v>
      </c>
      <c r="J48" s="19" t="s">
        <v>227</v>
      </c>
      <c r="K48" s="19" t="s">
        <v>480</v>
      </c>
      <c r="L48" s="3" t="s">
        <v>2220</v>
      </c>
      <c r="M48" s="3" t="s">
        <v>2234</v>
      </c>
      <c r="N48" s="3" t="s">
        <v>2258</v>
      </c>
    </row>
    <row r="49" spans="1:14" x14ac:dyDescent="0.25">
      <c r="A49" s="15" t="s">
        <v>476</v>
      </c>
      <c r="B49" s="17" t="s">
        <v>2196</v>
      </c>
      <c r="C49" s="17" t="s">
        <v>2196</v>
      </c>
      <c r="D49" s="6" t="s">
        <v>28</v>
      </c>
      <c r="E49" s="7" t="s">
        <v>477</v>
      </c>
      <c r="F49" s="20">
        <v>46023</v>
      </c>
      <c r="G49" s="17">
        <v>2</v>
      </c>
      <c r="H49" t="s">
        <v>479</v>
      </c>
      <c r="I49" s="32">
        <v>90702500</v>
      </c>
      <c r="J49" s="19" t="s">
        <v>227</v>
      </c>
      <c r="K49" s="6" t="s">
        <v>480</v>
      </c>
      <c r="L49" s="3" t="s">
        <v>2220</v>
      </c>
      <c r="M49" s="3" t="s">
        <v>2234</v>
      </c>
      <c r="N49" s="3" t="s">
        <v>2258</v>
      </c>
    </row>
    <row r="50" spans="1:14" x14ac:dyDescent="0.25">
      <c r="A50" s="14" t="s">
        <v>68</v>
      </c>
      <c r="B50" s="16" t="s">
        <v>2196</v>
      </c>
      <c r="C50" s="16" t="s">
        <v>2196</v>
      </c>
      <c r="D50" s="19" t="s">
        <v>28</v>
      </c>
      <c r="E50" s="10" t="s">
        <v>70</v>
      </c>
      <c r="F50" s="20">
        <v>45474</v>
      </c>
      <c r="G50" s="16">
        <v>1</v>
      </c>
      <c r="H50" s="11" t="s">
        <v>72</v>
      </c>
      <c r="I50" s="31">
        <v>40432878</v>
      </c>
      <c r="J50" s="19" t="s">
        <v>74</v>
      </c>
      <c r="K50" s="19" t="s">
        <v>75</v>
      </c>
      <c r="L50" s="3" t="s">
        <v>2220</v>
      </c>
      <c r="M50" s="3" t="s">
        <v>2234</v>
      </c>
      <c r="N50" s="3" t="s">
        <v>2258</v>
      </c>
    </row>
    <row r="51" spans="1:14" x14ac:dyDescent="0.25">
      <c r="A51" s="15" t="s">
        <v>82</v>
      </c>
      <c r="B51" s="17" t="s">
        <v>2196</v>
      </c>
      <c r="C51" s="17" t="s">
        <v>2196</v>
      </c>
      <c r="D51" s="6" t="s">
        <v>28</v>
      </c>
      <c r="E51" s="7" t="s">
        <v>83</v>
      </c>
      <c r="F51" s="20">
        <v>45444</v>
      </c>
      <c r="G51" s="17">
        <v>1</v>
      </c>
      <c r="H51" t="s">
        <v>72</v>
      </c>
      <c r="I51" s="32">
        <v>78361124</v>
      </c>
      <c r="J51" s="19" t="s">
        <v>74</v>
      </c>
      <c r="K51" s="6" t="s">
        <v>85</v>
      </c>
      <c r="L51" s="3" t="s">
        <v>2220</v>
      </c>
      <c r="M51" s="3" t="s">
        <v>2234</v>
      </c>
      <c r="N51" s="3" t="s">
        <v>2258</v>
      </c>
    </row>
    <row r="52" spans="1:14" x14ac:dyDescent="0.25">
      <c r="A52" s="14" t="s">
        <v>91</v>
      </c>
      <c r="B52" s="16" t="s">
        <v>2196</v>
      </c>
      <c r="C52" s="16" t="s">
        <v>2196</v>
      </c>
      <c r="D52" s="19" t="s">
        <v>28</v>
      </c>
      <c r="E52" s="10" t="s">
        <v>92</v>
      </c>
      <c r="F52" s="20">
        <v>45444</v>
      </c>
      <c r="G52" s="16">
        <v>1</v>
      </c>
      <c r="H52" s="11" t="s">
        <v>72</v>
      </c>
      <c r="I52" s="31">
        <v>78361124</v>
      </c>
      <c r="J52" s="19" t="s">
        <v>74</v>
      </c>
      <c r="K52" s="19" t="s">
        <v>85</v>
      </c>
      <c r="L52" s="3" t="s">
        <v>2220</v>
      </c>
      <c r="M52" s="3" t="s">
        <v>2234</v>
      </c>
      <c r="N52" s="3" t="s">
        <v>2258</v>
      </c>
    </row>
    <row r="53" spans="1:14" x14ac:dyDescent="0.25">
      <c r="A53" s="15" t="s">
        <v>461</v>
      </c>
      <c r="B53" s="17" t="s">
        <v>2196</v>
      </c>
      <c r="C53" s="17" t="s">
        <v>2196</v>
      </c>
      <c r="D53" s="6" t="s">
        <v>28</v>
      </c>
      <c r="E53" s="7" t="s">
        <v>462</v>
      </c>
      <c r="F53" s="20">
        <v>45992</v>
      </c>
      <c r="G53" s="17">
        <v>1</v>
      </c>
      <c r="H53" t="s">
        <v>464</v>
      </c>
      <c r="I53" s="32">
        <v>246357600</v>
      </c>
      <c r="J53" s="19" t="s">
        <v>465</v>
      </c>
      <c r="K53" s="6" t="s">
        <v>466</v>
      </c>
      <c r="L53" s="3" t="s">
        <v>2220</v>
      </c>
      <c r="M53" s="3" t="s">
        <v>2234</v>
      </c>
      <c r="N53" s="3" t="s">
        <v>2258</v>
      </c>
    </row>
    <row r="54" spans="1:14" x14ac:dyDescent="0.25">
      <c r="A54" s="14" t="s">
        <v>1981</v>
      </c>
      <c r="B54" s="16" t="s">
        <v>2199</v>
      </c>
      <c r="C54" s="19" t="s">
        <v>28</v>
      </c>
      <c r="D54" s="19" t="s">
        <v>28</v>
      </c>
      <c r="E54" s="10" t="s">
        <v>1982</v>
      </c>
      <c r="F54" s="20">
        <v>46023</v>
      </c>
      <c r="G54" s="16">
        <v>2</v>
      </c>
      <c r="H54" s="11" t="s">
        <v>1984</v>
      </c>
      <c r="I54" s="31">
        <v>350200</v>
      </c>
      <c r="J54" s="19" t="s">
        <v>1985</v>
      </c>
      <c r="K54" s="19" t="s">
        <v>1986</v>
      </c>
      <c r="L54" s="3" t="s">
        <v>2221</v>
      </c>
      <c r="M54" s="3" t="s">
        <v>2234</v>
      </c>
      <c r="N54" s="3" t="s">
        <v>2259</v>
      </c>
    </row>
    <row r="55" spans="1:14" x14ac:dyDescent="0.25">
      <c r="A55" s="15" t="s">
        <v>1981</v>
      </c>
      <c r="B55" s="17" t="s">
        <v>2199</v>
      </c>
      <c r="C55" s="6" t="s">
        <v>28</v>
      </c>
      <c r="D55" s="6" t="s">
        <v>28</v>
      </c>
      <c r="E55" s="7" t="s">
        <v>1982</v>
      </c>
      <c r="F55" s="20">
        <v>46023</v>
      </c>
      <c r="G55" s="17">
        <v>2</v>
      </c>
      <c r="H55" t="s">
        <v>1989</v>
      </c>
      <c r="I55" s="32">
        <v>550800</v>
      </c>
      <c r="J55" s="19" t="s">
        <v>1985</v>
      </c>
      <c r="K55" s="6" t="s">
        <v>1986</v>
      </c>
      <c r="L55" s="3" t="s">
        <v>2221</v>
      </c>
      <c r="M55" s="3" t="s">
        <v>2234</v>
      </c>
      <c r="N55" s="3" t="s">
        <v>2259</v>
      </c>
    </row>
    <row r="56" spans="1:14" x14ac:dyDescent="0.25">
      <c r="A56" s="14" t="s">
        <v>1997</v>
      </c>
      <c r="B56" s="16" t="s">
        <v>2199</v>
      </c>
      <c r="C56" s="19" t="s">
        <v>28</v>
      </c>
      <c r="D56" s="19" t="s">
        <v>28</v>
      </c>
      <c r="E56" s="10" t="s">
        <v>1998</v>
      </c>
      <c r="F56" s="20">
        <v>46113</v>
      </c>
      <c r="G56" s="16">
        <v>1</v>
      </c>
      <c r="H56" s="11" t="s">
        <v>602</v>
      </c>
      <c r="I56" s="31">
        <v>1200000</v>
      </c>
      <c r="J56" s="19" t="s">
        <v>1985</v>
      </c>
      <c r="K56" s="19" t="s">
        <v>1986</v>
      </c>
      <c r="L56" s="3" t="s">
        <v>2221</v>
      </c>
      <c r="M56" s="3" t="s">
        <v>2234</v>
      </c>
      <c r="N56" s="3" t="s">
        <v>2259</v>
      </c>
    </row>
    <row r="57" spans="1:14" x14ac:dyDescent="0.25">
      <c r="A57" s="15" t="s">
        <v>2000</v>
      </c>
      <c r="B57" s="17" t="s">
        <v>2199</v>
      </c>
      <c r="C57" s="6" t="s">
        <v>28</v>
      </c>
      <c r="D57" s="6" t="s">
        <v>28</v>
      </c>
      <c r="E57" s="7" t="s">
        <v>2001</v>
      </c>
      <c r="F57" s="20">
        <v>46023</v>
      </c>
      <c r="G57" s="17">
        <v>2</v>
      </c>
      <c r="H57" t="s">
        <v>2003</v>
      </c>
      <c r="I57" s="32">
        <v>10000000</v>
      </c>
      <c r="J57" s="19" t="s">
        <v>1985</v>
      </c>
      <c r="K57" s="6" t="s">
        <v>1986</v>
      </c>
      <c r="L57" s="3" t="s">
        <v>2221</v>
      </c>
      <c r="M57" s="3" t="s">
        <v>2234</v>
      </c>
      <c r="N57" s="3" t="s">
        <v>2259</v>
      </c>
    </row>
    <row r="58" spans="1:14" x14ac:dyDescent="0.25">
      <c r="A58" s="14" t="s">
        <v>2000</v>
      </c>
      <c r="B58" s="16" t="s">
        <v>2199</v>
      </c>
      <c r="C58" s="19" t="s">
        <v>28</v>
      </c>
      <c r="D58" s="19" t="s">
        <v>28</v>
      </c>
      <c r="E58" s="10" t="s">
        <v>2001</v>
      </c>
      <c r="F58" s="20">
        <v>46023</v>
      </c>
      <c r="G58" s="16">
        <v>2</v>
      </c>
      <c r="H58" s="11" t="s">
        <v>2004</v>
      </c>
      <c r="I58" s="31">
        <v>10000000</v>
      </c>
      <c r="J58" s="19" t="s">
        <v>1985</v>
      </c>
      <c r="K58" s="19" t="s">
        <v>1986</v>
      </c>
      <c r="L58" s="3" t="s">
        <v>2221</v>
      </c>
      <c r="M58" s="3" t="s">
        <v>2234</v>
      </c>
      <c r="N58" s="3" t="s">
        <v>2259</v>
      </c>
    </row>
    <row r="59" spans="1:14" x14ac:dyDescent="0.25">
      <c r="A59" s="15" t="s">
        <v>2011</v>
      </c>
      <c r="B59" s="17" t="s">
        <v>2199</v>
      </c>
      <c r="C59" s="6" t="s">
        <v>28</v>
      </c>
      <c r="D59" s="6" t="s">
        <v>28</v>
      </c>
      <c r="E59" s="7" t="s">
        <v>2012</v>
      </c>
      <c r="F59" s="20">
        <v>46023</v>
      </c>
      <c r="G59" s="17">
        <v>2</v>
      </c>
      <c r="H59" t="s">
        <v>2014</v>
      </c>
      <c r="I59" s="32">
        <v>10000000</v>
      </c>
      <c r="J59" s="19" t="s">
        <v>1985</v>
      </c>
      <c r="K59" s="6" t="s">
        <v>1986</v>
      </c>
      <c r="L59" s="3" t="s">
        <v>2221</v>
      </c>
      <c r="M59" s="3" t="s">
        <v>2234</v>
      </c>
      <c r="N59" s="3" t="s">
        <v>2259</v>
      </c>
    </row>
    <row r="60" spans="1:14" x14ac:dyDescent="0.25">
      <c r="A60" s="14" t="s">
        <v>2011</v>
      </c>
      <c r="B60" s="16" t="s">
        <v>2199</v>
      </c>
      <c r="C60" s="19" t="s">
        <v>28</v>
      </c>
      <c r="D60" s="19" t="s">
        <v>28</v>
      </c>
      <c r="E60" s="10" t="s">
        <v>2012</v>
      </c>
      <c r="F60" s="20">
        <v>46023</v>
      </c>
      <c r="G60" s="16">
        <v>2</v>
      </c>
      <c r="H60" s="11" t="s">
        <v>2015</v>
      </c>
      <c r="I60" s="31">
        <v>40008000</v>
      </c>
      <c r="J60" s="19" t="s">
        <v>1985</v>
      </c>
      <c r="K60" s="19" t="s">
        <v>1986</v>
      </c>
      <c r="L60" s="3" t="s">
        <v>2221</v>
      </c>
      <c r="M60" s="3" t="s">
        <v>2234</v>
      </c>
      <c r="N60" s="3" t="s">
        <v>2259</v>
      </c>
    </row>
    <row r="61" spans="1:14" x14ac:dyDescent="0.25">
      <c r="A61" s="15" t="s">
        <v>2020</v>
      </c>
      <c r="B61" s="17" t="s">
        <v>2199</v>
      </c>
      <c r="C61" s="6" t="s">
        <v>28</v>
      </c>
      <c r="D61" s="6" t="s">
        <v>28</v>
      </c>
      <c r="E61" s="7" t="s">
        <v>2021</v>
      </c>
      <c r="F61" s="20">
        <v>46023</v>
      </c>
      <c r="G61" s="17">
        <v>1</v>
      </c>
      <c r="H61" t="s">
        <v>2023</v>
      </c>
      <c r="I61" s="32">
        <v>700005</v>
      </c>
      <c r="J61" s="19" t="s">
        <v>1985</v>
      </c>
      <c r="K61" s="6" t="s">
        <v>1986</v>
      </c>
      <c r="L61" s="3" t="s">
        <v>2221</v>
      </c>
      <c r="M61" s="3" t="s">
        <v>2234</v>
      </c>
      <c r="N61" s="3" t="s">
        <v>2259</v>
      </c>
    </row>
    <row r="62" spans="1:14" x14ac:dyDescent="0.25">
      <c r="A62" s="14" t="s">
        <v>2024</v>
      </c>
      <c r="B62" s="16" t="s">
        <v>2199</v>
      </c>
      <c r="C62" s="19" t="s">
        <v>28</v>
      </c>
      <c r="D62" s="19" t="s">
        <v>28</v>
      </c>
      <c r="E62" s="10" t="s">
        <v>2025</v>
      </c>
      <c r="F62" s="20">
        <v>46023</v>
      </c>
      <c r="G62" s="16">
        <v>1</v>
      </c>
      <c r="H62" s="11" t="s">
        <v>2027</v>
      </c>
      <c r="I62" s="31">
        <v>10000000</v>
      </c>
      <c r="J62" s="19" t="s">
        <v>1985</v>
      </c>
      <c r="K62" s="19" t="s">
        <v>1986</v>
      </c>
      <c r="L62" s="3" t="s">
        <v>2221</v>
      </c>
      <c r="M62" s="3" t="s">
        <v>2234</v>
      </c>
      <c r="N62" s="3" t="s">
        <v>2259</v>
      </c>
    </row>
    <row r="63" spans="1:14" x14ac:dyDescent="0.25">
      <c r="A63" s="15" t="s">
        <v>29</v>
      </c>
      <c r="B63" s="17" t="s">
        <v>2196</v>
      </c>
      <c r="C63" s="17" t="s">
        <v>2196</v>
      </c>
      <c r="D63" s="6" t="s">
        <v>28</v>
      </c>
      <c r="E63" s="7" t="s">
        <v>33</v>
      </c>
      <c r="F63" s="20">
        <v>45292</v>
      </c>
      <c r="G63" s="17">
        <v>2</v>
      </c>
      <c r="H63" t="s">
        <v>35</v>
      </c>
      <c r="I63" s="32">
        <v>30000000</v>
      </c>
      <c r="J63" s="19" t="s">
        <v>37</v>
      </c>
      <c r="K63" s="6" t="s">
        <v>38</v>
      </c>
      <c r="L63" s="3" t="s">
        <v>2217</v>
      </c>
      <c r="M63" s="3" t="s">
        <v>2256</v>
      </c>
      <c r="N63" s="3" t="s">
        <v>2280</v>
      </c>
    </row>
    <row r="64" spans="1:14" x14ac:dyDescent="0.25">
      <c r="A64" s="14" t="s">
        <v>44</v>
      </c>
      <c r="B64" s="16" t="s">
        <v>2196</v>
      </c>
      <c r="C64" s="16" t="s">
        <v>2196</v>
      </c>
      <c r="D64" s="19" t="s">
        <v>28</v>
      </c>
      <c r="E64" s="10" t="s">
        <v>46</v>
      </c>
      <c r="F64" s="20">
        <v>45200</v>
      </c>
      <c r="G64" s="16">
        <v>2</v>
      </c>
      <c r="H64" s="11" t="s">
        <v>48</v>
      </c>
      <c r="I64" s="31">
        <v>6711996</v>
      </c>
      <c r="J64" s="19" t="s">
        <v>37</v>
      </c>
      <c r="K64" s="19" t="s">
        <v>49</v>
      </c>
      <c r="L64" s="3" t="s">
        <v>2217</v>
      </c>
      <c r="M64" s="3" t="s">
        <v>2256</v>
      </c>
      <c r="N64" s="3" t="s">
        <v>2280</v>
      </c>
    </row>
    <row r="65" spans="1:14" x14ac:dyDescent="0.25">
      <c r="A65" s="15" t="s">
        <v>444</v>
      </c>
      <c r="B65" s="17" t="s">
        <v>2196</v>
      </c>
      <c r="C65" s="17" t="s">
        <v>2196</v>
      </c>
      <c r="D65" s="6" t="s">
        <v>28</v>
      </c>
      <c r="E65" s="7" t="s">
        <v>445</v>
      </c>
      <c r="F65" s="20">
        <v>45870</v>
      </c>
      <c r="G65" s="17">
        <v>1</v>
      </c>
      <c r="H65" t="s">
        <v>447</v>
      </c>
      <c r="I65" s="32">
        <v>89478000</v>
      </c>
      <c r="J65" s="19" t="s">
        <v>37</v>
      </c>
      <c r="K65" s="6" t="s">
        <v>449</v>
      </c>
      <c r="L65" s="3" t="s">
        <v>2217</v>
      </c>
      <c r="M65" s="3" t="s">
        <v>2256</v>
      </c>
      <c r="N65" s="3" t="s">
        <v>2280</v>
      </c>
    </row>
    <row r="66" spans="1:14" x14ac:dyDescent="0.25">
      <c r="A66" s="14" t="s">
        <v>938</v>
      </c>
      <c r="B66" s="16" t="s">
        <v>2199</v>
      </c>
      <c r="C66" s="19" t="s">
        <v>28</v>
      </c>
      <c r="D66" s="19" t="s">
        <v>28</v>
      </c>
      <c r="E66" s="10" t="s">
        <v>939</v>
      </c>
      <c r="F66" s="20">
        <v>46113</v>
      </c>
      <c r="G66" s="16">
        <v>3</v>
      </c>
      <c r="H66" s="11" t="s">
        <v>946</v>
      </c>
      <c r="I66" s="31">
        <v>2175000</v>
      </c>
      <c r="J66" s="19" t="s">
        <v>942</v>
      </c>
      <c r="K66" s="19" t="s">
        <v>943</v>
      </c>
      <c r="L66" s="3" t="s">
        <v>2222</v>
      </c>
      <c r="M66" s="3" t="s">
        <v>2234</v>
      </c>
      <c r="N66" s="3" t="s">
        <v>2260</v>
      </c>
    </row>
    <row r="67" spans="1:14" x14ac:dyDescent="0.25">
      <c r="A67" s="15" t="s">
        <v>938</v>
      </c>
      <c r="B67" s="17" t="s">
        <v>2199</v>
      </c>
      <c r="C67" s="6" t="s">
        <v>28</v>
      </c>
      <c r="D67" s="6" t="s">
        <v>28</v>
      </c>
      <c r="E67" s="7" t="s">
        <v>939</v>
      </c>
      <c r="F67" s="20">
        <v>46113</v>
      </c>
      <c r="G67" s="17">
        <v>3</v>
      </c>
      <c r="H67" t="s">
        <v>945</v>
      </c>
      <c r="I67" s="32">
        <v>8155836</v>
      </c>
      <c r="J67" s="19" t="s">
        <v>942</v>
      </c>
      <c r="K67" s="6" t="s">
        <v>943</v>
      </c>
      <c r="L67" s="3" t="s">
        <v>2222</v>
      </c>
      <c r="M67" s="3" t="s">
        <v>2234</v>
      </c>
      <c r="N67" s="3" t="s">
        <v>2260</v>
      </c>
    </row>
    <row r="68" spans="1:14" x14ac:dyDescent="0.25">
      <c r="A68" s="14" t="s">
        <v>938</v>
      </c>
      <c r="B68" s="16" t="s">
        <v>2199</v>
      </c>
      <c r="C68" s="19" t="s">
        <v>28</v>
      </c>
      <c r="D68" s="19" t="s">
        <v>28</v>
      </c>
      <c r="E68" s="10" t="s">
        <v>939</v>
      </c>
      <c r="F68" s="20">
        <v>46113</v>
      </c>
      <c r="G68" s="16">
        <v>3</v>
      </c>
      <c r="H68" s="11" t="s">
        <v>941</v>
      </c>
      <c r="I68" s="31">
        <v>1672500</v>
      </c>
      <c r="J68" s="19" t="s">
        <v>942</v>
      </c>
      <c r="K68" s="19" t="s">
        <v>943</v>
      </c>
      <c r="L68" s="3" t="s">
        <v>2222</v>
      </c>
      <c r="M68" s="3" t="s">
        <v>2234</v>
      </c>
      <c r="N68" s="3" t="s">
        <v>2260</v>
      </c>
    </row>
    <row r="69" spans="1:14" x14ac:dyDescent="0.25">
      <c r="A69" s="15" t="s">
        <v>468</v>
      </c>
      <c r="B69" s="17" t="s">
        <v>2196</v>
      </c>
      <c r="C69" s="17" t="s">
        <v>2196</v>
      </c>
      <c r="D69" s="6" t="s">
        <v>374</v>
      </c>
      <c r="E69" s="7" t="s">
        <v>470</v>
      </c>
      <c r="F69" s="20">
        <v>45870</v>
      </c>
      <c r="G69" s="17">
        <v>1</v>
      </c>
      <c r="H69" t="s">
        <v>472</v>
      </c>
      <c r="I69" s="32">
        <v>394362600</v>
      </c>
      <c r="J69" s="19" t="s">
        <v>473</v>
      </c>
      <c r="K69" s="6" t="s">
        <v>474</v>
      </c>
      <c r="L69" s="3" t="s">
        <v>2222</v>
      </c>
      <c r="M69" s="3" t="s">
        <v>2234</v>
      </c>
      <c r="N69" s="3" t="s">
        <v>2260</v>
      </c>
    </row>
    <row r="70" spans="1:14" x14ac:dyDescent="0.25">
      <c r="A70" s="14" t="s">
        <v>1213</v>
      </c>
      <c r="B70" s="16" t="s">
        <v>2199</v>
      </c>
      <c r="C70" s="19" t="s">
        <v>28</v>
      </c>
      <c r="D70" s="19" t="s">
        <v>28</v>
      </c>
      <c r="E70" s="10" t="s">
        <v>1214</v>
      </c>
      <c r="F70" s="20">
        <v>46023</v>
      </c>
      <c r="G70" s="16">
        <v>1</v>
      </c>
      <c r="H70" s="11" t="s">
        <v>1216</v>
      </c>
      <c r="I70" s="31">
        <v>126581</v>
      </c>
      <c r="J70" s="19" t="s">
        <v>395</v>
      </c>
      <c r="K70" s="19" t="s">
        <v>1217</v>
      </c>
      <c r="L70" s="3" t="s">
        <v>2223</v>
      </c>
      <c r="M70" s="3" t="s">
        <v>2234</v>
      </c>
      <c r="N70" s="3" t="s">
        <v>2258</v>
      </c>
    </row>
    <row r="71" spans="1:14" x14ac:dyDescent="0.25">
      <c r="A71" s="15" t="s">
        <v>1219</v>
      </c>
      <c r="B71" s="17" t="s">
        <v>2199</v>
      </c>
      <c r="C71" s="6" t="s">
        <v>28</v>
      </c>
      <c r="D71" s="6" t="s">
        <v>28</v>
      </c>
      <c r="E71" s="7" t="s">
        <v>1220</v>
      </c>
      <c r="F71" s="20">
        <v>46023</v>
      </c>
      <c r="G71" s="17">
        <v>2</v>
      </c>
      <c r="H71" t="s">
        <v>1223</v>
      </c>
      <c r="I71" s="32">
        <v>45000</v>
      </c>
      <c r="J71" s="19" t="s">
        <v>395</v>
      </c>
      <c r="K71" s="6" t="s">
        <v>1217</v>
      </c>
      <c r="L71" s="3" t="s">
        <v>2223</v>
      </c>
      <c r="M71" s="3" t="s">
        <v>2234</v>
      </c>
      <c r="N71" s="3" t="s">
        <v>2258</v>
      </c>
    </row>
    <row r="72" spans="1:14" x14ac:dyDescent="0.25">
      <c r="A72" s="14" t="s">
        <v>1219</v>
      </c>
      <c r="B72" s="16" t="s">
        <v>2199</v>
      </c>
      <c r="C72" s="19" t="s">
        <v>28</v>
      </c>
      <c r="D72" s="19" t="s">
        <v>28</v>
      </c>
      <c r="E72" s="10" t="s">
        <v>1220</v>
      </c>
      <c r="F72" s="20">
        <v>46023</v>
      </c>
      <c r="G72" s="16">
        <v>2</v>
      </c>
      <c r="H72" s="11" t="s">
        <v>1222</v>
      </c>
      <c r="I72" s="31">
        <v>127000</v>
      </c>
      <c r="J72" s="19" t="s">
        <v>395</v>
      </c>
      <c r="K72" s="19" t="s">
        <v>1217</v>
      </c>
      <c r="L72" s="3" t="s">
        <v>2223</v>
      </c>
      <c r="M72" s="3" t="s">
        <v>2234</v>
      </c>
      <c r="N72" s="3" t="s">
        <v>2258</v>
      </c>
    </row>
    <row r="73" spans="1:14" x14ac:dyDescent="0.25">
      <c r="A73" s="15" t="s">
        <v>1259</v>
      </c>
      <c r="B73" s="17" t="s">
        <v>2199</v>
      </c>
      <c r="C73" s="6" t="s">
        <v>28</v>
      </c>
      <c r="D73" s="6" t="s">
        <v>28</v>
      </c>
      <c r="E73" s="7" t="s">
        <v>1260</v>
      </c>
      <c r="F73" s="20">
        <v>46023</v>
      </c>
      <c r="G73" s="17">
        <v>2</v>
      </c>
      <c r="H73" t="s">
        <v>777</v>
      </c>
      <c r="I73" s="32">
        <v>90100</v>
      </c>
      <c r="J73" s="19" t="s">
        <v>395</v>
      </c>
      <c r="K73" s="6" t="s">
        <v>1217</v>
      </c>
      <c r="L73" s="3" t="s">
        <v>2223</v>
      </c>
      <c r="M73" s="3" t="s">
        <v>2234</v>
      </c>
      <c r="N73" s="3" t="s">
        <v>2258</v>
      </c>
    </row>
    <row r="74" spans="1:14" x14ac:dyDescent="0.25">
      <c r="A74" s="14" t="s">
        <v>1259</v>
      </c>
      <c r="B74" s="16" t="s">
        <v>2199</v>
      </c>
      <c r="C74" s="19" t="s">
        <v>28</v>
      </c>
      <c r="D74" s="19" t="s">
        <v>28</v>
      </c>
      <c r="E74" s="10" t="s">
        <v>1260</v>
      </c>
      <c r="F74" s="20">
        <v>46023</v>
      </c>
      <c r="G74" s="16">
        <v>2</v>
      </c>
      <c r="H74" s="11" t="s">
        <v>1263</v>
      </c>
      <c r="I74" s="31">
        <v>280000</v>
      </c>
      <c r="J74" s="19" t="s">
        <v>395</v>
      </c>
      <c r="K74" s="19" t="s">
        <v>1217</v>
      </c>
      <c r="L74" s="3" t="s">
        <v>2223</v>
      </c>
      <c r="M74" s="3" t="s">
        <v>2234</v>
      </c>
      <c r="N74" s="3" t="s">
        <v>2258</v>
      </c>
    </row>
    <row r="75" spans="1:14" x14ac:dyDescent="0.25">
      <c r="A75" s="15" t="s">
        <v>2156</v>
      </c>
      <c r="B75" s="17" t="s">
        <v>2199</v>
      </c>
      <c r="C75" s="6" t="s">
        <v>28</v>
      </c>
      <c r="D75" s="6" t="s">
        <v>28</v>
      </c>
      <c r="E75" s="7" t="s">
        <v>2157</v>
      </c>
      <c r="F75" s="20">
        <v>46023</v>
      </c>
      <c r="G75" s="17">
        <v>2</v>
      </c>
      <c r="H75" t="s">
        <v>786</v>
      </c>
      <c r="I75" s="32">
        <v>791208</v>
      </c>
      <c r="J75" s="19" t="s">
        <v>395</v>
      </c>
      <c r="K75" s="6" t="s">
        <v>1217</v>
      </c>
      <c r="L75" s="3" t="s">
        <v>2223</v>
      </c>
      <c r="M75" s="3" t="s">
        <v>2234</v>
      </c>
      <c r="N75" s="3" t="s">
        <v>2258</v>
      </c>
    </row>
    <row r="76" spans="1:14" x14ac:dyDescent="0.25">
      <c r="A76" s="14" t="s">
        <v>2156</v>
      </c>
      <c r="B76" s="16" t="s">
        <v>2199</v>
      </c>
      <c r="C76" s="19" t="s">
        <v>28</v>
      </c>
      <c r="D76" s="19" t="s">
        <v>28</v>
      </c>
      <c r="E76" s="10" t="s">
        <v>2157</v>
      </c>
      <c r="F76" s="20">
        <v>46023</v>
      </c>
      <c r="G76" s="16">
        <v>2</v>
      </c>
      <c r="H76" s="11" t="s">
        <v>1989</v>
      </c>
      <c r="I76" s="31">
        <v>30000</v>
      </c>
      <c r="J76" s="19" t="s">
        <v>395</v>
      </c>
      <c r="K76" s="19" t="s">
        <v>1217</v>
      </c>
      <c r="L76" s="3" t="s">
        <v>2223</v>
      </c>
      <c r="M76" s="3" t="s">
        <v>2234</v>
      </c>
      <c r="N76" s="3" t="s">
        <v>2258</v>
      </c>
    </row>
    <row r="77" spans="1:14" x14ac:dyDescent="0.25">
      <c r="A77" s="15" t="s">
        <v>392</v>
      </c>
      <c r="B77" s="17" t="s">
        <v>2196</v>
      </c>
      <c r="C77" s="17" t="s">
        <v>2196</v>
      </c>
      <c r="D77" s="6" t="s">
        <v>28</v>
      </c>
      <c r="E77" s="7" t="s">
        <v>393</v>
      </c>
      <c r="F77" s="20">
        <v>45870</v>
      </c>
      <c r="G77" s="17">
        <v>1</v>
      </c>
      <c r="H77" t="s">
        <v>326</v>
      </c>
      <c r="I77" s="32">
        <v>17416663</v>
      </c>
      <c r="J77" s="19" t="s">
        <v>395</v>
      </c>
      <c r="K77" s="6" t="s">
        <v>396</v>
      </c>
      <c r="L77" s="3" t="s">
        <v>2223</v>
      </c>
      <c r="M77" s="3" t="s">
        <v>2234</v>
      </c>
      <c r="N77" s="3" t="s">
        <v>2258</v>
      </c>
    </row>
    <row r="78" spans="1:14" x14ac:dyDescent="0.25">
      <c r="A78" s="14" t="s">
        <v>653</v>
      </c>
      <c r="B78" s="16" t="s">
        <v>2199</v>
      </c>
      <c r="C78" s="19" t="s">
        <v>28</v>
      </c>
      <c r="D78" s="19" t="s">
        <v>28</v>
      </c>
      <c r="E78" s="10" t="s">
        <v>655</v>
      </c>
      <c r="F78" s="20">
        <v>46327</v>
      </c>
      <c r="G78" s="16">
        <v>1</v>
      </c>
      <c r="H78" s="11" t="s">
        <v>370</v>
      </c>
      <c r="I78" s="31">
        <v>540000</v>
      </c>
      <c r="J78" s="19" t="s">
        <v>657</v>
      </c>
      <c r="K78" s="19" t="s">
        <v>658</v>
      </c>
      <c r="L78" s="3" t="s">
        <v>2220</v>
      </c>
      <c r="M78" s="3" t="s">
        <v>2234</v>
      </c>
      <c r="N78" s="3" t="s">
        <v>2258</v>
      </c>
    </row>
    <row r="79" spans="1:14" x14ac:dyDescent="0.25">
      <c r="A79" s="15" t="s">
        <v>661</v>
      </c>
      <c r="B79" s="17" t="s">
        <v>2199</v>
      </c>
      <c r="C79" s="6" t="s">
        <v>28</v>
      </c>
      <c r="D79" s="6" t="s">
        <v>28</v>
      </c>
      <c r="E79" s="7" t="s">
        <v>662</v>
      </c>
      <c r="F79" s="20">
        <v>46113</v>
      </c>
      <c r="G79" s="17">
        <v>6</v>
      </c>
      <c r="H79" t="s">
        <v>359</v>
      </c>
      <c r="I79" s="32">
        <v>135000</v>
      </c>
      <c r="J79" s="19" t="s">
        <v>657</v>
      </c>
      <c r="K79" s="6" t="s">
        <v>658</v>
      </c>
      <c r="L79" s="3" t="s">
        <v>2220</v>
      </c>
      <c r="M79" s="3" t="s">
        <v>2234</v>
      </c>
      <c r="N79" s="3" t="s">
        <v>2258</v>
      </c>
    </row>
    <row r="80" spans="1:14" x14ac:dyDescent="0.25">
      <c r="A80" s="14" t="s">
        <v>661</v>
      </c>
      <c r="B80" s="16" t="s">
        <v>2199</v>
      </c>
      <c r="C80" s="19" t="s">
        <v>28</v>
      </c>
      <c r="D80" s="19" t="s">
        <v>28</v>
      </c>
      <c r="E80" s="10" t="s">
        <v>662</v>
      </c>
      <c r="F80" s="20">
        <v>46204</v>
      </c>
      <c r="G80" s="16">
        <v>6</v>
      </c>
      <c r="H80" s="11" t="s">
        <v>359</v>
      </c>
      <c r="I80" s="31">
        <v>135000</v>
      </c>
      <c r="J80" s="19" t="s">
        <v>657</v>
      </c>
      <c r="K80" s="19" t="s">
        <v>658</v>
      </c>
      <c r="L80" s="3" t="s">
        <v>2220</v>
      </c>
      <c r="M80" s="3" t="s">
        <v>2234</v>
      </c>
      <c r="N80" s="3" t="s">
        <v>2258</v>
      </c>
    </row>
    <row r="81" spans="1:14" x14ac:dyDescent="0.25">
      <c r="A81" s="15" t="s">
        <v>661</v>
      </c>
      <c r="B81" s="17" t="s">
        <v>2199</v>
      </c>
      <c r="C81" s="6" t="s">
        <v>28</v>
      </c>
      <c r="D81" s="6" t="s">
        <v>28</v>
      </c>
      <c r="E81" s="7" t="s">
        <v>662</v>
      </c>
      <c r="F81" s="20">
        <v>46266</v>
      </c>
      <c r="G81" s="17">
        <v>6</v>
      </c>
      <c r="H81" t="s">
        <v>359</v>
      </c>
      <c r="I81" s="32">
        <v>135000</v>
      </c>
      <c r="J81" s="19" t="s">
        <v>657</v>
      </c>
      <c r="K81" s="6" t="s">
        <v>658</v>
      </c>
      <c r="L81" s="3" t="s">
        <v>2220</v>
      </c>
      <c r="M81" s="3" t="s">
        <v>2234</v>
      </c>
      <c r="N81" s="3" t="s">
        <v>2258</v>
      </c>
    </row>
    <row r="82" spans="1:14" x14ac:dyDescent="0.25">
      <c r="A82" s="14" t="s">
        <v>661</v>
      </c>
      <c r="B82" s="16" t="s">
        <v>2199</v>
      </c>
      <c r="C82" s="19" t="s">
        <v>28</v>
      </c>
      <c r="D82" s="19" t="s">
        <v>28</v>
      </c>
      <c r="E82" s="10" t="s">
        <v>662</v>
      </c>
      <c r="F82" s="20">
        <v>46357</v>
      </c>
      <c r="G82" s="16">
        <v>6</v>
      </c>
      <c r="H82" s="11" t="s">
        <v>359</v>
      </c>
      <c r="I82" s="31">
        <v>135000</v>
      </c>
      <c r="J82" s="19" t="s">
        <v>657</v>
      </c>
      <c r="K82" s="19" t="s">
        <v>658</v>
      </c>
      <c r="L82" s="3" t="s">
        <v>2220</v>
      </c>
      <c r="M82" s="3" t="s">
        <v>2234</v>
      </c>
      <c r="N82" s="3" t="s">
        <v>2258</v>
      </c>
    </row>
    <row r="83" spans="1:14" x14ac:dyDescent="0.25">
      <c r="A83" s="15" t="s">
        <v>661</v>
      </c>
      <c r="B83" s="17" t="s">
        <v>2199</v>
      </c>
      <c r="C83" s="6" t="s">
        <v>28</v>
      </c>
      <c r="D83" s="6" t="s">
        <v>28</v>
      </c>
      <c r="E83" s="7" t="s">
        <v>662</v>
      </c>
      <c r="F83" s="20">
        <v>46113</v>
      </c>
      <c r="G83" s="17">
        <v>6</v>
      </c>
      <c r="H83" t="s">
        <v>370</v>
      </c>
      <c r="I83" s="32">
        <v>135000</v>
      </c>
      <c r="J83" s="19" t="s">
        <v>657</v>
      </c>
      <c r="K83" s="6" t="s">
        <v>658</v>
      </c>
      <c r="L83" s="3" t="s">
        <v>2220</v>
      </c>
      <c r="M83" s="3" t="s">
        <v>2234</v>
      </c>
      <c r="N83" s="3" t="s">
        <v>2258</v>
      </c>
    </row>
    <row r="84" spans="1:14" x14ac:dyDescent="0.25">
      <c r="A84" s="14" t="s">
        <v>661</v>
      </c>
      <c r="B84" s="16" t="s">
        <v>2199</v>
      </c>
      <c r="C84" s="19" t="s">
        <v>28</v>
      </c>
      <c r="D84" s="19" t="s">
        <v>28</v>
      </c>
      <c r="E84" s="10" t="s">
        <v>662</v>
      </c>
      <c r="F84" s="20">
        <v>46204</v>
      </c>
      <c r="G84" s="16">
        <v>6</v>
      </c>
      <c r="H84" s="11" t="s">
        <v>370</v>
      </c>
      <c r="I84" s="31">
        <v>405000</v>
      </c>
      <c r="J84" s="19" t="s">
        <v>657</v>
      </c>
      <c r="K84" s="19" t="s">
        <v>658</v>
      </c>
      <c r="L84" s="3" t="s">
        <v>2220</v>
      </c>
      <c r="M84" s="3" t="s">
        <v>2234</v>
      </c>
      <c r="N84" s="3" t="s">
        <v>2258</v>
      </c>
    </row>
    <row r="85" spans="1:14" x14ac:dyDescent="0.25">
      <c r="A85" s="15" t="s">
        <v>665</v>
      </c>
      <c r="B85" s="17" t="s">
        <v>2199</v>
      </c>
      <c r="C85" s="6" t="s">
        <v>28</v>
      </c>
      <c r="D85" s="6" t="s">
        <v>28</v>
      </c>
      <c r="E85" s="7" t="s">
        <v>667</v>
      </c>
      <c r="F85" s="20">
        <v>46082</v>
      </c>
      <c r="G85" s="17">
        <v>1</v>
      </c>
      <c r="H85" t="s">
        <v>669</v>
      </c>
      <c r="I85" s="32">
        <v>1500000</v>
      </c>
      <c r="J85" s="19" t="s">
        <v>657</v>
      </c>
      <c r="K85" s="6" t="s">
        <v>658</v>
      </c>
      <c r="L85" s="3" t="s">
        <v>2220</v>
      </c>
      <c r="M85" s="3" t="s">
        <v>2234</v>
      </c>
      <c r="N85" s="3" t="s">
        <v>2258</v>
      </c>
    </row>
    <row r="86" spans="1:14" x14ac:dyDescent="0.25">
      <c r="A86" s="14" t="s">
        <v>670</v>
      </c>
      <c r="B86" s="16" t="s">
        <v>2199</v>
      </c>
      <c r="C86" s="19" t="s">
        <v>28</v>
      </c>
      <c r="D86" s="19" t="s">
        <v>28</v>
      </c>
      <c r="E86" s="10" t="s">
        <v>671</v>
      </c>
      <c r="F86" s="20">
        <v>46023</v>
      </c>
      <c r="G86" s="16">
        <v>1</v>
      </c>
      <c r="H86" s="11" t="s">
        <v>673</v>
      </c>
      <c r="I86" s="31">
        <v>850000</v>
      </c>
      <c r="J86" s="19" t="s">
        <v>657</v>
      </c>
      <c r="K86" s="19" t="s">
        <v>658</v>
      </c>
      <c r="L86" s="3" t="s">
        <v>2220</v>
      </c>
      <c r="M86" s="3" t="s">
        <v>2234</v>
      </c>
      <c r="N86" s="3" t="s">
        <v>2258</v>
      </c>
    </row>
    <row r="87" spans="1:14" x14ac:dyDescent="0.25">
      <c r="A87" s="15" t="s">
        <v>674</v>
      </c>
      <c r="B87" s="17" t="s">
        <v>2199</v>
      </c>
      <c r="C87" s="6" t="s">
        <v>28</v>
      </c>
      <c r="D87" s="6" t="s">
        <v>28</v>
      </c>
      <c r="E87" s="7" t="s">
        <v>675</v>
      </c>
      <c r="F87" s="20">
        <v>46143</v>
      </c>
      <c r="G87" s="17">
        <v>2</v>
      </c>
      <c r="H87" t="s">
        <v>370</v>
      </c>
      <c r="I87" s="32">
        <v>450000</v>
      </c>
      <c r="J87" s="19" t="s">
        <v>657</v>
      </c>
      <c r="K87" s="6" t="s">
        <v>658</v>
      </c>
      <c r="L87" s="3" t="s">
        <v>2220</v>
      </c>
      <c r="M87" s="3" t="s">
        <v>2234</v>
      </c>
      <c r="N87" s="3" t="s">
        <v>2258</v>
      </c>
    </row>
    <row r="88" spans="1:14" x14ac:dyDescent="0.25">
      <c r="A88" s="14" t="s">
        <v>674</v>
      </c>
      <c r="B88" s="16" t="s">
        <v>2199</v>
      </c>
      <c r="C88" s="19" t="s">
        <v>28</v>
      </c>
      <c r="D88" s="19" t="s">
        <v>28</v>
      </c>
      <c r="E88" s="10" t="s">
        <v>675</v>
      </c>
      <c r="F88" s="20">
        <v>46327</v>
      </c>
      <c r="G88" s="16">
        <v>2</v>
      </c>
      <c r="H88" s="11" t="s">
        <v>370</v>
      </c>
      <c r="I88" s="31">
        <v>450000</v>
      </c>
      <c r="J88" s="19" t="s">
        <v>657</v>
      </c>
      <c r="K88" s="19" t="s">
        <v>658</v>
      </c>
      <c r="L88" s="3" t="s">
        <v>2220</v>
      </c>
      <c r="M88" s="3" t="s">
        <v>2234</v>
      </c>
      <c r="N88" s="3" t="s">
        <v>2258</v>
      </c>
    </row>
    <row r="89" spans="1:14" x14ac:dyDescent="0.25">
      <c r="A89" s="15" t="s">
        <v>677</v>
      </c>
      <c r="B89" s="17" t="s">
        <v>2199</v>
      </c>
      <c r="C89" s="6" t="s">
        <v>28</v>
      </c>
      <c r="D89" s="6" t="s">
        <v>28</v>
      </c>
      <c r="E89" s="7" t="s">
        <v>678</v>
      </c>
      <c r="F89" s="20">
        <v>46174</v>
      </c>
      <c r="G89" s="17">
        <v>1</v>
      </c>
      <c r="H89" t="s">
        <v>370</v>
      </c>
      <c r="I89" s="32">
        <v>630000</v>
      </c>
      <c r="J89" s="19" t="s">
        <v>657</v>
      </c>
      <c r="K89" s="6" t="s">
        <v>658</v>
      </c>
      <c r="L89" s="3" t="s">
        <v>2220</v>
      </c>
      <c r="M89" s="3" t="s">
        <v>2234</v>
      </c>
      <c r="N89" s="3" t="s">
        <v>2258</v>
      </c>
    </row>
    <row r="90" spans="1:14" x14ac:dyDescent="0.25">
      <c r="A90" s="14" t="s">
        <v>680</v>
      </c>
      <c r="B90" s="16" t="s">
        <v>2199</v>
      </c>
      <c r="C90" s="19" t="s">
        <v>28</v>
      </c>
      <c r="D90" s="19" t="s">
        <v>28</v>
      </c>
      <c r="E90" s="10" t="s">
        <v>681</v>
      </c>
      <c r="F90" s="20">
        <v>46235</v>
      </c>
      <c r="G90" s="16">
        <v>1</v>
      </c>
      <c r="H90" s="11" t="s">
        <v>370</v>
      </c>
      <c r="I90" s="31">
        <v>135000</v>
      </c>
      <c r="J90" s="19" t="s">
        <v>657</v>
      </c>
      <c r="K90" s="19" t="s">
        <v>658</v>
      </c>
      <c r="L90" s="3" t="s">
        <v>2220</v>
      </c>
      <c r="M90" s="3" t="s">
        <v>2234</v>
      </c>
      <c r="N90" s="3" t="s">
        <v>2258</v>
      </c>
    </row>
    <row r="91" spans="1:14" x14ac:dyDescent="0.25">
      <c r="A91" s="15" t="s">
        <v>696</v>
      </c>
      <c r="B91" s="17" t="s">
        <v>2199</v>
      </c>
      <c r="C91" s="6" t="s">
        <v>28</v>
      </c>
      <c r="D91" s="6" t="s">
        <v>28</v>
      </c>
      <c r="E91" s="7" t="s">
        <v>697</v>
      </c>
      <c r="F91" s="20">
        <v>46143</v>
      </c>
      <c r="G91" s="17">
        <v>1</v>
      </c>
      <c r="H91" t="s">
        <v>370</v>
      </c>
      <c r="I91" s="32">
        <v>675000</v>
      </c>
      <c r="J91" s="19" t="s">
        <v>657</v>
      </c>
      <c r="K91" s="6" t="s">
        <v>658</v>
      </c>
      <c r="L91" s="3" t="s">
        <v>2220</v>
      </c>
      <c r="M91" s="3" t="s">
        <v>2234</v>
      </c>
      <c r="N91" s="3" t="s">
        <v>2258</v>
      </c>
    </row>
    <row r="92" spans="1:14" x14ac:dyDescent="0.25">
      <c r="A92" s="14" t="s">
        <v>718</v>
      </c>
      <c r="B92" s="16" t="s">
        <v>2199</v>
      </c>
      <c r="C92" s="19" t="s">
        <v>28</v>
      </c>
      <c r="D92" s="19" t="s">
        <v>28</v>
      </c>
      <c r="E92" s="10" t="s">
        <v>719</v>
      </c>
      <c r="F92" s="20">
        <v>46023</v>
      </c>
      <c r="G92" s="16">
        <v>1</v>
      </c>
      <c r="H92" s="11" t="s">
        <v>631</v>
      </c>
      <c r="I92" s="31">
        <v>430010</v>
      </c>
      <c r="J92" s="19" t="s">
        <v>657</v>
      </c>
      <c r="K92" s="19" t="s">
        <v>658</v>
      </c>
      <c r="L92" s="3" t="s">
        <v>2220</v>
      </c>
      <c r="M92" s="3" t="s">
        <v>2234</v>
      </c>
      <c r="N92" s="3" t="s">
        <v>2258</v>
      </c>
    </row>
    <row r="93" spans="1:14" x14ac:dyDescent="0.25">
      <c r="A93" s="15" t="s">
        <v>724</v>
      </c>
      <c r="B93" s="17" t="s">
        <v>2199</v>
      </c>
      <c r="C93" s="6" t="s">
        <v>28</v>
      </c>
      <c r="D93" s="6" t="s">
        <v>28</v>
      </c>
      <c r="E93" s="7" t="s">
        <v>726</v>
      </c>
      <c r="F93" s="20">
        <v>46082</v>
      </c>
      <c r="G93" s="17">
        <v>1</v>
      </c>
      <c r="H93" t="s">
        <v>728</v>
      </c>
      <c r="I93" s="32">
        <v>990002</v>
      </c>
      <c r="J93" s="19" t="s">
        <v>657</v>
      </c>
      <c r="K93" s="6" t="s">
        <v>658</v>
      </c>
      <c r="L93" s="3" t="s">
        <v>2220</v>
      </c>
      <c r="M93" s="3" t="s">
        <v>2234</v>
      </c>
      <c r="N93" s="3" t="s">
        <v>2258</v>
      </c>
    </row>
    <row r="94" spans="1:14" x14ac:dyDescent="0.25">
      <c r="A94" s="14" t="s">
        <v>744</v>
      </c>
      <c r="B94" s="16" t="s">
        <v>2199</v>
      </c>
      <c r="C94" s="19" t="s">
        <v>28</v>
      </c>
      <c r="D94" s="19" t="s">
        <v>28</v>
      </c>
      <c r="E94" s="10" t="s">
        <v>746</v>
      </c>
      <c r="F94" s="20">
        <v>46023</v>
      </c>
      <c r="G94" s="16">
        <v>1</v>
      </c>
      <c r="H94" s="11" t="s">
        <v>748</v>
      </c>
      <c r="I94" s="31">
        <v>300000</v>
      </c>
      <c r="J94" s="19" t="s">
        <v>657</v>
      </c>
      <c r="K94" s="19" t="s">
        <v>658</v>
      </c>
      <c r="L94" s="3" t="s">
        <v>2220</v>
      </c>
      <c r="M94" s="3" t="s">
        <v>2234</v>
      </c>
      <c r="N94" s="3" t="s">
        <v>2258</v>
      </c>
    </row>
    <row r="95" spans="1:14" x14ac:dyDescent="0.25">
      <c r="A95" s="15" t="s">
        <v>2041</v>
      </c>
      <c r="B95" s="17" t="s">
        <v>2199</v>
      </c>
      <c r="C95" s="6" t="s">
        <v>28</v>
      </c>
      <c r="D95" s="6" t="s">
        <v>28</v>
      </c>
      <c r="E95" s="7" t="s">
        <v>2042</v>
      </c>
      <c r="F95" s="20">
        <v>46023</v>
      </c>
      <c r="G95" s="17">
        <v>6</v>
      </c>
      <c r="H95" t="s">
        <v>2045</v>
      </c>
      <c r="I95" s="32">
        <v>280008</v>
      </c>
      <c r="J95" s="19" t="s">
        <v>657</v>
      </c>
      <c r="K95" s="6" t="s">
        <v>658</v>
      </c>
      <c r="L95" s="3" t="s">
        <v>2220</v>
      </c>
      <c r="M95" s="3" t="s">
        <v>2234</v>
      </c>
      <c r="N95" s="3" t="s">
        <v>2258</v>
      </c>
    </row>
    <row r="96" spans="1:14" x14ac:dyDescent="0.25">
      <c r="A96" s="14" t="s">
        <v>2041</v>
      </c>
      <c r="B96" s="16" t="s">
        <v>2199</v>
      </c>
      <c r="C96" s="19" t="s">
        <v>28</v>
      </c>
      <c r="D96" s="19" t="s">
        <v>28</v>
      </c>
      <c r="E96" s="10" t="s">
        <v>2042</v>
      </c>
      <c r="F96" s="20">
        <v>46023</v>
      </c>
      <c r="G96" s="16">
        <v>6</v>
      </c>
      <c r="H96" s="11" t="s">
        <v>777</v>
      </c>
      <c r="I96" s="31">
        <v>815000</v>
      </c>
      <c r="J96" s="19" t="s">
        <v>657</v>
      </c>
      <c r="K96" s="19" t="s">
        <v>658</v>
      </c>
      <c r="L96" s="3" t="s">
        <v>2220</v>
      </c>
      <c r="M96" s="3" t="s">
        <v>2234</v>
      </c>
      <c r="N96" s="3" t="s">
        <v>2258</v>
      </c>
    </row>
    <row r="97" spans="1:14" x14ac:dyDescent="0.25">
      <c r="A97" s="15" t="s">
        <v>2041</v>
      </c>
      <c r="B97" s="17" t="s">
        <v>2199</v>
      </c>
      <c r="C97" s="6" t="s">
        <v>28</v>
      </c>
      <c r="D97" s="6" t="s">
        <v>28</v>
      </c>
      <c r="E97" s="7" t="s">
        <v>2042</v>
      </c>
      <c r="F97" s="20">
        <v>46023</v>
      </c>
      <c r="G97" s="17">
        <v>6</v>
      </c>
      <c r="H97" t="s">
        <v>821</v>
      </c>
      <c r="I97" s="32">
        <v>60000</v>
      </c>
      <c r="J97" s="19" t="s">
        <v>657</v>
      </c>
      <c r="K97" s="6" t="s">
        <v>658</v>
      </c>
      <c r="L97" s="3" t="s">
        <v>2220</v>
      </c>
      <c r="M97" s="3" t="s">
        <v>2234</v>
      </c>
      <c r="N97" s="3" t="s">
        <v>2258</v>
      </c>
    </row>
    <row r="98" spans="1:14" x14ac:dyDescent="0.25">
      <c r="A98" s="14" t="s">
        <v>2041</v>
      </c>
      <c r="B98" s="16" t="s">
        <v>2199</v>
      </c>
      <c r="C98" s="19" t="s">
        <v>28</v>
      </c>
      <c r="D98" s="19" t="s">
        <v>28</v>
      </c>
      <c r="E98" s="10" t="s">
        <v>2042</v>
      </c>
      <c r="F98" s="20">
        <v>46023</v>
      </c>
      <c r="G98" s="16">
        <v>6</v>
      </c>
      <c r="H98" s="11" t="s">
        <v>2044</v>
      </c>
      <c r="I98" s="31">
        <v>833000</v>
      </c>
      <c r="J98" s="19" t="s">
        <v>657</v>
      </c>
      <c r="K98" s="19" t="s">
        <v>658</v>
      </c>
      <c r="L98" s="3" t="s">
        <v>2220</v>
      </c>
      <c r="M98" s="3" t="s">
        <v>2234</v>
      </c>
      <c r="N98" s="3" t="s">
        <v>2258</v>
      </c>
    </row>
    <row r="99" spans="1:14" x14ac:dyDescent="0.25">
      <c r="A99" s="15" t="s">
        <v>2041</v>
      </c>
      <c r="B99" s="17" t="s">
        <v>2199</v>
      </c>
      <c r="C99" s="6" t="s">
        <v>28</v>
      </c>
      <c r="D99" s="6" t="s">
        <v>28</v>
      </c>
      <c r="E99" s="7" t="s">
        <v>2042</v>
      </c>
      <c r="F99" s="20">
        <v>46023</v>
      </c>
      <c r="G99" s="17">
        <v>6</v>
      </c>
      <c r="H99" t="s">
        <v>2046</v>
      </c>
      <c r="I99" s="32">
        <v>100000</v>
      </c>
      <c r="J99" s="19" t="s">
        <v>657</v>
      </c>
      <c r="K99" s="6" t="s">
        <v>658</v>
      </c>
      <c r="L99" s="3" t="s">
        <v>2220</v>
      </c>
      <c r="M99" s="3" t="s">
        <v>2234</v>
      </c>
      <c r="N99" s="3" t="s">
        <v>2258</v>
      </c>
    </row>
    <row r="100" spans="1:14" x14ac:dyDescent="0.25">
      <c r="A100" s="14" t="s">
        <v>2041</v>
      </c>
      <c r="B100" s="16" t="s">
        <v>2199</v>
      </c>
      <c r="C100" s="19" t="s">
        <v>28</v>
      </c>
      <c r="D100" s="19" t="s">
        <v>28</v>
      </c>
      <c r="E100" s="10" t="s">
        <v>2042</v>
      </c>
      <c r="F100" s="20">
        <v>46023</v>
      </c>
      <c r="G100" s="16">
        <v>6</v>
      </c>
      <c r="H100" s="11" t="s">
        <v>760</v>
      </c>
      <c r="I100" s="31">
        <v>550002</v>
      </c>
      <c r="J100" s="19" t="s">
        <v>657</v>
      </c>
      <c r="K100" s="19" t="s">
        <v>658</v>
      </c>
      <c r="L100" s="3" t="s">
        <v>2220</v>
      </c>
      <c r="M100" s="3" t="s">
        <v>2234</v>
      </c>
      <c r="N100" s="3" t="s">
        <v>2258</v>
      </c>
    </row>
    <row r="101" spans="1:14" x14ac:dyDescent="0.25">
      <c r="A101" s="15" t="s">
        <v>683</v>
      </c>
      <c r="B101" s="17" t="s">
        <v>2199</v>
      </c>
      <c r="C101" s="6" t="s">
        <v>374</v>
      </c>
      <c r="D101" s="6" t="s">
        <v>374</v>
      </c>
      <c r="E101" s="7" t="s">
        <v>684</v>
      </c>
      <c r="F101" s="20">
        <v>46235</v>
      </c>
      <c r="G101" s="17">
        <v>1</v>
      </c>
      <c r="H101" t="s">
        <v>370</v>
      </c>
      <c r="I101" s="32">
        <v>225000</v>
      </c>
      <c r="J101" s="19" t="s">
        <v>657</v>
      </c>
      <c r="K101" s="6" t="s">
        <v>658</v>
      </c>
      <c r="L101" s="3" t="s">
        <v>2220</v>
      </c>
      <c r="M101" s="3" t="s">
        <v>2234</v>
      </c>
      <c r="N101" s="3" t="s">
        <v>2258</v>
      </c>
    </row>
    <row r="102" spans="1:14" x14ac:dyDescent="0.25">
      <c r="A102" s="14" t="s">
        <v>693</v>
      </c>
      <c r="B102" s="16" t="s">
        <v>2199</v>
      </c>
      <c r="C102" s="19" t="s">
        <v>374</v>
      </c>
      <c r="D102" s="19" t="s">
        <v>374</v>
      </c>
      <c r="E102" s="10" t="s">
        <v>694</v>
      </c>
      <c r="F102" s="20">
        <v>46054</v>
      </c>
      <c r="G102" s="16">
        <v>1</v>
      </c>
      <c r="H102" s="11" t="s">
        <v>486</v>
      </c>
      <c r="I102" s="31">
        <v>260000</v>
      </c>
      <c r="J102" s="19" t="s">
        <v>657</v>
      </c>
      <c r="K102" s="19" t="s">
        <v>658</v>
      </c>
      <c r="L102" s="3" t="s">
        <v>2220</v>
      </c>
      <c r="M102" s="3" t="s">
        <v>2234</v>
      </c>
      <c r="N102" s="3" t="s">
        <v>2258</v>
      </c>
    </row>
    <row r="103" spans="1:14" x14ac:dyDescent="0.25">
      <c r="A103" s="15" t="s">
        <v>699</v>
      </c>
      <c r="B103" s="17" t="s">
        <v>2199</v>
      </c>
      <c r="C103" s="6" t="s">
        <v>374</v>
      </c>
      <c r="D103" s="6" t="s">
        <v>374</v>
      </c>
      <c r="E103" s="7" t="s">
        <v>700</v>
      </c>
      <c r="F103" s="20">
        <v>46174</v>
      </c>
      <c r="G103" s="17">
        <v>2</v>
      </c>
      <c r="H103" t="s">
        <v>370</v>
      </c>
      <c r="I103" s="32">
        <v>450000</v>
      </c>
      <c r="J103" s="19" t="s">
        <v>657</v>
      </c>
      <c r="K103" s="6" t="s">
        <v>658</v>
      </c>
      <c r="L103" s="3" t="s">
        <v>2220</v>
      </c>
      <c r="M103" s="3" t="s">
        <v>2234</v>
      </c>
      <c r="N103" s="3" t="s">
        <v>2258</v>
      </c>
    </row>
    <row r="104" spans="1:14" x14ac:dyDescent="0.25">
      <c r="A104" s="14" t="s">
        <v>699</v>
      </c>
      <c r="B104" s="16" t="s">
        <v>2199</v>
      </c>
      <c r="C104" s="19" t="s">
        <v>374</v>
      </c>
      <c r="D104" s="19" t="s">
        <v>374</v>
      </c>
      <c r="E104" s="10" t="s">
        <v>700</v>
      </c>
      <c r="F104" s="20">
        <v>46357</v>
      </c>
      <c r="G104" s="16">
        <v>2</v>
      </c>
      <c r="H104" s="11" t="s">
        <v>370</v>
      </c>
      <c r="I104" s="31">
        <v>450000</v>
      </c>
      <c r="J104" s="19" t="s">
        <v>657</v>
      </c>
      <c r="K104" s="19" t="s">
        <v>658</v>
      </c>
      <c r="L104" s="3" t="s">
        <v>2220</v>
      </c>
      <c r="M104" s="3" t="s">
        <v>2234</v>
      </c>
      <c r="N104" s="3" t="s">
        <v>2258</v>
      </c>
    </row>
    <row r="105" spans="1:14" x14ac:dyDescent="0.25">
      <c r="A105" s="15" t="s">
        <v>702</v>
      </c>
      <c r="B105" s="17" t="s">
        <v>2199</v>
      </c>
      <c r="C105" s="6" t="s">
        <v>374</v>
      </c>
      <c r="D105" s="6" t="s">
        <v>374</v>
      </c>
      <c r="E105" s="7" t="s">
        <v>703</v>
      </c>
      <c r="F105" s="20">
        <v>46266</v>
      </c>
      <c r="G105" s="17">
        <v>1</v>
      </c>
      <c r="H105" t="s">
        <v>705</v>
      </c>
      <c r="I105" s="32">
        <v>625000</v>
      </c>
      <c r="J105" s="19" t="s">
        <v>657</v>
      </c>
      <c r="K105" s="6" t="s">
        <v>658</v>
      </c>
      <c r="L105" s="3" t="s">
        <v>2220</v>
      </c>
      <c r="M105" s="3" t="s">
        <v>2234</v>
      </c>
      <c r="N105" s="3" t="s">
        <v>2258</v>
      </c>
    </row>
    <row r="106" spans="1:14" x14ac:dyDescent="0.25">
      <c r="A106" s="14" t="s">
        <v>737</v>
      </c>
      <c r="B106" s="16" t="s">
        <v>2199</v>
      </c>
      <c r="C106" s="19" t="s">
        <v>374</v>
      </c>
      <c r="D106" s="19" t="s">
        <v>374</v>
      </c>
      <c r="E106" s="10" t="s">
        <v>738</v>
      </c>
      <c r="F106" s="20">
        <v>46023</v>
      </c>
      <c r="G106" s="16">
        <v>2</v>
      </c>
      <c r="H106" s="11" t="s">
        <v>740</v>
      </c>
      <c r="I106" s="31">
        <v>2272800</v>
      </c>
      <c r="J106" s="19" t="s">
        <v>657</v>
      </c>
      <c r="K106" s="19" t="s">
        <v>658</v>
      </c>
      <c r="L106" s="3" t="s">
        <v>2220</v>
      </c>
      <c r="M106" s="3" t="s">
        <v>2234</v>
      </c>
      <c r="N106" s="3" t="s">
        <v>2258</v>
      </c>
    </row>
    <row r="107" spans="1:14" x14ac:dyDescent="0.25">
      <c r="A107" s="15" t="s">
        <v>737</v>
      </c>
      <c r="B107" s="17" t="s">
        <v>2199</v>
      </c>
      <c r="C107" s="6" t="s">
        <v>374</v>
      </c>
      <c r="D107" s="6" t="s">
        <v>374</v>
      </c>
      <c r="E107" s="7" t="s">
        <v>738</v>
      </c>
      <c r="F107" s="20">
        <v>46023</v>
      </c>
      <c r="G107" s="17">
        <v>2</v>
      </c>
      <c r="H107" t="s">
        <v>195</v>
      </c>
      <c r="I107" s="32">
        <v>500080</v>
      </c>
      <c r="J107" s="19" t="s">
        <v>657</v>
      </c>
      <c r="K107" s="6" t="s">
        <v>658</v>
      </c>
      <c r="L107" s="3" t="s">
        <v>2220</v>
      </c>
      <c r="M107" s="3" t="s">
        <v>2234</v>
      </c>
      <c r="N107" s="3" t="s">
        <v>2258</v>
      </c>
    </row>
    <row r="108" spans="1:14" x14ac:dyDescent="0.25">
      <c r="A108" s="14" t="s">
        <v>741</v>
      </c>
      <c r="B108" s="16" t="s">
        <v>2199</v>
      </c>
      <c r="C108" s="19" t="s">
        <v>374</v>
      </c>
      <c r="D108" s="19" t="s">
        <v>374</v>
      </c>
      <c r="E108" s="10" t="s">
        <v>742</v>
      </c>
      <c r="F108" s="20">
        <v>46082</v>
      </c>
      <c r="G108" s="16">
        <v>1</v>
      </c>
      <c r="H108" s="11" t="s">
        <v>486</v>
      </c>
      <c r="I108" s="31">
        <v>1468231</v>
      </c>
      <c r="J108" s="19" t="s">
        <v>657</v>
      </c>
      <c r="K108" s="19" t="s">
        <v>658</v>
      </c>
      <c r="L108" s="3" t="s">
        <v>2220</v>
      </c>
      <c r="M108" s="3" t="s">
        <v>2234</v>
      </c>
      <c r="N108" s="3" t="s">
        <v>2258</v>
      </c>
    </row>
    <row r="109" spans="1:14" x14ac:dyDescent="0.25">
      <c r="A109" s="15" t="s">
        <v>749</v>
      </c>
      <c r="B109" s="17" t="s">
        <v>2199</v>
      </c>
      <c r="C109" s="6" t="s">
        <v>374</v>
      </c>
      <c r="D109" s="6" t="s">
        <v>374</v>
      </c>
      <c r="E109" s="7" t="s">
        <v>750</v>
      </c>
      <c r="F109" s="20">
        <v>46113</v>
      </c>
      <c r="G109" s="17">
        <v>1</v>
      </c>
      <c r="H109" t="s">
        <v>752</v>
      </c>
      <c r="I109" s="32">
        <v>350000</v>
      </c>
      <c r="J109" s="19" t="s">
        <v>657</v>
      </c>
      <c r="K109" s="6" t="s">
        <v>658</v>
      </c>
      <c r="L109" s="3" t="s">
        <v>2220</v>
      </c>
      <c r="M109" s="3" t="s">
        <v>2234</v>
      </c>
      <c r="N109" s="3" t="s">
        <v>2258</v>
      </c>
    </row>
    <row r="110" spans="1:14" x14ac:dyDescent="0.25">
      <c r="A110" s="14" t="s">
        <v>753</v>
      </c>
      <c r="B110" s="16" t="s">
        <v>2199</v>
      </c>
      <c r="C110" s="19" t="s">
        <v>374</v>
      </c>
      <c r="D110" s="19" t="s">
        <v>374</v>
      </c>
      <c r="E110" s="10" t="s">
        <v>754</v>
      </c>
      <c r="F110" s="20">
        <v>46082</v>
      </c>
      <c r="G110" s="16">
        <v>1</v>
      </c>
      <c r="H110" s="11" t="s">
        <v>359</v>
      </c>
      <c r="I110" s="31">
        <v>1287890</v>
      </c>
      <c r="J110" s="19" t="s">
        <v>657</v>
      </c>
      <c r="K110" s="19" t="s">
        <v>658</v>
      </c>
      <c r="L110" s="3" t="s">
        <v>2220</v>
      </c>
      <c r="M110" s="3" t="s">
        <v>2234</v>
      </c>
      <c r="N110" s="3" t="s">
        <v>2258</v>
      </c>
    </row>
    <row r="111" spans="1:14" x14ac:dyDescent="0.25">
      <c r="A111" s="15" t="s">
        <v>418</v>
      </c>
      <c r="B111" s="17" t="s">
        <v>2196</v>
      </c>
      <c r="C111" s="17" t="s">
        <v>2196</v>
      </c>
      <c r="D111" s="6" t="s">
        <v>28</v>
      </c>
      <c r="E111" s="7" t="s">
        <v>419</v>
      </c>
      <c r="F111" s="20">
        <v>45870</v>
      </c>
      <c r="G111" s="17">
        <v>1</v>
      </c>
      <c r="H111" t="s">
        <v>421</v>
      </c>
      <c r="I111" s="32">
        <v>87524976</v>
      </c>
      <c r="J111" s="19" t="s">
        <v>422</v>
      </c>
      <c r="K111" s="6" t="s">
        <v>423</v>
      </c>
      <c r="L111" s="3" t="s">
        <v>2224</v>
      </c>
      <c r="M111" s="3" t="s">
        <v>2227</v>
      </c>
      <c r="N111" s="3" t="s">
        <v>2261</v>
      </c>
    </row>
    <row r="112" spans="1:14" x14ac:dyDescent="0.25">
      <c r="A112" s="14" t="s">
        <v>1501</v>
      </c>
      <c r="B112" s="16" t="s">
        <v>2199</v>
      </c>
      <c r="C112" s="19" t="s">
        <v>28</v>
      </c>
      <c r="D112" s="19" t="s">
        <v>28</v>
      </c>
      <c r="E112" s="10" t="s">
        <v>1502</v>
      </c>
      <c r="F112" s="20">
        <v>46023</v>
      </c>
      <c r="G112" s="16">
        <v>1</v>
      </c>
      <c r="H112" s="11" t="s">
        <v>1504</v>
      </c>
      <c r="I112" s="31">
        <v>2400000</v>
      </c>
      <c r="J112" s="19" t="s">
        <v>1505</v>
      </c>
      <c r="K112" s="19" t="s">
        <v>423</v>
      </c>
      <c r="L112" s="3" t="s">
        <v>2224</v>
      </c>
      <c r="M112" s="3" t="s">
        <v>2227</v>
      </c>
      <c r="N112" s="3" t="s">
        <v>2261</v>
      </c>
    </row>
    <row r="113" spans="1:14" x14ac:dyDescent="0.25">
      <c r="A113" s="15" t="s">
        <v>1525</v>
      </c>
      <c r="B113" s="17" t="s">
        <v>2199</v>
      </c>
      <c r="C113" s="6" t="s">
        <v>28</v>
      </c>
      <c r="D113" s="6" t="s">
        <v>28</v>
      </c>
      <c r="E113" s="7" t="s">
        <v>1502</v>
      </c>
      <c r="F113" s="20">
        <v>46023</v>
      </c>
      <c r="G113" s="17">
        <v>1</v>
      </c>
      <c r="H113" t="s">
        <v>1527</v>
      </c>
      <c r="I113" s="32">
        <v>3861900</v>
      </c>
      <c r="J113" s="19" t="s">
        <v>1505</v>
      </c>
      <c r="K113" s="6" t="s">
        <v>423</v>
      </c>
      <c r="L113" s="3" t="s">
        <v>2224</v>
      </c>
      <c r="M113" s="3" t="s">
        <v>2227</v>
      </c>
      <c r="N113" s="3" t="s">
        <v>2261</v>
      </c>
    </row>
    <row r="114" spans="1:14" x14ac:dyDescent="0.25">
      <c r="A114" s="14" t="s">
        <v>1960</v>
      </c>
      <c r="B114" s="16" t="s">
        <v>2199</v>
      </c>
      <c r="C114" s="19" t="s">
        <v>28</v>
      </c>
      <c r="D114" s="19" t="s">
        <v>28</v>
      </c>
      <c r="E114" s="10" t="s">
        <v>1961</v>
      </c>
      <c r="F114" s="20">
        <v>46266</v>
      </c>
      <c r="G114" s="16">
        <v>3</v>
      </c>
      <c r="H114" s="11" t="s">
        <v>962</v>
      </c>
      <c r="I114" s="31">
        <v>40000</v>
      </c>
      <c r="J114" s="19" t="s">
        <v>1963</v>
      </c>
      <c r="K114" s="19" t="s">
        <v>1964</v>
      </c>
      <c r="L114" s="3" t="s">
        <v>2225</v>
      </c>
      <c r="M114" s="3" t="s">
        <v>2234</v>
      </c>
      <c r="N114" s="3" t="s">
        <v>2258</v>
      </c>
    </row>
    <row r="115" spans="1:14" x14ac:dyDescent="0.25">
      <c r="A115" s="15" t="s">
        <v>1960</v>
      </c>
      <c r="B115" s="17" t="s">
        <v>2199</v>
      </c>
      <c r="C115" s="6" t="s">
        <v>28</v>
      </c>
      <c r="D115" s="6" t="s">
        <v>28</v>
      </c>
      <c r="E115" s="7" t="s">
        <v>1961</v>
      </c>
      <c r="F115" s="20">
        <v>46266</v>
      </c>
      <c r="G115" s="17">
        <v>3</v>
      </c>
      <c r="H115" t="s">
        <v>1966</v>
      </c>
      <c r="I115" s="32">
        <v>180000</v>
      </c>
      <c r="J115" s="19" t="s">
        <v>1963</v>
      </c>
      <c r="K115" s="6" t="s">
        <v>1964</v>
      </c>
      <c r="L115" s="3" t="s">
        <v>2225</v>
      </c>
      <c r="M115" s="3" t="s">
        <v>2234</v>
      </c>
      <c r="N115" s="3" t="s">
        <v>2258</v>
      </c>
    </row>
    <row r="116" spans="1:14" x14ac:dyDescent="0.25">
      <c r="A116" s="14" t="s">
        <v>1960</v>
      </c>
      <c r="B116" s="16" t="s">
        <v>2199</v>
      </c>
      <c r="C116" s="19" t="s">
        <v>28</v>
      </c>
      <c r="D116" s="19" t="s">
        <v>28</v>
      </c>
      <c r="E116" s="10" t="s">
        <v>1961</v>
      </c>
      <c r="F116" s="20">
        <v>46266</v>
      </c>
      <c r="G116" s="16">
        <v>3</v>
      </c>
      <c r="H116" s="11" t="s">
        <v>602</v>
      </c>
      <c r="I116" s="31">
        <v>700000</v>
      </c>
      <c r="J116" s="19" t="s">
        <v>1963</v>
      </c>
      <c r="K116" s="19" t="s">
        <v>1964</v>
      </c>
      <c r="L116" s="3" t="s">
        <v>2225</v>
      </c>
      <c r="M116" s="3" t="s">
        <v>2234</v>
      </c>
      <c r="N116" s="3" t="s">
        <v>2258</v>
      </c>
    </row>
    <row r="117" spans="1:14" x14ac:dyDescent="0.25">
      <c r="A117" s="15" t="s">
        <v>2016</v>
      </c>
      <c r="B117" s="17" t="s">
        <v>2199</v>
      </c>
      <c r="C117" s="6" t="s">
        <v>28</v>
      </c>
      <c r="D117" s="6" t="s">
        <v>28</v>
      </c>
      <c r="E117" s="7" t="s">
        <v>2017</v>
      </c>
      <c r="F117" s="20">
        <v>46082</v>
      </c>
      <c r="G117" s="17">
        <v>3</v>
      </c>
      <c r="H117" t="s">
        <v>740</v>
      </c>
      <c r="I117" s="32">
        <v>65010</v>
      </c>
      <c r="J117" s="19" t="s">
        <v>1963</v>
      </c>
      <c r="K117" s="6" t="s">
        <v>1964</v>
      </c>
      <c r="L117" s="3" t="s">
        <v>2225</v>
      </c>
      <c r="M117" s="3" t="s">
        <v>2234</v>
      </c>
      <c r="N117" s="3" t="s">
        <v>2258</v>
      </c>
    </row>
    <row r="118" spans="1:14" x14ac:dyDescent="0.25">
      <c r="A118" s="14" t="s">
        <v>2016</v>
      </c>
      <c r="B118" s="16" t="s">
        <v>2199</v>
      </c>
      <c r="C118" s="19" t="s">
        <v>28</v>
      </c>
      <c r="D118" s="19" t="s">
        <v>28</v>
      </c>
      <c r="E118" s="10" t="s">
        <v>2017</v>
      </c>
      <c r="F118" s="20">
        <v>46082</v>
      </c>
      <c r="G118" s="16">
        <v>3</v>
      </c>
      <c r="H118" s="11" t="s">
        <v>2019</v>
      </c>
      <c r="I118" s="31">
        <v>45012</v>
      </c>
      <c r="J118" s="19" t="s">
        <v>1963</v>
      </c>
      <c r="K118" s="19" t="s">
        <v>1964</v>
      </c>
      <c r="L118" s="3" t="s">
        <v>2225</v>
      </c>
      <c r="M118" s="3" t="s">
        <v>2234</v>
      </c>
      <c r="N118" s="3" t="s">
        <v>2258</v>
      </c>
    </row>
    <row r="119" spans="1:14" x14ac:dyDescent="0.25">
      <c r="A119" s="15" t="s">
        <v>2016</v>
      </c>
      <c r="B119" s="17" t="s">
        <v>2199</v>
      </c>
      <c r="C119" s="6" t="s">
        <v>28</v>
      </c>
      <c r="D119" s="6" t="s">
        <v>28</v>
      </c>
      <c r="E119" s="7" t="s">
        <v>2017</v>
      </c>
      <c r="F119" s="20">
        <v>46082</v>
      </c>
      <c r="G119" s="17">
        <v>3</v>
      </c>
      <c r="H119" t="s">
        <v>962</v>
      </c>
      <c r="I119" s="32">
        <v>120010</v>
      </c>
      <c r="J119" s="19" t="s">
        <v>1963</v>
      </c>
      <c r="K119" s="6" t="s">
        <v>1964</v>
      </c>
      <c r="L119" s="3" t="s">
        <v>2225</v>
      </c>
      <c r="M119" s="3" t="s">
        <v>2234</v>
      </c>
      <c r="N119" s="3" t="s">
        <v>2258</v>
      </c>
    </row>
    <row r="120" spans="1:14" x14ac:dyDescent="0.25">
      <c r="A120" s="14" t="s">
        <v>1569</v>
      </c>
      <c r="B120" s="16" t="s">
        <v>2199</v>
      </c>
      <c r="C120" s="19" t="s">
        <v>28</v>
      </c>
      <c r="D120" s="19" t="s">
        <v>28</v>
      </c>
      <c r="E120" s="10" t="s">
        <v>1570</v>
      </c>
      <c r="F120" s="20">
        <v>46082</v>
      </c>
      <c r="G120" s="16">
        <v>1</v>
      </c>
      <c r="H120" s="11" t="s">
        <v>599</v>
      </c>
      <c r="I120" s="31">
        <v>7000000</v>
      </c>
      <c r="J120" s="19" t="s">
        <v>1572</v>
      </c>
      <c r="K120" s="19" t="s">
        <v>1573</v>
      </c>
      <c r="L120" s="3" t="s">
        <v>2222</v>
      </c>
      <c r="M120" s="3" t="s">
        <v>2234</v>
      </c>
      <c r="N120" s="3" t="s">
        <v>2260</v>
      </c>
    </row>
    <row r="121" spans="1:14" x14ac:dyDescent="0.25">
      <c r="A121" s="15" t="s">
        <v>1585</v>
      </c>
      <c r="B121" s="17" t="s">
        <v>2199</v>
      </c>
      <c r="C121" s="6" t="s">
        <v>28</v>
      </c>
      <c r="D121" s="6" t="s">
        <v>28</v>
      </c>
      <c r="E121" s="7" t="s">
        <v>1587</v>
      </c>
      <c r="F121" s="20">
        <v>46082</v>
      </c>
      <c r="G121" s="17">
        <v>1</v>
      </c>
      <c r="H121" t="s">
        <v>1589</v>
      </c>
      <c r="I121" s="32">
        <v>1428000</v>
      </c>
      <c r="J121" s="19" t="s">
        <v>1572</v>
      </c>
      <c r="K121" s="6" t="s">
        <v>1573</v>
      </c>
      <c r="L121" s="3" t="s">
        <v>2222</v>
      </c>
      <c r="M121" s="3" t="s">
        <v>2234</v>
      </c>
      <c r="N121" s="3" t="s">
        <v>2260</v>
      </c>
    </row>
    <row r="122" spans="1:14" x14ac:dyDescent="0.25">
      <c r="A122" s="14" t="s">
        <v>1600</v>
      </c>
      <c r="B122" s="16" t="s">
        <v>2199</v>
      </c>
      <c r="C122" s="19" t="s">
        <v>28</v>
      </c>
      <c r="D122" s="19" t="s">
        <v>28</v>
      </c>
      <c r="E122" s="10" t="s">
        <v>1601</v>
      </c>
      <c r="F122" s="20">
        <v>46235</v>
      </c>
      <c r="G122" s="16">
        <v>1</v>
      </c>
      <c r="H122" s="11" t="s">
        <v>1603</v>
      </c>
      <c r="I122" s="31">
        <v>1428000</v>
      </c>
      <c r="J122" s="19" t="s">
        <v>1572</v>
      </c>
      <c r="K122" s="19" t="s">
        <v>1573</v>
      </c>
      <c r="L122" s="3" t="s">
        <v>2222</v>
      </c>
      <c r="M122" s="3" t="s">
        <v>2234</v>
      </c>
      <c r="N122" s="3" t="s">
        <v>2260</v>
      </c>
    </row>
    <row r="123" spans="1:14" x14ac:dyDescent="0.25">
      <c r="A123" s="15" t="s">
        <v>1626</v>
      </c>
      <c r="B123" s="17" t="s">
        <v>2199</v>
      </c>
      <c r="C123" s="6" t="s">
        <v>28</v>
      </c>
      <c r="D123" s="6" t="s">
        <v>28</v>
      </c>
      <c r="E123" s="7" t="s">
        <v>1627</v>
      </c>
      <c r="F123" s="20">
        <v>46113</v>
      </c>
      <c r="G123" s="17">
        <v>3</v>
      </c>
      <c r="H123" t="s">
        <v>1629</v>
      </c>
      <c r="I123" s="32">
        <v>63000</v>
      </c>
      <c r="J123" s="19" t="s">
        <v>1572</v>
      </c>
      <c r="K123" s="6" t="s">
        <v>1573</v>
      </c>
      <c r="L123" s="3" t="s">
        <v>2222</v>
      </c>
      <c r="M123" s="3" t="s">
        <v>2234</v>
      </c>
      <c r="N123" s="3" t="s">
        <v>2260</v>
      </c>
    </row>
    <row r="124" spans="1:14" x14ac:dyDescent="0.25">
      <c r="A124" s="14" t="s">
        <v>1626</v>
      </c>
      <c r="B124" s="16" t="s">
        <v>2199</v>
      </c>
      <c r="C124" s="19" t="s">
        <v>28</v>
      </c>
      <c r="D124" s="19" t="s">
        <v>28</v>
      </c>
      <c r="E124" s="10" t="s">
        <v>1627</v>
      </c>
      <c r="F124" s="20">
        <v>46113</v>
      </c>
      <c r="G124" s="16">
        <v>3</v>
      </c>
      <c r="H124" s="11" t="s">
        <v>1630</v>
      </c>
      <c r="I124" s="31">
        <v>3164040</v>
      </c>
      <c r="J124" s="19" t="s">
        <v>1572</v>
      </c>
      <c r="K124" s="19" t="s">
        <v>1573</v>
      </c>
      <c r="L124" s="3" t="s">
        <v>2222</v>
      </c>
      <c r="M124" s="3" t="s">
        <v>2234</v>
      </c>
      <c r="N124" s="3" t="s">
        <v>2260</v>
      </c>
    </row>
    <row r="125" spans="1:14" x14ac:dyDescent="0.25">
      <c r="A125" s="15" t="s">
        <v>1626</v>
      </c>
      <c r="B125" s="17" t="s">
        <v>2199</v>
      </c>
      <c r="C125" s="6" t="s">
        <v>28</v>
      </c>
      <c r="D125" s="6" t="s">
        <v>28</v>
      </c>
      <c r="E125" s="7" t="s">
        <v>1627</v>
      </c>
      <c r="F125" s="20">
        <v>46113</v>
      </c>
      <c r="G125" s="17">
        <v>3</v>
      </c>
      <c r="H125" t="s">
        <v>1631</v>
      </c>
      <c r="I125" s="32">
        <v>2353780</v>
      </c>
      <c r="J125" s="19" t="s">
        <v>1572</v>
      </c>
      <c r="K125" s="6" t="s">
        <v>1573</v>
      </c>
      <c r="L125" s="3" t="s">
        <v>2222</v>
      </c>
      <c r="M125" s="3" t="s">
        <v>2234</v>
      </c>
      <c r="N125" s="3" t="s">
        <v>2260</v>
      </c>
    </row>
    <row r="126" spans="1:14" x14ac:dyDescent="0.25">
      <c r="A126" s="14" t="s">
        <v>1712</v>
      </c>
      <c r="B126" s="16" t="s">
        <v>2199</v>
      </c>
      <c r="C126" s="19" t="s">
        <v>28</v>
      </c>
      <c r="D126" s="19" t="s">
        <v>28</v>
      </c>
      <c r="E126" s="10" t="s">
        <v>1713</v>
      </c>
      <c r="F126" s="20">
        <v>46082</v>
      </c>
      <c r="G126" s="16">
        <v>1</v>
      </c>
      <c r="H126" s="11" t="s">
        <v>602</v>
      </c>
      <c r="I126" s="31">
        <v>783090</v>
      </c>
      <c r="J126" s="19" t="s">
        <v>1572</v>
      </c>
      <c r="K126" s="19" t="s">
        <v>1573</v>
      </c>
      <c r="L126" s="3" t="s">
        <v>2222</v>
      </c>
      <c r="M126" s="3" t="s">
        <v>2234</v>
      </c>
      <c r="N126" s="3" t="s">
        <v>2260</v>
      </c>
    </row>
    <row r="127" spans="1:14" x14ac:dyDescent="0.25">
      <c r="A127" s="15" t="s">
        <v>1731</v>
      </c>
      <c r="B127" s="17" t="s">
        <v>2199</v>
      </c>
      <c r="C127" s="6" t="s">
        <v>28</v>
      </c>
      <c r="D127" s="6" t="s">
        <v>28</v>
      </c>
      <c r="E127" s="7" t="s">
        <v>1732</v>
      </c>
      <c r="F127" s="20">
        <v>46082</v>
      </c>
      <c r="G127" s="17">
        <v>1</v>
      </c>
      <c r="H127" t="s">
        <v>1641</v>
      </c>
      <c r="I127" s="32">
        <v>726450</v>
      </c>
      <c r="J127" s="19" t="s">
        <v>1572</v>
      </c>
      <c r="K127" s="6" t="s">
        <v>1573</v>
      </c>
      <c r="L127" s="3" t="s">
        <v>2222</v>
      </c>
      <c r="M127" s="3" t="s">
        <v>2234</v>
      </c>
      <c r="N127" s="3" t="s">
        <v>2260</v>
      </c>
    </row>
    <row r="128" spans="1:14" x14ac:dyDescent="0.25">
      <c r="A128" s="14" t="s">
        <v>1839</v>
      </c>
      <c r="B128" s="16" t="s">
        <v>2199</v>
      </c>
      <c r="C128" s="19" t="s">
        <v>28</v>
      </c>
      <c r="D128" s="19" t="s">
        <v>28</v>
      </c>
      <c r="E128" s="10" t="s">
        <v>1840</v>
      </c>
      <c r="F128" s="20">
        <v>46113</v>
      </c>
      <c r="G128" s="16">
        <v>1</v>
      </c>
      <c r="H128" s="11" t="s">
        <v>777</v>
      </c>
      <c r="I128" s="31">
        <v>2578000</v>
      </c>
      <c r="J128" s="19" t="s">
        <v>1572</v>
      </c>
      <c r="K128" s="19" t="s">
        <v>1573</v>
      </c>
      <c r="L128" s="3" t="s">
        <v>2222</v>
      </c>
      <c r="M128" s="3" t="s">
        <v>2234</v>
      </c>
      <c r="N128" s="3" t="s">
        <v>2260</v>
      </c>
    </row>
    <row r="129" spans="1:14" x14ac:dyDescent="0.25">
      <c r="A129" s="15" t="s">
        <v>1845</v>
      </c>
      <c r="B129" s="17" t="s">
        <v>2199</v>
      </c>
      <c r="C129" s="6" t="s">
        <v>28</v>
      </c>
      <c r="D129" s="6" t="s">
        <v>28</v>
      </c>
      <c r="E129" s="7" t="s">
        <v>1846</v>
      </c>
      <c r="F129" s="20">
        <v>46266</v>
      </c>
      <c r="G129" s="17">
        <v>1</v>
      </c>
      <c r="H129" t="s">
        <v>602</v>
      </c>
      <c r="I129" s="32">
        <v>1428000</v>
      </c>
      <c r="J129" s="19" t="s">
        <v>1572</v>
      </c>
      <c r="K129" s="6" t="s">
        <v>1573</v>
      </c>
      <c r="L129" s="3" t="s">
        <v>2222</v>
      </c>
      <c r="M129" s="3" t="s">
        <v>2234</v>
      </c>
      <c r="N129" s="3" t="s">
        <v>2260</v>
      </c>
    </row>
    <row r="130" spans="1:14" x14ac:dyDescent="0.25">
      <c r="A130" s="14" t="s">
        <v>756</v>
      </c>
      <c r="B130" s="16" t="s">
        <v>2199</v>
      </c>
      <c r="C130" s="19" t="s">
        <v>28</v>
      </c>
      <c r="D130" s="19" t="s">
        <v>28</v>
      </c>
      <c r="E130" s="10" t="s">
        <v>758</v>
      </c>
      <c r="F130" s="20">
        <v>46296</v>
      </c>
      <c r="G130" s="16">
        <v>1</v>
      </c>
      <c r="H130" s="11" t="s">
        <v>760</v>
      </c>
      <c r="I130" s="31">
        <v>800000</v>
      </c>
      <c r="J130" s="19" t="s">
        <v>761</v>
      </c>
      <c r="K130" s="19" t="s">
        <v>762</v>
      </c>
      <c r="L130" s="3" t="s">
        <v>2220</v>
      </c>
      <c r="M130" s="3" t="s">
        <v>2234</v>
      </c>
      <c r="N130" s="3" t="s">
        <v>2258</v>
      </c>
    </row>
    <row r="131" spans="1:14" x14ac:dyDescent="0.25">
      <c r="A131" s="15" t="s">
        <v>827</v>
      </c>
      <c r="B131" s="17" t="s">
        <v>2199</v>
      </c>
      <c r="C131" s="6" t="s">
        <v>28</v>
      </c>
      <c r="D131" s="6" t="s">
        <v>28</v>
      </c>
      <c r="E131" s="7" t="s">
        <v>828</v>
      </c>
      <c r="F131" s="20">
        <v>46082</v>
      </c>
      <c r="G131" s="17">
        <v>4</v>
      </c>
      <c r="H131" t="s">
        <v>831</v>
      </c>
      <c r="I131" s="32">
        <v>300000</v>
      </c>
      <c r="J131" s="19" t="s">
        <v>761</v>
      </c>
      <c r="K131" s="6" t="s">
        <v>762</v>
      </c>
      <c r="L131" s="3" t="s">
        <v>2220</v>
      </c>
      <c r="M131" s="3" t="s">
        <v>2234</v>
      </c>
      <c r="N131" s="3" t="s">
        <v>2258</v>
      </c>
    </row>
    <row r="132" spans="1:14" x14ac:dyDescent="0.25">
      <c r="A132" s="14" t="s">
        <v>827</v>
      </c>
      <c r="B132" s="16" t="s">
        <v>2199</v>
      </c>
      <c r="C132" s="19" t="s">
        <v>28</v>
      </c>
      <c r="D132" s="19" t="s">
        <v>28</v>
      </c>
      <c r="E132" s="10" t="s">
        <v>828</v>
      </c>
      <c r="F132" s="20">
        <v>46082</v>
      </c>
      <c r="G132" s="16">
        <v>4</v>
      </c>
      <c r="H132" s="11" t="s">
        <v>830</v>
      </c>
      <c r="I132" s="31">
        <v>176016</v>
      </c>
      <c r="J132" s="19" t="s">
        <v>761</v>
      </c>
      <c r="K132" s="19" t="s">
        <v>762</v>
      </c>
      <c r="L132" s="3" t="s">
        <v>2220</v>
      </c>
      <c r="M132" s="3" t="s">
        <v>2234</v>
      </c>
      <c r="N132" s="3" t="s">
        <v>2258</v>
      </c>
    </row>
    <row r="133" spans="1:14" x14ac:dyDescent="0.25">
      <c r="A133" s="15" t="s">
        <v>827</v>
      </c>
      <c r="B133" s="17" t="s">
        <v>2199</v>
      </c>
      <c r="C133" s="6" t="s">
        <v>28</v>
      </c>
      <c r="D133" s="6" t="s">
        <v>28</v>
      </c>
      <c r="E133" s="7" t="s">
        <v>828</v>
      </c>
      <c r="F133" s="20">
        <v>46082</v>
      </c>
      <c r="G133" s="17">
        <v>4</v>
      </c>
      <c r="H133" t="s">
        <v>833</v>
      </c>
      <c r="I133" s="32">
        <v>1071050</v>
      </c>
      <c r="J133" s="19" t="s">
        <v>761</v>
      </c>
      <c r="K133" s="6" t="s">
        <v>762</v>
      </c>
      <c r="L133" s="3" t="s">
        <v>2220</v>
      </c>
      <c r="M133" s="3" t="s">
        <v>2234</v>
      </c>
      <c r="N133" s="3" t="s">
        <v>2258</v>
      </c>
    </row>
    <row r="134" spans="1:14" x14ac:dyDescent="0.25">
      <c r="A134" s="14" t="s">
        <v>827</v>
      </c>
      <c r="B134" s="16" t="s">
        <v>2199</v>
      </c>
      <c r="C134" s="19" t="s">
        <v>28</v>
      </c>
      <c r="D134" s="19" t="s">
        <v>28</v>
      </c>
      <c r="E134" s="10" t="s">
        <v>828</v>
      </c>
      <c r="F134" s="20">
        <v>46023</v>
      </c>
      <c r="G134" s="16">
        <v>4</v>
      </c>
      <c r="H134" s="11" t="s">
        <v>832</v>
      </c>
      <c r="I134" s="31">
        <v>150000</v>
      </c>
      <c r="J134" s="19" t="s">
        <v>761</v>
      </c>
      <c r="K134" s="19" t="s">
        <v>762</v>
      </c>
      <c r="L134" s="3" t="s">
        <v>2220</v>
      </c>
      <c r="M134" s="3" t="s">
        <v>2234</v>
      </c>
      <c r="N134" s="3" t="s">
        <v>2258</v>
      </c>
    </row>
    <row r="135" spans="1:14" x14ac:dyDescent="0.25">
      <c r="A135" s="15" t="s">
        <v>871</v>
      </c>
      <c r="B135" s="17" t="s">
        <v>2199</v>
      </c>
      <c r="C135" s="6" t="s">
        <v>28</v>
      </c>
      <c r="D135" s="6" t="s">
        <v>28</v>
      </c>
      <c r="E135" s="7" t="s">
        <v>872</v>
      </c>
      <c r="F135" s="20">
        <v>46204</v>
      </c>
      <c r="G135" s="17">
        <v>1</v>
      </c>
      <c r="H135" t="s">
        <v>874</v>
      </c>
      <c r="I135" s="32">
        <v>472004</v>
      </c>
      <c r="J135" s="19" t="s">
        <v>761</v>
      </c>
      <c r="K135" s="6" t="s">
        <v>762</v>
      </c>
      <c r="L135" s="3" t="s">
        <v>2220</v>
      </c>
      <c r="M135" s="3" t="s">
        <v>2234</v>
      </c>
      <c r="N135" s="3" t="s">
        <v>2258</v>
      </c>
    </row>
    <row r="136" spans="1:14" x14ac:dyDescent="0.25">
      <c r="A136" s="14" t="s">
        <v>875</v>
      </c>
      <c r="B136" s="16" t="s">
        <v>2199</v>
      </c>
      <c r="C136" s="19" t="s">
        <v>28</v>
      </c>
      <c r="D136" s="19" t="s">
        <v>28</v>
      </c>
      <c r="E136" s="10" t="s">
        <v>876</v>
      </c>
      <c r="F136" s="20">
        <v>46082</v>
      </c>
      <c r="G136" s="16">
        <v>1</v>
      </c>
      <c r="H136" s="11" t="s">
        <v>878</v>
      </c>
      <c r="I136" s="31">
        <v>600000</v>
      </c>
      <c r="J136" s="19" t="s">
        <v>761</v>
      </c>
      <c r="K136" s="19" t="s">
        <v>762</v>
      </c>
      <c r="L136" s="3" t="s">
        <v>2220</v>
      </c>
      <c r="M136" s="3" t="s">
        <v>2234</v>
      </c>
      <c r="N136" s="3" t="s">
        <v>2258</v>
      </c>
    </row>
    <row r="137" spans="1:14" x14ac:dyDescent="0.25">
      <c r="A137" s="15" t="s">
        <v>879</v>
      </c>
      <c r="B137" s="17" t="s">
        <v>2199</v>
      </c>
      <c r="C137" s="6" t="s">
        <v>28</v>
      </c>
      <c r="D137" s="6" t="s">
        <v>28</v>
      </c>
      <c r="E137" s="7" t="s">
        <v>880</v>
      </c>
      <c r="F137" s="20">
        <v>46143</v>
      </c>
      <c r="G137" s="17">
        <v>3</v>
      </c>
      <c r="H137" t="s">
        <v>882</v>
      </c>
      <c r="I137" s="32">
        <v>3700004</v>
      </c>
      <c r="J137" s="19" t="s">
        <v>761</v>
      </c>
      <c r="K137" s="6" t="s">
        <v>762</v>
      </c>
      <c r="L137" s="3" t="s">
        <v>2220</v>
      </c>
      <c r="M137" s="3" t="s">
        <v>2234</v>
      </c>
      <c r="N137" s="3" t="s">
        <v>2258</v>
      </c>
    </row>
    <row r="138" spans="1:14" x14ac:dyDescent="0.25">
      <c r="A138" s="14" t="s">
        <v>879</v>
      </c>
      <c r="B138" s="16" t="s">
        <v>2199</v>
      </c>
      <c r="C138" s="19" t="s">
        <v>28</v>
      </c>
      <c r="D138" s="19" t="s">
        <v>28</v>
      </c>
      <c r="E138" s="10" t="s">
        <v>880</v>
      </c>
      <c r="F138" s="20">
        <v>46143</v>
      </c>
      <c r="G138" s="16">
        <v>3</v>
      </c>
      <c r="H138" s="11" t="s">
        <v>883</v>
      </c>
      <c r="I138" s="31">
        <v>2200020</v>
      </c>
      <c r="J138" s="19" t="s">
        <v>761</v>
      </c>
      <c r="K138" s="19" t="s">
        <v>762</v>
      </c>
      <c r="L138" s="3" t="s">
        <v>2220</v>
      </c>
      <c r="M138" s="3" t="s">
        <v>2234</v>
      </c>
      <c r="N138" s="3" t="s">
        <v>2258</v>
      </c>
    </row>
    <row r="139" spans="1:14" x14ac:dyDescent="0.25">
      <c r="A139" s="15" t="s">
        <v>879</v>
      </c>
      <c r="B139" s="17" t="s">
        <v>2199</v>
      </c>
      <c r="C139" s="6" t="s">
        <v>28</v>
      </c>
      <c r="D139" s="6" t="s">
        <v>28</v>
      </c>
      <c r="E139" s="7" t="s">
        <v>880</v>
      </c>
      <c r="F139" s="20">
        <v>46143</v>
      </c>
      <c r="G139" s="17">
        <v>3</v>
      </c>
      <c r="H139" t="s">
        <v>62</v>
      </c>
      <c r="I139" s="32">
        <v>200000</v>
      </c>
      <c r="J139" s="19" t="s">
        <v>761</v>
      </c>
      <c r="K139" s="6" t="s">
        <v>762</v>
      </c>
      <c r="L139" s="3" t="s">
        <v>2220</v>
      </c>
      <c r="M139" s="3" t="s">
        <v>2234</v>
      </c>
      <c r="N139" s="3" t="s">
        <v>2258</v>
      </c>
    </row>
    <row r="140" spans="1:14" x14ac:dyDescent="0.25">
      <c r="A140" s="14" t="s">
        <v>884</v>
      </c>
      <c r="B140" s="16" t="s">
        <v>2199</v>
      </c>
      <c r="C140" s="19" t="s">
        <v>28</v>
      </c>
      <c r="D140" s="19" t="s">
        <v>28</v>
      </c>
      <c r="E140" s="10" t="s">
        <v>885</v>
      </c>
      <c r="F140" s="20">
        <v>46113</v>
      </c>
      <c r="G140" s="16">
        <v>3</v>
      </c>
      <c r="H140" s="11" t="s">
        <v>821</v>
      </c>
      <c r="I140" s="31">
        <v>1030006</v>
      </c>
      <c r="J140" s="19" t="s">
        <v>761</v>
      </c>
      <c r="K140" s="19" t="s">
        <v>762</v>
      </c>
      <c r="L140" s="3" t="s">
        <v>2220</v>
      </c>
      <c r="M140" s="3" t="s">
        <v>2234</v>
      </c>
      <c r="N140" s="3" t="s">
        <v>2258</v>
      </c>
    </row>
    <row r="141" spans="1:14" x14ac:dyDescent="0.25">
      <c r="A141" s="15" t="s">
        <v>884</v>
      </c>
      <c r="B141" s="17" t="s">
        <v>2199</v>
      </c>
      <c r="C141" s="6" t="s">
        <v>28</v>
      </c>
      <c r="D141" s="6" t="s">
        <v>28</v>
      </c>
      <c r="E141" s="7" t="s">
        <v>885</v>
      </c>
      <c r="F141" s="20">
        <v>46174</v>
      </c>
      <c r="G141" s="17">
        <v>3</v>
      </c>
      <c r="H141" t="s">
        <v>883</v>
      </c>
      <c r="I141" s="32">
        <v>800000</v>
      </c>
      <c r="J141" s="19" t="s">
        <v>761</v>
      </c>
      <c r="K141" s="6" t="s">
        <v>762</v>
      </c>
      <c r="L141" s="3" t="s">
        <v>2220</v>
      </c>
      <c r="M141" s="3" t="s">
        <v>2234</v>
      </c>
      <c r="N141" s="3" t="s">
        <v>2258</v>
      </c>
    </row>
    <row r="142" spans="1:14" x14ac:dyDescent="0.25">
      <c r="A142" s="14" t="s">
        <v>884</v>
      </c>
      <c r="B142" s="16" t="s">
        <v>2199</v>
      </c>
      <c r="C142" s="19" t="s">
        <v>28</v>
      </c>
      <c r="D142" s="19" t="s">
        <v>28</v>
      </c>
      <c r="E142" s="10" t="s">
        <v>885</v>
      </c>
      <c r="F142" s="20">
        <v>46023</v>
      </c>
      <c r="G142" s="16">
        <v>3</v>
      </c>
      <c r="H142" s="11" t="s">
        <v>887</v>
      </c>
      <c r="I142" s="31">
        <v>900000</v>
      </c>
      <c r="J142" s="19" t="s">
        <v>761</v>
      </c>
      <c r="K142" s="19" t="s">
        <v>762</v>
      </c>
      <c r="L142" s="3" t="s">
        <v>2220</v>
      </c>
      <c r="M142" s="3" t="s">
        <v>2234</v>
      </c>
      <c r="N142" s="3" t="s">
        <v>2258</v>
      </c>
    </row>
    <row r="143" spans="1:14" x14ac:dyDescent="0.25">
      <c r="A143" s="15" t="s">
        <v>1518</v>
      </c>
      <c r="B143" s="17" t="s">
        <v>2199</v>
      </c>
      <c r="C143" s="6" t="s">
        <v>28</v>
      </c>
      <c r="D143" s="6" t="s">
        <v>28</v>
      </c>
      <c r="E143" s="7" t="s">
        <v>1520</v>
      </c>
      <c r="F143" s="20">
        <v>46143</v>
      </c>
      <c r="G143" s="17">
        <v>3</v>
      </c>
      <c r="H143" t="s">
        <v>1523</v>
      </c>
      <c r="I143" s="32">
        <v>50004</v>
      </c>
      <c r="J143" s="19" t="s">
        <v>761</v>
      </c>
      <c r="K143" s="6" t="s">
        <v>762</v>
      </c>
      <c r="L143" s="3" t="s">
        <v>2220</v>
      </c>
      <c r="M143" s="3" t="s">
        <v>2234</v>
      </c>
      <c r="N143" s="3" t="s">
        <v>2258</v>
      </c>
    </row>
    <row r="144" spans="1:14" x14ac:dyDescent="0.25">
      <c r="A144" s="14" t="s">
        <v>1518</v>
      </c>
      <c r="B144" s="16" t="s">
        <v>2199</v>
      </c>
      <c r="C144" s="19" t="s">
        <v>28</v>
      </c>
      <c r="D144" s="19" t="s">
        <v>28</v>
      </c>
      <c r="E144" s="10" t="s">
        <v>1520</v>
      </c>
      <c r="F144" s="20">
        <v>46143</v>
      </c>
      <c r="G144" s="16">
        <v>3</v>
      </c>
      <c r="H144" s="11" t="s">
        <v>1524</v>
      </c>
      <c r="I144" s="31">
        <v>650000</v>
      </c>
      <c r="J144" s="19" t="s">
        <v>761</v>
      </c>
      <c r="K144" s="19" t="s">
        <v>762</v>
      </c>
      <c r="L144" s="3" t="s">
        <v>2220</v>
      </c>
      <c r="M144" s="3" t="s">
        <v>2234</v>
      </c>
      <c r="N144" s="3" t="s">
        <v>2258</v>
      </c>
    </row>
    <row r="145" spans="1:14" x14ac:dyDescent="0.25">
      <c r="A145" s="15" t="s">
        <v>1518</v>
      </c>
      <c r="B145" s="17" t="s">
        <v>2199</v>
      </c>
      <c r="C145" s="6" t="s">
        <v>28</v>
      </c>
      <c r="D145" s="6" t="s">
        <v>28</v>
      </c>
      <c r="E145" s="7" t="s">
        <v>1520</v>
      </c>
      <c r="F145" s="20">
        <v>46143</v>
      </c>
      <c r="G145" s="17">
        <v>3</v>
      </c>
      <c r="H145" t="s">
        <v>1522</v>
      </c>
      <c r="I145" s="32">
        <v>960000</v>
      </c>
      <c r="J145" s="19" t="s">
        <v>761</v>
      </c>
      <c r="K145" s="6" t="s">
        <v>762</v>
      </c>
      <c r="L145" s="3" t="s">
        <v>2220</v>
      </c>
      <c r="M145" s="3" t="s">
        <v>2234</v>
      </c>
      <c r="N145" s="3" t="s">
        <v>2258</v>
      </c>
    </row>
    <row r="146" spans="1:14" x14ac:dyDescent="0.25">
      <c r="A146" s="14" t="s">
        <v>1532</v>
      </c>
      <c r="B146" s="16" t="s">
        <v>2199</v>
      </c>
      <c r="C146" s="19" t="s">
        <v>28</v>
      </c>
      <c r="D146" s="19" t="s">
        <v>28</v>
      </c>
      <c r="E146" s="10" t="s">
        <v>1533</v>
      </c>
      <c r="F146" s="20">
        <v>46143</v>
      </c>
      <c r="G146" s="16">
        <v>5</v>
      </c>
      <c r="H146" s="11" t="s">
        <v>1536</v>
      </c>
      <c r="I146" s="31">
        <v>120000</v>
      </c>
      <c r="J146" s="19" t="s">
        <v>761</v>
      </c>
      <c r="K146" s="19" t="s">
        <v>762</v>
      </c>
      <c r="L146" s="3" t="s">
        <v>2220</v>
      </c>
      <c r="M146" s="3" t="s">
        <v>2234</v>
      </c>
      <c r="N146" s="3" t="s">
        <v>2258</v>
      </c>
    </row>
    <row r="147" spans="1:14" x14ac:dyDescent="0.25">
      <c r="A147" s="15" t="s">
        <v>1532</v>
      </c>
      <c r="B147" s="17" t="s">
        <v>2199</v>
      </c>
      <c r="C147" s="6" t="s">
        <v>28</v>
      </c>
      <c r="D147" s="6" t="s">
        <v>28</v>
      </c>
      <c r="E147" s="7" t="s">
        <v>1533</v>
      </c>
      <c r="F147" s="20">
        <v>46143</v>
      </c>
      <c r="G147" s="17">
        <v>5</v>
      </c>
      <c r="H147" t="s">
        <v>1534</v>
      </c>
      <c r="I147" s="32">
        <v>1100001</v>
      </c>
      <c r="J147" s="19" t="s">
        <v>761</v>
      </c>
      <c r="K147" s="6" t="s">
        <v>762</v>
      </c>
      <c r="L147" s="3" t="s">
        <v>2220</v>
      </c>
      <c r="M147" s="3" t="s">
        <v>2234</v>
      </c>
      <c r="N147" s="3" t="s">
        <v>2258</v>
      </c>
    </row>
    <row r="148" spans="1:14" x14ac:dyDescent="0.25">
      <c r="A148" s="14" t="s">
        <v>1532</v>
      </c>
      <c r="B148" s="16" t="s">
        <v>2199</v>
      </c>
      <c r="C148" s="19" t="s">
        <v>28</v>
      </c>
      <c r="D148" s="19" t="s">
        <v>28</v>
      </c>
      <c r="E148" s="10" t="s">
        <v>1533</v>
      </c>
      <c r="F148" s="20">
        <v>46143</v>
      </c>
      <c r="G148" s="16">
        <v>5</v>
      </c>
      <c r="H148" s="11" t="s">
        <v>1537</v>
      </c>
      <c r="I148" s="31">
        <v>30000</v>
      </c>
      <c r="J148" s="19" t="s">
        <v>761</v>
      </c>
      <c r="K148" s="19" t="s">
        <v>762</v>
      </c>
      <c r="L148" s="3" t="s">
        <v>2220</v>
      </c>
      <c r="M148" s="3" t="s">
        <v>2234</v>
      </c>
      <c r="N148" s="3" t="s">
        <v>2258</v>
      </c>
    </row>
    <row r="149" spans="1:14" x14ac:dyDescent="0.25">
      <c r="A149" s="15" t="s">
        <v>1532</v>
      </c>
      <c r="B149" s="17" t="s">
        <v>2199</v>
      </c>
      <c r="C149" s="6" t="s">
        <v>28</v>
      </c>
      <c r="D149" s="6" t="s">
        <v>28</v>
      </c>
      <c r="E149" s="7" t="s">
        <v>1533</v>
      </c>
      <c r="F149" s="20">
        <v>46143</v>
      </c>
      <c r="G149" s="17">
        <v>5</v>
      </c>
      <c r="H149" t="s">
        <v>1538</v>
      </c>
      <c r="I149" s="32">
        <v>390000</v>
      </c>
      <c r="J149" s="19" t="s">
        <v>761</v>
      </c>
      <c r="K149" s="6" t="s">
        <v>762</v>
      </c>
      <c r="L149" s="3" t="s">
        <v>2220</v>
      </c>
      <c r="M149" s="3" t="s">
        <v>2234</v>
      </c>
      <c r="N149" s="3" t="s">
        <v>2258</v>
      </c>
    </row>
    <row r="150" spans="1:14" x14ac:dyDescent="0.25">
      <c r="A150" s="14" t="s">
        <v>1532</v>
      </c>
      <c r="B150" s="16" t="s">
        <v>2199</v>
      </c>
      <c r="C150" s="19" t="s">
        <v>28</v>
      </c>
      <c r="D150" s="19" t="s">
        <v>28</v>
      </c>
      <c r="E150" s="10" t="s">
        <v>1533</v>
      </c>
      <c r="F150" s="20">
        <v>46143</v>
      </c>
      <c r="G150" s="16">
        <v>5</v>
      </c>
      <c r="H150" s="11" t="s">
        <v>1535</v>
      </c>
      <c r="I150" s="31">
        <v>1100090</v>
      </c>
      <c r="J150" s="19" t="s">
        <v>761</v>
      </c>
      <c r="K150" s="19" t="s">
        <v>762</v>
      </c>
      <c r="L150" s="3" t="s">
        <v>2220</v>
      </c>
      <c r="M150" s="3" t="s">
        <v>2234</v>
      </c>
      <c r="N150" s="3" t="s">
        <v>2258</v>
      </c>
    </row>
    <row r="151" spans="1:14" x14ac:dyDescent="0.25">
      <c r="A151" s="15" t="s">
        <v>1546</v>
      </c>
      <c r="B151" s="17" t="s">
        <v>2199</v>
      </c>
      <c r="C151" s="6" t="s">
        <v>28</v>
      </c>
      <c r="D151" s="6" t="s">
        <v>28</v>
      </c>
      <c r="E151" s="7" t="s">
        <v>1548</v>
      </c>
      <c r="F151" s="20">
        <v>46143</v>
      </c>
      <c r="G151" s="17">
        <v>3</v>
      </c>
      <c r="H151" t="s">
        <v>1549</v>
      </c>
      <c r="I151" s="32">
        <v>746010</v>
      </c>
      <c r="J151" s="19" t="s">
        <v>761</v>
      </c>
      <c r="K151" s="6" t="s">
        <v>762</v>
      </c>
      <c r="L151" s="3" t="s">
        <v>2220</v>
      </c>
      <c r="M151" s="3" t="s">
        <v>2234</v>
      </c>
      <c r="N151" s="3" t="s">
        <v>2258</v>
      </c>
    </row>
    <row r="152" spans="1:14" x14ac:dyDescent="0.25">
      <c r="A152" s="14" t="s">
        <v>1546</v>
      </c>
      <c r="B152" s="16" t="s">
        <v>2199</v>
      </c>
      <c r="C152" s="19" t="s">
        <v>28</v>
      </c>
      <c r="D152" s="19" t="s">
        <v>28</v>
      </c>
      <c r="E152" s="10" t="s">
        <v>1548</v>
      </c>
      <c r="F152" s="20">
        <v>46143</v>
      </c>
      <c r="G152" s="16">
        <v>3</v>
      </c>
      <c r="H152" s="11" t="s">
        <v>1550</v>
      </c>
      <c r="I152" s="31">
        <v>480032</v>
      </c>
      <c r="J152" s="19" t="s">
        <v>761</v>
      </c>
      <c r="K152" s="19" t="s">
        <v>762</v>
      </c>
      <c r="L152" s="3" t="s">
        <v>2220</v>
      </c>
      <c r="M152" s="3" t="s">
        <v>2234</v>
      </c>
      <c r="N152" s="3" t="s">
        <v>2258</v>
      </c>
    </row>
    <row r="153" spans="1:14" x14ac:dyDescent="0.25">
      <c r="A153" s="15" t="s">
        <v>1546</v>
      </c>
      <c r="B153" s="17" t="s">
        <v>2199</v>
      </c>
      <c r="C153" s="6" t="s">
        <v>28</v>
      </c>
      <c r="D153" s="6" t="s">
        <v>28</v>
      </c>
      <c r="E153" s="7" t="s">
        <v>1548</v>
      </c>
      <c r="F153" s="20">
        <v>46143</v>
      </c>
      <c r="G153" s="17">
        <v>3</v>
      </c>
      <c r="H153" t="s">
        <v>1227</v>
      </c>
      <c r="I153" s="32">
        <v>96000</v>
      </c>
      <c r="J153" s="19" t="s">
        <v>761</v>
      </c>
      <c r="K153" s="6" t="s">
        <v>762</v>
      </c>
      <c r="L153" s="3" t="s">
        <v>2220</v>
      </c>
      <c r="M153" s="3" t="s">
        <v>2234</v>
      </c>
      <c r="N153" s="3" t="s">
        <v>2258</v>
      </c>
    </row>
    <row r="154" spans="1:14" x14ac:dyDescent="0.25">
      <c r="A154" s="14" t="s">
        <v>1551</v>
      </c>
      <c r="B154" s="16" t="s">
        <v>2199</v>
      </c>
      <c r="C154" s="19" t="s">
        <v>28</v>
      </c>
      <c r="D154" s="19" t="s">
        <v>28</v>
      </c>
      <c r="E154" s="10" t="s">
        <v>1553</v>
      </c>
      <c r="F154" s="20">
        <v>46143</v>
      </c>
      <c r="G154" s="16">
        <v>1</v>
      </c>
      <c r="H154" s="11" t="s">
        <v>1554</v>
      </c>
      <c r="I154" s="31">
        <v>334061</v>
      </c>
      <c r="J154" s="19" t="s">
        <v>761</v>
      </c>
      <c r="K154" s="19" t="s">
        <v>762</v>
      </c>
      <c r="L154" s="3" t="s">
        <v>2220</v>
      </c>
      <c r="M154" s="3" t="s">
        <v>2234</v>
      </c>
      <c r="N154" s="3" t="s">
        <v>2258</v>
      </c>
    </row>
    <row r="155" spans="1:14" x14ac:dyDescent="0.25">
      <c r="A155" s="15" t="s">
        <v>1590</v>
      </c>
      <c r="B155" s="17" t="s">
        <v>2199</v>
      </c>
      <c r="C155" s="6" t="s">
        <v>374</v>
      </c>
      <c r="D155" s="6" t="s">
        <v>374</v>
      </c>
      <c r="E155" s="7" t="s">
        <v>1591</v>
      </c>
      <c r="F155" s="20">
        <v>46143</v>
      </c>
      <c r="G155" s="17">
        <v>3</v>
      </c>
      <c r="H155" t="s">
        <v>1592</v>
      </c>
      <c r="I155" s="32">
        <v>150000</v>
      </c>
      <c r="J155" s="19" t="s">
        <v>761</v>
      </c>
      <c r="K155" s="6" t="s">
        <v>762</v>
      </c>
      <c r="L155" s="3" t="s">
        <v>2220</v>
      </c>
      <c r="M155" s="3" t="s">
        <v>2234</v>
      </c>
      <c r="N155" s="3" t="s">
        <v>2258</v>
      </c>
    </row>
    <row r="156" spans="1:14" x14ac:dyDescent="0.25">
      <c r="A156" s="14" t="s">
        <v>1590</v>
      </c>
      <c r="B156" s="16" t="s">
        <v>2199</v>
      </c>
      <c r="C156" s="19" t="s">
        <v>374</v>
      </c>
      <c r="D156" s="19" t="s">
        <v>374</v>
      </c>
      <c r="E156" s="10" t="s">
        <v>1591</v>
      </c>
      <c r="F156" s="20">
        <v>46143</v>
      </c>
      <c r="G156" s="16">
        <v>3</v>
      </c>
      <c r="H156" s="11" t="s">
        <v>1594</v>
      </c>
      <c r="I156" s="31">
        <v>75000</v>
      </c>
      <c r="J156" s="19" t="s">
        <v>761</v>
      </c>
      <c r="K156" s="19" t="s">
        <v>762</v>
      </c>
      <c r="L156" s="3" t="s">
        <v>2220</v>
      </c>
      <c r="M156" s="3" t="s">
        <v>2234</v>
      </c>
      <c r="N156" s="3" t="s">
        <v>2258</v>
      </c>
    </row>
    <row r="157" spans="1:14" x14ac:dyDescent="0.25">
      <c r="A157" s="15" t="s">
        <v>1590</v>
      </c>
      <c r="B157" s="17" t="s">
        <v>2199</v>
      </c>
      <c r="C157" s="6" t="s">
        <v>374</v>
      </c>
      <c r="D157" s="6" t="s">
        <v>374</v>
      </c>
      <c r="E157" s="7" t="s">
        <v>1591</v>
      </c>
      <c r="F157" s="20">
        <v>46143</v>
      </c>
      <c r="G157" s="17">
        <v>3</v>
      </c>
      <c r="H157" t="s">
        <v>1593</v>
      </c>
      <c r="I157" s="32">
        <v>70000</v>
      </c>
      <c r="J157" s="19" t="s">
        <v>761</v>
      </c>
      <c r="K157" s="6" t="s">
        <v>762</v>
      </c>
      <c r="L157" s="3" t="s">
        <v>2220</v>
      </c>
      <c r="M157" s="3" t="s">
        <v>2234</v>
      </c>
      <c r="N157" s="3" t="s">
        <v>2258</v>
      </c>
    </row>
    <row r="158" spans="1:14" x14ac:dyDescent="0.25">
      <c r="A158" s="14" t="s">
        <v>1856</v>
      </c>
      <c r="B158" s="16" t="s">
        <v>2199</v>
      </c>
      <c r="C158" s="19" t="s">
        <v>28</v>
      </c>
      <c r="D158" s="19" t="s">
        <v>28</v>
      </c>
      <c r="E158" s="10" t="s">
        <v>1857</v>
      </c>
      <c r="F158" s="20">
        <v>46174</v>
      </c>
      <c r="G158" s="16">
        <v>1</v>
      </c>
      <c r="H158" s="11" t="s">
        <v>760</v>
      </c>
      <c r="I158" s="31">
        <v>1250000</v>
      </c>
      <c r="J158" s="19" t="s">
        <v>761</v>
      </c>
      <c r="K158" s="19" t="s">
        <v>762</v>
      </c>
      <c r="L158" s="3" t="s">
        <v>2220</v>
      </c>
      <c r="M158" s="3" t="s">
        <v>2234</v>
      </c>
      <c r="N158" s="3" t="s">
        <v>2258</v>
      </c>
    </row>
    <row r="159" spans="1:14" x14ac:dyDescent="0.25">
      <c r="A159" s="15" t="s">
        <v>1901</v>
      </c>
      <c r="B159" s="17" t="s">
        <v>2199</v>
      </c>
      <c r="C159" s="6" t="s">
        <v>28</v>
      </c>
      <c r="D159" s="6" t="s">
        <v>28</v>
      </c>
      <c r="E159" s="7" t="s">
        <v>1903</v>
      </c>
      <c r="F159" s="20">
        <v>46023</v>
      </c>
      <c r="G159" s="17">
        <v>3</v>
      </c>
      <c r="H159" t="s">
        <v>359</v>
      </c>
      <c r="I159" s="32">
        <v>5255136</v>
      </c>
      <c r="J159" s="19" t="s">
        <v>761</v>
      </c>
      <c r="K159" s="6" t="s">
        <v>762</v>
      </c>
      <c r="L159" s="3" t="s">
        <v>2220</v>
      </c>
      <c r="M159" s="3" t="s">
        <v>2234</v>
      </c>
      <c r="N159" s="3" t="s">
        <v>2258</v>
      </c>
    </row>
    <row r="160" spans="1:14" x14ac:dyDescent="0.25">
      <c r="A160" s="14" t="s">
        <v>1901</v>
      </c>
      <c r="B160" s="16" t="s">
        <v>2199</v>
      </c>
      <c r="C160" s="19" t="s">
        <v>28</v>
      </c>
      <c r="D160" s="19" t="s">
        <v>28</v>
      </c>
      <c r="E160" s="10" t="s">
        <v>1903</v>
      </c>
      <c r="F160" s="20">
        <v>46023</v>
      </c>
      <c r="G160" s="16">
        <v>3</v>
      </c>
      <c r="H160" s="11" t="s">
        <v>1907</v>
      </c>
      <c r="I160" s="31">
        <v>1261902</v>
      </c>
      <c r="J160" s="19" t="s">
        <v>761</v>
      </c>
      <c r="K160" s="19" t="s">
        <v>762</v>
      </c>
      <c r="L160" s="3" t="s">
        <v>2220</v>
      </c>
      <c r="M160" s="3" t="s">
        <v>2234</v>
      </c>
      <c r="N160" s="3" t="s">
        <v>2258</v>
      </c>
    </row>
    <row r="161" spans="1:14" x14ac:dyDescent="0.25">
      <c r="A161" s="15" t="s">
        <v>1942</v>
      </c>
      <c r="B161" s="17" t="s">
        <v>2199</v>
      </c>
      <c r="C161" s="6" t="s">
        <v>28</v>
      </c>
      <c r="D161" s="6" t="s">
        <v>28</v>
      </c>
      <c r="E161" s="7" t="s">
        <v>1943</v>
      </c>
      <c r="F161" s="20">
        <v>46174</v>
      </c>
      <c r="G161" s="17">
        <v>3</v>
      </c>
      <c r="H161" t="s">
        <v>1945</v>
      </c>
      <c r="I161" s="32">
        <v>239016</v>
      </c>
      <c r="J161" s="19" t="s">
        <v>761</v>
      </c>
      <c r="K161" s="6" t="s">
        <v>762</v>
      </c>
      <c r="L161" s="3" t="s">
        <v>2220</v>
      </c>
      <c r="M161" s="3" t="s">
        <v>2234</v>
      </c>
      <c r="N161" s="3" t="s">
        <v>2258</v>
      </c>
    </row>
    <row r="162" spans="1:14" x14ac:dyDescent="0.25">
      <c r="A162" s="14" t="s">
        <v>1942</v>
      </c>
      <c r="B162" s="16" t="s">
        <v>2199</v>
      </c>
      <c r="C162" s="19" t="s">
        <v>28</v>
      </c>
      <c r="D162" s="19" t="s">
        <v>28</v>
      </c>
      <c r="E162" s="10" t="s">
        <v>1943</v>
      </c>
      <c r="F162" s="20">
        <v>46174</v>
      </c>
      <c r="G162" s="16">
        <v>3</v>
      </c>
      <c r="H162" s="11" t="s">
        <v>1947</v>
      </c>
      <c r="I162" s="31">
        <v>480320</v>
      </c>
      <c r="J162" s="19" t="s">
        <v>761</v>
      </c>
      <c r="K162" s="19" t="s">
        <v>762</v>
      </c>
      <c r="L162" s="3" t="s">
        <v>2220</v>
      </c>
      <c r="M162" s="3" t="s">
        <v>2234</v>
      </c>
      <c r="N162" s="3" t="s">
        <v>2258</v>
      </c>
    </row>
    <row r="163" spans="1:14" x14ac:dyDescent="0.25">
      <c r="A163" s="15" t="s">
        <v>1942</v>
      </c>
      <c r="B163" s="17" t="s">
        <v>2199</v>
      </c>
      <c r="C163" s="6" t="s">
        <v>28</v>
      </c>
      <c r="D163" s="6" t="s">
        <v>28</v>
      </c>
      <c r="E163" s="7" t="s">
        <v>1943</v>
      </c>
      <c r="F163" s="20">
        <v>46174</v>
      </c>
      <c r="G163" s="17">
        <v>3</v>
      </c>
      <c r="H163" t="s">
        <v>1946</v>
      </c>
      <c r="I163" s="32">
        <v>1074052</v>
      </c>
      <c r="J163" s="19" t="s">
        <v>761</v>
      </c>
      <c r="K163" s="6" t="s">
        <v>762</v>
      </c>
      <c r="L163" s="3" t="s">
        <v>2220</v>
      </c>
      <c r="M163" s="3" t="s">
        <v>2234</v>
      </c>
      <c r="N163" s="3" t="s">
        <v>2258</v>
      </c>
    </row>
    <row r="164" spans="1:14" x14ac:dyDescent="0.25">
      <c r="A164" s="14" t="s">
        <v>1951</v>
      </c>
      <c r="B164" s="16" t="s">
        <v>2199</v>
      </c>
      <c r="C164" s="19" t="s">
        <v>28</v>
      </c>
      <c r="D164" s="19" t="s">
        <v>28</v>
      </c>
      <c r="E164" s="10" t="s">
        <v>1952</v>
      </c>
      <c r="F164" s="20">
        <v>46082</v>
      </c>
      <c r="G164" s="16">
        <v>2</v>
      </c>
      <c r="H164" s="11" t="s">
        <v>1864</v>
      </c>
      <c r="I164" s="31">
        <v>809217</v>
      </c>
      <c r="J164" s="19" t="s">
        <v>761</v>
      </c>
      <c r="K164" s="19" t="s">
        <v>762</v>
      </c>
      <c r="L164" s="3" t="s">
        <v>2220</v>
      </c>
      <c r="M164" s="3" t="s">
        <v>2234</v>
      </c>
      <c r="N164" s="3" t="s">
        <v>2258</v>
      </c>
    </row>
    <row r="165" spans="1:14" x14ac:dyDescent="0.25">
      <c r="A165" s="15" t="s">
        <v>1951</v>
      </c>
      <c r="B165" s="17" t="s">
        <v>2199</v>
      </c>
      <c r="C165" s="6" t="s">
        <v>28</v>
      </c>
      <c r="D165" s="6" t="s">
        <v>28</v>
      </c>
      <c r="E165" s="7" t="s">
        <v>1952</v>
      </c>
      <c r="F165" s="20">
        <v>46082</v>
      </c>
      <c r="G165" s="17">
        <v>2</v>
      </c>
      <c r="H165" t="s">
        <v>1938</v>
      </c>
      <c r="I165" s="32">
        <v>340060</v>
      </c>
      <c r="J165" s="19" t="s">
        <v>761</v>
      </c>
      <c r="K165" s="6" t="s">
        <v>762</v>
      </c>
      <c r="L165" s="3" t="s">
        <v>2220</v>
      </c>
      <c r="M165" s="3" t="s">
        <v>2234</v>
      </c>
      <c r="N165" s="3" t="s">
        <v>2258</v>
      </c>
    </row>
    <row r="166" spans="1:14" x14ac:dyDescent="0.25">
      <c r="A166" s="14" t="s">
        <v>2089</v>
      </c>
      <c r="B166" s="16" t="s">
        <v>2199</v>
      </c>
      <c r="C166" s="19" t="s">
        <v>28</v>
      </c>
      <c r="D166" s="19" t="s">
        <v>28</v>
      </c>
      <c r="E166" s="10" t="s">
        <v>2090</v>
      </c>
      <c r="F166" s="20">
        <v>46113</v>
      </c>
      <c r="G166" s="16">
        <v>6</v>
      </c>
      <c r="H166" s="11" t="s">
        <v>2096</v>
      </c>
      <c r="I166" s="31">
        <v>30000</v>
      </c>
      <c r="J166" s="19" t="s">
        <v>761</v>
      </c>
      <c r="K166" s="19" t="s">
        <v>762</v>
      </c>
      <c r="L166" s="3" t="s">
        <v>2220</v>
      </c>
      <c r="M166" s="3" t="s">
        <v>2234</v>
      </c>
      <c r="N166" s="3" t="s">
        <v>2258</v>
      </c>
    </row>
    <row r="167" spans="1:14" x14ac:dyDescent="0.25">
      <c r="A167" s="15" t="s">
        <v>2089</v>
      </c>
      <c r="B167" s="17" t="s">
        <v>2199</v>
      </c>
      <c r="C167" s="6" t="s">
        <v>28</v>
      </c>
      <c r="D167" s="6" t="s">
        <v>28</v>
      </c>
      <c r="E167" s="7" t="s">
        <v>2090</v>
      </c>
      <c r="F167" s="20">
        <v>46113</v>
      </c>
      <c r="G167" s="17">
        <v>6</v>
      </c>
      <c r="H167" t="s">
        <v>2092</v>
      </c>
      <c r="I167" s="32">
        <v>343480</v>
      </c>
      <c r="J167" s="19" t="s">
        <v>761</v>
      </c>
      <c r="K167" s="6" t="s">
        <v>762</v>
      </c>
      <c r="L167" s="3" t="s">
        <v>2220</v>
      </c>
      <c r="M167" s="3" t="s">
        <v>2234</v>
      </c>
      <c r="N167" s="3" t="s">
        <v>2258</v>
      </c>
    </row>
    <row r="168" spans="1:14" x14ac:dyDescent="0.25">
      <c r="A168" s="14" t="s">
        <v>2089</v>
      </c>
      <c r="B168" s="16" t="s">
        <v>2199</v>
      </c>
      <c r="C168" s="19" t="s">
        <v>28</v>
      </c>
      <c r="D168" s="19" t="s">
        <v>28</v>
      </c>
      <c r="E168" s="10" t="s">
        <v>2090</v>
      </c>
      <c r="F168" s="20">
        <v>46113</v>
      </c>
      <c r="G168" s="16">
        <v>6</v>
      </c>
      <c r="H168" s="11" t="s">
        <v>1864</v>
      </c>
      <c r="I168" s="31">
        <v>230040</v>
      </c>
      <c r="J168" s="19" t="s">
        <v>761</v>
      </c>
      <c r="K168" s="19" t="s">
        <v>762</v>
      </c>
      <c r="L168" s="3" t="s">
        <v>2220</v>
      </c>
      <c r="M168" s="3" t="s">
        <v>2234</v>
      </c>
      <c r="N168" s="3" t="s">
        <v>2258</v>
      </c>
    </row>
    <row r="169" spans="1:14" x14ac:dyDescent="0.25">
      <c r="A169" s="15" t="s">
        <v>2089</v>
      </c>
      <c r="B169" s="17" t="s">
        <v>2199</v>
      </c>
      <c r="C169" s="6" t="s">
        <v>28</v>
      </c>
      <c r="D169" s="6" t="s">
        <v>28</v>
      </c>
      <c r="E169" s="7" t="s">
        <v>2090</v>
      </c>
      <c r="F169" s="20">
        <v>46113</v>
      </c>
      <c r="G169" s="17">
        <v>6</v>
      </c>
      <c r="H169" t="s">
        <v>1938</v>
      </c>
      <c r="I169" s="32">
        <v>220110</v>
      </c>
      <c r="J169" s="19" t="s">
        <v>761</v>
      </c>
      <c r="K169" s="6" t="s">
        <v>762</v>
      </c>
      <c r="L169" s="3" t="s">
        <v>2220</v>
      </c>
      <c r="M169" s="3" t="s">
        <v>2234</v>
      </c>
      <c r="N169" s="3" t="s">
        <v>2258</v>
      </c>
    </row>
    <row r="170" spans="1:14" x14ac:dyDescent="0.25">
      <c r="A170" s="14" t="s">
        <v>2089</v>
      </c>
      <c r="B170" s="16" t="s">
        <v>2199</v>
      </c>
      <c r="C170" s="19" t="s">
        <v>28</v>
      </c>
      <c r="D170" s="19" t="s">
        <v>28</v>
      </c>
      <c r="E170" s="10" t="s">
        <v>2090</v>
      </c>
      <c r="F170" s="20">
        <v>46113</v>
      </c>
      <c r="G170" s="16">
        <v>6</v>
      </c>
      <c r="H170" s="11" t="s">
        <v>2093</v>
      </c>
      <c r="I170" s="31">
        <v>100000</v>
      </c>
      <c r="J170" s="19" t="s">
        <v>761</v>
      </c>
      <c r="K170" s="19" t="s">
        <v>762</v>
      </c>
      <c r="L170" s="3" t="s">
        <v>2220</v>
      </c>
      <c r="M170" s="3" t="s">
        <v>2234</v>
      </c>
      <c r="N170" s="3" t="s">
        <v>2258</v>
      </c>
    </row>
    <row r="171" spans="1:14" x14ac:dyDescent="0.25">
      <c r="A171" s="15" t="s">
        <v>2089</v>
      </c>
      <c r="B171" s="17" t="s">
        <v>2199</v>
      </c>
      <c r="C171" s="6" t="s">
        <v>28</v>
      </c>
      <c r="D171" s="6" t="s">
        <v>28</v>
      </c>
      <c r="E171" s="7" t="s">
        <v>2090</v>
      </c>
      <c r="F171" s="20">
        <v>46113</v>
      </c>
      <c r="G171" s="17">
        <v>6</v>
      </c>
      <c r="H171" t="s">
        <v>2095</v>
      </c>
      <c r="I171" s="32">
        <v>2364300</v>
      </c>
      <c r="J171" s="19" t="s">
        <v>761</v>
      </c>
      <c r="K171" s="6" t="s">
        <v>762</v>
      </c>
      <c r="L171" s="3" t="s">
        <v>2220</v>
      </c>
      <c r="M171" s="3" t="s">
        <v>2234</v>
      </c>
      <c r="N171" s="3" t="s">
        <v>2258</v>
      </c>
    </row>
    <row r="172" spans="1:14" x14ac:dyDescent="0.25">
      <c r="A172" s="14" t="s">
        <v>2107</v>
      </c>
      <c r="B172" s="16" t="s">
        <v>2199</v>
      </c>
      <c r="C172" s="19" t="s">
        <v>28</v>
      </c>
      <c r="D172" s="19" t="s">
        <v>28</v>
      </c>
      <c r="E172" s="10" t="s">
        <v>2108</v>
      </c>
      <c r="F172" s="20">
        <v>46054</v>
      </c>
      <c r="G172" s="16">
        <v>3</v>
      </c>
      <c r="H172" s="11" t="s">
        <v>486</v>
      </c>
      <c r="I172" s="31">
        <v>1975000</v>
      </c>
      <c r="J172" s="19" t="s">
        <v>761</v>
      </c>
      <c r="K172" s="19" t="s">
        <v>762</v>
      </c>
      <c r="L172" s="3" t="s">
        <v>2220</v>
      </c>
      <c r="M172" s="3" t="s">
        <v>2234</v>
      </c>
      <c r="N172" s="3" t="s">
        <v>2258</v>
      </c>
    </row>
    <row r="173" spans="1:14" x14ac:dyDescent="0.25">
      <c r="A173" s="15" t="s">
        <v>2107</v>
      </c>
      <c r="B173" s="17" t="s">
        <v>2199</v>
      </c>
      <c r="C173" s="6" t="s">
        <v>28</v>
      </c>
      <c r="D173" s="6" t="s">
        <v>28</v>
      </c>
      <c r="E173" s="7" t="s">
        <v>2108</v>
      </c>
      <c r="F173" s="20">
        <v>46054</v>
      </c>
      <c r="G173" s="17">
        <v>3</v>
      </c>
      <c r="H173" t="s">
        <v>1683</v>
      </c>
      <c r="I173" s="32">
        <v>50000</v>
      </c>
      <c r="J173" s="19" t="s">
        <v>761</v>
      </c>
      <c r="K173" s="6" t="s">
        <v>762</v>
      </c>
      <c r="L173" s="3" t="s">
        <v>2220</v>
      </c>
      <c r="M173" s="3" t="s">
        <v>2234</v>
      </c>
      <c r="N173" s="3" t="s">
        <v>2258</v>
      </c>
    </row>
    <row r="174" spans="1:14" x14ac:dyDescent="0.25">
      <c r="A174" s="14" t="s">
        <v>2107</v>
      </c>
      <c r="B174" s="16" t="s">
        <v>2199</v>
      </c>
      <c r="C174" s="19" t="s">
        <v>28</v>
      </c>
      <c r="D174" s="19" t="s">
        <v>28</v>
      </c>
      <c r="E174" s="10" t="s">
        <v>2108</v>
      </c>
      <c r="F174" s="20">
        <v>46054</v>
      </c>
      <c r="G174" s="16">
        <v>3</v>
      </c>
      <c r="H174" s="11" t="s">
        <v>953</v>
      </c>
      <c r="I174" s="31">
        <v>500004</v>
      </c>
      <c r="J174" s="19" t="s">
        <v>761</v>
      </c>
      <c r="K174" s="19" t="s">
        <v>762</v>
      </c>
      <c r="L174" s="3" t="s">
        <v>2220</v>
      </c>
      <c r="M174" s="3" t="s">
        <v>2234</v>
      </c>
      <c r="N174" s="3" t="s">
        <v>2258</v>
      </c>
    </row>
    <row r="175" spans="1:14" x14ac:dyDescent="0.25">
      <c r="A175" s="15" t="s">
        <v>2115</v>
      </c>
      <c r="B175" s="17" t="s">
        <v>2199</v>
      </c>
      <c r="C175" s="6" t="s">
        <v>28</v>
      </c>
      <c r="D175" s="6" t="s">
        <v>28</v>
      </c>
      <c r="E175" s="7" t="s">
        <v>2116</v>
      </c>
      <c r="F175" s="20">
        <v>46266</v>
      </c>
      <c r="G175" s="17">
        <v>4</v>
      </c>
      <c r="H175" t="s">
        <v>359</v>
      </c>
      <c r="I175" s="32">
        <v>679980</v>
      </c>
      <c r="J175" s="19" t="s">
        <v>761</v>
      </c>
      <c r="K175" s="6" t="s">
        <v>762</v>
      </c>
      <c r="L175" s="3" t="s">
        <v>2220</v>
      </c>
      <c r="M175" s="3" t="s">
        <v>2234</v>
      </c>
      <c r="N175" s="3" t="s">
        <v>2258</v>
      </c>
    </row>
    <row r="176" spans="1:14" x14ac:dyDescent="0.25">
      <c r="A176" s="14" t="s">
        <v>2115</v>
      </c>
      <c r="B176" s="16" t="s">
        <v>2199</v>
      </c>
      <c r="C176" s="19" t="s">
        <v>28</v>
      </c>
      <c r="D176" s="19" t="s">
        <v>28</v>
      </c>
      <c r="E176" s="10" t="s">
        <v>2116</v>
      </c>
      <c r="F176" s="20">
        <v>46266</v>
      </c>
      <c r="G176" s="16">
        <v>4</v>
      </c>
      <c r="H176" s="11" t="s">
        <v>2118</v>
      </c>
      <c r="I176" s="31">
        <v>1000000</v>
      </c>
      <c r="J176" s="19" t="s">
        <v>761</v>
      </c>
      <c r="K176" s="19" t="s">
        <v>762</v>
      </c>
      <c r="L176" s="3" t="s">
        <v>2220</v>
      </c>
      <c r="M176" s="3" t="s">
        <v>2234</v>
      </c>
      <c r="N176" s="3" t="s">
        <v>2258</v>
      </c>
    </row>
    <row r="177" spans="1:14" x14ac:dyDescent="0.25">
      <c r="A177" s="15" t="s">
        <v>2115</v>
      </c>
      <c r="B177" s="17" t="s">
        <v>2199</v>
      </c>
      <c r="C177" s="6" t="s">
        <v>28</v>
      </c>
      <c r="D177" s="6" t="s">
        <v>28</v>
      </c>
      <c r="E177" s="7" t="s">
        <v>2116</v>
      </c>
      <c r="F177" s="20">
        <v>46266</v>
      </c>
      <c r="G177" s="17">
        <v>4</v>
      </c>
      <c r="H177" t="s">
        <v>2120</v>
      </c>
      <c r="I177" s="32">
        <v>186000</v>
      </c>
      <c r="J177" s="19" t="s">
        <v>761</v>
      </c>
      <c r="K177" s="6" t="s">
        <v>762</v>
      </c>
      <c r="L177" s="3" t="s">
        <v>2220</v>
      </c>
      <c r="M177" s="3" t="s">
        <v>2234</v>
      </c>
      <c r="N177" s="3" t="s">
        <v>2258</v>
      </c>
    </row>
    <row r="178" spans="1:14" x14ac:dyDescent="0.25">
      <c r="A178" s="14" t="s">
        <v>2115</v>
      </c>
      <c r="B178" s="16" t="s">
        <v>2199</v>
      </c>
      <c r="C178" s="19" t="s">
        <v>28</v>
      </c>
      <c r="D178" s="19" t="s">
        <v>28</v>
      </c>
      <c r="E178" s="10" t="s">
        <v>2116</v>
      </c>
      <c r="F178" s="20">
        <v>46266</v>
      </c>
      <c r="G178" s="16">
        <v>4</v>
      </c>
      <c r="H178" s="11" t="s">
        <v>2119</v>
      </c>
      <c r="I178" s="31">
        <v>360000</v>
      </c>
      <c r="J178" s="19" t="s">
        <v>761</v>
      </c>
      <c r="K178" s="19" t="s">
        <v>762</v>
      </c>
      <c r="L178" s="3" t="s">
        <v>2220</v>
      </c>
      <c r="M178" s="3" t="s">
        <v>2234</v>
      </c>
      <c r="N178" s="3" t="s">
        <v>2258</v>
      </c>
    </row>
    <row r="179" spans="1:14" x14ac:dyDescent="0.25">
      <c r="A179" s="15" t="s">
        <v>2183</v>
      </c>
      <c r="B179" s="17" t="s">
        <v>2199</v>
      </c>
      <c r="C179" s="6" t="s">
        <v>28</v>
      </c>
      <c r="D179" s="6" t="s">
        <v>28</v>
      </c>
      <c r="E179" s="7" t="s">
        <v>2184</v>
      </c>
      <c r="F179" s="20">
        <v>46143</v>
      </c>
      <c r="G179" s="17">
        <v>11</v>
      </c>
      <c r="H179" t="s">
        <v>2188</v>
      </c>
      <c r="I179" s="32">
        <v>960000</v>
      </c>
      <c r="J179" s="19" t="s">
        <v>761</v>
      </c>
      <c r="K179" s="6" t="s">
        <v>762</v>
      </c>
      <c r="L179" s="3" t="s">
        <v>2220</v>
      </c>
      <c r="M179" s="3" t="s">
        <v>2234</v>
      </c>
      <c r="N179" s="3" t="s">
        <v>2258</v>
      </c>
    </row>
    <row r="180" spans="1:14" x14ac:dyDescent="0.25">
      <c r="A180" s="14" t="s">
        <v>2183</v>
      </c>
      <c r="B180" s="16" t="s">
        <v>2199</v>
      </c>
      <c r="C180" s="19" t="s">
        <v>28</v>
      </c>
      <c r="D180" s="19" t="s">
        <v>28</v>
      </c>
      <c r="E180" s="10" t="s">
        <v>2184</v>
      </c>
      <c r="F180" s="20">
        <v>46143</v>
      </c>
      <c r="G180" s="16">
        <v>11</v>
      </c>
      <c r="H180" s="11" t="s">
        <v>2191</v>
      </c>
      <c r="I180" s="31">
        <v>500004</v>
      </c>
      <c r="J180" s="19" t="s">
        <v>761</v>
      </c>
      <c r="K180" s="19" t="s">
        <v>762</v>
      </c>
      <c r="L180" s="3" t="s">
        <v>2220</v>
      </c>
      <c r="M180" s="3" t="s">
        <v>2234</v>
      </c>
      <c r="N180" s="3" t="s">
        <v>2258</v>
      </c>
    </row>
    <row r="181" spans="1:14" x14ac:dyDescent="0.25">
      <c r="A181" s="15" t="s">
        <v>2183</v>
      </c>
      <c r="B181" s="17" t="s">
        <v>2199</v>
      </c>
      <c r="C181" s="6" t="s">
        <v>28</v>
      </c>
      <c r="D181" s="6" t="s">
        <v>28</v>
      </c>
      <c r="E181" s="7" t="s">
        <v>2184</v>
      </c>
      <c r="F181" s="20">
        <v>46143</v>
      </c>
      <c r="G181" s="17">
        <v>11</v>
      </c>
      <c r="H181" t="s">
        <v>2187</v>
      </c>
      <c r="I181" s="32">
        <v>1201970</v>
      </c>
      <c r="J181" s="19" t="s">
        <v>761</v>
      </c>
      <c r="K181" s="6" t="s">
        <v>762</v>
      </c>
      <c r="L181" s="3" t="s">
        <v>2220</v>
      </c>
      <c r="M181" s="3" t="s">
        <v>2234</v>
      </c>
      <c r="N181" s="3" t="s">
        <v>2258</v>
      </c>
    </row>
    <row r="182" spans="1:14" x14ac:dyDescent="0.25">
      <c r="A182" s="14" t="s">
        <v>2183</v>
      </c>
      <c r="B182" s="16" t="s">
        <v>2199</v>
      </c>
      <c r="C182" s="19" t="s">
        <v>28</v>
      </c>
      <c r="D182" s="19" t="s">
        <v>28</v>
      </c>
      <c r="E182" s="10" t="s">
        <v>2184</v>
      </c>
      <c r="F182" s="20">
        <v>46143</v>
      </c>
      <c r="G182" s="16">
        <v>11</v>
      </c>
      <c r="H182" s="11" t="s">
        <v>855</v>
      </c>
      <c r="I182" s="31">
        <v>2563440</v>
      </c>
      <c r="J182" s="19" t="s">
        <v>761</v>
      </c>
      <c r="K182" s="19" t="s">
        <v>762</v>
      </c>
      <c r="L182" s="3" t="s">
        <v>2220</v>
      </c>
      <c r="M182" s="3" t="s">
        <v>2234</v>
      </c>
      <c r="N182" s="3" t="s">
        <v>2258</v>
      </c>
    </row>
    <row r="183" spans="1:14" x14ac:dyDescent="0.25">
      <c r="A183" s="15" t="s">
        <v>2183</v>
      </c>
      <c r="B183" s="17" t="s">
        <v>2199</v>
      </c>
      <c r="C183" s="6" t="s">
        <v>28</v>
      </c>
      <c r="D183" s="6" t="s">
        <v>28</v>
      </c>
      <c r="E183" s="7" t="s">
        <v>2184</v>
      </c>
      <c r="F183" s="20">
        <v>46143</v>
      </c>
      <c r="G183" s="17">
        <v>11</v>
      </c>
      <c r="H183" t="s">
        <v>2190</v>
      </c>
      <c r="I183" s="32">
        <v>549000</v>
      </c>
      <c r="J183" s="19" t="s">
        <v>761</v>
      </c>
      <c r="K183" s="6" t="s">
        <v>762</v>
      </c>
      <c r="L183" s="3" t="s">
        <v>2220</v>
      </c>
      <c r="M183" s="3" t="s">
        <v>2234</v>
      </c>
      <c r="N183" s="3" t="s">
        <v>2258</v>
      </c>
    </row>
    <row r="184" spans="1:14" x14ac:dyDescent="0.25">
      <c r="A184" s="14" t="s">
        <v>2183</v>
      </c>
      <c r="B184" s="16" t="s">
        <v>2199</v>
      </c>
      <c r="C184" s="19" t="s">
        <v>28</v>
      </c>
      <c r="D184" s="19" t="s">
        <v>28</v>
      </c>
      <c r="E184" s="10" t="s">
        <v>2184</v>
      </c>
      <c r="F184" s="20">
        <v>46143</v>
      </c>
      <c r="G184" s="16">
        <v>11</v>
      </c>
      <c r="H184" s="11" t="s">
        <v>2194</v>
      </c>
      <c r="I184" s="31">
        <v>55008</v>
      </c>
      <c r="J184" s="19" t="s">
        <v>761</v>
      </c>
      <c r="K184" s="19" t="s">
        <v>762</v>
      </c>
      <c r="L184" s="3" t="s">
        <v>2220</v>
      </c>
      <c r="M184" s="3" t="s">
        <v>2234</v>
      </c>
      <c r="N184" s="3" t="s">
        <v>2258</v>
      </c>
    </row>
    <row r="185" spans="1:14" x14ac:dyDescent="0.25">
      <c r="A185" s="15" t="s">
        <v>2183</v>
      </c>
      <c r="B185" s="17" t="s">
        <v>2199</v>
      </c>
      <c r="C185" s="6" t="s">
        <v>28</v>
      </c>
      <c r="D185" s="6" t="s">
        <v>28</v>
      </c>
      <c r="E185" s="7" t="s">
        <v>2184</v>
      </c>
      <c r="F185" s="20">
        <v>46143</v>
      </c>
      <c r="G185" s="17">
        <v>11</v>
      </c>
      <c r="H185" t="s">
        <v>2193</v>
      </c>
      <c r="I185" s="32">
        <v>120000</v>
      </c>
      <c r="J185" s="19" t="s">
        <v>761</v>
      </c>
      <c r="K185" s="6" t="s">
        <v>762</v>
      </c>
      <c r="L185" s="3" t="s">
        <v>2220</v>
      </c>
      <c r="M185" s="3" t="s">
        <v>2234</v>
      </c>
      <c r="N185" s="3" t="s">
        <v>2258</v>
      </c>
    </row>
    <row r="186" spans="1:14" x14ac:dyDescent="0.25">
      <c r="A186" s="14" t="s">
        <v>2183</v>
      </c>
      <c r="B186" s="16" t="s">
        <v>2199</v>
      </c>
      <c r="C186" s="19" t="s">
        <v>28</v>
      </c>
      <c r="D186" s="19" t="s">
        <v>28</v>
      </c>
      <c r="E186" s="10" t="s">
        <v>2184</v>
      </c>
      <c r="F186" s="20">
        <v>46143</v>
      </c>
      <c r="G186" s="16">
        <v>11</v>
      </c>
      <c r="H186" s="11" t="s">
        <v>2192</v>
      </c>
      <c r="I186" s="31">
        <v>290017</v>
      </c>
      <c r="J186" s="19" t="s">
        <v>761</v>
      </c>
      <c r="K186" s="19" t="s">
        <v>762</v>
      </c>
      <c r="L186" s="3" t="s">
        <v>2220</v>
      </c>
      <c r="M186" s="3" t="s">
        <v>2234</v>
      </c>
      <c r="N186" s="3" t="s">
        <v>2258</v>
      </c>
    </row>
    <row r="187" spans="1:14" x14ac:dyDescent="0.25">
      <c r="A187" s="15" t="s">
        <v>2183</v>
      </c>
      <c r="B187" s="17" t="s">
        <v>2199</v>
      </c>
      <c r="C187" s="6" t="s">
        <v>28</v>
      </c>
      <c r="D187" s="6" t="s">
        <v>28</v>
      </c>
      <c r="E187" s="7" t="s">
        <v>2184</v>
      </c>
      <c r="F187" s="20">
        <v>46143</v>
      </c>
      <c r="G187" s="17">
        <v>11</v>
      </c>
      <c r="H187" t="s">
        <v>2189</v>
      </c>
      <c r="I187" s="32">
        <v>948047</v>
      </c>
      <c r="J187" s="19" t="s">
        <v>761</v>
      </c>
      <c r="K187" s="6" t="s">
        <v>762</v>
      </c>
      <c r="L187" s="3" t="s">
        <v>2220</v>
      </c>
      <c r="M187" s="3" t="s">
        <v>2234</v>
      </c>
      <c r="N187" s="3" t="s">
        <v>2258</v>
      </c>
    </row>
    <row r="188" spans="1:14" x14ac:dyDescent="0.25">
      <c r="A188" s="14" t="s">
        <v>2183</v>
      </c>
      <c r="B188" s="16" t="s">
        <v>2199</v>
      </c>
      <c r="C188" s="19" t="s">
        <v>28</v>
      </c>
      <c r="D188" s="19" t="s">
        <v>28</v>
      </c>
      <c r="E188" s="10" t="s">
        <v>2184</v>
      </c>
      <c r="F188" s="20">
        <v>46143</v>
      </c>
      <c r="G188" s="16">
        <v>11</v>
      </c>
      <c r="H188" s="11" t="s">
        <v>2186</v>
      </c>
      <c r="I188" s="31">
        <v>4093285</v>
      </c>
      <c r="J188" s="19" t="s">
        <v>761</v>
      </c>
      <c r="K188" s="19" t="s">
        <v>762</v>
      </c>
      <c r="L188" s="3" t="s">
        <v>2220</v>
      </c>
      <c r="M188" s="3" t="s">
        <v>2234</v>
      </c>
      <c r="N188" s="3" t="s">
        <v>2258</v>
      </c>
    </row>
    <row r="189" spans="1:14" x14ac:dyDescent="0.25">
      <c r="A189" s="15" t="s">
        <v>2183</v>
      </c>
      <c r="B189" s="17" t="s">
        <v>2199</v>
      </c>
      <c r="C189" s="6" t="s">
        <v>28</v>
      </c>
      <c r="D189" s="6" t="s">
        <v>28</v>
      </c>
      <c r="E189" s="7" t="s">
        <v>2184</v>
      </c>
      <c r="F189" s="20">
        <v>46143</v>
      </c>
      <c r="G189" s="17">
        <v>11</v>
      </c>
      <c r="H189" t="s">
        <v>2195</v>
      </c>
      <c r="I189" s="32">
        <v>30000</v>
      </c>
      <c r="J189" s="19" t="s">
        <v>761</v>
      </c>
      <c r="K189" s="6" t="s">
        <v>762</v>
      </c>
      <c r="L189" s="3" t="s">
        <v>2220</v>
      </c>
      <c r="M189" s="3" t="s">
        <v>2234</v>
      </c>
      <c r="N189" s="3" t="s">
        <v>2258</v>
      </c>
    </row>
    <row r="190" spans="1:14" x14ac:dyDescent="0.25">
      <c r="A190" s="14" t="s">
        <v>1575</v>
      </c>
      <c r="B190" s="16" t="s">
        <v>2199</v>
      </c>
      <c r="C190" s="19" t="s">
        <v>374</v>
      </c>
      <c r="D190" s="19" t="s">
        <v>374</v>
      </c>
      <c r="E190" s="10" t="s">
        <v>1576</v>
      </c>
      <c r="F190" s="20">
        <v>46054</v>
      </c>
      <c r="G190" s="16">
        <v>7</v>
      </c>
      <c r="H190" s="11" t="s">
        <v>1580</v>
      </c>
      <c r="I190" s="31">
        <v>2760000</v>
      </c>
      <c r="J190" s="19" t="s">
        <v>761</v>
      </c>
      <c r="K190" s="19" t="s">
        <v>762</v>
      </c>
      <c r="L190" s="3" t="s">
        <v>2220</v>
      </c>
      <c r="M190" s="3" t="s">
        <v>2234</v>
      </c>
      <c r="N190" s="3" t="s">
        <v>2258</v>
      </c>
    </row>
    <row r="191" spans="1:14" x14ac:dyDescent="0.25">
      <c r="A191" s="15" t="s">
        <v>1575</v>
      </c>
      <c r="B191" s="17" t="s">
        <v>2199</v>
      </c>
      <c r="C191" s="6" t="s">
        <v>374</v>
      </c>
      <c r="D191" s="6" t="s">
        <v>374</v>
      </c>
      <c r="E191" s="7" t="s">
        <v>1576</v>
      </c>
      <c r="F191" s="20">
        <v>46054</v>
      </c>
      <c r="G191" s="17">
        <v>7</v>
      </c>
      <c r="H191" t="s">
        <v>1579</v>
      </c>
      <c r="I191" s="32">
        <v>450000</v>
      </c>
      <c r="J191" s="19" t="s">
        <v>761</v>
      </c>
      <c r="K191" s="6" t="s">
        <v>762</v>
      </c>
      <c r="L191" s="3" t="s">
        <v>2220</v>
      </c>
      <c r="M191" s="3" t="s">
        <v>2234</v>
      </c>
      <c r="N191" s="3" t="s">
        <v>2258</v>
      </c>
    </row>
    <row r="192" spans="1:14" x14ac:dyDescent="0.25">
      <c r="A192" s="14" t="s">
        <v>1575</v>
      </c>
      <c r="B192" s="16" t="s">
        <v>2199</v>
      </c>
      <c r="C192" s="19" t="s">
        <v>374</v>
      </c>
      <c r="D192" s="19" t="s">
        <v>374</v>
      </c>
      <c r="E192" s="10" t="s">
        <v>1576</v>
      </c>
      <c r="F192" s="20">
        <v>46054</v>
      </c>
      <c r="G192" s="16">
        <v>7</v>
      </c>
      <c r="H192" s="11" t="s">
        <v>1582</v>
      </c>
      <c r="I192" s="31">
        <v>800000</v>
      </c>
      <c r="J192" s="19" t="s">
        <v>761</v>
      </c>
      <c r="K192" s="19" t="s">
        <v>762</v>
      </c>
      <c r="L192" s="3" t="s">
        <v>2220</v>
      </c>
      <c r="M192" s="3" t="s">
        <v>2234</v>
      </c>
      <c r="N192" s="3" t="s">
        <v>2258</v>
      </c>
    </row>
    <row r="193" spans="1:14" x14ac:dyDescent="0.25">
      <c r="A193" s="15" t="s">
        <v>1575</v>
      </c>
      <c r="B193" s="17" t="s">
        <v>2199</v>
      </c>
      <c r="C193" s="6" t="s">
        <v>374</v>
      </c>
      <c r="D193" s="6" t="s">
        <v>374</v>
      </c>
      <c r="E193" s="7" t="s">
        <v>1576</v>
      </c>
      <c r="F193" s="20">
        <v>46054</v>
      </c>
      <c r="G193" s="17">
        <v>7</v>
      </c>
      <c r="H193" t="s">
        <v>1583</v>
      </c>
      <c r="I193" s="32">
        <v>240000</v>
      </c>
      <c r="J193" s="19" t="s">
        <v>761</v>
      </c>
      <c r="K193" s="6" t="s">
        <v>762</v>
      </c>
      <c r="L193" s="3" t="s">
        <v>2220</v>
      </c>
      <c r="M193" s="3" t="s">
        <v>2234</v>
      </c>
      <c r="N193" s="3" t="s">
        <v>2258</v>
      </c>
    </row>
    <row r="194" spans="1:14" x14ac:dyDescent="0.25">
      <c r="A194" s="14" t="s">
        <v>1575</v>
      </c>
      <c r="B194" s="16" t="s">
        <v>2199</v>
      </c>
      <c r="C194" s="19" t="s">
        <v>374</v>
      </c>
      <c r="D194" s="19" t="s">
        <v>374</v>
      </c>
      <c r="E194" s="10" t="s">
        <v>1576</v>
      </c>
      <c r="F194" s="20">
        <v>46054</v>
      </c>
      <c r="G194" s="16">
        <v>7</v>
      </c>
      <c r="H194" s="11" t="s">
        <v>1578</v>
      </c>
      <c r="I194" s="31">
        <v>120000</v>
      </c>
      <c r="J194" s="19" t="s">
        <v>761</v>
      </c>
      <c r="K194" s="19" t="s">
        <v>762</v>
      </c>
      <c r="L194" s="3" t="s">
        <v>2220</v>
      </c>
      <c r="M194" s="3" t="s">
        <v>2234</v>
      </c>
      <c r="N194" s="3" t="s">
        <v>2258</v>
      </c>
    </row>
    <row r="195" spans="1:14" x14ac:dyDescent="0.25">
      <c r="A195" s="15" t="s">
        <v>1575</v>
      </c>
      <c r="B195" s="17" t="s">
        <v>2199</v>
      </c>
      <c r="C195" s="6" t="s">
        <v>374</v>
      </c>
      <c r="D195" s="6" t="s">
        <v>374</v>
      </c>
      <c r="E195" s="7" t="s">
        <v>1576</v>
      </c>
      <c r="F195" s="20">
        <v>46054</v>
      </c>
      <c r="G195" s="17">
        <v>7</v>
      </c>
      <c r="H195" t="s">
        <v>1584</v>
      </c>
      <c r="I195" s="32">
        <v>30000</v>
      </c>
      <c r="J195" s="19" t="s">
        <v>761</v>
      </c>
      <c r="K195" s="6" t="s">
        <v>762</v>
      </c>
      <c r="L195" s="3" t="s">
        <v>2220</v>
      </c>
      <c r="M195" s="3" t="s">
        <v>2234</v>
      </c>
      <c r="N195" s="3" t="s">
        <v>2258</v>
      </c>
    </row>
    <row r="196" spans="1:14" x14ac:dyDescent="0.25">
      <c r="A196" s="14" t="s">
        <v>1575</v>
      </c>
      <c r="B196" s="16" t="s">
        <v>2199</v>
      </c>
      <c r="C196" s="19" t="s">
        <v>374</v>
      </c>
      <c r="D196" s="19" t="s">
        <v>374</v>
      </c>
      <c r="E196" s="10" t="s">
        <v>1576</v>
      </c>
      <c r="F196" s="20">
        <v>46054</v>
      </c>
      <c r="G196" s="16">
        <v>7</v>
      </c>
      <c r="H196" s="11" t="s">
        <v>1581</v>
      </c>
      <c r="I196" s="31">
        <v>2310000</v>
      </c>
      <c r="J196" s="19" t="s">
        <v>761</v>
      </c>
      <c r="K196" s="19" t="s">
        <v>762</v>
      </c>
      <c r="L196" s="3" t="s">
        <v>2220</v>
      </c>
      <c r="M196" s="3" t="s">
        <v>2234</v>
      </c>
      <c r="N196" s="3" t="s">
        <v>2258</v>
      </c>
    </row>
    <row r="197" spans="1:14" x14ac:dyDescent="0.25">
      <c r="A197" s="15" t="s">
        <v>1595</v>
      </c>
      <c r="B197" s="17" t="s">
        <v>2199</v>
      </c>
      <c r="C197" s="6" t="s">
        <v>374</v>
      </c>
      <c r="D197" s="6" t="s">
        <v>374</v>
      </c>
      <c r="E197" s="7" t="s">
        <v>1597</v>
      </c>
      <c r="F197" s="20">
        <v>46054</v>
      </c>
      <c r="G197" s="17">
        <v>1</v>
      </c>
      <c r="H197" t="s">
        <v>1599</v>
      </c>
      <c r="I197" s="32">
        <v>360000</v>
      </c>
      <c r="J197" s="19" t="s">
        <v>761</v>
      </c>
      <c r="K197" s="6" t="s">
        <v>762</v>
      </c>
      <c r="L197" s="3" t="s">
        <v>2220</v>
      </c>
      <c r="M197" s="3" t="s">
        <v>2234</v>
      </c>
      <c r="N197" s="3" t="s">
        <v>2258</v>
      </c>
    </row>
    <row r="198" spans="1:14" x14ac:dyDescent="0.25">
      <c r="A198" s="14" t="s">
        <v>1650</v>
      </c>
      <c r="B198" s="16" t="s">
        <v>2199</v>
      </c>
      <c r="C198" s="19" t="s">
        <v>374</v>
      </c>
      <c r="D198" s="19" t="s">
        <v>374</v>
      </c>
      <c r="E198" s="10" t="s">
        <v>1651</v>
      </c>
      <c r="F198" s="20">
        <v>46143</v>
      </c>
      <c r="G198" s="16">
        <v>1</v>
      </c>
      <c r="H198" s="11" t="s">
        <v>1653</v>
      </c>
      <c r="I198" s="31">
        <v>200004</v>
      </c>
      <c r="J198" s="19" t="s">
        <v>761</v>
      </c>
      <c r="K198" s="19" t="s">
        <v>762</v>
      </c>
      <c r="L198" s="3" t="s">
        <v>2220</v>
      </c>
      <c r="M198" s="3" t="s">
        <v>2234</v>
      </c>
      <c r="N198" s="3" t="s">
        <v>2258</v>
      </c>
    </row>
    <row r="199" spans="1:14" x14ac:dyDescent="0.25">
      <c r="A199" s="15" t="s">
        <v>1654</v>
      </c>
      <c r="B199" s="17" t="s">
        <v>2199</v>
      </c>
      <c r="C199" s="6" t="s">
        <v>374</v>
      </c>
      <c r="D199" s="6" t="s">
        <v>374</v>
      </c>
      <c r="E199" s="7" t="s">
        <v>1655</v>
      </c>
      <c r="F199" s="20">
        <v>46143</v>
      </c>
      <c r="G199" s="17">
        <v>3</v>
      </c>
      <c r="H199" t="s">
        <v>1592</v>
      </c>
      <c r="I199" s="32">
        <v>150000</v>
      </c>
      <c r="J199" s="19" t="s">
        <v>761</v>
      </c>
      <c r="K199" s="6" t="s">
        <v>762</v>
      </c>
      <c r="L199" s="3" t="s">
        <v>2220</v>
      </c>
      <c r="M199" s="3" t="s">
        <v>2234</v>
      </c>
      <c r="N199" s="3" t="s">
        <v>2258</v>
      </c>
    </row>
    <row r="200" spans="1:14" x14ac:dyDescent="0.25">
      <c r="A200" s="14" t="s">
        <v>1654</v>
      </c>
      <c r="B200" s="16" t="s">
        <v>2199</v>
      </c>
      <c r="C200" s="19" t="s">
        <v>374</v>
      </c>
      <c r="D200" s="19" t="s">
        <v>374</v>
      </c>
      <c r="E200" s="10" t="s">
        <v>1655</v>
      </c>
      <c r="F200" s="20">
        <v>46143</v>
      </c>
      <c r="G200" s="16">
        <v>3</v>
      </c>
      <c r="H200" s="11" t="s">
        <v>1656</v>
      </c>
      <c r="I200" s="31">
        <v>60000</v>
      </c>
      <c r="J200" s="19" t="s">
        <v>761</v>
      </c>
      <c r="K200" s="19" t="s">
        <v>762</v>
      </c>
      <c r="L200" s="3" t="s">
        <v>2220</v>
      </c>
      <c r="M200" s="3" t="s">
        <v>2234</v>
      </c>
      <c r="N200" s="3" t="s">
        <v>2258</v>
      </c>
    </row>
    <row r="201" spans="1:14" x14ac:dyDescent="0.25">
      <c r="A201" s="15" t="s">
        <v>1654</v>
      </c>
      <c r="B201" s="17" t="s">
        <v>2199</v>
      </c>
      <c r="C201" s="6" t="s">
        <v>374</v>
      </c>
      <c r="D201" s="6" t="s">
        <v>374</v>
      </c>
      <c r="E201" s="7" t="s">
        <v>1655</v>
      </c>
      <c r="F201" s="20">
        <v>46143</v>
      </c>
      <c r="G201" s="17">
        <v>3</v>
      </c>
      <c r="H201" t="s">
        <v>1593</v>
      </c>
      <c r="I201" s="32">
        <v>70000</v>
      </c>
      <c r="J201" s="19" t="s">
        <v>761</v>
      </c>
      <c r="K201" s="6" t="s">
        <v>762</v>
      </c>
      <c r="L201" s="3" t="s">
        <v>2220</v>
      </c>
      <c r="M201" s="3" t="s">
        <v>2234</v>
      </c>
      <c r="N201" s="3" t="s">
        <v>2258</v>
      </c>
    </row>
    <row r="202" spans="1:14" x14ac:dyDescent="0.25">
      <c r="A202" s="14" t="s">
        <v>2159</v>
      </c>
      <c r="B202" s="16" t="s">
        <v>2199</v>
      </c>
      <c r="C202" s="19" t="s">
        <v>374</v>
      </c>
      <c r="D202" s="19" t="s">
        <v>374</v>
      </c>
      <c r="E202" s="10" t="s">
        <v>2160</v>
      </c>
      <c r="F202" s="20">
        <v>46054</v>
      </c>
      <c r="G202" s="16">
        <v>7</v>
      </c>
      <c r="H202" s="11" t="s">
        <v>2165</v>
      </c>
      <c r="I202" s="31">
        <v>500000</v>
      </c>
      <c r="J202" s="19" t="s">
        <v>761</v>
      </c>
      <c r="K202" s="19" t="s">
        <v>762</v>
      </c>
      <c r="L202" s="3" t="s">
        <v>2220</v>
      </c>
      <c r="M202" s="3" t="s">
        <v>2234</v>
      </c>
      <c r="N202" s="3" t="s">
        <v>2258</v>
      </c>
    </row>
    <row r="203" spans="1:14" x14ac:dyDescent="0.25">
      <c r="A203" s="15" t="s">
        <v>2159</v>
      </c>
      <c r="B203" s="17" t="s">
        <v>2199</v>
      </c>
      <c r="C203" s="6" t="s">
        <v>374</v>
      </c>
      <c r="D203" s="6" t="s">
        <v>374</v>
      </c>
      <c r="E203" s="7" t="s">
        <v>2160</v>
      </c>
      <c r="F203" s="20">
        <v>46054</v>
      </c>
      <c r="G203" s="17">
        <v>7</v>
      </c>
      <c r="H203" t="s">
        <v>2164</v>
      </c>
      <c r="I203" s="32">
        <v>470007</v>
      </c>
      <c r="J203" s="19" t="s">
        <v>761</v>
      </c>
      <c r="K203" s="6" t="s">
        <v>762</v>
      </c>
      <c r="L203" s="3" t="s">
        <v>2220</v>
      </c>
      <c r="M203" s="3" t="s">
        <v>2234</v>
      </c>
      <c r="N203" s="3" t="s">
        <v>2258</v>
      </c>
    </row>
    <row r="204" spans="1:14" x14ac:dyDescent="0.25">
      <c r="A204" s="14" t="s">
        <v>2159</v>
      </c>
      <c r="B204" s="16" t="s">
        <v>2199</v>
      </c>
      <c r="C204" s="19" t="s">
        <v>374</v>
      </c>
      <c r="D204" s="19" t="s">
        <v>374</v>
      </c>
      <c r="E204" s="10" t="s">
        <v>2160</v>
      </c>
      <c r="F204" s="20">
        <v>46174</v>
      </c>
      <c r="G204" s="16">
        <v>7</v>
      </c>
      <c r="H204" s="11" t="s">
        <v>2163</v>
      </c>
      <c r="I204" s="31">
        <v>2060002</v>
      </c>
      <c r="J204" s="19" t="s">
        <v>761</v>
      </c>
      <c r="K204" s="19" t="s">
        <v>762</v>
      </c>
      <c r="L204" s="3" t="s">
        <v>2220</v>
      </c>
      <c r="M204" s="3" t="s">
        <v>2234</v>
      </c>
      <c r="N204" s="3" t="s">
        <v>2258</v>
      </c>
    </row>
    <row r="205" spans="1:14" x14ac:dyDescent="0.25">
      <c r="A205" s="15" t="s">
        <v>2159</v>
      </c>
      <c r="B205" s="17" t="s">
        <v>2199</v>
      </c>
      <c r="C205" s="6" t="s">
        <v>374</v>
      </c>
      <c r="D205" s="6" t="s">
        <v>374</v>
      </c>
      <c r="E205" s="7" t="s">
        <v>2160</v>
      </c>
      <c r="F205" s="20">
        <v>46174</v>
      </c>
      <c r="G205" s="17">
        <v>7</v>
      </c>
      <c r="H205" t="s">
        <v>1578</v>
      </c>
      <c r="I205" s="32">
        <v>120000</v>
      </c>
      <c r="J205" s="19" t="s">
        <v>761</v>
      </c>
      <c r="K205" s="6" t="s">
        <v>762</v>
      </c>
      <c r="L205" s="3" t="s">
        <v>2220</v>
      </c>
      <c r="M205" s="3" t="s">
        <v>2234</v>
      </c>
      <c r="N205" s="3" t="s">
        <v>2258</v>
      </c>
    </row>
    <row r="206" spans="1:14" x14ac:dyDescent="0.25">
      <c r="A206" s="14" t="s">
        <v>2159</v>
      </c>
      <c r="B206" s="16" t="s">
        <v>2199</v>
      </c>
      <c r="C206" s="19" t="s">
        <v>374</v>
      </c>
      <c r="D206" s="19" t="s">
        <v>374</v>
      </c>
      <c r="E206" s="10" t="s">
        <v>2160</v>
      </c>
      <c r="F206" s="20">
        <v>46174</v>
      </c>
      <c r="G206" s="16">
        <v>7</v>
      </c>
      <c r="H206" s="11" t="s">
        <v>820</v>
      </c>
      <c r="I206" s="31">
        <v>700000</v>
      </c>
      <c r="J206" s="19" t="s">
        <v>761</v>
      </c>
      <c r="K206" s="19" t="s">
        <v>762</v>
      </c>
      <c r="L206" s="3" t="s">
        <v>2220</v>
      </c>
      <c r="M206" s="3" t="s">
        <v>2234</v>
      </c>
      <c r="N206" s="3" t="s">
        <v>2258</v>
      </c>
    </row>
    <row r="207" spans="1:14" x14ac:dyDescent="0.25">
      <c r="A207" s="15" t="s">
        <v>2159</v>
      </c>
      <c r="B207" s="17" t="s">
        <v>2199</v>
      </c>
      <c r="C207" s="6" t="s">
        <v>374</v>
      </c>
      <c r="D207" s="6" t="s">
        <v>374</v>
      </c>
      <c r="E207" s="7" t="s">
        <v>2160</v>
      </c>
      <c r="F207" s="20">
        <v>46054</v>
      </c>
      <c r="G207" s="17">
        <v>7</v>
      </c>
      <c r="H207" t="s">
        <v>2161</v>
      </c>
      <c r="I207" s="32">
        <v>2700016</v>
      </c>
      <c r="J207" s="19" t="s">
        <v>761</v>
      </c>
      <c r="K207" s="6" t="s">
        <v>762</v>
      </c>
      <c r="L207" s="3" t="s">
        <v>2220</v>
      </c>
      <c r="M207" s="3" t="s">
        <v>2234</v>
      </c>
      <c r="N207" s="3" t="s">
        <v>2258</v>
      </c>
    </row>
    <row r="208" spans="1:14" x14ac:dyDescent="0.25">
      <c r="A208" s="14" t="s">
        <v>2159</v>
      </c>
      <c r="B208" s="16" t="s">
        <v>2199</v>
      </c>
      <c r="C208" s="19" t="s">
        <v>374</v>
      </c>
      <c r="D208" s="19" t="s">
        <v>374</v>
      </c>
      <c r="E208" s="10" t="s">
        <v>2160</v>
      </c>
      <c r="F208" s="20">
        <v>46054</v>
      </c>
      <c r="G208" s="16">
        <v>7</v>
      </c>
      <c r="H208" s="11" t="s">
        <v>2162</v>
      </c>
      <c r="I208" s="31">
        <v>1260000</v>
      </c>
      <c r="J208" s="19" t="s">
        <v>761</v>
      </c>
      <c r="K208" s="19" t="s">
        <v>762</v>
      </c>
      <c r="L208" s="3" t="s">
        <v>2220</v>
      </c>
      <c r="M208" s="3" t="s">
        <v>2234</v>
      </c>
      <c r="N208" s="3" t="s">
        <v>2258</v>
      </c>
    </row>
    <row r="209" spans="1:14" x14ac:dyDescent="0.25">
      <c r="A209" s="15" t="s">
        <v>2181</v>
      </c>
      <c r="B209" s="17" t="s">
        <v>2199</v>
      </c>
      <c r="C209" s="6" t="s">
        <v>374</v>
      </c>
      <c r="D209" s="6" t="s">
        <v>374</v>
      </c>
      <c r="E209" s="7" t="s">
        <v>2182</v>
      </c>
      <c r="F209" s="20">
        <v>46143</v>
      </c>
      <c r="G209" s="17">
        <v>1</v>
      </c>
      <c r="H209" t="s">
        <v>1653</v>
      </c>
      <c r="I209" s="32">
        <v>280008</v>
      </c>
      <c r="J209" s="19" t="s">
        <v>761</v>
      </c>
      <c r="K209" s="6" t="s">
        <v>762</v>
      </c>
      <c r="L209" s="3" t="s">
        <v>2220</v>
      </c>
      <c r="M209" s="3" t="s">
        <v>2234</v>
      </c>
      <c r="N209" s="3" t="s">
        <v>2258</v>
      </c>
    </row>
    <row r="210" spans="1:14" x14ac:dyDescent="0.25">
      <c r="A210" s="14" t="s">
        <v>1645</v>
      </c>
      <c r="B210" s="16" t="s">
        <v>2199</v>
      </c>
      <c r="C210" s="19" t="s">
        <v>374</v>
      </c>
      <c r="D210" s="19" t="s">
        <v>374</v>
      </c>
      <c r="E210" s="10" t="s">
        <v>1646</v>
      </c>
      <c r="F210" s="20">
        <v>46235</v>
      </c>
      <c r="G210" s="16">
        <v>1</v>
      </c>
      <c r="H210" s="11" t="s">
        <v>1648</v>
      </c>
      <c r="I210" s="31">
        <v>4160004</v>
      </c>
      <c r="J210" s="19" t="s">
        <v>1649</v>
      </c>
      <c r="K210" s="19" t="s">
        <v>762</v>
      </c>
      <c r="L210" s="3" t="s">
        <v>2220</v>
      </c>
      <c r="M210" s="3" t="s">
        <v>2234</v>
      </c>
      <c r="N210" s="3" t="s">
        <v>2258</v>
      </c>
    </row>
    <row r="211" spans="1:14" x14ac:dyDescent="0.25">
      <c r="A211" s="15" t="s">
        <v>1228</v>
      </c>
      <c r="B211" s="17" t="s">
        <v>2199</v>
      </c>
      <c r="C211" s="6" t="s">
        <v>28</v>
      </c>
      <c r="D211" s="6" t="s">
        <v>28</v>
      </c>
      <c r="E211" s="7" t="s">
        <v>1229</v>
      </c>
      <c r="F211" s="20">
        <v>46023</v>
      </c>
      <c r="G211" s="17">
        <v>2</v>
      </c>
      <c r="H211" t="s">
        <v>781</v>
      </c>
      <c r="I211" s="32">
        <v>30000</v>
      </c>
      <c r="J211" s="19" t="s">
        <v>1231</v>
      </c>
      <c r="K211" s="6" t="s">
        <v>65</v>
      </c>
      <c r="L211" s="3" t="s">
        <v>2226</v>
      </c>
      <c r="M211" s="3" t="s">
        <v>2262</v>
      </c>
      <c r="N211" s="3" t="s">
        <v>2226</v>
      </c>
    </row>
    <row r="212" spans="1:14" x14ac:dyDescent="0.25">
      <c r="A212" s="14" t="s">
        <v>1228</v>
      </c>
      <c r="B212" s="16" t="s">
        <v>2199</v>
      </c>
      <c r="C212" s="19" t="s">
        <v>28</v>
      </c>
      <c r="D212" s="19" t="s">
        <v>28</v>
      </c>
      <c r="E212" s="10" t="s">
        <v>1229</v>
      </c>
      <c r="F212" s="20">
        <v>46023</v>
      </c>
      <c r="G212" s="16">
        <v>2</v>
      </c>
      <c r="H212" s="11" t="s">
        <v>1233</v>
      </c>
      <c r="I212" s="31">
        <v>900000</v>
      </c>
      <c r="J212" s="19" t="s">
        <v>1231</v>
      </c>
      <c r="K212" s="19" t="s">
        <v>65</v>
      </c>
      <c r="L212" s="3" t="s">
        <v>2226</v>
      </c>
      <c r="M212" s="3" t="s">
        <v>2262</v>
      </c>
      <c r="N212" s="3" t="s">
        <v>2226</v>
      </c>
    </row>
    <row r="213" spans="1:14" x14ac:dyDescent="0.25">
      <c r="A213" s="15" t="s">
        <v>1234</v>
      </c>
      <c r="B213" s="17" t="s">
        <v>2199</v>
      </c>
      <c r="C213" s="6" t="s">
        <v>28</v>
      </c>
      <c r="D213" s="6" t="s">
        <v>28</v>
      </c>
      <c r="E213" s="7" t="s">
        <v>1235</v>
      </c>
      <c r="F213" s="20">
        <v>46023</v>
      </c>
      <c r="G213" s="17">
        <v>1</v>
      </c>
      <c r="H213" t="s">
        <v>1237</v>
      </c>
      <c r="I213" s="32">
        <v>1400000</v>
      </c>
      <c r="J213" s="19" t="s">
        <v>1231</v>
      </c>
      <c r="K213" s="6" t="s">
        <v>65</v>
      </c>
      <c r="L213" s="3" t="s">
        <v>2226</v>
      </c>
      <c r="M213" s="3" t="s">
        <v>2262</v>
      </c>
      <c r="N213" s="3" t="s">
        <v>2226</v>
      </c>
    </row>
    <row r="214" spans="1:14" x14ac:dyDescent="0.25">
      <c r="A214" s="14" t="s">
        <v>1395</v>
      </c>
      <c r="B214" s="16" t="s">
        <v>2199</v>
      </c>
      <c r="C214" s="19" t="s">
        <v>28</v>
      </c>
      <c r="D214" s="19" t="s">
        <v>28</v>
      </c>
      <c r="E214" s="10" t="s">
        <v>1396</v>
      </c>
      <c r="F214" s="20">
        <v>46054</v>
      </c>
      <c r="G214" s="16">
        <v>1</v>
      </c>
      <c r="H214" s="11" t="s">
        <v>1133</v>
      </c>
      <c r="I214" s="31">
        <v>500004</v>
      </c>
      <c r="J214" s="19" t="s">
        <v>1231</v>
      </c>
      <c r="K214" s="19" t="s">
        <v>65</v>
      </c>
      <c r="L214" s="3" t="s">
        <v>2226</v>
      </c>
      <c r="M214" s="3" t="s">
        <v>2262</v>
      </c>
      <c r="N214" s="3" t="s">
        <v>2226</v>
      </c>
    </row>
    <row r="215" spans="1:14" x14ac:dyDescent="0.25">
      <c r="A215" s="15" t="s">
        <v>1436</v>
      </c>
      <c r="B215" s="17" t="s">
        <v>2199</v>
      </c>
      <c r="C215" s="6" t="s">
        <v>28</v>
      </c>
      <c r="D215" s="6" t="s">
        <v>28</v>
      </c>
      <c r="E215" s="7" t="s">
        <v>1438</v>
      </c>
      <c r="F215" s="20">
        <v>46235</v>
      </c>
      <c r="G215" s="17">
        <v>3</v>
      </c>
      <c r="H215" t="s">
        <v>1440</v>
      </c>
      <c r="I215" s="32">
        <v>50000</v>
      </c>
      <c r="J215" s="19" t="s">
        <v>1231</v>
      </c>
      <c r="K215" s="6" t="s">
        <v>65</v>
      </c>
      <c r="L215" s="3" t="s">
        <v>2226</v>
      </c>
      <c r="M215" s="3" t="s">
        <v>2262</v>
      </c>
      <c r="N215" s="3" t="s">
        <v>2226</v>
      </c>
    </row>
    <row r="216" spans="1:14" x14ac:dyDescent="0.25">
      <c r="A216" s="14" t="s">
        <v>1436</v>
      </c>
      <c r="B216" s="16" t="s">
        <v>2199</v>
      </c>
      <c r="C216" s="19" t="s">
        <v>28</v>
      </c>
      <c r="D216" s="19" t="s">
        <v>28</v>
      </c>
      <c r="E216" s="10" t="s">
        <v>1438</v>
      </c>
      <c r="F216" s="20">
        <v>46235</v>
      </c>
      <c r="G216" s="16">
        <v>3</v>
      </c>
      <c r="H216" s="11" t="s">
        <v>1441</v>
      </c>
      <c r="I216" s="31">
        <v>420000</v>
      </c>
      <c r="J216" s="19" t="s">
        <v>1231</v>
      </c>
      <c r="K216" s="19" t="s">
        <v>65</v>
      </c>
      <c r="L216" s="3" t="s">
        <v>2226</v>
      </c>
      <c r="M216" s="3" t="s">
        <v>2262</v>
      </c>
      <c r="N216" s="3" t="s">
        <v>2226</v>
      </c>
    </row>
    <row r="217" spans="1:14" x14ac:dyDescent="0.25">
      <c r="A217" s="15" t="s">
        <v>1436</v>
      </c>
      <c r="B217" s="17" t="s">
        <v>2199</v>
      </c>
      <c r="C217" s="6" t="s">
        <v>28</v>
      </c>
      <c r="D217" s="6" t="s">
        <v>28</v>
      </c>
      <c r="E217" s="7" t="s">
        <v>1438</v>
      </c>
      <c r="F217" s="20">
        <v>46235</v>
      </c>
      <c r="G217" s="17">
        <v>3</v>
      </c>
      <c r="H217" t="s">
        <v>1276</v>
      </c>
      <c r="I217" s="32">
        <v>30000</v>
      </c>
      <c r="J217" s="19" t="s">
        <v>1231</v>
      </c>
      <c r="K217" s="6" t="s">
        <v>65</v>
      </c>
      <c r="L217" s="3" t="s">
        <v>2226</v>
      </c>
      <c r="M217" s="3" t="s">
        <v>2262</v>
      </c>
      <c r="N217" s="3" t="s">
        <v>2226</v>
      </c>
    </row>
    <row r="218" spans="1:14" x14ac:dyDescent="0.25">
      <c r="A218" s="14" t="s">
        <v>1667</v>
      </c>
      <c r="B218" s="16" t="s">
        <v>2199</v>
      </c>
      <c r="C218" s="19" t="s">
        <v>28</v>
      </c>
      <c r="D218" s="19" t="s">
        <v>28</v>
      </c>
      <c r="E218" s="10" t="s">
        <v>1668</v>
      </c>
      <c r="F218" s="20">
        <v>46082</v>
      </c>
      <c r="G218" s="16">
        <v>3</v>
      </c>
      <c r="H218" s="11" t="s">
        <v>359</v>
      </c>
      <c r="I218" s="31">
        <v>367136</v>
      </c>
      <c r="J218" s="19" t="s">
        <v>1231</v>
      </c>
      <c r="K218" s="19" t="s">
        <v>65</v>
      </c>
      <c r="L218" s="3" t="s">
        <v>2226</v>
      </c>
      <c r="M218" s="3" t="s">
        <v>2262</v>
      </c>
      <c r="N218" s="3" t="s">
        <v>2226</v>
      </c>
    </row>
    <row r="219" spans="1:14" x14ac:dyDescent="0.25">
      <c r="A219" s="15" t="s">
        <v>1667</v>
      </c>
      <c r="B219" s="17" t="s">
        <v>2199</v>
      </c>
      <c r="C219" s="6" t="s">
        <v>28</v>
      </c>
      <c r="D219" s="6" t="s">
        <v>28</v>
      </c>
      <c r="E219" s="7" t="s">
        <v>1668</v>
      </c>
      <c r="F219" s="20">
        <v>46054</v>
      </c>
      <c r="G219" s="17">
        <v>3</v>
      </c>
      <c r="H219" t="s">
        <v>1670</v>
      </c>
      <c r="I219" s="32">
        <v>150000</v>
      </c>
      <c r="J219" s="19" t="s">
        <v>1231</v>
      </c>
      <c r="K219" s="6" t="s">
        <v>65</v>
      </c>
      <c r="L219" s="3" t="s">
        <v>2226</v>
      </c>
      <c r="M219" s="3" t="s">
        <v>2262</v>
      </c>
      <c r="N219" s="3" t="s">
        <v>2226</v>
      </c>
    </row>
    <row r="220" spans="1:14" x14ac:dyDescent="0.25">
      <c r="A220" s="14" t="s">
        <v>1667</v>
      </c>
      <c r="B220" s="16" t="s">
        <v>2199</v>
      </c>
      <c r="C220" s="19" t="s">
        <v>28</v>
      </c>
      <c r="D220" s="19" t="s">
        <v>28</v>
      </c>
      <c r="E220" s="10" t="s">
        <v>1668</v>
      </c>
      <c r="F220" s="20">
        <v>46054</v>
      </c>
      <c r="G220" s="16">
        <v>3</v>
      </c>
      <c r="H220" s="11" t="s">
        <v>1671</v>
      </c>
      <c r="I220" s="31">
        <v>25017</v>
      </c>
      <c r="J220" s="19" t="s">
        <v>1231</v>
      </c>
      <c r="K220" s="19" t="s">
        <v>65</v>
      </c>
      <c r="L220" s="3" t="s">
        <v>2226</v>
      </c>
      <c r="M220" s="3" t="s">
        <v>2262</v>
      </c>
      <c r="N220" s="3" t="s">
        <v>2226</v>
      </c>
    </row>
    <row r="221" spans="1:14" x14ac:dyDescent="0.25">
      <c r="A221" s="15" t="s">
        <v>2144</v>
      </c>
      <c r="B221" s="17" t="s">
        <v>2199</v>
      </c>
      <c r="C221" s="6" t="s">
        <v>28</v>
      </c>
      <c r="D221" s="6" t="s">
        <v>28</v>
      </c>
      <c r="E221" s="7" t="s">
        <v>2145</v>
      </c>
      <c r="F221" s="20">
        <v>46113</v>
      </c>
      <c r="G221" s="17">
        <v>4</v>
      </c>
      <c r="H221" t="s">
        <v>359</v>
      </c>
      <c r="I221" s="32">
        <v>364000</v>
      </c>
      <c r="J221" s="19" t="s">
        <v>1231</v>
      </c>
      <c r="K221" s="6" t="s">
        <v>65</v>
      </c>
      <c r="L221" s="3" t="s">
        <v>2226</v>
      </c>
      <c r="M221" s="3" t="s">
        <v>2262</v>
      </c>
      <c r="N221" s="3" t="s">
        <v>2226</v>
      </c>
    </row>
    <row r="222" spans="1:14" x14ac:dyDescent="0.25">
      <c r="A222" s="14" t="s">
        <v>2144</v>
      </c>
      <c r="B222" s="16" t="s">
        <v>2199</v>
      </c>
      <c r="C222" s="19" t="s">
        <v>28</v>
      </c>
      <c r="D222" s="19" t="s">
        <v>28</v>
      </c>
      <c r="E222" s="10" t="s">
        <v>2145</v>
      </c>
      <c r="F222" s="20">
        <v>46113</v>
      </c>
      <c r="G222" s="16">
        <v>4</v>
      </c>
      <c r="H222" s="11" t="s">
        <v>2147</v>
      </c>
      <c r="I222" s="31">
        <v>166036</v>
      </c>
      <c r="J222" s="19" t="s">
        <v>1231</v>
      </c>
      <c r="K222" s="19" t="s">
        <v>65</v>
      </c>
      <c r="L222" s="3" t="s">
        <v>2226</v>
      </c>
      <c r="M222" s="3" t="s">
        <v>2262</v>
      </c>
      <c r="N222" s="3" t="s">
        <v>2226</v>
      </c>
    </row>
    <row r="223" spans="1:14" x14ac:dyDescent="0.25">
      <c r="A223" s="15" t="s">
        <v>2144</v>
      </c>
      <c r="B223" s="17" t="s">
        <v>2199</v>
      </c>
      <c r="C223" s="6" t="s">
        <v>28</v>
      </c>
      <c r="D223" s="6" t="s">
        <v>28</v>
      </c>
      <c r="E223" s="7" t="s">
        <v>2145</v>
      </c>
      <c r="F223" s="20">
        <v>46113</v>
      </c>
      <c r="G223" s="17">
        <v>4</v>
      </c>
      <c r="H223" t="s">
        <v>855</v>
      </c>
      <c r="I223" s="32">
        <v>73472</v>
      </c>
      <c r="J223" s="19" t="s">
        <v>1231</v>
      </c>
      <c r="K223" s="6" t="s">
        <v>65</v>
      </c>
      <c r="L223" s="3" t="s">
        <v>2226</v>
      </c>
      <c r="M223" s="3" t="s">
        <v>2262</v>
      </c>
      <c r="N223" s="3" t="s">
        <v>2226</v>
      </c>
    </row>
    <row r="224" spans="1:14" x14ac:dyDescent="0.25">
      <c r="A224" s="14" t="s">
        <v>2144</v>
      </c>
      <c r="B224" s="16" t="s">
        <v>2199</v>
      </c>
      <c r="C224" s="19" t="s">
        <v>28</v>
      </c>
      <c r="D224" s="19" t="s">
        <v>28</v>
      </c>
      <c r="E224" s="10" t="s">
        <v>2145</v>
      </c>
      <c r="F224" s="20">
        <v>46113</v>
      </c>
      <c r="G224" s="16">
        <v>4</v>
      </c>
      <c r="H224" s="11" t="s">
        <v>2148</v>
      </c>
      <c r="I224" s="31">
        <v>1350000</v>
      </c>
      <c r="J224" s="19" t="s">
        <v>1231</v>
      </c>
      <c r="K224" s="19" t="s">
        <v>65</v>
      </c>
      <c r="L224" s="3" t="s">
        <v>2226</v>
      </c>
      <c r="M224" s="3" t="s">
        <v>2262</v>
      </c>
      <c r="N224" s="3" t="s">
        <v>2226</v>
      </c>
    </row>
    <row r="225" spans="1:14" x14ac:dyDescent="0.25">
      <c r="A225" s="15" t="s">
        <v>2166</v>
      </c>
      <c r="B225" s="17" t="s">
        <v>2199</v>
      </c>
      <c r="C225" s="6" t="s">
        <v>28</v>
      </c>
      <c r="D225" s="6" t="s">
        <v>28</v>
      </c>
      <c r="E225" s="7" t="s">
        <v>2167</v>
      </c>
      <c r="F225" s="20">
        <v>46054</v>
      </c>
      <c r="G225" s="17">
        <v>3</v>
      </c>
      <c r="H225" t="s">
        <v>1550</v>
      </c>
      <c r="I225" s="32">
        <v>40000</v>
      </c>
      <c r="J225" s="19" t="s">
        <v>1231</v>
      </c>
      <c r="K225" s="6" t="s">
        <v>65</v>
      </c>
      <c r="L225" s="3" t="s">
        <v>2226</v>
      </c>
      <c r="M225" s="3" t="s">
        <v>2262</v>
      </c>
      <c r="N225" s="3" t="s">
        <v>2226</v>
      </c>
    </row>
    <row r="226" spans="1:14" x14ac:dyDescent="0.25">
      <c r="A226" s="14" t="s">
        <v>2166</v>
      </c>
      <c r="B226" s="16" t="s">
        <v>2199</v>
      </c>
      <c r="C226" s="19" t="s">
        <v>28</v>
      </c>
      <c r="D226" s="19" t="s">
        <v>28</v>
      </c>
      <c r="E226" s="10" t="s">
        <v>2167</v>
      </c>
      <c r="F226" s="20">
        <v>46054</v>
      </c>
      <c r="G226" s="16">
        <v>3</v>
      </c>
      <c r="H226" s="11" t="s">
        <v>486</v>
      </c>
      <c r="I226" s="31">
        <v>275496</v>
      </c>
      <c r="J226" s="19" t="s">
        <v>1231</v>
      </c>
      <c r="K226" s="19" t="s">
        <v>65</v>
      </c>
      <c r="L226" s="3" t="s">
        <v>2226</v>
      </c>
      <c r="M226" s="3" t="s">
        <v>2262</v>
      </c>
      <c r="N226" s="3" t="s">
        <v>2226</v>
      </c>
    </row>
    <row r="227" spans="1:14" x14ac:dyDescent="0.25">
      <c r="A227" s="15" t="s">
        <v>2166</v>
      </c>
      <c r="B227" s="17" t="s">
        <v>2199</v>
      </c>
      <c r="C227" s="6" t="s">
        <v>28</v>
      </c>
      <c r="D227" s="6" t="s">
        <v>28</v>
      </c>
      <c r="E227" s="7" t="s">
        <v>2167</v>
      </c>
      <c r="F227" s="20">
        <v>46054</v>
      </c>
      <c r="G227" s="17">
        <v>3</v>
      </c>
      <c r="H227" t="s">
        <v>832</v>
      </c>
      <c r="I227" s="32">
        <v>80000</v>
      </c>
      <c r="J227" s="19" t="s">
        <v>1231</v>
      </c>
      <c r="K227" s="6" t="s">
        <v>65</v>
      </c>
      <c r="L227" s="3" t="s">
        <v>2226</v>
      </c>
      <c r="M227" s="3" t="s">
        <v>2262</v>
      </c>
      <c r="N227" s="3" t="s">
        <v>2226</v>
      </c>
    </row>
    <row r="228" spans="1:14" x14ac:dyDescent="0.25">
      <c r="A228" s="14" t="s">
        <v>59</v>
      </c>
      <c r="B228" s="16" t="s">
        <v>2196</v>
      </c>
      <c r="C228" s="16" t="s">
        <v>2196</v>
      </c>
      <c r="D228" s="19" t="s">
        <v>28</v>
      </c>
      <c r="E228" s="10" t="s">
        <v>60</v>
      </c>
      <c r="F228" s="20">
        <v>45413</v>
      </c>
      <c r="G228" s="16">
        <v>1</v>
      </c>
      <c r="H228" s="11" t="s">
        <v>62</v>
      </c>
      <c r="I228" s="31">
        <v>43333332</v>
      </c>
      <c r="J228" s="19" t="s">
        <v>1231</v>
      </c>
      <c r="K228" s="19" t="s">
        <v>65</v>
      </c>
      <c r="L228" s="3" t="s">
        <v>2226</v>
      </c>
      <c r="M228" s="3" t="s">
        <v>2262</v>
      </c>
      <c r="N228" s="3" t="s">
        <v>2226</v>
      </c>
    </row>
    <row r="229" spans="1:14" x14ac:dyDescent="0.25">
      <c r="A229" s="15" t="s">
        <v>165</v>
      </c>
      <c r="B229" s="17" t="s">
        <v>2196</v>
      </c>
      <c r="C229" s="17" t="s">
        <v>2196</v>
      </c>
      <c r="D229" s="6" t="s">
        <v>28</v>
      </c>
      <c r="E229" s="7" t="s">
        <v>167</v>
      </c>
      <c r="F229" s="20">
        <v>45444</v>
      </c>
      <c r="G229" s="17">
        <v>1</v>
      </c>
      <c r="H229" t="s">
        <v>62</v>
      </c>
      <c r="I229" s="32">
        <v>10000004</v>
      </c>
      <c r="J229" s="19" t="s">
        <v>565</v>
      </c>
      <c r="K229" s="6" t="s">
        <v>65</v>
      </c>
      <c r="L229" s="3" t="s">
        <v>2226</v>
      </c>
      <c r="M229" s="3" t="s">
        <v>2262</v>
      </c>
      <c r="N229" s="3" t="s">
        <v>2226</v>
      </c>
    </row>
    <row r="230" spans="1:14" x14ac:dyDescent="0.25">
      <c r="A230" s="14" t="s">
        <v>560</v>
      </c>
      <c r="B230" s="16" t="s">
        <v>2196</v>
      </c>
      <c r="C230" s="16" t="s">
        <v>2196</v>
      </c>
      <c r="D230" s="19" t="s">
        <v>28</v>
      </c>
      <c r="E230" s="10" t="s">
        <v>562</v>
      </c>
      <c r="F230" s="20">
        <v>45992</v>
      </c>
      <c r="G230" s="16">
        <v>1</v>
      </c>
      <c r="H230" s="11" t="s">
        <v>564</v>
      </c>
      <c r="I230" s="31">
        <v>69333336</v>
      </c>
      <c r="J230" s="19" t="s">
        <v>565</v>
      </c>
      <c r="K230" s="19" t="s">
        <v>65</v>
      </c>
      <c r="L230" s="3" t="s">
        <v>2226</v>
      </c>
      <c r="M230" s="3" t="s">
        <v>2262</v>
      </c>
      <c r="N230" s="3" t="s">
        <v>2226</v>
      </c>
    </row>
    <row r="231" spans="1:14" x14ac:dyDescent="0.25">
      <c r="A231" s="15" t="s">
        <v>482</v>
      </c>
      <c r="B231" s="17" t="s">
        <v>2196</v>
      </c>
      <c r="C231" s="17" t="s">
        <v>2196</v>
      </c>
      <c r="D231" s="6" t="s">
        <v>28</v>
      </c>
      <c r="E231" s="7" t="s">
        <v>484</v>
      </c>
      <c r="F231" s="20">
        <v>45870</v>
      </c>
      <c r="G231" s="17">
        <v>1</v>
      </c>
      <c r="H231" t="s">
        <v>486</v>
      </c>
      <c r="I231" s="32">
        <v>16817500</v>
      </c>
      <c r="J231" s="19" t="s">
        <v>487</v>
      </c>
      <c r="K231" s="6" t="s">
        <v>488</v>
      </c>
      <c r="L231" s="3" t="s">
        <v>2244</v>
      </c>
      <c r="M231" s="3" t="s">
        <v>2256</v>
      </c>
      <c r="N231" s="3" t="s">
        <v>2268</v>
      </c>
    </row>
    <row r="232" spans="1:14" x14ac:dyDescent="0.25">
      <c r="A232" s="14" t="s">
        <v>605</v>
      </c>
      <c r="B232" s="16" t="s">
        <v>2199</v>
      </c>
      <c r="C232" s="19" t="s">
        <v>374</v>
      </c>
      <c r="D232" s="19" t="s">
        <v>374</v>
      </c>
      <c r="E232" s="10" t="s">
        <v>607</v>
      </c>
      <c r="F232" s="20">
        <v>46143</v>
      </c>
      <c r="G232" s="16">
        <v>2</v>
      </c>
      <c r="H232" s="11" t="s">
        <v>613</v>
      </c>
      <c r="I232" s="31">
        <v>30000000</v>
      </c>
      <c r="J232" s="19" t="s">
        <v>609</v>
      </c>
      <c r="K232" s="19" t="s">
        <v>610</v>
      </c>
      <c r="L232" s="3" t="s">
        <v>2221</v>
      </c>
      <c r="M232" s="3" t="s">
        <v>2234</v>
      </c>
      <c r="N232" s="3" t="s">
        <v>2259</v>
      </c>
    </row>
    <row r="233" spans="1:14" x14ac:dyDescent="0.25">
      <c r="A233" s="15" t="s">
        <v>605</v>
      </c>
      <c r="B233" s="17" t="s">
        <v>2199</v>
      </c>
      <c r="C233" s="6" t="s">
        <v>374</v>
      </c>
      <c r="D233" s="6" t="s">
        <v>374</v>
      </c>
      <c r="E233" s="7" t="s">
        <v>607</v>
      </c>
      <c r="F233" s="20">
        <v>46113</v>
      </c>
      <c r="G233" s="17">
        <v>2</v>
      </c>
      <c r="H233" t="s">
        <v>288</v>
      </c>
      <c r="I233" s="32">
        <v>30000000</v>
      </c>
      <c r="J233" s="19" t="s">
        <v>609</v>
      </c>
      <c r="K233" s="6" t="s">
        <v>610</v>
      </c>
      <c r="L233" s="3" t="s">
        <v>2221</v>
      </c>
      <c r="M233" s="3" t="s">
        <v>2234</v>
      </c>
      <c r="N233" s="3" t="s">
        <v>2259</v>
      </c>
    </row>
    <row r="234" spans="1:14" x14ac:dyDescent="0.25">
      <c r="A234" s="14" t="s">
        <v>568</v>
      </c>
      <c r="B234" s="16" t="s">
        <v>2199</v>
      </c>
      <c r="C234" s="19" t="s">
        <v>567</v>
      </c>
      <c r="D234" s="19" t="s">
        <v>567</v>
      </c>
      <c r="E234" s="10" t="s">
        <v>570</v>
      </c>
      <c r="F234" s="20">
        <v>46327</v>
      </c>
      <c r="G234" s="16">
        <v>8</v>
      </c>
      <c r="H234" s="11" t="s">
        <v>583</v>
      </c>
      <c r="I234" s="31">
        <v>18000000</v>
      </c>
      <c r="J234" s="19" t="s">
        <v>573</v>
      </c>
      <c r="K234" s="19" t="s">
        <v>574</v>
      </c>
      <c r="L234" s="3" t="s">
        <v>2227</v>
      </c>
      <c r="M234" s="3" t="s">
        <v>2227</v>
      </c>
      <c r="N234" s="3" t="s">
        <v>2263</v>
      </c>
    </row>
    <row r="235" spans="1:14" x14ac:dyDescent="0.25">
      <c r="A235" s="15" t="s">
        <v>568</v>
      </c>
      <c r="B235" s="17" t="s">
        <v>2199</v>
      </c>
      <c r="C235" s="6" t="s">
        <v>567</v>
      </c>
      <c r="D235" s="6" t="s">
        <v>567</v>
      </c>
      <c r="E235" s="7" t="s">
        <v>570</v>
      </c>
      <c r="F235" s="20">
        <v>46174</v>
      </c>
      <c r="G235" s="17">
        <v>8</v>
      </c>
      <c r="H235" t="s">
        <v>577</v>
      </c>
      <c r="I235" s="32">
        <v>1000000</v>
      </c>
      <c r="J235" s="19" t="s">
        <v>573</v>
      </c>
      <c r="K235" s="6" t="s">
        <v>574</v>
      </c>
      <c r="L235" s="3" t="s">
        <v>2227</v>
      </c>
      <c r="M235" s="3" t="s">
        <v>2227</v>
      </c>
      <c r="N235" s="3" t="s">
        <v>2263</v>
      </c>
    </row>
    <row r="236" spans="1:14" x14ac:dyDescent="0.25">
      <c r="A236" s="14" t="s">
        <v>568</v>
      </c>
      <c r="B236" s="16" t="s">
        <v>2199</v>
      </c>
      <c r="C236" s="19" t="s">
        <v>567</v>
      </c>
      <c r="D236" s="19" t="s">
        <v>567</v>
      </c>
      <c r="E236" s="10" t="s">
        <v>570</v>
      </c>
      <c r="F236" s="20">
        <v>46174</v>
      </c>
      <c r="G236" s="16">
        <v>8</v>
      </c>
      <c r="H236" s="11" t="s">
        <v>578</v>
      </c>
      <c r="I236" s="31">
        <v>2000000</v>
      </c>
      <c r="J236" s="19" t="s">
        <v>573</v>
      </c>
      <c r="K236" s="19" t="s">
        <v>574</v>
      </c>
      <c r="L236" s="3" t="s">
        <v>2227</v>
      </c>
      <c r="M236" s="3" t="s">
        <v>2227</v>
      </c>
      <c r="N236" s="3" t="s">
        <v>2263</v>
      </c>
    </row>
    <row r="237" spans="1:14" x14ac:dyDescent="0.25">
      <c r="A237" s="15" t="s">
        <v>568</v>
      </c>
      <c r="B237" s="17" t="s">
        <v>2199</v>
      </c>
      <c r="C237" s="6" t="s">
        <v>567</v>
      </c>
      <c r="D237" s="6" t="s">
        <v>567</v>
      </c>
      <c r="E237" s="7" t="s">
        <v>570</v>
      </c>
      <c r="F237" s="20">
        <v>46296</v>
      </c>
      <c r="G237" s="17">
        <v>8</v>
      </c>
      <c r="H237" t="s">
        <v>580</v>
      </c>
      <c r="I237" s="32">
        <v>35000000</v>
      </c>
      <c r="J237" s="19" t="s">
        <v>573</v>
      </c>
      <c r="K237" s="6" t="s">
        <v>574</v>
      </c>
      <c r="L237" s="3" t="s">
        <v>2227</v>
      </c>
      <c r="M237" s="3" t="s">
        <v>2227</v>
      </c>
      <c r="N237" s="3" t="s">
        <v>2263</v>
      </c>
    </row>
    <row r="238" spans="1:14" x14ac:dyDescent="0.25">
      <c r="A238" s="14" t="s">
        <v>568</v>
      </c>
      <c r="B238" s="16" t="s">
        <v>2199</v>
      </c>
      <c r="C238" s="19" t="s">
        <v>567</v>
      </c>
      <c r="D238" s="19" t="s">
        <v>567</v>
      </c>
      <c r="E238" s="10" t="s">
        <v>570</v>
      </c>
      <c r="F238" s="20">
        <v>46266</v>
      </c>
      <c r="G238" s="16">
        <v>8</v>
      </c>
      <c r="H238" s="11" t="s">
        <v>579</v>
      </c>
      <c r="I238" s="31">
        <v>25000000</v>
      </c>
      <c r="J238" s="19" t="s">
        <v>573</v>
      </c>
      <c r="K238" s="19" t="s">
        <v>574</v>
      </c>
      <c r="L238" s="3" t="s">
        <v>2227</v>
      </c>
      <c r="M238" s="3" t="s">
        <v>2227</v>
      </c>
      <c r="N238" s="3" t="s">
        <v>2263</v>
      </c>
    </row>
    <row r="239" spans="1:14" x14ac:dyDescent="0.25">
      <c r="A239" s="15" t="s">
        <v>568</v>
      </c>
      <c r="B239" s="17" t="s">
        <v>2199</v>
      </c>
      <c r="C239" s="6" t="s">
        <v>567</v>
      </c>
      <c r="D239" s="6" t="s">
        <v>567</v>
      </c>
      <c r="E239" s="7" t="s">
        <v>570</v>
      </c>
      <c r="F239" s="20">
        <v>46327</v>
      </c>
      <c r="G239" s="17">
        <v>8</v>
      </c>
      <c r="H239" t="s">
        <v>582</v>
      </c>
      <c r="I239" s="32">
        <v>20000000</v>
      </c>
      <c r="J239" s="19" t="s">
        <v>573</v>
      </c>
      <c r="K239" s="6" t="s">
        <v>574</v>
      </c>
      <c r="L239" s="3" t="s">
        <v>2227</v>
      </c>
      <c r="M239" s="3" t="s">
        <v>2227</v>
      </c>
      <c r="N239" s="3" t="s">
        <v>2263</v>
      </c>
    </row>
    <row r="240" spans="1:14" x14ac:dyDescent="0.25">
      <c r="A240" s="14" t="s">
        <v>568</v>
      </c>
      <c r="B240" s="16" t="s">
        <v>2199</v>
      </c>
      <c r="C240" s="19" t="s">
        <v>567</v>
      </c>
      <c r="D240" s="19" t="s">
        <v>567</v>
      </c>
      <c r="E240" s="10" t="s">
        <v>570</v>
      </c>
      <c r="F240" s="20">
        <v>46327</v>
      </c>
      <c r="G240" s="16">
        <v>8</v>
      </c>
      <c r="H240" s="11" t="s">
        <v>581</v>
      </c>
      <c r="I240" s="31">
        <v>15000000</v>
      </c>
      <c r="J240" s="19" t="s">
        <v>573</v>
      </c>
      <c r="K240" s="19" t="s">
        <v>574</v>
      </c>
      <c r="L240" s="3" t="s">
        <v>2227</v>
      </c>
      <c r="M240" s="3" t="s">
        <v>2227</v>
      </c>
      <c r="N240" s="3" t="s">
        <v>2263</v>
      </c>
    </row>
    <row r="241" spans="1:14" x14ac:dyDescent="0.25">
      <c r="A241" s="15" t="s">
        <v>568</v>
      </c>
      <c r="B241" s="17" t="s">
        <v>2199</v>
      </c>
      <c r="C241" s="6" t="s">
        <v>567</v>
      </c>
      <c r="D241" s="6" t="s">
        <v>567</v>
      </c>
      <c r="E241" s="7" t="s">
        <v>570</v>
      </c>
      <c r="F241" s="20">
        <v>46113</v>
      </c>
      <c r="G241" s="17">
        <v>8</v>
      </c>
      <c r="H241" t="s">
        <v>572</v>
      </c>
      <c r="I241" s="32">
        <v>40000000</v>
      </c>
      <c r="J241" s="19" t="s">
        <v>573</v>
      </c>
      <c r="K241" s="6" t="s">
        <v>574</v>
      </c>
      <c r="L241" s="3" t="s">
        <v>2227</v>
      </c>
      <c r="M241" s="3" t="s">
        <v>2227</v>
      </c>
      <c r="N241" s="3" t="s">
        <v>2263</v>
      </c>
    </row>
    <row r="242" spans="1:14" x14ac:dyDescent="0.25">
      <c r="A242" s="14" t="s">
        <v>1099</v>
      </c>
      <c r="B242" s="16" t="s">
        <v>2199</v>
      </c>
      <c r="C242" s="19" t="s">
        <v>28</v>
      </c>
      <c r="D242" s="19" t="s">
        <v>28</v>
      </c>
      <c r="E242" s="10" t="s">
        <v>1100</v>
      </c>
      <c r="F242" s="20">
        <v>46174</v>
      </c>
      <c r="G242" s="16">
        <v>2</v>
      </c>
      <c r="H242" s="11" t="s">
        <v>359</v>
      </c>
      <c r="I242" s="31">
        <v>123178</v>
      </c>
      <c r="J242" s="19" t="s">
        <v>457</v>
      </c>
      <c r="K242" s="19" t="s">
        <v>458</v>
      </c>
      <c r="L242" s="3" t="s">
        <v>2228</v>
      </c>
      <c r="M242" s="3" t="s">
        <v>2227</v>
      </c>
      <c r="N242" s="3" t="s">
        <v>2261</v>
      </c>
    </row>
    <row r="243" spans="1:14" x14ac:dyDescent="0.25">
      <c r="A243" s="15" t="s">
        <v>1099</v>
      </c>
      <c r="B243" s="17" t="s">
        <v>2199</v>
      </c>
      <c r="C243" s="6" t="s">
        <v>28</v>
      </c>
      <c r="D243" s="6" t="s">
        <v>28</v>
      </c>
      <c r="E243" s="7" t="s">
        <v>1100</v>
      </c>
      <c r="F243" s="20">
        <v>46174</v>
      </c>
      <c r="G243" s="17">
        <v>2</v>
      </c>
      <c r="H243" t="s">
        <v>855</v>
      </c>
      <c r="I243" s="32">
        <v>60060</v>
      </c>
      <c r="J243" s="19" t="s">
        <v>457</v>
      </c>
      <c r="K243" s="6" t="s">
        <v>458</v>
      </c>
      <c r="L243" s="3" t="s">
        <v>2228</v>
      </c>
      <c r="M243" s="3" t="s">
        <v>2227</v>
      </c>
      <c r="N243" s="3" t="s">
        <v>2261</v>
      </c>
    </row>
    <row r="244" spans="1:14" x14ac:dyDescent="0.25">
      <c r="A244" s="14" t="s">
        <v>1110</v>
      </c>
      <c r="B244" s="16" t="s">
        <v>2199</v>
      </c>
      <c r="C244" s="19" t="s">
        <v>28</v>
      </c>
      <c r="D244" s="19" t="s">
        <v>28</v>
      </c>
      <c r="E244" s="10" t="s">
        <v>1111</v>
      </c>
      <c r="F244" s="20">
        <v>46204</v>
      </c>
      <c r="G244" s="16">
        <v>2</v>
      </c>
      <c r="H244" s="11" t="s">
        <v>359</v>
      </c>
      <c r="I244" s="31">
        <v>150006</v>
      </c>
      <c r="J244" s="19" t="s">
        <v>457</v>
      </c>
      <c r="K244" s="19" t="s">
        <v>458</v>
      </c>
      <c r="L244" s="3" t="s">
        <v>2228</v>
      </c>
      <c r="M244" s="3" t="s">
        <v>2227</v>
      </c>
      <c r="N244" s="3" t="s">
        <v>2261</v>
      </c>
    </row>
    <row r="245" spans="1:14" x14ac:dyDescent="0.25">
      <c r="A245" s="15" t="s">
        <v>1110</v>
      </c>
      <c r="B245" s="17" t="s">
        <v>2199</v>
      </c>
      <c r="C245" s="6" t="s">
        <v>28</v>
      </c>
      <c r="D245" s="6" t="s">
        <v>28</v>
      </c>
      <c r="E245" s="7" t="s">
        <v>1111</v>
      </c>
      <c r="F245" s="20">
        <v>46204</v>
      </c>
      <c r="G245" s="17">
        <v>2</v>
      </c>
      <c r="H245" t="s">
        <v>962</v>
      </c>
      <c r="I245" s="32">
        <v>75040</v>
      </c>
      <c r="J245" s="19" t="s">
        <v>457</v>
      </c>
      <c r="K245" s="6" t="s">
        <v>458</v>
      </c>
      <c r="L245" s="3" t="s">
        <v>2228</v>
      </c>
      <c r="M245" s="3" t="s">
        <v>2227</v>
      </c>
      <c r="N245" s="3" t="s">
        <v>2261</v>
      </c>
    </row>
    <row r="246" spans="1:14" x14ac:dyDescent="0.25">
      <c r="A246" s="14" t="s">
        <v>1679</v>
      </c>
      <c r="B246" s="16" t="s">
        <v>2199</v>
      </c>
      <c r="C246" s="19" t="s">
        <v>28</v>
      </c>
      <c r="D246" s="19" t="s">
        <v>28</v>
      </c>
      <c r="E246" s="10" t="s">
        <v>1680</v>
      </c>
      <c r="F246" s="20">
        <v>46023</v>
      </c>
      <c r="G246" s="16">
        <v>3</v>
      </c>
      <c r="H246" s="11" t="s">
        <v>1550</v>
      </c>
      <c r="I246" s="31">
        <v>18000</v>
      </c>
      <c r="J246" s="19" t="s">
        <v>457</v>
      </c>
      <c r="K246" s="19" t="s">
        <v>1682</v>
      </c>
      <c r="L246" s="3" t="s">
        <v>2228</v>
      </c>
      <c r="M246" s="3" t="s">
        <v>2227</v>
      </c>
      <c r="N246" s="3" t="s">
        <v>2261</v>
      </c>
    </row>
    <row r="247" spans="1:14" x14ac:dyDescent="0.25">
      <c r="A247" s="15" t="s">
        <v>1679</v>
      </c>
      <c r="B247" s="17" t="s">
        <v>2199</v>
      </c>
      <c r="C247" s="6" t="s">
        <v>28</v>
      </c>
      <c r="D247" s="6" t="s">
        <v>28</v>
      </c>
      <c r="E247" s="7" t="s">
        <v>1680</v>
      </c>
      <c r="F247" s="20">
        <v>46023</v>
      </c>
      <c r="G247" s="17">
        <v>3</v>
      </c>
      <c r="H247" t="s">
        <v>486</v>
      </c>
      <c r="I247" s="32">
        <v>184014</v>
      </c>
      <c r="J247" s="19" t="s">
        <v>457</v>
      </c>
      <c r="K247" s="6" t="s">
        <v>1682</v>
      </c>
      <c r="L247" s="3" t="s">
        <v>2228</v>
      </c>
      <c r="M247" s="3" t="s">
        <v>2227</v>
      </c>
      <c r="N247" s="3" t="s">
        <v>2261</v>
      </c>
    </row>
    <row r="248" spans="1:14" x14ac:dyDescent="0.25">
      <c r="A248" s="14" t="s">
        <v>1679</v>
      </c>
      <c r="B248" s="16" t="s">
        <v>2199</v>
      </c>
      <c r="C248" s="19" t="s">
        <v>28</v>
      </c>
      <c r="D248" s="19" t="s">
        <v>28</v>
      </c>
      <c r="E248" s="10" t="s">
        <v>1680</v>
      </c>
      <c r="F248" s="20">
        <v>46023</v>
      </c>
      <c r="G248" s="16">
        <v>3</v>
      </c>
      <c r="H248" s="11" t="s">
        <v>1683</v>
      </c>
      <c r="I248" s="31">
        <v>20000</v>
      </c>
      <c r="J248" s="19" t="s">
        <v>457</v>
      </c>
      <c r="K248" s="19" t="s">
        <v>1682</v>
      </c>
      <c r="L248" s="3" t="s">
        <v>2228</v>
      </c>
      <c r="M248" s="3" t="s">
        <v>2227</v>
      </c>
      <c r="N248" s="3" t="s">
        <v>2261</v>
      </c>
    </row>
    <row r="249" spans="1:14" x14ac:dyDescent="0.25">
      <c r="A249" s="15" t="s">
        <v>452</v>
      </c>
      <c r="B249" s="17" t="s">
        <v>2196</v>
      </c>
      <c r="C249" s="17" t="s">
        <v>2196</v>
      </c>
      <c r="D249" s="6" t="s">
        <v>28</v>
      </c>
      <c r="E249" s="7" t="s">
        <v>454</v>
      </c>
      <c r="F249" s="20">
        <v>45870</v>
      </c>
      <c r="G249" s="17">
        <v>1</v>
      </c>
      <c r="H249" t="s">
        <v>456</v>
      </c>
      <c r="I249" s="32">
        <v>189933326</v>
      </c>
      <c r="J249" s="19" t="s">
        <v>457</v>
      </c>
      <c r="K249" s="6" t="s">
        <v>458</v>
      </c>
      <c r="L249" s="3" t="s">
        <v>2228</v>
      </c>
      <c r="M249" s="3" t="s">
        <v>2227</v>
      </c>
      <c r="N249" s="3" t="s">
        <v>2261</v>
      </c>
    </row>
    <row r="250" spans="1:14" x14ac:dyDescent="0.25">
      <c r="A250" s="14" t="s">
        <v>1921</v>
      </c>
      <c r="B250" s="16" t="s">
        <v>2199</v>
      </c>
      <c r="C250" s="19" t="s">
        <v>28</v>
      </c>
      <c r="D250" s="19" t="s">
        <v>28</v>
      </c>
      <c r="E250" s="10" t="s">
        <v>1922</v>
      </c>
      <c r="F250" s="20">
        <v>46023</v>
      </c>
      <c r="G250" s="16">
        <v>2</v>
      </c>
      <c r="H250" s="11" t="s">
        <v>359</v>
      </c>
      <c r="I250" s="31">
        <v>380078</v>
      </c>
      <c r="J250" s="19" t="s">
        <v>1924</v>
      </c>
      <c r="K250" s="19" t="s">
        <v>1869</v>
      </c>
      <c r="L250" s="3" t="s">
        <v>2229</v>
      </c>
      <c r="M250" s="3" t="s">
        <v>2262</v>
      </c>
      <c r="N250" s="3" t="s">
        <v>2262</v>
      </c>
    </row>
    <row r="251" spans="1:14" x14ac:dyDescent="0.25">
      <c r="A251" s="15" t="s">
        <v>1921</v>
      </c>
      <c r="B251" s="17" t="s">
        <v>2199</v>
      </c>
      <c r="C251" s="6" t="s">
        <v>28</v>
      </c>
      <c r="D251" s="6" t="s">
        <v>28</v>
      </c>
      <c r="E251" s="7" t="s">
        <v>1922</v>
      </c>
      <c r="F251" s="20">
        <v>46023</v>
      </c>
      <c r="G251" s="17">
        <v>2</v>
      </c>
      <c r="H251" t="s">
        <v>855</v>
      </c>
      <c r="I251" s="32">
        <v>131430</v>
      </c>
      <c r="J251" s="19" t="s">
        <v>1924</v>
      </c>
      <c r="K251" s="6" t="s">
        <v>1869</v>
      </c>
      <c r="L251" s="3" t="s">
        <v>2229</v>
      </c>
      <c r="M251" s="3" t="s">
        <v>2262</v>
      </c>
      <c r="N251" s="3" t="s">
        <v>2262</v>
      </c>
    </row>
    <row r="252" spans="1:14" x14ac:dyDescent="0.25">
      <c r="A252" s="14" t="s">
        <v>1793</v>
      </c>
      <c r="B252" s="16" t="s">
        <v>2199</v>
      </c>
      <c r="C252" s="19" t="s">
        <v>28</v>
      </c>
      <c r="D252" s="19" t="s">
        <v>28</v>
      </c>
      <c r="E252" s="10" t="s">
        <v>1794</v>
      </c>
      <c r="F252" s="20">
        <v>46023</v>
      </c>
      <c r="G252" s="16">
        <v>2</v>
      </c>
      <c r="H252" s="11" t="s">
        <v>1796</v>
      </c>
      <c r="I252" s="31">
        <v>65000</v>
      </c>
      <c r="J252" s="19" t="s">
        <v>1797</v>
      </c>
      <c r="K252" s="19" t="s">
        <v>1798</v>
      </c>
      <c r="L252" s="3" t="s">
        <v>2230</v>
      </c>
      <c r="M252" s="3" t="s">
        <v>2227</v>
      </c>
      <c r="N252" s="3" t="s">
        <v>2261</v>
      </c>
    </row>
    <row r="253" spans="1:14" x14ac:dyDescent="0.25">
      <c r="A253" s="15" t="s">
        <v>1793</v>
      </c>
      <c r="B253" s="17" t="s">
        <v>2199</v>
      </c>
      <c r="C253" s="6" t="s">
        <v>28</v>
      </c>
      <c r="D253" s="6" t="s">
        <v>28</v>
      </c>
      <c r="E253" s="7" t="s">
        <v>1794</v>
      </c>
      <c r="F253" s="20">
        <v>46023</v>
      </c>
      <c r="G253" s="17">
        <v>2</v>
      </c>
      <c r="H253" t="s">
        <v>1801</v>
      </c>
      <c r="I253" s="32">
        <v>45000</v>
      </c>
      <c r="J253" s="19" t="s">
        <v>1797</v>
      </c>
      <c r="K253" s="6" t="s">
        <v>1798</v>
      </c>
      <c r="L253" s="3" t="s">
        <v>2230</v>
      </c>
      <c r="M253" s="3" t="s">
        <v>2227</v>
      </c>
      <c r="N253" s="3" t="s">
        <v>2261</v>
      </c>
    </row>
    <row r="254" spans="1:14" x14ac:dyDescent="0.25">
      <c r="A254" s="14" t="s">
        <v>1811</v>
      </c>
      <c r="B254" s="16" t="s">
        <v>2199</v>
      </c>
      <c r="C254" s="19" t="s">
        <v>28</v>
      </c>
      <c r="D254" s="19" t="s">
        <v>28</v>
      </c>
      <c r="E254" s="10" t="s">
        <v>1812</v>
      </c>
      <c r="F254" s="20">
        <v>46023</v>
      </c>
      <c r="G254" s="16">
        <v>1</v>
      </c>
      <c r="H254" s="11" t="s">
        <v>1814</v>
      </c>
      <c r="I254" s="31">
        <v>500000</v>
      </c>
      <c r="J254" s="19" t="s">
        <v>1797</v>
      </c>
      <c r="K254" s="19" t="s">
        <v>1798</v>
      </c>
      <c r="L254" s="3" t="s">
        <v>2230</v>
      </c>
      <c r="M254" s="3" t="s">
        <v>2227</v>
      </c>
      <c r="N254" s="3" t="s">
        <v>2261</v>
      </c>
    </row>
    <row r="255" spans="1:14" x14ac:dyDescent="0.25">
      <c r="A255" s="15" t="s">
        <v>1860</v>
      </c>
      <c r="B255" s="17" t="s">
        <v>2199</v>
      </c>
      <c r="C255" s="6" t="s">
        <v>28</v>
      </c>
      <c r="D255" s="6" t="s">
        <v>28</v>
      </c>
      <c r="E255" s="7" t="s">
        <v>1861</v>
      </c>
      <c r="F255" s="20">
        <v>46023</v>
      </c>
      <c r="G255" s="17">
        <v>3</v>
      </c>
      <c r="H255" t="s">
        <v>1864</v>
      </c>
      <c r="I255" s="32">
        <v>58014</v>
      </c>
      <c r="J255" s="19" t="s">
        <v>1797</v>
      </c>
      <c r="K255" s="6" t="s">
        <v>1798</v>
      </c>
      <c r="L255" s="3" t="s">
        <v>2230</v>
      </c>
      <c r="M255" s="3" t="s">
        <v>2227</v>
      </c>
      <c r="N255" s="3" t="s">
        <v>2261</v>
      </c>
    </row>
    <row r="256" spans="1:14" x14ac:dyDescent="0.25">
      <c r="A256" s="14" t="s">
        <v>1860</v>
      </c>
      <c r="B256" s="16" t="s">
        <v>2199</v>
      </c>
      <c r="C256" s="19" t="s">
        <v>28</v>
      </c>
      <c r="D256" s="19" t="s">
        <v>28</v>
      </c>
      <c r="E256" s="10" t="s">
        <v>1861</v>
      </c>
      <c r="F256" s="20">
        <v>46023</v>
      </c>
      <c r="G256" s="16">
        <v>3</v>
      </c>
      <c r="H256" s="11" t="s">
        <v>1863</v>
      </c>
      <c r="I256" s="31">
        <v>120000</v>
      </c>
      <c r="J256" s="19" t="s">
        <v>1797</v>
      </c>
      <c r="K256" s="19" t="s">
        <v>1798</v>
      </c>
      <c r="L256" s="3" t="s">
        <v>2230</v>
      </c>
      <c r="M256" s="3" t="s">
        <v>2227</v>
      </c>
      <c r="N256" s="3" t="s">
        <v>2261</v>
      </c>
    </row>
    <row r="257" spans="1:14" x14ac:dyDescent="0.25">
      <c r="A257" s="15" t="s">
        <v>1860</v>
      </c>
      <c r="B257" s="17" t="s">
        <v>2199</v>
      </c>
      <c r="C257" s="6" t="s">
        <v>28</v>
      </c>
      <c r="D257" s="6" t="s">
        <v>28</v>
      </c>
      <c r="E257" s="7" t="s">
        <v>1861</v>
      </c>
      <c r="F257" s="20">
        <v>46023</v>
      </c>
      <c r="G257" s="17">
        <v>3</v>
      </c>
      <c r="H257" t="s">
        <v>486</v>
      </c>
      <c r="I257" s="32">
        <v>271072</v>
      </c>
      <c r="J257" s="19" t="s">
        <v>1797</v>
      </c>
      <c r="K257" s="6" t="s">
        <v>1798</v>
      </c>
      <c r="L257" s="3" t="s">
        <v>2230</v>
      </c>
      <c r="M257" s="3" t="s">
        <v>2227</v>
      </c>
      <c r="N257" s="3" t="s">
        <v>2261</v>
      </c>
    </row>
    <row r="258" spans="1:14" x14ac:dyDescent="0.25">
      <c r="A258" s="14" t="s">
        <v>1897</v>
      </c>
      <c r="B258" s="16" t="s">
        <v>2199</v>
      </c>
      <c r="C258" s="19" t="s">
        <v>28</v>
      </c>
      <c r="D258" s="19" t="s">
        <v>28</v>
      </c>
      <c r="E258" s="10" t="s">
        <v>1898</v>
      </c>
      <c r="F258" s="20">
        <v>46023</v>
      </c>
      <c r="G258" s="16">
        <v>3</v>
      </c>
      <c r="H258" s="11" t="s">
        <v>1550</v>
      </c>
      <c r="I258" s="31">
        <v>35000</v>
      </c>
      <c r="J258" s="19" t="s">
        <v>1797</v>
      </c>
      <c r="K258" s="19" t="s">
        <v>1798</v>
      </c>
      <c r="L258" s="3" t="s">
        <v>2230</v>
      </c>
      <c r="M258" s="3" t="s">
        <v>2227</v>
      </c>
      <c r="N258" s="3" t="s">
        <v>2261</v>
      </c>
    </row>
    <row r="259" spans="1:14" x14ac:dyDescent="0.25">
      <c r="A259" s="15" t="s">
        <v>1897</v>
      </c>
      <c r="B259" s="17" t="s">
        <v>2199</v>
      </c>
      <c r="C259" s="6" t="s">
        <v>28</v>
      </c>
      <c r="D259" s="6" t="s">
        <v>28</v>
      </c>
      <c r="E259" s="7" t="s">
        <v>1898</v>
      </c>
      <c r="F259" s="20">
        <v>46023</v>
      </c>
      <c r="G259" s="17">
        <v>3</v>
      </c>
      <c r="H259" t="s">
        <v>486</v>
      </c>
      <c r="I259" s="32">
        <v>120000</v>
      </c>
      <c r="J259" s="19" t="s">
        <v>1797</v>
      </c>
      <c r="K259" s="6" t="s">
        <v>1798</v>
      </c>
      <c r="L259" s="3" t="s">
        <v>2230</v>
      </c>
      <c r="M259" s="3" t="s">
        <v>2227</v>
      </c>
      <c r="N259" s="3" t="s">
        <v>2261</v>
      </c>
    </row>
    <row r="260" spans="1:14" x14ac:dyDescent="0.25">
      <c r="A260" s="14" t="s">
        <v>1897</v>
      </c>
      <c r="B260" s="16" t="s">
        <v>2199</v>
      </c>
      <c r="C260" s="19" t="s">
        <v>28</v>
      </c>
      <c r="D260" s="19" t="s">
        <v>28</v>
      </c>
      <c r="E260" s="10" t="s">
        <v>1898</v>
      </c>
      <c r="F260" s="20">
        <v>46023</v>
      </c>
      <c r="G260" s="16">
        <v>3</v>
      </c>
      <c r="H260" s="11" t="s">
        <v>1058</v>
      </c>
      <c r="I260" s="31">
        <v>180000</v>
      </c>
      <c r="J260" s="19" t="s">
        <v>1797</v>
      </c>
      <c r="K260" s="19" t="s">
        <v>1798</v>
      </c>
      <c r="L260" s="3" t="s">
        <v>2230</v>
      </c>
      <c r="M260" s="3" t="s">
        <v>2227</v>
      </c>
      <c r="N260" s="3" t="s">
        <v>2261</v>
      </c>
    </row>
    <row r="261" spans="1:14" x14ac:dyDescent="0.25">
      <c r="A261" s="15" t="s">
        <v>1908</v>
      </c>
      <c r="B261" s="17" t="s">
        <v>2199</v>
      </c>
      <c r="C261" s="6" t="s">
        <v>28</v>
      </c>
      <c r="D261" s="6" t="s">
        <v>28</v>
      </c>
      <c r="E261" s="7" t="s">
        <v>1909</v>
      </c>
      <c r="F261" s="20">
        <v>46023</v>
      </c>
      <c r="G261" s="17">
        <v>1</v>
      </c>
      <c r="H261" t="s">
        <v>740</v>
      </c>
      <c r="I261" s="32">
        <v>170000</v>
      </c>
      <c r="J261" s="19" t="s">
        <v>1797</v>
      </c>
      <c r="K261" s="6" t="s">
        <v>1798</v>
      </c>
      <c r="L261" s="3" t="s">
        <v>2230</v>
      </c>
      <c r="M261" s="3" t="s">
        <v>2227</v>
      </c>
      <c r="N261" s="3" t="s">
        <v>2261</v>
      </c>
    </row>
    <row r="262" spans="1:14" x14ac:dyDescent="0.25">
      <c r="A262" s="14" t="s">
        <v>1694</v>
      </c>
      <c r="B262" s="16" t="s">
        <v>2199</v>
      </c>
      <c r="C262" s="19" t="s">
        <v>28</v>
      </c>
      <c r="D262" s="19" t="s">
        <v>28</v>
      </c>
      <c r="E262" s="10" t="s">
        <v>1695</v>
      </c>
      <c r="F262" s="20">
        <v>46143</v>
      </c>
      <c r="G262" s="16">
        <v>1</v>
      </c>
      <c r="H262" s="11" t="s">
        <v>815</v>
      </c>
      <c r="I262" s="31">
        <v>2500008</v>
      </c>
      <c r="J262" s="19" t="s">
        <v>414</v>
      </c>
      <c r="K262" s="19" t="s">
        <v>1697</v>
      </c>
      <c r="L262" s="3" t="s">
        <v>2222</v>
      </c>
      <c r="M262" s="3" t="s">
        <v>2234</v>
      </c>
      <c r="N262" s="3" t="s">
        <v>2260</v>
      </c>
    </row>
    <row r="263" spans="1:14" x14ac:dyDescent="0.25">
      <c r="A263" s="15" t="s">
        <v>1848</v>
      </c>
      <c r="B263" s="17" t="s">
        <v>2199</v>
      </c>
      <c r="C263" s="6" t="s">
        <v>28</v>
      </c>
      <c r="D263" s="6" t="s">
        <v>28</v>
      </c>
      <c r="E263" s="7" t="s">
        <v>1849</v>
      </c>
      <c r="F263" s="20">
        <v>46082</v>
      </c>
      <c r="G263" s="17">
        <v>1</v>
      </c>
      <c r="H263" t="s">
        <v>1851</v>
      </c>
      <c r="I263" s="32">
        <v>9000000</v>
      </c>
      <c r="J263" s="19" t="s">
        <v>414</v>
      </c>
      <c r="K263" s="6" t="s">
        <v>1852</v>
      </c>
      <c r="L263" s="3" t="s">
        <v>2222</v>
      </c>
      <c r="M263" s="3" t="s">
        <v>2234</v>
      </c>
      <c r="N263" s="3" t="s">
        <v>2260</v>
      </c>
    </row>
    <row r="264" spans="1:14" x14ac:dyDescent="0.25">
      <c r="A264" s="14" t="s">
        <v>1948</v>
      </c>
      <c r="B264" s="16" t="s">
        <v>2199</v>
      </c>
      <c r="C264" s="19" t="s">
        <v>28</v>
      </c>
      <c r="D264" s="19" t="s">
        <v>28</v>
      </c>
      <c r="E264" s="10" t="s">
        <v>1949</v>
      </c>
      <c r="F264" s="20">
        <v>46082</v>
      </c>
      <c r="G264" s="16">
        <v>1</v>
      </c>
      <c r="H264" s="11" t="s">
        <v>777</v>
      </c>
      <c r="I264" s="31">
        <v>10002100</v>
      </c>
      <c r="J264" s="19" t="s">
        <v>414</v>
      </c>
      <c r="K264" s="19" t="s">
        <v>1852</v>
      </c>
      <c r="L264" s="3" t="s">
        <v>2222</v>
      </c>
      <c r="M264" s="3" t="s">
        <v>2234</v>
      </c>
      <c r="N264" s="3" t="s">
        <v>2260</v>
      </c>
    </row>
    <row r="265" spans="1:14" x14ac:dyDescent="0.25">
      <c r="A265" s="15" t="s">
        <v>1955</v>
      </c>
      <c r="B265" s="17" t="s">
        <v>2199</v>
      </c>
      <c r="C265" s="6" t="s">
        <v>28</v>
      </c>
      <c r="D265" s="6" t="s">
        <v>28</v>
      </c>
      <c r="E265" s="7" t="s">
        <v>1956</v>
      </c>
      <c r="F265" s="20">
        <v>46082</v>
      </c>
      <c r="G265" s="17">
        <v>3</v>
      </c>
      <c r="H265" t="s">
        <v>1303</v>
      </c>
      <c r="I265" s="32">
        <v>3960000</v>
      </c>
      <c r="J265" s="19" t="s">
        <v>414</v>
      </c>
      <c r="K265" s="6" t="s">
        <v>1852</v>
      </c>
      <c r="L265" s="3" t="s">
        <v>2222</v>
      </c>
      <c r="M265" s="3" t="s">
        <v>2234</v>
      </c>
      <c r="N265" s="3" t="s">
        <v>2260</v>
      </c>
    </row>
    <row r="266" spans="1:14" x14ac:dyDescent="0.25">
      <c r="A266" s="14" t="s">
        <v>1955</v>
      </c>
      <c r="B266" s="16" t="s">
        <v>2199</v>
      </c>
      <c r="C266" s="19" t="s">
        <v>28</v>
      </c>
      <c r="D266" s="19" t="s">
        <v>28</v>
      </c>
      <c r="E266" s="10" t="s">
        <v>1956</v>
      </c>
      <c r="F266" s="20">
        <v>46082</v>
      </c>
      <c r="G266" s="16">
        <v>3</v>
      </c>
      <c r="H266" s="11" t="s">
        <v>1958</v>
      </c>
      <c r="I266" s="31">
        <v>600000</v>
      </c>
      <c r="J266" s="19" t="s">
        <v>414</v>
      </c>
      <c r="K266" s="19" t="s">
        <v>1852</v>
      </c>
      <c r="L266" s="3" t="s">
        <v>2222</v>
      </c>
      <c r="M266" s="3" t="s">
        <v>2234</v>
      </c>
      <c r="N266" s="3" t="s">
        <v>2260</v>
      </c>
    </row>
    <row r="267" spans="1:14" x14ac:dyDescent="0.25">
      <c r="A267" s="15" t="s">
        <v>1955</v>
      </c>
      <c r="B267" s="17" t="s">
        <v>2199</v>
      </c>
      <c r="C267" s="6" t="s">
        <v>28</v>
      </c>
      <c r="D267" s="6" t="s">
        <v>28</v>
      </c>
      <c r="E267" s="7" t="s">
        <v>1956</v>
      </c>
      <c r="F267" s="20">
        <v>46082</v>
      </c>
      <c r="G267" s="17">
        <v>3</v>
      </c>
      <c r="H267" t="s">
        <v>1959</v>
      </c>
      <c r="I267" s="32">
        <v>1000000</v>
      </c>
      <c r="J267" s="19" t="s">
        <v>414</v>
      </c>
      <c r="K267" s="6" t="s">
        <v>1852</v>
      </c>
      <c r="L267" s="3" t="s">
        <v>2222</v>
      </c>
      <c r="M267" s="3" t="s">
        <v>2234</v>
      </c>
      <c r="N267" s="3" t="s">
        <v>2260</v>
      </c>
    </row>
    <row r="268" spans="1:14" x14ac:dyDescent="0.25">
      <c r="A268" s="14" t="s">
        <v>1990</v>
      </c>
      <c r="B268" s="16" t="s">
        <v>2199</v>
      </c>
      <c r="C268" s="19" t="s">
        <v>28</v>
      </c>
      <c r="D268" s="19" t="s">
        <v>28</v>
      </c>
      <c r="E268" s="10" t="s">
        <v>1991</v>
      </c>
      <c r="F268" s="20">
        <v>46082</v>
      </c>
      <c r="G268" s="16">
        <v>1</v>
      </c>
      <c r="H268" s="11" t="s">
        <v>1303</v>
      </c>
      <c r="I268" s="31">
        <v>3500000</v>
      </c>
      <c r="J268" s="19" t="s">
        <v>414</v>
      </c>
      <c r="K268" s="19" t="s">
        <v>1852</v>
      </c>
      <c r="L268" s="3" t="s">
        <v>2222</v>
      </c>
      <c r="M268" s="3" t="s">
        <v>2234</v>
      </c>
      <c r="N268" s="3" t="s">
        <v>2260</v>
      </c>
    </row>
    <row r="269" spans="1:14" x14ac:dyDescent="0.25">
      <c r="A269" s="15" t="s">
        <v>1993</v>
      </c>
      <c r="B269" s="17" t="s">
        <v>2199</v>
      </c>
      <c r="C269" s="6" t="s">
        <v>28</v>
      </c>
      <c r="D269" s="6" t="s">
        <v>28</v>
      </c>
      <c r="E269" s="7" t="s">
        <v>1994</v>
      </c>
      <c r="F269" s="20">
        <v>46082</v>
      </c>
      <c r="G269" s="17">
        <v>1</v>
      </c>
      <c r="H269" t="s">
        <v>1959</v>
      </c>
      <c r="I269" s="32">
        <v>15135390</v>
      </c>
      <c r="J269" s="19" t="s">
        <v>414</v>
      </c>
      <c r="K269" s="6" t="s">
        <v>1996</v>
      </c>
      <c r="L269" s="3" t="s">
        <v>2222</v>
      </c>
      <c r="M269" s="3" t="s">
        <v>2234</v>
      </c>
      <c r="N269" s="3" t="s">
        <v>2260</v>
      </c>
    </row>
    <row r="270" spans="1:14" x14ac:dyDescent="0.25">
      <c r="A270" s="14" t="s">
        <v>408</v>
      </c>
      <c r="B270" s="16" t="s">
        <v>2196</v>
      </c>
      <c r="C270" s="16" t="s">
        <v>2196</v>
      </c>
      <c r="D270" s="19" t="s">
        <v>28</v>
      </c>
      <c r="E270" s="10" t="s">
        <v>410</v>
      </c>
      <c r="F270" s="20">
        <v>45870</v>
      </c>
      <c r="G270" s="16">
        <v>1</v>
      </c>
      <c r="H270" s="11" t="s">
        <v>412</v>
      </c>
      <c r="I270" s="31">
        <v>500000000</v>
      </c>
      <c r="J270" s="19" t="s">
        <v>414</v>
      </c>
      <c r="K270" s="19" t="s">
        <v>415</v>
      </c>
      <c r="L270" s="3" t="s">
        <v>2222</v>
      </c>
      <c r="M270" s="3" t="s">
        <v>2234</v>
      </c>
      <c r="N270" s="3" t="s">
        <v>2260</v>
      </c>
    </row>
    <row r="271" spans="1:14" x14ac:dyDescent="0.25">
      <c r="A271" s="15" t="s">
        <v>545</v>
      </c>
      <c r="B271" s="17" t="s">
        <v>2196</v>
      </c>
      <c r="C271" s="17" t="s">
        <v>2196</v>
      </c>
      <c r="D271" s="6" t="s">
        <v>374</v>
      </c>
      <c r="E271" s="7" t="s">
        <v>546</v>
      </c>
      <c r="F271" s="20">
        <v>45870</v>
      </c>
      <c r="G271" s="17">
        <v>1</v>
      </c>
      <c r="H271" t="s">
        <v>496</v>
      </c>
      <c r="I271" s="32">
        <v>30800000</v>
      </c>
      <c r="J271" s="19" t="s">
        <v>414</v>
      </c>
      <c r="K271" s="6" t="s">
        <v>415</v>
      </c>
      <c r="L271" s="3" t="s">
        <v>2222</v>
      </c>
      <c r="M271" s="3" t="s">
        <v>2234</v>
      </c>
      <c r="N271" s="3" t="s">
        <v>2260</v>
      </c>
    </row>
    <row r="272" spans="1:14" x14ac:dyDescent="0.25">
      <c r="A272" s="14" t="s">
        <v>1890</v>
      </c>
      <c r="B272" s="16" t="s">
        <v>2199</v>
      </c>
      <c r="C272" s="19" t="s">
        <v>28</v>
      </c>
      <c r="D272" s="19" t="s">
        <v>28</v>
      </c>
      <c r="E272" s="10" t="s">
        <v>1891</v>
      </c>
      <c r="F272" s="20">
        <v>46023</v>
      </c>
      <c r="G272" s="16">
        <v>1</v>
      </c>
      <c r="H272" s="11" t="s">
        <v>1527</v>
      </c>
      <c r="I272" s="31">
        <v>70000</v>
      </c>
      <c r="J272" s="19" t="s">
        <v>1893</v>
      </c>
      <c r="K272" s="19" t="s">
        <v>1894</v>
      </c>
      <c r="L272" s="3" t="s">
        <v>2231</v>
      </c>
      <c r="M272" s="3" t="s">
        <v>2262</v>
      </c>
      <c r="N272" s="3" t="s">
        <v>2264</v>
      </c>
    </row>
    <row r="273" spans="1:14" x14ac:dyDescent="0.25">
      <c r="A273" s="15" t="s">
        <v>1911</v>
      </c>
      <c r="B273" s="17" t="s">
        <v>2199</v>
      </c>
      <c r="C273" s="6" t="s">
        <v>28</v>
      </c>
      <c r="D273" s="6" t="s">
        <v>28</v>
      </c>
      <c r="E273" s="7" t="s">
        <v>1912</v>
      </c>
      <c r="F273" s="20">
        <v>46023</v>
      </c>
      <c r="G273" s="17">
        <v>1</v>
      </c>
      <c r="H273" t="s">
        <v>840</v>
      </c>
      <c r="I273" s="32">
        <v>100000</v>
      </c>
      <c r="J273" s="19" t="s">
        <v>1893</v>
      </c>
      <c r="K273" s="6" t="s">
        <v>1894</v>
      </c>
      <c r="L273" s="3" t="s">
        <v>2231</v>
      </c>
      <c r="M273" s="3" t="s">
        <v>2262</v>
      </c>
      <c r="N273" s="3" t="s">
        <v>2264</v>
      </c>
    </row>
    <row r="274" spans="1:14" x14ac:dyDescent="0.25">
      <c r="A274" s="14" t="s">
        <v>2174</v>
      </c>
      <c r="B274" s="16" t="s">
        <v>2199</v>
      </c>
      <c r="C274" s="19" t="s">
        <v>28</v>
      </c>
      <c r="D274" s="19" t="s">
        <v>28</v>
      </c>
      <c r="E274" s="10" t="s">
        <v>2175</v>
      </c>
      <c r="F274" s="20">
        <v>46023</v>
      </c>
      <c r="G274" s="16">
        <v>2</v>
      </c>
      <c r="H274" s="11" t="s">
        <v>2106</v>
      </c>
      <c r="I274" s="31">
        <v>250000</v>
      </c>
      <c r="J274" s="19" t="s">
        <v>1893</v>
      </c>
      <c r="K274" s="19" t="s">
        <v>2177</v>
      </c>
      <c r="L274" s="3" t="s">
        <v>2231</v>
      </c>
      <c r="M274" s="3" t="s">
        <v>2262</v>
      </c>
      <c r="N274" s="3" t="s">
        <v>2264</v>
      </c>
    </row>
    <row r="275" spans="1:14" x14ac:dyDescent="0.25">
      <c r="A275" s="15" t="s">
        <v>2174</v>
      </c>
      <c r="B275" s="17" t="s">
        <v>2199</v>
      </c>
      <c r="C275" s="6" t="s">
        <v>28</v>
      </c>
      <c r="D275" s="6" t="s">
        <v>28</v>
      </c>
      <c r="E275" s="7" t="s">
        <v>2175</v>
      </c>
      <c r="F275" s="20">
        <v>46023</v>
      </c>
      <c r="G275" s="17">
        <v>2</v>
      </c>
      <c r="H275" t="s">
        <v>486</v>
      </c>
      <c r="I275" s="32">
        <v>239000</v>
      </c>
      <c r="J275" s="19" t="s">
        <v>1893</v>
      </c>
      <c r="K275" s="6" t="s">
        <v>2177</v>
      </c>
      <c r="L275" s="3" t="s">
        <v>2231</v>
      </c>
      <c r="M275" s="3" t="s">
        <v>2262</v>
      </c>
      <c r="N275" s="3" t="s">
        <v>2264</v>
      </c>
    </row>
    <row r="276" spans="1:14" x14ac:dyDescent="0.25">
      <c r="A276" s="14" t="s">
        <v>2074</v>
      </c>
      <c r="B276" s="16" t="s">
        <v>2199</v>
      </c>
      <c r="C276" s="19" t="s">
        <v>28</v>
      </c>
      <c r="D276" s="19" t="s">
        <v>28</v>
      </c>
      <c r="E276" s="10" t="s">
        <v>788</v>
      </c>
      <c r="F276" s="20">
        <v>46082</v>
      </c>
      <c r="G276" s="16">
        <v>2</v>
      </c>
      <c r="H276" s="11" t="s">
        <v>359</v>
      </c>
      <c r="I276" s="31">
        <v>2280150</v>
      </c>
      <c r="J276" s="19" t="s">
        <v>2076</v>
      </c>
      <c r="K276" s="19" t="s">
        <v>2077</v>
      </c>
      <c r="L276" s="3" t="s">
        <v>2232</v>
      </c>
      <c r="M276" s="3" t="s">
        <v>2234</v>
      </c>
      <c r="N276" s="3" t="s">
        <v>2265</v>
      </c>
    </row>
    <row r="277" spans="1:14" x14ac:dyDescent="0.25">
      <c r="A277" s="15" t="s">
        <v>2074</v>
      </c>
      <c r="B277" s="17" t="s">
        <v>2199</v>
      </c>
      <c r="C277" s="6" t="s">
        <v>28</v>
      </c>
      <c r="D277" s="6" t="s">
        <v>28</v>
      </c>
      <c r="E277" s="7" t="s">
        <v>788</v>
      </c>
      <c r="F277" s="20">
        <v>46082</v>
      </c>
      <c r="G277" s="17">
        <v>2</v>
      </c>
      <c r="H277" t="s">
        <v>855</v>
      </c>
      <c r="I277" s="32">
        <v>193760</v>
      </c>
      <c r="J277" s="19" t="s">
        <v>2076</v>
      </c>
      <c r="K277" s="6" t="s">
        <v>2077</v>
      </c>
      <c r="L277" s="3" t="s">
        <v>2232</v>
      </c>
      <c r="M277" s="3" t="s">
        <v>2234</v>
      </c>
      <c r="N277" s="3" t="s">
        <v>2265</v>
      </c>
    </row>
    <row r="278" spans="1:14" x14ac:dyDescent="0.25">
      <c r="A278" s="14" t="s">
        <v>787</v>
      </c>
      <c r="B278" s="16" t="s">
        <v>2199</v>
      </c>
      <c r="C278" s="19" t="s">
        <v>28</v>
      </c>
      <c r="D278" s="19" t="s">
        <v>28</v>
      </c>
      <c r="E278" s="10" t="s">
        <v>788</v>
      </c>
      <c r="F278" s="20">
        <v>46082</v>
      </c>
      <c r="G278" s="16">
        <v>2</v>
      </c>
      <c r="H278" s="11" t="s">
        <v>359</v>
      </c>
      <c r="I278" s="31">
        <v>921162</v>
      </c>
      <c r="J278" s="19" t="s">
        <v>790</v>
      </c>
      <c r="K278" s="19" t="s">
        <v>791</v>
      </c>
      <c r="L278" s="3" t="s">
        <v>2232</v>
      </c>
      <c r="M278" s="3" t="s">
        <v>2234</v>
      </c>
      <c r="N278" s="3" t="s">
        <v>2265</v>
      </c>
    </row>
    <row r="279" spans="1:14" x14ac:dyDescent="0.25">
      <c r="A279" s="15" t="s">
        <v>787</v>
      </c>
      <c r="B279" s="17" t="s">
        <v>2199</v>
      </c>
      <c r="C279" s="6" t="s">
        <v>28</v>
      </c>
      <c r="D279" s="6" t="s">
        <v>28</v>
      </c>
      <c r="E279" s="7" t="s">
        <v>788</v>
      </c>
      <c r="F279" s="20">
        <v>46082</v>
      </c>
      <c r="G279" s="17">
        <v>2</v>
      </c>
      <c r="H279" t="s">
        <v>195</v>
      </c>
      <c r="I279" s="32">
        <v>86299</v>
      </c>
      <c r="J279" s="19" t="s">
        <v>790</v>
      </c>
      <c r="K279" s="6" t="s">
        <v>791</v>
      </c>
      <c r="L279" s="3" t="s">
        <v>2232</v>
      </c>
      <c r="M279" s="3" t="s">
        <v>2234</v>
      </c>
      <c r="N279" s="3" t="s">
        <v>2265</v>
      </c>
    </row>
    <row r="280" spans="1:14" x14ac:dyDescent="0.25">
      <c r="A280" s="14" t="s">
        <v>811</v>
      </c>
      <c r="B280" s="16" t="s">
        <v>2199</v>
      </c>
      <c r="C280" s="19" t="s">
        <v>28</v>
      </c>
      <c r="D280" s="19" t="s">
        <v>28</v>
      </c>
      <c r="E280" s="10" t="s">
        <v>813</v>
      </c>
      <c r="F280" s="20">
        <v>46082</v>
      </c>
      <c r="G280" s="16">
        <v>1</v>
      </c>
      <c r="H280" s="11" t="s">
        <v>815</v>
      </c>
      <c r="I280" s="31">
        <v>400000</v>
      </c>
      <c r="J280" s="19" t="s">
        <v>790</v>
      </c>
      <c r="K280" s="19" t="s">
        <v>791</v>
      </c>
      <c r="L280" s="3" t="s">
        <v>2232</v>
      </c>
      <c r="M280" s="3" t="s">
        <v>2234</v>
      </c>
      <c r="N280" s="3" t="s">
        <v>2265</v>
      </c>
    </row>
    <row r="281" spans="1:14" x14ac:dyDescent="0.25">
      <c r="A281" s="15" t="s">
        <v>834</v>
      </c>
      <c r="B281" s="17" t="s">
        <v>2199</v>
      </c>
      <c r="C281" s="6" t="s">
        <v>28</v>
      </c>
      <c r="D281" s="6" t="s">
        <v>28</v>
      </c>
      <c r="E281" s="7" t="s">
        <v>835</v>
      </c>
      <c r="F281" s="20">
        <v>46204</v>
      </c>
      <c r="G281" s="17">
        <v>1</v>
      </c>
      <c r="H281" t="s">
        <v>370</v>
      </c>
      <c r="I281" s="32">
        <v>400000</v>
      </c>
      <c r="J281" s="19" t="s">
        <v>790</v>
      </c>
      <c r="K281" s="6" t="s">
        <v>791</v>
      </c>
      <c r="L281" s="3" t="s">
        <v>2232</v>
      </c>
      <c r="M281" s="3" t="s">
        <v>2234</v>
      </c>
      <c r="N281" s="3" t="s">
        <v>2265</v>
      </c>
    </row>
    <row r="282" spans="1:14" x14ac:dyDescent="0.25">
      <c r="A282" s="14" t="s">
        <v>1059</v>
      </c>
      <c r="B282" s="16" t="s">
        <v>2199</v>
      </c>
      <c r="C282" s="19" t="s">
        <v>28</v>
      </c>
      <c r="D282" s="19" t="s">
        <v>28</v>
      </c>
      <c r="E282" s="10" t="s">
        <v>1060</v>
      </c>
      <c r="F282" s="20">
        <v>46296</v>
      </c>
      <c r="G282" s="16">
        <v>2</v>
      </c>
      <c r="H282" s="11" t="s">
        <v>1062</v>
      </c>
      <c r="I282" s="31">
        <v>400000</v>
      </c>
      <c r="J282" s="19" t="s">
        <v>790</v>
      </c>
      <c r="K282" s="19" t="s">
        <v>791</v>
      </c>
      <c r="L282" s="3" t="s">
        <v>2232</v>
      </c>
      <c r="M282" s="3" t="s">
        <v>2234</v>
      </c>
      <c r="N282" s="3" t="s">
        <v>2265</v>
      </c>
    </row>
    <row r="283" spans="1:14" x14ac:dyDescent="0.25">
      <c r="A283" s="15" t="s">
        <v>1059</v>
      </c>
      <c r="B283" s="17" t="s">
        <v>2199</v>
      </c>
      <c r="C283" s="6" t="s">
        <v>28</v>
      </c>
      <c r="D283" s="6" t="s">
        <v>28</v>
      </c>
      <c r="E283" s="7" t="s">
        <v>1060</v>
      </c>
      <c r="F283" s="20">
        <v>46296</v>
      </c>
      <c r="G283" s="17">
        <v>2</v>
      </c>
      <c r="H283" t="s">
        <v>486</v>
      </c>
      <c r="I283" s="32">
        <v>110006</v>
      </c>
      <c r="J283" s="19" t="s">
        <v>790</v>
      </c>
      <c r="K283" s="6" t="s">
        <v>791</v>
      </c>
      <c r="L283" s="3" t="s">
        <v>2232</v>
      </c>
      <c r="M283" s="3" t="s">
        <v>2234</v>
      </c>
      <c r="N283" s="3" t="s">
        <v>2265</v>
      </c>
    </row>
    <row r="284" spans="1:14" x14ac:dyDescent="0.25">
      <c r="A284" s="14" t="s">
        <v>1063</v>
      </c>
      <c r="B284" s="16" t="s">
        <v>2199</v>
      </c>
      <c r="C284" s="19" t="s">
        <v>28</v>
      </c>
      <c r="D284" s="19" t="s">
        <v>28</v>
      </c>
      <c r="E284" s="10" t="s">
        <v>1064</v>
      </c>
      <c r="F284" s="20">
        <v>46296</v>
      </c>
      <c r="G284" s="16">
        <v>2</v>
      </c>
      <c r="H284" s="11" t="s">
        <v>486</v>
      </c>
      <c r="I284" s="31">
        <v>50000</v>
      </c>
      <c r="J284" s="19" t="s">
        <v>790</v>
      </c>
      <c r="K284" s="19" t="s">
        <v>791</v>
      </c>
      <c r="L284" s="3" t="s">
        <v>2232</v>
      </c>
      <c r="M284" s="3" t="s">
        <v>2234</v>
      </c>
      <c r="N284" s="3" t="s">
        <v>2265</v>
      </c>
    </row>
    <row r="285" spans="1:14" x14ac:dyDescent="0.25">
      <c r="A285" s="15" t="s">
        <v>1063</v>
      </c>
      <c r="B285" s="17" t="s">
        <v>2199</v>
      </c>
      <c r="C285" s="6" t="s">
        <v>28</v>
      </c>
      <c r="D285" s="6" t="s">
        <v>28</v>
      </c>
      <c r="E285" s="7" t="s">
        <v>1064</v>
      </c>
      <c r="F285" s="20">
        <v>46296</v>
      </c>
      <c r="G285" s="17">
        <v>2</v>
      </c>
      <c r="H285" t="s">
        <v>602</v>
      </c>
      <c r="I285" s="32">
        <v>400000</v>
      </c>
      <c r="J285" s="19" t="s">
        <v>790</v>
      </c>
      <c r="K285" s="6" t="s">
        <v>791</v>
      </c>
      <c r="L285" s="3" t="s">
        <v>2232</v>
      </c>
      <c r="M285" s="3" t="s">
        <v>2234</v>
      </c>
      <c r="N285" s="3" t="s">
        <v>2265</v>
      </c>
    </row>
    <row r="286" spans="1:14" x14ac:dyDescent="0.25">
      <c r="A286" s="14" t="s">
        <v>1183</v>
      </c>
      <c r="B286" s="16" t="s">
        <v>2199</v>
      </c>
      <c r="C286" s="19" t="s">
        <v>28</v>
      </c>
      <c r="D286" s="19" t="s">
        <v>28</v>
      </c>
      <c r="E286" s="10" t="s">
        <v>1185</v>
      </c>
      <c r="F286" s="20">
        <v>46143</v>
      </c>
      <c r="G286" s="16">
        <v>1</v>
      </c>
      <c r="H286" s="11" t="s">
        <v>1187</v>
      </c>
      <c r="I286" s="31">
        <v>2885085</v>
      </c>
      <c r="J286" s="19" t="s">
        <v>790</v>
      </c>
      <c r="K286" s="19" t="s">
        <v>791</v>
      </c>
      <c r="L286" s="3" t="s">
        <v>2232</v>
      </c>
      <c r="M286" s="3" t="s">
        <v>2234</v>
      </c>
      <c r="N286" s="3" t="s">
        <v>2265</v>
      </c>
    </row>
    <row r="287" spans="1:14" x14ac:dyDescent="0.25">
      <c r="A287" s="15" t="s">
        <v>1188</v>
      </c>
      <c r="B287" s="17" t="s">
        <v>2199</v>
      </c>
      <c r="C287" s="6" t="s">
        <v>28</v>
      </c>
      <c r="D287" s="6" t="s">
        <v>28</v>
      </c>
      <c r="E287" s="7" t="s">
        <v>1189</v>
      </c>
      <c r="F287" s="20">
        <v>46296</v>
      </c>
      <c r="G287" s="17">
        <v>5</v>
      </c>
      <c r="H287" t="s">
        <v>1191</v>
      </c>
      <c r="I287" s="32">
        <v>1000000</v>
      </c>
      <c r="J287" s="19" t="s">
        <v>790</v>
      </c>
      <c r="K287" s="6" t="s">
        <v>791</v>
      </c>
      <c r="L287" s="3" t="s">
        <v>2232</v>
      </c>
      <c r="M287" s="3" t="s">
        <v>2234</v>
      </c>
      <c r="N287" s="3" t="s">
        <v>2265</v>
      </c>
    </row>
    <row r="288" spans="1:14" x14ac:dyDescent="0.25">
      <c r="A288" s="14" t="s">
        <v>1188</v>
      </c>
      <c r="B288" s="16" t="s">
        <v>2199</v>
      </c>
      <c r="C288" s="19" t="s">
        <v>28</v>
      </c>
      <c r="D288" s="19" t="s">
        <v>28</v>
      </c>
      <c r="E288" s="10" t="s">
        <v>1189</v>
      </c>
      <c r="F288" s="20">
        <v>46296</v>
      </c>
      <c r="G288" s="16">
        <v>5</v>
      </c>
      <c r="H288" s="11" t="s">
        <v>486</v>
      </c>
      <c r="I288" s="31">
        <v>300000</v>
      </c>
      <c r="J288" s="19" t="s">
        <v>790</v>
      </c>
      <c r="K288" s="19" t="s">
        <v>791</v>
      </c>
      <c r="L288" s="3" t="s">
        <v>2232</v>
      </c>
      <c r="M288" s="3" t="s">
        <v>2234</v>
      </c>
      <c r="N288" s="3" t="s">
        <v>2265</v>
      </c>
    </row>
    <row r="289" spans="1:14" x14ac:dyDescent="0.25">
      <c r="A289" s="15" t="s">
        <v>1188</v>
      </c>
      <c r="B289" s="17" t="s">
        <v>2199</v>
      </c>
      <c r="C289" s="6" t="s">
        <v>28</v>
      </c>
      <c r="D289" s="6" t="s">
        <v>28</v>
      </c>
      <c r="E289" s="7" t="s">
        <v>1189</v>
      </c>
      <c r="F289" s="20">
        <v>46296</v>
      </c>
      <c r="G289" s="17">
        <v>5</v>
      </c>
      <c r="H289" t="s">
        <v>855</v>
      </c>
      <c r="I289" s="32">
        <v>47268</v>
      </c>
      <c r="J289" s="19" t="s">
        <v>790</v>
      </c>
      <c r="K289" s="6" t="s">
        <v>791</v>
      </c>
      <c r="L289" s="3" t="s">
        <v>2232</v>
      </c>
      <c r="M289" s="3" t="s">
        <v>2234</v>
      </c>
      <c r="N289" s="3" t="s">
        <v>2265</v>
      </c>
    </row>
    <row r="290" spans="1:14" x14ac:dyDescent="0.25">
      <c r="A290" s="14" t="s">
        <v>1188</v>
      </c>
      <c r="B290" s="16" t="s">
        <v>2199</v>
      </c>
      <c r="C290" s="19" t="s">
        <v>28</v>
      </c>
      <c r="D290" s="19" t="s">
        <v>28</v>
      </c>
      <c r="E290" s="10" t="s">
        <v>1189</v>
      </c>
      <c r="F290" s="20">
        <v>46296</v>
      </c>
      <c r="G290" s="16">
        <v>5</v>
      </c>
      <c r="H290" s="11" t="s">
        <v>602</v>
      </c>
      <c r="I290" s="31">
        <v>1500000</v>
      </c>
      <c r="J290" s="19" t="s">
        <v>790</v>
      </c>
      <c r="K290" s="19" t="s">
        <v>791</v>
      </c>
      <c r="L290" s="3" t="s">
        <v>2232</v>
      </c>
      <c r="M290" s="3" t="s">
        <v>2234</v>
      </c>
      <c r="N290" s="3" t="s">
        <v>2265</v>
      </c>
    </row>
    <row r="291" spans="1:14" x14ac:dyDescent="0.25">
      <c r="A291" s="15" t="s">
        <v>1188</v>
      </c>
      <c r="B291" s="17" t="s">
        <v>2199</v>
      </c>
      <c r="C291" s="6" t="s">
        <v>28</v>
      </c>
      <c r="D291" s="6" t="s">
        <v>28</v>
      </c>
      <c r="E291" s="7" t="s">
        <v>1189</v>
      </c>
      <c r="F291" s="20">
        <v>46296</v>
      </c>
      <c r="G291" s="17">
        <v>5</v>
      </c>
      <c r="H291" t="s">
        <v>1192</v>
      </c>
      <c r="I291" s="32">
        <v>150000</v>
      </c>
      <c r="J291" s="19" t="s">
        <v>790</v>
      </c>
      <c r="K291" s="6" t="s">
        <v>791</v>
      </c>
      <c r="L291" s="3" t="s">
        <v>2232</v>
      </c>
      <c r="M291" s="3" t="s">
        <v>2234</v>
      </c>
      <c r="N291" s="3" t="s">
        <v>2265</v>
      </c>
    </row>
    <row r="292" spans="1:14" x14ac:dyDescent="0.25">
      <c r="A292" s="14" t="s">
        <v>1066</v>
      </c>
      <c r="B292" s="16" t="s">
        <v>2199</v>
      </c>
      <c r="C292" s="19" t="s">
        <v>374</v>
      </c>
      <c r="D292" s="19" t="s">
        <v>374</v>
      </c>
      <c r="E292" s="10" t="s">
        <v>1067</v>
      </c>
      <c r="F292" s="20">
        <v>46266</v>
      </c>
      <c r="G292" s="16">
        <v>2</v>
      </c>
      <c r="H292" s="11" t="s">
        <v>486</v>
      </c>
      <c r="I292" s="31">
        <v>250000</v>
      </c>
      <c r="J292" s="19" t="s">
        <v>790</v>
      </c>
      <c r="K292" s="19" t="s">
        <v>791</v>
      </c>
      <c r="L292" s="3" t="s">
        <v>2232</v>
      </c>
      <c r="M292" s="3" t="s">
        <v>2234</v>
      </c>
      <c r="N292" s="3" t="s">
        <v>2265</v>
      </c>
    </row>
    <row r="293" spans="1:14" x14ac:dyDescent="0.25">
      <c r="A293" s="15" t="s">
        <v>1066</v>
      </c>
      <c r="B293" s="17" t="s">
        <v>2199</v>
      </c>
      <c r="C293" s="6" t="s">
        <v>374</v>
      </c>
      <c r="D293" s="6" t="s">
        <v>374</v>
      </c>
      <c r="E293" s="7" t="s">
        <v>1067</v>
      </c>
      <c r="F293" s="20">
        <v>46296</v>
      </c>
      <c r="G293" s="17">
        <v>2</v>
      </c>
      <c r="H293" t="s">
        <v>602</v>
      </c>
      <c r="I293" s="32">
        <v>1500000</v>
      </c>
      <c r="J293" s="19" t="s">
        <v>790</v>
      </c>
      <c r="K293" s="6" t="s">
        <v>791</v>
      </c>
      <c r="L293" s="3" t="s">
        <v>2232</v>
      </c>
      <c r="M293" s="3" t="s">
        <v>2234</v>
      </c>
      <c r="N293" s="3" t="s">
        <v>2265</v>
      </c>
    </row>
    <row r="294" spans="1:14" x14ac:dyDescent="0.25">
      <c r="A294" s="14" t="s">
        <v>954</v>
      </c>
      <c r="B294" s="16" t="s">
        <v>2199</v>
      </c>
      <c r="C294" s="19" t="s">
        <v>28</v>
      </c>
      <c r="D294" s="19" t="s">
        <v>28</v>
      </c>
      <c r="E294" s="10" t="s">
        <v>955</v>
      </c>
      <c r="F294" s="20">
        <v>46235</v>
      </c>
      <c r="G294" s="16">
        <v>3</v>
      </c>
      <c r="H294" s="11" t="s">
        <v>359</v>
      </c>
      <c r="I294" s="31">
        <v>185040</v>
      </c>
      <c r="J294" s="19" t="s">
        <v>958</v>
      </c>
      <c r="K294" s="19" t="s">
        <v>959</v>
      </c>
      <c r="L294" s="3" t="s">
        <v>2230</v>
      </c>
      <c r="M294" s="3" t="s">
        <v>2227</v>
      </c>
      <c r="N294" s="3" t="s">
        <v>2261</v>
      </c>
    </row>
    <row r="295" spans="1:14" x14ac:dyDescent="0.25">
      <c r="A295" s="15" t="s">
        <v>954</v>
      </c>
      <c r="B295" s="17" t="s">
        <v>2199</v>
      </c>
      <c r="C295" s="6" t="s">
        <v>28</v>
      </c>
      <c r="D295" s="6" t="s">
        <v>28</v>
      </c>
      <c r="E295" s="7" t="s">
        <v>955</v>
      </c>
      <c r="F295" s="20">
        <v>46235</v>
      </c>
      <c r="G295" s="17">
        <v>3</v>
      </c>
      <c r="H295" t="s">
        <v>962</v>
      </c>
      <c r="I295" s="32">
        <v>270160</v>
      </c>
      <c r="J295" s="19" t="s">
        <v>958</v>
      </c>
      <c r="K295" s="6" t="s">
        <v>959</v>
      </c>
      <c r="L295" s="3" t="s">
        <v>2230</v>
      </c>
      <c r="M295" s="3" t="s">
        <v>2227</v>
      </c>
      <c r="N295" s="3" t="s">
        <v>2261</v>
      </c>
    </row>
    <row r="296" spans="1:14" x14ac:dyDescent="0.25">
      <c r="A296" s="14" t="s">
        <v>954</v>
      </c>
      <c r="B296" s="16" t="s">
        <v>2199</v>
      </c>
      <c r="C296" s="19" t="s">
        <v>28</v>
      </c>
      <c r="D296" s="19" t="s">
        <v>28</v>
      </c>
      <c r="E296" s="10" t="s">
        <v>955</v>
      </c>
      <c r="F296" s="20">
        <v>46235</v>
      </c>
      <c r="G296" s="16">
        <v>3</v>
      </c>
      <c r="H296" s="11" t="s">
        <v>957</v>
      </c>
      <c r="I296" s="31">
        <v>220000</v>
      </c>
      <c r="J296" s="19" t="s">
        <v>958</v>
      </c>
      <c r="K296" s="19" t="s">
        <v>959</v>
      </c>
      <c r="L296" s="3" t="s">
        <v>2230</v>
      </c>
      <c r="M296" s="3" t="s">
        <v>2227</v>
      </c>
      <c r="N296" s="3" t="s">
        <v>2261</v>
      </c>
    </row>
    <row r="297" spans="1:14" x14ac:dyDescent="0.25">
      <c r="A297" s="15" t="s">
        <v>1708</v>
      </c>
      <c r="B297" s="17" t="s">
        <v>2199</v>
      </c>
      <c r="C297" s="6" t="s">
        <v>28</v>
      </c>
      <c r="D297" s="6" t="s">
        <v>28</v>
      </c>
      <c r="E297" s="7" t="s">
        <v>1709</v>
      </c>
      <c r="F297" s="20">
        <v>46023</v>
      </c>
      <c r="G297" s="17">
        <v>1</v>
      </c>
      <c r="H297" t="s">
        <v>1711</v>
      </c>
      <c r="I297" s="32">
        <v>550000</v>
      </c>
      <c r="J297" s="19" t="s">
        <v>958</v>
      </c>
      <c r="K297" s="6" t="s">
        <v>959</v>
      </c>
      <c r="L297" s="3" t="s">
        <v>2230</v>
      </c>
      <c r="M297" s="3" t="s">
        <v>2227</v>
      </c>
      <c r="N297" s="3" t="s">
        <v>2261</v>
      </c>
    </row>
    <row r="298" spans="1:14" x14ac:dyDescent="0.25">
      <c r="A298" s="14" t="s">
        <v>1715</v>
      </c>
      <c r="B298" s="16" t="s">
        <v>2199</v>
      </c>
      <c r="C298" s="19" t="s">
        <v>28</v>
      </c>
      <c r="D298" s="19" t="s">
        <v>28</v>
      </c>
      <c r="E298" s="10" t="s">
        <v>1716</v>
      </c>
      <c r="F298" s="20">
        <v>46023</v>
      </c>
      <c r="G298" s="16">
        <v>1</v>
      </c>
      <c r="H298" s="11" t="s">
        <v>1592</v>
      </c>
      <c r="I298" s="31">
        <v>60000</v>
      </c>
      <c r="J298" s="19" t="s">
        <v>958</v>
      </c>
      <c r="K298" s="19" t="s">
        <v>959</v>
      </c>
      <c r="L298" s="3" t="s">
        <v>2230</v>
      </c>
      <c r="M298" s="3" t="s">
        <v>2227</v>
      </c>
      <c r="N298" s="3" t="s">
        <v>2261</v>
      </c>
    </row>
    <row r="299" spans="1:14" x14ac:dyDescent="0.25">
      <c r="A299" s="15" t="s">
        <v>493</v>
      </c>
      <c r="B299" s="17" t="s">
        <v>2196</v>
      </c>
      <c r="C299" s="17" t="s">
        <v>2196</v>
      </c>
      <c r="D299" s="6" t="s">
        <v>28</v>
      </c>
      <c r="E299" s="7" t="s">
        <v>494</v>
      </c>
      <c r="F299" s="20">
        <v>45870</v>
      </c>
      <c r="G299" s="17">
        <v>1</v>
      </c>
      <c r="H299" t="s">
        <v>496</v>
      </c>
      <c r="I299" s="32">
        <v>72999996</v>
      </c>
      <c r="J299" s="19" t="s">
        <v>497</v>
      </c>
      <c r="K299" s="6" t="s">
        <v>302</v>
      </c>
      <c r="L299" s="3" t="s">
        <v>2230</v>
      </c>
      <c r="M299" s="3" t="s">
        <v>2227</v>
      </c>
      <c r="N299" s="3" t="s">
        <v>2261</v>
      </c>
    </row>
    <row r="300" spans="1:14" x14ac:dyDescent="0.25">
      <c r="A300" s="14" t="s">
        <v>922</v>
      </c>
      <c r="B300" s="16" t="s">
        <v>2199</v>
      </c>
      <c r="C300" s="19" t="s">
        <v>28</v>
      </c>
      <c r="D300" s="19" t="s">
        <v>28</v>
      </c>
      <c r="E300" s="10" t="s">
        <v>923</v>
      </c>
      <c r="F300" s="20">
        <v>46143</v>
      </c>
      <c r="G300" s="16">
        <v>1</v>
      </c>
      <c r="H300" s="11" t="s">
        <v>891</v>
      </c>
      <c r="I300" s="31">
        <v>23333328</v>
      </c>
      <c r="J300" s="19" t="s">
        <v>926</v>
      </c>
      <c r="K300" s="19" t="s">
        <v>893</v>
      </c>
      <c r="L300" s="3" t="s">
        <v>2221</v>
      </c>
      <c r="M300" s="3" t="s">
        <v>2234</v>
      </c>
      <c r="N300" s="3" t="s">
        <v>2259</v>
      </c>
    </row>
    <row r="301" spans="1:14" x14ac:dyDescent="0.25">
      <c r="A301" s="15" t="s">
        <v>1429</v>
      </c>
      <c r="B301" s="17" t="s">
        <v>2199</v>
      </c>
      <c r="C301" s="6" t="s">
        <v>28</v>
      </c>
      <c r="D301" s="6" t="s">
        <v>28</v>
      </c>
      <c r="E301" s="7" t="s">
        <v>1430</v>
      </c>
      <c r="F301" s="20">
        <v>46296</v>
      </c>
      <c r="G301" s="17">
        <v>1</v>
      </c>
      <c r="H301" t="s">
        <v>623</v>
      </c>
      <c r="I301" s="32">
        <v>35304528</v>
      </c>
      <c r="J301" s="19" t="s">
        <v>1432</v>
      </c>
      <c r="K301" s="6" t="s">
        <v>1433</v>
      </c>
      <c r="L301" s="3" t="s">
        <v>2233</v>
      </c>
      <c r="M301" s="3" t="s">
        <v>2256</v>
      </c>
      <c r="N301" s="3" t="s">
        <v>2266</v>
      </c>
    </row>
    <row r="302" spans="1:14" x14ac:dyDescent="0.25">
      <c r="A302" s="14" t="s">
        <v>284</v>
      </c>
      <c r="B302" s="16" t="s">
        <v>2196</v>
      </c>
      <c r="C302" s="16" t="s">
        <v>2196</v>
      </c>
      <c r="D302" s="19" t="s">
        <v>28</v>
      </c>
      <c r="E302" s="10" t="s">
        <v>286</v>
      </c>
      <c r="F302" s="20">
        <v>45748</v>
      </c>
      <c r="G302" s="16">
        <v>1</v>
      </c>
      <c r="H302" s="11" t="s">
        <v>288</v>
      </c>
      <c r="I302" s="31">
        <v>75000000</v>
      </c>
      <c r="J302" s="19" t="s">
        <v>2205</v>
      </c>
      <c r="K302" s="19" t="s">
        <v>291</v>
      </c>
      <c r="L302" s="3" t="s">
        <v>2233</v>
      </c>
      <c r="M302" s="3" t="s">
        <v>2256</v>
      </c>
      <c r="N302" s="3" t="s">
        <v>2266</v>
      </c>
    </row>
    <row r="303" spans="1:14" x14ac:dyDescent="0.25">
      <c r="A303" s="15" t="s">
        <v>1473</v>
      </c>
      <c r="B303" s="17" t="s">
        <v>2199</v>
      </c>
      <c r="C303" s="6" t="s">
        <v>28</v>
      </c>
      <c r="D303" s="6" t="s">
        <v>28</v>
      </c>
      <c r="E303" s="7" t="s">
        <v>1474</v>
      </c>
      <c r="F303" s="20">
        <v>46023</v>
      </c>
      <c r="G303" s="17">
        <v>1</v>
      </c>
      <c r="H303" t="s">
        <v>1476</v>
      </c>
      <c r="I303" s="32">
        <v>300006</v>
      </c>
      <c r="J303" s="19" t="s">
        <v>1477</v>
      </c>
      <c r="K303" s="6" t="s">
        <v>219</v>
      </c>
      <c r="L303" s="3" t="s">
        <v>2226</v>
      </c>
      <c r="M303" s="3" t="s">
        <v>2262</v>
      </c>
      <c r="N303" s="3" t="s">
        <v>2226</v>
      </c>
    </row>
    <row r="304" spans="1:14" x14ac:dyDescent="0.25">
      <c r="A304" s="14" t="s">
        <v>1482</v>
      </c>
      <c r="B304" s="16" t="s">
        <v>2199</v>
      </c>
      <c r="C304" s="19" t="s">
        <v>28</v>
      </c>
      <c r="D304" s="19" t="s">
        <v>28</v>
      </c>
      <c r="E304" s="10" t="s">
        <v>1483</v>
      </c>
      <c r="F304" s="20">
        <v>46023</v>
      </c>
      <c r="G304" s="16">
        <v>1</v>
      </c>
      <c r="H304" s="11" t="s">
        <v>1459</v>
      </c>
      <c r="I304" s="31">
        <v>1500018</v>
      </c>
      <c r="J304" s="19" t="s">
        <v>1477</v>
      </c>
      <c r="K304" s="19" t="s">
        <v>219</v>
      </c>
      <c r="L304" s="3" t="s">
        <v>2226</v>
      </c>
      <c r="M304" s="3" t="s">
        <v>2262</v>
      </c>
      <c r="N304" s="3" t="s">
        <v>2226</v>
      </c>
    </row>
    <row r="305" spans="1:14" x14ac:dyDescent="0.25">
      <c r="A305" s="15" t="s">
        <v>214</v>
      </c>
      <c r="B305" s="17" t="s">
        <v>2196</v>
      </c>
      <c r="C305" s="17" t="s">
        <v>2196</v>
      </c>
      <c r="D305" s="6" t="s">
        <v>28</v>
      </c>
      <c r="E305" s="7" t="s">
        <v>216</v>
      </c>
      <c r="F305" s="20">
        <v>45658</v>
      </c>
      <c r="G305" s="17">
        <v>2</v>
      </c>
      <c r="H305" t="s">
        <v>121</v>
      </c>
      <c r="I305" s="32">
        <v>6255504</v>
      </c>
      <c r="J305" s="19" t="s">
        <v>2206</v>
      </c>
      <c r="K305" s="6" t="s">
        <v>219</v>
      </c>
      <c r="L305" s="3" t="s">
        <v>2226</v>
      </c>
      <c r="M305" s="3" t="s">
        <v>2262</v>
      </c>
      <c r="N305" s="3" t="s">
        <v>2226</v>
      </c>
    </row>
    <row r="306" spans="1:14" x14ac:dyDescent="0.25">
      <c r="A306" s="14" t="s">
        <v>1865</v>
      </c>
      <c r="B306" s="16" t="s">
        <v>2199</v>
      </c>
      <c r="C306" s="19" t="s">
        <v>28</v>
      </c>
      <c r="D306" s="19" t="s">
        <v>28</v>
      </c>
      <c r="E306" s="10" t="s">
        <v>1866</v>
      </c>
      <c r="F306" s="20">
        <v>46023</v>
      </c>
      <c r="G306" s="16">
        <v>2</v>
      </c>
      <c r="H306" s="11" t="s">
        <v>359</v>
      </c>
      <c r="I306" s="31">
        <v>385050</v>
      </c>
      <c r="J306" s="19" t="s">
        <v>1868</v>
      </c>
      <c r="K306" s="19" t="s">
        <v>1869</v>
      </c>
      <c r="L306" s="3" t="s">
        <v>2234</v>
      </c>
      <c r="M306" s="3" t="s">
        <v>2234</v>
      </c>
      <c r="N306" s="3" t="s">
        <v>2267</v>
      </c>
    </row>
    <row r="307" spans="1:14" x14ac:dyDescent="0.25">
      <c r="A307" s="15" t="s">
        <v>1865</v>
      </c>
      <c r="B307" s="17" t="s">
        <v>2199</v>
      </c>
      <c r="C307" s="6" t="s">
        <v>28</v>
      </c>
      <c r="D307" s="6" t="s">
        <v>28</v>
      </c>
      <c r="E307" s="7" t="s">
        <v>1866</v>
      </c>
      <c r="F307" s="20">
        <v>46023</v>
      </c>
      <c r="G307" s="17">
        <v>2</v>
      </c>
      <c r="H307" t="s">
        <v>855</v>
      </c>
      <c r="I307" s="32">
        <v>121800</v>
      </c>
      <c r="J307" s="19" t="s">
        <v>1868</v>
      </c>
      <c r="K307" s="6" t="s">
        <v>1869</v>
      </c>
      <c r="L307" s="3" t="s">
        <v>2234</v>
      </c>
      <c r="M307" s="3" t="s">
        <v>2234</v>
      </c>
      <c r="N307" s="3" t="s">
        <v>2267</v>
      </c>
    </row>
    <row r="308" spans="1:14" x14ac:dyDescent="0.25">
      <c r="A308" s="14" t="s">
        <v>1149</v>
      </c>
      <c r="B308" s="16" t="s">
        <v>2199</v>
      </c>
      <c r="C308" s="19" t="s">
        <v>374</v>
      </c>
      <c r="D308" s="19" t="s">
        <v>374</v>
      </c>
      <c r="E308" s="10" t="s">
        <v>1150</v>
      </c>
      <c r="F308" s="20">
        <v>46113</v>
      </c>
      <c r="G308" s="16">
        <v>3</v>
      </c>
      <c r="H308" s="11" t="s">
        <v>831</v>
      </c>
      <c r="I308" s="31">
        <v>50000</v>
      </c>
      <c r="J308" s="19" t="s">
        <v>1152</v>
      </c>
      <c r="K308" s="19" t="s">
        <v>1153</v>
      </c>
      <c r="L308" s="3" t="s">
        <v>2222</v>
      </c>
      <c r="M308" s="3" t="s">
        <v>2234</v>
      </c>
      <c r="N308" s="3" t="s">
        <v>2260</v>
      </c>
    </row>
    <row r="309" spans="1:14" x14ac:dyDescent="0.25">
      <c r="A309" s="15" t="s">
        <v>1149</v>
      </c>
      <c r="B309" s="17" t="s">
        <v>2199</v>
      </c>
      <c r="C309" s="6" t="s">
        <v>374</v>
      </c>
      <c r="D309" s="6" t="s">
        <v>374</v>
      </c>
      <c r="E309" s="7" t="s">
        <v>1150</v>
      </c>
      <c r="F309" s="20">
        <v>46113</v>
      </c>
      <c r="G309" s="17">
        <v>3</v>
      </c>
      <c r="H309" t="s">
        <v>486</v>
      </c>
      <c r="I309" s="32">
        <v>352240</v>
      </c>
      <c r="J309" s="19" t="s">
        <v>1152</v>
      </c>
      <c r="K309" s="6" t="s">
        <v>1153</v>
      </c>
      <c r="L309" s="3" t="s">
        <v>2222</v>
      </c>
      <c r="M309" s="3" t="s">
        <v>2234</v>
      </c>
      <c r="N309" s="3" t="s">
        <v>2260</v>
      </c>
    </row>
    <row r="310" spans="1:14" x14ac:dyDescent="0.25">
      <c r="A310" s="14" t="s">
        <v>1149</v>
      </c>
      <c r="B310" s="16" t="s">
        <v>2199</v>
      </c>
      <c r="C310" s="19" t="s">
        <v>374</v>
      </c>
      <c r="D310" s="19" t="s">
        <v>374</v>
      </c>
      <c r="E310" s="10" t="s">
        <v>1150</v>
      </c>
      <c r="F310" s="20">
        <v>46113</v>
      </c>
      <c r="G310" s="16">
        <v>3</v>
      </c>
      <c r="H310" s="11" t="s">
        <v>602</v>
      </c>
      <c r="I310" s="31">
        <v>270000</v>
      </c>
      <c r="J310" s="19" t="s">
        <v>1152</v>
      </c>
      <c r="K310" s="19" t="s">
        <v>1153</v>
      </c>
      <c r="L310" s="3" t="s">
        <v>2222</v>
      </c>
      <c r="M310" s="3" t="s">
        <v>2234</v>
      </c>
      <c r="N310" s="3" t="s">
        <v>2260</v>
      </c>
    </row>
    <row r="311" spans="1:14" x14ac:dyDescent="0.25">
      <c r="A311" s="15" t="s">
        <v>1171</v>
      </c>
      <c r="B311" s="17" t="s">
        <v>2199</v>
      </c>
      <c r="C311" s="6" t="s">
        <v>374</v>
      </c>
      <c r="D311" s="6" t="s">
        <v>374</v>
      </c>
      <c r="E311" s="7" t="s">
        <v>1172</v>
      </c>
      <c r="F311" s="20">
        <v>46174</v>
      </c>
      <c r="G311" s="17">
        <v>4</v>
      </c>
      <c r="H311" t="s">
        <v>780</v>
      </c>
      <c r="I311" s="32">
        <v>50000</v>
      </c>
      <c r="J311" s="19" t="s">
        <v>1152</v>
      </c>
      <c r="K311" s="6" t="s">
        <v>1153</v>
      </c>
      <c r="L311" s="3" t="s">
        <v>2222</v>
      </c>
      <c r="M311" s="3" t="s">
        <v>2234</v>
      </c>
      <c r="N311" s="3" t="s">
        <v>2260</v>
      </c>
    </row>
    <row r="312" spans="1:14" x14ac:dyDescent="0.25">
      <c r="A312" s="14" t="s">
        <v>1171</v>
      </c>
      <c r="B312" s="16" t="s">
        <v>2199</v>
      </c>
      <c r="C312" s="19" t="s">
        <v>374</v>
      </c>
      <c r="D312" s="19" t="s">
        <v>374</v>
      </c>
      <c r="E312" s="10" t="s">
        <v>1172</v>
      </c>
      <c r="F312" s="20">
        <v>46174</v>
      </c>
      <c r="G312" s="16">
        <v>4</v>
      </c>
      <c r="H312" s="11" t="s">
        <v>1175</v>
      </c>
      <c r="I312" s="31">
        <v>580665</v>
      </c>
      <c r="J312" s="19" t="s">
        <v>1152</v>
      </c>
      <c r="K312" s="19" t="s">
        <v>1153</v>
      </c>
      <c r="L312" s="3" t="s">
        <v>2222</v>
      </c>
      <c r="M312" s="3" t="s">
        <v>2234</v>
      </c>
      <c r="N312" s="3" t="s">
        <v>2260</v>
      </c>
    </row>
    <row r="313" spans="1:14" x14ac:dyDescent="0.25">
      <c r="A313" s="15" t="s">
        <v>1171</v>
      </c>
      <c r="B313" s="17" t="s">
        <v>2199</v>
      </c>
      <c r="C313" s="6" t="s">
        <v>374</v>
      </c>
      <c r="D313" s="6" t="s">
        <v>374</v>
      </c>
      <c r="E313" s="7" t="s">
        <v>1172</v>
      </c>
      <c r="F313" s="20">
        <v>46174</v>
      </c>
      <c r="G313" s="17">
        <v>4</v>
      </c>
      <c r="H313" t="s">
        <v>1174</v>
      </c>
      <c r="I313" s="32">
        <v>994896</v>
      </c>
      <c r="J313" s="19" t="s">
        <v>1152</v>
      </c>
      <c r="K313" s="6" t="s">
        <v>1153</v>
      </c>
      <c r="L313" s="3" t="s">
        <v>2222</v>
      </c>
      <c r="M313" s="3" t="s">
        <v>2234</v>
      </c>
      <c r="N313" s="3" t="s">
        <v>2260</v>
      </c>
    </row>
    <row r="314" spans="1:14" x14ac:dyDescent="0.25">
      <c r="A314" s="14" t="s">
        <v>1171</v>
      </c>
      <c r="B314" s="16" t="s">
        <v>2199</v>
      </c>
      <c r="C314" s="19" t="s">
        <v>374</v>
      </c>
      <c r="D314" s="19" t="s">
        <v>374</v>
      </c>
      <c r="E314" s="10" t="s">
        <v>1172</v>
      </c>
      <c r="F314" s="20">
        <v>46174</v>
      </c>
      <c r="G314" s="16">
        <v>4</v>
      </c>
      <c r="H314" s="11" t="s">
        <v>874</v>
      </c>
      <c r="I314" s="31">
        <v>1350000</v>
      </c>
      <c r="J314" s="19" t="s">
        <v>1152</v>
      </c>
      <c r="K314" s="19" t="s">
        <v>1153</v>
      </c>
      <c r="L314" s="3" t="s">
        <v>2222</v>
      </c>
      <c r="M314" s="3" t="s">
        <v>2234</v>
      </c>
      <c r="N314" s="3" t="s">
        <v>2260</v>
      </c>
    </row>
    <row r="315" spans="1:14" x14ac:dyDescent="0.25">
      <c r="A315" s="15" t="s">
        <v>2047</v>
      </c>
      <c r="B315" s="17" t="s">
        <v>2199</v>
      </c>
      <c r="C315" s="6" t="s">
        <v>28</v>
      </c>
      <c r="D315" s="6" t="s">
        <v>28</v>
      </c>
      <c r="E315" s="7" t="s">
        <v>2048</v>
      </c>
      <c r="F315" s="20">
        <v>46143</v>
      </c>
      <c r="G315" s="17">
        <v>3</v>
      </c>
      <c r="H315" t="s">
        <v>2054</v>
      </c>
      <c r="I315" s="32">
        <v>684735</v>
      </c>
      <c r="J315" s="19" t="s">
        <v>2051</v>
      </c>
      <c r="K315" s="6" t="s">
        <v>2052</v>
      </c>
      <c r="L315" s="3" t="s">
        <v>2222</v>
      </c>
      <c r="M315" s="3" t="s">
        <v>2234</v>
      </c>
      <c r="N315" s="3" t="s">
        <v>2260</v>
      </c>
    </row>
    <row r="316" spans="1:14" x14ac:dyDescent="0.25">
      <c r="A316" s="14" t="s">
        <v>2047</v>
      </c>
      <c r="B316" s="16" t="s">
        <v>2199</v>
      </c>
      <c r="C316" s="19" t="s">
        <v>28</v>
      </c>
      <c r="D316" s="19" t="s">
        <v>28</v>
      </c>
      <c r="E316" s="10" t="s">
        <v>2048</v>
      </c>
      <c r="F316" s="20">
        <v>46143</v>
      </c>
      <c r="G316" s="16">
        <v>3</v>
      </c>
      <c r="H316" s="11" t="s">
        <v>2055</v>
      </c>
      <c r="I316" s="31">
        <v>204100</v>
      </c>
      <c r="J316" s="19" t="s">
        <v>2051</v>
      </c>
      <c r="K316" s="19" t="s">
        <v>2052</v>
      </c>
      <c r="L316" s="3" t="s">
        <v>2222</v>
      </c>
      <c r="M316" s="3" t="s">
        <v>2234</v>
      </c>
      <c r="N316" s="3" t="s">
        <v>2260</v>
      </c>
    </row>
    <row r="317" spans="1:14" x14ac:dyDescent="0.25">
      <c r="A317" s="15" t="s">
        <v>2047</v>
      </c>
      <c r="B317" s="17" t="s">
        <v>2199</v>
      </c>
      <c r="C317" s="6" t="s">
        <v>28</v>
      </c>
      <c r="D317" s="6" t="s">
        <v>28</v>
      </c>
      <c r="E317" s="7" t="s">
        <v>2048</v>
      </c>
      <c r="F317" s="20">
        <v>46143</v>
      </c>
      <c r="G317" s="17">
        <v>3</v>
      </c>
      <c r="H317" t="s">
        <v>1936</v>
      </c>
      <c r="I317" s="32">
        <v>360000</v>
      </c>
      <c r="J317" s="19" t="s">
        <v>2051</v>
      </c>
      <c r="K317" s="6" t="s">
        <v>2052</v>
      </c>
      <c r="L317" s="3" t="s">
        <v>2222</v>
      </c>
      <c r="M317" s="3" t="s">
        <v>2234</v>
      </c>
      <c r="N317" s="3" t="s">
        <v>2260</v>
      </c>
    </row>
    <row r="318" spans="1:14" x14ac:dyDescent="0.25">
      <c r="A318" s="14" t="s">
        <v>1176</v>
      </c>
      <c r="B318" s="16" t="s">
        <v>2199</v>
      </c>
      <c r="C318" s="19" t="s">
        <v>28</v>
      </c>
      <c r="D318" s="19" t="s">
        <v>28</v>
      </c>
      <c r="E318" s="10" t="s">
        <v>1177</v>
      </c>
      <c r="F318" s="20">
        <v>46082</v>
      </c>
      <c r="G318" s="16">
        <v>1</v>
      </c>
      <c r="H318" s="11" t="s">
        <v>1179</v>
      </c>
      <c r="I318" s="31">
        <v>696000</v>
      </c>
      <c r="J318" s="19" t="s">
        <v>1180</v>
      </c>
      <c r="K318" s="19" t="s">
        <v>1181</v>
      </c>
      <c r="L318" s="3" t="s">
        <v>2230</v>
      </c>
      <c r="M318" s="3" t="s">
        <v>2227</v>
      </c>
      <c r="N318" s="3" t="s">
        <v>2261</v>
      </c>
    </row>
    <row r="319" spans="1:14" x14ac:dyDescent="0.25">
      <c r="A319" s="15" t="s">
        <v>1637</v>
      </c>
      <c r="B319" s="17" t="s">
        <v>2199</v>
      </c>
      <c r="C319" s="6" t="s">
        <v>28</v>
      </c>
      <c r="D319" s="6" t="s">
        <v>28</v>
      </c>
      <c r="E319" s="7" t="s">
        <v>1177</v>
      </c>
      <c r="F319" s="20">
        <v>46082</v>
      </c>
      <c r="G319" s="17">
        <v>1</v>
      </c>
      <c r="H319" t="s">
        <v>1179</v>
      </c>
      <c r="I319" s="32">
        <v>115003</v>
      </c>
      <c r="J319" s="19" t="s">
        <v>1180</v>
      </c>
      <c r="K319" s="6" t="s">
        <v>1181</v>
      </c>
      <c r="L319" s="3" t="s">
        <v>2230</v>
      </c>
      <c r="M319" s="3" t="s">
        <v>2227</v>
      </c>
      <c r="N319" s="3" t="s">
        <v>2261</v>
      </c>
    </row>
    <row r="320" spans="1:14" x14ac:dyDescent="0.25">
      <c r="A320" s="14" t="s">
        <v>1245</v>
      </c>
      <c r="B320" s="16" t="s">
        <v>2199</v>
      </c>
      <c r="C320" s="19" t="s">
        <v>28</v>
      </c>
      <c r="D320" s="19" t="s">
        <v>28</v>
      </c>
      <c r="E320" s="10" t="s">
        <v>1247</v>
      </c>
      <c r="F320" s="20">
        <v>46054</v>
      </c>
      <c r="G320" s="16">
        <v>3</v>
      </c>
      <c r="H320" s="11" t="s">
        <v>1251</v>
      </c>
      <c r="I320" s="31">
        <v>60000</v>
      </c>
      <c r="J320" s="19" t="s">
        <v>122</v>
      </c>
      <c r="K320" s="19" t="s">
        <v>544</v>
      </c>
      <c r="L320" s="3" t="s">
        <v>2235</v>
      </c>
      <c r="M320" s="3" t="s">
        <v>2256</v>
      </c>
      <c r="N320" s="3" t="s">
        <v>2268</v>
      </c>
    </row>
    <row r="321" spans="1:14" x14ac:dyDescent="0.25">
      <c r="A321" s="15" t="s">
        <v>1245</v>
      </c>
      <c r="B321" s="17" t="s">
        <v>2199</v>
      </c>
      <c r="C321" s="6" t="s">
        <v>28</v>
      </c>
      <c r="D321" s="6" t="s">
        <v>28</v>
      </c>
      <c r="E321" s="7" t="s">
        <v>1247</v>
      </c>
      <c r="F321" s="20">
        <v>46054</v>
      </c>
      <c r="G321" s="17">
        <v>3</v>
      </c>
      <c r="H321" t="s">
        <v>1249</v>
      </c>
      <c r="I321" s="32">
        <v>160000</v>
      </c>
      <c r="J321" s="19" t="s">
        <v>122</v>
      </c>
      <c r="K321" s="6" t="s">
        <v>544</v>
      </c>
      <c r="L321" s="3" t="s">
        <v>2235</v>
      </c>
      <c r="M321" s="3" t="s">
        <v>2256</v>
      </c>
      <c r="N321" s="3" t="s">
        <v>2268</v>
      </c>
    </row>
    <row r="322" spans="1:14" x14ac:dyDescent="0.25">
      <c r="A322" s="14" t="s">
        <v>1245</v>
      </c>
      <c r="B322" s="16" t="s">
        <v>2199</v>
      </c>
      <c r="C322" s="19" t="s">
        <v>28</v>
      </c>
      <c r="D322" s="19" t="s">
        <v>28</v>
      </c>
      <c r="E322" s="10" t="s">
        <v>1247</v>
      </c>
      <c r="F322" s="20">
        <v>46054</v>
      </c>
      <c r="G322" s="16">
        <v>3</v>
      </c>
      <c r="H322" s="11" t="s">
        <v>1250</v>
      </c>
      <c r="I322" s="31">
        <v>390000</v>
      </c>
      <c r="J322" s="19" t="s">
        <v>122</v>
      </c>
      <c r="K322" s="19" t="s">
        <v>544</v>
      </c>
      <c r="L322" s="3" t="s">
        <v>2235</v>
      </c>
      <c r="M322" s="3" t="s">
        <v>2256</v>
      </c>
      <c r="N322" s="3" t="s">
        <v>2268</v>
      </c>
    </row>
    <row r="323" spans="1:14" x14ac:dyDescent="0.25">
      <c r="A323" s="15" t="s">
        <v>1842</v>
      </c>
      <c r="B323" s="17" t="s">
        <v>2199</v>
      </c>
      <c r="C323" s="6" t="s">
        <v>28</v>
      </c>
      <c r="D323" s="6" t="s">
        <v>28</v>
      </c>
      <c r="E323" s="7" t="s">
        <v>1843</v>
      </c>
      <c r="F323" s="20">
        <v>46143</v>
      </c>
      <c r="G323" s="17">
        <v>1</v>
      </c>
      <c r="H323" t="s">
        <v>1844</v>
      </c>
      <c r="I323" s="32">
        <v>3000000</v>
      </c>
      <c r="J323" s="19" t="s">
        <v>122</v>
      </c>
      <c r="K323" s="6" t="s">
        <v>544</v>
      </c>
      <c r="L323" s="3" t="s">
        <v>2235</v>
      </c>
      <c r="M323" s="3" t="s">
        <v>2256</v>
      </c>
      <c r="N323" s="3" t="s">
        <v>2268</v>
      </c>
    </row>
    <row r="324" spans="1:14" x14ac:dyDescent="0.25">
      <c r="A324" s="14" t="s">
        <v>1239</v>
      </c>
      <c r="B324" s="16" t="s">
        <v>2199</v>
      </c>
      <c r="C324" s="19" t="s">
        <v>1238</v>
      </c>
      <c r="D324" s="19" t="s">
        <v>1238</v>
      </c>
      <c r="E324" s="10" t="s">
        <v>1241</v>
      </c>
      <c r="F324" s="20">
        <v>46113</v>
      </c>
      <c r="G324" s="16">
        <v>1</v>
      </c>
      <c r="H324" s="11" t="s">
        <v>1243</v>
      </c>
      <c r="I324" s="31">
        <v>108183000</v>
      </c>
      <c r="J324" s="19" t="s">
        <v>122</v>
      </c>
      <c r="K324" s="19" t="s">
        <v>544</v>
      </c>
      <c r="L324" s="3" t="s">
        <v>2235</v>
      </c>
      <c r="M324" s="3" t="s">
        <v>2256</v>
      </c>
      <c r="N324" s="3" t="s">
        <v>2268</v>
      </c>
    </row>
    <row r="325" spans="1:14" x14ac:dyDescent="0.25">
      <c r="A325" s="15" t="s">
        <v>117</v>
      </c>
      <c r="B325" s="17" t="s">
        <v>2196</v>
      </c>
      <c r="C325" s="17" t="s">
        <v>2196</v>
      </c>
      <c r="D325" s="6" t="s">
        <v>28</v>
      </c>
      <c r="E325" s="7" t="s">
        <v>119</v>
      </c>
      <c r="F325" s="20">
        <v>45474</v>
      </c>
      <c r="G325" s="17">
        <v>1</v>
      </c>
      <c r="H325" t="s">
        <v>121</v>
      </c>
      <c r="I325" s="32">
        <v>150000000</v>
      </c>
      <c r="J325" s="19" t="s">
        <v>122</v>
      </c>
      <c r="K325" s="6" t="s">
        <v>123</v>
      </c>
      <c r="L325" s="3" t="s">
        <v>2235</v>
      </c>
      <c r="M325" s="3" t="s">
        <v>2256</v>
      </c>
      <c r="N325" s="3" t="s">
        <v>2268</v>
      </c>
    </row>
    <row r="326" spans="1:14" x14ac:dyDescent="0.25">
      <c r="A326" s="14" t="s">
        <v>552</v>
      </c>
      <c r="B326" s="16" t="s">
        <v>2196</v>
      </c>
      <c r="C326" s="16" t="s">
        <v>2196</v>
      </c>
      <c r="D326" s="19" t="s">
        <v>28</v>
      </c>
      <c r="E326" s="10" t="s">
        <v>553</v>
      </c>
      <c r="F326" s="20">
        <v>45870</v>
      </c>
      <c r="G326" s="16">
        <v>1</v>
      </c>
      <c r="H326" s="11" t="s">
        <v>512</v>
      </c>
      <c r="I326" s="31">
        <v>100200000</v>
      </c>
      <c r="J326" s="19" t="s">
        <v>122</v>
      </c>
      <c r="K326" s="19" t="s">
        <v>555</v>
      </c>
      <c r="L326" s="3" t="s">
        <v>2235</v>
      </c>
      <c r="M326" s="3" t="s">
        <v>2256</v>
      </c>
      <c r="N326" s="3" t="s">
        <v>2268</v>
      </c>
    </row>
    <row r="327" spans="1:14" x14ac:dyDescent="0.25">
      <c r="A327" s="15" t="s">
        <v>557</v>
      </c>
      <c r="B327" s="17" t="s">
        <v>2196</v>
      </c>
      <c r="C327" s="17" t="s">
        <v>2196</v>
      </c>
      <c r="D327" s="6" t="s">
        <v>28</v>
      </c>
      <c r="E327" s="7" t="s">
        <v>558</v>
      </c>
      <c r="F327" s="20">
        <v>45870</v>
      </c>
      <c r="G327" s="17">
        <v>1</v>
      </c>
      <c r="H327" t="s">
        <v>496</v>
      </c>
      <c r="I327" s="32">
        <v>30000000</v>
      </c>
      <c r="J327" s="19" t="s">
        <v>122</v>
      </c>
      <c r="K327" s="6" t="s">
        <v>555</v>
      </c>
      <c r="L327" s="3" t="s">
        <v>2235</v>
      </c>
      <c r="M327" s="3" t="s">
        <v>2256</v>
      </c>
      <c r="N327" s="3" t="s">
        <v>2268</v>
      </c>
    </row>
    <row r="328" spans="1:14" x14ac:dyDescent="0.25">
      <c r="A328" s="14" t="s">
        <v>51</v>
      </c>
      <c r="B328" s="16" t="s">
        <v>2196</v>
      </c>
      <c r="C328" s="16" t="s">
        <v>2196</v>
      </c>
      <c r="D328" s="19" t="s">
        <v>28</v>
      </c>
      <c r="E328" s="10" t="s">
        <v>52</v>
      </c>
      <c r="F328" s="20">
        <v>45292</v>
      </c>
      <c r="G328" s="16">
        <v>1</v>
      </c>
      <c r="H328" s="11" t="s">
        <v>54</v>
      </c>
      <c r="I328" s="31">
        <v>6712008</v>
      </c>
      <c r="J328" s="19" t="s">
        <v>55</v>
      </c>
      <c r="K328" s="19" t="s">
        <v>56</v>
      </c>
      <c r="L328" s="3" t="s">
        <v>2235</v>
      </c>
      <c r="M328" s="3" t="s">
        <v>2256</v>
      </c>
      <c r="N328" s="3" t="s">
        <v>2268</v>
      </c>
    </row>
    <row r="329" spans="1:14" x14ac:dyDescent="0.25">
      <c r="A329" s="15" t="s">
        <v>539</v>
      </c>
      <c r="B329" s="17" t="s">
        <v>2196</v>
      </c>
      <c r="C329" s="17" t="s">
        <v>2196</v>
      </c>
      <c r="D329" s="6" t="s">
        <v>28</v>
      </c>
      <c r="E329" s="7" t="s">
        <v>541</v>
      </c>
      <c r="F329" s="20">
        <v>45870</v>
      </c>
      <c r="G329" s="17">
        <v>1</v>
      </c>
      <c r="H329" t="s">
        <v>543</v>
      </c>
      <c r="I329" s="32">
        <v>39999996</v>
      </c>
      <c r="J329" s="19" t="s">
        <v>55</v>
      </c>
      <c r="K329" s="6" t="s">
        <v>544</v>
      </c>
      <c r="L329" s="3" t="s">
        <v>2235</v>
      </c>
      <c r="M329" s="3" t="s">
        <v>2256</v>
      </c>
      <c r="N329" s="3" t="s">
        <v>2268</v>
      </c>
    </row>
    <row r="330" spans="1:14" x14ac:dyDescent="0.25">
      <c r="A330" s="14" t="s">
        <v>548</v>
      </c>
      <c r="B330" s="16" t="s">
        <v>2196</v>
      </c>
      <c r="C330" s="16" t="s">
        <v>2196</v>
      </c>
      <c r="D330" s="19" t="s">
        <v>28</v>
      </c>
      <c r="E330" s="10" t="s">
        <v>550</v>
      </c>
      <c r="F330" s="20">
        <v>45870</v>
      </c>
      <c r="G330" s="16">
        <v>1</v>
      </c>
      <c r="H330" s="11" t="s">
        <v>496</v>
      </c>
      <c r="I330" s="31">
        <v>96100000</v>
      </c>
      <c r="J330" s="19" t="s">
        <v>55</v>
      </c>
      <c r="K330" s="19" t="s">
        <v>544</v>
      </c>
      <c r="L330" s="3" t="s">
        <v>2235</v>
      </c>
      <c r="M330" s="3" t="s">
        <v>2256</v>
      </c>
      <c r="N330" s="3" t="s">
        <v>2268</v>
      </c>
    </row>
    <row r="331" spans="1:14" x14ac:dyDescent="0.25">
      <c r="A331" s="15" t="s">
        <v>947</v>
      </c>
      <c r="B331" s="17" t="s">
        <v>2199</v>
      </c>
      <c r="C331" s="6" t="s">
        <v>28</v>
      </c>
      <c r="D331" s="6" t="s">
        <v>28</v>
      </c>
      <c r="E331" s="7" t="s">
        <v>948</v>
      </c>
      <c r="F331" s="20">
        <v>46082</v>
      </c>
      <c r="G331" s="17">
        <v>2</v>
      </c>
      <c r="H331" t="s">
        <v>486</v>
      </c>
      <c r="I331" s="32">
        <v>509936</v>
      </c>
      <c r="J331" s="19" t="s">
        <v>950</v>
      </c>
      <c r="K331" s="6" t="s">
        <v>951</v>
      </c>
      <c r="L331" s="3" t="s">
        <v>2236</v>
      </c>
      <c r="M331" s="3" t="s">
        <v>2234</v>
      </c>
      <c r="N331" s="3" t="s">
        <v>2259</v>
      </c>
    </row>
    <row r="332" spans="1:14" x14ac:dyDescent="0.25">
      <c r="A332" s="14" t="s">
        <v>947</v>
      </c>
      <c r="B332" s="16" t="s">
        <v>2199</v>
      </c>
      <c r="C332" s="19" t="s">
        <v>28</v>
      </c>
      <c r="D332" s="19" t="s">
        <v>28</v>
      </c>
      <c r="E332" s="10" t="s">
        <v>948</v>
      </c>
      <c r="F332" s="20">
        <v>46082</v>
      </c>
      <c r="G332" s="16">
        <v>2</v>
      </c>
      <c r="H332" s="11" t="s">
        <v>953</v>
      </c>
      <c r="I332" s="31">
        <v>48000</v>
      </c>
      <c r="J332" s="19" t="s">
        <v>950</v>
      </c>
      <c r="K332" s="19" t="s">
        <v>951</v>
      </c>
      <c r="L332" s="3" t="s">
        <v>2236</v>
      </c>
      <c r="M332" s="3" t="s">
        <v>2234</v>
      </c>
      <c r="N332" s="3" t="s">
        <v>2259</v>
      </c>
    </row>
    <row r="333" spans="1:14" x14ac:dyDescent="0.25">
      <c r="A333" s="15" t="s">
        <v>2178</v>
      </c>
      <c r="B333" s="17" t="s">
        <v>2199</v>
      </c>
      <c r="C333" s="6" t="s">
        <v>28</v>
      </c>
      <c r="D333" s="6" t="s">
        <v>28</v>
      </c>
      <c r="E333" s="7" t="s">
        <v>2179</v>
      </c>
      <c r="F333" s="20">
        <v>46113</v>
      </c>
      <c r="G333" s="17">
        <v>1</v>
      </c>
      <c r="H333" t="s">
        <v>760</v>
      </c>
      <c r="I333" s="32">
        <v>57500000</v>
      </c>
      <c r="J333" s="19" t="s">
        <v>950</v>
      </c>
      <c r="K333" s="6" t="s">
        <v>951</v>
      </c>
      <c r="L333" s="3" t="s">
        <v>2236</v>
      </c>
      <c r="M333" s="3" t="s">
        <v>2234</v>
      </c>
      <c r="N333" s="3" t="s">
        <v>2259</v>
      </c>
    </row>
    <row r="334" spans="1:14" x14ac:dyDescent="0.25">
      <c r="A334" s="14" t="s">
        <v>1339</v>
      </c>
      <c r="B334" s="16" t="s">
        <v>2199</v>
      </c>
      <c r="C334" s="19" t="s">
        <v>1304</v>
      </c>
      <c r="D334" s="19" t="s">
        <v>1304</v>
      </c>
      <c r="E334" s="10" t="s">
        <v>1340</v>
      </c>
      <c r="F334" s="20">
        <v>46174</v>
      </c>
      <c r="G334" s="16">
        <v>1</v>
      </c>
      <c r="H334" s="11" t="s">
        <v>807</v>
      </c>
      <c r="I334" s="31">
        <v>525000</v>
      </c>
      <c r="J334" s="19" t="s">
        <v>1342</v>
      </c>
      <c r="K334" s="19" t="s">
        <v>1343</v>
      </c>
      <c r="L334" s="3" t="s">
        <v>2237</v>
      </c>
      <c r="M334" s="3" t="s">
        <v>2256</v>
      </c>
      <c r="N334" s="3" t="s">
        <v>2266</v>
      </c>
    </row>
    <row r="335" spans="1:14" x14ac:dyDescent="0.25">
      <c r="A335" s="15" t="s">
        <v>1389</v>
      </c>
      <c r="B335" s="17" t="s">
        <v>2199</v>
      </c>
      <c r="C335" s="6" t="s">
        <v>1304</v>
      </c>
      <c r="D335" s="6" t="s">
        <v>1304</v>
      </c>
      <c r="E335" s="7" t="s">
        <v>1390</v>
      </c>
      <c r="F335" s="20">
        <v>46174</v>
      </c>
      <c r="G335" s="17">
        <v>1</v>
      </c>
      <c r="H335" t="s">
        <v>807</v>
      </c>
      <c r="I335" s="32">
        <v>630000</v>
      </c>
      <c r="J335" s="19" t="s">
        <v>1342</v>
      </c>
      <c r="K335" s="6" t="s">
        <v>1392</v>
      </c>
      <c r="L335" s="3" t="s">
        <v>2237</v>
      </c>
      <c r="M335" s="3" t="s">
        <v>2256</v>
      </c>
      <c r="N335" s="3" t="s">
        <v>2266</v>
      </c>
    </row>
    <row r="336" spans="1:14" x14ac:dyDescent="0.25">
      <c r="A336" s="14" t="s">
        <v>1442</v>
      </c>
      <c r="B336" s="16" t="s">
        <v>2199</v>
      </c>
      <c r="C336" s="19" t="s">
        <v>28</v>
      </c>
      <c r="D336" s="19" t="s">
        <v>28</v>
      </c>
      <c r="E336" s="10" t="s">
        <v>1443</v>
      </c>
      <c r="F336" s="20">
        <v>46054</v>
      </c>
      <c r="G336" s="16">
        <v>1</v>
      </c>
      <c r="H336" s="11" t="s">
        <v>786</v>
      </c>
      <c r="I336" s="31">
        <v>299940</v>
      </c>
      <c r="J336" s="19" t="s">
        <v>1445</v>
      </c>
      <c r="K336" s="19" t="s">
        <v>1446</v>
      </c>
      <c r="L336" s="3" t="s">
        <v>2222</v>
      </c>
      <c r="M336" s="3" t="s">
        <v>2234</v>
      </c>
      <c r="N336" s="3" t="s">
        <v>2260</v>
      </c>
    </row>
    <row r="337" spans="1:14" x14ac:dyDescent="0.25">
      <c r="A337" s="15" t="s">
        <v>1453</v>
      </c>
      <c r="B337" s="17" t="s">
        <v>2199</v>
      </c>
      <c r="C337" s="6" t="s">
        <v>28</v>
      </c>
      <c r="D337" s="6" t="s">
        <v>28</v>
      </c>
      <c r="E337" s="7" t="s">
        <v>1454</v>
      </c>
      <c r="F337" s="20">
        <v>46113</v>
      </c>
      <c r="G337" s="17">
        <v>1</v>
      </c>
      <c r="H337" t="s">
        <v>602</v>
      </c>
      <c r="I337" s="32">
        <v>720000</v>
      </c>
      <c r="J337" s="19" t="s">
        <v>1445</v>
      </c>
      <c r="K337" s="6" t="s">
        <v>1446</v>
      </c>
      <c r="L337" s="3" t="s">
        <v>2222</v>
      </c>
      <c r="M337" s="3" t="s">
        <v>2234</v>
      </c>
      <c r="N337" s="3" t="s">
        <v>2260</v>
      </c>
    </row>
    <row r="338" spans="1:14" x14ac:dyDescent="0.25">
      <c r="A338" s="14" t="s">
        <v>1479</v>
      </c>
      <c r="B338" s="16" t="s">
        <v>2199</v>
      </c>
      <c r="C338" s="19" t="s">
        <v>28</v>
      </c>
      <c r="D338" s="19" t="s">
        <v>28</v>
      </c>
      <c r="E338" s="10" t="s">
        <v>1480</v>
      </c>
      <c r="F338" s="20">
        <v>46113</v>
      </c>
      <c r="G338" s="16">
        <v>1</v>
      </c>
      <c r="H338" s="11" t="s">
        <v>602</v>
      </c>
      <c r="I338" s="31">
        <v>220000</v>
      </c>
      <c r="J338" s="19" t="s">
        <v>1445</v>
      </c>
      <c r="K338" s="19" t="s">
        <v>1446</v>
      </c>
      <c r="L338" s="3" t="s">
        <v>2222</v>
      </c>
      <c r="M338" s="3" t="s">
        <v>2234</v>
      </c>
      <c r="N338" s="3" t="s">
        <v>2260</v>
      </c>
    </row>
    <row r="339" spans="1:14" x14ac:dyDescent="0.25">
      <c r="A339" s="15" t="s">
        <v>1853</v>
      </c>
      <c r="B339" s="17" t="s">
        <v>2199</v>
      </c>
      <c r="C339" s="6" t="s">
        <v>28</v>
      </c>
      <c r="D339" s="6" t="s">
        <v>28</v>
      </c>
      <c r="E339" s="7" t="s">
        <v>1854</v>
      </c>
      <c r="F339" s="20">
        <v>46054</v>
      </c>
      <c r="G339" s="17">
        <v>1</v>
      </c>
      <c r="H339" t="s">
        <v>1175</v>
      </c>
      <c r="I339" s="32">
        <v>3000000</v>
      </c>
      <c r="J339" s="19" t="s">
        <v>1445</v>
      </c>
      <c r="K339" s="6" t="s">
        <v>1446</v>
      </c>
      <c r="L339" s="3" t="s">
        <v>2222</v>
      </c>
      <c r="M339" s="3" t="s">
        <v>2234</v>
      </c>
      <c r="N339" s="3" t="s">
        <v>2260</v>
      </c>
    </row>
    <row r="340" spans="1:14" x14ac:dyDescent="0.25">
      <c r="A340" s="14" t="s">
        <v>1914</v>
      </c>
      <c r="B340" s="16" t="s">
        <v>2199</v>
      </c>
      <c r="C340" s="19" t="s">
        <v>28</v>
      </c>
      <c r="D340" s="19" t="s">
        <v>28</v>
      </c>
      <c r="E340" s="10" t="s">
        <v>1916</v>
      </c>
      <c r="F340" s="20">
        <v>46054</v>
      </c>
      <c r="G340" s="16">
        <v>2</v>
      </c>
      <c r="H340" s="11" t="s">
        <v>1920</v>
      </c>
      <c r="I340" s="31">
        <v>150000</v>
      </c>
      <c r="J340" s="19" t="s">
        <v>1445</v>
      </c>
      <c r="K340" s="19" t="s">
        <v>1446</v>
      </c>
      <c r="L340" s="3" t="s">
        <v>2222</v>
      </c>
      <c r="M340" s="3" t="s">
        <v>2234</v>
      </c>
      <c r="N340" s="3" t="s">
        <v>2260</v>
      </c>
    </row>
    <row r="341" spans="1:14" x14ac:dyDescent="0.25">
      <c r="A341" s="15" t="s">
        <v>1914</v>
      </c>
      <c r="B341" s="17" t="s">
        <v>2199</v>
      </c>
      <c r="C341" s="6" t="s">
        <v>28</v>
      </c>
      <c r="D341" s="6" t="s">
        <v>28</v>
      </c>
      <c r="E341" s="7" t="s">
        <v>1916</v>
      </c>
      <c r="F341" s="20">
        <v>46054</v>
      </c>
      <c r="G341" s="17">
        <v>2</v>
      </c>
      <c r="H341" t="s">
        <v>1918</v>
      </c>
      <c r="I341" s="32">
        <v>70000</v>
      </c>
      <c r="J341" s="19" t="s">
        <v>1445</v>
      </c>
      <c r="K341" s="6" t="s">
        <v>1446</v>
      </c>
      <c r="L341" s="3" t="s">
        <v>2222</v>
      </c>
      <c r="M341" s="3" t="s">
        <v>2234</v>
      </c>
      <c r="N341" s="3" t="s">
        <v>2260</v>
      </c>
    </row>
    <row r="342" spans="1:14" x14ac:dyDescent="0.25">
      <c r="A342" s="14" t="s">
        <v>2083</v>
      </c>
      <c r="B342" s="16" t="s">
        <v>2199</v>
      </c>
      <c r="C342" s="19" t="s">
        <v>28</v>
      </c>
      <c r="D342" s="19" t="s">
        <v>28</v>
      </c>
      <c r="E342" s="10" t="s">
        <v>1916</v>
      </c>
      <c r="F342" s="20">
        <v>46054</v>
      </c>
      <c r="G342" s="16">
        <v>1</v>
      </c>
      <c r="H342" s="11" t="s">
        <v>2085</v>
      </c>
      <c r="I342" s="31">
        <v>200000</v>
      </c>
      <c r="J342" s="19" t="s">
        <v>1445</v>
      </c>
      <c r="K342" s="19" t="s">
        <v>1446</v>
      </c>
      <c r="L342" s="3" t="s">
        <v>2222</v>
      </c>
      <c r="M342" s="3" t="s">
        <v>2234</v>
      </c>
      <c r="N342" s="3" t="s">
        <v>2260</v>
      </c>
    </row>
    <row r="343" spans="1:14" x14ac:dyDescent="0.25">
      <c r="A343" s="15" t="s">
        <v>1610</v>
      </c>
      <c r="B343" s="17" t="s">
        <v>2199</v>
      </c>
      <c r="C343" s="6" t="s">
        <v>28</v>
      </c>
      <c r="D343" s="6" t="s">
        <v>28</v>
      </c>
      <c r="E343" s="7" t="s">
        <v>1611</v>
      </c>
      <c r="F343" s="20">
        <v>46054</v>
      </c>
      <c r="G343" s="17">
        <v>4</v>
      </c>
      <c r="H343" t="s">
        <v>1618</v>
      </c>
      <c r="I343" s="32">
        <v>5000001</v>
      </c>
      <c r="J343" s="19" t="s">
        <v>1613</v>
      </c>
      <c r="K343" s="6" t="s">
        <v>1614</v>
      </c>
      <c r="L343" s="3" t="s">
        <v>2221</v>
      </c>
      <c r="M343" s="3" t="s">
        <v>2234</v>
      </c>
      <c r="N343" s="3" t="s">
        <v>2259</v>
      </c>
    </row>
    <row r="344" spans="1:14" x14ac:dyDescent="0.25">
      <c r="A344" s="14" t="s">
        <v>1610</v>
      </c>
      <c r="B344" s="16" t="s">
        <v>2199</v>
      </c>
      <c r="C344" s="19" t="s">
        <v>28</v>
      </c>
      <c r="D344" s="19" t="s">
        <v>28</v>
      </c>
      <c r="E344" s="10" t="s">
        <v>1611</v>
      </c>
      <c r="F344" s="20">
        <v>46082</v>
      </c>
      <c r="G344" s="16">
        <v>4</v>
      </c>
      <c r="H344" s="11" t="s">
        <v>1617</v>
      </c>
      <c r="I344" s="31">
        <v>5000001</v>
      </c>
      <c r="J344" s="19" t="s">
        <v>1613</v>
      </c>
      <c r="K344" s="19" t="s">
        <v>1614</v>
      </c>
      <c r="L344" s="3" t="s">
        <v>2221</v>
      </c>
      <c r="M344" s="3" t="s">
        <v>2234</v>
      </c>
      <c r="N344" s="3" t="s">
        <v>2259</v>
      </c>
    </row>
    <row r="345" spans="1:14" x14ac:dyDescent="0.25">
      <c r="A345" s="15" t="s">
        <v>1610</v>
      </c>
      <c r="B345" s="17" t="s">
        <v>2199</v>
      </c>
      <c r="C345" s="6" t="s">
        <v>28</v>
      </c>
      <c r="D345" s="6" t="s">
        <v>28</v>
      </c>
      <c r="E345" s="7" t="s">
        <v>1611</v>
      </c>
      <c r="F345" s="20">
        <v>46054</v>
      </c>
      <c r="G345" s="17">
        <v>4</v>
      </c>
      <c r="H345" t="s">
        <v>602</v>
      </c>
      <c r="I345" s="32">
        <v>1500000</v>
      </c>
      <c r="J345" s="19" t="s">
        <v>1613</v>
      </c>
      <c r="K345" s="6" t="s">
        <v>1614</v>
      </c>
      <c r="L345" s="3" t="s">
        <v>2221</v>
      </c>
      <c r="M345" s="3" t="s">
        <v>2234</v>
      </c>
      <c r="N345" s="3" t="s">
        <v>2259</v>
      </c>
    </row>
    <row r="346" spans="1:14" x14ac:dyDescent="0.25">
      <c r="A346" s="14" t="s">
        <v>1610</v>
      </c>
      <c r="B346" s="16" t="s">
        <v>2199</v>
      </c>
      <c r="C346" s="19" t="s">
        <v>28</v>
      </c>
      <c r="D346" s="19" t="s">
        <v>28</v>
      </c>
      <c r="E346" s="10" t="s">
        <v>1611</v>
      </c>
      <c r="F346" s="20">
        <v>46023</v>
      </c>
      <c r="G346" s="16">
        <v>4</v>
      </c>
      <c r="H346" s="11" t="s">
        <v>1619</v>
      </c>
      <c r="I346" s="31">
        <v>50932000</v>
      </c>
      <c r="J346" s="19" t="s">
        <v>1613</v>
      </c>
      <c r="K346" s="19" t="s">
        <v>1614</v>
      </c>
      <c r="L346" s="3" t="s">
        <v>2221</v>
      </c>
      <c r="M346" s="3" t="s">
        <v>2234</v>
      </c>
      <c r="N346" s="3" t="s">
        <v>2259</v>
      </c>
    </row>
    <row r="347" spans="1:14" x14ac:dyDescent="0.25">
      <c r="A347" s="15" t="s">
        <v>1411</v>
      </c>
      <c r="B347" s="17" t="s">
        <v>2199</v>
      </c>
      <c r="C347" s="6" t="s">
        <v>28</v>
      </c>
      <c r="D347" s="6" t="s">
        <v>28</v>
      </c>
      <c r="E347" s="7" t="s">
        <v>1413</v>
      </c>
      <c r="F347" s="20">
        <v>46174</v>
      </c>
      <c r="G347" s="17">
        <v>1</v>
      </c>
      <c r="H347" t="s">
        <v>882</v>
      </c>
      <c r="I347" s="32">
        <v>2000000</v>
      </c>
      <c r="J347" s="19" t="s">
        <v>1415</v>
      </c>
      <c r="K347" s="6" t="s">
        <v>514</v>
      </c>
      <c r="L347" s="3" t="s">
        <v>2233</v>
      </c>
      <c r="M347" s="3" t="s">
        <v>2256</v>
      </c>
      <c r="N347" s="3" t="s">
        <v>2266</v>
      </c>
    </row>
    <row r="348" spans="1:14" x14ac:dyDescent="0.25">
      <c r="A348" s="14" t="s">
        <v>1416</v>
      </c>
      <c r="B348" s="16" t="s">
        <v>2199</v>
      </c>
      <c r="C348" s="19" t="s">
        <v>28</v>
      </c>
      <c r="D348" s="19" t="s">
        <v>28</v>
      </c>
      <c r="E348" s="10" t="s">
        <v>1417</v>
      </c>
      <c r="F348" s="20">
        <v>46357</v>
      </c>
      <c r="G348" s="16">
        <v>1</v>
      </c>
      <c r="H348" s="11" t="s">
        <v>623</v>
      </c>
      <c r="I348" s="31">
        <v>6000000</v>
      </c>
      <c r="J348" s="19" t="s">
        <v>1415</v>
      </c>
      <c r="K348" s="19" t="s">
        <v>514</v>
      </c>
      <c r="L348" s="3" t="s">
        <v>2233</v>
      </c>
      <c r="M348" s="3" t="s">
        <v>2256</v>
      </c>
      <c r="N348" s="3" t="s">
        <v>2266</v>
      </c>
    </row>
    <row r="349" spans="1:14" x14ac:dyDescent="0.25">
      <c r="A349" s="15" t="s">
        <v>1419</v>
      </c>
      <c r="B349" s="17" t="s">
        <v>2199</v>
      </c>
      <c r="C349" s="6" t="s">
        <v>28</v>
      </c>
      <c r="D349" s="6" t="s">
        <v>28</v>
      </c>
      <c r="E349" s="7" t="s">
        <v>1420</v>
      </c>
      <c r="F349" s="20">
        <v>46357</v>
      </c>
      <c r="G349" s="17">
        <v>1</v>
      </c>
      <c r="H349" t="s">
        <v>882</v>
      </c>
      <c r="I349" s="32">
        <v>0</v>
      </c>
      <c r="J349" s="19" t="s">
        <v>1415</v>
      </c>
      <c r="K349" s="6" t="s">
        <v>514</v>
      </c>
      <c r="L349" s="3" t="s">
        <v>2233</v>
      </c>
      <c r="M349" s="3" t="s">
        <v>2256</v>
      </c>
      <c r="N349" s="3" t="s">
        <v>2266</v>
      </c>
    </row>
    <row r="350" spans="1:14" x14ac:dyDescent="0.25">
      <c r="A350" s="14" t="s">
        <v>1422</v>
      </c>
      <c r="B350" s="16" t="s">
        <v>2199</v>
      </c>
      <c r="C350" s="19" t="s">
        <v>28</v>
      </c>
      <c r="D350" s="19" t="s">
        <v>28</v>
      </c>
      <c r="E350" s="10" t="s">
        <v>1423</v>
      </c>
      <c r="F350" s="20">
        <v>46327</v>
      </c>
      <c r="G350" s="16">
        <v>1</v>
      </c>
      <c r="H350" s="11" t="s">
        <v>1425</v>
      </c>
      <c r="I350" s="31">
        <v>25000000</v>
      </c>
      <c r="J350" s="19" t="s">
        <v>1415</v>
      </c>
      <c r="K350" s="19" t="s">
        <v>514</v>
      </c>
      <c r="L350" s="3" t="s">
        <v>2233</v>
      </c>
      <c r="M350" s="3" t="s">
        <v>2256</v>
      </c>
      <c r="N350" s="3" t="s">
        <v>2266</v>
      </c>
    </row>
    <row r="351" spans="1:14" x14ac:dyDescent="0.25">
      <c r="A351" s="15" t="s">
        <v>1426</v>
      </c>
      <c r="B351" s="17" t="s">
        <v>2199</v>
      </c>
      <c r="C351" s="6" t="s">
        <v>28</v>
      </c>
      <c r="D351" s="6" t="s">
        <v>28</v>
      </c>
      <c r="E351" s="7" t="s">
        <v>1427</v>
      </c>
      <c r="F351" s="20">
        <v>46327</v>
      </c>
      <c r="G351" s="17">
        <v>1</v>
      </c>
      <c r="H351" t="s">
        <v>623</v>
      </c>
      <c r="I351" s="32">
        <v>10000000</v>
      </c>
      <c r="J351" s="19" t="s">
        <v>1415</v>
      </c>
      <c r="K351" s="6" t="s">
        <v>514</v>
      </c>
      <c r="L351" s="3" t="s">
        <v>2233</v>
      </c>
      <c r="M351" s="3" t="s">
        <v>2256</v>
      </c>
      <c r="N351" s="3" t="s">
        <v>2266</v>
      </c>
    </row>
    <row r="352" spans="1:14" x14ac:dyDescent="0.25">
      <c r="A352" s="14" t="s">
        <v>509</v>
      </c>
      <c r="B352" s="16" t="s">
        <v>2196</v>
      </c>
      <c r="C352" s="16" t="s">
        <v>2196</v>
      </c>
      <c r="D352" s="19" t="s">
        <v>28</v>
      </c>
      <c r="E352" s="10" t="s">
        <v>510</v>
      </c>
      <c r="F352" s="20">
        <v>45870</v>
      </c>
      <c r="G352" s="16">
        <v>1</v>
      </c>
      <c r="H352" s="11" t="s">
        <v>512</v>
      </c>
      <c r="I352" s="31">
        <v>83594337</v>
      </c>
      <c r="J352" s="19" t="s">
        <v>513</v>
      </c>
      <c r="K352" s="19" t="s">
        <v>514</v>
      </c>
      <c r="L352" s="3" t="s">
        <v>2233</v>
      </c>
      <c r="M352" s="3" t="s">
        <v>2256</v>
      </c>
      <c r="N352" s="3" t="s">
        <v>2266</v>
      </c>
    </row>
    <row r="353" spans="1:14" x14ac:dyDescent="0.25">
      <c r="A353" s="15" t="s">
        <v>1700</v>
      </c>
      <c r="B353" s="17" t="s">
        <v>2199</v>
      </c>
      <c r="C353" s="6" t="s">
        <v>28</v>
      </c>
      <c r="D353" s="6" t="s">
        <v>28</v>
      </c>
      <c r="E353" s="7" t="s">
        <v>1701</v>
      </c>
      <c r="F353" s="20">
        <v>46143</v>
      </c>
      <c r="G353" s="17">
        <v>1</v>
      </c>
      <c r="H353" t="s">
        <v>1703</v>
      </c>
      <c r="I353" s="32">
        <v>4059825</v>
      </c>
      <c r="J353" s="19" t="s">
        <v>1704</v>
      </c>
      <c r="K353" s="6" t="s">
        <v>1705</v>
      </c>
      <c r="L353" s="3" t="s">
        <v>2222</v>
      </c>
      <c r="M353" s="3" t="s">
        <v>2234</v>
      </c>
      <c r="N353" s="3" t="s">
        <v>2260</v>
      </c>
    </row>
    <row r="354" spans="1:14" x14ac:dyDescent="0.25">
      <c r="A354" s="14" t="s">
        <v>1466</v>
      </c>
      <c r="B354" s="16" t="s">
        <v>2199</v>
      </c>
      <c r="C354" s="19" t="s">
        <v>28</v>
      </c>
      <c r="D354" s="19" t="s">
        <v>28</v>
      </c>
      <c r="E354" s="10" t="s">
        <v>1467</v>
      </c>
      <c r="F354" s="20">
        <v>46054</v>
      </c>
      <c r="G354" s="16">
        <v>1</v>
      </c>
      <c r="H354" s="11" t="s">
        <v>760</v>
      </c>
      <c r="I354" s="31">
        <v>5000001</v>
      </c>
      <c r="J354" s="19" t="s">
        <v>1469</v>
      </c>
      <c r="K354" s="19" t="s">
        <v>1470</v>
      </c>
      <c r="L354" s="3" t="s">
        <v>2238</v>
      </c>
      <c r="M354" s="3" t="s">
        <v>2227</v>
      </c>
      <c r="N354" s="3" t="s">
        <v>2269</v>
      </c>
    </row>
    <row r="355" spans="1:14" x14ac:dyDescent="0.25">
      <c r="A355" s="15" t="s">
        <v>2005</v>
      </c>
      <c r="B355" s="17" t="s">
        <v>2199</v>
      </c>
      <c r="C355" s="6" t="s">
        <v>28</v>
      </c>
      <c r="D355" s="6" t="s">
        <v>28</v>
      </c>
      <c r="E355" s="7" t="s">
        <v>2006</v>
      </c>
      <c r="F355" s="20">
        <v>46082</v>
      </c>
      <c r="G355" s="17">
        <v>4</v>
      </c>
      <c r="H355" t="s">
        <v>359</v>
      </c>
      <c r="I355" s="32">
        <v>158235</v>
      </c>
      <c r="J355" s="19" t="s">
        <v>1469</v>
      </c>
      <c r="K355" s="6" t="s">
        <v>2008</v>
      </c>
      <c r="L355" s="3" t="s">
        <v>2238</v>
      </c>
      <c r="M355" s="3" t="s">
        <v>2227</v>
      </c>
      <c r="N355" s="3" t="s">
        <v>2269</v>
      </c>
    </row>
    <row r="356" spans="1:14" x14ac:dyDescent="0.25">
      <c r="A356" s="14" t="s">
        <v>2005</v>
      </c>
      <c r="B356" s="16" t="s">
        <v>2199</v>
      </c>
      <c r="C356" s="19" t="s">
        <v>28</v>
      </c>
      <c r="D356" s="19" t="s">
        <v>28</v>
      </c>
      <c r="E356" s="10" t="s">
        <v>2006</v>
      </c>
      <c r="F356" s="20">
        <v>46054</v>
      </c>
      <c r="G356" s="16">
        <v>4</v>
      </c>
      <c r="H356" s="11" t="s">
        <v>1938</v>
      </c>
      <c r="I356" s="31">
        <v>729076</v>
      </c>
      <c r="J356" s="19" t="s">
        <v>1469</v>
      </c>
      <c r="K356" s="19" t="s">
        <v>2008</v>
      </c>
      <c r="L356" s="3" t="s">
        <v>2238</v>
      </c>
      <c r="M356" s="3" t="s">
        <v>2227</v>
      </c>
      <c r="N356" s="3" t="s">
        <v>2269</v>
      </c>
    </row>
    <row r="357" spans="1:14" x14ac:dyDescent="0.25">
      <c r="A357" s="15" t="s">
        <v>2005</v>
      </c>
      <c r="B357" s="17" t="s">
        <v>2199</v>
      </c>
      <c r="C357" s="6" t="s">
        <v>28</v>
      </c>
      <c r="D357" s="6" t="s">
        <v>28</v>
      </c>
      <c r="E357" s="7" t="s">
        <v>2006</v>
      </c>
      <c r="F357" s="20">
        <v>46143</v>
      </c>
      <c r="G357" s="17">
        <v>4</v>
      </c>
      <c r="H357" t="s">
        <v>1406</v>
      </c>
      <c r="I357" s="32">
        <v>4000</v>
      </c>
      <c r="J357" s="19" t="s">
        <v>1469</v>
      </c>
      <c r="K357" s="6" t="s">
        <v>2008</v>
      </c>
      <c r="L357" s="3" t="s">
        <v>2238</v>
      </c>
      <c r="M357" s="3" t="s">
        <v>2227</v>
      </c>
      <c r="N357" s="3" t="s">
        <v>2269</v>
      </c>
    </row>
    <row r="358" spans="1:14" x14ac:dyDescent="0.25">
      <c r="A358" s="14" t="s">
        <v>2005</v>
      </c>
      <c r="B358" s="16" t="s">
        <v>2199</v>
      </c>
      <c r="C358" s="19" t="s">
        <v>28</v>
      </c>
      <c r="D358" s="19" t="s">
        <v>28</v>
      </c>
      <c r="E358" s="10" t="s">
        <v>2006</v>
      </c>
      <c r="F358" s="20">
        <v>46143</v>
      </c>
      <c r="G358" s="16">
        <v>4</v>
      </c>
      <c r="H358" s="11" t="s">
        <v>2010</v>
      </c>
      <c r="I358" s="31">
        <v>20000</v>
      </c>
      <c r="J358" s="19" t="s">
        <v>1469</v>
      </c>
      <c r="K358" s="19" t="s">
        <v>2008</v>
      </c>
      <c r="L358" s="3" t="s">
        <v>2238</v>
      </c>
      <c r="M358" s="3" t="s">
        <v>2227</v>
      </c>
      <c r="N358" s="3" t="s">
        <v>2269</v>
      </c>
    </row>
    <row r="359" spans="1:14" x14ac:dyDescent="0.25">
      <c r="A359" s="15" t="s">
        <v>1252</v>
      </c>
      <c r="B359" s="17" t="s">
        <v>2199</v>
      </c>
      <c r="C359" s="6" t="s">
        <v>28</v>
      </c>
      <c r="D359" s="6" t="s">
        <v>28</v>
      </c>
      <c r="E359" s="7" t="s">
        <v>1253</v>
      </c>
      <c r="F359" s="20">
        <v>46054</v>
      </c>
      <c r="G359" s="17">
        <v>1</v>
      </c>
      <c r="H359" t="s">
        <v>140</v>
      </c>
      <c r="I359" s="32">
        <v>52000</v>
      </c>
      <c r="J359" s="19" t="s">
        <v>1255</v>
      </c>
      <c r="K359" s="6" t="s">
        <v>1256</v>
      </c>
      <c r="L359" s="3" t="s">
        <v>2239</v>
      </c>
      <c r="M359" s="3" t="s">
        <v>2227</v>
      </c>
      <c r="N359" s="3" t="s">
        <v>2269</v>
      </c>
    </row>
    <row r="360" spans="1:14" x14ac:dyDescent="0.25">
      <c r="A360" s="14" t="s">
        <v>1371</v>
      </c>
      <c r="B360" s="16" t="s">
        <v>2199</v>
      </c>
      <c r="C360" s="19" t="s">
        <v>1304</v>
      </c>
      <c r="D360" s="19" t="s">
        <v>1304</v>
      </c>
      <c r="E360" s="10" t="s">
        <v>1373</v>
      </c>
      <c r="F360" s="20">
        <v>46113</v>
      </c>
      <c r="G360" s="16">
        <v>1</v>
      </c>
      <c r="H360" s="11" t="s">
        <v>1375</v>
      </c>
      <c r="I360" s="31">
        <v>1058222000</v>
      </c>
      <c r="J360" s="19" t="s">
        <v>1200</v>
      </c>
      <c r="K360" s="19" t="s">
        <v>514</v>
      </c>
      <c r="L360" s="3" t="s">
        <v>2237</v>
      </c>
      <c r="M360" s="3" t="s">
        <v>2256</v>
      </c>
      <c r="N360" s="3" t="s">
        <v>2266</v>
      </c>
    </row>
    <row r="361" spans="1:14" x14ac:dyDescent="0.25">
      <c r="A361" s="15" t="s">
        <v>1376</v>
      </c>
      <c r="B361" s="17" t="s">
        <v>2199</v>
      </c>
      <c r="C361" s="6" t="s">
        <v>1304</v>
      </c>
      <c r="D361" s="6" t="s">
        <v>1304</v>
      </c>
      <c r="E361" s="7" t="s">
        <v>1377</v>
      </c>
      <c r="F361" s="20">
        <v>46113</v>
      </c>
      <c r="G361" s="17">
        <v>1</v>
      </c>
      <c r="H361" t="s">
        <v>1375</v>
      </c>
      <c r="I361" s="32">
        <v>916961000</v>
      </c>
      <c r="J361" s="19" t="s">
        <v>1200</v>
      </c>
      <c r="K361" s="6" t="s">
        <v>514</v>
      </c>
      <c r="L361" s="3" t="s">
        <v>2237</v>
      </c>
      <c r="M361" s="3" t="s">
        <v>2256</v>
      </c>
      <c r="N361" s="3" t="s">
        <v>2266</v>
      </c>
    </row>
    <row r="362" spans="1:14" x14ac:dyDescent="0.25">
      <c r="A362" s="14" t="s">
        <v>1379</v>
      </c>
      <c r="B362" s="16" t="s">
        <v>2199</v>
      </c>
      <c r="C362" s="19" t="s">
        <v>1304</v>
      </c>
      <c r="D362" s="19" t="s">
        <v>1304</v>
      </c>
      <c r="E362" s="10" t="s">
        <v>1380</v>
      </c>
      <c r="F362" s="20">
        <v>46113</v>
      </c>
      <c r="G362" s="16">
        <v>1</v>
      </c>
      <c r="H362" s="11" t="s">
        <v>1375</v>
      </c>
      <c r="I362" s="31">
        <v>888441000</v>
      </c>
      <c r="J362" s="19" t="s">
        <v>1200</v>
      </c>
      <c r="K362" s="19" t="s">
        <v>514</v>
      </c>
      <c r="L362" s="3" t="s">
        <v>2237</v>
      </c>
      <c r="M362" s="3" t="s">
        <v>2256</v>
      </c>
      <c r="N362" s="3" t="s">
        <v>2266</v>
      </c>
    </row>
    <row r="363" spans="1:14" x14ac:dyDescent="0.25">
      <c r="A363" s="15" t="s">
        <v>1887</v>
      </c>
      <c r="B363" s="17" t="s">
        <v>2199</v>
      </c>
      <c r="C363" s="6" t="s">
        <v>1304</v>
      </c>
      <c r="D363" s="6" t="s">
        <v>1304</v>
      </c>
      <c r="E363" s="7" t="s">
        <v>1888</v>
      </c>
      <c r="F363" s="20">
        <v>46082</v>
      </c>
      <c r="G363" s="17">
        <v>4</v>
      </c>
      <c r="H363" t="s">
        <v>1199</v>
      </c>
      <c r="I363" s="32">
        <v>493463899</v>
      </c>
      <c r="J363" s="19" t="s">
        <v>1200</v>
      </c>
      <c r="K363" s="6" t="s">
        <v>514</v>
      </c>
      <c r="L363" s="3" t="s">
        <v>2237</v>
      </c>
      <c r="M363" s="3" t="s">
        <v>2256</v>
      </c>
      <c r="N363" s="3" t="s">
        <v>2266</v>
      </c>
    </row>
    <row r="364" spans="1:14" x14ac:dyDescent="0.25">
      <c r="A364" s="14" t="s">
        <v>1887</v>
      </c>
      <c r="B364" s="16" t="s">
        <v>2199</v>
      </c>
      <c r="C364" s="19" t="s">
        <v>1304</v>
      </c>
      <c r="D364" s="19" t="s">
        <v>1304</v>
      </c>
      <c r="E364" s="10" t="s">
        <v>1888</v>
      </c>
      <c r="F364" s="20">
        <v>46113</v>
      </c>
      <c r="G364" s="16">
        <v>4</v>
      </c>
      <c r="H364" s="11" t="s">
        <v>1199</v>
      </c>
      <c r="I364" s="31">
        <v>424384098</v>
      </c>
      <c r="J364" s="19" t="s">
        <v>1200</v>
      </c>
      <c r="K364" s="19" t="s">
        <v>514</v>
      </c>
      <c r="L364" s="3" t="s">
        <v>2237</v>
      </c>
      <c r="M364" s="3" t="s">
        <v>2256</v>
      </c>
      <c r="N364" s="3" t="s">
        <v>2266</v>
      </c>
    </row>
    <row r="365" spans="1:14" x14ac:dyDescent="0.25">
      <c r="A365" s="15" t="s">
        <v>1887</v>
      </c>
      <c r="B365" s="17" t="s">
        <v>2199</v>
      </c>
      <c r="C365" s="6" t="s">
        <v>1304</v>
      </c>
      <c r="D365" s="6" t="s">
        <v>1304</v>
      </c>
      <c r="E365" s="7" t="s">
        <v>1888</v>
      </c>
      <c r="F365" s="20">
        <v>46357</v>
      </c>
      <c r="G365" s="17">
        <v>4</v>
      </c>
      <c r="H365" t="s">
        <v>1199</v>
      </c>
      <c r="I365" s="32">
        <v>1157231542</v>
      </c>
      <c r="J365" s="19" t="s">
        <v>1200</v>
      </c>
      <c r="K365" s="6" t="s">
        <v>514</v>
      </c>
      <c r="L365" s="3" t="s">
        <v>2237</v>
      </c>
      <c r="M365" s="3" t="s">
        <v>2256</v>
      </c>
      <c r="N365" s="3" t="s">
        <v>2266</v>
      </c>
    </row>
    <row r="366" spans="1:14" x14ac:dyDescent="0.25">
      <c r="A366" s="14" t="s">
        <v>1196</v>
      </c>
      <c r="B366" s="16" t="s">
        <v>2199</v>
      </c>
      <c r="C366" s="19" t="s">
        <v>594</v>
      </c>
      <c r="D366" s="19" t="s">
        <v>594</v>
      </c>
      <c r="E366" s="10" t="s">
        <v>1197</v>
      </c>
      <c r="F366" s="20">
        <v>46357</v>
      </c>
      <c r="G366" s="16">
        <v>1</v>
      </c>
      <c r="H366" s="11" t="s">
        <v>1199</v>
      </c>
      <c r="I366" s="31">
        <v>3430002</v>
      </c>
      <c r="J366" s="19" t="s">
        <v>1200</v>
      </c>
      <c r="K366" s="19" t="s">
        <v>514</v>
      </c>
      <c r="L366" s="3" t="s">
        <v>2237</v>
      </c>
      <c r="M366" s="3" t="s">
        <v>2256</v>
      </c>
      <c r="N366" s="3" t="s">
        <v>2266</v>
      </c>
    </row>
    <row r="367" spans="1:14" x14ac:dyDescent="0.25">
      <c r="A367" s="15" t="s">
        <v>1872</v>
      </c>
      <c r="B367" s="17" t="s">
        <v>2199</v>
      </c>
      <c r="C367" s="6" t="s">
        <v>28</v>
      </c>
      <c r="D367" s="6" t="s">
        <v>28</v>
      </c>
      <c r="E367" s="7" t="s">
        <v>1873</v>
      </c>
      <c r="F367" s="20">
        <v>46082</v>
      </c>
      <c r="G367" s="17">
        <v>3</v>
      </c>
      <c r="H367" t="s">
        <v>359</v>
      </c>
      <c r="I367" s="32">
        <v>68000</v>
      </c>
      <c r="J367" s="19" t="s">
        <v>1875</v>
      </c>
      <c r="K367" s="6" t="s">
        <v>1876</v>
      </c>
      <c r="L367" s="3" t="s">
        <v>2230</v>
      </c>
      <c r="M367" s="3" t="s">
        <v>2227</v>
      </c>
      <c r="N367" s="3" t="s">
        <v>2261</v>
      </c>
    </row>
    <row r="368" spans="1:14" x14ac:dyDescent="0.25">
      <c r="A368" s="14" t="s">
        <v>1872</v>
      </c>
      <c r="B368" s="16" t="s">
        <v>2199</v>
      </c>
      <c r="C368" s="19" t="s">
        <v>28</v>
      </c>
      <c r="D368" s="19" t="s">
        <v>28</v>
      </c>
      <c r="E368" s="10" t="s">
        <v>1873</v>
      </c>
      <c r="F368" s="20">
        <v>46082</v>
      </c>
      <c r="G368" s="16">
        <v>3</v>
      </c>
      <c r="H368" s="11" t="s">
        <v>1878</v>
      </c>
      <c r="I368" s="31">
        <v>305000</v>
      </c>
      <c r="J368" s="19" t="s">
        <v>1875</v>
      </c>
      <c r="K368" s="19" t="s">
        <v>1876</v>
      </c>
      <c r="L368" s="3" t="s">
        <v>2230</v>
      </c>
      <c r="M368" s="3" t="s">
        <v>2227</v>
      </c>
      <c r="N368" s="3" t="s">
        <v>2261</v>
      </c>
    </row>
    <row r="369" spans="1:14" x14ac:dyDescent="0.25">
      <c r="A369" s="15" t="s">
        <v>1872</v>
      </c>
      <c r="B369" s="17" t="s">
        <v>2199</v>
      </c>
      <c r="C369" s="6" t="s">
        <v>28</v>
      </c>
      <c r="D369" s="6" t="s">
        <v>28</v>
      </c>
      <c r="E369" s="7" t="s">
        <v>1873</v>
      </c>
      <c r="F369" s="20">
        <v>46082</v>
      </c>
      <c r="G369" s="17">
        <v>3</v>
      </c>
      <c r="H369" t="s">
        <v>486</v>
      </c>
      <c r="I369" s="32">
        <v>132068</v>
      </c>
      <c r="J369" s="19" t="s">
        <v>1875</v>
      </c>
      <c r="K369" s="6" t="s">
        <v>1876</v>
      </c>
      <c r="L369" s="3" t="s">
        <v>2230</v>
      </c>
      <c r="M369" s="3" t="s">
        <v>2227</v>
      </c>
      <c r="N369" s="3" t="s">
        <v>2261</v>
      </c>
    </row>
    <row r="370" spans="1:14" x14ac:dyDescent="0.25">
      <c r="A370" s="14" t="s">
        <v>1322</v>
      </c>
      <c r="B370" s="16" t="s">
        <v>2199</v>
      </c>
      <c r="C370" s="19" t="s">
        <v>1304</v>
      </c>
      <c r="D370" s="19" t="s">
        <v>1304</v>
      </c>
      <c r="E370" s="10" t="s">
        <v>1323</v>
      </c>
      <c r="F370" s="20">
        <v>46296</v>
      </c>
      <c r="G370" s="16">
        <v>1</v>
      </c>
      <c r="H370" s="11" t="s">
        <v>807</v>
      </c>
      <c r="I370" s="31">
        <v>80000000</v>
      </c>
      <c r="J370" s="19" t="s">
        <v>1325</v>
      </c>
      <c r="K370" s="19" t="s">
        <v>1326</v>
      </c>
      <c r="L370" s="3" t="s">
        <v>2240</v>
      </c>
      <c r="M370" s="3" t="s">
        <v>2256</v>
      </c>
      <c r="N370" s="3" t="s">
        <v>2270</v>
      </c>
    </row>
    <row r="371" spans="1:14" x14ac:dyDescent="0.25">
      <c r="A371" s="15" t="s">
        <v>1328</v>
      </c>
      <c r="B371" s="17" t="s">
        <v>2199</v>
      </c>
      <c r="C371" s="6" t="s">
        <v>1304</v>
      </c>
      <c r="D371" s="6" t="s">
        <v>1304</v>
      </c>
      <c r="E371" s="7" t="s">
        <v>1329</v>
      </c>
      <c r="F371" s="20">
        <v>46296</v>
      </c>
      <c r="G371" s="17">
        <v>1</v>
      </c>
      <c r="H371" t="s">
        <v>807</v>
      </c>
      <c r="I371" s="32">
        <v>80000000</v>
      </c>
      <c r="J371" s="19" t="s">
        <v>1325</v>
      </c>
      <c r="K371" s="6" t="s">
        <v>1326</v>
      </c>
      <c r="L371" s="3" t="s">
        <v>2240</v>
      </c>
      <c r="M371" s="3" t="s">
        <v>2256</v>
      </c>
      <c r="N371" s="3" t="s">
        <v>2270</v>
      </c>
    </row>
    <row r="372" spans="1:14" x14ac:dyDescent="0.25">
      <c r="A372" s="14" t="s">
        <v>426</v>
      </c>
      <c r="B372" s="16" t="s">
        <v>2196</v>
      </c>
      <c r="C372" s="16" t="s">
        <v>2196</v>
      </c>
      <c r="D372" s="19" t="s">
        <v>28</v>
      </c>
      <c r="E372" s="10" t="s">
        <v>428</v>
      </c>
      <c r="F372" s="20">
        <v>45870</v>
      </c>
      <c r="G372" s="16">
        <v>1</v>
      </c>
      <c r="H372" s="11" t="s">
        <v>412</v>
      </c>
      <c r="I372" s="31">
        <v>48583326</v>
      </c>
      <c r="J372" s="19" t="s">
        <v>430</v>
      </c>
      <c r="K372" s="19" t="s">
        <v>431</v>
      </c>
      <c r="L372" s="51" t="s">
        <v>2222</v>
      </c>
      <c r="M372" s="51" t="s">
        <v>2234</v>
      </c>
      <c r="N372" s="3" t="s">
        <v>2260</v>
      </c>
    </row>
    <row r="373" spans="1:14" x14ac:dyDescent="0.25">
      <c r="A373" s="15" t="s">
        <v>903</v>
      </c>
      <c r="B373" s="17" t="s">
        <v>2199</v>
      </c>
      <c r="C373" s="6" t="s">
        <v>28</v>
      </c>
      <c r="D373" s="6" t="s">
        <v>28</v>
      </c>
      <c r="E373" s="7" t="s">
        <v>904</v>
      </c>
      <c r="F373" s="20">
        <v>46054</v>
      </c>
      <c r="G373" s="17">
        <v>7</v>
      </c>
      <c r="H373" t="s">
        <v>359</v>
      </c>
      <c r="I373" s="32">
        <v>107000</v>
      </c>
      <c r="J373" s="19" t="s">
        <v>906</v>
      </c>
      <c r="K373" s="6" t="s">
        <v>907</v>
      </c>
      <c r="L373" s="3" t="s">
        <v>2241</v>
      </c>
      <c r="M373" s="3" t="s">
        <v>2227</v>
      </c>
      <c r="N373" s="3" t="s">
        <v>2271</v>
      </c>
    </row>
    <row r="374" spans="1:14" x14ac:dyDescent="0.25">
      <c r="A374" s="14" t="s">
        <v>903</v>
      </c>
      <c r="B374" s="16" t="s">
        <v>2199</v>
      </c>
      <c r="C374" s="19" t="s">
        <v>28</v>
      </c>
      <c r="D374" s="19" t="s">
        <v>28</v>
      </c>
      <c r="E374" s="10" t="s">
        <v>904</v>
      </c>
      <c r="F374" s="20">
        <v>46054</v>
      </c>
      <c r="G374" s="16">
        <v>7</v>
      </c>
      <c r="H374" s="11" t="s">
        <v>912</v>
      </c>
      <c r="I374" s="31">
        <v>15000</v>
      </c>
      <c r="J374" s="19" t="s">
        <v>906</v>
      </c>
      <c r="K374" s="19" t="s">
        <v>907</v>
      </c>
      <c r="L374" s="3" t="s">
        <v>2241</v>
      </c>
      <c r="M374" s="3" t="s">
        <v>2227</v>
      </c>
      <c r="N374" s="3" t="s">
        <v>2271</v>
      </c>
    </row>
    <row r="375" spans="1:14" x14ac:dyDescent="0.25">
      <c r="A375" s="15" t="s">
        <v>903</v>
      </c>
      <c r="B375" s="17" t="s">
        <v>2199</v>
      </c>
      <c r="C375" s="6" t="s">
        <v>28</v>
      </c>
      <c r="D375" s="6" t="s">
        <v>28</v>
      </c>
      <c r="E375" s="7" t="s">
        <v>904</v>
      </c>
      <c r="F375" s="20">
        <v>46054</v>
      </c>
      <c r="G375" s="17">
        <v>7</v>
      </c>
      <c r="H375" t="s">
        <v>914</v>
      </c>
      <c r="I375" s="32">
        <v>10000</v>
      </c>
      <c r="J375" s="19" t="s">
        <v>906</v>
      </c>
      <c r="K375" s="6" t="s">
        <v>907</v>
      </c>
      <c r="L375" s="3" t="s">
        <v>2241</v>
      </c>
      <c r="M375" s="3" t="s">
        <v>2227</v>
      </c>
      <c r="N375" s="3" t="s">
        <v>2271</v>
      </c>
    </row>
    <row r="376" spans="1:14" x14ac:dyDescent="0.25">
      <c r="A376" s="14" t="s">
        <v>903</v>
      </c>
      <c r="B376" s="16" t="s">
        <v>2199</v>
      </c>
      <c r="C376" s="19" t="s">
        <v>28</v>
      </c>
      <c r="D376" s="19" t="s">
        <v>28</v>
      </c>
      <c r="E376" s="10" t="s">
        <v>904</v>
      </c>
      <c r="F376" s="20">
        <v>46143</v>
      </c>
      <c r="G376" s="16">
        <v>7</v>
      </c>
      <c r="H376" s="11" t="s">
        <v>911</v>
      </c>
      <c r="I376" s="31">
        <v>25000</v>
      </c>
      <c r="J376" s="19" t="s">
        <v>906</v>
      </c>
      <c r="K376" s="19" t="s">
        <v>907</v>
      </c>
      <c r="L376" s="3" t="s">
        <v>2241</v>
      </c>
      <c r="M376" s="3" t="s">
        <v>2227</v>
      </c>
      <c r="N376" s="3" t="s">
        <v>2271</v>
      </c>
    </row>
    <row r="377" spans="1:14" x14ac:dyDescent="0.25">
      <c r="A377" s="15" t="s">
        <v>903</v>
      </c>
      <c r="B377" s="17" t="s">
        <v>2199</v>
      </c>
      <c r="C377" s="6" t="s">
        <v>28</v>
      </c>
      <c r="D377" s="6" t="s">
        <v>28</v>
      </c>
      <c r="E377" s="7" t="s">
        <v>904</v>
      </c>
      <c r="F377" s="20">
        <v>46327</v>
      </c>
      <c r="G377" s="17">
        <v>7</v>
      </c>
      <c r="H377" t="s">
        <v>913</v>
      </c>
      <c r="I377" s="32">
        <v>120000</v>
      </c>
      <c r="J377" s="19" t="s">
        <v>906</v>
      </c>
      <c r="K377" s="6" t="s">
        <v>907</v>
      </c>
      <c r="L377" s="3" t="s">
        <v>2241</v>
      </c>
      <c r="M377" s="3" t="s">
        <v>2227</v>
      </c>
      <c r="N377" s="3" t="s">
        <v>2271</v>
      </c>
    </row>
    <row r="378" spans="1:14" x14ac:dyDescent="0.25">
      <c r="A378" s="14" t="s">
        <v>903</v>
      </c>
      <c r="B378" s="16" t="s">
        <v>2199</v>
      </c>
      <c r="C378" s="19" t="s">
        <v>28</v>
      </c>
      <c r="D378" s="19" t="s">
        <v>28</v>
      </c>
      <c r="E378" s="10" t="s">
        <v>904</v>
      </c>
      <c r="F378" s="20">
        <v>46143</v>
      </c>
      <c r="G378" s="16">
        <v>7</v>
      </c>
      <c r="H378" s="11" t="s">
        <v>602</v>
      </c>
      <c r="I378" s="31">
        <v>1400001</v>
      </c>
      <c r="J378" s="19" t="s">
        <v>906</v>
      </c>
      <c r="K378" s="19" t="s">
        <v>907</v>
      </c>
      <c r="L378" s="3" t="s">
        <v>2241</v>
      </c>
      <c r="M378" s="3" t="s">
        <v>2227</v>
      </c>
      <c r="N378" s="3" t="s">
        <v>2271</v>
      </c>
    </row>
    <row r="379" spans="1:14" x14ac:dyDescent="0.25">
      <c r="A379" s="15" t="s">
        <v>903</v>
      </c>
      <c r="B379" s="17" t="s">
        <v>2199</v>
      </c>
      <c r="C379" s="6" t="s">
        <v>28</v>
      </c>
      <c r="D379" s="6" t="s">
        <v>28</v>
      </c>
      <c r="E379" s="7" t="s">
        <v>904</v>
      </c>
      <c r="F379" s="20">
        <v>46143</v>
      </c>
      <c r="G379" s="17">
        <v>7</v>
      </c>
      <c r="H379" t="s">
        <v>910</v>
      </c>
      <c r="I379" s="32">
        <v>45000000</v>
      </c>
      <c r="J379" s="19" t="s">
        <v>906</v>
      </c>
      <c r="K379" s="6" t="s">
        <v>907</v>
      </c>
      <c r="L379" s="3" t="s">
        <v>2241</v>
      </c>
      <c r="M379" s="3" t="s">
        <v>2227</v>
      </c>
      <c r="N379" s="3" t="s">
        <v>2271</v>
      </c>
    </row>
    <row r="380" spans="1:14" x14ac:dyDescent="0.25">
      <c r="A380" s="14" t="s">
        <v>136</v>
      </c>
      <c r="B380" s="16" t="s">
        <v>2196</v>
      </c>
      <c r="C380" s="16" t="s">
        <v>2196</v>
      </c>
      <c r="D380" s="19" t="s">
        <v>28</v>
      </c>
      <c r="E380" s="10" t="s">
        <v>138</v>
      </c>
      <c r="F380" s="20">
        <v>45444</v>
      </c>
      <c r="G380" s="16">
        <v>1</v>
      </c>
      <c r="H380" s="11" t="s">
        <v>140</v>
      </c>
      <c r="I380" s="31">
        <v>496977708</v>
      </c>
      <c r="J380" s="19" t="s">
        <v>2208</v>
      </c>
      <c r="K380" s="19" t="s">
        <v>142</v>
      </c>
      <c r="L380" s="51" t="s">
        <v>2250</v>
      </c>
      <c r="M380" s="51" t="s">
        <v>2227</v>
      </c>
      <c r="N380" s="3" t="s">
        <v>2261</v>
      </c>
    </row>
    <row r="381" spans="1:14" x14ac:dyDescent="0.25">
      <c r="A381" s="15" t="s">
        <v>1269</v>
      </c>
      <c r="B381" s="17" t="s">
        <v>2199</v>
      </c>
      <c r="C381" s="6" t="s">
        <v>28</v>
      </c>
      <c r="D381" s="6" t="s">
        <v>28</v>
      </c>
      <c r="E381" s="7" t="s">
        <v>1270</v>
      </c>
      <c r="F381" s="20">
        <v>46082</v>
      </c>
      <c r="G381" s="17">
        <v>5</v>
      </c>
      <c r="H381" t="s">
        <v>1277</v>
      </c>
      <c r="I381" s="32">
        <v>164000</v>
      </c>
      <c r="J381" s="19" t="s">
        <v>1273</v>
      </c>
      <c r="K381" s="6" t="s">
        <v>514</v>
      </c>
      <c r="L381" s="3" t="s">
        <v>2242</v>
      </c>
      <c r="M381" s="3" t="s">
        <v>2227</v>
      </c>
      <c r="N381" s="3" t="s">
        <v>2271</v>
      </c>
    </row>
    <row r="382" spans="1:14" x14ac:dyDescent="0.25">
      <c r="A382" s="14" t="s">
        <v>1269</v>
      </c>
      <c r="B382" s="16" t="s">
        <v>2199</v>
      </c>
      <c r="C382" s="19" t="s">
        <v>28</v>
      </c>
      <c r="D382" s="19" t="s">
        <v>28</v>
      </c>
      <c r="E382" s="10" t="s">
        <v>1270</v>
      </c>
      <c r="F382" s="20">
        <v>46023</v>
      </c>
      <c r="G382" s="16">
        <v>5</v>
      </c>
      <c r="H382" s="11" t="s">
        <v>1272</v>
      </c>
      <c r="I382" s="31">
        <v>198000</v>
      </c>
      <c r="J382" s="19" t="s">
        <v>1273</v>
      </c>
      <c r="K382" s="19" t="s">
        <v>514</v>
      </c>
      <c r="L382" s="3" t="s">
        <v>2242</v>
      </c>
      <c r="M382" s="3" t="s">
        <v>2227</v>
      </c>
      <c r="N382" s="3" t="s">
        <v>2271</v>
      </c>
    </row>
    <row r="383" spans="1:14" x14ac:dyDescent="0.25">
      <c r="A383" s="15" t="s">
        <v>1269</v>
      </c>
      <c r="B383" s="17" t="s">
        <v>2199</v>
      </c>
      <c r="C383" s="6" t="s">
        <v>28</v>
      </c>
      <c r="D383" s="6" t="s">
        <v>28</v>
      </c>
      <c r="E383" s="7" t="s">
        <v>1270</v>
      </c>
      <c r="F383" s="20">
        <v>46082</v>
      </c>
      <c r="G383" s="17">
        <v>5</v>
      </c>
      <c r="H383" t="s">
        <v>1279</v>
      </c>
      <c r="I383" s="32">
        <v>75000</v>
      </c>
      <c r="J383" s="19" t="s">
        <v>1273</v>
      </c>
      <c r="K383" s="6" t="s">
        <v>514</v>
      </c>
      <c r="L383" s="3" t="s">
        <v>2242</v>
      </c>
      <c r="M383" s="3" t="s">
        <v>2227</v>
      </c>
      <c r="N383" s="3" t="s">
        <v>2271</v>
      </c>
    </row>
    <row r="384" spans="1:14" x14ac:dyDescent="0.25">
      <c r="A384" s="14" t="s">
        <v>1269</v>
      </c>
      <c r="B384" s="16" t="s">
        <v>2199</v>
      </c>
      <c r="C384" s="19" t="s">
        <v>28</v>
      </c>
      <c r="D384" s="19" t="s">
        <v>28</v>
      </c>
      <c r="E384" s="10" t="s">
        <v>1270</v>
      </c>
      <c r="F384" s="20">
        <v>46023</v>
      </c>
      <c r="G384" s="16">
        <v>5</v>
      </c>
      <c r="H384" s="11" t="s">
        <v>1276</v>
      </c>
      <c r="I384" s="31">
        <v>106000</v>
      </c>
      <c r="J384" s="19" t="s">
        <v>1273</v>
      </c>
      <c r="K384" s="19" t="s">
        <v>514</v>
      </c>
      <c r="L384" s="3" t="s">
        <v>2242</v>
      </c>
      <c r="M384" s="3" t="s">
        <v>2227</v>
      </c>
      <c r="N384" s="3" t="s">
        <v>2271</v>
      </c>
    </row>
    <row r="385" spans="1:14" x14ac:dyDescent="0.25">
      <c r="A385" s="15" t="s">
        <v>1269</v>
      </c>
      <c r="B385" s="17" t="s">
        <v>2199</v>
      </c>
      <c r="C385" s="6" t="s">
        <v>28</v>
      </c>
      <c r="D385" s="6" t="s">
        <v>28</v>
      </c>
      <c r="E385" s="7" t="s">
        <v>1270</v>
      </c>
      <c r="F385" s="20">
        <v>46082</v>
      </c>
      <c r="G385" s="17">
        <v>5</v>
      </c>
      <c r="H385" t="s">
        <v>1278</v>
      </c>
      <c r="I385" s="32">
        <v>60000</v>
      </c>
      <c r="J385" s="19" t="s">
        <v>1273</v>
      </c>
      <c r="K385" s="6" t="s">
        <v>514</v>
      </c>
      <c r="L385" s="3" t="s">
        <v>2242</v>
      </c>
      <c r="M385" s="3" t="s">
        <v>2227</v>
      </c>
      <c r="N385" s="3" t="s">
        <v>2271</v>
      </c>
    </row>
    <row r="386" spans="1:14" x14ac:dyDescent="0.25">
      <c r="A386" s="14" t="s">
        <v>706</v>
      </c>
      <c r="B386" s="16" t="s">
        <v>2199</v>
      </c>
      <c r="C386" s="19" t="s">
        <v>28</v>
      </c>
      <c r="D386" s="19" t="s">
        <v>28</v>
      </c>
      <c r="E386" s="10" t="s">
        <v>707</v>
      </c>
      <c r="F386" s="20">
        <v>46082</v>
      </c>
      <c r="G386" s="16">
        <v>1</v>
      </c>
      <c r="H386" s="11" t="s">
        <v>486</v>
      </c>
      <c r="I386" s="31">
        <v>190000</v>
      </c>
      <c r="J386" s="19" t="s">
        <v>590</v>
      </c>
      <c r="K386" s="19" t="s">
        <v>591</v>
      </c>
      <c r="L386" s="3" t="s">
        <v>2222</v>
      </c>
      <c r="M386" s="3" t="s">
        <v>2234</v>
      </c>
      <c r="N386" s="3" t="s">
        <v>2260</v>
      </c>
    </row>
    <row r="387" spans="1:14" x14ac:dyDescent="0.25">
      <c r="A387" s="15" t="s">
        <v>1407</v>
      </c>
      <c r="B387" s="17" t="s">
        <v>2199</v>
      </c>
      <c r="C387" s="6" t="s">
        <v>28</v>
      </c>
      <c r="D387" s="6" t="s">
        <v>28</v>
      </c>
      <c r="E387" s="7" t="s">
        <v>1408</v>
      </c>
      <c r="F387" s="20">
        <v>46082</v>
      </c>
      <c r="G387" s="17">
        <v>1</v>
      </c>
      <c r="H387" t="s">
        <v>1410</v>
      </c>
      <c r="I387" s="32">
        <v>80000</v>
      </c>
      <c r="J387" s="19" t="s">
        <v>590</v>
      </c>
      <c r="K387" s="6" t="s">
        <v>591</v>
      </c>
      <c r="L387" s="3" t="s">
        <v>2222</v>
      </c>
      <c r="M387" s="3" t="s">
        <v>2234</v>
      </c>
      <c r="N387" s="3" t="s">
        <v>2260</v>
      </c>
    </row>
    <row r="388" spans="1:14" x14ac:dyDescent="0.25">
      <c r="A388" s="14" t="s">
        <v>1492</v>
      </c>
      <c r="B388" s="16" t="s">
        <v>2199</v>
      </c>
      <c r="C388" s="19" t="s">
        <v>28</v>
      </c>
      <c r="D388" s="19" t="s">
        <v>28</v>
      </c>
      <c r="E388" s="10" t="s">
        <v>1494</v>
      </c>
      <c r="F388" s="20">
        <v>46082</v>
      </c>
      <c r="G388" s="16">
        <v>1</v>
      </c>
      <c r="H388" s="11" t="s">
        <v>1410</v>
      </c>
      <c r="I388" s="31">
        <v>100000</v>
      </c>
      <c r="J388" s="19" t="s">
        <v>590</v>
      </c>
      <c r="K388" s="19" t="s">
        <v>591</v>
      </c>
      <c r="L388" s="3" t="s">
        <v>2222</v>
      </c>
      <c r="M388" s="3" t="s">
        <v>2234</v>
      </c>
      <c r="N388" s="3" t="s">
        <v>2260</v>
      </c>
    </row>
    <row r="389" spans="1:14" x14ac:dyDescent="0.25">
      <c r="A389" s="15" t="s">
        <v>1509</v>
      </c>
      <c r="B389" s="17" t="s">
        <v>2199</v>
      </c>
      <c r="C389" s="6" t="s">
        <v>28</v>
      </c>
      <c r="D389" s="6" t="s">
        <v>28</v>
      </c>
      <c r="E389" s="7" t="s">
        <v>1510</v>
      </c>
      <c r="F389" s="20">
        <v>46113</v>
      </c>
      <c r="G389" s="17">
        <v>2</v>
      </c>
      <c r="H389" t="s">
        <v>1512</v>
      </c>
      <c r="I389" s="32">
        <v>76086</v>
      </c>
      <c r="J389" s="19" t="s">
        <v>590</v>
      </c>
      <c r="K389" s="6" t="s">
        <v>591</v>
      </c>
      <c r="L389" s="3" t="s">
        <v>2222</v>
      </c>
      <c r="M389" s="3" t="s">
        <v>2234</v>
      </c>
      <c r="N389" s="3" t="s">
        <v>2260</v>
      </c>
    </row>
    <row r="390" spans="1:14" x14ac:dyDescent="0.25">
      <c r="A390" s="14" t="s">
        <v>1509</v>
      </c>
      <c r="B390" s="16" t="s">
        <v>2199</v>
      </c>
      <c r="C390" s="19" t="s">
        <v>28</v>
      </c>
      <c r="D390" s="19" t="s">
        <v>28</v>
      </c>
      <c r="E390" s="10" t="s">
        <v>1510</v>
      </c>
      <c r="F390" s="20">
        <v>46113</v>
      </c>
      <c r="G390" s="16">
        <v>2</v>
      </c>
      <c r="H390" s="11" t="s">
        <v>1513</v>
      </c>
      <c r="I390" s="31">
        <v>224004</v>
      </c>
      <c r="J390" s="19" t="s">
        <v>590</v>
      </c>
      <c r="K390" s="19" t="s">
        <v>591</v>
      </c>
      <c r="L390" s="3" t="s">
        <v>2222</v>
      </c>
      <c r="M390" s="3" t="s">
        <v>2234</v>
      </c>
      <c r="N390" s="3" t="s">
        <v>2260</v>
      </c>
    </row>
    <row r="391" spans="1:14" x14ac:dyDescent="0.25">
      <c r="A391" s="15" t="s">
        <v>2067</v>
      </c>
      <c r="B391" s="17" t="s">
        <v>2199</v>
      </c>
      <c r="C391" s="6" t="s">
        <v>28</v>
      </c>
      <c r="D391" s="6" t="s">
        <v>28</v>
      </c>
      <c r="E391" s="7" t="s">
        <v>2068</v>
      </c>
      <c r="F391" s="20">
        <v>46082</v>
      </c>
      <c r="G391" s="17">
        <v>1</v>
      </c>
      <c r="H391" t="s">
        <v>486</v>
      </c>
      <c r="I391" s="32">
        <v>490280</v>
      </c>
      <c r="J391" s="19" t="s">
        <v>590</v>
      </c>
      <c r="K391" s="6" t="s">
        <v>591</v>
      </c>
      <c r="L391" s="3" t="s">
        <v>2222</v>
      </c>
      <c r="M391" s="3" t="s">
        <v>2234</v>
      </c>
      <c r="N391" s="3" t="s">
        <v>2260</v>
      </c>
    </row>
    <row r="392" spans="1:14" x14ac:dyDescent="0.25">
      <c r="A392" s="14" t="s">
        <v>2097</v>
      </c>
      <c r="B392" s="16" t="s">
        <v>2199</v>
      </c>
      <c r="C392" s="19" t="s">
        <v>28</v>
      </c>
      <c r="D392" s="19" t="s">
        <v>28</v>
      </c>
      <c r="E392" s="10" t="s">
        <v>2098</v>
      </c>
      <c r="F392" s="20">
        <v>46113</v>
      </c>
      <c r="G392" s="16">
        <v>3</v>
      </c>
      <c r="H392" s="11" t="s">
        <v>2101</v>
      </c>
      <c r="I392" s="31">
        <v>1559097</v>
      </c>
      <c r="J392" s="19" t="s">
        <v>590</v>
      </c>
      <c r="K392" s="19" t="s">
        <v>591</v>
      </c>
      <c r="L392" s="3" t="s">
        <v>2222</v>
      </c>
      <c r="M392" s="3" t="s">
        <v>2234</v>
      </c>
      <c r="N392" s="3" t="s">
        <v>2260</v>
      </c>
    </row>
    <row r="393" spans="1:14" x14ac:dyDescent="0.25">
      <c r="A393" s="15" t="s">
        <v>2097</v>
      </c>
      <c r="B393" s="17" t="s">
        <v>2199</v>
      </c>
      <c r="C393" s="6" t="s">
        <v>28</v>
      </c>
      <c r="D393" s="6" t="s">
        <v>28</v>
      </c>
      <c r="E393" s="7" t="s">
        <v>2098</v>
      </c>
      <c r="F393" s="20">
        <v>46113</v>
      </c>
      <c r="G393" s="17">
        <v>3</v>
      </c>
      <c r="H393" t="s">
        <v>1940</v>
      </c>
      <c r="I393" s="32">
        <v>150000</v>
      </c>
      <c r="J393" s="19" t="s">
        <v>590</v>
      </c>
      <c r="K393" s="6" t="s">
        <v>591</v>
      </c>
      <c r="L393" s="3" t="s">
        <v>2222</v>
      </c>
      <c r="M393" s="3" t="s">
        <v>2234</v>
      </c>
      <c r="N393" s="3" t="s">
        <v>2260</v>
      </c>
    </row>
    <row r="394" spans="1:14" x14ac:dyDescent="0.25">
      <c r="A394" s="14" t="s">
        <v>2097</v>
      </c>
      <c r="B394" s="16" t="s">
        <v>2199</v>
      </c>
      <c r="C394" s="19" t="s">
        <v>28</v>
      </c>
      <c r="D394" s="19" t="s">
        <v>28</v>
      </c>
      <c r="E394" s="10" t="s">
        <v>2098</v>
      </c>
      <c r="F394" s="20">
        <v>46082</v>
      </c>
      <c r="G394" s="16">
        <v>3</v>
      </c>
      <c r="H394" s="11" t="s">
        <v>2055</v>
      </c>
      <c r="I394" s="31">
        <v>464009</v>
      </c>
      <c r="J394" s="19" t="s">
        <v>590</v>
      </c>
      <c r="K394" s="19" t="s">
        <v>591</v>
      </c>
      <c r="L394" s="3" t="s">
        <v>2222</v>
      </c>
      <c r="M394" s="3" t="s">
        <v>2234</v>
      </c>
      <c r="N394" s="3" t="s">
        <v>2260</v>
      </c>
    </row>
    <row r="395" spans="1:14" x14ac:dyDescent="0.25">
      <c r="A395" s="15" t="s">
        <v>584</v>
      </c>
      <c r="B395" s="17" t="s">
        <v>2199</v>
      </c>
      <c r="C395" s="6" t="s">
        <v>374</v>
      </c>
      <c r="D395" s="6" t="s">
        <v>374</v>
      </c>
      <c r="E395" s="7" t="s">
        <v>586</v>
      </c>
      <c r="F395" s="20">
        <v>46054</v>
      </c>
      <c r="G395" s="17">
        <v>1</v>
      </c>
      <c r="H395" t="s">
        <v>588</v>
      </c>
      <c r="I395" s="32">
        <v>56320000</v>
      </c>
      <c r="J395" s="19" t="s">
        <v>590</v>
      </c>
      <c r="K395" s="6" t="s">
        <v>591</v>
      </c>
      <c r="L395" s="3" t="s">
        <v>2222</v>
      </c>
      <c r="M395" s="3" t="s">
        <v>2234</v>
      </c>
      <c r="N395" s="3" t="s">
        <v>2260</v>
      </c>
    </row>
    <row r="396" spans="1:14" x14ac:dyDescent="0.25">
      <c r="A396" s="14" t="s">
        <v>614</v>
      </c>
      <c r="B396" s="16" t="s">
        <v>2199</v>
      </c>
      <c r="C396" s="19" t="s">
        <v>374</v>
      </c>
      <c r="D396" s="19" t="s">
        <v>374</v>
      </c>
      <c r="E396" s="10" t="s">
        <v>616</v>
      </c>
      <c r="F396" s="20">
        <v>46082</v>
      </c>
      <c r="G396" s="16">
        <v>1</v>
      </c>
      <c r="H396" s="11" t="s">
        <v>618</v>
      </c>
      <c r="I396" s="31">
        <v>410000</v>
      </c>
      <c r="J396" s="19" t="s">
        <v>590</v>
      </c>
      <c r="K396" s="19" t="s">
        <v>591</v>
      </c>
      <c r="L396" s="3" t="s">
        <v>2222</v>
      </c>
      <c r="M396" s="3" t="s">
        <v>2234</v>
      </c>
      <c r="N396" s="3" t="s">
        <v>2260</v>
      </c>
    </row>
    <row r="397" spans="1:14" x14ac:dyDescent="0.25">
      <c r="A397" s="15" t="s">
        <v>709</v>
      </c>
      <c r="B397" s="17" t="s">
        <v>2199</v>
      </c>
      <c r="C397" s="6" t="s">
        <v>374</v>
      </c>
      <c r="D397" s="6" t="s">
        <v>374</v>
      </c>
      <c r="E397" s="7" t="s">
        <v>710</v>
      </c>
      <c r="F397" s="20">
        <v>46082</v>
      </c>
      <c r="G397" s="17">
        <v>1</v>
      </c>
      <c r="H397" t="s">
        <v>712</v>
      </c>
      <c r="I397" s="32">
        <v>150000</v>
      </c>
      <c r="J397" s="19" t="s">
        <v>590</v>
      </c>
      <c r="K397" s="6" t="s">
        <v>591</v>
      </c>
      <c r="L397" s="3" t="s">
        <v>2222</v>
      </c>
      <c r="M397" s="3" t="s">
        <v>2234</v>
      </c>
      <c r="N397" s="3" t="s">
        <v>2260</v>
      </c>
    </row>
    <row r="398" spans="1:14" x14ac:dyDescent="0.25">
      <c r="A398" s="14" t="s">
        <v>595</v>
      </c>
      <c r="B398" s="16" t="s">
        <v>2199</v>
      </c>
      <c r="C398" s="19" t="s">
        <v>594</v>
      </c>
      <c r="D398" s="19" t="s">
        <v>594</v>
      </c>
      <c r="E398" s="10" t="s">
        <v>597</v>
      </c>
      <c r="F398" s="20">
        <v>46143</v>
      </c>
      <c r="G398" s="16">
        <v>6</v>
      </c>
      <c r="H398" s="11" t="s">
        <v>600</v>
      </c>
      <c r="I398" s="31">
        <v>96000000</v>
      </c>
      <c r="J398" s="19" t="s">
        <v>590</v>
      </c>
      <c r="K398" s="19" t="s">
        <v>591</v>
      </c>
      <c r="L398" s="3" t="s">
        <v>2222</v>
      </c>
      <c r="M398" s="3" t="s">
        <v>2234</v>
      </c>
      <c r="N398" s="3" t="s">
        <v>2260</v>
      </c>
    </row>
    <row r="399" spans="1:14" x14ac:dyDescent="0.25">
      <c r="A399" s="15" t="s">
        <v>595</v>
      </c>
      <c r="B399" s="17" t="s">
        <v>2199</v>
      </c>
      <c r="C399" s="6" t="s">
        <v>594</v>
      </c>
      <c r="D399" s="6" t="s">
        <v>594</v>
      </c>
      <c r="E399" s="7" t="s">
        <v>597</v>
      </c>
      <c r="F399" s="20">
        <v>46082</v>
      </c>
      <c r="G399" s="17">
        <v>6</v>
      </c>
      <c r="H399" t="s">
        <v>601</v>
      </c>
      <c r="I399" s="32">
        <v>24115000</v>
      </c>
      <c r="J399" s="19" t="s">
        <v>590</v>
      </c>
      <c r="K399" s="6" t="s">
        <v>591</v>
      </c>
      <c r="L399" s="3" t="s">
        <v>2222</v>
      </c>
      <c r="M399" s="3" t="s">
        <v>2234</v>
      </c>
      <c r="N399" s="3" t="s">
        <v>2260</v>
      </c>
    </row>
    <row r="400" spans="1:14" x14ac:dyDescent="0.25">
      <c r="A400" s="14" t="s">
        <v>595</v>
      </c>
      <c r="B400" s="16" t="s">
        <v>2199</v>
      </c>
      <c r="C400" s="19" t="s">
        <v>594</v>
      </c>
      <c r="D400" s="19" t="s">
        <v>594</v>
      </c>
      <c r="E400" s="10" t="s">
        <v>597</v>
      </c>
      <c r="F400" s="20">
        <v>46143</v>
      </c>
      <c r="G400" s="16">
        <v>6</v>
      </c>
      <c r="H400" s="11" t="s">
        <v>604</v>
      </c>
      <c r="I400" s="31">
        <v>122000004</v>
      </c>
      <c r="J400" s="19" t="s">
        <v>590</v>
      </c>
      <c r="K400" s="19" t="s">
        <v>591</v>
      </c>
      <c r="L400" s="3" t="s">
        <v>2222</v>
      </c>
      <c r="M400" s="3" t="s">
        <v>2234</v>
      </c>
      <c r="N400" s="3" t="s">
        <v>2260</v>
      </c>
    </row>
    <row r="401" spans="1:14" x14ac:dyDescent="0.25">
      <c r="A401" s="15" t="s">
        <v>595</v>
      </c>
      <c r="B401" s="17" t="s">
        <v>2199</v>
      </c>
      <c r="C401" s="6" t="s">
        <v>594</v>
      </c>
      <c r="D401" s="6" t="s">
        <v>594</v>
      </c>
      <c r="E401" s="7" t="s">
        <v>597</v>
      </c>
      <c r="F401" s="20">
        <v>46143</v>
      </c>
      <c r="G401" s="17">
        <v>6</v>
      </c>
      <c r="H401" t="s">
        <v>603</v>
      </c>
      <c r="I401" s="32">
        <v>5000002</v>
      </c>
      <c r="J401" s="19" t="s">
        <v>590</v>
      </c>
      <c r="K401" s="6" t="s">
        <v>591</v>
      </c>
      <c r="L401" s="3" t="s">
        <v>2222</v>
      </c>
      <c r="M401" s="3" t="s">
        <v>2234</v>
      </c>
      <c r="N401" s="3" t="s">
        <v>2260</v>
      </c>
    </row>
    <row r="402" spans="1:14" x14ac:dyDescent="0.25">
      <c r="A402" s="14" t="s">
        <v>595</v>
      </c>
      <c r="B402" s="16" t="s">
        <v>2199</v>
      </c>
      <c r="C402" s="19" t="s">
        <v>594</v>
      </c>
      <c r="D402" s="19" t="s">
        <v>594</v>
      </c>
      <c r="E402" s="10" t="s">
        <v>597</v>
      </c>
      <c r="F402" s="20">
        <v>46266</v>
      </c>
      <c r="G402" s="16">
        <v>6</v>
      </c>
      <c r="H402" s="11" t="s">
        <v>602</v>
      </c>
      <c r="I402" s="31">
        <v>3500000</v>
      </c>
      <c r="J402" s="19" t="s">
        <v>590</v>
      </c>
      <c r="K402" s="19" t="s">
        <v>591</v>
      </c>
      <c r="L402" s="3" t="s">
        <v>2222</v>
      </c>
      <c r="M402" s="3" t="s">
        <v>2234</v>
      </c>
      <c r="N402" s="3" t="s">
        <v>2260</v>
      </c>
    </row>
    <row r="403" spans="1:14" x14ac:dyDescent="0.25">
      <c r="A403" s="15" t="s">
        <v>595</v>
      </c>
      <c r="B403" s="17" t="s">
        <v>2199</v>
      </c>
      <c r="C403" s="6" t="s">
        <v>594</v>
      </c>
      <c r="D403" s="6" t="s">
        <v>594</v>
      </c>
      <c r="E403" s="7" t="s">
        <v>597</v>
      </c>
      <c r="F403" s="20">
        <v>46143</v>
      </c>
      <c r="G403" s="17">
        <v>6</v>
      </c>
      <c r="H403" t="s">
        <v>599</v>
      </c>
      <c r="I403" s="32">
        <v>28000000</v>
      </c>
      <c r="J403" s="19" t="s">
        <v>590</v>
      </c>
      <c r="K403" s="6" t="s">
        <v>591</v>
      </c>
      <c r="L403" s="3" t="s">
        <v>2222</v>
      </c>
      <c r="M403" s="3" t="s">
        <v>2234</v>
      </c>
      <c r="N403" s="3" t="s">
        <v>2260</v>
      </c>
    </row>
    <row r="404" spans="1:14" x14ac:dyDescent="0.25">
      <c r="A404" s="14" t="s">
        <v>103</v>
      </c>
      <c r="B404" s="16" t="s">
        <v>2196</v>
      </c>
      <c r="C404" s="16" t="s">
        <v>2196</v>
      </c>
      <c r="D404" s="19" t="s">
        <v>28</v>
      </c>
      <c r="E404" s="10" t="s">
        <v>105</v>
      </c>
      <c r="F404" s="20">
        <v>45444</v>
      </c>
      <c r="G404" s="16">
        <v>1</v>
      </c>
      <c r="H404" s="11" t="s">
        <v>107</v>
      </c>
      <c r="I404" s="31">
        <v>18060000</v>
      </c>
      <c r="J404" s="19" t="s">
        <v>2207</v>
      </c>
      <c r="K404" s="19" t="s">
        <v>110</v>
      </c>
      <c r="L404" s="3" t="s">
        <v>2250</v>
      </c>
      <c r="M404" s="3" t="s">
        <v>2227</v>
      </c>
      <c r="N404" s="52" t="s">
        <v>2261</v>
      </c>
    </row>
    <row r="405" spans="1:14" x14ac:dyDescent="0.25">
      <c r="A405" s="15" t="s">
        <v>128</v>
      </c>
      <c r="B405" s="17" t="s">
        <v>2196</v>
      </c>
      <c r="C405" s="17" t="s">
        <v>2196</v>
      </c>
      <c r="D405" s="6" t="s">
        <v>28</v>
      </c>
      <c r="E405" s="7" t="s">
        <v>130</v>
      </c>
      <c r="F405" s="20">
        <v>45505</v>
      </c>
      <c r="G405" s="17">
        <v>1</v>
      </c>
      <c r="H405" t="s">
        <v>132</v>
      </c>
      <c r="I405" s="32">
        <v>397359215</v>
      </c>
      <c r="J405" s="19" t="s">
        <v>2207</v>
      </c>
      <c r="K405" s="6" t="s">
        <v>133</v>
      </c>
      <c r="L405" s="3" t="s">
        <v>2250</v>
      </c>
      <c r="M405" s="3" t="s">
        <v>2227</v>
      </c>
      <c r="N405" s="52" t="s">
        <v>2261</v>
      </c>
    </row>
    <row r="406" spans="1:14" x14ac:dyDescent="0.25">
      <c r="A406" s="14" t="s">
        <v>1403</v>
      </c>
      <c r="B406" s="16" t="s">
        <v>2199</v>
      </c>
      <c r="C406" s="19" t="s">
        <v>28</v>
      </c>
      <c r="D406" s="19" t="s">
        <v>28</v>
      </c>
      <c r="E406" s="10" t="s">
        <v>1404</v>
      </c>
      <c r="F406" s="20">
        <v>46327</v>
      </c>
      <c r="G406" s="16">
        <v>3</v>
      </c>
      <c r="H406" s="11" t="s">
        <v>359</v>
      </c>
      <c r="I406" s="31">
        <v>153624</v>
      </c>
      <c r="J406" s="19" t="s">
        <v>1035</v>
      </c>
      <c r="K406" s="19" t="s">
        <v>1036</v>
      </c>
      <c r="L406" s="3" t="s">
        <v>2230</v>
      </c>
      <c r="M406" s="3" t="s">
        <v>2227</v>
      </c>
      <c r="N406" s="3" t="s">
        <v>2261</v>
      </c>
    </row>
    <row r="407" spans="1:14" x14ac:dyDescent="0.25">
      <c r="A407" s="15" t="s">
        <v>1403</v>
      </c>
      <c r="B407" s="17" t="s">
        <v>2199</v>
      </c>
      <c r="C407" s="6" t="s">
        <v>28</v>
      </c>
      <c r="D407" s="6" t="s">
        <v>28</v>
      </c>
      <c r="E407" s="7" t="s">
        <v>1404</v>
      </c>
      <c r="F407" s="20">
        <v>46327</v>
      </c>
      <c r="G407" s="17">
        <v>3</v>
      </c>
      <c r="H407" t="s">
        <v>855</v>
      </c>
      <c r="I407" s="32">
        <v>17000</v>
      </c>
      <c r="J407" s="19" t="s">
        <v>1035</v>
      </c>
      <c r="K407" s="6" t="s">
        <v>1036</v>
      </c>
      <c r="L407" s="3" t="s">
        <v>2230</v>
      </c>
      <c r="M407" s="3" t="s">
        <v>2227</v>
      </c>
      <c r="N407" s="3" t="s">
        <v>2261</v>
      </c>
    </row>
    <row r="408" spans="1:14" x14ac:dyDescent="0.25">
      <c r="A408" s="14" t="s">
        <v>1403</v>
      </c>
      <c r="B408" s="16" t="s">
        <v>2199</v>
      </c>
      <c r="C408" s="19" t="s">
        <v>28</v>
      </c>
      <c r="D408" s="19" t="s">
        <v>28</v>
      </c>
      <c r="E408" s="10" t="s">
        <v>1404</v>
      </c>
      <c r="F408" s="20">
        <v>46327</v>
      </c>
      <c r="G408" s="16">
        <v>3</v>
      </c>
      <c r="H408" s="11" t="s">
        <v>1406</v>
      </c>
      <c r="I408" s="31">
        <v>3000</v>
      </c>
      <c r="J408" s="19" t="s">
        <v>1035</v>
      </c>
      <c r="K408" s="19" t="s">
        <v>1036</v>
      </c>
      <c r="L408" s="3" t="s">
        <v>2230</v>
      </c>
      <c r="M408" s="3" t="s">
        <v>2227</v>
      </c>
      <c r="N408" s="3" t="s">
        <v>2261</v>
      </c>
    </row>
    <row r="409" spans="1:14" x14ac:dyDescent="0.25">
      <c r="A409" s="15" t="s">
        <v>1563</v>
      </c>
      <c r="B409" s="17" t="s">
        <v>2199</v>
      </c>
      <c r="C409" s="6" t="s">
        <v>28</v>
      </c>
      <c r="D409" s="6" t="s">
        <v>28</v>
      </c>
      <c r="E409" s="7" t="s">
        <v>1404</v>
      </c>
      <c r="F409" s="20">
        <v>46327</v>
      </c>
      <c r="G409" s="17">
        <v>2</v>
      </c>
      <c r="H409" t="s">
        <v>815</v>
      </c>
      <c r="I409" s="32">
        <v>60000</v>
      </c>
      <c r="J409" s="19" t="s">
        <v>1035</v>
      </c>
      <c r="K409" s="6" t="s">
        <v>1036</v>
      </c>
      <c r="L409" s="3" t="s">
        <v>2230</v>
      </c>
      <c r="M409" s="3" t="s">
        <v>2227</v>
      </c>
      <c r="N409" s="3" t="s">
        <v>2261</v>
      </c>
    </row>
    <row r="410" spans="1:14" x14ac:dyDescent="0.25">
      <c r="A410" s="14" t="s">
        <v>1563</v>
      </c>
      <c r="B410" s="16" t="s">
        <v>2199</v>
      </c>
      <c r="C410" s="19" t="s">
        <v>28</v>
      </c>
      <c r="D410" s="19" t="s">
        <v>28</v>
      </c>
      <c r="E410" s="10" t="s">
        <v>1404</v>
      </c>
      <c r="F410" s="20">
        <v>46327</v>
      </c>
      <c r="G410" s="16">
        <v>2</v>
      </c>
      <c r="H410" s="11" t="s">
        <v>957</v>
      </c>
      <c r="I410" s="31">
        <v>400000</v>
      </c>
      <c r="J410" s="19" t="s">
        <v>1035</v>
      </c>
      <c r="K410" s="19" t="s">
        <v>1036</v>
      </c>
      <c r="L410" s="3" t="s">
        <v>2230</v>
      </c>
      <c r="M410" s="3" t="s">
        <v>2227</v>
      </c>
      <c r="N410" s="3" t="s">
        <v>2261</v>
      </c>
    </row>
    <row r="411" spans="1:14" x14ac:dyDescent="0.25">
      <c r="A411" s="15" t="s">
        <v>1030</v>
      </c>
      <c r="B411" s="17" t="s">
        <v>2199</v>
      </c>
      <c r="C411" s="6" t="s">
        <v>374</v>
      </c>
      <c r="D411" s="6" t="s">
        <v>374</v>
      </c>
      <c r="E411" s="7" t="s">
        <v>1032</v>
      </c>
      <c r="F411" s="20">
        <v>46082</v>
      </c>
      <c r="G411" s="17">
        <v>2</v>
      </c>
      <c r="H411" t="s">
        <v>359</v>
      </c>
      <c r="I411" s="32">
        <v>9200000</v>
      </c>
      <c r="J411" s="19" t="s">
        <v>1035</v>
      </c>
      <c r="K411" s="6" t="s">
        <v>1036</v>
      </c>
      <c r="L411" s="3" t="s">
        <v>2230</v>
      </c>
      <c r="M411" s="3" t="s">
        <v>2227</v>
      </c>
      <c r="N411" s="3" t="s">
        <v>2261</v>
      </c>
    </row>
    <row r="412" spans="1:14" x14ac:dyDescent="0.25">
      <c r="A412" s="14" t="s">
        <v>1030</v>
      </c>
      <c r="B412" s="16" t="s">
        <v>2199</v>
      </c>
      <c r="C412" s="19" t="s">
        <v>374</v>
      </c>
      <c r="D412" s="19" t="s">
        <v>374</v>
      </c>
      <c r="E412" s="10" t="s">
        <v>1032</v>
      </c>
      <c r="F412" s="20">
        <v>46082</v>
      </c>
      <c r="G412" s="16">
        <v>2</v>
      </c>
      <c r="H412" s="11" t="s">
        <v>1034</v>
      </c>
      <c r="I412" s="31">
        <v>21200000</v>
      </c>
      <c r="J412" s="19" t="s">
        <v>1035</v>
      </c>
      <c r="K412" s="19" t="s">
        <v>1036</v>
      </c>
      <c r="L412" s="3" t="s">
        <v>2230</v>
      </c>
      <c r="M412" s="3" t="s">
        <v>2227</v>
      </c>
      <c r="N412" s="3" t="s">
        <v>2261</v>
      </c>
    </row>
    <row r="413" spans="1:14" x14ac:dyDescent="0.25">
      <c r="A413" s="15" t="s">
        <v>1156</v>
      </c>
      <c r="B413" s="17" t="s">
        <v>2199</v>
      </c>
      <c r="C413" s="6" t="s">
        <v>28</v>
      </c>
      <c r="D413" s="6" t="s">
        <v>28</v>
      </c>
      <c r="E413" s="7" t="s">
        <v>1158</v>
      </c>
      <c r="F413" s="20">
        <v>46174</v>
      </c>
      <c r="G413" s="17">
        <v>5</v>
      </c>
      <c r="H413" t="s">
        <v>1167</v>
      </c>
      <c r="I413" s="32">
        <v>6000000</v>
      </c>
      <c r="J413" s="19" t="s">
        <v>1162</v>
      </c>
      <c r="K413" s="6" t="s">
        <v>258</v>
      </c>
      <c r="L413" s="3" t="s">
        <v>2243</v>
      </c>
      <c r="M413" s="3" t="s">
        <v>2256</v>
      </c>
      <c r="N413" s="3" t="s">
        <v>2272</v>
      </c>
    </row>
    <row r="414" spans="1:14" x14ac:dyDescent="0.25">
      <c r="A414" s="14" t="s">
        <v>1156</v>
      </c>
      <c r="B414" s="16" t="s">
        <v>2199</v>
      </c>
      <c r="C414" s="19" t="s">
        <v>28</v>
      </c>
      <c r="D414" s="19" t="s">
        <v>28</v>
      </c>
      <c r="E414" s="10" t="s">
        <v>1158</v>
      </c>
      <c r="F414" s="20">
        <v>46174</v>
      </c>
      <c r="G414" s="16">
        <v>5</v>
      </c>
      <c r="H414" s="11" t="s">
        <v>1164</v>
      </c>
      <c r="I414" s="31">
        <v>3700002</v>
      </c>
      <c r="J414" s="19" t="s">
        <v>1162</v>
      </c>
      <c r="K414" s="19" t="s">
        <v>258</v>
      </c>
      <c r="L414" s="3" t="s">
        <v>2243</v>
      </c>
      <c r="M414" s="3" t="s">
        <v>2256</v>
      </c>
      <c r="N414" s="3" t="s">
        <v>2272</v>
      </c>
    </row>
    <row r="415" spans="1:14" x14ac:dyDescent="0.25">
      <c r="A415" s="15" t="s">
        <v>1156</v>
      </c>
      <c r="B415" s="17" t="s">
        <v>2199</v>
      </c>
      <c r="C415" s="6" t="s">
        <v>28</v>
      </c>
      <c r="D415" s="6" t="s">
        <v>28</v>
      </c>
      <c r="E415" s="7" t="s">
        <v>1158</v>
      </c>
      <c r="F415" s="20">
        <v>46174</v>
      </c>
      <c r="G415" s="17">
        <v>5</v>
      </c>
      <c r="H415" t="s">
        <v>1165</v>
      </c>
      <c r="I415" s="32">
        <v>3000000</v>
      </c>
      <c r="J415" s="19" t="s">
        <v>1162</v>
      </c>
      <c r="K415" s="6" t="s">
        <v>258</v>
      </c>
      <c r="L415" s="3" t="s">
        <v>2243</v>
      </c>
      <c r="M415" s="3" t="s">
        <v>2256</v>
      </c>
      <c r="N415" s="3" t="s">
        <v>2272</v>
      </c>
    </row>
    <row r="416" spans="1:14" x14ac:dyDescent="0.25">
      <c r="A416" s="14" t="s">
        <v>1156</v>
      </c>
      <c r="B416" s="16" t="s">
        <v>2199</v>
      </c>
      <c r="C416" s="19" t="s">
        <v>28</v>
      </c>
      <c r="D416" s="19" t="s">
        <v>28</v>
      </c>
      <c r="E416" s="10" t="s">
        <v>1158</v>
      </c>
      <c r="F416" s="20">
        <v>46174</v>
      </c>
      <c r="G416" s="16">
        <v>5</v>
      </c>
      <c r="H416" s="11" t="s">
        <v>1166</v>
      </c>
      <c r="I416" s="31">
        <v>600000</v>
      </c>
      <c r="J416" s="19" t="s">
        <v>1162</v>
      </c>
      <c r="K416" s="19" t="s">
        <v>258</v>
      </c>
      <c r="L416" s="3" t="s">
        <v>2243</v>
      </c>
      <c r="M416" s="3" t="s">
        <v>2256</v>
      </c>
      <c r="N416" s="3" t="s">
        <v>2272</v>
      </c>
    </row>
    <row r="417" spans="1:14" x14ac:dyDescent="0.25">
      <c r="A417" s="15" t="s">
        <v>1156</v>
      </c>
      <c r="B417" s="17" t="s">
        <v>2199</v>
      </c>
      <c r="C417" s="6" t="s">
        <v>28</v>
      </c>
      <c r="D417" s="6" t="s">
        <v>28</v>
      </c>
      <c r="E417" s="7" t="s">
        <v>1158</v>
      </c>
      <c r="F417" s="20">
        <v>46082</v>
      </c>
      <c r="G417" s="17">
        <v>5</v>
      </c>
      <c r="H417" t="s">
        <v>1160</v>
      </c>
      <c r="I417" s="32">
        <v>4450000</v>
      </c>
      <c r="J417" s="19" t="s">
        <v>1162</v>
      </c>
      <c r="K417" s="6" t="s">
        <v>258</v>
      </c>
      <c r="L417" s="3" t="s">
        <v>2243</v>
      </c>
      <c r="M417" s="3" t="s">
        <v>2256</v>
      </c>
      <c r="N417" s="3" t="s">
        <v>2272</v>
      </c>
    </row>
    <row r="418" spans="1:14" x14ac:dyDescent="0.25">
      <c r="A418" s="14" t="s">
        <v>1168</v>
      </c>
      <c r="B418" s="16" t="s">
        <v>2199</v>
      </c>
      <c r="C418" s="19" t="s">
        <v>28</v>
      </c>
      <c r="D418" s="19" t="s">
        <v>28</v>
      </c>
      <c r="E418" s="10" t="s">
        <v>1169</v>
      </c>
      <c r="F418" s="20">
        <v>46266</v>
      </c>
      <c r="G418" s="16">
        <v>1</v>
      </c>
      <c r="H418" s="11" t="s">
        <v>496</v>
      </c>
      <c r="I418" s="31">
        <v>0</v>
      </c>
      <c r="J418" s="19" t="s">
        <v>1162</v>
      </c>
      <c r="K418" s="19" t="s">
        <v>258</v>
      </c>
      <c r="L418" s="3" t="s">
        <v>2243</v>
      </c>
      <c r="M418" s="3" t="s">
        <v>2256</v>
      </c>
      <c r="N418" s="3" t="s">
        <v>2272</v>
      </c>
    </row>
    <row r="419" spans="1:14" x14ac:dyDescent="0.25">
      <c r="A419" s="15" t="s">
        <v>251</v>
      </c>
      <c r="B419" s="17" t="s">
        <v>2196</v>
      </c>
      <c r="C419" s="17" t="s">
        <v>2196</v>
      </c>
      <c r="D419" s="6" t="s">
        <v>28</v>
      </c>
      <c r="E419" s="7" t="s">
        <v>253</v>
      </c>
      <c r="F419" s="20">
        <v>45717</v>
      </c>
      <c r="G419" s="17">
        <v>14</v>
      </c>
      <c r="H419" t="s">
        <v>263</v>
      </c>
      <c r="I419" s="32">
        <v>7000000</v>
      </c>
      <c r="J419" s="19" t="s">
        <v>257</v>
      </c>
      <c r="K419" s="6" t="s">
        <v>258</v>
      </c>
      <c r="L419" s="3" t="s">
        <v>2243</v>
      </c>
      <c r="M419" s="3" t="s">
        <v>2256</v>
      </c>
      <c r="N419" s="3" t="s">
        <v>2272</v>
      </c>
    </row>
    <row r="420" spans="1:14" x14ac:dyDescent="0.25">
      <c r="A420" s="14" t="s">
        <v>251</v>
      </c>
      <c r="B420" s="16" t="s">
        <v>2196</v>
      </c>
      <c r="C420" s="16" t="s">
        <v>2196</v>
      </c>
      <c r="D420" s="19" t="s">
        <v>28</v>
      </c>
      <c r="E420" s="10" t="s">
        <v>253</v>
      </c>
      <c r="F420" s="20">
        <v>45717</v>
      </c>
      <c r="G420" s="16">
        <v>14</v>
      </c>
      <c r="H420" s="11" t="s">
        <v>261</v>
      </c>
      <c r="I420" s="31">
        <v>71900000</v>
      </c>
      <c r="J420" s="19" t="s">
        <v>257</v>
      </c>
      <c r="K420" s="19" t="s">
        <v>258</v>
      </c>
      <c r="L420" s="3" t="s">
        <v>2243</v>
      </c>
      <c r="M420" s="3" t="s">
        <v>2256</v>
      </c>
      <c r="N420" s="3" t="s">
        <v>2272</v>
      </c>
    </row>
    <row r="421" spans="1:14" x14ac:dyDescent="0.25">
      <c r="A421" s="15" t="s">
        <v>251</v>
      </c>
      <c r="B421" s="17" t="s">
        <v>2196</v>
      </c>
      <c r="C421" s="17" t="s">
        <v>2196</v>
      </c>
      <c r="D421" s="6" t="s">
        <v>28</v>
      </c>
      <c r="E421" s="7" t="s">
        <v>253</v>
      </c>
      <c r="F421" s="20">
        <v>45717</v>
      </c>
      <c r="G421" s="17">
        <v>14</v>
      </c>
      <c r="H421" t="s">
        <v>267</v>
      </c>
      <c r="I421" s="32">
        <v>24820000</v>
      </c>
      <c r="J421" s="19" t="s">
        <v>257</v>
      </c>
      <c r="K421" s="6" t="s">
        <v>258</v>
      </c>
      <c r="L421" s="3" t="s">
        <v>2243</v>
      </c>
      <c r="M421" s="3" t="s">
        <v>2256</v>
      </c>
      <c r="N421" s="3" t="s">
        <v>2272</v>
      </c>
    </row>
    <row r="422" spans="1:14" x14ac:dyDescent="0.25">
      <c r="A422" s="14" t="s">
        <v>251</v>
      </c>
      <c r="B422" s="16" t="s">
        <v>2196</v>
      </c>
      <c r="C422" s="16" t="s">
        <v>2196</v>
      </c>
      <c r="D422" s="19" t="s">
        <v>28</v>
      </c>
      <c r="E422" s="10" t="s">
        <v>253</v>
      </c>
      <c r="F422" s="20">
        <v>45717</v>
      </c>
      <c r="G422" s="16">
        <v>14</v>
      </c>
      <c r="H422" s="11" t="s">
        <v>255</v>
      </c>
      <c r="I422" s="31">
        <v>20800000</v>
      </c>
      <c r="J422" s="19" t="s">
        <v>257</v>
      </c>
      <c r="K422" s="19" t="s">
        <v>258</v>
      </c>
      <c r="L422" s="3" t="s">
        <v>2243</v>
      </c>
      <c r="M422" s="3" t="s">
        <v>2256</v>
      </c>
      <c r="N422" s="3" t="s">
        <v>2272</v>
      </c>
    </row>
    <row r="423" spans="1:14" x14ac:dyDescent="0.25">
      <c r="A423" s="15" t="s">
        <v>251</v>
      </c>
      <c r="B423" s="17" t="s">
        <v>2196</v>
      </c>
      <c r="C423" s="17" t="s">
        <v>2196</v>
      </c>
      <c r="D423" s="6" t="s">
        <v>28</v>
      </c>
      <c r="E423" s="7" t="s">
        <v>253</v>
      </c>
      <c r="F423" s="20">
        <v>45717</v>
      </c>
      <c r="G423" s="17">
        <v>14</v>
      </c>
      <c r="H423" t="s">
        <v>265</v>
      </c>
      <c r="I423" s="32">
        <v>45150000</v>
      </c>
      <c r="J423" s="19" t="s">
        <v>257</v>
      </c>
      <c r="K423" s="6" t="s">
        <v>258</v>
      </c>
      <c r="L423" s="3" t="s">
        <v>2243</v>
      </c>
      <c r="M423" s="3" t="s">
        <v>2256</v>
      </c>
      <c r="N423" s="3" t="s">
        <v>2272</v>
      </c>
    </row>
    <row r="424" spans="1:14" x14ac:dyDescent="0.25">
      <c r="A424" s="14" t="s">
        <v>251</v>
      </c>
      <c r="B424" s="16" t="s">
        <v>2196</v>
      </c>
      <c r="C424" s="16" t="s">
        <v>2196</v>
      </c>
      <c r="D424" s="19" t="s">
        <v>28</v>
      </c>
      <c r="E424" s="10" t="s">
        <v>253</v>
      </c>
      <c r="F424" s="20">
        <v>45717</v>
      </c>
      <c r="G424" s="16">
        <v>14</v>
      </c>
      <c r="H424" s="11" t="s">
        <v>269</v>
      </c>
      <c r="I424" s="31">
        <v>23200001</v>
      </c>
      <c r="J424" s="19" t="s">
        <v>257</v>
      </c>
      <c r="K424" s="19" t="s">
        <v>258</v>
      </c>
      <c r="L424" s="3" t="s">
        <v>2243</v>
      </c>
      <c r="M424" s="3" t="s">
        <v>2256</v>
      </c>
      <c r="N424" s="3" t="s">
        <v>2272</v>
      </c>
    </row>
    <row r="425" spans="1:14" x14ac:dyDescent="0.25">
      <c r="A425" s="15" t="s">
        <v>251</v>
      </c>
      <c r="B425" s="17" t="s">
        <v>2196</v>
      </c>
      <c r="C425" s="17" t="s">
        <v>2196</v>
      </c>
      <c r="D425" s="6" t="s">
        <v>28</v>
      </c>
      <c r="E425" s="7" t="s">
        <v>253</v>
      </c>
      <c r="F425" s="20">
        <v>45717</v>
      </c>
      <c r="G425" s="17">
        <v>14</v>
      </c>
      <c r="H425" t="s">
        <v>271</v>
      </c>
      <c r="I425" s="32">
        <v>81500000</v>
      </c>
      <c r="J425" s="19" t="s">
        <v>257</v>
      </c>
      <c r="K425" s="6" t="s">
        <v>258</v>
      </c>
      <c r="L425" s="3" t="s">
        <v>2243</v>
      </c>
      <c r="M425" s="3" t="s">
        <v>2256</v>
      </c>
      <c r="N425" s="3" t="s">
        <v>2272</v>
      </c>
    </row>
    <row r="426" spans="1:14" x14ac:dyDescent="0.25">
      <c r="A426" s="14" t="s">
        <v>251</v>
      </c>
      <c r="B426" s="16" t="s">
        <v>2196</v>
      </c>
      <c r="C426" s="16" t="s">
        <v>2196</v>
      </c>
      <c r="D426" s="19" t="s">
        <v>28</v>
      </c>
      <c r="E426" s="10" t="s">
        <v>253</v>
      </c>
      <c r="F426" s="20">
        <v>45717</v>
      </c>
      <c r="G426" s="16">
        <v>14</v>
      </c>
      <c r="H426" s="11" t="s">
        <v>275</v>
      </c>
      <c r="I426" s="31">
        <v>45800000</v>
      </c>
      <c r="J426" s="19" t="s">
        <v>257</v>
      </c>
      <c r="K426" s="19" t="s">
        <v>258</v>
      </c>
      <c r="L426" s="3" t="s">
        <v>2243</v>
      </c>
      <c r="M426" s="3" t="s">
        <v>2256</v>
      </c>
      <c r="N426" s="3" t="s">
        <v>2272</v>
      </c>
    </row>
    <row r="427" spans="1:14" x14ac:dyDescent="0.25">
      <c r="A427" s="15" t="s">
        <v>251</v>
      </c>
      <c r="B427" s="17" t="s">
        <v>2196</v>
      </c>
      <c r="C427" s="17" t="s">
        <v>2196</v>
      </c>
      <c r="D427" s="6" t="s">
        <v>28</v>
      </c>
      <c r="E427" s="7" t="s">
        <v>253</v>
      </c>
      <c r="F427" s="20">
        <v>45717</v>
      </c>
      <c r="G427" s="17">
        <v>14</v>
      </c>
      <c r="H427" t="s">
        <v>272</v>
      </c>
      <c r="I427" s="32">
        <v>13950000</v>
      </c>
      <c r="J427" s="19" t="s">
        <v>257</v>
      </c>
      <c r="K427" s="6" t="s">
        <v>258</v>
      </c>
      <c r="L427" s="3" t="s">
        <v>2243</v>
      </c>
      <c r="M427" s="3" t="s">
        <v>2256</v>
      </c>
      <c r="N427" s="3" t="s">
        <v>2272</v>
      </c>
    </row>
    <row r="428" spans="1:14" x14ac:dyDescent="0.25">
      <c r="A428" s="14" t="s">
        <v>251</v>
      </c>
      <c r="B428" s="16" t="s">
        <v>2196</v>
      </c>
      <c r="C428" s="16" t="s">
        <v>2196</v>
      </c>
      <c r="D428" s="19" t="s">
        <v>28</v>
      </c>
      <c r="E428" s="10" t="s">
        <v>253</v>
      </c>
      <c r="F428" s="20">
        <v>45809</v>
      </c>
      <c r="G428" s="16">
        <v>14</v>
      </c>
      <c r="H428" s="11" t="s">
        <v>281</v>
      </c>
      <c r="I428" s="31">
        <v>225000</v>
      </c>
      <c r="J428" s="19" t="s">
        <v>257</v>
      </c>
      <c r="K428" s="19" t="s">
        <v>258</v>
      </c>
      <c r="L428" s="3" t="s">
        <v>2243</v>
      </c>
      <c r="M428" s="3" t="s">
        <v>2256</v>
      </c>
      <c r="N428" s="3" t="s">
        <v>2272</v>
      </c>
    </row>
    <row r="429" spans="1:14" x14ac:dyDescent="0.25">
      <c r="A429" s="15" t="s">
        <v>251</v>
      </c>
      <c r="B429" s="17" t="s">
        <v>2196</v>
      </c>
      <c r="C429" s="17" t="s">
        <v>2196</v>
      </c>
      <c r="D429" s="6" t="s">
        <v>28</v>
      </c>
      <c r="E429" s="7" t="s">
        <v>253</v>
      </c>
      <c r="F429" s="20">
        <v>45717</v>
      </c>
      <c r="G429" s="17">
        <v>14</v>
      </c>
      <c r="H429" t="s">
        <v>277</v>
      </c>
      <c r="I429" s="32">
        <v>21279996</v>
      </c>
      <c r="J429" s="19" t="s">
        <v>257</v>
      </c>
      <c r="K429" s="6" t="s">
        <v>258</v>
      </c>
      <c r="L429" s="3" t="s">
        <v>2243</v>
      </c>
      <c r="M429" s="3" t="s">
        <v>2256</v>
      </c>
      <c r="N429" s="3" t="s">
        <v>2272</v>
      </c>
    </row>
    <row r="430" spans="1:14" x14ac:dyDescent="0.25">
      <c r="A430" s="14" t="s">
        <v>1119</v>
      </c>
      <c r="B430" s="16" t="s">
        <v>2199</v>
      </c>
      <c r="C430" s="19" t="s">
        <v>28</v>
      </c>
      <c r="D430" s="19" t="s">
        <v>28</v>
      </c>
      <c r="E430" s="10" t="s">
        <v>1120</v>
      </c>
      <c r="F430" s="20">
        <v>46082</v>
      </c>
      <c r="G430" s="16">
        <v>1</v>
      </c>
      <c r="H430" s="11" t="s">
        <v>1121</v>
      </c>
      <c r="I430" s="31">
        <v>600000</v>
      </c>
      <c r="J430" s="19" t="s">
        <v>1122</v>
      </c>
      <c r="K430" s="19" t="s">
        <v>1123</v>
      </c>
      <c r="L430" s="3" t="s">
        <v>2244</v>
      </c>
      <c r="M430" s="3" t="s">
        <v>2256</v>
      </c>
      <c r="N430" s="3" t="s">
        <v>2268</v>
      </c>
    </row>
    <row r="431" spans="1:14" x14ac:dyDescent="0.25">
      <c r="A431" s="15" t="s">
        <v>1126</v>
      </c>
      <c r="B431" s="17" t="s">
        <v>2199</v>
      </c>
      <c r="C431" s="6" t="s">
        <v>28</v>
      </c>
      <c r="D431" s="6" t="s">
        <v>28</v>
      </c>
      <c r="E431" s="7" t="s">
        <v>1127</v>
      </c>
      <c r="F431" s="20">
        <v>46082</v>
      </c>
      <c r="G431" s="17">
        <v>1</v>
      </c>
      <c r="H431" t="s">
        <v>1129</v>
      </c>
      <c r="I431" s="32">
        <v>1700000</v>
      </c>
      <c r="J431" s="19" t="s">
        <v>1122</v>
      </c>
      <c r="K431" s="6" t="s">
        <v>1123</v>
      </c>
      <c r="L431" s="3" t="s">
        <v>2244</v>
      </c>
      <c r="M431" s="3" t="s">
        <v>2256</v>
      </c>
      <c r="N431" s="3" t="s">
        <v>2268</v>
      </c>
    </row>
    <row r="432" spans="1:14" x14ac:dyDescent="0.25">
      <c r="A432" s="14" t="s">
        <v>1130</v>
      </c>
      <c r="B432" s="16" t="s">
        <v>2199</v>
      </c>
      <c r="C432" s="19" t="s">
        <v>28</v>
      </c>
      <c r="D432" s="19" t="s">
        <v>28</v>
      </c>
      <c r="E432" s="10" t="s">
        <v>1131</v>
      </c>
      <c r="F432" s="20">
        <v>46082</v>
      </c>
      <c r="G432" s="16">
        <v>1</v>
      </c>
      <c r="H432" s="11" t="s">
        <v>1133</v>
      </c>
      <c r="I432" s="31">
        <v>1670016</v>
      </c>
      <c r="J432" s="19" t="s">
        <v>1122</v>
      </c>
      <c r="K432" s="19" t="s">
        <v>1123</v>
      </c>
      <c r="L432" s="3" t="s">
        <v>2244</v>
      </c>
      <c r="M432" s="3" t="s">
        <v>2256</v>
      </c>
      <c r="N432" s="3" t="s">
        <v>2268</v>
      </c>
    </row>
    <row r="433" spans="1:14" x14ac:dyDescent="0.25">
      <c r="A433" s="15" t="s">
        <v>1134</v>
      </c>
      <c r="B433" s="17" t="s">
        <v>2199</v>
      </c>
      <c r="C433" s="6" t="s">
        <v>28</v>
      </c>
      <c r="D433" s="6" t="s">
        <v>28</v>
      </c>
      <c r="E433" s="7" t="s">
        <v>1135</v>
      </c>
      <c r="F433" s="20">
        <v>46082</v>
      </c>
      <c r="G433" s="17">
        <v>1</v>
      </c>
      <c r="H433" t="s">
        <v>1137</v>
      </c>
      <c r="I433" s="32">
        <v>900000</v>
      </c>
      <c r="J433" s="19" t="s">
        <v>1122</v>
      </c>
      <c r="K433" s="6" t="s">
        <v>1123</v>
      </c>
      <c r="L433" s="3" t="s">
        <v>2244</v>
      </c>
      <c r="M433" s="3" t="s">
        <v>2256</v>
      </c>
      <c r="N433" s="3" t="s">
        <v>2268</v>
      </c>
    </row>
    <row r="434" spans="1:14" x14ac:dyDescent="0.25">
      <c r="A434" s="14" t="s">
        <v>1138</v>
      </c>
      <c r="B434" s="16" t="s">
        <v>2199</v>
      </c>
      <c r="C434" s="19" t="s">
        <v>28</v>
      </c>
      <c r="D434" s="19" t="s">
        <v>28</v>
      </c>
      <c r="E434" s="10" t="s">
        <v>1140</v>
      </c>
      <c r="F434" s="20">
        <v>46082</v>
      </c>
      <c r="G434" s="16">
        <v>1</v>
      </c>
      <c r="H434" s="11" t="s">
        <v>1142</v>
      </c>
      <c r="I434" s="31">
        <v>3500010</v>
      </c>
      <c r="J434" s="19" t="s">
        <v>1122</v>
      </c>
      <c r="K434" s="19" t="s">
        <v>1123</v>
      </c>
      <c r="L434" s="3" t="s">
        <v>2244</v>
      </c>
      <c r="M434" s="3" t="s">
        <v>2256</v>
      </c>
      <c r="N434" s="3" t="s">
        <v>2268</v>
      </c>
    </row>
    <row r="435" spans="1:14" x14ac:dyDescent="0.25">
      <c r="A435" s="15" t="s">
        <v>930</v>
      </c>
      <c r="B435" s="17" t="s">
        <v>2199</v>
      </c>
      <c r="C435" s="6" t="s">
        <v>28</v>
      </c>
      <c r="D435" s="6" t="s">
        <v>28</v>
      </c>
      <c r="E435" s="7" t="s">
        <v>931</v>
      </c>
      <c r="F435" s="20">
        <v>46023</v>
      </c>
      <c r="G435" s="17">
        <v>1</v>
      </c>
      <c r="H435" t="s">
        <v>933</v>
      </c>
      <c r="I435" s="32">
        <v>681264</v>
      </c>
      <c r="J435" s="19" t="s">
        <v>934</v>
      </c>
      <c r="K435" s="6" t="s">
        <v>935</v>
      </c>
      <c r="L435" s="3" t="s">
        <v>2230</v>
      </c>
      <c r="M435" s="3" t="s">
        <v>2227</v>
      </c>
      <c r="N435" s="3" t="s">
        <v>2261</v>
      </c>
    </row>
    <row r="436" spans="1:14" x14ac:dyDescent="0.25">
      <c r="A436" s="14" t="s">
        <v>996</v>
      </c>
      <c r="B436" s="16" t="s">
        <v>2199</v>
      </c>
      <c r="C436" s="19" t="s">
        <v>28</v>
      </c>
      <c r="D436" s="19" t="s">
        <v>28</v>
      </c>
      <c r="E436" s="10" t="s">
        <v>997</v>
      </c>
      <c r="F436" s="20">
        <v>46023</v>
      </c>
      <c r="G436" s="16">
        <v>1</v>
      </c>
      <c r="H436" s="11" t="s">
        <v>486</v>
      </c>
      <c r="I436" s="31">
        <v>60000</v>
      </c>
      <c r="J436" s="19" t="s">
        <v>934</v>
      </c>
      <c r="K436" s="19" t="s">
        <v>935</v>
      </c>
      <c r="L436" s="3" t="s">
        <v>2230</v>
      </c>
      <c r="M436" s="3" t="s">
        <v>2227</v>
      </c>
      <c r="N436" s="3" t="s">
        <v>2261</v>
      </c>
    </row>
    <row r="437" spans="1:14" x14ac:dyDescent="0.25">
      <c r="A437" s="15" t="s">
        <v>1069</v>
      </c>
      <c r="B437" s="17" t="s">
        <v>2199</v>
      </c>
      <c r="C437" s="6" t="s">
        <v>28</v>
      </c>
      <c r="D437" s="6" t="s">
        <v>28</v>
      </c>
      <c r="E437" s="7" t="s">
        <v>1070</v>
      </c>
      <c r="F437" s="20">
        <v>46023</v>
      </c>
      <c r="G437" s="17">
        <v>1</v>
      </c>
      <c r="H437" t="s">
        <v>819</v>
      </c>
      <c r="I437" s="32">
        <v>450000</v>
      </c>
      <c r="J437" s="19" t="s">
        <v>934</v>
      </c>
      <c r="K437" s="6" t="s">
        <v>935</v>
      </c>
      <c r="L437" s="3" t="s">
        <v>2230</v>
      </c>
      <c r="M437" s="3" t="s">
        <v>2227</v>
      </c>
      <c r="N437" s="3" t="s">
        <v>2261</v>
      </c>
    </row>
    <row r="438" spans="1:14" x14ac:dyDescent="0.25">
      <c r="A438" s="14" t="s">
        <v>1085</v>
      </c>
      <c r="B438" s="16" t="s">
        <v>2199</v>
      </c>
      <c r="C438" s="19" t="s">
        <v>28</v>
      </c>
      <c r="D438" s="19" t="s">
        <v>28</v>
      </c>
      <c r="E438" s="10" t="s">
        <v>1086</v>
      </c>
      <c r="F438" s="20">
        <v>46023</v>
      </c>
      <c r="G438" s="16">
        <v>1</v>
      </c>
      <c r="H438" s="11" t="s">
        <v>1088</v>
      </c>
      <c r="I438" s="31">
        <v>352600</v>
      </c>
      <c r="J438" s="19" t="s">
        <v>934</v>
      </c>
      <c r="K438" s="19" t="s">
        <v>935</v>
      </c>
      <c r="L438" s="3" t="s">
        <v>2230</v>
      </c>
      <c r="M438" s="3" t="s">
        <v>2227</v>
      </c>
      <c r="N438" s="3" t="s">
        <v>2261</v>
      </c>
    </row>
    <row r="439" spans="1:14" x14ac:dyDescent="0.25">
      <c r="A439" s="15" t="s">
        <v>1089</v>
      </c>
      <c r="B439" s="17" t="s">
        <v>2199</v>
      </c>
      <c r="C439" s="6" t="s">
        <v>28</v>
      </c>
      <c r="D439" s="6" t="s">
        <v>28</v>
      </c>
      <c r="E439" s="7" t="s">
        <v>1090</v>
      </c>
      <c r="F439" s="20">
        <v>46054</v>
      </c>
      <c r="G439" s="17">
        <v>1</v>
      </c>
      <c r="H439" t="s">
        <v>781</v>
      </c>
      <c r="I439" s="32">
        <v>50004</v>
      </c>
      <c r="J439" s="19" t="s">
        <v>934</v>
      </c>
      <c r="K439" s="6" t="s">
        <v>935</v>
      </c>
      <c r="L439" s="3" t="s">
        <v>2230</v>
      </c>
      <c r="M439" s="3" t="s">
        <v>2227</v>
      </c>
      <c r="N439" s="3" t="s">
        <v>2261</v>
      </c>
    </row>
    <row r="440" spans="1:14" x14ac:dyDescent="0.25">
      <c r="A440" s="14" t="s">
        <v>1632</v>
      </c>
      <c r="B440" s="16" t="s">
        <v>2199</v>
      </c>
      <c r="C440" s="19" t="s">
        <v>28</v>
      </c>
      <c r="D440" s="19" t="s">
        <v>28</v>
      </c>
      <c r="E440" s="10" t="s">
        <v>1633</v>
      </c>
      <c r="F440" s="20">
        <v>46204</v>
      </c>
      <c r="G440" s="16">
        <v>2</v>
      </c>
      <c r="H440" s="11" t="s">
        <v>1636</v>
      </c>
      <c r="I440" s="31">
        <v>80000</v>
      </c>
      <c r="J440" s="19" t="s">
        <v>934</v>
      </c>
      <c r="K440" s="19" t="s">
        <v>935</v>
      </c>
      <c r="L440" s="3" t="s">
        <v>2230</v>
      </c>
      <c r="M440" s="3" t="s">
        <v>2227</v>
      </c>
      <c r="N440" s="3" t="s">
        <v>2261</v>
      </c>
    </row>
    <row r="441" spans="1:14" x14ac:dyDescent="0.25">
      <c r="A441" s="15" t="s">
        <v>1632</v>
      </c>
      <c r="B441" s="17" t="s">
        <v>2199</v>
      </c>
      <c r="C441" s="6" t="s">
        <v>28</v>
      </c>
      <c r="D441" s="6" t="s">
        <v>28</v>
      </c>
      <c r="E441" s="7" t="s">
        <v>1633</v>
      </c>
      <c r="F441" s="20">
        <v>46204</v>
      </c>
      <c r="G441" s="17">
        <v>2</v>
      </c>
      <c r="H441" t="s">
        <v>1635</v>
      </c>
      <c r="I441" s="32">
        <v>360000</v>
      </c>
      <c r="J441" s="19" t="s">
        <v>934</v>
      </c>
      <c r="K441" s="6" t="s">
        <v>935</v>
      </c>
      <c r="L441" s="3" t="s">
        <v>2230</v>
      </c>
      <c r="M441" s="3" t="s">
        <v>2227</v>
      </c>
      <c r="N441" s="3" t="s">
        <v>2261</v>
      </c>
    </row>
    <row r="442" spans="1:14" x14ac:dyDescent="0.25">
      <c r="A442" s="14" t="s">
        <v>298</v>
      </c>
      <c r="B442" s="16" t="s">
        <v>2196</v>
      </c>
      <c r="C442" s="16" t="s">
        <v>2196</v>
      </c>
      <c r="D442" s="19" t="s">
        <v>28</v>
      </c>
      <c r="E442" s="10" t="s">
        <v>300</v>
      </c>
      <c r="F442" s="20">
        <v>45839</v>
      </c>
      <c r="G442" s="16">
        <v>1</v>
      </c>
      <c r="H442" s="11" t="s">
        <v>205</v>
      </c>
      <c r="I442" s="31">
        <v>144000000</v>
      </c>
      <c r="J442" s="19" t="s">
        <v>182</v>
      </c>
      <c r="K442" s="19" t="s">
        <v>302</v>
      </c>
      <c r="L442" s="51" t="s">
        <v>2278</v>
      </c>
      <c r="M442" s="3" t="s">
        <v>2256</v>
      </c>
      <c r="N442" s="3" t="s">
        <v>2268</v>
      </c>
    </row>
    <row r="443" spans="1:14" x14ac:dyDescent="0.25">
      <c r="A443" s="15" t="s">
        <v>202</v>
      </c>
      <c r="B443" s="17" t="s">
        <v>2196</v>
      </c>
      <c r="C443" s="17" t="s">
        <v>2196</v>
      </c>
      <c r="D443" s="6" t="s">
        <v>28</v>
      </c>
      <c r="E443" s="7" t="s">
        <v>203</v>
      </c>
      <c r="F443" s="20">
        <v>45658</v>
      </c>
      <c r="G443" s="17">
        <v>2</v>
      </c>
      <c r="H443" t="s">
        <v>205</v>
      </c>
      <c r="I443" s="32">
        <v>70333380</v>
      </c>
      <c r="J443" s="19" t="s">
        <v>182</v>
      </c>
      <c r="K443" s="6" t="s">
        <v>183</v>
      </c>
      <c r="L443" s="51" t="s">
        <v>2278</v>
      </c>
      <c r="M443" s="3" t="s">
        <v>2256</v>
      </c>
      <c r="N443" s="3" t="s">
        <v>2268</v>
      </c>
    </row>
    <row r="444" spans="1:14" x14ac:dyDescent="0.25">
      <c r="A444" s="14" t="s">
        <v>177</v>
      </c>
      <c r="B444" s="16" t="s">
        <v>2196</v>
      </c>
      <c r="C444" s="16" t="s">
        <v>2196</v>
      </c>
      <c r="D444" s="19" t="s">
        <v>28</v>
      </c>
      <c r="E444" s="10" t="s">
        <v>179</v>
      </c>
      <c r="F444" s="20">
        <v>45444</v>
      </c>
      <c r="G444" s="16">
        <v>1</v>
      </c>
      <c r="H444" s="11" t="s">
        <v>181</v>
      </c>
      <c r="I444" s="31">
        <v>905196910</v>
      </c>
      <c r="J444" s="19" t="s">
        <v>182</v>
      </c>
      <c r="K444" s="19" t="s">
        <v>183</v>
      </c>
      <c r="L444" s="51" t="s">
        <v>2278</v>
      </c>
      <c r="M444" s="3" t="s">
        <v>2256</v>
      </c>
      <c r="N444" s="3" t="s">
        <v>2268</v>
      </c>
    </row>
    <row r="445" spans="1:14" x14ac:dyDescent="0.25">
      <c r="A445" s="15" t="s">
        <v>1748</v>
      </c>
      <c r="B445" s="17" t="s">
        <v>2199</v>
      </c>
      <c r="C445" s="6" t="s">
        <v>28</v>
      </c>
      <c r="D445" s="6" t="s">
        <v>28</v>
      </c>
      <c r="E445" s="7" t="s">
        <v>1749</v>
      </c>
      <c r="F445" s="20">
        <v>46023</v>
      </c>
      <c r="G445" s="17">
        <v>1</v>
      </c>
      <c r="H445" t="s">
        <v>1751</v>
      </c>
      <c r="I445" s="32">
        <v>10000000</v>
      </c>
      <c r="J445" s="19" t="s">
        <v>1752</v>
      </c>
      <c r="K445" s="6" t="s">
        <v>1753</v>
      </c>
      <c r="L445" s="3" t="s">
        <v>2230</v>
      </c>
      <c r="M445" s="3" t="s">
        <v>2227</v>
      </c>
      <c r="N445" s="3" t="s">
        <v>2261</v>
      </c>
    </row>
    <row r="446" spans="1:14" x14ac:dyDescent="0.25">
      <c r="A446" s="14" t="s">
        <v>1807</v>
      </c>
      <c r="B446" s="16" t="s">
        <v>2199</v>
      </c>
      <c r="C446" s="19" t="s">
        <v>28</v>
      </c>
      <c r="D446" s="19" t="s">
        <v>28</v>
      </c>
      <c r="E446" s="10" t="s">
        <v>1808</v>
      </c>
      <c r="F446" s="20">
        <v>46023</v>
      </c>
      <c r="G446" s="16">
        <v>1</v>
      </c>
      <c r="H446" s="11" t="s">
        <v>1810</v>
      </c>
      <c r="I446" s="31">
        <v>10000000</v>
      </c>
      <c r="J446" s="19" t="s">
        <v>1752</v>
      </c>
      <c r="K446" s="19" t="s">
        <v>1753</v>
      </c>
      <c r="L446" s="3" t="s">
        <v>2230</v>
      </c>
      <c r="M446" s="3" t="s">
        <v>2227</v>
      </c>
      <c r="N446" s="3" t="s">
        <v>2261</v>
      </c>
    </row>
    <row r="447" spans="1:14" x14ac:dyDescent="0.25">
      <c r="A447" s="15" t="s">
        <v>1207</v>
      </c>
      <c r="B447" s="17" t="s">
        <v>2199</v>
      </c>
      <c r="C447" s="6" t="s">
        <v>28</v>
      </c>
      <c r="D447" s="6" t="s">
        <v>28</v>
      </c>
      <c r="E447" s="7" t="s">
        <v>1208</v>
      </c>
      <c r="F447" s="20">
        <v>46082</v>
      </c>
      <c r="G447" s="17">
        <v>1</v>
      </c>
      <c r="H447" t="s">
        <v>1210</v>
      </c>
      <c r="I447" s="32">
        <v>198030</v>
      </c>
      <c r="J447" s="19" t="s">
        <v>1211</v>
      </c>
      <c r="K447" s="6" t="s">
        <v>320</v>
      </c>
      <c r="L447" s="3" t="s">
        <v>2225</v>
      </c>
      <c r="M447" s="3" t="s">
        <v>2234</v>
      </c>
      <c r="N447" s="3" t="s">
        <v>2258</v>
      </c>
    </row>
    <row r="448" spans="1:14" x14ac:dyDescent="0.25">
      <c r="A448" s="14" t="s">
        <v>1224</v>
      </c>
      <c r="B448" s="16" t="s">
        <v>2199</v>
      </c>
      <c r="C448" s="19" t="s">
        <v>28</v>
      </c>
      <c r="D448" s="19" t="s">
        <v>28</v>
      </c>
      <c r="E448" s="10" t="s">
        <v>1225</v>
      </c>
      <c r="F448" s="20">
        <v>46113</v>
      </c>
      <c r="G448" s="16">
        <v>2</v>
      </c>
      <c r="H448" s="11" t="s">
        <v>486</v>
      </c>
      <c r="I448" s="31">
        <v>695014</v>
      </c>
      <c r="J448" s="19" t="s">
        <v>1211</v>
      </c>
      <c r="K448" s="19" t="s">
        <v>320</v>
      </c>
      <c r="L448" s="3" t="s">
        <v>2225</v>
      </c>
      <c r="M448" s="3" t="s">
        <v>2234</v>
      </c>
      <c r="N448" s="3" t="s">
        <v>2258</v>
      </c>
    </row>
    <row r="449" spans="1:14" x14ac:dyDescent="0.25">
      <c r="A449" s="15" t="s">
        <v>1224</v>
      </c>
      <c r="B449" s="17" t="s">
        <v>2199</v>
      </c>
      <c r="C449" s="6" t="s">
        <v>28</v>
      </c>
      <c r="D449" s="6" t="s">
        <v>28</v>
      </c>
      <c r="E449" s="7" t="s">
        <v>1225</v>
      </c>
      <c r="F449" s="20">
        <v>46113</v>
      </c>
      <c r="G449" s="17">
        <v>2</v>
      </c>
      <c r="H449" t="s">
        <v>1227</v>
      </c>
      <c r="I449" s="32">
        <v>20000</v>
      </c>
      <c r="J449" s="19" t="s">
        <v>1211</v>
      </c>
      <c r="K449" s="6" t="s">
        <v>320</v>
      </c>
      <c r="L449" s="3" t="s">
        <v>2225</v>
      </c>
      <c r="M449" s="3" t="s">
        <v>2234</v>
      </c>
      <c r="N449" s="3" t="s">
        <v>2258</v>
      </c>
    </row>
    <row r="450" spans="1:14" x14ac:dyDescent="0.25">
      <c r="A450" s="14" t="s">
        <v>1456</v>
      </c>
      <c r="B450" s="16" t="s">
        <v>2199</v>
      </c>
      <c r="C450" s="19" t="s">
        <v>28</v>
      </c>
      <c r="D450" s="19" t="s">
        <v>28</v>
      </c>
      <c r="E450" s="10" t="s">
        <v>1457</v>
      </c>
      <c r="F450" s="20">
        <v>46054</v>
      </c>
      <c r="G450" s="16">
        <v>1</v>
      </c>
      <c r="H450" s="11" t="s">
        <v>1459</v>
      </c>
      <c r="I450" s="31">
        <v>170001</v>
      </c>
      <c r="J450" s="19" t="s">
        <v>1211</v>
      </c>
      <c r="K450" s="19" t="s">
        <v>320</v>
      </c>
      <c r="L450" s="3" t="s">
        <v>2225</v>
      </c>
      <c r="M450" s="3" t="s">
        <v>2234</v>
      </c>
      <c r="N450" s="3" t="s">
        <v>2258</v>
      </c>
    </row>
    <row r="451" spans="1:14" x14ac:dyDescent="0.25">
      <c r="A451" s="15" t="s">
        <v>1489</v>
      </c>
      <c r="B451" s="17" t="s">
        <v>2199</v>
      </c>
      <c r="C451" s="6" t="s">
        <v>28</v>
      </c>
      <c r="D451" s="6" t="s">
        <v>28</v>
      </c>
      <c r="E451" s="7" t="s">
        <v>1490</v>
      </c>
      <c r="F451" s="20">
        <v>46113</v>
      </c>
      <c r="G451" s="17">
        <v>1</v>
      </c>
      <c r="H451" t="s">
        <v>359</v>
      </c>
      <c r="I451" s="32">
        <v>218020</v>
      </c>
      <c r="J451" s="19" t="s">
        <v>1211</v>
      </c>
      <c r="K451" s="6" t="s">
        <v>320</v>
      </c>
      <c r="L451" s="3" t="s">
        <v>2225</v>
      </c>
      <c r="M451" s="3" t="s">
        <v>2234</v>
      </c>
      <c r="N451" s="3" t="s">
        <v>2258</v>
      </c>
    </row>
    <row r="452" spans="1:14" x14ac:dyDescent="0.25">
      <c r="A452" s="14" t="s">
        <v>1539</v>
      </c>
      <c r="B452" s="16" t="s">
        <v>2199</v>
      </c>
      <c r="C452" s="19" t="s">
        <v>28</v>
      </c>
      <c r="D452" s="19" t="s">
        <v>28</v>
      </c>
      <c r="E452" s="10" t="s">
        <v>1540</v>
      </c>
      <c r="F452" s="20">
        <v>46327</v>
      </c>
      <c r="G452" s="16">
        <v>1</v>
      </c>
      <c r="H452" s="11" t="s">
        <v>1191</v>
      </c>
      <c r="I452" s="31">
        <v>400000</v>
      </c>
      <c r="J452" s="19" t="s">
        <v>1211</v>
      </c>
      <c r="K452" s="19" t="s">
        <v>320</v>
      </c>
      <c r="L452" s="3" t="s">
        <v>2225</v>
      </c>
      <c r="M452" s="3" t="s">
        <v>2234</v>
      </c>
      <c r="N452" s="3" t="s">
        <v>2258</v>
      </c>
    </row>
    <row r="453" spans="1:14" x14ac:dyDescent="0.25">
      <c r="A453" s="15" t="s">
        <v>1566</v>
      </c>
      <c r="B453" s="17" t="s">
        <v>2199</v>
      </c>
      <c r="C453" s="6" t="s">
        <v>28</v>
      </c>
      <c r="D453" s="6" t="s">
        <v>28</v>
      </c>
      <c r="E453" s="7" t="s">
        <v>1567</v>
      </c>
      <c r="F453" s="20">
        <v>46054</v>
      </c>
      <c r="G453" s="17">
        <v>1</v>
      </c>
      <c r="H453" t="s">
        <v>1121</v>
      </c>
      <c r="I453" s="32">
        <v>120000</v>
      </c>
      <c r="J453" s="19" t="s">
        <v>1211</v>
      </c>
      <c r="K453" s="6" t="s">
        <v>320</v>
      </c>
      <c r="L453" s="3" t="s">
        <v>2225</v>
      </c>
      <c r="M453" s="3" t="s">
        <v>2234</v>
      </c>
      <c r="N453" s="3" t="s">
        <v>2258</v>
      </c>
    </row>
    <row r="454" spans="1:14" x14ac:dyDescent="0.25">
      <c r="A454" s="14" t="s">
        <v>1725</v>
      </c>
      <c r="B454" s="16" t="s">
        <v>2199</v>
      </c>
      <c r="C454" s="19" t="s">
        <v>28</v>
      </c>
      <c r="D454" s="19" t="s">
        <v>28</v>
      </c>
      <c r="E454" s="10" t="s">
        <v>1726</v>
      </c>
      <c r="F454" s="20">
        <v>46143</v>
      </c>
      <c r="G454" s="16">
        <v>1</v>
      </c>
      <c r="H454" s="11" t="s">
        <v>623</v>
      </c>
      <c r="I454" s="31">
        <v>900000</v>
      </c>
      <c r="J454" s="19" t="s">
        <v>1211</v>
      </c>
      <c r="K454" s="19" t="s">
        <v>320</v>
      </c>
      <c r="L454" s="3" t="s">
        <v>2225</v>
      </c>
      <c r="M454" s="3" t="s">
        <v>2234</v>
      </c>
      <c r="N454" s="3" t="s">
        <v>2258</v>
      </c>
    </row>
    <row r="455" spans="1:14" x14ac:dyDescent="0.25">
      <c r="A455" s="15" t="s">
        <v>1728</v>
      </c>
      <c r="B455" s="17" t="s">
        <v>2199</v>
      </c>
      <c r="C455" s="6" t="s">
        <v>28</v>
      </c>
      <c r="D455" s="6" t="s">
        <v>28</v>
      </c>
      <c r="E455" s="7" t="s">
        <v>1729</v>
      </c>
      <c r="F455" s="20">
        <v>46357</v>
      </c>
      <c r="G455" s="17">
        <v>1</v>
      </c>
      <c r="H455" t="s">
        <v>882</v>
      </c>
      <c r="I455" s="32">
        <v>1500000</v>
      </c>
      <c r="J455" s="19" t="s">
        <v>1211</v>
      </c>
      <c r="K455" s="6" t="s">
        <v>320</v>
      </c>
      <c r="L455" s="3" t="s">
        <v>2225</v>
      </c>
      <c r="M455" s="3" t="s">
        <v>2234</v>
      </c>
      <c r="N455" s="3" t="s">
        <v>2258</v>
      </c>
    </row>
    <row r="456" spans="1:14" x14ac:dyDescent="0.25">
      <c r="A456" s="14" t="s">
        <v>1485</v>
      </c>
      <c r="B456" s="16" t="s">
        <v>2199</v>
      </c>
      <c r="C456" s="19" t="s">
        <v>1238</v>
      </c>
      <c r="D456" s="19" t="s">
        <v>1238</v>
      </c>
      <c r="E456" s="10" t="s">
        <v>1486</v>
      </c>
      <c r="F456" s="20">
        <v>46054</v>
      </c>
      <c r="G456" s="16">
        <v>1</v>
      </c>
      <c r="H456" s="11" t="s">
        <v>1488</v>
      </c>
      <c r="I456" s="31">
        <v>250000</v>
      </c>
      <c r="J456" s="19" t="s">
        <v>1211</v>
      </c>
      <c r="K456" s="19" t="s">
        <v>320</v>
      </c>
      <c r="L456" s="3" t="s">
        <v>2225</v>
      </c>
      <c r="M456" s="3" t="s">
        <v>2234</v>
      </c>
      <c r="N456" s="3" t="s">
        <v>2258</v>
      </c>
    </row>
    <row r="457" spans="1:14" x14ac:dyDescent="0.25">
      <c r="A457" s="15" t="s">
        <v>313</v>
      </c>
      <c r="B457" s="17" t="s">
        <v>2196</v>
      </c>
      <c r="C457" s="17" t="s">
        <v>2196</v>
      </c>
      <c r="D457" s="6" t="s">
        <v>28</v>
      </c>
      <c r="E457" s="7" t="s">
        <v>315</v>
      </c>
      <c r="F457" s="20">
        <v>45839</v>
      </c>
      <c r="G457" s="17">
        <v>1</v>
      </c>
      <c r="H457" t="s">
        <v>317</v>
      </c>
      <c r="I457" s="32">
        <v>36208337</v>
      </c>
      <c r="J457" s="19" t="s">
        <v>319</v>
      </c>
      <c r="K457" s="6" t="s">
        <v>320</v>
      </c>
      <c r="L457" s="3" t="s">
        <v>2225</v>
      </c>
      <c r="M457" s="3" t="s">
        <v>2234</v>
      </c>
      <c r="N457" s="3" t="s">
        <v>2258</v>
      </c>
    </row>
    <row r="458" spans="1:14" x14ac:dyDescent="0.25">
      <c r="A458" s="14" t="s">
        <v>323</v>
      </c>
      <c r="B458" s="16" t="s">
        <v>2196</v>
      </c>
      <c r="C458" s="16" t="s">
        <v>2196</v>
      </c>
      <c r="D458" s="19" t="s">
        <v>28</v>
      </c>
      <c r="E458" s="10" t="s">
        <v>324</v>
      </c>
      <c r="F458" s="20">
        <v>45870</v>
      </c>
      <c r="G458" s="16">
        <v>1</v>
      </c>
      <c r="H458" s="11" t="s">
        <v>326</v>
      </c>
      <c r="I458" s="31">
        <v>28875000</v>
      </c>
      <c r="J458" s="19" t="s">
        <v>319</v>
      </c>
      <c r="K458" s="19" t="s">
        <v>320</v>
      </c>
      <c r="L458" s="3" t="s">
        <v>2225</v>
      </c>
      <c r="M458" s="3" t="s">
        <v>2234</v>
      </c>
      <c r="N458" s="3" t="s">
        <v>2258</v>
      </c>
    </row>
    <row r="459" spans="1:14" x14ac:dyDescent="0.25">
      <c r="A459" s="15" t="s">
        <v>434</v>
      </c>
      <c r="B459" s="17" t="s">
        <v>2196</v>
      </c>
      <c r="C459" s="17" t="s">
        <v>2196</v>
      </c>
      <c r="D459" s="6" t="s">
        <v>28</v>
      </c>
      <c r="E459" s="7" t="s">
        <v>435</v>
      </c>
      <c r="F459" s="20">
        <v>45870</v>
      </c>
      <c r="G459" s="17">
        <v>1</v>
      </c>
      <c r="H459" t="s">
        <v>359</v>
      </c>
      <c r="I459" s="32">
        <v>73333326</v>
      </c>
      <c r="J459" s="19" t="s">
        <v>319</v>
      </c>
      <c r="K459" s="6" t="s">
        <v>320</v>
      </c>
      <c r="L459" s="3" t="s">
        <v>2225</v>
      </c>
      <c r="M459" s="3" t="s">
        <v>2234</v>
      </c>
      <c r="N459" s="3" t="s">
        <v>2258</v>
      </c>
    </row>
    <row r="460" spans="1:14" x14ac:dyDescent="0.25">
      <c r="A460" s="14" t="s">
        <v>895</v>
      </c>
      <c r="B460" s="16" t="s">
        <v>2199</v>
      </c>
      <c r="C460" s="19" t="s">
        <v>28</v>
      </c>
      <c r="D460" s="19" t="s">
        <v>28</v>
      </c>
      <c r="E460" s="10" t="s">
        <v>896</v>
      </c>
      <c r="F460" s="20">
        <v>46082</v>
      </c>
      <c r="G460" s="16">
        <v>1</v>
      </c>
      <c r="H460" s="11" t="s">
        <v>898</v>
      </c>
      <c r="I460" s="31">
        <v>200000</v>
      </c>
      <c r="J460" s="19" t="s">
        <v>899</v>
      </c>
      <c r="K460" s="19" t="s">
        <v>900</v>
      </c>
      <c r="L460" s="3" t="s">
        <v>2230</v>
      </c>
      <c r="M460" s="3" t="s">
        <v>2227</v>
      </c>
      <c r="N460" s="3" t="s">
        <v>2261</v>
      </c>
    </row>
    <row r="461" spans="1:14" x14ac:dyDescent="0.25">
      <c r="A461" s="15" t="s">
        <v>2028</v>
      </c>
      <c r="B461" s="17" t="s">
        <v>2199</v>
      </c>
      <c r="C461" s="6" t="s">
        <v>374</v>
      </c>
      <c r="D461" s="6" t="s">
        <v>374</v>
      </c>
      <c r="E461" s="7" t="s">
        <v>2029</v>
      </c>
      <c r="F461" s="20">
        <v>46082</v>
      </c>
      <c r="G461" s="17">
        <v>8</v>
      </c>
      <c r="H461" t="s">
        <v>831</v>
      </c>
      <c r="I461" s="32">
        <v>930000</v>
      </c>
      <c r="J461" s="19" t="s">
        <v>2032</v>
      </c>
      <c r="K461" s="6" t="s">
        <v>2033</v>
      </c>
      <c r="L461" s="3" t="s">
        <v>2221</v>
      </c>
      <c r="M461" s="3" t="s">
        <v>2234</v>
      </c>
      <c r="N461" s="3" t="s">
        <v>2259</v>
      </c>
    </row>
    <row r="462" spans="1:14" x14ac:dyDescent="0.25">
      <c r="A462" s="14" t="s">
        <v>2028</v>
      </c>
      <c r="B462" s="16" t="s">
        <v>2199</v>
      </c>
      <c r="C462" s="19" t="s">
        <v>374</v>
      </c>
      <c r="D462" s="19" t="s">
        <v>374</v>
      </c>
      <c r="E462" s="10" t="s">
        <v>2029</v>
      </c>
      <c r="F462" s="20">
        <v>46082</v>
      </c>
      <c r="G462" s="16">
        <v>8</v>
      </c>
      <c r="H462" s="11" t="s">
        <v>370</v>
      </c>
      <c r="I462" s="31">
        <v>250000</v>
      </c>
      <c r="J462" s="19" t="s">
        <v>2032</v>
      </c>
      <c r="K462" s="19" t="s">
        <v>2033</v>
      </c>
      <c r="L462" s="3" t="s">
        <v>2221</v>
      </c>
      <c r="M462" s="3" t="s">
        <v>2234</v>
      </c>
      <c r="N462" s="3" t="s">
        <v>2259</v>
      </c>
    </row>
    <row r="463" spans="1:14" x14ac:dyDescent="0.25">
      <c r="A463" s="15" t="s">
        <v>2028</v>
      </c>
      <c r="B463" s="17" t="s">
        <v>2199</v>
      </c>
      <c r="C463" s="6" t="s">
        <v>374</v>
      </c>
      <c r="D463" s="6" t="s">
        <v>374</v>
      </c>
      <c r="E463" s="7" t="s">
        <v>2029</v>
      </c>
      <c r="F463" s="20">
        <v>46082</v>
      </c>
      <c r="G463" s="17">
        <v>8</v>
      </c>
      <c r="H463" t="s">
        <v>1174</v>
      </c>
      <c r="I463" s="32">
        <v>1195000</v>
      </c>
      <c r="J463" s="19" t="s">
        <v>2032</v>
      </c>
      <c r="K463" s="6" t="s">
        <v>2033</v>
      </c>
      <c r="L463" s="3" t="s">
        <v>2221</v>
      </c>
      <c r="M463" s="3" t="s">
        <v>2234</v>
      </c>
      <c r="N463" s="3" t="s">
        <v>2259</v>
      </c>
    </row>
    <row r="464" spans="1:14" x14ac:dyDescent="0.25">
      <c r="A464" s="14" t="s">
        <v>2028</v>
      </c>
      <c r="B464" s="16" t="s">
        <v>2199</v>
      </c>
      <c r="C464" s="19" t="s">
        <v>374</v>
      </c>
      <c r="D464" s="19" t="s">
        <v>374</v>
      </c>
      <c r="E464" s="10" t="s">
        <v>2029</v>
      </c>
      <c r="F464" s="20">
        <v>46082</v>
      </c>
      <c r="G464" s="16">
        <v>8</v>
      </c>
      <c r="H464" s="11" t="s">
        <v>2031</v>
      </c>
      <c r="I464" s="31">
        <v>600000</v>
      </c>
      <c r="J464" s="19" t="s">
        <v>2032</v>
      </c>
      <c r="K464" s="19" t="s">
        <v>2033</v>
      </c>
      <c r="L464" s="3" t="s">
        <v>2221</v>
      </c>
      <c r="M464" s="3" t="s">
        <v>2234</v>
      </c>
      <c r="N464" s="3" t="s">
        <v>2259</v>
      </c>
    </row>
    <row r="465" spans="1:14" x14ac:dyDescent="0.25">
      <c r="A465" s="15" t="s">
        <v>2028</v>
      </c>
      <c r="B465" s="17" t="s">
        <v>2199</v>
      </c>
      <c r="C465" s="6" t="s">
        <v>374</v>
      </c>
      <c r="D465" s="6" t="s">
        <v>374</v>
      </c>
      <c r="E465" s="7" t="s">
        <v>2029</v>
      </c>
      <c r="F465" s="20">
        <v>46082</v>
      </c>
      <c r="G465" s="17">
        <v>8</v>
      </c>
      <c r="H465" t="s">
        <v>1279</v>
      </c>
      <c r="I465" s="32">
        <v>1850000</v>
      </c>
      <c r="J465" s="19" t="s">
        <v>2032</v>
      </c>
      <c r="K465" s="6" t="s">
        <v>2033</v>
      </c>
      <c r="L465" s="3" t="s">
        <v>2221</v>
      </c>
      <c r="M465" s="3" t="s">
        <v>2234</v>
      </c>
      <c r="N465" s="3" t="s">
        <v>2259</v>
      </c>
    </row>
    <row r="466" spans="1:14" x14ac:dyDescent="0.25">
      <c r="A466" s="14" t="s">
        <v>2028</v>
      </c>
      <c r="B466" s="16" t="s">
        <v>2199</v>
      </c>
      <c r="C466" s="19" t="s">
        <v>374</v>
      </c>
      <c r="D466" s="19" t="s">
        <v>374</v>
      </c>
      <c r="E466" s="10" t="s">
        <v>2029</v>
      </c>
      <c r="F466" s="20">
        <v>46082</v>
      </c>
      <c r="G466" s="16">
        <v>8</v>
      </c>
      <c r="H466" s="11" t="s">
        <v>486</v>
      </c>
      <c r="I466" s="31">
        <v>1164000</v>
      </c>
      <c r="J466" s="19" t="s">
        <v>2032</v>
      </c>
      <c r="K466" s="19" t="s">
        <v>2033</v>
      </c>
      <c r="L466" s="3" t="s">
        <v>2221</v>
      </c>
      <c r="M466" s="3" t="s">
        <v>2234</v>
      </c>
      <c r="N466" s="3" t="s">
        <v>2259</v>
      </c>
    </row>
    <row r="467" spans="1:14" x14ac:dyDescent="0.25">
      <c r="A467" s="15" t="s">
        <v>2028</v>
      </c>
      <c r="B467" s="17" t="s">
        <v>2199</v>
      </c>
      <c r="C467" s="6" t="s">
        <v>374</v>
      </c>
      <c r="D467" s="6" t="s">
        <v>374</v>
      </c>
      <c r="E467" s="7" t="s">
        <v>2029</v>
      </c>
      <c r="F467" s="20">
        <v>46082</v>
      </c>
      <c r="G467" s="17">
        <v>8</v>
      </c>
      <c r="H467" t="s">
        <v>1678</v>
      </c>
      <c r="I467" s="32">
        <v>395540</v>
      </c>
      <c r="J467" s="19" t="s">
        <v>2032</v>
      </c>
      <c r="K467" s="6" t="s">
        <v>2033</v>
      </c>
      <c r="L467" s="3" t="s">
        <v>2221</v>
      </c>
      <c r="M467" s="3" t="s">
        <v>2234</v>
      </c>
      <c r="N467" s="3" t="s">
        <v>2259</v>
      </c>
    </row>
    <row r="468" spans="1:14" x14ac:dyDescent="0.25">
      <c r="A468" s="14" t="s">
        <v>2028</v>
      </c>
      <c r="B468" s="16" t="s">
        <v>2199</v>
      </c>
      <c r="C468" s="19" t="s">
        <v>374</v>
      </c>
      <c r="D468" s="19" t="s">
        <v>374</v>
      </c>
      <c r="E468" s="10" t="s">
        <v>2029</v>
      </c>
      <c r="F468" s="20">
        <v>46082</v>
      </c>
      <c r="G468" s="16">
        <v>8</v>
      </c>
      <c r="H468" s="11" t="s">
        <v>2036</v>
      </c>
      <c r="I468" s="31">
        <v>1200000</v>
      </c>
      <c r="J468" s="19" t="s">
        <v>2032</v>
      </c>
      <c r="K468" s="19" t="s">
        <v>2033</v>
      </c>
      <c r="L468" s="3" t="s">
        <v>2221</v>
      </c>
      <c r="M468" s="3" t="s">
        <v>2234</v>
      </c>
      <c r="N468" s="3" t="s">
        <v>2259</v>
      </c>
    </row>
    <row r="469" spans="1:14" x14ac:dyDescent="0.25">
      <c r="A469" s="15" t="s">
        <v>1345</v>
      </c>
      <c r="B469" s="17" t="s">
        <v>2199</v>
      </c>
      <c r="C469" s="6" t="s">
        <v>28</v>
      </c>
      <c r="D469" s="6" t="s">
        <v>28</v>
      </c>
      <c r="E469" s="7" t="s">
        <v>1347</v>
      </c>
      <c r="F469" s="20">
        <v>46113</v>
      </c>
      <c r="G469" s="17">
        <v>1</v>
      </c>
      <c r="H469" t="s">
        <v>1133</v>
      </c>
      <c r="I469" s="32">
        <v>150000</v>
      </c>
      <c r="J469" s="19" t="s">
        <v>1299</v>
      </c>
      <c r="K469" s="6" t="s">
        <v>1300</v>
      </c>
      <c r="L469" s="3" t="s">
        <v>2245</v>
      </c>
      <c r="M469" s="3" t="s">
        <v>2256</v>
      </c>
      <c r="N469" s="3" t="s">
        <v>2272</v>
      </c>
    </row>
    <row r="470" spans="1:14" x14ac:dyDescent="0.25">
      <c r="A470" s="14" t="s">
        <v>1369</v>
      </c>
      <c r="B470" s="16" t="s">
        <v>2199</v>
      </c>
      <c r="C470" s="19" t="s">
        <v>1238</v>
      </c>
      <c r="D470" s="19" t="s">
        <v>1238</v>
      </c>
      <c r="E470" s="10" t="s">
        <v>1370</v>
      </c>
      <c r="F470" s="20">
        <v>46113</v>
      </c>
      <c r="G470" s="16">
        <v>2</v>
      </c>
      <c r="H470" s="11" t="s">
        <v>1175</v>
      </c>
      <c r="I470" s="31">
        <v>704255000</v>
      </c>
      <c r="J470" s="19" t="s">
        <v>1299</v>
      </c>
      <c r="K470" s="19" t="s">
        <v>1300</v>
      </c>
      <c r="L470" s="3" t="s">
        <v>2245</v>
      </c>
      <c r="M470" s="3" t="s">
        <v>2256</v>
      </c>
      <c r="N470" s="3" t="s">
        <v>2272</v>
      </c>
    </row>
    <row r="471" spans="1:14" x14ac:dyDescent="0.25">
      <c r="A471" s="15" t="s">
        <v>1369</v>
      </c>
      <c r="B471" s="17" t="s">
        <v>2199</v>
      </c>
      <c r="C471" s="6" t="s">
        <v>1238</v>
      </c>
      <c r="D471" s="6" t="s">
        <v>1238</v>
      </c>
      <c r="E471" s="7" t="s">
        <v>1370</v>
      </c>
      <c r="F471" s="20">
        <v>46113</v>
      </c>
      <c r="G471" s="17">
        <v>2</v>
      </c>
      <c r="H471" t="s">
        <v>1303</v>
      </c>
      <c r="I471" s="32">
        <v>874576000</v>
      </c>
      <c r="J471" s="19" t="s">
        <v>1299</v>
      </c>
      <c r="K471" s="6" t="s">
        <v>1300</v>
      </c>
      <c r="L471" s="3" t="s">
        <v>2245</v>
      </c>
      <c r="M471" s="3" t="s">
        <v>2256</v>
      </c>
      <c r="N471" s="3" t="s">
        <v>2272</v>
      </c>
    </row>
    <row r="472" spans="1:14" x14ac:dyDescent="0.25">
      <c r="A472" s="14" t="s">
        <v>1385</v>
      </c>
      <c r="B472" s="16" t="s">
        <v>2199</v>
      </c>
      <c r="C472" s="19" t="s">
        <v>1238</v>
      </c>
      <c r="D472" s="19" t="s">
        <v>1238</v>
      </c>
      <c r="E472" s="10" t="s">
        <v>1386</v>
      </c>
      <c r="F472" s="20">
        <v>46113</v>
      </c>
      <c r="G472" s="16">
        <v>2</v>
      </c>
      <c r="H472" s="11" t="s">
        <v>1175</v>
      </c>
      <c r="I472" s="31">
        <v>64156000</v>
      </c>
      <c r="J472" s="19" t="s">
        <v>1299</v>
      </c>
      <c r="K472" s="19" t="s">
        <v>1300</v>
      </c>
      <c r="L472" s="3" t="s">
        <v>2245</v>
      </c>
      <c r="M472" s="3" t="s">
        <v>2256</v>
      </c>
      <c r="N472" s="3" t="s">
        <v>2272</v>
      </c>
    </row>
    <row r="473" spans="1:14" x14ac:dyDescent="0.25">
      <c r="A473" s="15" t="s">
        <v>1385</v>
      </c>
      <c r="B473" s="17" t="s">
        <v>2199</v>
      </c>
      <c r="C473" s="6" t="s">
        <v>1238</v>
      </c>
      <c r="D473" s="6" t="s">
        <v>1238</v>
      </c>
      <c r="E473" s="7" t="s">
        <v>1386</v>
      </c>
      <c r="F473" s="20">
        <v>46113</v>
      </c>
      <c r="G473" s="17">
        <v>2</v>
      </c>
      <c r="H473" t="s">
        <v>1303</v>
      </c>
      <c r="I473" s="32">
        <v>1904912000</v>
      </c>
      <c r="J473" s="19" t="s">
        <v>1299</v>
      </c>
      <c r="K473" s="6" t="s">
        <v>1300</v>
      </c>
      <c r="L473" s="3" t="s">
        <v>2245</v>
      </c>
      <c r="M473" s="3" t="s">
        <v>2256</v>
      </c>
      <c r="N473" s="3" t="s">
        <v>2272</v>
      </c>
    </row>
    <row r="474" spans="1:14" x14ac:dyDescent="0.25">
      <c r="A474" s="14" t="s">
        <v>1387</v>
      </c>
      <c r="B474" s="16" t="s">
        <v>2199</v>
      </c>
      <c r="C474" s="19" t="s">
        <v>1238</v>
      </c>
      <c r="D474" s="19" t="s">
        <v>1238</v>
      </c>
      <c r="E474" s="10" t="s">
        <v>1388</v>
      </c>
      <c r="F474" s="20">
        <v>46113</v>
      </c>
      <c r="G474" s="16">
        <v>2</v>
      </c>
      <c r="H474" s="11" t="s">
        <v>1175</v>
      </c>
      <c r="I474" s="31">
        <v>12678000</v>
      </c>
      <c r="J474" s="19" t="s">
        <v>1299</v>
      </c>
      <c r="K474" s="19" t="s">
        <v>1300</v>
      </c>
      <c r="L474" s="3" t="s">
        <v>2245</v>
      </c>
      <c r="M474" s="3" t="s">
        <v>2256</v>
      </c>
      <c r="N474" s="3" t="s">
        <v>2272</v>
      </c>
    </row>
    <row r="475" spans="1:14" x14ac:dyDescent="0.25">
      <c r="A475" s="15" t="s">
        <v>1387</v>
      </c>
      <c r="B475" s="17" t="s">
        <v>2199</v>
      </c>
      <c r="C475" s="6" t="s">
        <v>1238</v>
      </c>
      <c r="D475" s="6" t="s">
        <v>1238</v>
      </c>
      <c r="E475" s="7" t="s">
        <v>1388</v>
      </c>
      <c r="F475" s="20">
        <v>46113</v>
      </c>
      <c r="G475" s="17">
        <v>2</v>
      </c>
      <c r="H475" t="s">
        <v>1303</v>
      </c>
      <c r="I475" s="32">
        <v>5954000</v>
      </c>
      <c r="J475" s="19" t="s">
        <v>1299</v>
      </c>
      <c r="K475" s="6" t="s">
        <v>1300</v>
      </c>
      <c r="L475" s="3" t="s">
        <v>2245</v>
      </c>
      <c r="M475" s="3" t="s">
        <v>2256</v>
      </c>
      <c r="N475" s="3" t="s">
        <v>2272</v>
      </c>
    </row>
    <row r="476" spans="1:14" x14ac:dyDescent="0.25">
      <c r="A476" s="14" t="s">
        <v>1393</v>
      </c>
      <c r="B476" s="16" t="s">
        <v>2199</v>
      </c>
      <c r="C476" s="19" t="s">
        <v>1238</v>
      </c>
      <c r="D476" s="19" t="s">
        <v>1238</v>
      </c>
      <c r="E476" s="10" t="s">
        <v>1394</v>
      </c>
      <c r="F476" s="20">
        <v>46113</v>
      </c>
      <c r="G476" s="16">
        <v>2</v>
      </c>
      <c r="H476" s="11" t="s">
        <v>1175</v>
      </c>
      <c r="I476" s="31">
        <v>30000000</v>
      </c>
      <c r="J476" s="19" t="s">
        <v>1299</v>
      </c>
      <c r="K476" s="19" t="s">
        <v>1300</v>
      </c>
      <c r="L476" s="3" t="s">
        <v>2245</v>
      </c>
      <c r="M476" s="3" t="s">
        <v>2256</v>
      </c>
      <c r="N476" s="3" t="s">
        <v>2272</v>
      </c>
    </row>
    <row r="477" spans="1:14" x14ac:dyDescent="0.25">
      <c r="A477" s="15" t="s">
        <v>1393</v>
      </c>
      <c r="B477" s="17" t="s">
        <v>2199</v>
      </c>
      <c r="C477" s="6" t="s">
        <v>1238</v>
      </c>
      <c r="D477" s="6" t="s">
        <v>1238</v>
      </c>
      <c r="E477" s="7" t="s">
        <v>1394</v>
      </c>
      <c r="F477" s="20">
        <v>46113</v>
      </c>
      <c r="G477" s="17">
        <v>2</v>
      </c>
      <c r="H477" t="s">
        <v>1303</v>
      </c>
      <c r="I477" s="32">
        <v>250000000</v>
      </c>
      <c r="J477" s="19" t="s">
        <v>1299</v>
      </c>
      <c r="K477" s="6" t="s">
        <v>1300</v>
      </c>
      <c r="L477" s="3" t="s">
        <v>2245</v>
      </c>
      <c r="M477" s="3" t="s">
        <v>2256</v>
      </c>
      <c r="N477" s="3" t="s">
        <v>2272</v>
      </c>
    </row>
    <row r="478" spans="1:14" x14ac:dyDescent="0.25">
      <c r="A478" s="14" t="s">
        <v>1398</v>
      </c>
      <c r="B478" s="16" t="s">
        <v>2199</v>
      </c>
      <c r="C478" s="19" t="s">
        <v>1238</v>
      </c>
      <c r="D478" s="19" t="s">
        <v>1238</v>
      </c>
      <c r="E478" s="10" t="s">
        <v>1399</v>
      </c>
      <c r="F478" s="20">
        <v>46143</v>
      </c>
      <c r="G478" s="16">
        <v>2</v>
      </c>
      <c r="H478" s="11" t="s">
        <v>1175</v>
      </c>
      <c r="I478" s="31">
        <v>6000000</v>
      </c>
      <c r="J478" s="19" t="s">
        <v>1299</v>
      </c>
      <c r="K478" s="19" t="s">
        <v>1300</v>
      </c>
      <c r="L478" s="3" t="s">
        <v>2245</v>
      </c>
      <c r="M478" s="3" t="s">
        <v>2256</v>
      </c>
      <c r="N478" s="3" t="s">
        <v>2272</v>
      </c>
    </row>
    <row r="479" spans="1:14" x14ac:dyDescent="0.25">
      <c r="A479" s="15" t="s">
        <v>1398</v>
      </c>
      <c r="B479" s="17" t="s">
        <v>2199</v>
      </c>
      <c r="C479" s="6" t="s">
        <v>1238</v>
      </c>
      <c r="D479" s="6" t="s">
        <v>1238</v>
      </c>
      <c r="E479" s="7" t="s">
        <v>1399</v>
      </c>
      <c r="F479" s="20">
        <v>46143</v>
      </c>
      <c r="G479" s="17">
        <v>2</v>
      </c>
      <c r="H479" t="s">
        <v>1303</v>
      </c>
      <c r="I479" s="32">
        <v>55000000</v>
      </c>
      <c r="J479" s="19" t="s">
        <v>1299</v>
      </c>
      <c r="K479" s="6" t="s">
        <v>1300</v>
      </c>
      <c r="L479" s="3" t="s">
        <v>2245</v>
      </c>
      <c r="M479" s="3" t="s">
        <v>2256</v>
      </c>
      <c r="N479" s="3" t="s">
        <v>2272</v>
      </c>
    </row>
    <row r="480" spans="1:14" x14ac:dyDescent="0.25">
      <c r="A480" s="14" t="s">
        <v>1673</v>
      </c>
      <c r="B480" s="16" t="s">
        <v>2199</v>
      </c>
      <c r="C480" s="19" t="s">
        <v>1238</v>
      </c>
      <c r="D480" s="19" t="s">
        <v>1238</v>
      </c>
      <c r="E480" s="10" t="s">
        <v>1674</v>
      </c>
      <c r="F480" s="20">
        <v>46113</v>
      </c>
      <c r="G480" s="16">
        <v>2</v>
      </c>
      <c r="H480" s="11" t="s">
        <v>1175</v>
      </c>
      <c r="I480" s="31">
        <v>5731000</v>
      </c>
      <c r="J480" s="19" t="s">
        <v>1299</v>
      </c>
      <c r="K480" s="19" t="s">
        <v>1300</v>
      </c>
      <c r="L480" s="3" t="s">
        <v>2245</v>
      </c>
      <c r="M480" s="3" t="s">
        <v>2256</v>
      </c>
      <c r="N480" s="3" t="s">
        <v>2272</v>
      </c>
    </row>
    <row r="481" spans="1:14" x14ac:dyDescent="0.25">
      <c r="A481" s="15" t="s">
        <v>1673</v>
      </c>
      <c r="B481" s="17" t="s">
        <v>2199</v>
      </c>
      <c r="C481" s="6" t="s">
        <v>1238</v>
      </c>
      <c r="D481" s="6" t="s">
        <v>1238</v>
      </c>
      <c r="E481" s="7" t="s">
        <v>1674</v>
      </c>
      <c r="F481" s="20">
        <v>46113</v>
      </c>
      <c r="G481" s="17">
        <v>2</v>
      </c>
      <c r="H481" t="s">
        <v>1303</v>
      </c>
      <c r="I481" s="32">
        <v>1042000</v>
      </c>
      <c r="J481" s="19" t="s">
        <v>1299</v>
      </c>
      <c r="K481" s="6" t="s">
        <v>1300</v>
      </c>
      <c r="L481" s="3" t="s">
        <v>2245</v>
      </c>
      <c r="M481" s="3" t="s">
        <v>2256</v>
      </c>
      <c r="N481" s="3" t="s">
        <v>2272</v>
      </c>
    </row>
    <row r="482" spans="1:14" x14ac:dyDescent="0.25">
      <c r="A482" s="14" t="s">
        <v>1295</v>
      </c>
      <c r="B482" s="16" t="s">
        <v>2199</v>
      </c>
      <c r="C482" s="19" t="s">
        <v>1238</v>
      </c>
      <c r="D482" s="19" t="s">
        <v>1238</v>
      </c>
      <c r="E482" s="10" t="s">
        <v>1297</v>
      </c>
      <c r="F482" s="20">
        <v>46113</v>
      </c>
      <c r="G482" s="16">
        <v>2</v>
      </c>
      <c r="H482" s="11" t="s">
        <v>1175</v>
      </c>
      <c r="I482" s="31">
        <v>75964000</v>
      </c>
      <c r="J482" s="19" t="s">
        <v>1299</v>
      </c>
      <c r="K482" s="19" t="s">
        <v>1300</v>
      </c>
      <c r="L482" s="3" t="s">
        <v>2245</v>
      </c>
      <c r="M482" s="3" t="s">
        <v>2256</v>
      </c>
      <c r="N482" s="3" t="s">
        <v>2272</v>
      </c>
    </row>
    <row r="483" spans="1:14" x14ac:dyDescent="0.25">
      <c r="A483" s="15" t="s">
        <v>1295</v>
      </c>
      <c r="B483" s="17" t="s">
        <v>2199</v>
      </c>
      <c r="C483" s="6" t="s">
        <v>1238</v>
      </c>
      <c r="D483" s="6" t="s">
        <v>1238</v>
      </c>
      <c r="E483" s="7" t="s">
        <v>1297</v>
      </c>
      <c r="F483" s="20">
        <v>46113</v>
      </c>
      <c r="G483" s="17">
        <v>2</v>
      </c>
      <c r="H483" t="s">
        <v>1303</v>
      </c>
      <c r="I483" s="32">
        <v>66699000</v>
      </c>
      <c r="J483" s="19" t="s">
        <v>1299</v>
      </c>
      <c r="K483" s="6" t="s">
        <v>1300</v>
      </c>
      <c r="L483" s="3" t="s">
        <v>2245</v>
      </c>
      <c r="M483" s="3" t="s">
        <v>2256</v>
      </c>
      <c r="N483" s="3" t="s">
        <v>2272</v>
      </c>
    </row>
    <row r="484" spans="1:14" x14ac:dyDescent="0.25">
      <c r="A484" s="14" t="s">
        <v>1349</v>
      </c>
      <c r="B484" s="16" t="s">
        <v>2199</v>
      </c>
      <c r="C484" s="19" t="s">
        <v>1238</v>
      </c>
      <c r="D484" s="19" t="s">
        <v>1238</v>
      </c>
      <c r="E484" s="10" t="s">
        <v>1350</v>
      </c>
      <c r="F484" s="20">
        <v>46113</v>
      </c>
      <c r="G484" s="16">
        <v>2</v>
      </c>
      <c r="H484" s="11" t="s">
        <v>1175</v>
      </c>
      <c r="I484" s="31">
        <v>10000000</v>
      </c>
      <c r="J484" s="19" t="s">
        <v>1299</v>
      </c>
      <c r="K484" s="19" t="s">
        <v>1300</v>
      </c>
      <c r="L484" s="3" t="s">
        <v>2245</v>
      </c>
      <c r="M484" s="3" t="s">
        <v>2256</v>
      </c>
      <c r="N484" s="3" t="s">
        <v>2272</v>
      </c>
    </row>
    <row r="485" spans="1:14" x14ac:dyDescent="0.25">
      <c r="A485" s="15" t="s">
        <v>1349</v>
      </c>
      <c r="B485" s="17" t="s">
        <v>2199</v>
      </c>
      <c r="C485" s="6" t="s">
        <v>1238</v>
      </c>
      <c r="D485" s="6" t="s">
        <v>1238</v>
      </c>
      <c r="E485" s="7" t="s">
        <v>1350</v>
      </c>
      <c r="F485" s="20">
        <v>46113</v>
      </c>
      <c r="G485" s="17">
        <v>2</v>
      </c>
      <c r="H485" t="s">
        <v>1303</v>
      </c>
      <c r="I485" s="32">
        <v>200000000</v>
      </c>
      <c r="J485" s="19" t="s">
        <v>1299</v>
      </c>
      <c r="K485" s="6" t="s">
        <v>1300</v>
      </c>
      <c r="L485" s="3" t="s">
        <v>2245</v>
      </c>
      <c r="M485" s="3" t="s">
        <v>2256</v>
      </c>
      <c r="N485" s="3" t="s">
        <v>2272</v>
      </c>
    </row>
    <row r="486" spans="1:14" x14ac:dyDescent="0.25">
      <c r="A486" s="14" t="s">
        <v>1352</v>
      </c>
      <c r="B486" s="16" t="s">
        <v>2199</v>
      </c>
      <c r="C486" s="19" t="s">
        <v>1238</v>
      </c>
      <c r="D486" s="19" t="s">
        <v>1238</v>
      </c>
      <c r="E486" s="10" t="s">
        <v>1353</v>
      </c>
      <c r="F486" s="20">
        <v>46204</v>
      </c>
      <c r="G486" s="16">
        <v>2</v>
      </c>
      <c r="H486" s="11" t="s">
        <v>1175</v>
      </c>
      <c r="I486" s="31">
        <v>86892000</v>
      </c>
      <c r="J486" s="19" t="s">
        <v>1299</v>
      </c>
      <c r="K486" s="19" t="s">
        <v>1300</v>
      </c>
      <c r="L486" s="3" t="s">
        <v>2245</v>
      </c>
      <c r="M486" s="3" t="s">
        <v>2256</v>
      </c>
      <c r="N486" s="3" t="s">
        <v>2272</v>
      </c>
    </row>
    <row r="487" spans="1:14" x14ac:dyDescent="0.25">
      <c r="A487" s="15" t="s">
        <v>1352</v>
      </c>
      <c r="B487" s="17" t="s">
        <v>2199</v>
      </c>
      <c r="C487" s="6" t="s">
        <v>1238</v>
      </c>
      <c r="D487" s="6" t="s">
        <v>1238</v>
      </c>
      <c r="E487" s="7" t="s">
        <v>1353</v>
      </c>
      <c r="F487" s="20">
        <v>46204</v>
      </c>
      <c r="G487" s="17">
        <v>2</v>
      </c>
      <c r="H487" t="s">
        <v>1303</v>
      </c>
      <c r="I487" s="32">
        <v>42183000</v>
      </c>
      <c r="J487" s="19" t="s">
        <v>1299</v>
      </c>
      <c r="K487" s="6" t="s">
        <v>1300</v>
      </c>
      <c r="L487" s="3" t="s">
        <v>2245</v>
      </c>
      <c r="M487" s="3" t="s">
        <v>2256</v>
      </c>
      <c r="N487" s="3" t="s">
        <v>2272</v>
      </c>
    </row>
    <row r="488" spans="1:14" x14ac:dyDescent="0.25">
      <c r="A488" s="14" t="s">
        <v>1355</v>
      </c>
      <c r="B488" s="16" t="s">
        <v>2199</v>
      </c>
      <c r="C488" s="19" t="s">
        <v>594</v>
      </c>
      <c r="D488" s="19" t="s">
        <v>594</v>
      </c>
      <c r="E488" s="10" t="s">
        <v>1356</v>
      </c>
      <c r="F488" s="20">
        <v>46204</v>
      </c>
      <c r="G488" s="16">
        <v>2</v>
      </c>
      <c r="H488" s="11" t="s">
        <v>1175</v>
      </c>
      <c r="I488" s="31">
        <v>9566000</v>
      </c>
      <c r="J488" s="19" t="s">
        <v>1299</v>
      </c>
      <c r="K488" s="19" t="s">
        <v>1300</v>
      </c>
      <c r="L488" s="3" t="s">
        <v>2245</v>
      </c>
      <c r="M488" s="3" t="s">
        <v>2256</v>
      </c>
      <c r="N488" s="3" t="s">
        <v>2272</v>
      </c>
    </row>
    <row r="489" spans="1:14" x14ac:dyDescent="0.25">
      <c r="A489" s="15" t="s">
        <v>1355</v>
      </c>
      <c r="B489" s="17" t="s">
        <v>2199</v>
      </c>
      <c r="C489" s="6" t="s">
        <v>594</v>
      </c>
      <c r="D489" s="6" t="s">
        <v>594</v>
      </c>
      <c r="E489" s="7" t="s">
        <v>1356</v>
      </c>
      <c r="F489" s="20">
        <v>46204</v>
      </c>
      <c r="G489" s="17">
        <v>2</v>
      </c>
      <c r="H489" t="s">
        <v>1303</v>
      </c>
      <c r="I489" s="32">
        <v>7621000</v>
      </c>
      <c r="J489" s="19" t="s">
        <v>1299</v>
      </c>
      <c r="K489" s="6" t="s">
        <v>1300</v>
      </c>
      <c r="L489" s="3" t="s">
        <v>2245</v>
      </c>
      <c r="M489" s="3" t="s">
        <v>2256</v>
      </c>
      <c r="N489" s="3" t="s">
        <v>2272</v>
      </c>
    </row>
    <row r="490" spans="1:14" x14ac:dyDescent="0.25">
      <c r="A490" s="14" t="s">
        <v>1357</v>
      </c>
      <c r="B490" s="16" t="s">
        <v>2199</v>
      </c>
      <c r="C490" s="19" t="s">
        <v>594</v>
      </c>
      <c r="D490" s="19" t="s">
        <v>594</v>
      </c>
      <c r="E490" s="10" t="s">
        <v>1358</v>
      </c>
      <c r="F490" s="20">
        <v>46174</v>
      </c>
      <c r="G490" s="16">
        <v>2</v>
      </c>
      <c r="H490" s="11" t="s">
        <v>1175</v>
      </c>
      <c r="I490" s="31">
        <v>97703000</v>
      </c>
      <c r="J490" s="19" t="s">
        <v>1299</v>
      </c>
      <c r="K490" s="19" t="s">
        <v>1300</v>
      </c>
      <c r="L490" s="3" t="s">
        <v>2245</v>
      </c>
      <c r="M490" s="3" t="s">
        <v>2256</v>
      </c>
      <c r="N490" s="3" t="s">
        <v>2272</v>
      </c>
    </row>
    <row r="491" spans="1:14" x14ac:dyDescent="0.25">
      <c r="A491" s="15" t="s">
        <v>1357</v>
      </c>
      <c r="B491" s="17" t="s">
        <v>2199</v>
      </c>
      <c r="C491" s="6" t="s">
        <v>594</v>
      </c>
      <c r="D491" s="6" t="s">
        <v>594</v>
      </c>
      <c r="E491" s="7" t="s">
        <v>1358</v>
      </c>
      <c r="F491" s="20">
        <v>46174</v>
      </c>
      <c r="G491" s="17">
        <v>2</v>
      </c>
      <c r="H491" t="s">
        <v>1303</v>
      </c>
      <c r="I491" s="32">
        <v>196076000</v>
      </c>
      <c r="J491" s="19" t="s">
        <v>1299</v>
      </c>
      <c r="K491" s="6" t="s">
        <v>1300</v>
      </c>
      <c r="L491" s="3" t="s">
        <v>2245</v>
      </c>
      <c r="M491" s="3" t="s">
        <v>2256</v>
      </c>
      <c r="N491" s="3" t="s">
        <v>2272</v>
      </c>
    </row>
    <row r="492" spans="1:14" x14ac:dyDescent="0.25">
      <c r="A492" s="14" t="s">
        <v>1363</v>
      </c>
      <c r="B492" s="16" t="s">
        <v>2199</v>
      </c>
      <c r="C492" s="19" t="s">
        <v>594</v>
      </c>
      <c r="D492" s="19" t="s">
        <v>594</v>
      </c>
      <c r="E492" s="10" t="s">
        <v>1364</v>
      </c>
      <c r="F492" s="20">
        <v>46143</v>
      </c>
      <c r="G492" s="16">
        <v>2</v>
      </c>
      <c r="H492" s="11" t="s">
        <v>1175</v>
      </c>
      <c r="I492" s="31">
        <v>44778000</v>
      </c>
      <c r="J492" s="19" t="s">
        <v>1299</v>
      </c>
      <c r="K492" s="19" t="s">
        <v>1300</v>
      </c>
      <c r="L492" s="3" t="s">
        <v>2245</v>
      </c>
      <c r="M492" s="3" t="s">
        <v>2256</v>
      </c>
      <c r="N492" s="3" t="s">
        <v>2272</v>
      </c>
    </row>
    <row r="493" spans="1:14" x14ac:dyDescent="0.25">
      <c r="A493" s="15" t="s">
        <v>1363</v>
      </c>
      <c r="B493" s="17" t="s">
        <v>2199</v>
      </c>
      <c r="C493" s="6" t="s">
        <v>594</v>
      </c>
      <c r="D493" s="6" t="s">
        <v>594</v>
      </c>
      <c r="E493" s="7" t="s">
        <v>1364</v>
      </c>
      <c r="F493" s="20">
        <v>46143</v>
      </c>
      <c r="G493" s="17">
        <v>2</v>
      </c>
      <c r="H493" t="s">
        <v>1303</v>
      </c>
      <c r="I493" s="32">
        <v>57632000</v>
      </c>
      <c r="J493" s="19" t="s">
        <v>1299</v>
      </c>
      <c r="K493" s="6" t="s">
        <v>1300</v>
      </c>
      <c r="L493" s="3" t="s">
        <v>2245</v>
      </c>
      <c r="M493" s="3" t="s">
        <v>2256</v>
      </c>
      <c r="N493" s="3" t="s">
        <v>2272</v>
      </c>
    </row>
    <row r="494" spans="1:14" x14ac:dyDescent="0.25">
      <c r="A494" s="14" t="s">
        <v>1382</v>
      </c>
      <c r="B494" s="16" t="s">
        <v>2199</v>
      </c>
      <c r="C494" s="19" t="s">
        <v>594</v>
      </c>
      <c r="D494" s="19" t="s">
        <v>594</v>
      </c>
      <c r="E494" s="10" t="s">
        <v>1383</v>
      </c>
      <c r="F494" s="20">
        <v>46113</v>
      </c>
      <c r="G494" s="16">
        <v>1</v>
      </c>
      <c r="H494" s="11" t="s">
        <v>1175</v>
      </c>
      <c r="I494" s="31">
        <v>6442000</v>
      </c>
      <c r="J494" s="19" t="s">
        <v>1299</v>
      </c>
      <c r="K494" s="19" t="s">
        <v>1300</v>
      </c>
      <c r="L494" s="3" t="s">
        <v>2245</v>
      </c>
      <c r="M494" s="3" t="s">
        <v>2256</v>
      </c>
      <c r="N494" s="3" t="s">
        <v>2272</v>
      </c>
    </row>
    <row r="495" spans="1:14" x14ac:dyDescent="0.25">
      <c r="A495" s="15" t="s">
        <v>1401</v>
      </c>
      <c r="B495" s="17" t="s">
        <v>2199</v>
      </c>
      <c r="C495" s="6" t="s">
        <v>594</v>
      </c>
      <c r="D495" s="6" t="s">
        <v>594</v>
      </c>
      <c r="E495" s="7" t="s">
        <v>1402</v>
      </c>
      <c r="F495" s="20">
        <v>46143</v>
      </c>
      <c r="G495" s="17">
        <v>2</v>
      </c>
      <c r="H495" t="s">
        <v>1175</v>
      </c>
      <c r="I495" s="32">
        <v>40289000</v>
      </c>
      <c r="J495" s="19" t="s">
        <v>1299</v>
      </c>
      <c r="K495" s="6" t="s">
        <v>1300</v>
      </c>
      <c r="L495" s="3" t="s">
        <v>2245</v>
      </c>
      <c r="M495" s="3" t="s">
        <v>2256</v>
      </c>
      <c r="N495" s="3" t="s">
        <v>2272</v>
      </c>
    </row>
    <row r="496" spans="1:14" x14ac:dyDescent="0.25">
      <c r="A496" s="14" t="s">
        <v>1401</v>
      </c>
      <c r="B496" s="16" t="s">
        <v>2199</v>
      </c>
      <c r="C496" s="19" t="s">
        <v>594</v>
      </c>
      <c r="D496" s="19" t="s">
        <v>594</v>
      </c>
      <c r="E496" s="10" t="s">
        <v>1402</v>
      </c>
      <c r="F496" s="20">
        <v>46143</v>
      </c>
      <c r="G496" s="16">
        <v>2</v>
      </c>
      <c r="H496" s="11" t="s">
        <v>1303</v>
      </c>
      <c r="I496" s="31">
        <v>316236000</v>
      </c>
      <c r="J496" s="19" t="s">
        <v>1299</v>
      </c>
      <c r="K496" s="19" t="s">
        <v>1300</v>
      </c>
      <c r="L496" s="3" t="s">
        <v>2245</v>
      </c>
      <c r="M496" s="3" t="s">
        <v>2256</v>
      </c>
      <c r="N496" s="3" t="s">
        <v>2272</v>
      </c>
    </row>
    <row r="497" spans="1:14" x14ac:dyDescent="0.25">
      <c r="A497" s="15" t="s">
        <v>355</v>
      </c>
      <c r="B497" s="17" t="s">
        <v>2196</v>
      </c>
      <c r="C497" s="17" t="s">
        <v>2196</v>
      </c>
      <c r="D497" s="6" t="s">
        <v>28</v>
      </c>
      <c r="E497" s="7" t="s">
        <v>357</v>
      </c>
      <c r="F497" s="20">
        <v>45870</v>
      </c>
      <c r="G497" s="17">
        <v>1</v>
      </c>
      <c r="H497" t="s">
        <v>359</v>
      </c>
      <c r="I497" s="32">
        <v>30250000</v>
      </c>
      <c r="J497" s="19" t="s">
        <v>360</v>
      </c>
      <c r="K497" s="6" t="s">
        <v>361</v>
      </c>
      <c r="L497" s="3" t="s">
        <v>2279</v>
      </c>
      <c r="M497" s="51" t="s">
        <v>2234</v>
      </c>
      <c r="N497" s="3" t="s">
        <v>2258</v>
      </c>
    </row>
    <row r="498" spans="1:14" x14ac:dyDescent="0.25">
      <c r="A498" s="14" t="s">
        <v>405</v>
      </c>
      <c r="B498" s="16" t="s">
        <v>2196</v>
      </c>
      <c r="C498" s="16" t="s">
        <v>2196</v>
      </c>
      <c r="D498" s="19" t="s">
        <v>28</v>
      </c>
      <c r="E498" s="10" t="s">
        <v>406</v>
      </c>
      <c r="F498" s="20">
        <v>45870</v>
      </c>
      <c r="G498" s="16">
        <v>1</v>
      </c>
      <c r="H498" s="11" t="s">
        <v>326</v>
      </c>
      <c r="I498" s="31">
        <v>23833337</v>
      </c>
      <c r="J498" s="19" t="s">
        <v>360</v>
      </c>
      <c r="K498" s="19" t="s">
        <v>361</v>
      </c>
      <c r="L498" s="3" t="s">
        <v>2279</v>
      </c>
      <c r="M498" s="51" t="s">
        <v>2234</v>
      </c>
      <c r="N498" s="3" t="s">
        <v>2258</v>
      </c>
    </row>
    <row r="499" spans="1:14" x14ac:dyDescent="0.25">
      <c r="A499" s="15" t="s">
        <v>438</v>
      </c>
      <c r="B499" s="17" t="s">
        <v>2196</v>
      </c>
      <c r="C499" s="17" t="s">
        <v>2196</v>
      </c>
      <c r="D499" s="6" t="s">
        <v>28</v>
      </c>
      <c r="E499" s="7" t="s">
        <v>440</v>
      </c>
      <c r="F499" s="20">
        <v>45870</v>
      </c>
      <c r="G499" s="17">
        <v>2</v>
      </c>
      <c r="H499" t="s">
        <v>442</v>
      </c>
      <c r="I499" s="32">
        <v>3503500</v>
      </c>
      <c r="J499" s="19" t="s">
        <v>360</v>
      </c>
      <c r="K499" s="6" t="s">
        <v>361</v>
      </c>
      <c r="L499" s="3" t="s">
        <v>2279</v>
      </c>
      <c r="M499" s="51" t="s">
        <v>2234</v>
      </c>
      <c r="N499" s="3" t="s">
        <v>2258</v>
      </c>
    </row>
    <row r="500" spans="1:14" x14ac:dyDescent="0.25">
      <c r="A500" s="14" t="s">
        <v>438</v>
      </c>
      <c r="B500" s="16" t="s">
        <v>2196</v>
      </c>
      <c r="C500" s="16" t="s">
        <v>2196</v>
      </c>
      <c r="D500" s="19" t="s">
        <v>28</v>
      </c>
      <c r="E500" s="10" t="s">
        <v>440</v>
      </c>
      <c r="F500" s="20">
        <v>45870</v>
      </c>
      <c r="G500" s="16">
        <v>2</v>
      </c>
      <c r="H500" s="11" t="s">
        <v>443</v>
      </c>
      <c r="I500" s="31">
        <v>2914000</v>
      </c>
      <c r="J500" s="19" t="s">
        <v>360</v>
      </c>
      <c r="K500" s="19" t="s">
        <v>361</v>
      </c>
      <c r="L500" s="3" t="s">
        <v>2279</v>
      </c>
      <c r="M500" s="51" t="s">
        <v>2234</v>
      </c>
      <c r="N500" s="3" t="s">
        <v>2258</v>
      </c>
    </row>
    <row r="501" spans="1:14" x14ac:dyDescent="0.25">
      <c r="A501" s="15" t="s">
        <v>1675</v>
      </c>
      <c r="B501" s="17" t="s">
        <v>2199</v>
      </c>
      <c r="C501" s="6" t="s">
        <v>28</v>
      </c>
      <c r="D501" s="6" t="s">
        <v>28</v>
      </c>
      <c r="E501" s="7" t="s">
        <v>1658</v>
      </c>
      <c r="F501" s="20">
        <v>46174</v>
      </c>
      <c r="G501" s="17">
        <v>2</v>
      </c>
      <c r="H501" t="s">
        <v>1617</v>
      </c>
      <c r="I501" s="32">
        <v>1302600</v>
      </c>
      <c r="J501" s="19" t="s">
        <v>1660</v>
      </c>
      <c r="K501" s="6" t="s">
        <v>1661</v>
      </c>
      <c r="L501" s="3" t="s">
        <v>2222</v>
      </c>
      <c r="M501" s="3" t="s">
        <v>2234</v>
      </c>
      <c r="N501" s="3" t="s">
        <v>2260</v>
      </c>
    </row>
    <row r="502" spans="1:14" x14ac:dyDescent="0.25">
      <c r="A502" s="14" t="s">
        <v>1675</v>
      </c>
      <c r="B502" s="16" t="s">
        <v>2199</v>
      </c>
      <c r="C502" s="19" t="s">
        <v>28</v>
      </c>
      <c r="D502" s="19" t="s">
        <v>28</v>
      </c>
      <c r="E502" s="10" t="s">
        <v>1658</v>
      </c>
      <c r="F502" s="20">
        <v>46174</v>
      </c>
      <c r="G502" s="16">
        <v>2</v>
      </c>
      <c r="H502" s="11" t="s">
        <v>1678</v>
      </c>
      <c r="I502" s="31">
        <v>1200000</v>
      </c>
      <c r="J502" s="19" t="s">
        <v>1660</v>
      </c>
      <c r="K502" s="19" t="s">
        <v>1661</v>
      </c>
      <c r="L502" s="3" t="s">
        <v>2222</v>
      </c>
      <c r="M502" s="3" t="s">
        <v>2234</v>
      </c>
      <c r="N502" s="3" t="s">
        <v>2260</v>
      </c>
    </row>
    <row r="503" spans="1:14" x14ac:dyDescent="0.25">
      <c r="A503" s="15" t="s">
        <v>1699</v>
      </c>
      <c r="B503" s="17" t="s">
        <v>2199</v>
      </c>
      <c r="C503" s="6" t="s">
        <v>28</v>
      </c>
      <c r="D503" s="6" t="s">
        <v>28</v>
      </c>
      <c r="E503" s="7" t="s">
        <v>1658</v>
      </c>
      <c r="F503" s="20">
        <v>46174</v>
      </c>
      <c r="G503" s="17">
        <v>1</v>
      </c>
      <c r="H503" t="s">
        <v>486</v>
      </c>
      <c r="I503" s="32">
        <v>500115</v>
      </c>
      <c r="J503" s="19" t="s">
        <v>1660</v>
      </c>
      <c r="K503" s="6" t="s">
        <v>1661</v>
      </c>
      <c r="L503" s="3" t="s">
        <v>2222</v>
      </c>
      <c r="M503" s="3" t="s">
        <v>2234</v>
      </c>
      <c r="N503" s="3" t="s">
        <v>2260</v>
      </c>
    </row>
    <row r="504" spans="1:14" x14ac:dyDescent="0.25">
      <c r="A504" s="14" t="s">
        <v>1976</v>
      </c>
      <c r="B504" s="16" t="s">
        <v>2199</v>
      </c>
      <c r="C504" s="19" t="s">
        <v>28</v>
      </c>
      <c r="D504" s="19" t="s">
        <v>28</v>
      </c>
      <c r="E504" s="10" t="s">
        <v>1977</v>
      </c>
      <c r="F504" s="20">
        <v>46113</v>
      </c>
      <c r="G504" s="16">
        <v>1</v>
      </c>
      <c r="H504" s="11" t="s">
        <v>1979</v>
      </c>
      <c r="I504" s="31">
        <v>15984280</v>
      </c>
      <c r="J504" s="19" t="s">
        <v>1660</v>
      </c>
      <c r="K504" s="19" t="s">
        <v>1980</v>
      </c>
      <c r="L504" s="3" t="s">
        <v>2222</v>
      </c>
      <c r="M504" s="3" t="s">
        <v>2234</v>
      </c>
      <c r="N504" s="3" t="s">
        <v>2260</v>
      </c>
    </row>
    <row r="505" spans="1:14" x14ac:dyDescent="0.25">
      <c r="A505" s="15" t="s">
        <v>1657</v>
      </c>
      <c r="B505" s="17" t="s">
        <v>2199</v>
      </c>
      <c r="C505" s="6" t="s">
        <v>374</v>
      </c>
      <c r="D505" s="6" t="s">
        <v>374</v>
      </c>
      <c r="E505" s="7" t="s">
        <v>1658</v>
      </c>
      <c r="F505" s="20">
        <v>46235</v>
      </c>
      <c r="G505" s="17">
        <v>6</v>
      </c>
      <c r="H505" t="s">
        <v>359</v>
      </c>
      <c r="I505" s="32">
        <v>6370016</v>
      </c>
      <c r="J505" s="19" t="s">
        <v>1660</v>
      </c>
      <c r="K505" s="6" t="s">
        <v>1661</v>
      </c>
      <c r="L505" s="3" t="s">
        <v>2222</v>
      </c>
      <c r="M505" s="3" t="s">
        <v>2234</v>
      </c>
      <c r="N505" s="3" t="s">
        <v>2260</v>
      </c>
    </row>
    <row r="506" spans="1:14" x14ac:dyDescent="0.25">
      <c r="A506" s="14" t="s">
        <v>1657</v>
      </c>
      <c r="B506" s="16" t="s">
        <v>2199</v>
      </c>
      <c r="C506" s="19" t="s">
        <v>374</v>
      </c>
      <c r="D506" s="19" t="s">
        <v>374</v>
      </c>
      <c r="E506" s="10" t="s">
        <v>1658</v>
      </c>
      <c r="F506" s="20">
        <v>46235</v>
      </c>
      <c r="G506" s="16">
        <v>6</v>
      </c>
      <c r="H506" s="11" t="s">
        <v>1664</v>
      </c>
      <c r="I506" s="31">
        <v>1200000</v>
      </c>
      <c r="J506" s="19" t="s">
        <v>1660</v>
      </c>
      <c r="K506" s="19" t="s">
        <v>1661</v>
      </c>
      <c r="L506" s="3" t="s">
        <v>2222</v>
      </c>
      <c r="M506" s="3" t="s">
        <v>2234</v>
      </c>
      <c r="N506" s="3" t="s">
        <v>2260</v>
      </c>
    </row>
    <row r="507" spans="1:14" x14ac:dyDescent="0.25">
      <c r="A507" s="15" t="s">
        <v>1657</v>
      </c>
      <c r="B507" s="17" t="s">
        <v>2199</v>
      </c>
      <c r="C507" s="6" t="s">
        <v>374</v>
      </c>
      <c r="D507" s="6" t="s">
        <v>374</v>
      </c>
      <c r="E507" s="7" t="s">
        <v>1658</v>
      </c>
      <c r="F507" s="20">
        <v>46235</v>
      </c>
      <c r="G507" s="17">
        <v>6</v>
      </c>
      <c r="H507" t="s">
        <v>1666</v>
      </c>
      <c r="I507" s="32">
        <v>2500000</v>
      </c>
      <c r="J507" s="19" t="s">
        <v>1660</v>
      </c>
      <c r="K507" s="6" t="s">
        <v>1661</v>
      </c>
      <c r="L507" s="3" t="s">
        <v>2222</v>
      </c>
      <c r="M507" s="3" t="s">
        <v>2234</v>
      </c>
      <c r="N507" s="3" t="s">
        <v>2260</v>
      </c>
    </row>
    <row r="508" spans="1:14" x14ac:dyDescent="0.25">
      <c r="A508" s="14" t="s">
        <v>1657</v>
      </c>
      <c r="B508" s="16" t="s">
        <v>2199</v>
      </c>
      <c r="C508" s="19" t="s">
        <v>374</v>
      </c>
      <c r="D508" s="19" t="s">
        <v>374</v>
      </c>
      <c r="E508" s="10" t="s">
        <v>1658</v>
      </c>
      <c r="F508" s="20">
        <v>46235</v>
      </c>
      <c r="G508" s="16">
        <v>6</v>
      </c>
      <c r="H508" s="11" t="s">
        <v>855</v>
      </c>
      <c r="I508" s="31">
        <v>40002</v>
      </c>
      <c r="J508" s="19" t="s">
        <v>1660</v>
      </c>
      <c r="K508" s="19" t="s">
        <v>1661</v>
      </c>
      <c r="L508" s="3" t="s">
        <v>2222</v>
      </c>
      <c r="M508" s="3" t="s">
        <v>2234</v>
      </c>
      <c r="N508" s="3" t="s">
        <v>2260</v>
      </c>
    </row>
    <row r="509" spans="1:14" x14ac:dyDescent="0.25">
      <c r="A509" s="15" t="s">
        <v>1657</v>
      </c>
      <c r="B509" s="17" t="s">
        <v>2199</v>
      </c>
      <c r="C509" s="6" t="s">
        <v>374</v>
      </c>
      <c r="D509" s="6" t="s">
        <v>374</v>
      </c>
      <c r="E509" s="7" t="s">
        <v>1658</v>
      </c>
      <c r="F509" s="20">
        <v>46235</v>
      </c>
      <c r="G509" s="17">
        <v>6</v>
      </c>
      <c r="H509" t="s">
        <v>1665</v>
      </c>
      <c r="I509" s="32">
        <v>4000000</v>
      </c>
      <c r="J509" s="19" t="s">
        <v>1660</v>
      </c>
      <c r="K509" s="6" t="s">
        <v>1661</v>
      </c>
      <c r="L509" s="3" t="s">
        <v>2222</v>
      </c>
      <c r="M509" s="3" t="s">
        <v>2234</v>
      </c>
      <c r="N509" s="3" t="s">
        <v>2260</v>
      </c>
    </row>
    <row r="510" spans="1:14" x14ac:dyDescent="0.25">
      <c r="A510" s="14" t="s">
        <v>1657</v>
      </c>
      <c r="B510" s="16" t="s">
        <v>2199</v>
      </c>
      <c r="C510" s="19" t="s">
        <v>374</v>
      </c>
      <c r="D510" s="19" t="s">
        <v>374</v>
      </c>
      <c r="E510" s="10" t="s">
        <v>1658</v>
      </c>
      <c r="F510" s="20">
        <v>46235</v>
      </c>
      <c r="G510" s="16">
        <v>6</v>
      </c>
      <c r="H510" s="11" t="s">
        <v>602</v>
      </c>
      <c r="I510" s="31">
        <v>4600000</v>
      </c>
      <c r="J510" s="19" t="s">
        <v>1660</v>
      </c>
      <c r="K510" s="19" t="s">
        <v>1661</v>
      </c>
      <c r="L510" s="3" t="s">
        <v>2222</v>
      </c>
      <c r="M510" s="3" t="s">
        <v>2234</v>
      </c>
      <c r="N510" s="3" t="s">
        <v>2260</v>
      </c>
    </row>
    <row r="511" spans="1:14" x14ac:dyDescent="0.25">
      <c r="A511" s="15" t="s">
        <v>1802</v>
      </c>
      <c r="B511" s="17" t="s">
        <v>2199</v>
      </c>
      <c r="C511" s="6" t="s">
        <v>28</v>
      </c>
      <c r="D511" s="6" t="s">
        <v>28</v>
      </c>
      <c r="E511" s="7" t="s">
        <v>1803</v>
      </c>
      <c r="F511" s="20">
        <v>46054</v>
      </c>
      <c r="G511" s="17">
        <v>1</v>
      </c>
      <c r="H511" t="s">
        <v>486</v>
      </c>
      <c r="I511" s="32">
        <v>600000</v>
      </c>
      <c r="J511" s="19" t="s">
        <v>1805</v>
      </c>
      <c r="K511" s="6" t="s">
        <v>523</v>
      </c>
      <c r="L511" s="3" t="s">
        <v>2221</v>
      </c>
      <c r="M511" s="3" t="s">
        <v>2234</v>
      </c>
      <c r="N511" s="3" t="s">
        <v>2259</v>
      </c>
    </row>
    <row r="512" spans="1:14" x14ac:dyDescent="0.25">
      <c r="A512" s="14" t="s">
        <v>1824</v>
      </c>
      <c r="B512" s="16" t="s">
        <v>2199</v>
      </c>
      <c r="C512" s="19" t="s">
        <v>28</v>
      </c>
      <c r="D512" s="19" t="s">
        <v>28</v>
      </c>
      <c r="E512" s="10" t="s">
        <v>1825</v>
      </c>
      <c r="F512" s="20">
        <v>46113</v>
      </c>
      <c r="G512" s="16">
        <v>1</v>
      </c>
      <c r="H512" s="11" t="s">
        <v>602</v>
      </c>
      <c r="I512" s="31">
        <v>420000</v>
      </c>
      <c r="J512" s="19" t="s">
        <v>1805</v>
      </c>
      <c r="K512" s="19" t="s">
        <v>523</v>
      </c>
      <c r="L512" s="3" t="s">
        <v>2221</v>
      </c>
      <c r="M512" s="3" t="s">
        <v>2234</v>
      </c>
      <c r="N512" s="3" t="s">
        <v>2259</v>
      </c>
    </row>
    <row r="513" spans="1:14" x14ac:dyDescent="0.25">
      <c r="A513" s="15" t="s">
        <v>517</v>
      </c>
      <c r="B513" s="17" t="s">
        <v>2196</v>
      </c>
      <c r="C513" s="17" t="s">
        <v>2196</v>
      </c>
      <c r="D513" s="6" t="s">
        <v>28</v>
      </c>
      <c r="E513" s="7" t="s">
        <v>518</v>
      </c>
      <c r="F513" s="20">
        <v>45870</v>
      </c>
      <c r="G513" s="17">
        <v>1</v>
      </c>
      <c r="H513" t="s">
        <v>520</v>
      </c>
      <c r="I513" s="32">
        <v>10192001</v>
      </c>
      <c r="J513" s="19" t="s">
        <v>522</v>
      </c>
      <c r="K513" s="6" t="s">
        <v>523</v>
      </c>
      <c r="L513" s="3" t="s">
        <v>2221</v>
      </c>
      <c r="M513" s="3" t="s">
        <v>2234</v>
      </c>
      <c r="N513" s="3" t="s">
        <v>2259</v>
      </c>
    </row>
    <row r="514" spans="1:14" x14ac:dyDescent="0.25">
      <c r="A514" s="14" t="s">
        <v>1718</v>
      </c>
      <c r="B514" s="16" t="s">
        <v>2199</v>
      </c>
      <c r="C514" s="19" t="s">
        <v>28</v>
      </c>
      <c r="D514" s="19" t="s">
        <v>28</v>
      </c>
      <c r="E514" s="10" t="s">
        <v>1719</v>
      </c>
      <c r="F514" s="20">
        <v>46174</v>
      </c>
      <c r="G514" s="16">
        <v>1</v>
      </c>
      <c r="H514" s="11" t="s">
        <v>1721</v>
      </c>
      <c r="I514" s="31">
        <v>0</v>
      </c>
      <c r="J514" s="19" t="s">
        <v>1723</v>
      </c>
      <c r="K514" s="19" t="s">
        <v>154</v>
      </c>
      <c r="L514" s="3" t="s">
        <v>2221</v>
      </c>
      <c r="M514" s="3" t="s">
        <v>2234</v>
      </c>
      <c r="N514" s="3" t="s">
        <v>2259</v>
      </c>
    </row>
    <row r="515" spans="1:14" x14ac:dyDescent="0.25">
      <c r="A515" s="15" t="s">
        <v>1738</v>
      </c>
      <c r="B515" s="17" t="s">
        <v>2199</v>
      </c>
      <c r="C515" s="6" t="s">
        <v>28</v>
      </c>
      <c r="D515" s="6" t="s">
        <v>28</v>
      </c>
      <c r="E515" s="7" t="s">
        <v>1739</v>
      </c>
      <c r="F515" s="20">
        <v>46113</v>
      </c>
      <c r="G515" s="17">
        <v>1</v>
      </c>
      <c r="H515" t="s">
        <v>602</v>
      </c>
      <c r="I515" s="32">
        <v>500000</v>
      </c>
      <c r="J515" s="19" t="s">
        <v>1723</v>
      </c>
      <c r="K515" s="6" t="s">
        <v>154</v>
      </c>
      <c r="L515" s="3" t="s">
        <v>2221</v>
      </c>
      <c r="M515" s="3" t="s">
        <v>2234</v>
      </c>
      <c r="N515" s="3" t="s">
        <v>2259</v>
      </c>
    </row>
    <row r="516" spans="1:14" x14ac:dyDescent="0.25">
      <c r="A516" s="14" t="s">
        <v>1818</v>
      </c>
      <c r="B516" s="16" t="s">
        <v>2199</v>
      </c>
      <c r="C516" s="19" t="s">
        <v>28</v>
      </c>
      <c r="D516" s="19" t="s">
        <v>28</v>
      </c>
      <c r="E516" s="10" t="s">
        <v>1819</v>
      </c>
      <c r="F516" s="20">
        <v>46174</v>
      </c>
      <c r="G516" s="16">
        <v>1</v>
      </c>
      <c r="H516" s="11" t="s">
        <v>1174</v>
      </c>
      <c r="I516" s="31">
        <v>700000</v>
      </c>
      <c r="J516" s="19" t="s">
        <v>1723</v>
      </c>
      <c r="K516" s="19" t="s">
        <v>154</v>
      </c>
      <c r="L516" s="3" t="s">
        <v>2221</v>
      </c>
      <c r="M516" s="3" t="s">
        <v>2234</v>
      </c>
      <c r="N516" s="3" t="s">
        <v>2259</v>
      </c>
    </row>
    <row r="517" spans="1:14" x14ac:dyDescent="0.25">
      <c r="A517" s="15" t="s">
        <v>1821</v>
      </c>
      <c r="B517" s="17" t="s">
        <v>2199</v>
      </c>
      <c r="C517" s="6" t="s">
        <v>28</v>
      </c>
      <c r="D517" s="6" t="s">
        <v>28</v>
      </c>
      <c r="E517" s="7" t="s">
        <v>1822</v>
      </c>
      <c r="F517" s="20">
        <v>46113</v>
      </c>
      <c r="G517" s="17">
        <v>1</v>
      </c>
      <c r="H517" t="s">
        <v>777</v>
      </c>
      <c r="I517" s="32">
        <v>2000160</v>
      </c>
      <c r="J517" s="19" t="s">
        <v>1723</v>
      </c>
      <c r="K517" s="6" t="s">
        <v>154</v>
      </c>
      <c r="L517" s="3" t="s">
        <v>2221</v>
      </c>
      <c r="M517" s="3" t="s">
        <v>2234</v>
      </c>
      <c r="N517" s="3" t="s">
        <v>2259</v>
      </c>
    </row>
    <row r="518" spans="1:14" x14ac:dyDescent="0.25">
      <c r="A518" s="14" t="s">
        <v>1827</v>
      </c>
      <c r="B518" s="16" t="s">
        <v>2199</v>
      </c>
      <c r="C518" s="19" t="s">
        <v>594</v>
      </c>
      <c r="D518" s="19" t="s">
        <v>594</v>
      </c>
      <c r="E518" s="10" t="s">
        <v>1828</v>
      </c>
      <c r="F518" s="20">
        <v>46023</v>
      </c>
      <c r="G518" s="16">
        <v>1</v>
      </c>
      <c r="H518" s="11" t="s">
        <v>1830</v>
      </c>
      <c r="I518" s="31">
        <v>7200000</v>
      </c>
      <c r="J518" s="19" t="s">
        <v>1723</v>
      </c>
      <c r="K518" s="19" t="s">
        <v>1831</v>
      </c>
      <c r="L518" s="3" t="s">
        <v>2221</v>
      </c>
      <c r="M518" s="3" t="s">
        <v>2234</v>
      </c>
      <c r="N518" s="3" t="s">
        <v>2259</v>
      </c>
    </row>
    <row r="519" spans="1:14" x14ac:dyDescent="0.25">
      <c r="A519" s="15" t="s">
        <v>148</v>
      </c>
      <c r="B519" s="17" t="s">
        <v>2196</v>
      </c>
      <c r="C519" s="17" t="s">
        <v>2196</v>
      </c>
      <c r="D519" s="6" t="s">
        <v>28</v>
      </c>
      <c r="E519" s="7" t="s">
        <v>150</v>
      </c>
      <c r="F519" s="20">
        <v>45474</v>
      </c>
      <c r="G519" s="17">
        <v>1</v>
      </c>
      <c r="H519" t="s">
        <v>152</v>
      </c>
      <c r="I519" s="32">
        <v>118000004</v>
      </c>
      <c r="J519" s="19" t="s">
        <v>153</v>
      </c>
      <c r="K519" s="6" t="s">
        <v>154</v>
      </c>
      <c r="L519" s="3" t="s">
        <v>2221</v>
      </c>
      <c r="M519" s="3" t="s">
        <v>2234</v>
      </c>
      <c r="N519" s="3" t="s">
        <v>2259</v>
      </c>
    </row>
    <row r="520" spans="1:14" x14ac:dyDescent="0.25">
      <c r="A520" s="14" t="s">
        <v>619</v>
      </c>
      <c r="B520" s="16" t="s">
        <v>2199</v>
      </c>
      <c r="C520" s="19" t="s">
        <v>28</v>
      </c>
      <c r="D520" s="19" t="s">
        <v>28</v>
      </c>
      <c r="E520" s="10" t="s">
        <v>621</v>
      </c>
      <c r="F520" s="20">
        <v>46266</v>
      </c>
      <c r="G520" s="16">
        <v>1</v>
      </c>
      <c r="H520" s="11" t="s">
        <v>623</v>
      </c>
      <c r="I520" s="31">
        <v>1250000</v>
      </c>
      <c r="J520" s="19" t="s">
        <v>624</v>
      </c>
      <c r="K520" s="19" t="s">
        <v>625</v>
      </c>
      <c r="L520" s="3" t="s">
        <v>2246</v>
      </c>
      <c r="M520" s="3" t="s">
        <v>2256</v>
      </c>
      <c r="N520" s="3" t="s">
        <v>2270</v>
      </c>
    </row>
    <row r="521" spans="1:14" x14ac:dyDescent="0.25">
      <c r="A521" s="15" t="s">
        <v>628</v>
      </c>
      <c r="B521" s="17" t="s">
        <v>2199</v>
      </c>
      <c r="C521" s="6" t="s">
        <v>28</v>
      </c>
      <c r="D521" s="6" t="s">
        <v>28</v>
      </c>
      <c r="E521" s="7" t="s">
        <v>629</v>
      </c>
      <c r="F521" s="20">
        <v>46174</v>
      </c>
      <c r="G521" s="17">
        <v>1</v>
      </c>
      <c r="H521" t="s">
        <v>631</v>
      </c>
      <c r="I521" s="32">
        <v>300000</v>
      </c>
      <c r="J521" s="19" t="s">
        <v>624</v>
      </c>
      <c r="K521" s="6" t="s">
        <v>625</v>
      </c>
      <c r="L521" s="3" t="s">
        <v>2246</v>
      </c>
      <c r="M521" s="3" t="s">
        <v>2256</v>
      </c>
      <c r="N521" s="3" t="s">
        <v>2270</v>
      </c>
    </row>
    <row r="522" spans="1:14" x14ac:dyDescent="0.25">
      <c r="A522" s="14" t="s">
        <v>632</v>
      </c>
      <c r="B522" s="16" t="s">
        <v>2199</v>
      </c>
      <c r="C522" s="19" t="s">
        <v>28</v>
      </c>
      <c r="D522" s="19" t="s">
        <v>28</v>
      </c>
      <c r="E522" s="10" t="s">
        <v>634</v>
      </c>
      <c r="F522" s="20">
        <v>46204</v>
      </c>
      <c r="G522" s="16">
        <v>1</v>
      </c>
      <c r="H522" s="11" t="s">
        <v>636</v>
      </c>
      <c r="I522" s="31">
        <v>1320000</v>
      </c>
      <c r="J522" s="19" t="s">
        <v>624</v>
      </c>
      <c r="K522" s="19" t="s">
        <v>625</v>
      </c>
      <c r="L522" s="3" t="s">
        <v>2246</v>
      </c>
      <c r="M522" s="3" t="s">
        <v>2256</v>
      </c>
      <c r="N522" s="3" t="s">
        <v>2270</v>
      </c>
    </row>
    <row r="523" spans="1:14" x14ac:dyDescent="0.25">
      <c r="A523" s="15" t="s">
        <v>868</v>
      </c>
      <c r="B523" s="17" t="s">
        <v>2199</v>
      </c>
      <c r="C523" s="6" t="s">
        <v>28</v>
      </c>
      <c r="D523" s="6" t="s">
        <v>28</v>
      </c>
      <c r="E523" s="7" t="s">
        <v>869</v>
      </c>
      <c r="F523" s="20">
        <v>46143</v>
      </c>
      <c r="G523" s="17">
        <v>1</v>
      </c>
      <c r="H523" t="s">
        <v>807</v>
      </c>
      <c r="I523" s="32">
        <v>3000000</v>
      </c>
      <c r="J523" s="19" t="s">
        <v>624</v>
      </c>
      <c r="K523" s="6" t="s">
        <v>625</v>
      </c>
      <c r="L523" s="3" t="s">
        <v>2246</v>
      </c>
      <c r="M523" s="3" t="s">
        <v>2256</v>
      </c>
      <c r="N523" s="3" t="s">
        <v>2270</v>
      </c>
    </row>
    <row r="524" spans="1:14" x14ac:dyDescent="0.25">
      <c r="A524" s="14" t="s">
        <v>1734</v>
      </c>
      <c r="B524" s="16" t="s">
        <v>2199</v>
      </c>
      <c r="C524" s="19" t="s">
        <v>28</v>
      </c>
      <c r="D524" s="19" t="s">
        <v>28</v>
      </c>
      <c r="E524" s="10" t="s">
        <v>1736</v>
      </c>
      <c r="F524" s="20">
        <v>46143</v>
      </c>
      <c r="G524" s="16">
        <v>1</v>
      </c>
      <c r="H524" s="11" t="s">
        <v>807</v>
      </c>
      <c r="I524" s="31">
        <v>5000000</v>
      </c>
      <c r="J524" s="19" t="s">
        <v>624</v>
      </c>
      <c r="K524" s="19" t="s">
        <v>625</v>
      </c>
      <c r="L524" s="3" t="s">
        <v>2246</v>
      </c>
      <c r="M524" s="3" t="s">
        <v>2256</v>
      </c>
      <c r="N524" s="3" t="s">
        <v>2270</v>
      </c>
    </row>
    <row r="525" spans="1:14" x14ac:dyDescent="0.25">
      <c r="A525" s="15" t="s">
        <v>1305</v>
      </c>
      <c r="B525" s="17" t="s">
        <v>2199</v>
      </c>
      <c r="C525" s="6" t="s">
        <v>1304</v>
      </c>
      <c r="D525" s="6" t="s">
        <v>1304</v>
      </c>
      <c r="E525" s="7" t="s">
        <v>1306</v>
      </c>
      <c r="F525" s="20">
        <v>46266</v>
      </c>
      <c r="G525" s="17">
        <v>1</v>
      </c>
      <c r="H525" t="s">
        <v>807</v>
      </c>
      <c r="I525" s="32">
        <v>1680000000</v>
      </c>
      <c r="J525" s="19" t="s">
        <v>624</v>
      </c>
      <c r="K525" s="6" t="s">
        <v>625</v>
      </c>
      <c r="L525" s="3" t="s">
        <v>2246</v>
      </c>
      <c r="M525" s="3" t="s">
        <v>2256</v>
      </c>
      <c r="N525" s="3" t="s">
        <v>2270</v>
      </c>
    </row>
    <row r="526" spans="1:14" x14ac:dyDescent="0.25">
      <c r="A526" s="14" t="s">
        <v>1308</v>
      </c>
      <c r="B526" s="16" t="s">
        <v>2199</v>
      </c>
      <c r="C526" s="19" t="s">
        <v>1304</v>
      </c>
      <c r="D526" s="19" t="s">
        <v>1304</v>
      </c>
      <c r="E526" s="10" t="s">
        <v>1309</v>
      </c>
      <c r="F526" s="20">
        <v>46327</v>
      </c>
      <c r="G526" s="16">
        <v>1</v>
      </c>
      <c r="H526" s="11" t="s">
        <v>807</v>
      </c>
      <c r="I526" s="31">
        <v>80000000</v>
      </c>
      <c r="J526" s="19" t="s">
        <v>624</v>
      </c>
      <c r="K526" s="19" t="s">
        <v>625</v>
      </c>
      <c r="L526" s="3" t="s">
        <v>2246</v>
      </c>
      <c r="M526" s="3" t="s">
        <v>2256</v>
      </c>
      <c r="N526" s="3" t="s">
        <v>2270</v>
      </c>
    </row>
    <row r="527" spans="1:14" x14ac:dyDescent="0.25">
      <c r="A527" s="15" t="s">
        <v>1319</v>
      </c>
      <c r="B527" s="17" t="s">
        <v>2199</v>
      </c>
      <c r="C527" s="6" t="s">
        <v>1304</v>
      </c>
      <c r="D527" s="6" t="s">
        <v>1304</v>
      </c>
      <c r="E527" s="7" t="s">
        <v>1320</v>
      </c>
      <c r="F527" s="20">
        <v>46235</v>
      </c>
      <c r="G527" s="17">
        <v>1</v>
      </c>
      <c r="H527" t="s">
        <v>807</v>
      </c>
      <c r="I527" s="32">
        <v>55000000</v>
      </c>
      <c r="J527" s="19" t="s">
        <v>624</v>
      </c>
      <c r="K527" s="6" t="s">
        <v>625</v>
      </c>
      <c r="L527" s="3" t="s">
        <v>2246</v>
      </c>
      <c r="M527" s="3" t="s">
        <v>2256</v>
      </c>
      <c r="N527" s="3" t="s">
        <v>2270</v>
      </c>
    </row>
    <row r="528" spans="1:14" x14ac:dyDescent="0.25">
      <c r="A528" s="14" t="s">
        <v>1331</v>
      </c>
      <c r="B528" s="16" t="s">
        <v>2199</v>
      </c>
      <c r="C528" s="19" t="s">
        <v>1304</v>
      </c>
      <c r="D528" s="19" t="s">
        <v>1304</v>
      </c>
      <c r="E528" s="10" t="s">
        <v>1332</v>
      </c>
      <c r="F528" s="20">
        <v>46296</v>
      </c>
      <c r="G528" s="16">
        <v>1</v>
      </c>
      <c r="H528" s="11" t="s">
        <v>807</v>
      </c>
      <c r="I528" s="31">
        <v>90000000</v>
      </c>
      <c r="J528" s="19" t="s">
        <v>624</v>
      </c>
      <c r="K528" s="19" t="s">
        <v>625</v>
      </c>
      <c r="L528" s="3" t="s">
        <v>2246</v>
      </c>
      <c r="M528" s="3" t="s">
        <v>2256</v>
      </c>
      <c r="N528" s="3" t="s">
        <v>2270</v>
      </c>
    </row>
    <row r="529" spans="1:14" x14ac:dyDescent="0.25">
      <c r="A529" s="15" t="s">
        <v>1280</v>
      </c>
      <c r="B529" s="17" t="s">
        <v>2199</v>
      </c>
      <c r="C529" s="6" t="s">
        <v>594</v>
      </c>
      <c r="D529" s="6" t="s">
        <v>594</v>
      </c>
      <c r="E529" s="7" t="s">
        <v>1281</v>
      </c>
      <c r="F529" s="20">
        <v>46296</v>
      </c>
      <c r="G529" s="17">
        <v>1</v>
      </c>
      <c r="H529" t="s">
        <v>807</v>
      </c>
      <c r="I529" s="32">
        <v>25000000</v>
      </c>
      <c r="J529" s="19" t="s">
        <v>624</v>
      </c>
      <c r="K529" s="6" t="s">
        <v>625</v>
      </c>
      <c r="L529" s="3" t="s">
        <v>2246</v>
      </c>
      <c r="M529" s="3" t="s">
        <v>2256</v>
      </c>
      <c r="N529" s="3" t="s">
        <v>2270</v>
      </c>
    </row>
    <row r="530" spans="1:14" x14ac:dyDescent="0.25">
      <c r="A530" s="14" t="s">
        <v>1283</v>
      </c>
      <c r="B530" s="16" t="s">
        <v>2199</v>
      </c>
      <c r="C530" s="19" t="s">
        <v>594</v>
      </c>
      <c r="D530" s="19" t="s">
        <v>594</v>
      </c>
      <c r="E530" s="10" t="s">
        <v>1284</v>
      </c>
      <c r="F530" s="20">
        <v>46327</v>
      </c>
      <c r="G530" s="16">
        <v>1</v>
      </c>
      <c r="H530" s="11" t="s">
        <v>807</v>
      </c>
      <c r="I530" s="31">
        <v>37000000</v>
      </c>
      <c r="J530" s="19" t="s">
        <v>624</v>
      </c>
      <c r="K530" s="19" t="s">
        <v>625</v>
      </c>
      <c r="L530" s="3" t="s">
        <v>2246</v>
      </c>
      <c r="M530" s="3" t="s">
        <v>2256</v>
      </c>
      <c r="N530" s="3" t="s">
        <v>2270</v>
      </c>
    </row>
    <row r="531" spans="1:14" x14ac:dyDescent="0.25">
      <c r="A531" s="15" t="s">
        <v>1286</v>
      </c>
      <c r="B531" s="17" t="s">
        <v>2199</v>
      </c>
      <c r="C531" s="6" t="s">
        <v>594</v>
      </c>
      <c r="D531" s="6" t="s">
        <v>594</v>
      </c>
      <c r="E531" s="7" t="s">
        <v>1287</v>
      </c>
      <c r="F531" s="20">
        <v>46235</v>
      </c>
      <c r="G531" s="17">
        <v>1</v>
      </c>
      <c r="H531" t="s">
        <v>807</v>
      </c>
      <c r="I531" s="32">
        <v>60000000</v>
      </c>
      <c r="J531" s="19" t="s">
        <v>624</v>
      </c>
      <c r="K531" s="6" t="s">
        <v>625</v>
      </c>
      <c r="L531" s="3" t="s">
        <v>2246</v>
      </c>
      <c r="M531" s="3" t="s">
        <v>2256</v>
      </c>
      <c r="N531" s="3" t="s">
        <v>2270</v>
      </c>
    </row>
    <row r="532" spans="1:14" x14ac:dyDescent="0.25">
      <c r="A532" s="14" t="s">
        <v>1360</v>
      </c>
      <c r="B532" s="16" t="s">
        <v>2199</v>
      </c>
      <c r="C532" s="19" t="s">
        <v>594</v>
      </c>
      <c r="D532" s="19" t="s">
        <v>594</v>
      </c>
      <c r="E532" s="10" t="s">
        <v>1361</v>
      </c>
      <c r="F532" s="20">
        <v>46266</v>
      </c>
      <c r="G532" s="16">
        <v>1</v>
      </c>
      <c r="H532" s="11" t="s">
        <v>807</v>
      </c>
      <c r="I532" s="31">
        <v>37000000</v>
      </c>
      <c r="J532" s="19" t="s">
        <v>624</v>
      </c>
      <c r="K532" s="19" t="s">
        <v>625</v>
      </c>
      <c r="L532" s="3" t="s">
        <v>2246</v>
      </c>
      <c r="M532" s="3" t="s">
        <v>2256</v>
      </c>
      <c r="N532" s="3" t="s">
        <v>2270</v>
      </c>
    </row>
    <row r="533" spans="1:14" x14ac:dyDescent="0.25">
      <c r="A533" s="15" t="s">
        <v>1366</v>
      </c>
      <c r="B533" s="17" t="s">
        <v>2199</v>
      </c>
      <c r="C533" s="6" t="s">
        <v>594</v>
      </c>
      <c r="D533" s="6" t="s">
        <v>594</v>
      </c>
      <c r="E533" s="7" t="s">
        <v>1367</v>
      </c>
      <c r="F533" s="20">
        <v>46266</v>
      </c>
      <c r="G533" s="17">
        <v>1</v>
      </c>
      <c r="H533" t="s">
        <v>807</v>
      </c>
      <c r="I533" s="32">
        <v>103000000</v>
      </c>
      <c r="J533" s="19" t="s">
        <v>624</v>
      </c>
      <c r="K533" s="6" t="s">
        <v>625</v>
      </c>
      <c r="L533" s="3" t="s">
        <v>2246</v>
      </c>
      <c r="M533" s="3" t="s">
        <v>2256</v>
      </c>
      <c r="N533" s="3" t="s">
        <v>2270</v>
      </c>
    </row>
    <row r="534" spans="1:14" x14ac:dyDescent="0.25">
      <c r="A534" s="14" t="s">
        <v>803</v>
      </c>
      <c r="B534" s="16" t="s">
        <v>2199</v>
      </c>
      <c r="C534" s="19" t="s">
        <v>594</v>
      </c>
      <c r="D534" s="19" t="s">
        <v>594</v>
      </c>
      <c r="E534" s="10" t="s">
        <v>805</v>
      </c>
      <c r="F534" s="20">
        <v>46266</v>
      </c>
      <c r="G534" s="16">
        <v>1</v>
      </c>
      <c r="H534" s="11" t="s">
        <v>807</v>
      </c>
      <c r="I534" s="31">
        <v>37000000</v>
      </c>
      <c r="J534" s="19" t="s">
        <v>624</v>
      </c>
      <c r="K534" s="19" t="s">
        <v>625</v>
      </c>
      <c r="L534" s="3" t="s">
        <v>2246</v>
      </c>
      <c r="M534" s="3" t="s">
        <v>2256</v>
      </c>
      <c r="N534" s="3" t="s">
        <v>2270</v>
      </c>
    </row>
    <row r="535" spans="1:14" x14ac:dyDescent="0.25">
      <c r="A535" s="15" t="s">
        <v>808</v>
      </c>
      <c r="B535" s="17" t="s">
        <v>2199</v>
      </c>
      <c r="C535" s="6" t="s">
        <v>594</v>
      </c>
      <c r="D535" s="6" t="s">
        <v>594</v>
      </c>
      <c r="E535" s="7" t="s">
        <v>809</v>
      </c>
      <c r="F535" s="20">
        <v>46296</v>
      </c>
      <c r="G535" s="17">
        <v>1</v>
      </c>
      <c r="H535" t="s">
        <v>807</v>
      </c>
      <c r="I535" s="32">
        <v>37000000</v>
      </c>
      <c r="J535" s="19" t="s">
        <v>624</v>
      </c>
      <c r="K535" s="6" t="s">
        <v>625</v>
      </c>
      <c r="L535" s="3" t="s">
        <v>2246</v>
      </c>
      <c r="M535" s="3" t="s">
        <v>2256</v>
      </c>
      <c r="N535" s="3" t="s">
        <v>2270</v>
      </c>
    </row>
    <row r="536" spans="1:14" x14ac:dyDescent="0.25">
      <c r="A536" s="14" t="s">
        <v>1204</v>
      </c>
      <c r="B536" s="16" t="s">
        <v>2199</v>
      </c>
      <c r="C536" s="19" t="s">
        <v>594</v>
      </c>
      <c r="D536" s="19" t="s">
        <v>594</v>
      </c>
      <c r="E536" s="10" t="s">
        <v>1205</v>
      </c>
      <c r="F536" s="20">
        <v>46327</v>
      </c>
      <c r="G536" s="16">
        <v>1</v>
      </c>
      <c r="H536" s="11" t="s">
        <v>807</v>
      </c>
      <c r="I536" s="31">
        <v>37000000</v>
      </c>
      <c r="J536" s="19" t="s">
        <v>624</v>
      </c>
      <c r="K536" s="19" t="s">
        <v>625</v>
      </c>
      <c r="L536" s="3" t="s">
        <v>2246</v>
      </c>
      <c r="M536" s="3" t="s">
        <v>2256</v>
      </c>
      <c r="N536" s="3" t="s">
        <v>2270</v>
      </c>
    </row>
    <row r="537" spans="1:14" x14ac:dyDescent="0.25">
      <c r="A537" s="15" t="s">
        <v>1687</v>
      </c>
      <c r="B537" s="17" t="s">
        <v>2199</v>
      </c>
      <c r="C537" s="6" t="s">
        <v>28</v>
      </c>
      <c r="D537" s="6" t="s">
        <v>28</v>
      </c>
      <c r="E537" s="7" t="s">
        <v>1688</v>
      </c>
      <c r="F537" s="20">
        <v>46082</v>
      </c>
      <c r="G537" s="17">
        <v>2</v>
      </c>
      <c r="H537" t="s">
        <v>486</v>
      </c>
      <c r="I537" s="32">
        <v>230009</v>
      </c>
      <c r="J537" s="19" t="s">
        <v>1690</v>
      </c>
      <c r="K537" s="6" t="s">
        <v>865</v>
      </c>
      <c r="L537" s="3" t="s">
        <v>2233</v>
      </c>
      <c r="M537" s="3" t="s">
        <v>2256</v>
      </c>
      <c r="N537" s="3" t="s">
        <v>2266</v>
      </c>
    </row>
    <row r="538" spans="1:14" x14ac:dyDescent="0.25">
      <c r="A538" s="14" t="s">
        <v>1687</v>
      </c>
      <c r="B538" s="16" t="s">
        <v>2199</v>
      </c>
      <c r="C538" s="19" t="s">
        <v>28</v>
      </c>
      <c r="D538" s="19" t="s">
        <v>28</v>
      </c>
      <c r="E538" s="10" t="s">
        <v>1688</v>
      </c>
      <c r="F538" s="20">
        <v>46082</v>
      </c>
      <c r="G538" s="16">
        <v>2</v>
      </c>
      <c r="H538" s="11" t="s">
        <v>1693</v>
      </c>
      <c r="I538" s="31">
        <v>1796000</v>
      </c>
      <c r="J538" s="19" t="s">
        <v>1690</v>
      </c>
      <c r="K538" s="19" t="s">
        <v>865</v>
      </c>
      <c r="L538" s="3" t="s">
        <v>2233</v>
      </c>
      <c r="M538" s="3" t="s">
        <v>2256</v>
      </c>
      <c r="N538" s="3" t="s">
        <v>2266</v>
      </c>
    </row>
    <row r="539" spans="1:14" x14ac:dyDescent="0.25">
      <c r="A539" s="15" t="s">
        <v>1741</v>
      </c>
      <c r="B539" s="17" t="s">
        <v>2199</v>
      </c>
      <c r="C539" s="6" t="s">
        <v>28</v>
      </c>
      <c r="D539" s="6" t="s">
        <v>28</v>
      </c>
      <c r="E539" s="7" t="s">
        <v>1742</v>
      </c>
      <c r="F539" s="20">
        <v>46082</v>
      </c>
      <c r="G539" s="17">
        <v>1</v>
      </c>
      <c r="H539" t="s">
        <v>486</v>
      </c>
      <c r="I539" s="32">
        <v>316013</v>
      </c>
      <c r="J539" s="19" t="s">
        <v>1744</v>
      </c>
      <c r="K539" s="6" t="s">
        <v>1745</v>
      </c>
      <c r="L539" s="3" t="s">
        <v>2247</v>
      </c>
      <c r="M539" s="3" t="s">
        <v>2234</v>
      </c>
      <c r="N539" s="3" t="s">
        <v>2273</v>
      </c>
    </row>
    <row r="540" spans="1:14" x14ac:dyDescent="0.25">
      <c r="A540" s="14" t="s">
        <v>1777</v>
      </c>
      <c r="B540" s="16" t="s">
        <v>2199</v>
      </c>
      <c r="C540" s="19" t="s">
        <v>28</v>
      </c>
      <c r="D540" s="19" t="s">
        <v>28</v>
      </c>
      <c r="E540" s="10" t="s">
        <v>1778</v>
      </c>
      <c r="F540" s="20">
        <v>46143</v>
      </c>
      <c r="G540" s="16">
        <v>1</v>
      </c>
      <c r="H540" s="11" t="s">
        <v>602</v>
      </c>
      <c r="I540" s="31">
        <v>1200000</v>
      </c>
      <c r="J540" s="19" t="s">
        <v>1744</v>
      </c>
      <c r="K540" s="19" t="s">
        <v>1745</v>
      </c>
      <c r="L540" s="3" t="s">
        <v>2247</v>
      </c>
      <c r="M540" s="3" t="s">
        <v>2234</v>
      </c>
      <c r="N540" s="3" t="s">
        <v>2273</v>
      </c>
    </row>
    <row r="541" spans="1:14" x14ac:dyDescent="0.25">
      <c r="A541" s="15" t="s">
        <v>1780</v>
      </c>
      <c r="B541" s="17" t="s">
        <v>2199</v>
      </c>
      <c r="C541" s="6" t="s">
        <v>28</v>
      </c>
      <c r="D541" s="6" t="s">
        <v>28</v>
      </c>
      <c r="E541" s="7" t="s">
        <v>1781</v>
      </c>
      <c r="F541" s="20">
        <v>46082</v>
      </c>
      <c r="G541" s="17">
        <v>1</v>
      </c>
      <c r="H541" t="s">
        <v>359</v>
      </c>
      <c r="I541" s="32">
        <v>150100</v>
      </c>
      <c r="J541" s="19" t="s">
        <v>1744</v>
      </c>
      <c r="K541" s="6" t="s">
        <v>1745</v>
      </c>
      <c r="L541" s="3" t="s">
        <v>2247</v>
      </c>
      <c r="M541" s="3" t="s">
        <v>2234</v>
      </c>
      <c r="N541" s="3" t="s">
        <v>2273</v>
      </c>
    </row>
    <row r="542" spans="1:14" x14ac:dyDescent="0.25">
      <c r="A542" s="14" t="s">
        <v>2037</v>
      </c>
      <c r="B542" s="16" t="s">
        <v>2199</v>
      </c>
      <c r="C542" s="19" t="s">
        <v>1238</v>
      </c>
      <c r="D542" s="19" t="s">
        <v>1238</v>
      </c>
      <c r="E542" s="10" t="s">
        <v>1658</v>
      </c>
      <c r="F542" s="20">
        <v>46174</v>
      </c>
      <c r="G542" s="16">
        <v>2</v>
      </c>
      <c r="H542" s="11" t="s">
        <v>2040</v>
      </c>
      <c r="I542" s="31">
        <v>1000000</v>
      </c>
      <c r="J542" s="19" t="s">
        <v>2210</v>
      </c>
      <c r="K542" s="19" t="s">
        <v>1661</v>
      </c>
      <c r="L542" s="3" t="s">
        <v>2222</v>
      </c>
      <c r="M542" s="3" t="s">
        <v>2234</v>
      </c>
      <c r="N542" s="3" t="s">
        <v>2260</v>
      </c>
    </row>
    <row r="543" spans="1:14" x14ac:dyDescent="0.25">
      <c r="A543" s="15" t="s">
        <v>2037</v>
      </c>
      <c r="B543" s="17" t="s">
        <v>2199</v>
      </c>
      <c r="C543" s="6" t="s">
        <v>1238</v>
      </c>
      <c r="D543" s="6" t="s">
        <v>1238</v>
      </c>
      <c r="E543" s="7" t="s">
        <v>1658</v>
      </c>
      <c r="F543" s="20">
        <v>46174</v>
      </c>
      <c r="G543" s="17">
        <v>2</v>
      </c>
      <c r="H543" t="s">
        <v>2038</v>
      </c>
      <c r="I543" s="32">
        <v>18000000</v>
      </c>
      <c r="J543" s="19" t="s">
        <v>2210</v>
      </c>
      <c r="K543" s="6" t="s">
        <v>1661</v>
      </c>
      <c r="L543" s="3" t="s">
        <v>2222</v>
      </c>
      <c r="M543" s="3" t="s">
        <v>2234</v>
      </c>
      <c r="N543" s="3" t="s">
        <v>2260</v>
      </c>
    </row>
    <row r="544" spans="1:14" x14ac:dyDescent="0.25">
      <c r="A544" s="14" t="s">
        <v>1555</v>
      </c>
      <c r="B544" s="16" t="s">
        <v>2199</v>
      </c>
      <c r="C544" s="19" t="s">
        <v>28</v>
      </c>
      <c r="D544" s="19" t="s">
        <v>28</v>
      </c>
      <c r="E544" s="10" t="s">
        <v>1556</v>
      </c>
      <c r="F544" s="20">
        <v>46082</v>
      </c>
      <c r="G544" s="16">
        <v>1</v>
      </c>
      <c r="H544" s="11" t="s">
        <v>1558</v>
      </c>
      <c r="I544" s="31">
        <v>14500000</v>
      </c>
      <c r="J544" s="19" t="s">
        <v>1559</v>
      </c>
      <c r="K544" s="19" t="s">
        <v>1560</v>
      </c>
      <c r="L544" s="3" t="s">
        <v>2221</v>
      </c>
      <c r="M544" s="3" t="s">
        <v>2234</v>
      </c>
      <c r="N544" s="3" t="s">
        <v>2259</v>
      </c>
    </row>
    <row r="545" spans="1:14" x14ac:dyDescent="0.25">
      <c r="A545" s="15" t="s">
        <v>1770</v>
      </c>
      <c r="B545" s="17" t="s">
        <v>2199</v>
      </c>
      <c r="C545" s="6" t="s">
        <v>28</v>
      </c>
      <c r="D545" s="6" t="s">
        <v>28</v>
      </c>
      <c r="E545" s="7" t="s">
        <v>1771</v>
      </c>
      <c r="F545" s="20">
        <v>46113</v>
      </c>
      <c r="G545" s="17">
        <v>1</v>
      </c>
      <c r="H545" t="s">
        <v>1237</v>
      </c>
      <c r="I545" s="32">
        <v>7000000</v>
      </c>
      <c r="J545" s="19" t="s">
        <v>1773</v>
      </c>
      <c r="K545" s="6" t="s">
        <v>1774</v>
      </c>
      <c r="L545" s="3" t="s">
        <v>2248</v>
      </c>
      <c r="M545" s="3" t="s">
        <v>2256</v>
      </c>
      <c r="N545" s="3" t="s">
        <v>2274</v>
      </c>
    </row>
    <row r="546" spans="1:14" x14ac:dyDescent="0.25">
      <c r="A546" s="14" t="s">
        <v>1783</v>
      </c>
      <c r="B546" s="16" t="s">
        <v>2199</v>
      </c>
      <c r="C546" s="19" t="s">
        <v>28</v>
      </c>
      <c r="D546" s="19" t="s">
        <v>28</v>
      </c>
      <c r="E546" s="10" t="s">
        <v>1784</v>
      </c>
      <c r="F546" s="20">
        <v>46082</v>
      </c>
      <c r="G546" s="16">
        <v>1</v>
      </c>
      <c r="H546" s="11" t="s">
        <v>1786</v>
      </c>
      <c r="I546" s="31">
        <v>1500000</v>
      </c>
      <c r="J546" s="19" t="s">
        <v>1773</v>
      </c>
      <c r="K546" s="19" t="s">
        <v>1774</v>
      </c>
      <c r="L546" s="3" t="s">
        <v>2248</v>
      </c>
      <c r="M546" s="3" t="s">
        <v>2256</v>
      </c>
      <c r="N546" s="3" t="s">
        <v>2274</v>
      </c>
    </row>
    <row r="547" spans="1:14" x14ac:dyDescent="0.25">
      <c r="A547" s="15" t="s">
        <v>1790</v>
      </c>
      <c r="B547" s="17" t="s">
        <v>2199</v>
      </c>
      <c r="C547" s="6" t="s">
        <v>28</v>
      </c>
      <c r="D547" s="6" t="s">
        <v>28</v>
      </c>
      <c r="E547" s="7" t="s">
        <v>1791</v>
      </c>
      <c r="F547" s="20">
        <v>46054</v>
      </c>
      <c r="G547" s="17">
        <v>1</v>
      </c>
      <c r="H547" t="s">
        <v>910</v>
      </c>
      <c r="I547" s="32">
        <v>1000000</v>
      </c>
      <c r="J547" s="19" t="s">
        <v>1773</v>
      </c>
      <c r="K547" s="6" t="s">
        <v>1774</v>
      </c>
      <c r="L547" s="3" t="s">
        <v>2248</v>
      </c>
      <c r="M547" s="3" t="s">
        <v>2256</v>
      </c>
      <c r="N547" s="3" t="s">
        <v>2274</v>
      </c>
    </row>
    <row r="548" spans="1:14" x14ac:dyDescent="0.25">
      <c r="A548" s="14" t="s">
        <v>1042</v>
      </c>
      <c r="B548" s="16" t="s">
        <v>2199</v>
      </c>
      <c r="C548" s="19" t="s">
        <v>28</v>
      </c>
      <c r="D548" s="19" t="s">
        <v>28</v>
      </c>
      <c r="E548" s="10" t="s">
        <v>1044</v>
      </c>
      <c r="F548" s="20">
        <v>46023</v>
      </c>
      <c r="G548" s="16">
        <v>1</v>
      </c>
      <c r="H548" s="11" t="s">
        <v>1012</v>
      </c>
      <c r="I548" s="31">
        <v>60000000</v>
      </c>
      <c r="J548" s="19" t="s">
        <v>531</v>
      </c>
      <c r="K548" s="19" t="s">
        <v>532</v>
      </c>
      <c r="L548" s="3" t="s">
        <v>2249</v>
      </c>
      <c r="M548" s="3" t="s">
        <v>2256</v>
      </c>
      <c r="N548" s="3" t="s">
        <v>2268</v>
      </c>
    </row>
    <row r="549" spans="1:14" x14ac:dyDescent="0.25">
      <c r="A549" s="15" t="s">
        <v>1047</v>
      </c>
      <c r="B549" s="17" t="s">
        <v>2199</v>
      </c>
      <c r="C549" s="6" t="s">
        <v>28</v>
      </c>
      <c r="D549" s="6" t="s">
        <v>28</v>
      </c>
      <c r="E549" s="7" t="s">
        <v>1049</v>
      </c>
      <c r="F549" s="20">
        <v>46023</v>
      </c>
      <c r="G549" s="17">
        <v>1</v>
      </c>
      <c r="H549" t="s">
        <v>1012</v>
      </c>
      <c r="I549" s="32">
        <v>11000000</v>
      </c>
      <c r="J549" s="19" t="s">
        <v>531</v>
      </c>
      <c r="K549" s="6" t="s">
        <v>1051</v>
      </c>
      <c r="L549" s="3" t="s">
        <v>2249</v>
      </c>
      <c r="M549" s="3" t="s">
        <v>2256</v>
      </c>
      <c r="N549" s="3" t="s">
        <v>2268</v>
      </c>
    </row>
    <row r="550" spans="1:14" x14ac:dyDescent="0.25">
      <c r="A550" s="14" t="s">
        <v>527</v>
      </c>
      <c r="B550" s="16" t="s">
        <v>2196</v>
      </c>
      <c r="C550" s="16" t="s">
        <v>2196</v>
      </c>
      <c r="D550" s="19" t="s">
        <v>28</v>
      </c>
      <c r="E550" s="10" t="s">
        <v>528</v>
      </c>
      <c r="F550" s="20">
        <v>45870</v>
      </c>
      <c r="G550" s="16">
        <v>1</v>
      </c>
      <c r="H550" s="11" t="s">
        <v>530</v>
      </c>
      <c r="I550" s="31">
        <v>40000000</v>
      </c>
      <c r="J550" s="19" t="s">
        <v>531</v>
      </c>
      <c r="K550" s="19" t="s">
        <v>532</v>
      </c>
      <c r="L550" s="3" t="s">
        <v>2249</v>
      </c>
      <c r="M550" s="3" t="s">
        <v>2256</v>
      </c>
      <c r="N550" s="3" t="s">
        <v>2268</v>
      </c>
    </row>
    <row r="551" spans="1:14" x14ac:dyDescent="0.25">
      <c r="A551" s="15" t="s">
        <v>535</v>
      </c>
      <c r="B551" s="17" t="s">
        <v>2196</v>
      </c>
      <c r="C551" s="17" t="s">
        <v>2196</v>
      </c>
      <c r="D551" s="6" t="s">
        <v>28</v>
      </c>
      <c r="E551" s="7" t="s">
        <v>537</v>
      </c>
      <c r="F551" s="20">
        <v>45870</v>
      </c>
      <c r="G551" s="17">
        <v>1</v>
      </c>
      <c r="H551" t="s">
        <v>496</v>
      </c>
      <c r="I551" s="32">
        <v>80000000</v>
      </c>
      <c r="J551" s="19" t="s">
        <v>531</v>
      </c>
      <c r="K551" s="6" t="s">
        <v>532</v>
      </c>
      <c r="L551" s="3" t="s">
        <v>2249</v>
      </c>
      <c r="M551" s="3" t="s">
        <v>2256</v>
      </c>
      <c r="N551" s="3" t="s">
        <v>2268</v>
      </c>
    </row>
    <row r="552" spans="1:14" x14ac:dyDescent="0.25">
      <c r="A552" s="14" t="s">
        <v>773</v>
      </c>
      <c r="B552" s="16" t="s">
        <v>2199</v>
      </c>
      <c r="C552" s="19" t="s">
        <v>28</v>
      </c>
      <c r="D552" s="19" t="s">
        <v>28</v>
      </c>
      <c r="E552" s="10" t="s">
        <v>774</v>
      </c>
      <c r="F552" s="20">
        <v>46054</v>
      </c>
      <c r="G552" s="16">
        <v>6</v>
      </c>
      <c r="H552" s="11" t="s">
        <v>778</v>
      </c>
      <c r="I552" s="31">
        <v>124000</v>
      </c>
      <c r="J552" s="19" t="s">
        <v>768</v>
      </c>
      <c r="K552" s="19" t="s">
        <v>386</v>
      </c>
      <c r="L552" s="3" t="s">
        <v>2275</v>
      </c>
      <c r="M552" s="3" t="s">
        <v>2234</v>
      </c>
      <c r="N552" s="3" t="s">
        <v>2258</v>
      </c>
    </row>
    <row r="553" spans="1:14" x14ac:dyDescent="0.25">
      <c r="A553" s="15" t="s">
        <v>773</v>
      </c>
      <c r="B553" s="17" t="s">
        <v>2199</v>
      </c>
      <c r="C553" s="6" t="s">
        <v>28</v>
      </c>
      <c r="D553" s="6" t="s">
        <v>28</v>
      </c>
      <c r="E553" s="7" t="s">
        <v>774</v>
      </c>
      <c r="F553" s="20">
        <v>46054</v>
      </c>
      <c r="G553" s="17">
        <v>6</v>
      </c>
      <c r="H553" t="s">
        <v>781</v>
      </c>
      <c r="I553" s="32">
        <v>8000</v>
      </c>
      <c r="J553" s="19" t="s">
        <v>768</v>
      </c>
      <c r="K553" s="6" t="s">
        <v>386</v>
      </c>
      <c r="L553" s="3" t="s">
        <v>2275</v>
      </c>
      <c r="M553" s="3" t="s">
        <v>2234</v>
      </c>
      <c r="N553" s="3" t="s">
        <v>2258</v>
      </c>
    </row>
    <row r="554" spans="1:14" x14ac:dyDescent="0.25">
      <c r="A554" s="14" t="s">
        <v>773</v>
      </c>
      <c r="B554" s="16" t="s">
        <v>2199</v>
      </c>
      <c r="C554" s="19" t="s">
        <v>28</v>
      </c>
      <c r="D554" s="19" t="s">
        <v>28</v>
      </c>
      <c r="E554" s="10" t="s">
        <v>774</v>
      </c>
      <c r="F554" s="20">
        <v>46054</v>
      </c>
      <c r="G554" s="16">
        <v>6</v>
      </c>
      <c r="H554" s="11" t="s">
        <v>780</v>
      </c>
      <c r="I554" s="31">
        <v>25000</v>
      </c>
      <c r="J554" s="19" t="s">
        <v>768</v>
      </c>
      <c r="K554" s="19" t="s">
        <v>386</v>
      </c>
      <c r="L554" s="3" t="s">
        <v>2275</v>
      </c>
      <c r="M554" s="3" t="s">
        <v>2234</v>
      </c>
      <c r="N554" s="3" t="s">
        <v>2258</v>
      </c>
    </row>
    <row r="555" spans="1:14" x14ac:dyDescent="0.25">
      <c r="A555" s="15" t="s">
        <v>773</v>
      </c>
      <c r="B555" s="17" t="s">
        <v>2199</v>
      </c>
      <c r="C555" s="6" t="s">
        <v>28</v>
      </c>
      <c r="D555" s="6" t="s">
        <v>28</v>
      </c>
      <c r="E555" s="7" t="s">
        <v>774</v>
      </c>
      <c r="F555" s="20">
        <v>46054</v>
      </c>
      <c r="G555" s="17">
        <v>6</v>
      </c>
      <c r="H555" t="s">
        <v>779</v>
      </c>
      <c r="I555" s="32">
        <v>70000</v>
      </c>
      <c r="J555" s="19" t="s">
        <v>768</v>
      </c>
      <c r="K555" s="6" t="s">
        <v>386</v>
      </c>
      <c r="L555" s="3" t="s">
        <v>2275</v>
      </c>
      <c r="M555" s="3" t="s">
        <v>2234</v>
      </c>
      <c r="N555" s="3" t="s">
        <v>2258</v>
      </c>
    </row>
    <row r="556" spans="1:14" x14ac:dyDescent="0.25">
      <c r="A556" s="14" t="s">
        <v>773</v>
      </c>
      <c r="B556" s="16" t="s">
        <v>2199</v>
      </c>
      <c r="C556" s="19" t="s">
        <v>28</v>
      </c>
      <c r="D556" s="19" t="s">
        <v>28</v>
      </c>
      <c r="E556" s="10" t="s">
        <v>774</v>
      </c>
      <c r="F556" s="20">
        <v>46054</v>
      </c>
      <c r="G556" s="16">
        <v>6</v>
      </c>
      <c r="H556" s="11" t="s">
        <v>777</v>
      </c>
      <c r="I556" s="31">
        <v>699036</v>
      </c>
      <c r="J556" s="19" t="s">
        <v>768</v>
      </c>
      <c r="K556" s="19" t="s">
        <v>386</v>
      </c>
      <c r="L556" s="3" t="s">
        <v>2275</v>
      </c>
      <c r="M556" s="3" t="s">
        <v>2234</v>
      </c>
      <c r="N556" s="3" t="s">
        <v>2258</v>
      </c>
    </row>
    <row r="557" spans="1:14" x14ac:dyDescent="0.25">
      <c r="A557" s="15" t="s">
        <v>773</v>
      </c>
      <c r="B557" s="17" t="s">
        <v>2199</v>
      </c>
      <c r="C557" s="6" t="s">
        <v>28</v>
      </c>
      <c r="D557" s="6" t="s">
        <v>28</v>
      </c>
      <c r="E557" s="7" t="s">
        <v>774</v>
      </c>
      <c r="F557" s="20">
        <v>46054</v>
      </c>
      <c r="G557" s="17">
        <v>6</v>
      </c>
      <c r="H557" t="s">
        <v>776</v>
      </c>
      <c r="I557" s="32">
        <v>240012</v>
      </c>
      <c r="J557" s="19" t="s">
        <v>768</v>
      </c>
      <c r="K557" s="6" t="s">
        <v>386</v>
      </c>
      <c r="L557" s="3" t="s">
        <v>2275</v>
      </c>
      <c r="M557" s="3" t="s">
        <v>2234</v>
      </c>
      <c r="N557" s="3" t="s">
        <v>2258</v>
      </c>
    </row>
    <row r="558" spans="1:14" x14ac:dyDescent="0.25">
      <c r="A558" s="14" t="s">
        <v>816</v>
      </c>
      <c r="B558" s="16" t="s">
        <v>2199</v>
      </c>
      <c r="C558" s="19" t="s">
        <v>28</v>
      </c>
      <c r="D558" s="19" t="s">
        <v>28</v>
      </c>
      <c r="E558" s="10" t="s">
        <v>817</v>
      </c>
      <c r="F558" s="20">
        <v>46023</v>
      </c>
      <c r="G558" s="16">
        <v>5</v>
      </c>
      <c r="H558" s="11" t="s">
        <v>821</v>
      </c>
      <c r="I558" s="31">
        <v>104004</v>
      </c>
      <c r="J558" s="19" t="s">
        <v>768</v>
      </c>
      <c r="K558" s="19" t="s">
        <v>386</v>
      </c>
      <c r="L558" s="3" t="s">
        <v>2275</v>
      </c>
      <c r="M558" s="3" t="s">
        <v>2234</v>
      </c>
      <c r="N558" s="3" t="s">
        <v>2258</v>
      </c>
    </row>
    <row r="559" spans="1:14" x14ac:dyDescent="0.25">
      <c r="A559" s="15" t="s">
        <v>816</v>
      </c>
      <c r="B559" s="17" t="s">
        <v>2199</v>
      </c>
      <c r="C559" s="6" t="s">
        <v>28</v>
      </c>
      <c r="D559" s="6" t="s">
        <v>28</v>
      </c>
      <c r="E559" s="7" t="s">
        <v>817</v>
      </c>
      <c r="F559" s="20">
        <v>46082</v>
      </c>
      <c r="G559" s="17">
        <v>5</v>
      </c>
      <c r="H559" t="s">
        <v>821</v>
      </c>
      <c r="I559" s="32">
        <v>1900044</v>
      </c>
      <c r="J559" s="19" t="s">
        <v>768</v>
      </c>
      <c r="K559" s="6" t="s">
        <v>386</v>
      </c>
      <c r="L559" s="3" t="s">
        <v>2275</v>
      </c>
      <c r="M559" s="3" t="s">
        <v>2234</v>
      </c>
      <c r="N559" s="3" t="s">
        <v>2258</v>
      </c>
    </row>
    <row r="560" spans="1:14" x14ac:dyDescent="0.25">
      <c r="A560" s="14" t="s">
        <v>816</v>
      </c>
      <c r="B560" s="16" t="s">
        <v>2199</v>
      </c>
      <c r="C560" s="19" t="s">
        <v>28</v>
      </c>
      <c r="D560" s="19" t="s">
        <v>28</v>
      </c>
      <c r="E560" s="10" t="s">
        <v>817</v>
      </c>
      <c r="F560" s="20">
        <v>46023</v>
      </c>
      <c r="G560" s="16">
        <v>5</v>
      </c>
      <c r="H560" s="11" t="s">
        <v>486</v>
      </c>
      <c r="I560" s="31">
        <v>250000</v>
      </c>
      <c r="J560" s="19" t="s">
        <v>768</v>
      </c>
      <c r="K560" s="19" t="s">
        <v>386</v>
      </c>
      <c r="L560" s="3" t="s">
        <v>2275</v>
      </c>
      <c r="M560" s="3" t="s">
        <v>2234</v>
      </c>
      <c r="N560" s="3" t="s">
        <v>2258</v>
      </c>
    </row>
    <row r="561" spans="1:14" x14ac:dyDescent="0.25">
      <c r="A561" s="15" t="s">
        <v>816</v>
      </c>
      <c r="B561" s="17" t="s">
        <v>2199</v>
      </c>
      <c r="C561" s="6" t="s">
        <v>28</v>
      </c>
      <c r="D561" s="6" t="s">
        <v>28</v>
      </c>
      <c r="E561" s="7" t="s">
        <v>817</v>
      </c>
      <c r="F561" s="20">
        <v>46113</v>
      </c>
      <c r="G561" s="17">
        <v>5</v>
      </c>
      <c r="H561" t="s">
        <v>819</v>
      </c>
      <c r="I561" s="32">
        <v>1450010</v>
      </c>
      <c r="J561" s="19" t="s">
        <v>768</v>
      </c>
      <c r="K561" s="6" t="s">
        <v>386</v>
      </c>
      <c r="L561" s="3" t="s">
        <v>2275</v>
      </c>
      <c r="M561" s="3" t="s">
        <v>2234</v>
      </c>
      <c r="N561" s="3" t="s">
        <v>2258</v>
      </c>
    </row>
    <row r="562" spans="1:14" x14ac:dyDescent="0.25">
      <c r="A562" s="14" t="s">
        <v>816</v>
      </c>
      <c r="B562" s="16" t="s">
        <v>2199</v>
      </c>
      <c r="C562" s="19" t="s">
        <v>28</v>
      </c>
      <c r="D562" s="19" t="s">
        <v>28</v>
      </c>
      <c r="E562" s="10" t="s">
        <v>817</v>
      </c>
      <c r="F562" s="20">
        <v>46023</v>
      </c>
      <c r="G562" s="16">
        <v>5</v>
      </c>
      <c r="H562" s="11" t="s">
        <v>820</v>
      </c>
      <c r="I562" s="31">
        <v>1500000</v>
      </c>
      <c r="J562" s="19" t="s">
        <v>768</v>
      </c>
      <c r="K562" s="19" t="s">
        <v>386</v>
      </c>
      <c r="L562" s="3" t="s">
        <v>2275</v>
      </c>
      <c r="M562" s="3" t="s">
        <v>2234</v>
      </c>
      <c r="N562" s="3" t="s">
        <v>2258</v>
      </c>
    </row>
    <row r="563" spans="1:14" x14ac:dyDescent="0.25">
      <c r="A563" s="15" t="s">
        <v>837</v>
      </c>
      <c r="B563" s="17" t="s">
        <v>2199</v>
      </c>
      <c r="C563" s="6" t="s">
        <v>28</v>
      </c>
      <c r="D563" s="6" t="s">
        <v>28</v>
      </c>
      <c r="E563" s="7" t="s">
        <v>838</v>
      </c>
      <c r="F563" s="20">
        <v>46023</v>
      </c>
      <c r="G563" s="17">
        <v>1</v>
      </c>
      <c r="H563" t="s">
        <v>840</v>
      </c>
      <c r="I563" s="32">
        <v>130000</v>
      </c>
      <c r="J563" s="19" t="s">
        <v>768</v>
      </c>
      <c r="K563" s="6" t="s">
        <v>386</v>
      </c>
      <c r="L563" s="3" t="s">
        <v>2275</v>
      </c>
      <c r="M563" s="3" t="s">
        <v>2234</v>
      </c>
      <c r="N563" s="3" t="s">
        <v>2258</v>
      </c>
    </row>
    <row r="564" spans="1:14" x14ac:dyDescent="0.25">
      <c r="A564" s="14" t="s">
        <v>963</v>
      </c>
      <c r="B564" s="16" t="s">
        <v>2199</v>
      </c>
      <c r="C564" s="19" t="s">
        <v>28</v>
      </c>
      <c r="D564" s="19" t="s">
        <v>28</v>
      </c>
      <c r="E564" s="10" t="s">
        <v>964</v>
      </c>
      <c r="F564" s="20">
        <v>46054</v>
      </c>
      <c r="G564" s="16">
        <v>1</v>
      </c>
      <c r="H564" s="11" t="s">
        <v>623</v>
      </c>
      <c r="I564" s="31">
        <v>700002</v>
      </c>
      <c r="J564" s="19" t="s">
        <v>768</v>
      </c>
      <c r="K564" s="19" t="s">
        <v>966</v>
      </c>
      <c r="L564" s="3" t="s">
        <v>2275</v>
      </c>
      <c r="M564" s="3" t="s">
        <v>2234</v>
      </c>
      <c r="N564" s="3" t="s">
        <v>2258</v>
      </c>
    </row>
    <row r="565" spans="1:14" x14ac:dyDescent="0.25">
      <c r="A565" s="15" t="s">
        <v>969</v>
      </c>
      <c r="B565" s="17" t="s">
        <v>2199</v>
      </c>
      <c r="C565" s="6" t="s">
        <v>28</v>
      </c>
      <c r="D565" s="6" t="s">
        <v>28</v>
      </c>
      <c r="E565" s="7" t="s">
        <v>970</v>
      </c>
      <c r="F565" s="20">
        <v>46054</v>
      </c>
      <c r="G565" s="17">
        <v>1</v>
      </c>
      <c r="H565" t="s">
        <v>623</v>
      </c>
      <c r="I565" s="32">
        <v>7000008</v>
      </c>
      <c r="J565" s="19" t="s">
        <v>768</v>
      </c>
      <c r="K565" s="6" t="s">
        <v>966</v>
      </c>
      <c r="L565" s="3" t="s">
        <v>2275</v>
      </c>
      <c r="M565" s="3" t="s">
        <v>2234</v>
      </c>
      <c r="N565" s="3" t="s">
        <v>2258</v>
      </c>
    </row>
    <row r="566" spans="1:14" x14ac:dyDescent="0.25">
      <c r="A566" s="14" t="s">
        <v>972</v>
      </c>
      <c r="B566" s="16" t="s">
        <v>2199</v>
      </c>
      <c r="C566" s="19" t="s">
        <v>28</v>
      </c>
      <c r="D566" s="19" t="s">
        <v>28</v>
      </c>
      <c r="E566" s="10" t="s">
        <v>973</v>
      </c>
      <c r="F566" s="20">
        <v>46082</v>
      </c>
      <c r="G566" s="16">
        <v>1</v>
      </c>
      <c r="H566" s="11" t="s">
        <v>623</v>
      </c>
      <c r="I566" s="31">
        <v>800000</v>
      </c>
      <c r="J566" s="19" t="s">
        <v>768</v>
      </c>
      <c r="K566" s="19" t="s">
        <v>966</v>
      </c>
      <c r="L566" s="3" t="s">
        <v>2275</v>
      </c>
      <c r="M566" s="3" t="s">
        <v>2234</v>
      </c>
      <c r="N566" s="3" t="s">
        <v>2258</v>
      </c>
    </row>
    <row r="567" spans="1:14" x14ac:dyDescent="0.25">
      <c r="A567" s="15" t="s">
        <v>975</v>
      </c>
      <c r="B567" s="17" t="s">
        <v>2199</v>
      </c>
      <c r="C567" s="6" t="s">
        <v>28</v>
      </c>
      <c r="D567" s="6" t="s">
        <v>28</v>
      </c>
      <c r="E567" s="7" t="s">
        <v>976</v>
      </c>
      <c r="F567" s="20">
        <v>46054</v>
      </c>
      <c r="G567" s="17">
        <v>1</v>
      </c>
      <c r="H567" t="s">
        <v>623</v>
      </c>
      <c r="I567" s="32">
        <v>3500000</v>
      </c>
      <c r="J567" s="19" t="s">
        <v>768</v>
      </c>
      <c r="K567" s="6" t="s">
        <v>966</v>
      </c>
      <c r="L567" s="3" t="s">
        <v>2275</v>
      </c>
      <c r="M567" s="3" t="s">
        <v>2234</v>
      </c>
      <c r="N567" s="3" t="s">
        <v>2258</v>
      </c>
    </row>
    <row r="568" spans="1:14" x14ac:dyDescent="0.25">
      <c r="A568" s="14" t="s">
        <v>978</v>
      </c>
      <c r="B568" s="16" t="s">
        <v>2199</v>
      </c>
      <c r="C568" s="19" t="s">
        <v>28</v>
      </c>
      <c r="D568" s="19" t="s">
        <v>28</v>
      </c>
      <c r="E568" s="10" t="s">
        <v>979</v>
      </c>
      <c r="F568" s="20">
        <v>46082</v>
      </c>
      <c r="G568" s="16">
        <v>1</v>
      </c>
      <c r="H568" s="11" t="s">
        <v>623</v>
      </c>
      <c r="I568" s="31">
        <v>2000000</v>
      </c>
      <c r="J568" s="19" t="s">
        <v>768</v>
      </c>
      <c r="K568" s="19" t="s">
        <v>966</v>
      </c>
      <c r="L568" s="3" t="s">
        <v>2275</v>
      </c>
      <c r="M568" s="3" t="s">
        <v>2234</v>
      </c>
      <c r="N568" s="3" t="s">
        <v>2258</v>
      </c>
    </row>
    <row r="569" spans="1:14" x14ac:dyDescent="0.25">
      <c r="A569" s="15" t="s">
        <v>981</v>
      </c>
      <c r="B569" s="17" t="s">
        <v>2199</v>
      </c>
      <c r="C569" s="6" t="s">
        <v>28</v>
      </c>
      <c r="D569" s="6" t="s">
        <v>28</v>
      </c>
      <c r="E569" s="7" t="s">
        <v>982</v>
      </c>
      <c r="F569" s="20">
        <v>46113</v>
      </c>
      <c r="G569" s="17">
        <v>1</v>
      </c>
      <c r="H569" t="s">
        <v>623</v>
      </c>
      <c r="I569" s="32">
        <v>800004</v>
      </c>
      <c r="J569" s="19" t="s">
        <v>768</v>
      </c>
      <c r="K569" s="6" t="s">
        <v>966</v>
      </c>
      <c r="L569" s="3" t="s">
        <v>2275</v>
      </c>
      <c r="M569" s="3" t="s">
        <v>2234</v>
      </c>
      <c r="N569" s="3" t="s">
        <v>2258</v>
      </c>
    </row>
    <row r="570" spans="1:14" x14ac:dyDescent="0.25">
      <c r="A570" s="14" t="s">
        <v>984</v>
      </c>
      <c r="B570" s="16" t="s">
        <v>2199</v>
      </c>
      <c r="C570" s="19" t="s">
        <v>28</v>
      </c>
      <c r="D570" s="19" t="s">
        <v>28</v>
      </c>
      <c r="E570" s="10" t="s">
        <v>985</v>
      </c>
      <c r="F570" s="20">
        <v>46023</v>
      </c>
      <c r="G570" s="16">
        <v>1</v>
      </c>
      <c r="H570" s="11" t="s">
        <v>623</v>
      </c>
      <c r="I570" s="31">
        <v>600000</v>
      </c>
      <c r="J570" s="19" t="s">
        <v>768</v>
      </c>
      <c r="K570" s="19" t="s">
        <v>966</v>
      </c>
      <c r="L570" s="3" t="s">
        <v>2275</v>
      </c>
      <c r="M570" s="3" t="s">
        <v>2234</v>
      </c>
      <c r="N570" s="3" t="s">
        <v>2258</v>
      </c>
    </row>
    <row r="571" spans="1:14" x14ac:dyDescent="0.25">
      <c r="A571" s="15" t="s">
        <v>987</v>
      </c>
      <c r="B571" s="17" t="s">
        <v>2199</v>
      </c>
      <c r="C571" s="6" t="s">
        <v>28</v>
      </c>
      <c r="D571" s="6" t="s">
        <v>28</v>
      </c>
      <c r="E571" s="7" t="s">
        <v>988</v>
      </c>
      <c r="F571" s="20">
        <v>46204</v>
      </c>
      <c r="G571" s="17">
        <v>1</v>
      </c>
      <c r="H571" t="s">
        <v>623</v>
      </c>
      <c r="I571" s="32">
        <v>4000000</v>
      </c>
      <c r="J571" s="19" t="s">
        <v>768</v>
      </c>
      <c r="K571" s="6" t="s">
        <v>966</v>
      </c>
      <c r="L571" s="3" t="s">
        <v>2275</v>
      </c>
      <c r="M571" s="3" t="s">
        <v>2234</v>
      </c>
      <c r="N571" s="3" t="s">
        <v>2258</v>
      </c>
    </row>
    <row r="572" spans="1:14" x14ac:dyDescent="0.25">
      <c r="A572" s="14" t="s">
        <v>990</v>
      </c>
      <c r="B572" s="16" t="s">
        <v>2199</v>
      </c>
      <c r="C572" s="19" t="s">
        <v>28</v>
      </c>
      <c r="D572" s="19" t="s">
        <v>28</v>
      </c>
      <c r="E572" s="10" t="s">
        <v>991</v>
      </c>
      <c r="F572" s="20">
        <v>46082</v>
      </c>
      <c r="G572" s="16">
        <v>1</v>
      </c>
      <c r="H572" s="11" t="s">
        <v>623</v>
      </c>
      <c r="I572" s="31">
        <v>5500000</v>
      </c>
      <c r="J572" s="19" t="s">
        <v>768</v>
      </c>
      <c r="K572" s="19" t="s">
        <v>966</v>
      </c>
      <c r="L572" s="3" t="s">
        <v>2275</v>
      </c>
      <c r="M572" s="3" t="s">
        <v>2234</v>
      </c>
      <c r="N572" s="3" t="s">
        <v>2258</v>
      </c>
    </row>
    <row r="573" spans="1:14" x14ac:dyDescent="0.25">
      <c r="A573" s="15" t="s">
        <v>993</v>
      </c>
      <c r="B573" s="17" t="s">
        <v>2199</v>
      </c>
      <c r="C573" s="6" t="s">
        <v>28</v>
      </c>
      <c r="D573" s="6" t="s">
        <v>28</v>
      </c>
      <c r="E573" s="7" t="s">
        <v>994</v>
      </c>
      <c r="F573" s="20">
        <v>46113</v>
      </c>
      <c r="G573" s="17">
        <v>1</v>
      </c>
      <c r="H573" t="s">
        <v>623</v>
      </c>
      <c r="I573" s="32">
        <v>3000000</v>
      </c>
      <c r="J573" s="19" t="s">
        <v>768</v>
      </c>
      <c r="K573" s="6" t="s">
        <v>966</v>
      </c>
      <c r="L573" s="3" t="s">
        <v>2275</v>
      </c>
      <c r="M573" s="3" t="s">
        <v>2234</v>
      </c>
      <c r="N573" s="3" t="s">
        <v>2258</v>
      </c>
    </row>
    <row r="574" spans="1:14" x14ac:dyDescent="0.25">
      <c r="A574" s="14" t="s">
        <v>1000</v>
      </c>
      <c r="B574" s="16" t="s">
        <v>2199</v>
      </c>
      <c r="C574" s="19" t="s">
        <v>28</v>
      </c>
      <c r="D574" s="19" t="s">
        <v>28</v>
      </c>
      <c r="E574" s="10" t="s">
        <v>1001</v>
      </c>
      <c r="F574" s="20">
        <v>46204</v>
      </c>
      <c r="G574" s="16">
        <v>1</v>
      </c>
      <c r="H574" s="11" t="s">
        <v>623</v>
      </c>
      <c r="I574" s="31">
        <v>1500000</v>
      </c>
      <c r="J574" s="19" t="s">
        <v>768</v>
      </c>
      <c r="K574" s="19" t="s">
        <v>966</v>
      </c>
      <c r="L574" s="3" t="s">
        <v>2275</v>
      </c>
      <c r="M574" s="3" t="s">
        <v>2234</v>
      </c>
      <c r="N574" s="3" t="s">
        <v>2258</v>
      </c>
    </row>
    <row r="575" spans="1:14" x14ac:dyDescent="0.25">
      <c r="A575" s="15" t="s">
        <v>1003</v>
      </c>
      <c r="B575" s="17" t="s">
        <v>2199</v>
      </c>
      <c r="C575" s="6" t="s">
        <v>28</v>
      </c>
      <c r="D575" s="6" t="s">
        <v>28</v>
      </c>
      <c r="E575" s="7" t="s">
        <v>1004</v>
      </c>
      <c r="F575" s="20">
        <v>46082</v>
      </c>
      <c r="G575" s="17">
        <v>1</v>
      </c>
      <c r="H575" t="s">
        <v>1006</v>
      </c>
      <c r="I575" s="32">
        <v>17500000</v>
      </c>
      <c r="J575" s="19" t="s">
        <v>768</v>
      </c>
      <c r="K575" s="6" t="s">
        <v>966</v>
      </c>
      <c r="L575" s="3" t="s">
        <v>2275</v>
      </c>
      <c r="M575" s="3" t="s">
        <v>2234</v>
      </c>
      <c r="N575" s="3" t="s">
        <v>2258</v>
      </c>
    </row>
    <row r="576" spans="1:14" x14ac:dyDescent="0.25">
      <c r="A576" s="14" t="s">
        <v>1008</v>
      </c>
      <c r="B576" s="16" t="s">
        <v>2199</v>
      </c>
      <c r="C576" s="19" t="s">
        <v>28</v>
      </c>
      <c r="D576" s="19" t="s">
        <v>28</v>
      </c>
      <c r="E576" s="10" t="s">
        <v>1010</v>
      </c>
      <c r="F576" s="20">
        <v>46143</v>
      </c>
      <c r="G576" s="16">
        <v>1</v>
      </c>
      <c r="H576" s="11" t="s">
        <v>1012</v>
      </c>
      <c r="I576" s="31">
        <v>1820000</v>
      </c>
      <c r="J576" s="19" t="s">
        <v>768</v>
      </c>
      <c r="K576" s="19" t="s">
        <v>966</v>
      </c>
      <c r="L576" s="3" t="s">
        <v>2275</v>
      </c>
      <c r="M576" s="3" t="s">
        <v>2234</v>
      </c>
      <c r="N576" s="3" t="s">
        <v>2258</v>
      </c>
    </row>
    <row r="577" spans="1:14" x14ac:dyDescent="0.25">
      <c r="A577" s="15" t="s">
        <v>1013</v>
      </c>
      <c r="B577" s="17" t="s">
        <v>2199</v>
      </c>
      <c r="C577" s="6" t="s">
        <v>28</v>
      </c>
      <c r="D577" s="6" t="s">
        <v>28</v>
      </c>
      <c r="E577" s="7" t="s">
        <v>1014</v>
      </c>
      <c r="F577" s="20">
        <v>46082</v>
      </c>
      <c r="G577" s="17">
        <v>1</v>
      </c>
      <c r="H577" t="s">
        <v>623</v>
      </c>
      <c r="I577" s="32">
        <v>1200000</v>
      </c>
      <c r="J577" s="19" t="s">
        <v>768</v>
      </c>
      <c r="K577" s="6" t="s">
        <v>966</v>
      </c>
      <c r="L577" s="3" t="s">
        <v>2275</v>
      </c>
      <c r="M577" s="3" t="s">
        <v>2234</v>
      </c>
      <c r="N577" s="3" t="s">
        <v>2258</v>
      </c>
    </row>
    <row r="578" spans="1:14" x14ac:dyDescent="0.25">
      <c r="A578" s="14" t="s">
        <v>1016</v>
      </c>
      <c r="B578" s="16" t="s">
        <v>2199</v>
      </c>
      <c r="C578" s="19" t="s">
        <v>28</v>
      </c>
      <c r="D578" s="19" t="s">
        <v>28</v>
      </c>
      <c r="E578" s="10" t="s">
        <v>1017</v>
      </c>
      <c r="F578" s="20">
        <v>46174</v>
      </c>
      <c r="G578" s="16">
        <v>1</v>
      </c>
      <c r="H578" s="11" t="s">
        <v>623</v>
      </c>
      <c r="I578" s="31">
        <v>2500020</v>
      </c>
      <c r="J578" s="19" t="s">
        <v>768</v>
      </c>
      <c r="K578" s="19" t="s">
        <v>966</v>
      </c>
      <c r="L578" s="3" t="s">
        <v>2275</v>
      </c>
      <c r="M578" s="3" t="s">
        <v>2234</v>
      </c>
      <c r="N578" s="3" t="s">
        <v>2258</v>
      </c>
    </row>
    <row r="579" spans="1:14" x14ac:dyDescent="0.25">
      <c r="A579" s="15" t="s">
        <v>1019</v>
      </c>
      <c r="B579" s="17" t="s">
        <v>2199</v>
      </c>
      <c r="C579" s="6" t="s">
        <v>28</v>
      </c>
      <c r="D579" s="6" t="s">
        <v>28</v>
      </c>
      <c r="E579" s="7" t="s">
        <v>1020</v>
      </c>
      <c r="F579" s="20">
        <v>46235</v>
      </c>
      <c r="G579" s="17">
        <v>1</v>
      </c>
      <c r="H579" t="s">
        <v>121</v>
      </c>
      <c r="I579" s="32">
        <v>2500000</v>
      </c>
      <c r="J579" s="19" t="s">
        <v>768</v>
      </c>
      <c r="K579" s="6" t="s">
        <v>966</v>
      </c>
      <c r="L579" s="3" t="s">
        <v>2275</v>
      </c>
      <c r="M579" s="3" t="s">
        <v>2234</v>
      </c>
      <c r="N579" s="3" t="s">
        <v>2258</v>
      </c>
    </row>
    <row r="580" spans="1:14" x14ac:dyDescent="0.25">
      <c r="A580" s="14" t="s">
        <v>1022</v>
      </c>
      <c r="B580" s="16" t="s">
        <v>2199</v>
      </c>
      <c r="C580" s="19" t="s">
        <v>28</v>
      </c>
      <c r="D580" s="19" t="s">
        <v>28</v>
      </c>
      <c r="E580" s="10" t="s">
        <v>1023</v>
      </c>
      <c r="F580" s="20">
        <v>46235</v>
      </c>
      <c r="G580" s="16">
        <v>1</v>
      </c>
      <c r="H580" s="11" t="s">
        <v>623</v>
      </c>
      <c r="I580" s="31">
        <v>2500000</v>
      </c>
      <c r="J580" s="19" t="s">
        <v>768</v>
      </c>
      <c r="K580" s="19" t="s">
        <v>966</v>
      </c>
      <c r="L580" s="3" t="s">
        <v>2275</v>
      </c>
      <c r="M580" s="3" t="s">
        <v>2234</v>
      </c>
      <c r="N580" s="3" t="s">
        <v>2258</v>
      </c>
    </row>
    <row r="581" spans="1:14" x14ac:dyDescent="0.25">
      <c r="A581" s="15" t="s">
        <v>1025</v>
      </c>
      <c r="B581" s="17" t="s">
        <v>2199</v>
      </c>
      <c r="C581" s="6" t="s">
        <v>28</v>
      </c>
      <c r="D581" s="6" t="s">
        <v>28</v>
      </c>
      <c r="E581" s="7" t="s">
        <v>1026</v>
      </c>
      <c r="F581" s="20">
        <v>46327</v>
      </c>
      <c r="G581" s="17">
        <v>1</v>
      </c>
      <c r="H581" t="s">
        <v>1028</v>
      </c>
      <c r="I581" s="32">
        <v>0</v>
      </c>
      <c r="J581" s="19" t="s">
        <v>768</v>
      </c>
      <c r="K581" s="6" t="s">
        <v>386</v>
      </c>
      <c r="L581" s="3" t="s">
        <v>2275</v>
      </c>
      <c r="M581" s="3" t="s">
        <v>2234</v>
      </c>
      <c r="N581" s="3" t="s">
        <v>2258</v>
      </c>
    </row>
    <row r="582" spans="1:14" x14ac:dyDescent="0.25">
      <c r="A582" s="14" t="s">
        <v>1039</v>
      </c>
      <c r="B582" s="16" t="s">
        <v>2199</v>
      </c>
      <c r="C582" s="19" t="s">
        <v>28</v>
      </c>
      <c r="D582" s="19" t="s">
        <v>28</v>
      </c>
      <c r="E582" s="10" t="s">
        <v>1040</v>
      </c>
      <c r="F582" s="20">
        <v>46082</v>
      </c>
      <c r="G582" s="16">
        <v>1</v>
      </c>
      <c r="H582" s="11" t="s">
        <v>486</v>
      </c>
      <c r="I582" s="31">
        <v>816730</v>
      </c>
      <c r="J582" s="19" t="s">
        <v>768</v>
      </c>
      <c r="K582" s="19" t="s">
        <v>386</v>
      </c>
      <c r="L582" s="3" t="s">
        <v>2275</v>
      </c>
      <c r="M582" s="3" t="s">
        <v>2234</v>
      </c>
      <c r="N582" s="3" t="s">
        <v>2258</v>
      </c>
    </row>
    <row r="583" spans="1:14" x14ac:dyDescent="0.25">
      <c r="A583" s="15" t="s">
        <v>1879</v>
      </c>
      <c r="B583" s="17" t="s">
        <v>2199</v>
      </c>
      <c r="C583" s="6" t="s">
        <v>28</v>
      </c>
      <c r="D583" s="6" t="s">
        <v>28</v>
      </c>
      <c r="E583" s="7" t="s">
        <v>1880</v>
      </c>
      <c r="F583" s="20">
        <v>46235</v>
      </c>
      <c r="G583" s="17">
        <v>1</v>
      </c>
      <c r="H583" t="s">
        <v>1375</v>
      </c>
      <c r="I583" s="32">
        <v>12000000</v>
      </c>
      <c r="J583" s="19" t="s">
        <v>768</v>
      </c>
      <c r="K583" s="6" t="s">
        <v>966</v>
      </c>
      <c r="L583" s="3" t="s">
        <v>2275</v>
      </c>
      <c r="M583" s="3" t="s">
        <v>2234</v>
      </c>
      <c r="N583" s="3" t="s">
        <v>2258</v>
      </c>
    </row>
    <row r="584" spans="1:14" x14ac:dyDescent="0.25">
      <c r="A584" s="14" t="s">
        <v>2063</v>
      </c>
      <c r="B584" s="16" t="s">
        <v>2199</v>
      </c>
      <c r="C584" s="19" t="s">
        <v>1238</v>
      </c>
      <c r="D584" s="19" t="s">
        <v>1238</v>
      </c>
      <c r="E584" s="10" t="s">
        <v>2064</v>
      </c>
      <c r="F584" s="20">
        <v>46023</v>
      </c>
      <c r="G584" s="16">
        <v>1</v>
      </c>
      <c r="H584" s="11" t="s">
        <v>2066</v>
      </c>
      <c r="I584" s="31">
        <v>300000</v>
      </c>
      <c r="J584" s="19" t="s">
        <v>768</v>
      </c>
      <c r="K584" s="19" t="s">
        <v>966</v>
      </c>
      <c r="L584" s="3" t="s">
        <v>2275</v>
      </c>
      <c r="M584" s="3" t="s">
        <v>2234</v>
      </c>
      <c r="N584" s="3" t="s">
        <v>2258</v>
      </c>
    </row>
    <row r="585" spans="1:14" x14ac:dyDescent="0.25">
      <c r="A585" s="15" t="s">
        <v>2140</v>
      </c>
      <c r="B585" s="17" t="s">
        <v>2199</v>
      </c>
      <c r="C585" s="6" t="s">
        <v>1238</v>
      </c>
      <c r="D585" s="6" t="s">
        <v>1238</v>
      </c>
      <c r="E585" s="7" t="s">
        <v>2141</v>
      </c>
      <c r="F585" s="20">
        <v>46023</v>
      </c>
      <c r="G585" s="17">
        <v>1</v>
      </c>
      <c r="H585" t="s">
        <v>2143</v>
      </c>
      <c r="I585" s="32">
        <v>250000</v>
      </c>
      <c r="J585" s="19" t="s">
        <v>768</v>
      </c>
      <c r="K585" s="6" t="s">
        <v>966</v>
      </c>
      <c r="L585" s="3" t="s">
        <v>2275</v>
      </c>
      <c r="M585" s="3" t="s">
        <v>2234</v>
      </c>
      <c r="N585" s="3" t="s">
        <v>2258</v>
      </c>
    </row>
    <row r="586" spans="1:14" x14ac:dyDescent="0.25">
      <c r="A586" s="14" t="s">
        <v>1289</v>
      </c>
      <c r="B586" s="16" t="s">
        <v>2199</v>
      </c>
      <c r="C586" s="19" t="s">
        <v>1238</v>
      </c>
      <c r="D586" s="19" t="s">
        <v>1238</v>
      </c>
      <c r="E586" s="10" t="s">
        <v>1291</v>
      </c>
      <c r="F586" s="20">
        <v>46023</v>
      </c>
      <c r="G586" s="16">
        <v>1</v>
      </c>
      <c r="H586" s="11" t="s">
        <v>1293</v>
      </c>
      <c r="I586" s="31">
        <v>4000005</v>
      </c>
      <c r="J586" s="19" t="s">
        <v>768</v>
      </c>
      <c r="K586" s="19" t="s">
        <v>386</v>
      </c>
      <c r="L586" s="3" t="s">
        <v>2275</v>
      </c>
      <c r="M586" s="3" t="s">
        <v>2234</v>
      </c>
      <c r="N586" s="3" t="s">
        <v>2258</v>
      </c>
    </row>
    <row r="587" spans="1:14" x14ac:dyDescent="0.25">
      <c r="A587" s="15" t="s">
        <v>1967</v>
      </c>
      <c r="B587" s="17" t="s">
        <v>2199</v>
      </c>
      <c r="C587" s="6" t="s">
        <v>374</v>
      </c>
      <c r="D587" s="6" t="s">
        <v>374</v>
      </c>
      <c r="E587" s="7" t="s">
        <v>1969</v>
      </c>
      <c r="F587" s="20">
        <v>46023</v>
      </c>
      <c r="G587" s="17">
        <v>5</v>
      </c>
      <c r="H587" t="s">
        <v>359</v>
      </c>
      <c r="I587" s="32">
        <v>43320</v>
      </c>
      <c r="J587" s="19" t="s">
        <v>768</v>
      </c>
      <c r="K587" s="6" t="s">
        <v>1972</v>
      </c>
      <c r="L587" s="3" t="s">
        <v>2275</v>
      </c>
      <c r="M587" s="3" t="s">
        <v>2234</v>
      </c>
      <c r="N587" s="3" t="s">
        <v>2258</v>
      </c>
    </row>
    <row r="588" spans="1:14" x14ac:dyDescent="0.25">
      <c r="A588" s="14" t="s">
        <v>1967</v>
      </c>
      <c r="B588" s="16" t="s">
        <v>2199</v>
      </c>
      <c r="C588" s="19" t="s">
        <v>374</v>
      </c>
      <c r="D588" s="19" t="s">
        <v>374</v>
      </c>
      <c r="E588" s="10" t="s">
        <v>1969</v>
      </c>
      <c r="F588" s="20">
        <v>46023</v>
      </c>
      <c r="G588" s="16">
        <v>5</v>
      </c>
      <c r="H588" s="11" t="s">
        <v>1971</v>
      </c>
      <c r="I588" s="31">
        <v>112387</v>
      </c>
      <c r="J588" s="19" t="s">
        <v>768</v>
      </c>
      <c r="K588" s="19" t="s">
        <v>1972</v>
      </c>
      <c r="L588" s="3" t="s">
        <v>2275</v>
      </c>
      <c r="M588" s="3" t="s">
        <v>2234</v>
      </c>
      <c r="N588" s="3" t="s">
        <v>2258</v>
      </c>
    </row>
    <row r="589" spans="1:14" x14ac:dyDescent="0.25">
      <c r="A589" s="15" t="s">
        <v>1967</v>
      </c>
      <c r="B589" s="17" t="s">
        <v>2199</v>
      </c>
      <c r="C589" s="6" t="s">
        <v>374</v>
      </c>
      <c r="D589" s="6" t="s">
        <v>374</v>
      </c>
      <c r="E589" s="7" t="s">
        <v>1969</v>
      </c>
      <c r="F589" s="20">
        <v>46023</v>
      </c>
      <c r="G589" s="17">
        <v>5</v>
      </c>
      <c r="H589" t="s">
        <v>1974</v>
      </c>
      <c r="I589" s="32">
        <v>25000</v>
      </c>
      <c r="J589" s="19" t="s">
        <v>768</v>
      </c>
      <c r="K589" s="6" t="s">
        <v>1972</v>
      </c>
      <c r="L589" s="3" t="s">
        <v>2275</v>
      </c>
      <c r="M589" s="3" t="s">
        <v>2234</v>
      </c>
      <c r="N589" s="3" t="s">
        <v>2258</v>
      </c>
    </row>
    <row r="590" spans="1:14" x14ac:dyDescent="0.25">
      <c r="A590" s="14" t="s">
        <v>1967</v>
      </c>
      <c r="B590" s="16" t="s">
        <v>2199</v>
      </c>
      <c r="C590" s="19" t="s">
        <v>374</v>
      </c>
      <c r="D590" s="19" t="s">
        <v>374</v>
      </c>
      <c r="E590" s="10" t="s">
        <v>1969</v>
      </c>
      <c r="F590" s="20">
        <v>46023</v>
      </c>
      <c r="G590" s="16">
        <v>5</v>
      </c>
      <c r="H590" s="11" t="s">
        <v>1975</v>
      </c>
      <c r="I590" s="31">
        <v>1700</v>
      </c>
      <c r="J590" s="19" t="s">
        <v>768</v>
      </c>
      <c r="K590" s="19" t="s">
        <v>1972</v>
      </c>
      <c r="L590" s="3" t="s">
        <v>2275</v>
      </c>
      <c r="M590" s="3" t="s">
        <v>2234</v>
      </c>
      <c r="N590" s="3" t="s">
        <v>2258</v>
      </c>
    </row>
    <row r="591" spans="1:14" x14ac:dyDescent="0.25">
      <c r="A591" s="15" t="s">
        <v>1967</v>
      </c>
      <c r="B591" s="17" t="s">
        <v>2199</v>
      </c>
      <c r="C591" s="6" t="s">
        <v>374</v>
      </c>
      <c r="D591" s="6" t="s">
        <v>374</v>
      </c>
      <c r="E591" s="7" t="s">
        <v>1969</v>
      </c>
      <c r="F591" s="20">
        <v>46023</v>
      </c>
      <c r="G591" s="17">
        <v>5</v>
      </c>
      <c r="H591" t="s">
        <v>1973</v>
      </c>
      <c r="I591" s="32">
        <v>25002</v>
      </c>
      <c r="J591" s="19" t="s">
        <v>768</v>
      </c>
      <c r="K591" s="6" t="s">
        <v>1972</v>
      </c>
      <c r="L591" s="3" t="s">
        <v>2275</v>
      </c>
      <c r="M591" s="3" t="s">
        <v>2234</v>
      </c>
      <c r="N591" s="3" t="s">
        <v>2258</v>
      </c>
    </row>
    <row r="592" spans="1:14" x14ac:dyDescent="0.25">
      <c r="A592" s="14" t="s">
        <v>2080</v>
      </c>
      <c r="B592" s="16" t="s">
        <v>2199</v>
      </c>
      <c r="C592" s="19" t="s">
        <v>374</v>
      </c>
      <c r="D592" s="19" t="s">
        <v>374</v>
      </c>
      <c r="E592" s="10" t="s">
        <v>2081</v>
      </c>
      <c r="F592" s="20">
        <v>46082</v>
      </c>
      <c r="G592" s="16">
        <v>1</v>
      </c>
      <c r="H592" s="11" t="s">
        <v>786</v>
      </c>
      <c r="I592" s="31">
        <v>350280</v>
      </c>
      <c r="J592" s="19" t="s">
        <v>768</v>
      </c>
      <c r="K592" s="19" t="s">
        <v>386</v>
      </c>
      <c r="L592" s="3" t="s">
        <v>2275</v>
      </c>
      <c r="M592" s="3" t="s">
        <v>2234</v>
      </c>
      <c r="N592" s="3" t="s">
        <v>2258</v>
      </c>
    </row>
    <row r="593" spans="1:14" x14ac:dyDescent="0.25">
      <c r="A593" s="15" t="s">
        <v>2086</v>
      </c>
      <c r="B593" s="17" t="s">
        <v>2199</v>
      </c>
      <c r="C593" s="6" t="s">
        <v>374</v>
      </c>
      <c r="D593" s="6" t="s">
        <v>374</v>
      </c>
      <c r="E593" s="7" t="s">
        <v>2087</v>
      </c>
      <c r="F593" s="20">
        <v>46054</v>
      </c>
      <c r="G593" s="17">
        <v>1</v>
      </c>
      <c r="H593" t="s">
        <v>786</v>
      </c>
      <c r="I593" s="32">
        <v>506160</v>
      </c>
      <c r="J593" s="19" t="s">
        <v>768</v>
      </c>
      <c r="K593" s="6" t="s">
        <v>386</v>
      </c>
      <c r="L593" s="3" t="s">
        <v>2275</v>
      </c>
      <c r="M593" s="3" t="s">
        <v>2234</v>
      </c>
      <c r="N593" s="3" t="s">
        <v>2258</v>
      </c>
    </row>
    <row r="594" spans="1:14" x14ac:dyDescent="0.25">
      <c r="A594" s="14" t="s">
        <v>2110</v>
      </c>
      <c r="B594" s="16" t="s">
        <v>2199</v>
      </c>
      <c r="C594" s="19" t="s">
        <v>374</v>
      </c>
      <c r="D594" s="19" t="s">
        <v>374</v>
      </c>
      <c r="E594" s="10" t="s">
        <v>2111</v>
      </c>
      <c r="F594" s="20">
        <v>46023</v>
      </c>
      <c r="G594" s="16">
        <v>5</v>
      </c>
      <c r="H594" s="11" t="s">
        <v>359</v>
      </c>
      <c r="I594" s="31">
        <v>442000</v>
      </c>
      <c r="J594" s="19" t="s">
        <v>768</v>
      </c>
      <c r="K594" s="19" t="s">
        <v>386</v>
      </c>
      <c r="L594" s="3" t="s">
        <v>2275</v>
      </c>
      <c r="M594" s="3" t="s">
        <v>2234</v>
      </c>
      <c r="N594" s="3" t="s">
        <v>2258</v>
      </c>
    </row>
    <row r="595" spans="1:14" x14ac:dyDescent="0.25">
      <c r="A595" s="15" t="s">
        <v>2110</v>
      </c>
      <c r="B595" s="17" t="s">
        <v>2199</v>
      </c>
      <c r="C595" s="6" t="s">
        <v>374</v>
      </c>
      <c r="D595" s="6" t="s">
        <v>374</v>
      </c>
      <c r="E595" s="7" t="s">
        <v>2111</v>
      </c>
      <c r="F595" s="20">
        <v>46023</v>
      </c>
      <c r="G595" s="17">
        <v>5</v>
      </c>
      <c r="H595" t="s">
        <v>486</v>
      </c>
      <c r="I595" s="32">
        <v>501330</v>
      </c>
      <c r="J595" s="19" t="s">
        <v>768</v>
      </c>
      <c r="K595" s="6" t="s">
        <v>386</v>
      </c>
      <c r="L595" s="3" t="s">
        <v>2275</v>
      </c>
      <c r="M595" s="3" t="s">
        <v>2234</v>
      </c>
      <c r="N595" s="3" t="s">
        <v>2258</v>
      </c>
    </row>
    <row r="596" spans="1:14" x14ac:dyDescent="0.25">
      <c r="A596" s="14" t="s">
        <v>2110</v>
      </c>
      <c r="B596" s="16" t="s">
        <v>2199</v>
      </c>
      <c r="C596" s="19" t="s">
        <v>374</v>
      </c>
      <c r="D596" s="19" t="s">
        <v>374</v>
      </c>
      <c r="E596" s="10" t="s">
        <v>2111</v>
      </c>
      <c r="F596" s="20">
        <v>46023</v>
      </c>
      <c r="G596" s="16">
        <v>5</v>
      </c>
      <c r="H596" s="11" t="s">
        <v>855</v>
      </c>
      <c r="I596" s="31">
        <v>49700</v>
      </c>
      <c r="J596" s="19" t="s">
        <v>768</v>
      </c>
      <c r="K596" s="19" t="s">
        <v>386</v>
      </c>
      <c r="L596" s="3" t="s">
        <v>2275</v>
      </c>
      <c r="M596" s="3" t="s">
        <v>2234</v>
      </c>
      <c r="N596" s="3" t="s">
        <v>2258</v>
      </c>
    </row>
    <row r="597" spans="1:14" x14ac:dyDescent="0.25">
      <c r="A597" s="15" t="s">
        <v>2110</v>
      </c>
      <c r="B597" s="17" t="s">
        <v>2199</v>
      </c>
      <c r="C597" s="6" t="s">
        <v>374</v>
      </c>
      <c r="D597" s="6" t="s">
        <v>374</v>
      </c>
      <c r="E597" s="7" t="s">
        <v>2111</v>
      </c>
      <c r="F597" s="20">
        <v>46023</v>
      </c>
      <c r="G597" s="17">
        <v>5</v>
      </c>
      <c r="H597" t="s">
        <v>2114</v>
      </c>
      <c r="I597" s="32">
        <v>70000</v>
      </c>
      <c r="J597" s="19" t="s">
        <v>768</v>
      </c>
      <c r="K597" s="6" t="s">
        <v>386</v>
      </c>
      <c r="L597" s="3" t="s">
        <v>2275</v>
      </c>
      <c r="M597" s="3" t="s">
        <v>2234</v>
      </c>
      <c r="N597" s="3" t="s">
        <v>2258</v>
      </c>
    </row>
    <row r="598" spans="1:14" x14ac:dyDescent="0.25">
      <c r="A598" s="14" t="s">
        <v>2110</v>
      </c>
      <c r="B598" s="16" t="s">
        <v>2199</v>
      </c>
      <c r="C598" s="19" t="s">
        <v>374</v>
      </c>
      <c r="D598" s="19" t="s">
        <v>374</v>
      </c>
      <c r="E598" s="10" t="s">
        <v>2111</v>
      </c>
      <c r="F598" s="20">
        <v>46023</v>
      </c>
      <c r="G598" s="16">
        <v>5</v>
      </c>
      <c r="H598" s="11" t="s">
        <v>2113</v>
      </c>
      <c r="I598" s="31">
        <v>240000</v>
      </c>
      <c r="J598" s="19" t="s">
        <v>768</v>
      </c>
      <c r="K598" s="19" t="s">
        <v>386</v>
      </c>
      <c r="L598" s="3" t="s">
        <v>2275</v>
      </c>
      <c r="M598" s="3" t="s">
        <v>2234</v>
      </c>
      <c r="N598" s="3" t="s">
        <v>2258</v>
      </c>
    </row>
    <row r="599" spans="1:14" x14ac:dyDescent="0.25">
      <c r="A599" s="15" t="s">
        <v>765</v>
      </c>
      <c r="B599" s="17" t="s">
        <v>2199</v>
      </c>
      <c r="C599" s="6" t="s">
        <v>374</v>
      </c>
      <c r="D599" s="6" t="s">
        <v>374</v>
      </c>
      <c r="E599" s="7" t="s">
        <v>766</v>
      </c>
      <c r="F599" s="20">
        <v>46082</v>
      </c>
      <c r="G599" s="17">
        <v>4</v>
      </c>
      <c r="H599" t="s">
        <v>359</v>
      </c>
      <c r="I599" s="32">
        <v>180435</v>
      </c>
      <c r="J599" s="19" t="s">
        <v>768</v>
      </c>
      <c r="K599" s="6" t="s">
        <v>386</v>
      </c>
      <c r="L599" s="3" t="s">
        <v>2275</v>
      </c>
      <c r="M599" s="3" t="s">
        <v>2234</v>
      </c>
      <c r="N599" s="3" t="s">
        <v>2258</v>
      </c>
    </row>
    <row r="600" spans="1:14" x14ac:dyDescent="0.25">
      <c r="A600" s="14" t="s">
        <v>765</v>
      </c>
      <c r="B600" s="16" t="s">
        <v>2199</v>
      </c>
      <c r="C600" s="19" t="s">
        <v>374</v>
      </c>
      <c r="D600" s="19" t="s">
        <v>374</v>
      </c>
      <c r="E600" s="10" t="s">
        <v>766</v>
      </c>
      <c r="F600" s="20">
        <v>46082</v>
      </c>
      <c r="G600" s="16">
        <v>4</v>
      </c>
      <c r="H600" s="11" t="s">
        <v>771</v>
      </c>
      <c r="I600" s="31">
        <v>27000</v>
      </c>
      <c r="J600" s="19" t="s">
        <v>768</v>
      </c>
      <c r="K600" s="19" t="s">
        <v>386</v>
      </c>
      <c r="L600" s="3" t="s">
        <v>2275</v>
      </c>
      <c r="M600" s="3" t="s">
        <v>2234</v>
      </c>
      <c r="N600" s="3" t="s">
        <v>2258</v>
      </c>
    </row>
    <row r="601" spans="1:14" x14ac:dyDescent="0.25">
      <c r="A601" s="15" t="s">
        <v>765</v>
      </c>
      <c r="B601" s="17" t="s">
        <v>2199</v>
      </c>
      <c r="C601" s="6" t="s">
        <v>374</v>
      </c>
      <c r="D601" s="6" t="s">
        <v>374</v>
      </c>
      <c r="E601" s="7" t="s">
        <v>766</v>
      </c>
      <c r="F601" s="20">
        <v>46082</v>
      </c>
      <c r="G601" s="17">
        <v>4</v>
      </c>
      <c r="H601" t="s">
        <v>195</v>
      </c>
      <c r="I601" s="32">
        <v>24399</v>
      </c>
      <c r="J601" s="19" t="s">
        <v>768</v>
      </c>
      <c r="K601" s="6" t="s">
        <v>386</v>
      </c>
      <c r="L601" s="3" t="s">
        <v>2275</v>
      </c>
      <c r="M601" s="3" t="s">
        <v>2234</v>
      </c>
      <c r="N601" s="3" t="s">
        <v>2258</v>
      </c>
    </row>
    <row r="602" spans="1:14" x14ac:dyDescent="0.25">
      <c r="A602" s="14" t="s">
        <v>765</v>
      </c>
      <c r="B602" s="16" t="s">
        <v>2199</v>
      </c>
      <c r="C602" s="19" t="s">
        <v>374</v>
      </c>
      <c r="D602" s="19" t="s">
        <v>374</v>
      </c>
      <c r="E602" s="10" t="s">
        <v>766</v>
      </c>
      <c r="F602" s="20">
        <v>46082</v>
      </c>
      <c r="G602" s="16">
        <v>4</v>
      </c>
      <c r="H602" s="11" t="s">
        <v>772</v>
      </c>
      <c r="I602" s="31">
        <v>52000</v>
      </c>
      <c r="J602" s="19" t="s">
        <v>768</v>
      </c>
      <c r="K602" s="19" t="s">
        <v>386</v>
      </c>
      <c r="L602" s="3" t="s">
        <v>2275</v>
      </c>
      <c r="M602" s="3" t="s">
        <v>2234</v>
      </c>
      <c r="N602" s="3" t="s">
        <v>2258</v>
      </c>
    </row>
    <row r="603" spans="1:14" x14ac:dyDescent="0.25">
      <c r="A603" s="15" t="s">
        <v>782</v>
      </c>
      <c r="B603" s="17" t="s">
        <v>2199</v>
      </c>
      <c r="C603" s="6" t="s">
        <v>374</v>
      </c>
      <c r="D603" s="6" t="s">
        <v>374</v>
      </c>
      <c r="E603" s="7" t="s">
        <v>784</v>
      </c>
      <c r="F603" s="20">
        <v>46023</v>
      </c>
      <c r="G603" s="17">
        <v>2</v>
      </c>
      <c r="H603" t="s">
        <v>359</v>
      </c>
      <c r="I603" s="32">
        <v>118594</v>
      </c>
      <c r="J603" s="19" t="s">
        <v>768</v>
      </c>
      <c r="K603" s="6" t="s">
        <v>386</v>
      </c>
      <c r="L603" s="3" t="s">
        <v>2275</v>
      </c>
      <c r="M603" s="3" t="s">
        <v>2234</v>
      </c>
      <c r="N603" s="3" t="s">
        <v>2258</v>
      </c>
    </row>
    <row r="604" spans="1:14" x14ac:dyDescent="0.25">
      <c r="A604" s="14" t="s">
        <v>782</v>
      </c>
      <c r="B604" s="16" t="s">
        <v>2199</v>
      </c>
      <c r="C604" s="19" t="s">
        <v>374</v>
      </c>
      <c r="D604" s="19" t="s">
        <v>374</v>
      </c>
      <c r="E604" s="10" t="s">
        <v>784</v>
      </c>
      <c r="F604" s="20">
        <v>46023</v>
      </c>
      <c r="G604" s="16">
        <v>2</v>
      </c>
      <c r="H604" s="11" t="s">
        <v>786</v>
      </c>
      <c r="I604" s="31">
        <v>147830</v>
      </c>
      <c r="J604" s="19" t="s">
        <v>768</v>
      </c>
      <c r="K604" s="19" t="s">
        <v>386</v>
      </c>
      <c r="L604" s="3" t="s">
        <v>2275</v>
      </c>
      <c r="M604" s="3" t="s">
        <v>2234</v>
      </c>
      <c r="N604" s="3" t="s">
        <v>2258</v>
      </c>
    </row>
    <row r="605" spans="1:14" x14ac:dyDescent="0.25">
      <c r="A605" s="15" t="s">
        <v>794</v>
      </c>
      <c r="B605" s="17" t="s">
        <v>2199</v>
      </c>
      <c r="C605" s="6" t="s">
        <v>374</v>
      </c>
      <c r="D605" s="6" t="s">
        <v>374</v>
      </c>
      <c r="E605" s="7" t="s">
        <v>795</v>
      </c>
      <c r="F605" s="20">
        <v>46023</v>
      </c>
      <c r="G605" s="17">
        <v>3</v>
      </c>
      <c r="H605" t="s">
        <v>740</v>
      </c>
      <c r="I605" s="32">
        <v>25200</v>
      </c>
      <c r="J605" s="19" t="s">
        <v>768</v>
      </c>
      <c r="K605" s="6" t="s">
        <v>386</v>
      </c>
      <c r="L605" s="3" t="s">
        <v>2275</v>
      </c>
      <c r="M605" s="3" t="s">
        <v>2234</v>
      </c>
      <c r="N605" s="3" t="s">
        <v>2258</v>
      </c>
    </row>
    <row r="606" spans="1:14" x14ac:dyDescent="0.25">
      <c r="A606" s="14" t="s">
        <v>794</v>
      </c>
      <c r="B606" s="16" t="s">
        <v>2199</v>
      </c>
      <c r="C606" s="19" t="s">
        <v>374</v>
      </c>
      <c r="D606" s="19" t="s">
        <v>374</v>
      </c>
      <c r="E606" s="10" t="s">
        <v>795</v>
      </c>
      <c r="F606" s="20">
        <v>46023</v>
      </c>
      <c r="G606" s="16">
        <v>3</v>
      </c>
      <c r="H606" s="11" t="s">
        <v>798</v>
      </c>
      <c r="I606" s="31">
        <v>13600</v>
      </c>
      <c r="J606" s="19" t="s">
        <v>768</v>
      </c>
      <c r="K606" s="19" t="s">
        <v>386</v>
      </c>
      <c r="L606" s="3" t="s">
        <v>2275</v>
      </c>
      <c r="M606" s="3" t="s">
        <v>2234</v>
      </c>
      <c r="N606" s="3" t="s">
        <v>2258</v>
      </c>
    </row>
    <row r="607" spans="1:14" x14ac:dyDescent="0.25">
      <c r="A607" s="15" t="s">
        <v>794</v>
      </c>
      <c r="B607" s="17" t="s">
        <v>2199</v>
      </c>
      <c r="C607" s="6" t="s">
        <v>374</v>
      </c>
      <c r="D607" s="6" t="s">
        <v>374</v>
      </c>
      <c r="E607" s="7" t="s">
        <v>795</v>
      </c>
      <c r="F607" s="20">
        <v>46023</v>
      </c>
      <c r="G607" s="17">
        <v>3</v>
      </c>
      <c r="H607" t="s">
        <v>797</v>
      </c>
      <c r="I607" s="32">
        <v>464280</v>
      </c>
      <c r="J607" s="19" t="s">
        <v>768</v>
      </c>
      <c r="K607" s="6" t="s">
        <v>386</v>
      </c>
      <c r="L607" s="3" t="s">
        <v>2275</v>
      </c>
      <c r="M607" s="3" t="s">
        <v>2234</v>
      </c>
      <c r="N607" s="3" t="s">
        <v>2258</v>
      </c>
    </row>
    <row r="608" spans="1:14" x14ac:dyDescent="0.25">
      <c r="A608" s="14" t="s">
        <v>799</v>
      </c>
      <c r="B608" s="16" t="s">
        <v>2199</v>
      </c>
      <c r="C608" s="19" t="s">
        <v>374</v>
      </c>
      <c r="D608" s="19" t="s">
        <v>374</v>
      </c>
      <c r="E608" s="10" t="s">
        <v>801</v>
      </c>
      <c r="F608" s="20">
        <v>46054</v>
      </c>
      <c r="G608" s="16">
        <v>2</v>
      </c>
      <c r="H608" s="11" t="s">
        <v>359</v>
      </c>
      <c r="I608" s="31">
        <v>13052</v>
      </c>
      <c r="J608" s="19" t="s">
        <v>768</v>
      </c>
      <c r="K608" s="19" t="s">
        <v>386</v>
      </c>
      <c r="L608" s="3" t="s">
        <v>2275</v>
      </c>
      <c r="M608" s="3" t="s">
        <v>2234</v>
      </c>
      <c r="N608" s="3" t="s">
        <v>2258</v>
      </c>
    </row>
    <row r="609" spans="1:14" x14ac:dyDescent="0.25">
      <c r="A609" s="15" t="s">
        <v>799</v>
      </c>
      <c r="B609" s="17" t="s">
        <v>2199</v>
      </c>
      <c r="C609" s="6" t="s">
        <v>374</v>
      </c>
      <c r="D609" s="6" t="s">
        <v>374</v>
      </c>
      <c r="E609" s="7" t="s">
        <v>801</v>
      </c>
      <c r="F609" s="20">
        <v>46054</v>
      </c>
      <c r="G609" s="17">
        <v>2</v>
      </c>
      <c r="H609" t="s">
        <v>786</v>
      </c>
      <c r="I609" s="32">
        <v>72618</v>
      </c>
      <c r="J609" s="19" t="s">
        <v>768</v>
      </c>
      <c r="K609" s="6" t="s">
        <v>386</v>
      </c>
      <c r="L609" s="3" t="s">
        <v>2275</v>
      </c>
      <c r="M609" s="3" t="s">
        <v>2234</v>
      </c>
      <c r="N609" s="3" t="s">
        <v>2258</v>
      </c>
    </row>
    <row r="610" spans="1:14" x14ac:dyDescent="0.25">
      <c r="A610" s="14" t="s">
        <v>822</v>
      </c>
      <c r="B610" s="16" t="s">
        <v>2199</v>
      </c>
      <c r="C610" s="19" t="s">
        <v>374</v>
      </c>
      <c r="D610" s="19" t="s">
        <v>374</v>
      </c>
      <c r="E610" s="10" t="s">
        <v>823</v>
      </c>
      <c r="F610" s="20">
        <v>46023</v>
      </c>
      <c r="G610" s="16">
        <v>3</v>
      </c>
      <c r="H610" s="11" t="s">
        <v>359</v>
      </c>
      <c r="I610" s="31">
        <v>144000</v>
      </c>
      <c r="J610" s="19" t="s">
        <v>768</v>
      </c>
      <c r="K610" s="19" t="s">
        <v>386</v>
      </c>
      <c r="L610" s="3" t="s">
        <v>2275</v>
      </c>
      <c r="M610" s="3" t="s">
        <v>2234</v>
      </c>
      <c r="N610" s="3" t="s">
        <v>2258</v>
      </c>
    </row>
    <row r="611" spans="1:14" x14ac:dyDescent="0.25">
      <c r="A611" s="15" t="s">
        <v>822</v>
      </c>
      <c r="B611" s="17" t="s">
        <v>2199</v>
      </c>
      <c r="C611" s="6" t="s">
        <v>374</v>
      </c>
      <c r="D611" s="6" t="s">
        <v>374</v>
      </c>
      <c r="E611" s="7" t="s">
        <v>823</v>
      </c>
      <c r="F611" s="20">
        <v>46023</v>
      </c>
      <c r="G611" s="17">
        <v>3</v>
      </c>
      <c r="H611" t="s">
        <v>826</v>
      </c>
      <c r="I611" s="32">
        <v>116012</v>
      </c>
      <c r="J611" s="19" t="s">
        <v>768</v>
      </c>
      <c r="K611" s="6" t="s">
        <v>386</v>
      </c>
      <c r="L611" s="3" t="s">
        <v>2275</v>
      </c>
      <c r="M611" s="3" t="s">
        <v>2234</v>
      </c>
      <c r="N611" s="3" t="s">
        <v>2258</v>
      </c>
    </row>
    <row r="612" spans="1:14" x14ac:dyDescent="0.25">
      <c r="A612" s="14" t="s">
        <v>822</v>
      </c>
      <c r="B612" s="16" t="s">
        <v>2199</v>
      </c>
      <c r="C612" s="19" t="s">
        <v>374</v>
      </c>
      <c r="D612" s="19" t="s">
        <v>374</v>
      </c>
      <c r="E612" s="10" t="s">
        <v>823</v>
      </c>
      <c r="F612" s="20">
        <v>46023</v>
      </c>
      <c r="G612" s="16">
        <v>3</v>
      </c>
      <c r="H612" s="11" t="s">
        <v>825</v>
      </c>
      <c r="I612" s="31">
        <v>190000</v>
      </c>
      <c r="J612" s="19" t="s">
        <v>768</v>
      </c>
      <c r="K612" s="19" t="s">
        <v>386</v>
      </c>
      <c r="L612" s="3" t="s">
        <v>2275</v>
      </c>
      <c r="M612" s="3" t="s">
        <v>2234</v>
      </c>
      <c r="N612" s="3" t="s">
        <v>2258</v>
      </c>
    </row>
    <row r="613" spans="1:14" x14ac:dyDescent="0.25">
      <c r="A613" s="15" t="s">
        <v>841</v>
      </c>
      <c r="B613" s="17" t="s">
        <v>2199</v>
      </c>
      <c r="C613" s="6" t="s">
        <v>374</v>
      </c>
      <c r="D613" s="6" t="s">
        <v>374</v>
      </c>
      <c r="E613" s="7" t="s">
        <v>843</v>
      </c>
      <c r="F613" s="20">
        <v>46023</v>
      </c>
      <c r="G613" s="17">
        <v>2</v>
      </c>
      <c r="H613" t="s">
        <v>846</v>
      </c>
      <c r="I613" s="32">
        <v>45000</v>
      </c>
      <c r="J613" s="19" t="s">
        <v>768</v>
      </c>
      <c r="K613" s="6" t="s">
        <v>386</v>
      </c>
      <c r="L613" s="3" t="s">
        <v>2275</v>
      </c>
      <c r="M613" s="3" t="s">
        <v>2234</v>
      </c>
      <c r="N613" s="3" t="s">
        <v>2258</v>
      </c>
    </row>
    <row r="614" spans="1:14" x14ac:dyDescent="0.25">
      <c r="A614" s="14" t="s">
        <v>841</v>
      </c>
      <c r="B614" s="16" t="s">
        <v>2199</v>
      </c>
      <c r="C614" s="19" t="s">
        <v>374</v>
      </c>
      <c r="D614" s="19" t="s">
        <v>374</v>
      </c>
      <c r="E614" s="10" t="s">
        <v>843</v>
      </c>
      <c r="F614" s="20">
        <v>46023</v>
      </c>
      <c r="G614" s="16">
        <v>2</v>
      </c>
      <c r="H614" s="11" t="s">
        <v>845</v>
      </c>
      <c r="I614" s="31">
        <v>105000</v>
      </c>
      <c r="J614" s="19" t="s">
        <v>768</v>
      </c>
      <c r="K614" s="19" t="s">
        <v>386</v>
      </c>
      <c r="L614" s="3" t="s">
        <v>2275</v>
      </c>
      <c r="M614" s="3" t="s">
        <v>2234</v>
      </c>
      <c r="N614" s="3" t="s">
        <v>2258</v>
      </c>
    </row>
    <row r="615" spans="1:14" x14ac:dyDescent="0.25">
      <c r="A615" s="15" t="s">
        <v>847</v>
      </c>
      <c r="B615" s="17" t="s">
        <v>2199</v>
      </c>
      <c r="C615" s="6" t="s">
        <v>374</v>
      </c>
      <c r="D615" s="6" t="s">
        <v>374</v>
      </c>
      <c r="E615" s="7" t="s">
        <v>848</v>
      </c>
      <c r="F615" s="20">
        <v>46204</v>
      </c>
      <c r="G615" s="17">
        <v>2</v>
      </c>
      <c r="H615" t="s">
        <v>359</v>
      </c>
      <c r="I615" s="32">
        <v>37792</v>
      </c>
      <c r="J615" s="19" t="s">
        <v>768</v>
      </c>
      <c r="K615" s="6" t="s">
        <v>386</v>
      </c>
      <c r="L615" s="3" t="s">
        <v>2275</v>
      </c>
      <c r="M615" s="3" t="s">
        <v>2234</v>
      </c>
      <c r="N615" s="3" t="s">
        <v>2258</v>
      </c>
    </row>
    <row r="616" spans="1:14" x14ac:dyDescent="0.25">
      <c r="A616" s="14" t="s">
        <v>847</v>
      </c>
      <c r="B616" s="16" t="s">
        <v>2199</v>
      </c>
      <c r="C616" s="19" t="s">
        <v>374</v>
      </c>
      <c r="D616" s="19" t="s">
        <v>374</v>
      </c>
      <c r="E616" s="10" t="s">
        <v>848</v>
      </c>
      <c r="F616" s="20">
        <v>46204</v>
      </c>
      <c r="G616" s="16">
        <v>2</v>
      </c>
      <c r="H616" s="11" t="s">
        <v>850</v>
      </c>
      <c r="I616" s="31">
        <v>35001</v>
      </c>
      <c r="J616" s="19" t="s">
        <v>768</v>
      </c>
      <c r="K616" s="19" t="s">
        <v>386</v>
      </c>
      <c r="L616" s="3" t="s">
        <v>2275</v>
      </c>
      <c r="M616" s="3" t="s">
        <v>2234</v>
      </c>
      <c r="N616" s="3" t="s">
        <v>2258</v>
      </c>
    </row>
    <row r="617" spans="1:14" x14ac:dyDescent="0.25">
      <c r="A617" s="15" t="s">
        <v>851</v>
      </c>
      <c r="B617" s="17" t="s">
        <v>2199</v>
      </c>
      <c r="C617" s="6" t="s">
        <v>374</v>
      </c>
      <c r="D617" s="6" t="s">
        <v>374</v>
      </c>
      <c r="E617" s="7" t="s">
        <v>852</v>
      </c>
      <c r="F617" s="20">
        <v>46235</v>
      </c>
      <c r="G617" s="17">
        <v>3</v>
      </c>
      <c r="H617" t="s">
        <v>854</v>
      </c>
      <c r="I617" s="32">
        <v>74022</v>
      </c>
      <c r="J617" s="19" t="s">
        <v>768</v>
      </c>
      <c r="K617" s="6" t="s">
        <v>386</v>
      </c>
      <c r="L617" s="3" t="s">
        <v>2275</v>
      </c>
      <c r="M617" s="3" t="s">
        <v>2234</v>
      </c>
      <c r="N617" s="3" t="s">
        <v>2258</v>
      </c>
    </row>
    <row r="618" spans="1:14" x14ac:dyDescent="0.25">
      <c r="A618" s="14" t="s">
        <v>851</v>
      </c>
      <c r="B618" s="16" t="s">
        <v>2199</v>
      </c>
      <c r="C618" s="19" t="s">
        <v>374</v>
      </c>
      <c r="D618" s="19" t="s">
        <v>374</v>
      </c>
      <c r="E618" s="10" t="s">
        <v>852</v>
      </c>
      <c r="F618" s="20">
        <v>46235</v>
      </c>
      <c r="G618" s="16">
        <v>3</v>
      </c>
      <c r="H618" s="11" t="s">
        <v>855</v>
      </c>
      <c r="I618" s="31">
        <v>15000</v>
      </c>
      <c r="J618" s="19" t="s">
        <v>768</v>
      </c>
      <c r="K618" s="19" t="s">
        <v>386</v>
      </c>
      <c r="L618" s="3" t="s">
        <v>2275</v>
      </c>
      <c r="M618" s="3" t="s">
        <v>2234</v>
      </c>
      <c r="N618" s="3" t="s">
        <v>2258</v>
      </c>
    </row>
    <row r="619" spans="1:14" x14ac:dyDescent="0.25">
      <c r="A619" s="15" t="s">
        <v>851</v>
      </c>
      <c r="B619" s="17" t="s">
        <v>2199</v>
      </c>
      <c r="C619" s="6" t="s">
        <v>374</v>
      </c>
      <c r="D619" s="6" t="s">
        <v>374</v>
      </c>
      <c r="E619" s="7" t="s">
        <v>852</v>
      </c>
      <c r="F619" s="20">
        <v>46235</v>
      </c>
      <c r="G619" s="17">
        <v>3</v>
      </c>
      <c r="H619" t="s">
        <v>602</v>
      </c>
      <c r="I619" s="32">
        <v>500000</v>
      </c>
      <c r="J619" s="19" t="s">
        <v>768</v>
      </c>
      <c r="K619" s="6" t="s">
        <v>386</v>
      </c>
      <c r="L619" s="3" t="s">
        <v>2275</v>
      </c>
      <c r="M619" s="3" t="s">
        <v>2234</v>
      </c>
      <c r="N619" s="3" t="s">
        <v>2258</v>
      </c>
    </row>
    <row r="620" spans="1:14" x14ac:dyDescent="0.25">
      <c r="A620" s="14" t="s">
        <v>856</v>
      </c>
      <c r="B620" s="16" t="s">
        <v>2199</v>
      </c>
      <c r="C620" s="19" t="s">
        <v>374</v>
      </c>
      <c r="D620" s="19" t="s">
        <v>374</v>
      </c>
      <c r="E620" s="10" t="s">
        <v>857</v>
      </c>
      <c r="F620" s="20">
        <v>46082</v>
      </c>
      <c r="G620" s="16">
        <v>1</v>
      </c>
      <c r="H620" s="11" t="s">
        <v>859</v>
      </c>
      <c r="I620" s="31">
        <v>300000</v>
      </c>
      <c r="J620" s="19" t="s">
        <v>768</v>
      </c>
      <c r="K620" s="19" t="s">
        <v>386</v>
      </c>
      <c r="L620" s="3" t="s">
        <v>2275</v>
      </c>
      <c r="M620" s="3" t="s">
        <v>2234</v>
      </c>
      <c r="N620" s="3" t="s">
        <v>2258</v>
      </c>
    </row>
    <row r="621" spans="1:14" x14ac:dyDescent="0.25">
      <c r="A621" s="15" t="s">
        <v>915</v>
      </c>
      <c r="B621" s="17" t="s">
        <v>2199</v>
      </c>
      <c r="C621" s="6" t="s">
        <v>374</v>
      </c>
      <c r="D621" s="6" t="s">
        <v>374</v>
      </c>
      <c r="E621" s="7" t="s">
        <v>916</v>
      </c>
      <c r="F621" s="20">
        <v>46327</v>
      </c>
      <c r="G621" s="17">
        <v>4</v>
      </c>
      <c r="H621" t="s">
        <v>359</v>
      </c>
      <c r="I621" s="32">
        <v>85250</v>
      </c>
      <c r="J621" s="19" t="s">
        <v>768</v>
      </c>
      <c r="K621" s="6" t="s">
        <v>386</v>
      </c>
      <c r="L621" s="3" t="s">
        <v>2275</v>
      </c>
      <c r="M621" s="3" t="s">
        <v>2234</v>
      </c>
      <c r="N621" s="3" t="s">
        <v>2258</v>
      </c>
    </row>
    <row r="622" spans="1:14" x14ac:dyDescent="0.25">
      <c r="A622" s="14" t="s">
        <v>915</v>
      </c>
      <c r="B622" s="16" t="s">
        <v>2199</v>
      </c>
      <c r="C622" s="19" t="s">
        <v>374</v>
      </c>
      <c r="D622" s="19" t="s">
        <v>374</v>
      </c>
      <c r="E622" s="10" t="s">
        <v>916</v>
      </c>
      <c r="F622" s="20">
        <v>46327</v>
      </c>
      <c r="G622" s="16">
        <v>4</v>
      </c>
      <c r="H622" s="11" t="s">
        <v>918</v>
      </c>
      <c r="I622" s="31">
        <v>23700</v>
      </c>
      <c r="J622" s="19" t="s">
        <v>768</v>
      </c>
      <c r="K622" s="19" t="s">
        <v>386</v>
      </c>
      <c r="L622" s="3" t="s">
        <v>2275</v>
      </c>
      <c r="M622" s="3" t="s">
        <v>2234</v>
      </c>
      <c r="N622" s="3" t="s">
        <v>2258</v>
      </c>
    </row>
    <row r="623" spans="1:14" x14ac:dyDescent="0.25">
      <c r="A623" s="15" t="s">
        <v>915</v>
      </c>
      <c r="B623" s="17" t="s">
        <v>2199</v>
      </c>
      <c r="C623" s="6" t="s">
        <v>374</v>
      </c>
      <c r="D623" s="6" t="s">
        <v>374</v>
      </c>
      <c r="E623" s="7" t="s">
        <v>916</v>
      </c>
      <c r="F623" s="20">
        <v>46327</v>
      </c>
      <c r="G623" s="17">
        <v>4</v>
      </c>
      <c r="H623" t="s">
        <v>786</v>
      </c>
      <c r="I623" s="32">
        <v>40920</v>
      </c>
      <c r="J623" s="19" t="s">
        <v>768</v>
      </c>
      <c r="K623" s="6" t="s">
        <v>386</v>
      </c>
      <c r="L623" s="3" t="s">
        <v>2275</v>
      </c>
      <c r="M623" s="3" t="s">
        <v>2234</v>
      </c>
      <c r="N623" s="3" t="s">
        <v>2258</v>
      </c>
    </row>
    <row r="624" spans="1:14" x14ac:dyDescent="0.25">
      <c r="A624" s="14" t="s">
        <v>915</v>
      </c>
      <c r="B624" s="16" t="s">
        <v>2199</v>
      </c>
      <c r="C624" s="19" t="s">
        <v>374</v>
      </c>
      <c r="D624" s="19" t="s">
        <v>374</v>
      </c>
      <c r="E624" s="10" t="s">
        <v>916</v>
      </c>
      <c r="F624" s="20">
        <v>46327</v>
      </c>
      <c r="G624" s="16">
        <v>4</v>
      </c>
      <c r="H624" s="11" t="s">
        <v>602</v>
      </c>
      <c r="I624" s="31">
        <v>250000</v>
      </c>
      <c r="J624" s="19" t="s">
        <v>768</v>
      </c>
      <c r="K624" s="19" t="s">
        <v>386</v>
      </c>
      <c r="L624" s="3" t="s">
        <v>2275</v>
      </c>
      <c r="M624" s="3" t="s">
        <v>2234</v>
      </c>
      <c r="N624" s="3" t="s">
        <v>2258</v>
      </c>
    </row>
    <row r="625" spans="1:14" x14ac:dyDescent="0.25">
      <c r="A625" s="15" t="s">
        <v>919</v>
      </c>
      <c r="B625" s="17" t="s">
        <v>2199</v>
      </c>
      <c r="C625" s="6" t="s">
        <v>374</v>
      </c>
      <c r="D625" s="6" t="s">
        <v>374</v>
      </c>
      <c r="E625" s="7" t="s">
        <v>920</v>
      </c>
      <c r="F625" s="20">
        <v>46023</v>
      </c>
      <c r="G625" s="17">
        <v>1</v>
      </c>
      <c r="H625" t="s">
        <v>786</v>
      </c>
      <c r="I625" s="32">
        <v>159016</v>
      </c>
      <c r="J625" s="19" t="s">
        <v>768</v>
      </c>
      <c r="K625" s="6" t="s">
        <v>386</v>
      </c>
      <c r="L625" s="3" t="s">
        <v>2275</v>
      </c>
      <c r="M625" s="3" t="s">
        <v>2234</v>
      </c>
      <c r="N625" s="3" t="s">
        <v>2258</v>
      </c>
    </row>
    <row r="626" spans="1:14" x14ac:dyDescent="0.25">
      <c r="A626" s="14" t="s">
        <v>927</v>
      </c>
      <c r="B626" s="16" t="s">
        <v>2199</v>
      </c>
      <c r="C626" s="19" t="s">
        <v>374</v>
      </c>
      <c r="D626" s="19" t="s">
        <v>374</v>
      </c>
      <c r="E626" s="10" t="s">
        <v>928</v>
      </c>
      <c r="F626" s="20">
        <v>46054</v>
      </c>
      <c r="G626" s="16">
        <v>3</v>
      </c>
      <c r="H626" s="11" t="s">
        <v>359</v>
      </c>
      <c r="I626" s="31">
        <v>392191</v>
      </c>
      <c r="J626" s="19" t="s">
        <v>768</v>
      </c>
      <c r="K626" s="19" t="s">
        <v>386</v>
      </c>
      <c r="L626" s="3" t="s">
        <v>2275</v>
      </c>
      <c r="M626" s="3" t="s">
        <v>2234</v>
      </c>
      <c r="N626" s="3" t="s">
        <v>2258</v>
      </c>
    </row>
    <row r="627" spans="1:14" x14ac:dyDescent="0.25">
      <c r="A627" s="15" t="s">
        <v>927</v>
      </c>
      <c r="B627" s="17" t="s">
        <v>2199</v>
      </c>
      <c r="C627" s="6" t="s">
        <v>374</v>
      </c>
      <c r="D627" s="6" t="s">
        <v>374</v>
      </c>
      <c r="E627" s="7" t="s">
        <v>928</v>
      </c>
      <c r="F627" s="20">
        <v>46054</v>
      </c>
      <c r="G627" s="17">
        <v>3</v>
      </c>
      <c r="H627" t="s">
        <v>855</v>
      </c>
      <c r="I627" s="32">
        <v>39600</v>
      </c>
      <c r="J627" s="19" t="s">
        <v>768</v>
      </c>
      <c r="K627" s="6" t="s">
        <v>386</v>
      </c>
      <c r="L627" s="3" t="s">
        <v>2275</v>
      </c>
      <c r="M627" s="3" t="s">
        <v>2234</v>
      </c>
      <c r="N627" s="3" t="s">
        <v>2258</v>
      </c>
    </row>
    <row r="628" spans="1:14" x14ac:dyDescent="0.25">
      <c r="A628" s="14" t="s">
        <v>927</v>
      </c>
      <c r="B628" s="16" t="s">
        <v>2199</v>
      </c>
      <c r="C628" s="19" t="s">
        <v>374</v>
      </c>
      <c r="D628" s="19" t="s">
        <v>374</v>
      </c>
      <c r="E628" s="10" t="s">
        <v>928</v>
      </c>
      <c r="F628" s="20">
        <v>46054</v>
      </c>
      <c r="G628" s="16">
        <v>3</v>
      </c>
      <c r="H628" s="11" t="s">
        <v>602</v>
      </c>
      <c r="I628" s="31">
        <v>700000</v>
      </c>
      <c r="J628" s="19" t="s">
        <v>768</v>
      </c>
      <c r="K628" s="19" t="s">
        <v>386</v>
      </c>
      <c r="L628" s="3" t="s">
        <v>2275</v>
      </c>
      <c r="M628" s="3" t="s">
        <v>2234</v>
      </c>
      <c r="N628" s="3" t="s">
        <v>2258</v>
      </c>
    </row>
    <row r="629" spans="1:14" x14ac:dyDescent="0.25">
      <c r="A629" s="15" t="s">
        <v>1052</v>
      </c>
      <c r="B629" s="17" t="s">
        <v>2199</v>
      </c>
      <c r="C629" s="6" t="s">
        <v>374</v>
      </c>
      <c r="D629" s="6" t="s">
        <v>374</v>
      </c>
      <c r="E629" s="7" t="s">
        <v>1053</v>
      </c>
      <c r="F629" s="20">
        <v>46082</v>
      </c>
      <c r="G629" s="17">
        <v>2</v>
      </c>
      <c r="H629" t="s">
        <v>359</v>
      </c>
      <c r="I629" s="32">
        <v>176460</v>
      </c>
      <c r="J629" s="19" t="s">
        <v>768</v>
      </c>
      <c r="K629" s="6" t="s">
        <v>386</v>
      </c>
      <c r="L629" s="3" t="s">
        <v>2275</v>
      </c>
      <c r="M629" s="3" t="s">
        <v>2234</v>
      </c>
      <c r="N629" s="3" t="s">
        <v>2258</v>
      </c>
    </row>
    <row r="630" spans="1:14" x14ac:dyDescent="0.25">
      <c r="A630" s="14" t="s">
        <v>1052</v>
      </c>
      <c r="B630" s="16" t="s">
        <v>2199</v>
      </c>
      <c r="C630" s="19" t="s">
        <v>374</v>
      </c>
      <c r="D630" s="19" t="s">
        <v>374</v>
      </c>
      <c r="E630" s="10" t="s">
        <v>1053</v>
      </c>
      <c r="F630" s="20">
        <v>46082</v>
      </c>
      <c r="G630" s="16">
        <v>2</v>
      </c>
      <c r="H630" s="11" t="s">
        <v>855</v>
      </c>
      <c r="I630" s="31">
        <v>35400</v>
      </c>
      <c r="J630" s="19" t="s">
        <v>768</v>
      </c>
      <c r="K630" s="19" t="s">
        <v>386</v>
      </c>
      <c r="L630" s="3" t="s">
        <v>2275</v>
      </c>
      <c r="M630" s="3" t="s">
        <v>2234</v>
      </c>
      <c r="N630" s="3" t="s">
        <v>2258</v>
      </c>
    </row>
    <row r="631" spans="1:14" x14ac:dyDescent="0.25">
      <c r="A631" s="15" t="s">
        <v>1055</v>
      </c>
      <c r="B631" s="17" t="s">
        <v>2199</v>
      </c>
      <c r="C631" s="6" t="s">
        <v>374</v>
      </c>
      <c r="D631" s="6" t="s">
        <v>374</v>
      </c>
      <c r="E631" s="7" t="s">
        <v>1056</v>
      </c>
      <c r="F631" s="20">
        <v>46082</v>
      </c>
      <c r="G631" s="17">
        <v>4</v>
      </c>
      <c r="H631" t="s">
        <v>359</v>
      </c>
      <c r="I631" s="32">
        <v>176460</v>
      </c>
      <c r="J631" s="19" t="s">
        <v>768</v>
      </c>
      <c r="K631" s="6" t="s">
        <v>386</v>
      </c>
      <c r="L631" s="3" t="s">
        <v>2275</v>
      </c>
      <c r="M631" s="3" t="s">
        <v>2234</v>
      </c>
      <c r="N631" s="3" t="s">
        <v>2258</v>
      </c>
    </row>
    <row r="632" spans="1:14" x14ac:dyDescent="0.25">
      <c r="A632" s="14" t="s">
        <v>1055</v>
      </c>
      <c r="B632" s="16" t="s">
        <v>2199</v>
      </c>
      <c r="C632" s="19" t="s">
        <v>374</v>
      </c>
      <c r="D632" s="19" t="s">
        <v>374</v>
      </c>
      <c r="E632" s="10" t="s">
        <v>1056</v>
      </c>
      <c r="F632" s="20">
        <v>46082</v>
      </c>
      <c r="G632" s="16">
        <v>4</v>
      </c>
      <c r="H632" s="11" t="s">
        <v>486</v>
      </c>
      <c r="I632" s="31">
        <v>15000</v>
      </c>
      <c r="J632" s="19" t="s">
        <v>768</v>
      </c>
      <c r="K632" s="19" t="s">
        <v>386</v>
      </c>
      <c r="L632" s="3" t="s">
        <v>2275</v>
      </c>
      <c r="M632" s="3" t="s">
        <v>2234</v>
      </c>
      <c r="N632" s="3" t="s">
        <v>2258</v>
      </c>
    </row>
    <row r="633" spans="1:14" x14ac:dyDescent="0.25">
      <c r="A633" s="15" t="s">
        <v>1055</v>
      </c>
      <c r="B633" s="17" t="s">
        <v>2199</v>
      </c>
      <c r="C633" s="19" t="s">
        <v>374</v>
      </c>
      <c r="D633" s="6" t="s">
        <v>374</v>
      </c>
      <c r="E633" s="7" t="s">
        <v>1056</v>
      </c>
      <c r="F633" s="20">
        <v>46082</v>
      </c>
      <c r="G633" s="17">
        <v>4</v>
      </c>
      <c r="H633" t="s">
        <v>855</v>
      </c>
      <c r="I633" s="32">
        <v>20400</v>
      </c>
      <c r="J633" s="19" t="s">
        <v>768</v>
      </c>
      <c r="K633" s="6" t="s">
        <v>386</v>
      </c>
      <c r="L633" s="3" t="s">
        <v>2275</v>
      </c>
      <c r="M633" s="3" t="s">
        <v>2234</v>
      </c>
      <c r="N633" s="3" t="s">
        <v>2258</v>
      </c>
    </row>
    <row r="634" spans="1:14" x14ac:dyDescent="0.25">
      <c r="A634" s="14" t="s">
        <v>1055</v>
      </c>
      <c r="B634" s="16" t="s">
        <v>2199</v>
      </c>
      <c r="C634" s="19" t="s">
        <v>374</v>
      </c>
      <c r="D634" s="19" t="s">
        <v>374</v>
      </c>
      <c r="E634" s="10" t="s">
        <v>1056</v>
      </c>
      <c r="F634" s="20">
        <v>46082</v>
      </c>
      <c r="G634" s="16">
        <v>4</v>
      </c>
      <c r="H634" s="11" t="s">
        <v>1058</v>
      </c>
      <c r="I634" s="31">
        <v>52000</v>
      </c>
      <c r="J634" s="19" t="s">
        <v>768</v>
      </c>
      <c r="K634" s="19" t="s">
        <v>386</v>
      </c>
      <c r="L634" s="3" t="s">
        <v>2275</v>
      </c>
      <c r="M634" s="3" t="s">
        <v>2234</v>
      </c>
      <c r="N634" s="3" t="s">
        <v>2258</v>
      </c>
    </row>
    <row r="635" spans="1:14" x14ac:dyDescent="0.25">
      <c r="A635" s="15" t="s">
        <v>1143</v>
      </c>
      <c r="B635" s="17" t="s">
        <v>2199</v>
      </c>
      <c r="C635" s="19" t="s">
        <v>374</v>
      </c>
      <c r="D635" s="6" t="s">
        <v>374</v>
      </c>
      <c r="E635" s="7" t="s">
        <v>1144</v>
      </c>
      <c r="F635" s="20">
        <v>46235</v>
      </c>
      <c r="G635" s="17">
        <v>4</v>
      </c>
      <c r="H635" t="s">
        <v>359</v>
      </c>
      <c r="I635" s="32">
        <v>89504</v>
      </c>
      <c r="J635" s="19" t="s">
        <v>768</v>
      </c>
      <c r="K635" s="6" t="s">
        <v>386</v>
      </c>
      <c r="L635" s="3" t="s">
        <v>2275</v>
      </c>
      <c r="M635" s="3" t="s">
        <v>2234</v>
      </c>
      <c r="N635" s="3" t="s">
        <v>2258</v>
      </c>
    </row>
    <row r="636" spans="1:14" x14ac:dyDescent="0.25">
      <c r="A636" s="14" t="s">
        <v>1143</v>
      </c>
      <c r="B636" s="16" t="s">
        <v>2199</v>
      </c>
      <c r="C636" s="19" t="s">
        <v>374</v>
      </c>
      <c r="D636" s="19" t="s">
        <v>374</v>
      </c>
      <c r="E636" s="10" t="s">
        <v>1144</v>
      </c>
      <c r="F636" s="20">
        <v>46235</v>
      </c>
      <c r="G636" s="16">
        <v>4</v>
      </c>
      <c r="H636" s="11" t="s">
        <v>1148</v>
      </c>
      <c r="I636" s="31">
        <v>110000</v>
      </c>
      <c r="J636" s="19" t="s">
        <v>768</v>
      </c>
      <c r="K636" s="19" t="s">
        <v>386</v>
      </c>
      <c r="L636" s="3" t="s">
        <v>2275</v>
      </c>
      <c r="M636" s="3" t="s">
        <v>2234</v>
      </c>
      <c r="N636" s="3" t="s">
        <v>2258</v>
      </c>
    </row>
    <row r="637" spans="1:14" x14ac:dyDescent="0.25">
      <c r="A637" s="15" t="s">
        <v>1143</v>
      </c>
      <c r="B637" s="17" t="s">
        <v>2199</v>
      </c>
      <c r="C637" s="19" t="s">
        <v>374</v>
      </c>
      <c r="D637" s="6" t="s">
        <v>374</v>
      </c>
      <c r="E637" s="7" t="s">
        <v>1144</v>
      </c>
      <c r="F637" s="20">
        <v>46235</v>
      </c>
      <c r="G637" s="17">
        <v>4</v>
      </c>
      <c r="H637" t="s">
        <v>1147</v>
      </c>
      <c r="I637" s="32">
        <v>25000</v>
      </c>
      <c r="J637" s="19" t="s">
        <v>768</v>
      </c>
      <c r="K637" s="6" t="s">
        <v>386</v>
      </c>
      <c r="L637" s="3" t="s">
        <v>2275</v>
      </c>
      <c r="M637" s="3" t="s">
        <v>2234</v>
      </c>
      <c r="N637" s="3" t="s">
        <v>2258</v>
      </c>
    </row>
    <row r="638" spans="1:14" x14ac:dyDescent="0.25">
      <c r="A638" s="14" t="s">
        <v>1143</v>
      </c>
      <c r="B638" s="16" t="s">
        <v>2199</v>
      </c>
      <c r="C638" s="19" t="s">
        <v>374</v>
      </c>
      <c r="D638" s="19" t="s">
        <v>374</v>
      </c>
      <c r="E638" s="10" t="s">
        <v>1144</v>
      </c>
      <c r="F638" s="20">
        <v>46235</v>
      </c>
      <c r="G638" s="16">
        <v>4</v>
      </c>
      <c r="H638" s="11" t="s">
        <v>1146</v>
      </c>
      <c r="I638" s="31">
        <v>25000</v>
      </c>
      <c r="J638" s="19" t="s">
        <v>768</v>
      </c>
      <c r="K638" s="19" t="s">
        <v>386</v>
      </c>
      <c r="L638" s="3" t="s">
        <v>2275</v>
      </c>
      <c r="M638" s="3" t="s">
        <v>2234</v>
      </c>
      <c r="N638" s="3" t="s">
        <v>2258</v>
      </c>
    </row>
    <row r="639" spans="1:14" x14ac:dyDescent="0.25">
      <c r="A639" s="15" t="s">
        <v>1264</v>
      </c>
      <c r="B639" s="17" t="s">
        <v>2199</v>
      </c>
      <c r="C639" s="19" t="s">
        <v>374</v>
      </c>
      <c r="D639" s="6" t="s">
        <v>374</v>
      </c>
      <c r="E639" s="7" t="s">
        <v>1266</v>
      </c>
      <c r="F639" s="20">
        <v>46082</v>
      </c>
      <c r="G639" s="17">
        <v>3</v>
      </c>
      <c r="H639" t="s">
        <v>1268</v>
      </c>
      <c r="I639" s="32">
        <v>15600</v>
      </c>
      <c r="J639" s="19" t="s">
        <v>768</v>
      </c>
      <c r="K639" s="6" t="s">
        <v>386</v>
      </c>
      <c r="L639" s="3" t="s">
        <v>2275</v>
      </c>
      <c r="M639" s="3" t="s">
        <v>2234</v>
      </c>
      <c r="N639" s="3" t="s">
        <v>2258</v>
      </c>
    </row>
    <row r="640" spans="1:14" x14ac:dyDescent="0.25">
      <c r="A640" s="14" t="s">
        <v>1264</v>
      </c>
      <c r="B640" s="16" t="s">
        <v>2199</v>
      </c>
      <c r="C640" s="19" t="s">
        <v>374</v>
      </c>
      <c r="D640" s="19" t="s">
        <v>374</v>
      </c>
      <c r="E640" s="10" t="s">
        <v>1266</v>
      </c>
      <c r="F640" s="20">
        <v>46082</v>
      </c>
      <c r="G640" s="16">
        <v>3</v>
      </c>
      <c r="H640" s="11" t="s">
        <v>786</v>
      </c>
      <c r="I640" s="31">
        <v>245531</v>
      </c>
      <c r="J640" s="19" t="s">
        <v>768</v>
      </c>
      <c r="K640" s="19" t="s">
        <v>386</v>
      </c>
      <c r="L640" s="3" t="s">
        <v>2275</v>
      </c>
      <c r="M640" s="3" t="s">
        <v>2234</v>
      </c>
      <c r="N640" s="3" t="s">
        <v>2258</v>
      </c>
    </row>
    <row r="641" spans="1:14" x14ac:dyDescent="0.25">
      <c r="A641" s="15" t="s">
        <v>1264</v>
      </c>
      <c r="B641" s="17" t="s">
        <v>2199</v>
      </c>
      <c r="C641" s="19" t="s">
        <v>374</v>
      </c>
      <c r="D641" s="6" t="s">
        <v>374</v>
      </c>
      <c r="E641" s="7" t="s">
        <v>1266</v>
      </c>
      <c r="F641" s="20">
        <v>46082</v>
      </c>
      <c r="G641" s="17">
        <v>3</v>
      </c>
      <c r="H641" t="s">
        <v>772</v>
      </c>
      <c r="I641" s="32">
        <v>16000</v>
      </c>
      <c r="J641" s="19" t="s">
        <v>768</v>
      </c>
      <c r="K641" s="6" t="s">
        <v>386</v>
      </c>
      <c r="L641" s="3" t="s">
        <v>2275</v>
      </c>
      <c r="M641" s="3" t="s">
        <v>2234</v>
      </c>
      <c r="N641" s="3" t="s">
        <v>2258</v>
      </c>
    </row>
    <row r="642" spans="1:14" x14ac:dyDescent="0.25">
      <c r="A642" s="14" t="s">
        <v>382</v>
      </c>
      <c r="B642" s="16" t="s">
        <v>2196</v>
      </c>
      <c r="C642" s="16" t="s">
        <v>2196</v>
      </c>
      <c r="D642" s="19" t="s">
        <v>28</v>
      </c>
      <c r="E642" s="10" t="s">
        <v>383</v>
      </c>
      <c r="F642" s="20">
        <v>45870</v>
      </c>
      <c r="G642" s="16">
        <v>1</v>
      </c>
      <c r="H642" s="11" t="s">
        <v>326</v>
      </c>
      <c r="I642" s="31">
        <v>16041663</v>
      </c>
      <c r="J642" s="19" t="s">
        <v>385</v>
      </c>
      <c r="K642" s="19" t="s">
        <v>386</v>
      </c>
      <c r="L642" s="3" t="s">
        <v>2275</v>
      </c>
      <c r="M642" s="3" t="s">
        <v>2234</v>
      </c>
      <c r="N642" s="3" t="s">
        <v>2258</v>
      </c>
    </row>
    <row r="643" spans="1:14" x14ac:dyDescent="0.25">
      <c r="A643" s="15" t="s">
        <v>729</v>
      </c>
      <c r="B643" s="17" t="s">
        <v>2199</v>
      </c>
      <c r="C643" s="19" t="s">
        <v>28</v>
      </c>
      <c r="D643" s="6" t="s">
        <v>28</v>
      </c>
      <c r="E643" s="7" t="s">
        <v>731</v>
      </c>
      <c r="F643" s="20">
        <v>46082</v>
      </c>
      <c r="G643" s="17">
        <v>1</v>
      </c>
      <c r="H643" t="s">
        <v>359</v>
      </c>
      <c r="I643" s="32">
        <v>1352694</v>
      </c>
      <c r="J643" s="19" t="s">
        <v>733</v>
      </c>
      <c r="K643" s="6" t="s">
        <v>734</v>
      </c>
      <c r="L643" s="3" t="s">
        <v>2232</v>
      </c>
      <c r="M643" s="3" t="s">
        <v>2234</v>
      </c>
      <c r="N643" s="3" t="s">
        <v>2265</v>
      </c>
    </row>
    <row r="644" spans="1:14" x14ac:dyDescent="0.25">
      <c r="A644" s="14" t="s">
        <v>1193</v>
      </c>
      <c r="B644" s="16" t="s">
        <v>2199</v>
      </c>
      <c r="C644" s="19" t="s">
        <v>374</v>
      </c>
      <c r="D644" s="19" t="s">
        <v>374</v>
      </c>
      <c r="E644" s="10" t="s">
        <v>1194</v>
      </c>
      <c r="F644" s="20">
        <v>46204</v>
      </c>
      <c r="G644" s="16">
        <v>2</v>
      </c>
      <c r="H644" s="11" t="s">
        <v>602</v>
      </c>
      <c r="I644" s="31">
        <v>750000</v>
      </c>
      <c r="J644" s="19" t="s">
        <v>733</v>
      </c>
      <c r="K644" s="19" t="s">
        <v>734</v>
      </c>
      <c r="L644" s="3" t="s">
        <v>2232</v>
      </c>
      <c r="M644" s="3" t="s">
        <v>2234</v>
      </c>
      <c r="N644" s="3" t="s">
        <v>2265</v>
      </c>
    </row>
    <row r="645" spans="1:14" x14ac:dyDescent="0.25">
      <c r="A645" s="15" t="s">
        <v>1193</v>
      </c>
      <c r="B645" s="17" t="s">
        <v>2199</v>
      </c>
      <c r="C645" s="19" t="s">
        <v>374</v>
      </c>
      <c r="D645" s="6" t="s">
        <v>374</v>
      </c>
      <c r="E645" s="7" t="s">
        <v>1194</v>
      </c>
      <c r="F645" s="20">
        <v>46296</v>
      </c>
      <c r="G645" s="17">
        <v>2</v>
      </c>
      <c r="H645" t="s">
        <v>602</v>
      </c>
      <c r="I645" s="32">
        <v>750000</v>
      </c>
      <c r="J645" s="19" t="s">
        <v>733</v>
      </c>
      <c r="K645" s="6" t="s">
        <v>734</v>
      </c>
      <c r="L645" s="3" t="s">
        <v>2232</v>
      </c>
      <c r="M645" s="3" t="s">
        <v>2234</v>
      </c>
      <c r="N645" s="3" t="s">
        <v>2265</v>
      </c>
    </row>
    <row r="646" spans="1:14" x14ac:dyDescent="0.25">
      <c r="A646" s="14" t="s">
        <v>1092</v>
      </c>
      <c r="B646" s="16" t="s">
        <v>2199</v>
      </c>
      <c r="C646" s="19" t="s">
        <v>28</v>
      </c>
      <c r="D646" s="19" t="s">
        <v>28</v>
      </c>
      <c r="E646" s="10" t="s">
        <v>1093</v>
      </c>
      <c r="F646" s="20">
        <v>46296</v>
      </c>
      <c r="G646" s="16">
        <v>1</v>
      </c>
      <c r="H646" s="11" t="s">
        <v>486</v>
      </c>
      <c r="I646" s="31">
        <v>624234</v>
      </c>
      <c r="J646" s="19" t="s">
        <v>1095</v>
      </c>
      <c r="K646" s="19" t="s">
        <v>1096</v>
      </c>
      <c r="L646" s="3" t="s">
        <v>2250</v>
      </c>
      <c r="M646" s="3" t="s">
        <v>2227</v>
      </c>
      <c r="N646" s="3" t="s">
        <v>2261</v>
      </c>
    </row>
    <row r="647" spans="1:14" x14ac:dyDescent="0.25">
      <c r="A647" s="15" t="s">
        <v>499</v>
      </c>
      <c r="B647" s="17" t="s">
        <v>2196</v>
      </c>
      <c r="C647" s="16" t="s">
        <v>2196</v>
      </c>
      <c r="D647" s="6" t="s">
        <v>28</v>
      </c>
      <c r="E647" s="7" t="s">
        <v>501</v>
      </c>
      <c r="F647" s="20">
        <v>45870</v>
      </c>
      <c r="G647" s="17">
        <v>1</v>
      </c>
      <c r="H647" t="s">
        <v>503</v>
      </c>
      <c r="I647" s="32">
        <v>56250000</v>
      </c>
      <c r="J647" s="19" t="s">
        <v>505</v>
      </c>
      <c r="K647" s="6" t="s">
        <v>506</v>
      </c>
      <c r="L647" s="3" t="s">
        <v>2276</v>
      </c>
      <c r="M647" s="3" t="s">
        <v>2234</v>
      </c>
      <c r="N647" s="3" t="s">
        <v>2277</v>
      </c>
    </row>
    <row r="648" spans="1:14" x14ac:dyDescent="0.25">
      <c r="A648" s="14" t="s">
        <v>1103</v>
      </c>
      <c r="B648" s="16" t="s">
        <v>2199</v>
      </c>
      <c r="C648" s="19" t="s">
        <v>28</v>
      </c>
      <c r="D648" s="19" t="s">
        <v>28</v>
      </c>
      <c r="E648" s="10" t="s">
        <v>1104</v>
      </c>
      <c r="F648" s="20">
        <v>46296</v>
      </c>
      <c r="G648" s="16">
        <v>1</v>
      </c>
      <c r="H648" s="11" t="s">
        <v>807</v>
      </c>
      <c r="I648" s="31">
        <v>5696005</v>
      </c>
      <c r="J648" s="19" t="s">
        <v>1106</v>
      </c>
      <c r="K648" s="19" t="s">
        <v>1107</v>
      </c>
      <c r="L648" s="3" t="s">
        <v>2233</v>
      </c>
      <c r="M648" s="3" t="s">
        <v>2256</v>
      </c>
      <c r="N648" s="3" t="s">
        <v>2266</v>
      </c>
    </row>
    <row r="649" spans="1:14" x14ac:dyDescent="0.25">
      <c r="A649" s="15" t="s">
        <v>1334</v>
      </c>
      <c r="B649" s="17" t="s">
        <v>2199</v>
      </c>
      <c r="C649" s="19" t="s">
        <v>1304</v>
      </c>
      <c r="D649" s="6" t="s">
        <v>1304</v>
      </c>
      <c r="E649" s="7" t="s">
        <v>1335</v>
      </c>
      <c r="F649" s="20">
        <v>46357</v>
      </c>
      <c r="G649" s="17">
        <v>1</v>
      </c>
      <c r="H649" t="s">
        <v>807</v>
      </c>
      <c r="I649" s="32">
        <v>9814756</v>
      </c>
      <c r="J649" s="19" t="s">
        <v>1337</v>
      </c>
      <c r="K649" s="6" t="s">
        <v>1107</v>
      </c>
      <c r="L649" s="3" t="s">
        <v>2237</v>
      </c>
      <c r="M649" s="3" t="s">
        <v>2256</v>
      </c>
      <c r="N649" s="3" t="s">
        <v>2266</v>
      </c>
    </row>
    <row r="650" spans="1:14" x14ac:dyDescent="0.25">
      <c r="A650" s="14" t="s">
        <v>1311</v>
      </c>
      <c r="B650" s="16" t="s">
        <v>2199</v>
      </c>
      <c r="C650" s="19" t="s">
        <v>1304</v>
      </c>
      <c r="D650" s="19" t="s">
        <v>1304</v>
      </c>
      <c r="E650" s="10" t="s">
        <v>1313</v>
      </c>
      <c r="F650" s="20">
        <v>46266</v>
      </c>
      <c r="G650" s="16">
        <v>1</v>
      </c>
      <c r="H650" s="11" t="s">
        <v>807</v>
      </c>
      <c r="I650" s="31">
        <v>250000000</v>
      </c>
      <c r="J650" s="19" t="s">
        <v>1315</v>
      </c>
      <c r="K650" s="19" t="s">
        <v>1316</v>
      </c>
      <c r="L650" s="3" t="s">
        <v>2246</v>
      </c>
      <c r="M650" s="3" t="s">
        <v>2256</v>
      </c>
      <c r="N650" s="3" t="s">
        <v>2270</v>
      </c>
    </row>
    <row r="651" spans="1:14" x14ac:dyDescent="0.25">
      <c r="A651" s="15" t="s">
        <v>337</v>
      </c>
      <c r="B651" s="17" t="s">
        <v>2196</v>
      </c>
      <c r="C651" s="16" t="s">
        <v>2196</v>
      </c>
      <c r="D651" s="6" t="s">
        <v>28</v>
      </c>
      <c r="E651" s="7" t="s">
        <v>338</v>
      </c>
      <c r="F651" s="20">
        <v>45809</v>
      </c>
      <c r="G651" s="17">
        <v>1</v>
      </c>
      <c r="H651" t="s">
        <v>340</v>
      </c>
      <c r="I651" s="32">
        <v>11000004</v>
      </c>
      <c r="J651" s="19" t="s">
        <v>341</v>
      </c>
      <c r="K651" s="6" t="s">
        <v>342</v>
      </c>
      <c r="L651" s="51" t="s">
        <v>2278</v>
      </c>
      <c r="M651" s="3" t="s">
        <v>2256</v>
      </c>
      <c r="N651" s="3" t="s">
        <v>2268</v>
      </c>
    </row>
    <row r="652" spans="1:14" x14ac:dyDescent="0.25">
      <c r="A652" s="14" t="s">
        <v>366</v>
      </c>
      <c r="B652" s="16" t="s">
        <v>2196</v>
      </c>
      <c r="C652" s="16" t="s">
        <v>2196</v>
      </c>
      <c r="D652" s="19" t="s">
        <v>28</v>
      </c>
      <c r="E652" s="10" t="s">
        <v>368</v>
      </c>
      <c r="F652" s="20">
        <v>45870</v>
      </c>
      <c r="G652" s="16">
        <v>1</v>
      </c>
      <c r="H652" s="11" t="s">
        <v>370</v>
      </c>
      <c r="I652" s="31">
        <v>80000000</v>
      </c>
      <c r="J652" s="19" t="s">
        <v>341</v>
      </c>
      <c r="K652" s="19" t="s">
        <v>372</v>
      </c>
      <c r="L652" s="51" t="s">
        <v>2278</v>
      </c>
      <c r="M652" s="3" t="s">
        <v>2256</v>
      </c>
      <c r="N652" s="3" t="s">
        <v>2268</v>
      </c>
    </row>
    <row r="653" spans="1:14" x14ac:dyDescent="0.25">
      <c r="A653" s="15" t="s">
        <v>2149</v>
      </c>
      <c r="B653" s="17" t="s">
        <v>2199</v>
      </c>
      <c r="C653" s="19" t="s">
        <v>28</v>
      </c>
      <c r="D653" s="6" t="s">
        <v>28</v>
      </c>
      <c r="E653" s="7" t="s">
        <v>2150</v>
      </c>
      <c r="F653" s="20">
        <v>46054</v>
      </c>
      <c r="G653" s="17">
        <v>5</v>
      </c>
      <c r="H653" t="s">
        <v>359</v>
      </c>
      <c r="I653" s="32">
        <v>647705</v>
      </c>
      <c r="J653" s="19" t="s">
        <v>2152</v>
      </c>
      <c r="K653" s="6" t="s">
        <v>2153</v>
      </c>
      <c r="L653" s="3" t="s">
        <v>2251</v>
      </c>
      <c r="M653" s="3" t="s">
        <v>2227</v>
      </c>
      <c r="N653" s="3" t="s">
        <v>2269</v>
      </c>
    </row>
    <row r="654" spans="1:14" x14ac:dyDescent="0.25">
      <c r="A654" s="14" t="s">
        <v>2149</v>
      </c>
      <c r="B654" s="16" t="s">
        <v>2199</v>
      </c>
      <c r="C654" s="19" t="s">
        <v>28</v>
      </c>
      <c r="D654" s="19" t="s">
        <v>28</v>
      </c>
      <c r="E654" s="10" t="s">
        <v>2150</v>
      </c>
      <c r="F654" s="20">
        <v>46054</v>
      </c>
      <c r="G654" s="16">
        <v>5</v>
      </c>
      <c r="H654" s="11" t="s">
        <v>2155</v>
      </c>
      <c r="I654" s="31">
        <v>4498002</v>
      </c>
      <c r="J654" s="19" t="s">
        <v>2152</v>
      </c>
      <c r="K654" s="19" t="s">
        <v>2153</v>
      </c>
      <c r="L654" s="3" t="s">
        <v>2251</v>
      </c>
      <c r="M654" s="3" t="s">
        <v>2227</v>
      </c>
      <c r="N654" s="3" t="s">
        <v>2269</v>
      </c>
    </row>
    <row r="655" spans="1:14" x14ac:dyDescent="0.25">
      <c r="A655" s="15" t="s">
        <v>2149</v>
      </c>
      <c r="B655" s="17" t="s">
        <v>2199</v>
      </c>
      <c r="C655" s="19" t="s">
        <v>28</v>
      </c>
      <c r="D655" s="6" t="s">
        <v>28</v>
      </c>
      <c r="E655" s="7" t="s">
        <v>2150</v>
      </c>
      <c r="F655" s="20">
        <v>46054</v>
      </c>
      <c r="G655" s="17">
        <v>5</v>
      </c>
      <c r="H655" t="s">
        <v>786</v>
      </c>
      <c r="I655" s="32">
        <v>438750</v>
      </c>
      <c r="J655" s="19" t="s">
        <v>2152</v>
      </c>
      <c r="K655" s="6" t="s">
        <v>2153</v>
      </c>
      <c r="L655" s="3" t="s">
        <v>2251</v>
      </c>
      <c r="M655" s="3" t="s">
        <v>2227</v>
      </c>
      <c r="N655" s="3" t="s">
        <v>2269</v>
      </c>
    </row>
    <row r="656" spans="1:14" x14ac:dyDescent="0.25">
      <c r="A656" s="14" t="s">
        <v>2149</v>
      </c>
      <c r="B656" s="16" t="s">
        <v>2199</v>
      </c>
      <c r="C656" s="19" t="s">
        <v>28</v>
      </c>
      <c r="D656" s="19" t="s">
        <v>28</v>
      </c>
      <c r="E656" s="10" t="s">
        <v>2150</v>
      </c>
      <c r="F656" s="20">
        <v>46054</v>
      </c>
      <c r="G656" s="16">
        <v>5</v>
      </c>
      <c r="H656" s="11" t="s">
        <v>486</v>
      </c>
      <c r="I656" s="31">
        <v>845559</v>
      </c>
      <c r="J656" s="19" t="s">
        <v>2152</v>
      </c>
      <c r="K656" s="19" t="s">
        <v>2153</v>
      </c>
      <c r="L656" s="3" t="s">
        <v>2251</v>
      </c>
      <c r="M656" s="3" t="s">
        <v>2227</v>
      </c>
      <c r="N656" s="3" t="s">
        <v>2269</v>
      </c>
    </row>
    <row r="657" spans="1:14" x14ac:dyDescent="0.25">
      <c r="A657" s="15" t="s">
        <v>2149</v>
      </c>
      <c r="B657" s="17" t="s">
        <v>2199</v>
      </c>
      <c r="C657" s="19" t="s">
        <v>28</v>
      </c>
      <c r="D657" s="6" t="s">
        <v>28</v>
      </c>
      <c r="E657" s="7" t="s">
        <v>2150</v>
      </c>
      <c r="F657" s="20">
        <v>46054</v>
      </c>
      <c r="G657" s="17">
        <v>5</v>
      </c>
      <c r="H657" t="s">
        <v>855</v>
      </c>
      <c r="I657" s="32">
        <v>157680</v>
      </c>
      <c r="J657" s="19" t="s">
        <v>2152</v>
      </c>
      <c r="K657" s="6" t="s">
        <v>2153</v>
      </c>
      <c r="L657" s="3" t="s">
        <v>2251</v>
      </c>
      <c r="M657" s="3" t="s">
        <v>2227</v>
      </c>
      <c r="N657" s="3" t="s">
        <v>2269</v>
      </c>
    </row>
    <row r="658" spans="1:14" x14ac:dyDescent="0.25">
      <c r="A658" s="14" t="s">
        <v>637</v>
      </c>
      <c r="B658" s="16" t="s">
        <v>2199</v>
      </c>
      <c r="C658" s="19" t="s">
        <v>28</v>
      </c>
      <c r="D658" s="19" t="s">
        <v>28</v>
      </c>
      <c r="E658" s="10" t="s">
        <v>638</v>
      </c>
      <c r="F658" s="20">
        <v>46082</v>
      </c>
      <c r="G658" s="16">
        <v>1</v>
      </c>
      <c r="H658" s="11" t="s">
        <v>639</v>
      </c>
      <c r="I658" s="31">
        <v>2000700</v>
      </c>
      <c r="J658" s="19" t="s">
        <v>640</v>
      </c>
      <c r="K658" s="19" t="s">
        <v>641</v>
      </c>
      <c r="L658" s="3" t="s">
        <v>2221</v>
      </c>
      <c r="M658" s="3" t="s">
        <v>2234</v>
      </c>
      <c r="N658" s="3" t="s">
        <v>2259</v>
      </c>
    </row>
    <row r="659" spans="1:14" x14ac:dyDescent="0.25">
      <c r="A659" s="15" t="s">
        <v>644</v>
      </c>
      <c r="B659" s="17" t="s">
        <v>2199</v>
      </c>
      <c r="C659" s="19" t="s">
        <v>28</v>
      </c>
      <c r="D659" s="6" t="s">
        <v>28</v>
      </c>
      <c r="E659" s="7" t="s">
        <v>646</v>
      </c>
      <c r="F659" s="20">
        <v>46082</v>
      </c>
      <c r="G659" s="17">
        <v>1</v>
      </c>
      <c r="H659" t="s">
        <v>648</v>
      </c>
      <c r="I659" s="32">
        <v>1510005</v>
      </c>
      <c r="J659" s="19" t="s">
        <v>640</v>
      </c>
      <c r="K659" s="6" t="s">
        <v>641</v>
      </c>
      <c r="L659" s="3" t="s">
        <v>2221</v>
      </c>
      <c r="M659" s="3" t="s">
        <v>2234</v>
      </c>
      <c r="N659" s="3" t="s">
        <v>2259</v>
      </c>
    </row>
    <row r="660" spans="1:14" x14ac:dyDescent="0.25">
      <c r="A660" s="14" t="s">
        <v>649</v>
      </c>
      <c r="B660" s="16" t="s">
        <v>2199</v>
      </c>
      <c r="C660" s="19" t="s">
        <v>28</v>
      </c>
      <c r="D660" s="19" t="s">
        <v>28</v>
      </c>
      <c r="E660" s="10" t="s">
        <v>650</v>
      </c>
      <c r="F660" s="20">
        <v>46082</v>
      </c>
      <c r="G660" s="16">
        <v>2</v>
      </c>
      <c r="H660" s="11" t="s">
        <v>370</v>
      </c>
      <c r="I660" s="31">
        <v>850000</v>
      </c>
      <c r="J660" s="19" t="s">
        <v>640</v>
      </c>
      <c r="K660" s="19" t="s">
        <v>641</v>
      </c>
      <c r="L660" s="3" t="s">
        <v>2221</v>
      </c>
      <c r="M660" s="3" t="s">
        <v>2234</v>
      </c>
      <c r="N660" s="3" t="s">
        <v>2259</v>
      </c>
    </row>
    <row r="661" spans="1:14" x14ac:dyDescent="0.25">
      <c r="A661" s="15" t="s">
        <v>649</v>
      </c>
      <c r="B661" s="17" t="s">
        <v>2199</v>
      </c>
      <c r="C661" s="19" t="s">
        <v>28</v>
      </c>
      <c r="D661" s="6" t="s">
        <v>28</v>
      </c>
      <c r="E661" s="7" t="s">
        <v>650</v>
      </c>
      <c r="F661" s="20">
        <v>46082</v>
      </c>
      <c r="G661" s="17">
        <v>2</v>
      </c>
      <c r="H661" t="s">
        <v>652</v>
      </c>
      <c r="I661" s="32">
        <v>22500</v>
      </c>
      <c r="J661" s="19" t="s">
        <v>640</v>
      </c>
      <c r="K661" s="6" t="s">
        <v>641</v>
      </c>
      <c r="L661" s="3" t="s">
        <v>2221</v>
      </c>
      <c r="M661" s="3" t="s">
        <v>2234</v>
      </c>
      <c r="N661" s="3" t="s">
        <v>2259</v>
      </c>
    </row>
    <row r="662" spans="1:14" x14ac:dyDescent="0.25">
      <c r="A662" s="14" t="s">
        <v>888</v>
      </c>
      <c r="B662" s="16" t="s">
        <v>2199</v>
      </c>
      <c r="C662" s="19" t="s">
        <v>28</v>
      </c>
      <c r="D662" s="19" t="s">
        <v>28</v>
      </c>
      <c r="E662" s="10" t="s">
        <v>889</v>
      </c>
      <c r="F662" s="20">
        <v>46204</v>
      </c>
      <c r="G662" s="16">
        <v>1</v>
      </c>
      <c r="H662" s="11" t="s">
        <v>891</v>
      </c>
      <c r="I662" s="31">
        <v>31250000</v>
      </c>
      <c r="J662" s="19" t="s">
        <v>309</v>
      </c>
      <c r="K662" s="19" t="s">
        <v>893</v>
      </c>
      <c r="L662" s="3" t="s">
        <v>2221</v>
      </c>
      <c r="M662" s="3" t="s">
        <v>2234</v>
      </c>
      <c r="N662" s="3" t="s">
        <v>2259</v>
      </c>
    </row>
    <row r="663" spans="1:14" x14ac:dyDescent="0.25">
      <c r="A663" s="15" t="s">
        <v>1113</v>
      </c>
      <c r="B663" s="17" t="s">
        <v>2199</v>
      </c>
      <c r="C663" s="19" t="s">
        <v>28</v>
      </c>
      <c r="D663" s="6" t="s">
        <v>28</v>
      </c>
      <c r="E663" s="7" t="s">
        <v>1115</v>
      </c>
      <c r="F663" s="20">
        <v>46113</v>
      </c>
      <c r="G663" s="17">
        <v>1</v>
      </c>
      <c r="H663" t="s">
        <v>1117</v>
      </c>
      <c r="I663" s="32">
        <v>371161848</v>
      </c>
      <c r="J663" s="19" t="s">
        <v>309</v>
      </c>
      <c r="K663" s="6" t="s">
        <v>893</v>
      </c>
      <c r="L663" s="3" t="s">
        <v>2221</v>
      </c>
      <c r="M663" s="3" t="s">
        <v>2234</v>
      </c>
      <c r="N663" s="3" t="s">
        <v>2259</v>
      </c>
    </row>
    <row r="664" spans="1:14" x14ac:dyDescent="0.25">
      <c r="A664" s="14" t="s">
        <v>304</v>
      </c>
      <c r="B664" s="16" t="s">
        <v>2196</v>
      </c>
      <c r="C664" s="16" t="s">
        <v>2196</v>
      </c>
      <c r="D664" s="19" t="s">
        <v>28</v>
      </c>
      <c r="E664" s="10" t="s">
        <v>305</v>
      </c>
      <c r="F664" s="20">
        <v>45839</v>
      </c>
      <c r="G664" s="16">
        <v>1</v>
      </c>
      <c r="H664" s="11" t="s">
        <v>307</v>
      </c>
      <c r="I664" s="31">
        <v>40833335</v>
      </c>
      <c r="J664" s="19" t="s">
        <v>309</v>
      </c>
      <c r="K664" s="19" t="s">
        <v>310</v>
      </c>
      <c r="L664" s="3" t="s">
        <v>2221</v>
      </c>
      <c r="M664" s="3" t="s">
        <v>2234</v>
      </c>
      <c r="N664" s="3" t="s">
        <v>2259</v>
      </c>
    </row>
    <row r="665" spans="1:14" x14ac:dyDescent="0.25">
      <c r="A665" s="15" t="s">
        <v>328</v>
      </c>
      <c r="B665" s="17" t="s">
        <v>2196</v>
      </c>
      <c r="C665" s="16" t="s">
        <v>2196</v>
      </c>
      <c r="D665" s="6" t="s">
        <v>28</v>
      </c>
      <c r="E665" s="7" t="s">
        <v>329</v>
      </c>
      <c r="F665" s="20">
        <v>45839</v>
      </c>
      <c r="G665" s="17">
        <v>1</v>
      </c>
      <c r="H665" t="s">
        <v>331</v>
      </c>
      <c r="I665" s="32">
        <v>52500000</v>
      </c>
      <c r="J665" s="19" t="s">
        <v>2209</v>
      </c>
      <c r="K665" s="6" t="s">
        <v>333</v>
      </c>
      <c r="L665" s="3" t="s">
        <v>2221</v>
      </c>
      <c r="M665" s="3" t="s">
        <v>2234</v>
      </c>
      <c r="N665" s="3" t="s">
        <v>2259</v>
      </c>
    </row>
    <row r="666" spans="1:14" x14ac:dyDescent="0.25">
      <c r="A666" s="14" t="s">
        <v>1072</v>
      </c>
      <c r="B666" s="16" t="s">
        <v>2199</v>
      </c>
      <c r="C666" s="19" t="s">
        <v>28</v>
      </c>
      <c r="D666" s="19" t="s">
        <v>28</v>
      </c>
      <c r="E666" s="10" t="s">
        <v>1073</v>
      </c>
      <c r="F666" s="20">
        <v>46054</v>
      </c>
      <c r="G666" s="16">
        <v>1</v>
      </c>
      <c r="H666" s="11" t="s">
        <v>486</v>
      </c>
      <c r="I666" s="31">
        <v>169000</v>
      </c>
      <c r="J666" s="19" t="s">
        <v>1075</v>
      </c>
      <c r="K666" s="19" t="s">
        <v>1076</v>
      </c>
      <c r="L666" s="3" t="s">
        <v>2224</v>
      </c>
      <c r="M666" s="3" t="s">
        <v>2227</v>
      </c>
      <c r="N666" s="3" t="s">
        <v>2261</v>
      </c>
    </row>
    <row r="667" spans="1:14" x14ac:dyDescent="0.25">
      <c r="A667" s="15" t="s">
        <v>1079</v>
      </c>
      <c r="B667" s="17" t="s">
        <v>2199</v>
      </c>
      <c r="C667" s="19" t="s">
        <v>28</v>
      </c>
      <c r="D667" s="6" t="s">
        <v>28</v>
      </c>
      <c r="E667" s="7" t="s">
        <v>1081</v>
      </c>
      <c r="F667" s="20">
        <v>46082</v>
      </c>
      <c r="G667" s="17">
        <v>1</v>
      </c>
      <c r="H667" t="s">
        <v>1083</v>
      </c>
      <c r="I667" s="32">
        <v>100000</v>
      </c>
      <c r="J667" s="19" t="s">
        <v>1075</v>
      </c>
      <c r="K667" s="6" t="s">
        <v>1076</v>
      </c>
      <c r="L667" s="3" t="s">
        <v>2224</v>
      </c>
      <c r="M667" s="3" t="s">
        <v>2227</v>
      </c>
      <c r="N667" s="3" t="s">
        <v>2261</v>
      </c>
    </row>
    <row r="668" spans="1:14" x14ac:dyDescent="0.25">
      <c r="A668" s="14" t="s">
        <v>1449</v>
      </c>
      <c r="B668" s="16" t="s">
        <v>2199</v>
      </c>
      <c r="C668" s="19" t="s">
        <v>28</v>
      </c>
      <c r="D668" s="19" t="s">
        <v>28</v>
      </c>
      <c r="E668" s="10" t="s">
        <v>1450</v>
      </c>
      <c r="F668" s="20">
        <v>46082</v>
      </c>
      <c r="G668" s="16">
        <v>2</v>
      </c>
      <c r="H668" s="11" t="s">
        <v>1133</v>
      </c>
      <c r="I668" s="31">
        <v>230000</v>
      </c>
      <c r="J668" s="19" t="s">
        <v>1075</v>
      </c>
      <c r="K668" s="19" t="s">
        <v>1076</v>
      </c>
      <c r="L668" s="3" t="s">
        <v>2224</v>
      </c>
      <c r="M668" s="3" t="s">
        <v>2227</v>
      </c>
      <c r="N668" s="3" t="s">
        <v>2261</v>
      </c>
    </row>
    <row r="669" spans="1:14" x14ac:dyDescent="0.25">
      <c r="A669" s="15" t="s">
        <v>1449</v>
      </c>
      <c r="B669" s="17" t="s">
        <v>2199</v>
      </c>
      <c r="C669" s="19" t="s">
        <v>28</v>
      </c>
      <c r="D669" s="6" t="s">
        <v>28</v>
      </c>
      <c r="E669" s="7" t="s">
        <v>1450</v>
      </c>
      <c r="F669" s="20">
        <v>46023</v>
      </c>
      <c r="G669" s="17">
        <v>2</v>
      </c>
      <c r="H669" t="s">
        <v>1452</v>
      </c>
      <c r="I669" s="32">
        <v>160000</v>
      </c>
      <c r="J669" s="19" t="s">
        <v>1075</v>
      </c>
      <c r="K669" s="6" t="s">
        <v>1076</v>
      </c>
      <c r="L669" s="3" t="s">
        <v>2224</v>
      </c>
      <c r="M669" s="3" t="s">
        <v>2227</v>
      </c>
      <c r="N669" s="3" t="s">
        <v>2261</v>
      </c>
    </row>
    <row r="670" spans="1:14" x14ac:dyDescent="0.25">
      <c r="A670" s="14" t="s">
        <v>1460</v>
      </c>
      <c r="B670" s="16" t="s">
        <v>2199</v>
      </c>
      <c r="C670" s="19" t="s">
        <v>28</v>
      </c>
      <c r="D670" s="19" t="s">
        <v>28</v>
      </c>
      <c r="E670" s="10" t="s">
        <v>1461</v>
      </c>
      <c r="F670" s="20">
        <v>46023</v>
      </c>
      <c r="G670" s="16">
        <v>1</v>
      </c>
      <c r="H670" s="11" t="s">
        <v>1463</v>
      </c>
      <c r="I670" s="31">
        <v>8196174</v>
      </c>
      <c r="J670" s="19" t="s">
        <v>1075</v>
      </c>
      <c r="K670" s="19" t="s">
        <v>1076</v>
      </c>
      <c r="L670" s="3" t="s">
        <v>2224</v>
      </c>
      <c r="M670" s="3" t="s">
        <v>2227</v>
      </c>
      <c r="N670" s="3" t="s">
        <v>2261</v>
      </c>
    </row>
    <row r="671" spans="1:14" x14ac:dyDescent="0.25">
      <c r="A671" s="15" t="s">
        <v>1497</v>
      </c>
      <c r="B671" s="17" t="s">
        <v>2199</v>
      </c>
      <c r="C671" s="19" t="s">
        <v>28</v>
      </c>
      <c r="D671" s="6" t="s">
        <v>28</v>
      </c>
      <c r="E671" s="7" t="s">
        <v>1498</v>
      </c>
      <c r="F671" s="20">
        <v>46082</v>
      </c>
      <c r="G671" s="17">
        <v>1</v>
      </c>
      <c r="H671" t="s">
        <v>1500</v>
      </c>
      <c r="I671" s="32">
        <v>335005</v>
      </c>
      <c r="J671" s="19" t="s">
        <v>1075</v>
      </c>
      <c r="K671" s="6" t="s">
        <v>1076</v>
      </c>
      <c r="L671" s="3" t="s">
        <v>2224</v>
      </c>
      <c r="M671" s="3" t="s">
        <v>2227</v>
      </c>
      <c r="N671" s="3" t="s">
        <v>2261</v>
      </c>
    </row>
    <row r="672" spans="1:14" x14ac:dyDescent="0.25">
      <c r="A672" s="14" t="s">
        <v>1514</v>
      </c>
      <c r="B672" s="16" t="s">
        <v>2199</v>
      </c>
      <c r="C672" s="19" t="s">
        <v>28</v>
      </c>
      <c r="D672" s="19" t="s">
        <v>28</v>
      </c>
      <c r="E672" s="10" t="s">
        <v>1515</v>
      </c>
      <c r="F672" s="20">
        <v>46235</v>
      </c>
      <c r="G672" s="16">
        <v>1</v>
      </c>
      <c r="H672" s="11" t="s">
        <v>1251</v>
      </c>
      <c r="I672" s="31">
        <v>150000</v>
      </c>
      <c r="J672" s="19" t="s">
        <v>1075</v>
      </c>
      <c r="K672" s="19" t="s">
        <v>1076</v>
      </c>
      <c r="L672" s="3" t="s">
        <v>2224</v>
      </c>
      <c r="M672" s="3" t="s">
        <v>2227</v>
      </c>
      <c r="N672" s="3" t="s">
        <v>2261</v>
      </c>
    </row>
    <row r="673" spans="1:14" x14ac:dyDescent="0.25">
      <c r="A673" s="15" t="s">
        <v>1528</v>
      </c>
      <c r="B673" s="17" t="s">
        <v>2199</v>
      </c>
      <c r="C673" s="19" t="s">
        <v>28</v>
      </c>
      <c r="D673" s="6" t="s">
        <v>28</v>
      </c>
      <c r="E673" s="7" t="s">
        <v>1529</v>
      </c>
      <c r="F673" s="20">
        <v>46143</v>
      </c>
      <c r="G673" s="17">
        <v>2</v>
      </c>
      <c r="H673" t="s">
        <v>911</v>
      </c>
      <c r="I673" s="32">
        <v>20000</v>
      </c>
      <c r="J673" s="19" t="s">
        <v>1075</v>
      </c>
      <c r="K673" s="6" t="s">
        <v>1076</v>
      </c>
      <c r="L673" s="3" t="s">
        <v>2224</v>
      </c>
      <c r="M673" s="3" t="s">
        <v>2227</v>
      </c>
      <c r="N673" s="3" t="s">
        <v>2261</v>
      </c>
    </row>
    <row r="674" spans="1:14" x14ac:dyDescent="0.25">
      <c r="A674" s="14" t="s">
        <v>1528</v>
      </c>
      <c r="B674" s="16" t="s">
        <v>2199</v>
      </c>
      <c r="C674" s="19" t="s">
        <v>28</v>
      </c>
      <c r="D674" s="19" t="s">
        <v>28</v>
      </c>
      <c r="E674" s="10" t="s">
        <v>1529</v>
      </c>
      <c r="F674" s="20">
        <v>46143</v>
      </c>
      <c r="G674" s="16">
        <v>2</v>
      </c>
      <c r="H674" s="11" t="s">
        <v>1531</v>
      </c>
      <c r="I674" s="31">
        <v>16000</v>
      </c>
      <c r="J674" s="19" t="s">
        <v>1075</v>
      </c>
      <c r="K674" s="19" t="s">
        <v>1076</v>
      </c>
      <c r="L674" s="3" t="s">
        <v>2224</v>
      </c>
      <c r="M674" s="3" t="s">
        <v>2227</v>
      </c>
      <c r="N674" s="3" t="s">
        <v>2261</v>
      </c>
    </row>
    <row r="675" spans="1:14" x14ac:dyDescent="0.25">
      <c r="A675" s="15" t="s">
        <v>1542</v>
      </c>
      <c r="B675" s="17" t="s">
        <v>2199</v>
      </c>
      <c r="C675" s="19" t="s">
        <v>28</v>
      </c>
      <c r="D675" s="6" t="s">
        <v>28</v>
      </c>
      <c r="E675" s="7" t="s">
        <v>1543</v>
      </c>
      <c r="F675" s="20">
        <v>46204</v>
      </c>
      <c r="G675" s="17">
        <v>1</v>
      </c>
      <c r="H675" t="s">
        <v>1545</v>
      </c>
      <c r="I675" s="32">
        <v>800000</v>
      </c>
      <c r="J675" s="19" t="s">
        <v>1075</v>
      </c>
      <c r="K675" s="6" t="s">
        <v>1076</v>
      </c>
      <c r="L675" s="3" t="s">
        <v>2224</v>
      </c>
      <c r="M675" s="3" t="s">
        <v>2227</v>
      </c>
      <c r="N675" s="3" t="s">
        <v>2261</v>
      </c>
    </row>
    <row r="676" spans="1:14" x14ac:dyDescent="0.25">
      <c r="A676" s="14" t="s">
        <v>1464</v>
      </c>
      <c r="B676" s="16" t="s">
        <v>2199</v>
      </c>
      <c r="C676" s="19" t="s">
        <v>1238</v>
      </c>
      <c r="D676" s="19" t="s">
        <v>1238</v>
      </c>
      <c r="E676" s="10" t="s">
        <v>1465</v>
      </c>
      <c r="F676" s="20">
        <v>46023</v>
      </c>
      <c r="G676" s="16">
        <v>1</v>
      </c>
      <c r="H676" s="11" t="s">
        <v>1293</v>
      </c>
      <c r="I676" s="31">
        <v>1000000</v>
      </c>
      <c r="J676" s="19" t="s">
        <v>1075</v>
      </c>
      <c r="K676" s="19" t="s">
        <v>1076</v>
      </c>
      <c r="L676" s="3" t="s">
        <v>2224</v>
      </c>
      <c r="M676" s="3" t="s">
        <v>2227</v>
      </c>
      <c r="N676" s="3" t="s">
        <v>2261</v>
      </c>
    </row>
    <row r="677" spans="1:14" x14ac:dyDescent="0.25">
      <c r="A677" s="15" t="s">
        <v>2169</v>
      </c>
      <c r="B677" s="17" t="s">
        <v>2199</v>
      </c>
      <c r="C677" s="19" t="s">
        <v>28</v>
      </c>
      <c r="D677" s="6" t="s">
        <v>28</v>
      </c>
      <c r="E677" s="7" t="s">
        <v>2170</v>
      </c>
      <c r="F677" s="20">
        <v>46054</v>
      </c>
      <c r="G677" s="17">
        <v>3</v>
      </c>
      <c r="H677" t="s">
        <v>359</v>
      </c>
      <c r="I677" s="32">
        <v>781840</v>
      </c>
      <c r="J677" s="19" t="s">
        <v>2171</v>
      </c>
      <c r="K677" s="6" t="s">
        <v>2172</v>
      </c>
      <c r="L677" s="3" t="s">
        <v>2252</v>
      </c>
      <c r="M677" s="3" t="s">
        <v>2227</v>
      </c>
      <c r="N677" s="3" t="s">
        <v>2269</v>
      </c>
    </row>
    <row r="678" spans="1:14" x14ac:dyDescent="0.25">
      <c r="A678" s="14" t="s">
        <v>2169</v>
      </c>
      <c r="B678" s="16" t="s">
        <v>2199</v>
      </c>
      <c r="C678" s="19" t="s">
        <v>28</v>
      </c>
      <c r="D678" s="19" t="s">
        <v>28</v>
      </c>
      <c r="E678" s="10" t="s">
        <v>2170</v>
      </c>
      <c r="F678" s="20">
        <v>46054</v>
      </c>
      <c r="G678" s="16">
        <v>3</v>
      </c>
      <c r="H678" s="11" t="s">
        <v>786</v>
      </c>
      <c r="I678" s="31">
        <v>579758</v>
      </c>
      <c r="J678" s="19" t="s">
        <v>2171</v>
      </c>
      <c r="K678" s="19" t="s">
        <v>2172</v>
      </c>
      <c r="L678" s="3" t="s">
        <v>2252</v>
      </c>
      <c r="M678" s="3" t="s">
        <v>2227</v>
      </c>
      <c r="N678" s="3" t="s">
        <v>2269</v>
      </c>
    </row>
    <row r="679" spans="1:14" x14ac:dyDescent="0.25">
      <c r="A679" s="15" t="s">
        <v>2169</v>
      </c>
      <c r="B679" s="17" t="s">
        <v>2199</v>
      </c>
      <c r="C679" s="19" t="s">
        <v>28</v>
      </c>
      <c r="D679" s="6" t="s">
        <v>28</v>
      </c>
      <c r="E679" s="7" t="s">
        <v>2170</v>
      </c>
      <c r="F679" s="20">
        <v>46054</v>
      </c>
      <c r="G679" s="17">
        <v>3</v>
      </c>
      <c r="H679" t="s">
        <v>855</v>
      </c>
      <c r="I679" s="32">
        <v>165750</v>
      </c>
      <c r="J679" s="19" t="s">
        <v>2171</v>
      </c>
      <c r="K679" s="6" t="s">
        <v>2172</v>
      </c>
      <c r="L679" s="3" t="s">
        <v>2252</v>
      </c>
      <c r="M679" s="3" t="s">
        <v>2227</v>
      </c>
      <c r="N679" s="3" t="s">
        <v>2269</v>
      </c>
    </row>
    <row r="680" spans="1:14" x14ac:dyDescent="0.25">
      <c r="A680" s="14" t="s">
        <v>1638</v>
      </c>
      <c r="B680" s="16" t="s">
        <v>2199</v>
      </c>
      <c r="C680" s="19" t="s">
        <v>28</v>
      </c>
      <c r="D680" s="19" t="s">
        <v>28</v>
      </c>
      <c r="E680" s="10" t="s">
        <v>1639</v>
      </c>
      <c r="F680" s="20">
        <v>46082</v>
      </c>
      <c r="G680" s="16">
        <v>1</v>
      </c>
      <c r="H680" s="11" t="s">
        <v>1641</v>
      </c>
      <c r="I680" s="31">
        <v>405000</v>
      </c>
      <c r="J680" s="19" t="s">
        <v>1642</v>
      </c>
      <c r="K680" s="19" t="s">
        <v>1643</v>
      </c>
      <c r="L680" s="3" t="s">
        <v>2253</v>
      </c>
      <c r="M680" s="3" t="s">
        <v>2234</v>
      </c>
      <c r="N680" s="3" t="s">
        <v>2258</v>
      </c>
    </row>
    <row r="681" spans="1:14" x14ac:dyDescent="0.25">
      <c r="A681" s="15" t="s">
        <v>1684</v>
      </c>
      <c r="B681" s="17" t="s">
        <v>2199</v>
      </c>
      <c r="C681" s="19" t="s">
        <v>28</v>
      </c>
      <c r="D681" s="6" t="s">
        <v>28</v>
      </c>
      <c r="E681" s="7" t="s">
        <v>1685</v>
      </c>
      <c r="F681" s="20">
        <v>46054</v>
      </c>
      <c r="G681" s="17">
        <v>1</v>
      </c>
      <c r="H681" t="s">
        <v>639</v>
      </c>
      <c r="I681" s="32">
        <v>200000</v>
      </c>
      <c r="J681" s="19" t="s">
        <v>1642</v>
      </c>
      <c r="K681" s="6" t="s">
        <v>1643</v>
      </c>
      <c r="L681" s="3" t="s">
        <v>2253</v>
      </c>
      <c r="M681" s="3" t="s">
        <v>2234</v>
      </c>
      <c r="N681" s="3" t="s">
        <v>2258</v>
      </c>
    </row>
    <row r="682" spans="1:14" x14ac:dyDescent="0.25">
      <c r="A682" s="14" t="s">
        <v>1767</v>
      </c>
      <c r="B682" s="16" t="s">
        <v>2199</v>
      </c>
      <c r="C682" s="19" t="s">
        <v>28</v>
      </c>
      <c r="D682" s="19" t="s">
        <v>28</v>
      </c>
      <c r="E682" s="10" t="s">
        <v>1768</v>
      </c>
      <c r="F682" s="20">
        <v>46082</v>
      </c>
      <c r="G682" s="16">
        <v>2</v>
      </c>
      <c r="H682" s="11" t="s">
        <v>1599</v>
      </c>
      <c r="I682" s="31">
        <v>130000</v>
      </c>
      <c r="J682" s="19" t="s">
        <v>1642</v>
      </c>
      <c r="K682" s="19" t="s">
        <v>1643</v>
      </c>
      <c r="L682" s="3" t="s">
        <v>2253</v>
      </c>
      <c r="M682" s="3" t="s">
        <v>2234</v>
      </c>
      <c r="N682" s="3" t="s">
        <v>2258</v>
      </c>
    </row>
    <row r="683" spans="1:14" x14ac:dyDescent="0.25">
      <c r="A683" s="15" t="s">
        <v>1767</v>
      </c>
      <c r="B683" s="17" t="s">
        <v>2199</v>
      </c>
      <c r="C683" s="19" t="s">
        <v>28</v>
      </c>
      <c r="D683" s="6" t="s">
        <v>28</v>
      </c>
      <c r="E683" s="7" t="s">
        <v>1768</v>
      </c>
      <c r="F683" s="20">
        <v>46082</v>
      </c>
      <c r="G683" s="17">
        <v>2</v>
      </c>
      <c r="H683" t="s">
        <v>631</v>
      </c>
      <c r="I683" s="32">
        <v>150000</v>
      </c>
      <c r="J683" s="19" t="s">
        <v>1642</v>
      </c>
      <c r="K683" s="6" t="s">
        <v>1643</v>
      </c>
      <c r="L683" s="3" t="s">
        <v>2253</v>
      </c>
      <c r="M683" s="3" t="s">
        <v>2234</v>
      </c>
      <c r="N683" s="3" t="s">
        <v>2258</v>
      </c>
    </row>
    <row r="684" spans="1:14" x14ac:dyDescent="0.25">
      <c r="A684" s="14" t="s">
        <v>1787</v>
      </c>
      <c r="B684" s="16" t="s">
        <v>2199</v>
      </c>
      <c r="C684" s="19" t="s">
        <v>28</v>
      </c>
      <c r="D684" s="19" t="s">
        <v>28</v>
      </c>
      <c r="E684" s="10" t="s">
        <v>1788</v>
      </c>
      <c r="F684" s="20">
        <v>46266</v>
      </c>
      <c r="G684" s="16">
        <v>3</v>
      </c>
      <c r="H684" s="11" t="s">
        <v>359</v>
      </c>
      <c r="I684" s="31">
        <v>20500</v>
      </c>
      <c r="J684" s="19" t="s">
        <v>1642</v>
      </c>
      <c r="K684" s="19" t="s">
        <v>1643</v>
      </c>
      <c r="L684" s="3" t="s">
        <v>2253</v>
      </c>
      <c r="M684" s="3" t="s">
        <v>2234</v>
      </c>
      <c r="N684" s="3" t="s">
        <v>2258</v>
      </c>
    </row>
    <row r="685" spans="1:14" x14ac:dyDescent="0.25">
      <c r="A685" s="15" t="s">
        <v>1787</v>
      </c>
      <c r="B685" s="17" t="s">
        <v>2199</v>
      </c>
      <c r="C685" s="19" t="s">
        <v>28</v>
      </c>
      <c r="D685" s="6" t="s">
        <v>28</v>
      </c>
      <c r="E685" s="7" t="s">
        <v>1788</v>
      </c>
      <c r="F685" s="20">
        <v>46266</v>
      </c>
      <c r="G685" s="17">
        <v>3</v>
      </c>
      <c r="H685" t="s">
        <v>486</v>
      </c>
      <c r="I685" s="32">
        <v>84048</v>
      </c>
      <c r="J685" s="19" t="s">
        <v>1642</v>
      </c>
      <c r="K685" s="6" t="s">
        <v>1643</v>
      </c>
      <c r="L685" s="3" t="s">
        <v>2253</v>
      </c>
      <c r="M685" s="3" t="s">
        <v>2234</v>
      </c>
      <c r="N685" s="3" t="s">
        <v>2258</v>
      </c>
    </row>
    <row r="686" spans="1:14" x14ac:dyDescent="0.25">
      <c r="A686" s="14" t="s">
        <v>1787</v>
      </c>
      <c r="B686" s="16" t="s">
        <v>2199</v>
      </c>
      <c r="C686" s="19" t="s">
        <v>28</v>
      </c>
      <c r="D686" s="19" t="s">
        <v>28</v>
      </c>
      <c r="E686" s="10" t="s">
        <v>1788</v>
      </c>
      <c r="F686" s="20">
        <v>46266</v>
      </c>
      <c r="G686" s="16">
        <v>3</v>
      </c>
      <c r="H686" s="11" t="s">
        <v>855</v>
      </c>
      <c r="I686" s="31">
        <v>14000</v>
      </c>
      <c r="J686" s="19" t="s">
        <v>1642</v>
      </c>
      <c r="K686" s="19" t="s">
        <v>1643</v>
      </c>
      <c r="L686" s="3" t="s">
        <v>2253</v>
      </c>
      <c r="M686" s="3" t="s">
        <v>2234</v>
      </c>
      <c r="N686" s="3" t="s">
        <v>2258</v>
      </c>
    </row>
    <row r="687" spans="1:14" x14ac:dyDescent="0.25">
      <c r="A687" s="15" t="s">
        <v>1815</v>
      </c>
      <c r="B687" s="17" t="s">
        <v>2199</v>
      </c>
      <c r="C687" s="19" t="s">
        <v>28</v>
      </c>
      <c r="D687" s="6" t="s">
        <v>28</v>
      </c>
      <c r="E687" s="7" t="s">
        <v>1816</v>
      </c>
      <c r="F687" s="20">
        <v>46113</v>
      </c>
      <c r="G687" s="17">
        <v>1</v>
      </c>
      <c r="H687" t="s">
        <v>1179</v>
      </c>
      <c r="I687" s="32">
        <v>450008</v>
      </c>
      <c r="J687" s="19" t="s">
        <v>1642</v>
      </c>
      <c r="K687" s="6" t="s">
        <v>1643</v>
      </c>
      <c r="L687" s="3" t="s">
        <v>2253</v>
      </c>
      <c r="M687" s="3" t="s">
        <v>2234</v>
      </c>
      <c r="N687" s="3" t="s">
        <v>2258</v>
      </c>
    </row>
    <row r="688" spans="1:14" x14ac:dyDescent="0.25">
      <c r="A688" s="14" t="s">
        <v>1832</v>
      </c>
      <c r="B688" s="16" t="s">
        <v>2199</v>
      </c>
      <c r="C688" s="19" t="s">
        <v>28</v>
      </c>
      <c r="D688" s="19" t="s">
        <v>28</v>
      </c>
      <c r="E688" s="10" t="s">
        <v>1833</v>
      </c>
      <c r="F688" s="20">
        <v>46174</v>
      </c>
      <c r="G688" s="16">
        <v>2</v>
      </c>
      <c r="H688" s="11" t="s">
        <v>815</v>
      </c>
      <c r="I688" s="31">
        <v>600000</v>
      </c>
      <c r="J688" s="19" t="s">
        <v>1642</v>
      </c>
      <c r="K688" s="19" t="s">
        <v>1643</v>
      </c>
      <c r="L688" s="3" t="s">
        <v>2253</v>
      </c>
      <c r="M688" s="3" t="s">
        <v>2234</v>
      </c>
      <c r="N688" s="3" t="s">
        <v>2258</v>
      </c>
    </row>
    <row r="689" spans="1:14" x14ac:dyDescent="0.25">
      <c r="A689" s="15" t="s">
        <v>1832</v>
      </c>
      <c r="B689" s="17" t="s">
        <v>2199</v>
      </c>
      <c r="C689" s="19" t="s">
        <v>28</v>
      </c>
      <c r="D689" s="6" t="s">
        <v>28</v>
      </c>
      <c r="E689" s="7" t="s">
        <v>1833</v>
      </c>
      <c r="F689" s="20">
        <v>46174</v>
      </c>
      <c r="G689" s="17">
        <v>2</v>
      </c>
      <c r="H689" t="s">
        <v>486</v>
      </c>
      <c r="I689" s="32">
        <v>400000</v>
      </c>
      <c r="J689" s="19" t="s">
        <v>1642</v>
      </c>
      <c r="K689" s="6" t="s">
        <v>1643</v>
      </c>
      <c r="L689" s="3" t="s">
        <v>2253</v>
      </c>
      <c r="M689" s="3" t="s">
        <v>2234</v>
      </c>
      <c r="N689" s="3" t="s">
        <v>2258</v>
      </c>
    </row>
    <row r="690" spans="1:14" x14ac:dyDescent="0.25">
      <c r="A690" s="14" t="s">
        <v>1835</v>
      </c>
      <c r="B690" s="16" t="s">
        <v>2199</v>
      </c>
      <c r="C690" s="19" t="s">
        <v>28</v>
      </c>
      <c r="D690" s="19" t="s">
        <v>28</v>
      </c>
      <c r="E690" s="10" t="s">
        <v>1836</v>
      </c>
      <c r="F690" s="20">
        <v>46235</v>
      </c>
      <c r="G690" s="16">
        <v>1</v>
      </c>
      <c r="H690" s="11" t="s">
        <v>1838</v>
      </c>
      <c r="I690" s="31">
        <v>440040</v>
      </c>
      <c r="J690" s="19" t="s">
        <v>1642</v>
      </c>
      <c r="K690" s="19" t="s">
        <v>1643</v>
      </c>
      <c r="L690" s="3" t="s">
        <v>2253</v>
      </c>
      <c r="M690" s="3" t="s">
        <v>2234</v>
      </c>
      <c r="N690" s="3" t="s">
        <v>2258</v>
      </c>
    </row>
    <row r="691" spans="1:14" x14ac:dyDescent="0.25">
      <c r="A691" s="15" t="s">
        <v>2056</v>
      </c>
      <c r="B691" s="17" t="s">
        <v>2199</v>
      </c>
      <c r="C691" s="19" t="s">
        <v>28</v>
      </c>
      <c r="D691" s="6" t="s">
        <v>28</v>
      </c>
      <c r="E691" s="7" t="s">
        <v>2057</v>
      </c>
      <c r="F691" s="20">
        <v>46082</v>
      </c>
      <c r="G691" s="17">
        <v>5</v>
      </c>
      <c r="H691" t="s">
        <v>2059</v>
      </c>
      <c r="I691" s="32">
        <v>45000</v>
      </c>
      <c r="J691" s="19" t="s">
        <v>1642</v>
      </c>
      <c r="K691" s="6" t="s">
        <v>1643</v>
      </c>
      <c r="L691" s="3" t="s">
        <v>2253</v>
      </c>
      <c r="M691" s="3" t="s">
        <v>2234</v>
      </c>
      <c r="N691" s="3" t="s">
        <v>2258</v>
      </c>
    </row>
    <row r="692" spans="1:14" x14ac:dyDescent="0.25">
      <c r="A692" s="14" t="s">
        <v>2056</v>
      </c>
      <c r="B692" s="16" t="s">
        <v>2199</v>
      </c>
      <c r="C692" s="19" t="s">
        <v>28</v>
      </c>
      <c r="D692" s="19" t="s">
        <v>28</v>
      </c>
      <c r="E692" s="10" t="s">
        <v>2057</v>
      </c>
      <c r="F692" s="20">
        <v>46174</v>
      </c>
      <c r="G692" s="16">
        <v>5</v>
      </c>
      <c r="H692" s="11" t="s">
        <v>2062</v>
      </c>
      <c r="I692" s="31">
        <v>175014</v>
      </c>
      <c r="J692" s="19" t="s">
        <v>1642</v>
      </c>
      <c r="K692" s="19" t="s">
        <v>1643</v>
      </c>
      <c r="L692" s="3" t="s">
        <v>2253</v>
      </c>
      <c r="M692" s="3" t="s">
        <v>2234</v>
      </c>
      <c r="N692" s="3" t="s">
        <v>2258</v>
      </c>
    </row>
    <row r="693" spans="1:14" x14ac:dyDescent="0.25">
      <c r="A693" s="15" t="s">
        <v>2056</v>
      </c>
      <c r="B693" s="17" t="s">
        <v>2199</v>
      </c>
      <c r="C693" s="19" t="s">
        <v>28</v>
      </c>
      <c r="D693" s="6" t="s">
        <v>28</v>
      </c>
      <c r="E693" s="7" t="s">
        <v>2057</v>
      </c>
      <c r="F693" s="20">
        <v>46082</v>
      </c>
      <c r="G693" s="17">
        <v>5</v>
      </c>
      <c r="H693" t="s">
        <v>2061</v>
      </c>
      <c r="I693" s="32">
        <v>123000</v>
      </c>
      <c r="J693" s="19" t="s">
        <v>1642</v>
      </c>
      <c r="K693" s="6" t="s">
        <v>1643</v>
      </c>
      <c r="L693" s="3" t="s">
        <v>2253</v>
      </c>
      <c r="M693" s="3" t="s">
        <v>2234</v>
      </c>
      <c r="N693" s="3" t="s">
        <v>2258</v>
      </c>
    </row>
    <row r="694" spans="1:14" x14ac:dyDescent="0.25">
      <c r="A694" s="14" t="s">
        <v>2056</v>
      </c>
      <c r="B694" s="16" t="s">
        <v>2199</v>
      </c>
      <c r="C694" s="19" t="s">
        <v>28</v>
      </c>
      <c r="D694" s="19" t="s">
        <v>28</v>
      </c>
      <c r="E694" s="10" t="s">
        <v>2057</v>
      </c>
      <c r="F694" s="20">
        <v>46082</v>
      </c>
      <c r="G694" s="16">
        <v>5</v>
      </c>
      <c r="H694" s="11" t="s">
        <v>1137</v>
      </c>
      <c r="I694" s="31">
        <v>40000</v>
      </c>
      <c r="J694" s="19" t="s">
        <v>1642</v>
      </c>
      <c r="K694" s="19" t="s">
        <v>1643</v>
      </c>
      <c r="L694" s="3" t="s">
        <v>2253</v>
      </c>
      <c r="M694" s="3" t="s">
        <v>2234</v>
      </c>
      <c r="N694" s="3" t="s">
        <v>2258</v>
      </c>
    </row>
    <row r="695" spans="1:14" x14ac:dyDescent="0.25">
      <c r="A695" s="15" t="s">
        <v>2056</v>
      </c>
      <c r="B695" s="17" t="s">
        <v>2199</v>
      </c>
      <c r="C695" s="19" t="s">
        <v>28</v>
      </c>
      <c r="D695" s="6" t="s">
        <v>28</v>
      </c>
      <c r="E695" s="23" t="s">
        <v>2057</v>
      </c>
      <c r="F695" s="20">
        <v>46082</v>
      </c>
      <c r="G695" s="17">
        <v>5</v>
      </c>
      <c r="H695" t="s">
        <v>1973</v>
      </c>
      <c r="I695" s="32">
        <v>500024</v>
      </c>
      <c r="J695" s="19" t="s">
        <v>1642</v>
      </c>
      <c r="K695" s="6" t="s">
        <v>1643</v>
      </c>
      <c r="L695" s="3" t="s">
        <v>2253</v>
      </c>
      <c r="M695" s="3" t="s">
        <v>2234</v>
      </c>
      <c r="N695" s="3" t="s">
        <v>2258</v>
      </c>
    </row>
    <row r="696" spans="1:14" x14ac:dyDescent="0.25">
      <c r="A696" s="14" t="s">
        <v>2070</v>
      </c>
      <c r="B696" s="16" t="s">
        <v>2199</v>
      </c>
      <c r="C696" s="19" t="s">
        <v>28</v>
      </c>
      <c r="D696" s="19" t="s">
        <v>28</v>
      </c>
      <c r="E696" s="22" t="s">
        <v>2071</v>
      </c>
      <c r="F696" s="20">
        <v>46113</v>
      </c>
      <c r="G696" s="16">
        <v>1</v>
      </c>
      <c r="H696" s="11" t="s">
        <v>2073</v>
      </c>
      <c r="I696" s="31">
        <v>70000</v>
      </c>
      <c r="J696" s="21" t="s">
        <v>1642</v>
      </c>
      <c r="K696" s="19" t="s">
        <v>1643</v>
      </c>
      <c r="L696" s="3" t="s">
        <v>2253</v>
      </c>
      <c r="M696" s="3" t="s">
        <v>2234</v>
      </c>
      <c r="N696" s="3" t="s">
        <v>2258</v>
      </c>
    </row>
    <row r="697" spans="1:14" x14ac:dyDescent="0.25">
      <c r="A697" s="15" t="s">
        <v>399</v>
      </c>
      <c r="B697" s="17" t="s">
        <v>2196</v>
      </c>
      <c r="C697" s="16" t="s">
        <v>2196</v>
      </c>
      <c r="D697" s="6" t="s">
        <v>28</v>
      </c>
      <c r="E697" s="7" t="s">
        <v>400</v>
      </c>
      <c r="F697" s="20">
        <v>45870</v>
      </c>
      <c r="G697" s="17">
        <v>1</v>
      </c>
      <c r="H697" t="s">
        <v>326</v>
      </c>
      <c r="I697" s="32">
        <v>28875000</v>
      </c>
      <c r="J697" s="21" t="s">
        <v>402</v>
      </c>
      <c r="K697" s="6" t="s">
        <v>320</v>
      </c>
      <c r="L697" s="3" t="s">
        <v>2253</v>
      </c>
      <c r="M697" s="3" t="s">
        <v>2234</v>
      </c>
      <c r="N697" s="3" t="s">
        <v>2258</v>
      </c>
    </row>
    <row r="698" spans="1:14" x14ac:dyDescent="0.25">
      <c r="A698" s="14" t="s">
        <v>860</v>
      </c>
      <c r="B698" s="16" t="s">
        <v>2199</v>
      </c>
      <c r="C698" s="19" t="s">
        <v>28</v>
      </c>
      <c r="D698" s="19" t="s">
        <v>28</v>
      </c>
      <c r="E698" s="10" t="s">
        <v>861</v>
      </c>
      <c r="F698" s="20">
        <v>46023</v>
      </c>
      <c r="G698" s="16">
        <v>1</v>
      </c>
      <c r="H698" s="11" t="s">
        <v>863</v>
      </c>
      <c r="I698" s="31">
        <v>370107</v>
      </c>
      <c r="J698" s="21" t="s">
        <v>864</v>
      </c>
      <c r="K698" s="19" t="s">
        <v>865</v>
      </c>
      <c r="L698" s="3" t="s">
        <v>2246</v>
      </c>
      <c r="M698" s="3" t="s">
        <v>2256</v>
      </c>
      <c r="N698" s="3" t="s">
        <v>2270</v>
      </c>
    </row>
    <row r="699" spans="1:14" x14ac:dyDescent="0.25">
      <c r="A699" s="15" t="s">
        <v>1604</v>
      </c>
      <c r="B699" s="17" t="s">
        <v>2199</v>
      </c>
      <c r="C699" s="19" t="s">
        <v>28</v>
      </c>
      <c r="D699" s="6" t="s">
        <v>28</v>
      </c>
      <c r="E699" s="7" t="s">
        <v>1605</v>
      </c>
      <c r="F699" s="20">
        <v>46023</v>
      </c>
      <c r="G699" s="17">
        <v>2</v>
      </c>
      <c r="H699" t="s">
        <v>1607</v>
      </c>
      <c r="I699" s="32">
        <v>360000</v>
      </c>
      <c r="J699" s="21" t="s">
        <v>1608</v>
      </c>
      <c r="K699" s="6" t="s">
        <v>361</v>
      </c>
      <c r="L699" s="3" t="s">
        <v>2254</v>
      </c>
      <c r="M699" s="3" t="s">
        <v>2234</v>
      </c>
      <c r="N699" s="3" t="s">
        <v>2258</v>
      </c>
    </row>
    <row r="700" spans="1:14" x14ac:dyDescent="0.25">
      <c r="A700" s="14" t="s">
        <v>1604</v>
      </c>
      <c r="B700" s="16" t="s">
        <v>2199</v>
      </c>
      <c r="C700" s="19" t="s">
        <v>28</v>
      </c>
      <c r="D700" s="19" t="s">
        <v>28</v>
      </c>
      <c r="E700" s="10" t="s">
        <v>1605</v>
      </c>
      <c r="F700" s="20">
        <v>46023</v>
      </c>
      <c r="G700" s="16">
        <v>2</v>
      </c>
      <c r="H700" s="11" t="s">
        <v>1609</v>
      </c>
      <c r="I700" s="31">
        <v>800000</v>
      </c>
      <c r="J700" s="21" t="s">
        <v>1608</v>
      </c>
      <c r="K700" s="19" t="s">
        <v>361</v>
      </c>
      <c r="L700" s="3" t="s">
        <v>2254</v>
      </c>
      <c r="M700" s="3" t="s">
        <v>2234</v>
      </c>
      <c r="N700" s="3" t="s">
        <v>2258</v>
      </c>
    </row>
    <row r="701" spans="1:14" x14ac:dyDescent="0.25">
      <c r="A701" s="15" t="s">
        <v>1620</v>
      </c>
      <c r="B701" s="17" t="s">
        <v>2199</v>
      </c>
      <c r="C701" s="19" t="s">
        <v>28</v>
      </c>
      <c r="D701" s="6" t="s">
        <v>28</v>
      </c>
      <c r="E701" s="7" t="s">
        <v>1621</v>
      </c>
      <c r="F701" s="20">
        <v>46023</v>
      </c>
      <c r="G701" s="17">
        <v>1</v>
      </c>
      <c r="H701" t="s">
        <v>1623</v>
      </c>
      <c r="I701" s="32">
        <v>600000</v>
      </c>
      <c r="J701" s="21" t="s">
        <v>1608</v>
      </c>
      <c r="K701" s="6" t="s">
        <v>361</v>
      </c>
      <c r="L701" s="3" t="s">
        <v>2254</v>
      </c>
      <c r="M701" s="3" t="s">
        <v>2234</v>
      </c>
      <c r="N701" s="3" t="s">
        <v>2258</v>
      </c>
    </row>
    <row r="702" spans="1:14" x14ac:dyDescent="0.25">
      <c r="A702" s="14" t="s">
        <v>1624</v>
      </c>
      <c r="B702" s="16" t="s">
        <v>2199</v>
      </c>
      <c r="C702" s="19" t="s">
        <v>1238</v>
      </c>
      <c r="D702" s="19" t="s">
        <v>1238</v>
      </c>
      <c r="E702" s="10" t="s">
        <v>1621</v>
      </c>
      <c r="F702" s="20">
        <v>46023</v>
      </c>
      <c r="G702" s="16">
        <v>1</v>
      </c>
      <c r="H702" s="11" t="s">
        <v>1625</v>
      </c>
      <c r="I702" s="31">
        <v>780000</v>
      </c>
      <c r="J702" s="21" t="s">
        <v>1608</v>
      </c>
      <c r="K702" s="19" t="s">
        <v>361</v>
      </c>
      <c r="L702" s="3" t="s">
        <v>2254</v>
      </c>
      <c r="M702" s="3" t="s">
        <v>2234</v>
      </c>
      <c r="N702" s="3" t="s">
        <v>2258</v>
      </c>
    </row>
    <row r="703" spans="1:14" x14ac:dyDescent="0.25">
      <c r="A703" s="15" t="s">
        <v>389</v>
      </c>
      <c r="B703" s="17" t="s">
        <v>2196</v>
      </c>
      <c r="C703" s="16" t="s">
        <v>2196</v>
      </c>
      <c r="D703" s="6" t="s">
        <v>28</v>
      </c>
      <c r="E703" s="7" t="s">
        <v>390</v>
      </c>
      <c r="F703" s="20">
        <v>45870</v>
      </c>
      <c r="G703" s="17">
        <v>1</v>
      </c>
      <c r="H703" t="s">
        <v>326</v>
      </c>
      <c r="I703" s="32">
        <v>16500000</v>
      </c>
      <c r="J703" s="21" t="s">
        <v>378</v>
      </c>
      <c r="K703" s="6" t="s">
        <v>361</v>
      </c>
      <c r="L703" s="3" t="s">
        <v>2254</v>
      </c>
      <c r="M703" s="3" t="s">
        <v>2234</v>
      </c>
      <c r="N703" s="3" t="s">
        <v>2258</v>
      </c>
    </row>
    <row r="704" spans="1:14" x14ac:dyDescent="0.25">
      <c r="A704" s="14" t="s">
        <v>375</v>
      </c>
      <c r="B704" s="16" t="s">
        <v>2196</v>
      </c>
      <c r="C704" s="16" t="s">
        <v>2196</v>
      </c>
      <c r="D704" s="19" t="s">
        <v>374</v>
      </c>
      <c r="E704" s="10" t="s">
        <v>376</v>
      </c>
      <c r="F704" s="20">
        <v>45839</v>
      </c>
      <c r="G704" s="16">
        <v>1</v>
      </c>
      <c r="H704" s="11" t="s">
        <v>326</v>
      </c>
      <c r="I704" s="31">
        <v>17416663</v>
      </c>
      <c r="J704" s="21" t="s">
        <v>378</v>
      </c>
      <c r="K704" s="19" t="s">
        <v>361</v>
      </c>
      <c r="L704" s="3" t="s">
        <v>2254</v>
      </c>
      <c r="M704" s="3" t="s">
        <v>2234</v>
      </c>
      <c r="N704" s="3" t="s">
        <v>2258</v>
      </c>
    </row>
  </sheetData>
  <sortState xmlns:xlrd2="http://schemas.microsoft.com/office/spreadsheetml/2017/richdata2" ref="A2:N704">
    <sortCondition ref="J4:J704"/>
  </sortState>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8A559D4-607C-4E70-9632-2021B881E328}">
  <dimension ref="A1:Q704"/>
  <sheetViews>
    <sheetView tabSelected="1" workbookViewId="0">
      <selection activeCell="G4" sqref="G4"/>
    </sheetView>
  </sheetViews>
  <sheetFormatPr baseColWidth="10" defaultRowHeight="15" x14ac:dyDescent="0.25"/>
  <cols>
    <col min="1" max="1" width="17.140625" bestFit="1" customWidth="1"/>
    <col min="4" max="4" width="46.42578125" customWidth="1"/>
    <col min="9" max="9" width="30.42578125" bestFit="1" customWidth="1"/>
    <col min="11" max="11" width="22.85546875" customWidth="1"/>
    <col min="12" max="12" width="33.140625" bestFit="1" customWidth="1"/>
    <col min="17" max="17" width="28.85546875" bestFit="1" customWidth="1"/>
  </cols>
  <sheetData>
    <row r="1" spans="1:17" x14ac:dyDescent="0.25">
      <c r="A1" s="53" t="s">
        <v>2</v>
      </c>
      <c r="B1" s="53" t="s">
        <v>2197</v>
      </c>
      <c r="C1" s="53" t="s">
        <v>1</v>
      </c>
      <c r="D1" s="53" t="s">
        <v>6</v>
      </c>
      <c r="E1" s="53" t="s">
        <v>9</v>
      </c>
      <c r="F1" s="53" t="s">
        <v>8</v>
      </c>
      <c r="G1" s="53" t="s">
        <v>16</v>
      </c>
      <c r="H1" s="53" t="s">
        <v>20</v>
      </c>
      <c r="I1" s="53" t="s">
        <v>17</v>
      </c>
      <c r="J1" s="53" t="s">
        <v>14</v>
      </c>
      <c r="K1" s="53" t="s">
        <v>15</v>
      </c>
      <c r="L1" s="53" t="s">
        <v>2202</v>
      </c>
      <c r="M1" s="54" t="s">
        <v>2215</v>
      </c>
      <c r="N1" s="54" t="s">
        <v>2216</v>
      </c>
      <c r="O1" s="54" t="s">
        <v>2255</v>
      </c>
      <c r="P1" s="54" t="s">
        <v>2283</v>
      </c>
      <c r="Q1" s="53" t="s">
        <v>2285</v>
      </c>
    </row>
    <row r="2" spans="1:17" x14ac:dyDescent="0.25">
      <c r="A2" s="55" t="s">
        <v>1756</v>
      </c>
      <c r="B2" s="56" t="s">
        <v>2199</v>
      </c>
      <c r="C2" s="57" t="s">
        <v>28</v>
      </c>
      <c r="D2" s="56" t="s">
        <v>1757</v>
      </c>
      <c r="E2" s="57" t="s">
        <v>1237</v>
      </c>
      <c r="F2" s="56">
        <v>1</v>
      </c>
      <c r="G2" s="57" t="s">
        <v>1759</v>
      </c>
      <c r="H2" s="58">
        <v>46174</v>
      </c>
      <c r="I2" s="57" t="s">
        <v>1760</v>
      </c>
      <c r="J2" s="56">
        <v>1</v>
      </c>
      <c r="K2" s="60">
        <v>46266</v>
      </c>
      <c r="L2" s="59">
        <v>15000018</v>
      </c>
      <c r="M2" s="57" t="s">
        <v>2217</v>
      </c>
      <c r="N2" s="57" t="s">
        <v>2256</v>
      </c>
      <c r="O2" s="57" t="s">
        <v>2280</v>
      </c>
      <c r="P2" s="57" t="s">
        <v>2284</v>
      </c>
      <c r="Q2" s="57" t="s">
        <v>1759</v>
      </c>
    </row>
    <row r="3" spans="1:17" x14ac:dyDescent="0.25">
      <c r="A3" s="55" t="s">
        <v>1763</v>
      </c>
      <c r="B3" s="56" t="s">
        <v>2199</v>
      </c>
      <c r="C3" s="57" t="s">
        <v>28</v>
      </c>
      <c r="D3" s="56" t="s">
        <v>1764</v>
      </c>
      <c r="E3" s="57" t="s">
        <v>1766</v>
      </c>
      <c r="F3" s="56">
        <v>1</v>
      </c>
      <c r="G3" s="57" t="s">
        <v>1759</v>
      </c>
      <c r="H3" s="58">
        <v>46174</v>
      </c>
      <c r="I3" s="57" t="s">
        <v>1760</v>
      </c>
      <c r="J3" s="56">
        <v>1</v>
      </c>
      <c r="K3" s="60">
        <v>46204</v>
      </c>
      <c r="L3" s="59">
        <v>30000000</v>
      </c>
      <c r="M3" s="57" t="s">
        <v>2217</v>
      </c>
      <c r="N3" s="57" t="s">
        <v>2256</v>
      </c>
      <c r="O3" s="57" t="s">
        <v>2280</v>
      </c>
      <c r="P3" s="57" t="s">
        <v>2284</v>
      </c>
      <c r="Q3" s="57" t="s">
        <v>1759</v>
      </c>
    </row>
    <row r="4" spans="1:17" x14ac:dyDescent="0.25">
      <c r="A4" s="55" t="s">
        <v>1883</v>
      </c>
      <c r="B4" s="56" t="s">
        <v>2199</v>
      </c>
      <c r="C4" s="57" t="s">
        <v>28</v>
      </c>
      <c r="D4" s="56" t="s">
        <v>1884</v>
      </c>
      <c r="E4" s="57" t="s">
        <v>1886</v>
      </c>
      <c r="F4" s="56">
        <v>1</v>
      </c>
      <c r="G4" s="57" t="s">
        <v>1759</v>
      </c>
      <c r="H4" s="58">
        <v>46082</v>
      </c>
      <c r="I4" s="57" t="s">
        <v>1760</v>
      </c>
      <c r="J4" s="56">
        <v>1</v>
      </c>
      <c r="K4" s="60">
        <v>46082</v>
      </c>
      <c r="L4" s="59">
        <v>3550000</v>
      </c>
      <c r="M4" s="57" t="s">
        <v>2217</v>
      </c>
      <c r="N4" s="57" t="s">
        <v>2256</v>
      </c>
      <c r="O4" s="57" t="s">
        <v>2280</v>
      </c>
      <c r="P4" s="57" t="s">
        <v>2284</v>
      </c>
      <c r="Q4" s="57" t="s">
        <v>1759</v>
      </c>
    </row>
    <row r="5" spans="1:17" x14ac:dyDescent="0.25">
      <c r="A5" s="55" t="s">
        <v>2102</v>
      </c>
      <c r="B5" s="56" t="s">
        <v>2199</v>
      </c>
      <c r="C5" s="57" t="s">
        <v>1238</v>
      </c>
      <c r="D5" s="56" t="s">
        <v>2103</v>
      </c>
      <c r="E5" s="57" t="s">
        <v>2106</v>
      </c>
      <c r="F5" s="56">
        <v>2</v>
      </c>
      <c r="G5" s="57" t="s">
        <v>1759</v>
      </c>
      <c r="H5" s="58">
        <v>46082</v>
      </c>
      <c r="I5" s="57" t="s">
        <v>1760</v>
      </c>
      <c r="J5" s="56">
        <v>1</v>
      </c>
      <c r="K5" s="60">
        <v>46082</v>
      </c>
      <c r="L5" s="59">
        <v>1000000</v>
      </c>
      <c r="M5" s="57" t="s">
        <v>2217</v>
      </c>
      <c r="N5" s="57" t="s">
        <v>2256</v>
      </c>
      <c r="O5" s="57" t="s">
        <v>2280</v>
      </c>
      <c r="P5" s="57" t="s">
        <v>2284</v>
      </c>
      <c r="Q5" s="57" t="s">
        <v>1759</v>
      </c>
    </row>
    <row r="6" spans="1:17" x14ac:dyDescent="0.25">
      <c r="A6" s="55" t="s">
        <v>2102</v>
      </c>
      <c r="B6" s="56" t="s">
        <v>2199</v>
      </c>
      <c r="C6" s="57" t="s">
        <v>1238</v>
      </c>
      <c r="D6" s="56" t="s">
        <v>2103</v>
      </c>
      <c r="E6" s="57" t="s">
        <v>2105</v>
      </c>
      <c r="F6" s="56">
        <v>2</v>
      </c>
      <c r="G6" s="57" t="s">
        <v>1759</v>
      </c>
      <c r="H6" s="58">
        <v>46082</v>
      </c>
      <c r="I6" s="57" t="s">
        <v>1760</v>
      </c>
      <c r="J6" s="56">
        <v>1</v>
      </c>
      <c r="K6" s="60">
        <v>46082</v>
      </c>
      <c r="L6" s="59">
        <v>15000000</v>
      </c>
      <c r="M6" s="57" t="s">
        <v>2217</v>
      </c>
      <c r="N6" s="57" t="s">
        <v>2256</v>
      </c>
      <c r="O6" s="57" t="s">
        <v>2280</v>
      </c>
      <c r="P6" s="57" t="s">
        <v>2284</v>
      </c>
      <c r="Q6" s="57" t="s">
        <v>1759</v>
      </c>
    </row>
    <row r="7" spans="1:17" x14ac:dyDescent="0.25">
      <c r="A7" s="55" t="s">
        <v>191</v>
      </c>
      <c r="B7" s="56" t="s">
        <v>2196</v>
      </c>
      <c r="C7" s="57" t="s">
        <v>28</v>
      </c>
      <c r="D7" s="56" t="s">
        <v>201</v>
      </c>
      <c r="E7" s="57" t="s">
        <v>195</v>
      </c>
      <c r="F7" s="56">
        <v>2</v>
      </c>
      <c r="G7" s="57" t="s">
        <v>197</v>
      </c>
      <c r="H7" s="58">
        <v>45870</v>
      </c>
      <c r="I7" s="57" t="s">
        <v>198</v>
      </c>
      <c r="J7" s="56">
        <v>1</v>
      </c>
      <c r="K7" s="57" t="s">
        <v>196</v>
      </c>
      <c r="L7" s="59">
        <v>74068560</v>
      </c>
      <c r="M7" s="57" t="s">
        <v>2217</v>
      </c>
      <c r="N7" s="57" t="s">
        <v>2256</v>
      </c>
      <c r="O7" s="57" t="s">
        <v>2280</v>
      </c>
      <c r="P7" s="57" t="s">
        <v>2284</v>
      </c>
      <c r="Q7" s="57" t="s">
        <v>197</v>
      </c>
    </row>
    <row r="8" spans="1:17" x14ac:dyDescent="0.25">
      <c r="A8" s="55" t="s">
        <v>191</v>
      </c>
      <c r="B8" s="56" t="s">
        <v>2196</v>
      </c>
      <c r="C8" s="57" t="s">
        <v>28</v>
      </c>
      <c r="D8" s="56" t="s">
        <v>193</v>
      </c>
      <c r="E8" s="57" t="s">
        <v>195</v>
      </c>
      <c r="F8" s="56">
        <v>2</v>
      </c>
      <c r="G8" s="57" t="s">
        <v>197</v>
      </c>
      <c r="H8" s="58">
        <v>45992</v>
      </c>
      <c r="I8" s="57" t="s">
        <v>198</v>
      </c>
      <c r="J8" s="56">
        <v>32</v>
      </c>
      <c r="K8" s="57" t="s">
        <v>196</v>
      </c>
      <c r="L8" s="59">
        <v>37034280</v>
      </c>
      <c r="M8" s="57" t="s">
        <v>2217</v>
      </c>
      <c r="N8" s="57" t="s">
        <v>2256</v>
      </c>
      <c r="O8" s="57" t="s">
        <v>2280</v>
      </c>
      <c r="P8" s="57" t="s">
        <v>2284</v>
      </c>
      <c r="Q8" s="57" t="s">
        <v>197</v>
      </c>
    </row>
    <row r="9" spans="1:17" x14ac:dyDescent="0.25">
      <c r="A9" s="55" t="s">
        <v>2121</v>
      </c>
      <c r="B9" s="56" t="s">
        <v>2199</v>
      </c>
      <c r="C9" s="57" t="s">
        <v>28</v>
      </c>
      <c r="D9" s="56" t="s">
        <v>2122</v>
      </c>
      <c r="E9" s="57" t="s">
        <v>2059</v>
      </c>
      <c r="F9" s="56">
        <v>23</v>
      </c>
      <c r="G9" s="57" t="s">
        <v>2124</v>
      </c>
      <c r="H9" s="58">
        <v>46082</v>
      </c>
      <c r="I9" s="57" t="s">
        <v>1217</v>
      </c>
      <c r="J9" s="56">
        <v>1</v>
      </c>
      <c r="K9" s="60">
        <v>46113</v>
      </c>
      <c r="L9" s="59">
        <v>35000</v>
      </c>
      <c r="M9" s="57" t="s">
        <v>2218</v>
      </c>
      <c r="N9" s="57" t="s">
        <v>2234</v>
      </c>
      <c r="O9" s="57" t="s">
        <v>2218</v>
      </c>
      <c r="P9" s="57" t="s">
        <v>2284</v>
      </c>
      <c r="Q9" s="57" t="s">
        <v>2124</v>
      </c>
    </row>
    <row r="10" spans="1:17" x14ac:dyDescent="0.25">
      <c r="A10" s="55" t="s">
        <v>2121</v>
      </c>
      <c r="B10" s="56" t="s">
        <v>2199</v>
      </c>
      <c r="C10" s="57" t="s">
        <v>28</v>
      </c>
      <c r="D10" s="56" t="s">
        <v>2122</v>
      </c>
      <c r="E10" s="57" t="s">
        <v>359</v>
      </c>
      <c r="F10" s="56">
        <v>23</v>
      </c>
      <c r="G10" s="57" t="s">
        <v>2124</v>
      </c>
      <c r="H10" s="58">
        <v>46082</v>
      </c>
      <c r="I10" s="57" t="s">
        <v>1217</v>
      </c>
      <c r="J10" s="56">
        <v>1</v>
      </c>
      <c r="K10" s="60">
        <v>46113</v>
      </c>
      <c r="L10" s="59">
        <v>490000</v>
      </c>
      <c r="M10" s="57" t="s">
        <v>2218</v>
      </c>
      <c r="N10" s="57" t="s">
        <v>2234</v>
      </c>
      <c r="O10" s="57" t="s">
        <v>2218</v>
      </c>
      <c r="P10" s="57" t="s">
        <v>2284</v>
      </c>
      <c r="Q10" s="57" t="s">
        <v>2124</v>
      </c>
    </row>
    <row r="11" spans="1:17" x14ac:dyDescent="0.25">
      <c r="A11" s="55" t="s">
        <v>2121</v>
      </c>
      <c r="B11" s="56" t="s">
        <v>2199</v>
      </c>
      <c r="C11" s="57" t="s">
        <v>28</v>
      </c>
      <c r="D11" s="56" t="s">
        <v>2122</v>
      </c>
      <c r="E11" s="57" t="s">
        <v>1864</v>
      </c>
      <c r="F11" s="56">
        <v>23</v>
      </c>
      <c r="G11" s="57" t="s">
        <v>2124</v>
      </c>
      <c r="H11" s="58">
        <v>46082</v>
      </c>
      <c r="I11" s="57" t="s">
        <v>1217</v>
      </c>
      <c r="J11" s="56">
        <v>1</v>
      </c>
      <c r="K11" s="60">
        <v>46113</v>
      </c>
      <c r="L11" s="59">
        <v>308000</v>
      </c>
      <c r="M11" s="57" t="s">
        <v>2218</v>
      </c>
      <c r="N11" s="57" t="s">
        <v>2234</v>
      </c>
      <c r="O11" s="57" t="s">
        <v>2218</v>
      </c>
      <c r="P11" s="57" t="s">
        <v>2284</v>
      </c>
      <c r="Q11" s="57" t="s">
        <v>2124</v>
      </c>
    </row>
    <row r="12" spans="1:17" x14ac:dyDescent="0.25">
      <c r="A12" s="55" t="s">
        <v>2121</v>
      </c>
      <c r="B12" s="56" t="s">
        <v>2199</v>
      </c>
      <c r="C12" s="57" t="s">
        <v>28</v>
      </c>
      <c r="D12" s="56" t="s">
        <v>2122</v>
      </c>
      <c r="E12" s="57" t="s">
        <v>1938</v>
      </c>
      <c r="F12" s="56">
        <v>23</v>
      </c>
      <c r="G12" s="57" t="s">
        <v>2124</v>
      </c>
      <c r="H12" s="58">
        <v>46082</v>
      </c>
      <c r="I12" s="57" t="s">
        <v>1217</v>
      </c>
      <c r="J12" s="56">
        <v>1</v>
      </c>
      <c r="K12" s="60">
        <v>46113</v>
      </c>
      <c r="L12" s="59">
        <v>145040</v>
      </c>
      <c r="M12" s="57" t="s">
        <v>2218</v>
      </c>
      <c r="N12" s="57" t="s">
        <v>2234</v>
      </c>
      <c r="O12" s="57" t="s">
        <v>2218</v>
      </c>
      <c r="P12" s="57" t="s">
        <v>2284</v>
      </c>
      <c r="Q12" s="57" t="s">
        <v>2124</v>
      </c>
    </row>
    <row r="13" spans="1:17" x14ac:dyDescent="0.25">
      <c r="A13" s="55" t="s">
        <v>2121</v>
      </c>
      <c r="B13" s="56" t="s">
        <v>2199</v>
      </c>
      <c r="C13" s="57" t="s">
        <v>28</v>
      </c>
      <c r="D13" s="56" t="s">
        <v>2122</v>
      </c>
      <c r="E13" s="57" t="s">
        <v>1251</v>
      </c>
      <c r="F13" s="56">
        <v>23</v>
      </c>
      <c r="G13" s="57" t="s">
        <v>2124</v>
      </c>
      <c r="H13" s="58">
        <v>46082</v>
      </c>
      <c r="I13" s="57" t="s">
        <v>1217</v>
      </c>
      <c r="J13" s="56">
        <v>1</v>
      </c>
      <c r="K13" s="60">
        <v>46113</v>
      </c>
      <c r="L13" s="59">
        <v>35000</v>
      </c>
      <c r="M13" s="57" t="s">
        <v>2218</v>
      </c>
      <c r="N13" s="57" t="s">
        <v>2234</v>
      </c>
      <c r="O13" s="57" t="s">
        <v>2218</v>
      </c>
      <c r="P13" s="57" t="s">
        <v>2284</v>
      </c>
      <c r="Q13" s="57" t="s">
        <v>2124</v>
      </c>
    </row>
    <row r="14" spans="1:17" x14ac:dyDescent="0.25">
      <c r="A14" s="55" t="s">
        <v>2121</v>
      </c>
      <c r="B14" s="56" t="s">
        <v>2199</v>
      </c>
      <c r="C14" s="57" t="s">
        <v>28</v>
      </c>
      <c r="D14" s="56" t="s">
        <v>2122</v>
      </c>
      <c r="E14" s="57" t="s">
        <v>2134</v>
      </c>
      <c r="F14" s="56">
        <v>23</v>
      </c>
      <c r="G14" s="57" t="s">
        <v>2124</v>
      </c>
      <c r="H14" s="58">
        <v>46143</v>
      </c>
      <c r="I14" s="57" t="s">
        <v>1217</v>
      </c>
      <c r="J14" s="56">
        <v>1</v>
      </c>
      <c r="K14" s="60">
        <v>46174</v>
      </c>
      <c r="L14" s="59">
        <v>1000000</v>
      </c>
      <c r="M14" s="57" t="s">
        <v>2218</v>
      </c>
      <c r="N14" s="57" t="s">
        <v>2234</v>
      </c>
      <c r="O14" s="57" t="s">
        <v>2218</v>
      </c>
      <c r="P14" s="57" t="s">
        <v>2284</v>
      </c>
      <c r="Q14" s="57" t="s">
        <v>2124</v>
      </c>
    </row>
    <row r="15" spans="1:17" x14ac:dyDescent="0.25">
      <c r="A15" s="55" t="s">
        <v>2121</v>
      </c>
      <c r="B15" s="56" t="s">
        <v>2199</v>
      </c>
      <c r="C15" s="57" t="s">
        <v>28</v>
      </c>
      <c r="D15" s="56" t="s">
        <v>2122</v>
      </c>
      <c r="E15" s="57" t="s">
        <v>2138</v>
      </c>
      <c r="F15" s="56">
        <v>23</v>
      </c>
      <c r="G15" s="57" t="s">
        <v>2124</v>
      </c>
      <c r="H15" s="58">
        <v>46082</v>
      </c>
      <c r="I15" s="57" t="s">
        <v>1217</v>
      </c>
      <c r="J15" s="56">
        <v>1</v>
      </c>
      <c r="K15" s="60">
        <v>46113</v>
      </c>
      <c r="L15" s="59">
        <v>40000</v>
      </c>
      <c r="M15" s="57" t="s">
        <v>2218</v>
      </c>
      <c r="N15" s="57" t="s">
        <v>2234</v>
      </c>
      <c r="O15" s="57" t="s">
        <v>2218</v>
      </c>
      <c r="P15" s="57" t="s">
        <v>2284</v>
      </c>
      <c r="Q15" s="57" t="s">
        <v>2124</v>
      </c>
    </row>
    <row r="16" spans="1:17" x14ac:dyDescent="0.25">
      <c r="A16" s="55" t="s">
        <v>2121</v>
      </c>
      <c r="B16" s="56" t="s">
        <v>2199</v>
      </c>
      <c r="C16" s="57" t="s">
        <v>28</v>
      </c>
      <c r="D16" s="56" t="s">
        <v>2122</v>
      </c>
      <c r="E16" s="57" t="s">
        <v>2135</v>
      </c>
      <c r="F16" s="56">
        <v>23</v>
      </c>
      <c r="G16" s="57" t="s">
        <v>2124</v>
      </c>
      <c r="H16" s="58">
        <v>46082</v>
      </c>
      <c r="I16" s="57" t="s">
        <v>1217</v>
      </c>
      <c r="J16" s="56">
        <v>1</v>
      </c>
      <c r="K16" s="60">
        <v>46113</v>
      </c>
      <c r="L16" s="59">
        <v>2000000</v>
      </c>
      <c r="M16" s="57" t="s">
        <v>2218</v>
      </c>
      <c r="N16" s="57" t="s">
        <v>2234</v>
      </c>
      <c r="O16" s="57" t="s">
        <v>2218</v>
      </c>
      <c r="P16" s="57" t="s">
        <v>2284</v>
      </c>
      <c r="Q16" s="57" t="s">
        <v>2124</v>
      </c>
    </row>
    <row r="17" spans="1:17" x14ac:dyDescent="0.25">
      <c r="A17" s="55" t="s">
        <v>2121</v>
      </c>
      <c r="B17" s="56" t="s">
        <v>2199</v>
      </c>
      <c r="C17" s="57" t="s">
        <v>28</v>
      </c>
      <c r="D17" s="56" t="s">
        <v>2122</v>
      </c>
      <c r="E17" s="57" t="s">
        <v>2132</v>
      </c>
      <c r="F17" s="56">
        <v>23</v>
      </c>
      <c r="G17" s="57" t="s">
        <v>2124</v>
      </c>
      <c r="H17" s="58">
        <v>46143</v>
      </c>
      <c r="I17" s="57" t="s">
        <v>1217</v>
      </c>
      <c r="J17" s="56">
        <v>4</v>
      </c>
      <c r="K17" s="57" t="s">
        <v>2133</v>
      </c>
      <c r="L17" s="59">
        <v>600000</v>
      </c>
      <c r="M17" s="57" t="s">
        <v>2218</v>
      </c>
      <c r="N17" s="57" t="s">
        <v>2234</v>
      </c>
      <c r="O17" s="57" t="s">
        <v>2218</v>
      </c>
      <c r="P17" s="57" t="s">
        <v>2284</v>
      </c>
      <c r="Q17" s="57" t="s">
        <v>2124</v>
      </c>
    </row>
    <row r="18" spans="1:17" x14ac:dyDescent="0.25">
      <c r="A18" s="55" t="s">
        <v>2121</v>
      </c>
      <c r="B18" s="56" t="s">
        <v>2199</v>
      </c>
      <c r="C18" s="57" t="s">
        <v>28</v>
      </c>
      <c r="D18" s="56" t="s">
        <v>2122</v>
      </c>
      <c r="E18" s="57" t="s">
        <v>2139</v>
      </c>
      <c r="F18" s="56">
        <v>23</v>
      </c>
      <c r="G18" s="57" t="s">
        <v>2124</v>
      </c>
      <c r="H18" s="58">
        <v>46082</v>
      </c>
      <c r="I18" s="57" t="s">
        <v>1217</v>
      </c>
      <c r="J18" s="56">
        <v>1</v>
      </c>
      <c r="K18" s="60">
        <v>46113</v>
      </c>
      <c r="L18" s="59">
        <v>156000</v>
      </c>
      <c r="M18" s="57" t="s">
        <v>2218</v>
      </c>
      <c r="N18" s="57" t="s">
        <v>2234</v>
      </c>
      <c r="O18" s="57" t="s">
        <v>2218</v>
      </c>
      <c r="P18" s="57" t="s">
        <v>2284</v>
      </c>
      <c r="Q18" s="57" t="s">
        <v>2124</v>
      </c>
    </row>
    <row r="19" spans="1:17" x14ac:dyDescent="0.25">
      <c r="A19" s="55" t="s">
        <v>2121</v>
      </c>
      <c r="B19" s="56" t="s">
        <v>2199</v>
      </c>
      <c r="C19" s="57" t="s">
        <v>28</v>
      </c>
      <c r="D19" s="56" t="s">
        <v>2122</v>
      </c>
      <c r="E19" s="57" t="s">
        <v>2127</v>
      </c>
      <c r="F19" s="56">
        <v>23</v>
      </c>
      <c r="G19" s="57" t="s">
        <v>2124</v>
      </c>
      <c r="H19" s="58">
        <v>46082</v>
      </c>
      <c r="I19" s="57" t="s">
        <v>1217</v>
      </c>
      <c r="J19" s="56">
        <v>1</v>
      </c>
      <c r="K19" s="60">
        <v>46113</v>
      </c>
      <c r="L19" s="59">
        <v>1010080</v>
      </c>
      <c r="M19" s="57" t="s">
        <v>2218</v>
      </c>
      <c r="N19" s="57" t="s">
        <v>2234</v>
      </c>
      <c r="O19" s="57" t="s">
        <v>2218</v>
      </c>
      <c r="P19" s="57" t="s">
        <v>2284</v>
      </c>
      <c r="Q19" s="57" t="s">
        <v>2124</v>
      </c>
    </row>
    <row r="20" spans="1:17" x14ac:dyDescent="0.25">
      <c r="A20" s="55" t="s">
        <v>2121</v>
      </c>
      <c r="B20" s="56" t="s">
        <v>2199</v>
      </c>
      <c r="C20" s="57" t="s">
        <v>28</v>
      </c>
      <c r="D20" s="56" t="s">
        <v>2122</v>
      </c>
      <c r="E20" s="57" t="s">
        <v>2128</v>
      </c>
      <c r="F20" s="56">
        <v>23</v>
      </c>
      <c r="G20" s="57" t="s">
        <v>2124</v>
      </c>
      <c r="H20" s="58">
        <v>46082</v>
      </c>
      <c r="I20" s="57" t="s">
        <v>1217</v>
      </c>
      <c r="J20" s="56">
        <v>1</v>
      </c>
      <c r="K20" s="60">
        <v>46113</v>
      </c>
      <c r="L20" s="59">
        <v>40000</v>
      </c>
      <c r="M20" s="57" t="s">
        <v>2218</v>
      </c>
      <c r="N20" s="57" t="s">
        <v>2234</v>
      </c>
      <c r="O20" s="57" t="s">
        <v>2218</v>
      </c>
      <c r="P20" s="57" t="s">
        <v>2284</v>
      </c>
      <c r="Q20" s="57" t="s">
        <v>2124</v>
      </c>
    </row>
    <row r="21" spans="1:17" x14ac:dyDescent="0.25">
      <c r="A21" s="55" t="s">
        <v>2121</v>
      </c>
      <c r="B21" s="56" t="s">
        <v>2199</v>
      </c>
      <c r="C21" s="57" t="s">
        <v>28</v>
      </c>
      <c r="D21" s="56" t="s">
        <v>2122</v>
      </c>
      <c r="E21" s="57" t="s">
        <v>512</v>
      </c>
      <c r="F21" s="56">
        <v>23</v>
      </c>
      <c r="G21" s="57" t="s">
        <v>2124</v>
      </c>
      <c r="H21" s="58">
        <v>46113</v>
      </c>
      <c r="I21" s="57" t="s">
        <v>1217</v>
      </c>
      <c r="J21" s="56">
        <v>3</v>
      </c>
      <c r="K21" s="57" t="s">
        <v>2129</v>
      </c>
      <c r="L21" s="59">
        <v>5000000</v>
      </c>
      <c r="M21" s="57" t="s">
        <v>2218</v>
      </c>
      <c r="N21" s="57" t="s">
        <v>2234</v>
      </c>
      <c r="O21" s="57" t="s">
        <v>2218</v>
      </c>
      <c r="P21" s="57" t="s">
        <v>2284</v>
      </c>
      <c r="Q21" s="57" t="s">
        <v>2124</v>
      </c>
    </row>
    <row r="22" spans="1:17" x14ac:dyDescent="0.25">
      <c r="A22" s="55" t="s">
        <v>2121</v>
      </c>
      <c r="B22" s="56" t="s">
        <v>2199</v>
      </c>
      <c r="C22" s="57" t="s">
        <v>28</v>
      </c>
      <c r="D22" s="56" t="s">
        <v>2122</v>
      </c>
      <c r="E22" s="57" t="s">
        <v>2095</v>
      </c>
      <c r="F22" s="56">
        <v>23</v>
      </c>
      <c r="G22" s="57" t="s">
        <v>2124</v>
      </c>
      <c r="H22" s="58">
        <v>46082</v>
      </c>
      <c r="I22" s="57" t="s">
        <v>1217</v>
      </c>
      <c r="J22" s="56">
        <v>1</v>
      </c>
      <c r="K22" s="60">
        <v>46113</v>
      </c>
      <c r="L22" s="59">
        <v>715050</v>
      </c>
      <c r="M22" s="57" t="s">
        <v>2218</v>
      </c>
      <c r="N22" s="57" t="s">
        <v>2234</v>
      </c>
      <c r="O22" s="57" t="s">
        <v>2218</v>
      </c>
      <c r="P22" s="57" t="s">
        <v>2284</v>
      </c>
      <c r="Q22" s="57" t="s">
        <v>2124</v>
      </c>
    </row>
    <row r="23" spans="1:17" x14ac:dyDescent="0.25">
      <c r="A23" s="55" t="s">
        <v>2121</v>
      </c>
      <c r="B23" s="56" t="s">
        <v>2199</v>
      </c>
      <c r="C23" s="57" t="s">
        <v>28</v>
      </c>
      <c r="D23" s="56" t="s">
        <v>2122</v>
      </c>
      <c r="E23" s="57" t="s">
        <v>1617</v>
      </c>
      <c r="F23" s="56">
        <v>23</v>
      </c>
      <c r="G23" s="57" t="s">
        <v>2124</v>
      </c>
      <c r="H23" s="58">
        <v>46143</v>
      </c>
      <c r="I23" s="57" t="s">
        <v>1217</v>
      </c>
      <c r="J23" s="56">
        <v>1</v>
      </c>
      <c r="K23" s="60">
        <v>46174</v>
      </c>
      <c r="L23" s="59">
        <v>1000000</v>
      </c>
      <c r="M23" s="57" t="s">
        <v>2218</v>
      </c>
      <c r="N23" s="57" t="s">
        <v>2234</v>
      </c>
      <c r="O23" s="57" t="s">
        <v>2218</v>
      </c>
      <c r="P23" s="57" t="s">
        <v>2284</v>
      </c>
      <c r="Q23" s="57" t="s">
        <v>2124</v>
      </c>
    </row>
    <row r="24" spans="1:17" x14ac:dyDescent="0.25">
      <c r="A24" s="55" t="s">
        <v>2121</v>
      </c>
      <c r="B24" s="56" t="s">
        <v>2199</v>
      </c>
      <c r="C24" s="57" t="s">
        <v>28</v>
      </c>
      <c r="D24" s="56" t="s">
        <v>2122</v>
      </c>
      <c r="E24" s="57" t="s">
        <v>912</v>
      </c>
      <c r="F24" s="56">
        <v>23</v>
      </c>
      <c r="G24" s="57" t="s">
        <v>2124</v>
      </c>
      <c r="H24" s="58">
        <v>46082</v>
      </c>
      <c r="I24" s="57" t="s">
        <v>1217</v>
      </c>
      <c r="J24" s="56">
        <v>1</v>
      </c>
      <c r="K24" s="60">
        <v>46113</v>
      </c>
      <c r="L24" s="59">
        <v>385000</v>
      </c>
      <c r="M24" s="57" t="s">
        <v>2218</v>
      </c>
      <c r="N24" s="57" t="s">
        <v>2234</v>
      </c>
      <c r="O24" s="57" t="s">
        <v>2218</v>
      </c>
      <c r="P24" s="57" t="s">
        <v>2284</v>
      </c>
      <c r="Q24" s="57" t="s">
        <v>2124</v>
      </c>
    </row>
    <row r="25" spans="1:17" x14ac:dyDescent="0.25">
      <c r="A25" s="55" t="s">
        <v>2121</v>
      </c>
      <c r="B25" s="56" t="s">
        <v>2199</v>
      </c>
      <c r="C25" s="57" t="s">
        <v>28</v>
      </c>
      <c r="D25" s="56" t="s">
        <v>2122</v>
      </c>
      <c r="E25" s="57" t="s">
        <v>288</v>
      </c>
      <c r="F25" s="56">
        <v>23</v>
      </c>
      <c r="G25" s="57" t="s">
        <v>2124</v>
      </c>
      <c r="H25" s="58">
        <v>46113</v>
      </c>
      <c r="I25" s="57" t="s">
        <v>1217</v>
      </c>
      <c r="J25" s="56">
        <v>1</v>
      </c>
      <c r="K25" s="60">
        <v>46143</v>
      </c>
      <c r="L25" s="59">
        <v>6000000</v>
      </c>
      <c r="M25" s="57" t="s">
        <v>2218</v>
      </c>
      <c r="N25" s="57" t="s">
        <v>2234</v>
      </c>
      <c r="O25" s="57" t="s">
        <v>2218</v>
      </c>
      <c r="P25" s="57" t="s">
        <v>2284</v>
      </c>
      <c r="Q25" s="57" t="s">
        <v>2124</v>
      </c>
    </row>
    <row r="26" spans="1:17" x14ac:dyDescent="0.25">
      <c r="A26" s="55" t="s">
        <v>2121</v>
      </c>
      <c r="B26" s="56" t="s">
        <v>2199</v>
      </c>
      <c r="C26" s="57" t="s">
        <v>28</v>
      </c>
      <c r="D26" s="56" t="s">
        <v>2122</v>
      </c>
      <c r="E26" s="57" t="s">
        <v>2130</v>
      </c>
      <c r="F26" s="56">
        <v>23</v>
      </c>
      <c r="G26" s="57" t="s">
        <v>2124</v>
      </c>
      <c r="H26" s="58">
        <v>46143</v>
      </c>
      <c r="I26" s="57" t="s">
        <v>1217</v>
      </c>
      <c r="J26" s="56">
        <v>1</v>
      </c>
      <c r="K26" s="60">
        <v>46174</v>
      </c>
      <c r="L26" s="59">
        <v>2500000</v>
      </c>
      <c r="M26" s="57" t="s">
        <v>2218</v>
      </c>
      <c r="N26" s="57" t="s">
        <v>2234</v>
      </c>
      <c r="O26" s="57" t="s">
        <v>2218</v>
      </c>
      <c r="P26" s="57" t="s">
        <v>2284</v>
      </c>
      <c r="Q26" s="57" t="s">
        <v>2124</v>
      </c>
    </row>
    <row r="27" spans="1:17" x14ac:dyDescent="0.25">
      <c r="A27" s="55" t="s">
        <v>2121</v>
      </c>
      <c r="B27" s="56" t="s">
        <v>2199</v>
      </c>
      <c r="C27" s="57" t="s">
        <v>28</v>
      </c>
      <c r="D27" s="56" t="s">
        <v>2122</v>
      </c>
      <c r="E27" s="57" t="s">
        <v>1939</v>
      </c>
      <c r="F27" s="56">
        <v>23</v>
      </c>
      <c r="G27" s="57" t="s">
        <v>2124</v>
      </c>
      <c r="H27" s="58">
        <v>46082</v>
      </c>
      <c r="I27" s="57" t="s">
        <v>1217</v>
      </c>
      <c r="J27" s="56">
        <v>1</v>
      </c>
      <c r="K27" s="60">
        <v>46113</v>
      </c>
      <c r="L27" s="59">
        <v>70000</v>
      </c>
      <c r="M27" s="57" t="s">
        <v>2218</v>
      </c>
      <c r="N27" s="57" t="s">
        <v>2234</v>
      </c>
      <c r="O27" s="57" t="s">
        <v>2218</v>
      </c>
      <c r="P27" s="57" t="s">
        <v>2284</v>
      </c>
      <c r="Q27" s="57" t="s">
        <v>2124</v>
      </c>
    </row>
    <row r="28" spans="1:17" x14ac:dyDescent="0.25">
      <c r="A28" s="55" t="s">
        <v>2121</v>
      </c>
      <c r="B28" s="56" t="s">
        <v>2199</v>
      </c>
      <c r="C28" s="57" t="s">
        <v>28</v>
      </c>
      <c r="D28" s="56" t="s">
        <v>2122</v>
      </c>
      <c r="E28" s="57" t="s">
        <v>1936</v>
      </c>
      <c r="F28" s="56">
        <v>23</v>
      </c>
      <c r="G28" s="57" t="s">
        <v>2124</v>
      </c>
      <c r="H28" s="58">
        <v>46143</v>
      </c>
      <c r="I28" s="57" t="s">
        <v>1217</v>
      </c>
      <c r="J28" s="56">
        <v>1</v>
      </c>
      <c r="K28" s="60">
        <v>46174</v>
      </c>
      <c r="L28" s="59">
        <v>500000</v>
      </c>
      <c r="M28" s="57" t="s">
        <v>2218</v>
      </c>
      <c r="N28" s="57" t="s">
        <v>2234</v>
      </c>
      <c r="O28" s="57" t="s">
        <v>2218</v>
      </c>
      <c r="P28" s="57" t="s">
        <v>2284</v>
      </c>
      <c r="Q28" s="57" t="s">
        <v>2124</v>
      </c>
    </row>
    <row r="29" spans="1:17" x14ac:dyDescent="0.25">
      <c r="A29" s="55" t="s">
        <v>2121</v>
      </c>
      <c r="B29" s="56" t="s">
        <v>2199</v>
      </c>
      <c r="C29" s="57" t="s">
        <v>28</v>
      </c>
      <c r="D29" s="56" t="s">
        <v>2122</v>
      </c>
      <c r="E29" s="57" t="s">
        <v>2136</v>
      </c>
      <c r="F29" s="56">
        <v>23</v>
      </c>
      <c r="G29" s="57" t="s">
        <v>2124</v>
      </c>
      <c r="H29" s="58">
        <v>46143</v>
      </c>
      <c r="I29" s="57" t="s">
        <v>1217</v>
      </c>
      <c r="J29" s="56">
        <v>1</v>
      </c>
      <c r="K29" s="60">
        <v>46174</v>
      </c>
      <c r="L29" s="59">
        <v>4000000</v>
      </c>
      <c r="M29" s="57" t="s">
        <v>2218</v>
      </c>
      <c r="N29" s="57" t="s">
        <v>2234</v>
      </c>
      <c r="O29" s="57" t="s">
        <v>2218</v>
      </c>
      <c r="P29" s="57" t="s">
        <v>2284</v>
      </c>
      <c r="Q29" s="57" t="s">
        <v>2124</v>
      </c>
    </row>
    <row r="30" spans="1:17" x14ac:dyDescent="0.25">
      <c r="A30" s="55" t="s">
        <v>2121</v>
      </c>
      <c r="B30" s="56" t="s">
        <v>2199</v>
      </c>
      <c r="C30" s="57" t="s">
        <v>28</v>
      </c>
      <c r="D30" s="56" t="s">
        <v>2122</v>
      </c>
      <c r="E30" s="57" t="s">
        <v>1930</v>
      </c>
      <c r="F30" s="56">
        <v>23</v>
      </c>
      <c r="G30" s="57" t="s">
        <v>2124</v>
      </c>
      <c r="H30" s="58">
        <v>46113</v>
      </c>
      <c r="I30" s="57" t="s">
        <v>1217</v>
      </c>
      <c r="J30" s="56">
        <v>1</v>
      </c>
      <c r="K30" s="60">
        <v>46143</v>
      </c>
      <c r="L30" s="59">
        <v>1000000</v>
      </c>
      <c r="M30" s="57" t="s">
        <v>2218</v>
      </c>
      <c r="N30" s="57" t="s">
        <v>2234</v>
      </c>
      <c r="O30" s="57" t="s">
        <v>2218</v>
      </c>
      <c r="P30" s="57" t="s">
        <v>2284</v>
      </c>
      <c r="Q30" s="57" t="s">
        <v>2124</v>
      </c>
    </row>
    <row r="31" spans="1:17" x14ac:dyDescent="0.25">
      <c r="A31" s="55" t="s">
        <v>2121</v>
      </c>
      <c r="B31" s="56" t="s">
        <v>2199</v>
      </c>
      <c r="C31" s="57" t="s">
        <v>28</v>
      </c>
      <c r="D31" s="56" t="s">
        <v>2122</v>
      </c>
      <c r="E31" s="57" t="s">
        <v>2137</v>
      </c>
      <c r="F31" s="56">
        <v>23</v>
      </c>
      <c r="G31" s="57" t="s">
        <v>2124</v>
      </c>
      <c r="H31" s="58">
        <v>46113</v>
      </c>
      <c r="I31" s="57" t="s">
        <v>1217</v>
      </c>
      <c r="J31" s="56">
        <v>1</v>
      </c>
      <c r="K31" s="60">
        <v>46143</v>
      </c>
      <c r="L31" s="59">
        <v>2000000</v>
      </c>
      <c r="M31" s="57" t="s">
        <v>2218</v>
      </c>
      <c r="N31" s="57" t="s">
        <v>2234</v>
      </c>
      <c r="O31" s="57" t="s">
        <v>2218</v>
      </c>
      <c r="P31" s="57" t="s">
        <v>2284</v>
      </c>
      <c r="Q31" s="57" t="s">
        <v>2124</v>
      </c>
    </row>
    <row r="32" spans="1:17" x14ac:dyDescent="0.25">
      <c r="A32" s="55" t="s">
        <v>1927</v>
      </c>
      <c r="B32" s="56" t="s">
        <v>2199</v>
      </c>
      <c r="C32" s="57" t="s">
        <v>28</v>
      </c>
      <c r="D32" s="56" t="s">
        <v>1928</v>
      </c>
      <c r="E32" s="57" t="s">
        <v>359</v>
      </c>
      <c r="F32" s="56">
        <v>9</v>
      </c>
      <c r="G32" s="57" t="s">
        <v>1931</v>
      </c>
      <c r="H32" s="58">
        <v>46174</v>
      </c>
      <c r="I32" s="57" t="s">
        <v>1932</v>
      </c>
      <c r="J32" s="56">
        <v>1</v>
      </c>
      <c r="K32" s="60">
        <v>46204</v>
      </c>
      <c r="L32" s="59">
        <v>738320</v>
      </c>
      <c r="M32" s="57" t="s">
        <v>2219</v>
      </c>
      <c r="N32" s="57" t="s">
        <v>2227</v>
      </c>
      <c r="O32" s="57" t="s">
        <v>2257</v>
      </c>
      <c r="P32" s="57" t="s">
        <v>2284</v>
      </c>
      <c r="Q32" s="57" t="s">
        <v>1931</v>
      </c>
    </row>
    <row r="33" spans="1:17" x14ac:dyDescent="0.25">
      <c r="A33" s="55" t="s">
        <v>1927</v>
      </c>
      <c r="B33" s="56" t="s">
        <v>2199</v>
      </c>
      <c r="C33" s="57" t="s">
        <v>28</v>
      </c>
      <c r="D33" s="56" t="s">
        <v>1928</v>
      </c>
      <c r="E33" s="57" t="s">
        <v>1941</v>
      </c>
      <c r="F33" s="56">
        <v>9</v>
      </c>
      <c r="G33" s="57" t="s">
        <v>1931</v>
      </c>
      <c r="H33" s="58">
        <v>46235</v>
      </c>
      <c r="I33" s="57" t="s">
        <v>1932</v>
      </c>
      <c r="J33" s="56">
        <v>1</v>
      </c>
      <c r="K33" s="60">
        <v>46266</v>
      </c>
      <c r="L33" s="59">
        <v>1500000</v>
      </c>
      <c r="M33" s="57" t="s">
        <v>2219</v>
      </c>
      <c r="N33" s="57" t="s">
        <v>2227</v>
      </c>
      <c r="O33" s="57" t="s">
        <v>2257</v>
      </c>
      <c r="P33" s="57" t="s">
        <v>2284</v>
      </c>
      <c r="Q33" s="57" t="s">
        <v>1931</v>
      </c>
    </row>
    <row r="34" spans="1:17" x14ac:dyDescent="0.25">
      <c r="A34" s="55" t="s">
        <v>1927</v>
      </c>
      <c r="B34" s="56" t="s">
        <v>2199</v>
      </c>
      <c r="C34" s="57" t="s">
        <v>28</v>
      </c>
      <c r="D34" s="56" t="s">
        <v>1928</v>
      </c>
      <c r="E34" s="57" t="s">
        <v>1938</v>
      </c>
      <c r="F34" s="56">
        <v>9</v>
      </c>
      <c r="G34" s="57" t="s">
        <v>1931</v>
      </c>
      <c r="H34" s="58">
        <v>46174</v>
      </c>
      <c r="I34" s="57" t="s">
        <v>1932</v>
      </c>
      <c r="J34" s="56">
        <v>1</v>
      </c>
      <c r="K34" s="60">
        <v>46204</v>
      </c>
      <c r="L34" s="59">
        <v>3100800</v>
      </c>
      <c r="M34" s="57" t="s">
        <v>2219</v>
      </c>
      <c r="N34" s="57" t="s">
        <v>2227</v>
      </c>
      <c r="O34" s="57" t="s">
        <v>2257</v>
      </c>
      <c r="P34" s="57" t="s">
        <v>2284</v>
      </c>
      <c r="Q34" s="57" t="s">
        <v>1931</v>
      </c>
    </row>
    <row r="35" spans="1:17" x14ac:dyDescent="0.25">
      <c r="A35" s="55" t="s">
        <v>1927</v>
      </c>
      <c r="B35" s="56" t="s">
        <v>2199</v>
      </c>
      <c r="C35" s="57" t="s">
        <v>28</v>
      </c>
      <c r="D35" s="56" t="s">
        <v>1928</v>
      </c>
      <c r="E35" s="57" t="s">
        <v>1940</v>
      </c>
      <c r="F35" s="56">
        <v>9</v>
      </c>
      <c r="G35" s="57" t="s">
        <v>1931</v>
      </c>
      <c r="H35" s="58">
        <v>46174</v>
      </c>
      <c r="I35" s="57" t="s">
        <v>1932</v>
      </c>
      <c r="J35" s="56">
        <v>1</v>
      </c>
      <c r="K35" s="60">
        <v>46204</v>
      </c>
      <c r="L35" s="59">
        <v>50000</v>
      </c>
      <c r="M35" s="57" t="s">
        <v>2219</v>
      </c>
      <c r="N35" s="57" t="s">
        <v>2227</v>
      </c>
      <c r="O35" s="57" t="s">
        <v>2257</v>
      </c>
      <c r="P35" s="57" t="s">
        <v>2284</v>
      </c>
      <c r="Q35" s="57" t="s">
        <v>1931</v>
      </c>
    </row>
    <row r="36" spans="1:17" x14ac:dyDescent="0.25">
      <c r="A36" s="55" t="s">
        <v>1927</v>
      </c>
      <c r="B36" s="56" t="s">
        <v>2199</v>
      </c>
      <c r="C36" s="57" t="s">
        <v>28</v>
      </c>
      <c r="D36" s="56" t="s">
        <v>1928</v>
      </c>
      <c r="E36" s="57" t="s">
        <v>1907</v>
      </c>
      <c r="F36" s="56">
        <v>9</v>
      </c>
      <c r="G36" s="57" t="s">
        <v>1931</v>
      </c>
      <c r="H36" s="58">
        <v>46174</v>
      </c>
      <c r="I36" s="57" t="s">
        <v>1932</v>
      </c>
      <c r="J36" s="56">
        <v>1</v>
      </c>
      <c r="K36" s="60">
        <v>46204</v>
      </c>
      <c r="L36" s="59">
        <v>169040</v>
      </c>
      <c r="M36" s="57" t="s">
        <v>2219</v>
      </c>
      <c r="N36" s="57" t="s">
        <v>2227</v>
      </c>
      <c r="O36" s="57" t="s">
        <v>2257</v>
      </c>
      <c r="P36" s="57" t="s">
        <v>2284</v>
      </c>
      <c r="Q36" s="57" t="s">
        <v>1931</v>
      </c>
    </row>
    <row r="37" spans="1:17" x14ac:dyDescent="0.25">
      <c r="A37" s="55" t="s">
        <v>1927</v>
      </c>
      <c r="B37" s="56" t="s">
        <v>2199</v>
      </c>
      <c r="C37" s="57" t="s">
        <v>28</v>
      </c>
      <c r="D37" s="56" t="s">
        <v>1928</v>
      </c>
      <c r="E37" s="57" t="s">
        <v>1939</v>
      </c>
      <c r="F37" s="56">
        <v>9</v>
      </c>
      <c r="G37" s="57" t="s">
        <v>1931</v>
      </c>
      <c r="H37" s="58">
        <v>46174</v>
      </c>
      <c r="I37" s="57" t="s">
        <v>1932</v>
      </c>
      <c r="J37" s="56">
        <v>1</v>
      </c>
      <c r="K37" s="60">
        <v>46204</v>
      </c>
      <c r="L37" s="59">
        <v>50000</v>
      </c>
      <c r="M37" s="57" t="s">
        <v>2219</v>
      </c>
      <c r="N37" s="57" t="s">
        <v>2227</v>
      </c>
      <c r="O37" s="57" t="s">
        <v>2257</v>
      </c>
      <c r="P37" s="57" t="s">
        <v>2284</v>
      </c>
      <c r="Q37" s="57" t="s">
        <v>1931</v>
      </c>
    </row>
    <row r="38" spans="1:17" x14ac:dyDescent="0.25">
      <c r="A38" s="55" t="s">
        <v>1927</v>
      </c>
      <c r="B38" s="56" t="s">
        <v>2199</v>
      </c>
      <c r="C38" s="57" t="s">
        <v>28</v>
      </c>
      <c r="D38" s="56" t="s">
        <v>1928</v>
      </c>
      <c r="E38" s="57" t="s">
        <v>1936</v>
      </c>
      <c r="F38" s="56">
        <v>9</v>
      </c>
      <c r="G38" s="57" t="s">
        <v>1931</v>
      </c>
      <c r="H38" s="58">
        <v>46235</v>
      </c>
      <c r="I38" s="57" t="s">
        <v>1932</v>
      </c>
      <c r="J38" s="56">
        <v>1</v>
      </c>
      <c r="K38" s="60">
        <v>46266</v>
      </c>
      <c r="L38" s="59">
        <v>5400000</v>
      </c>
      <c r="M38" s="57" t="s">
        <v>2219</v>
      </c>
      <c r="N38" s="57" t="s">
        <v>2227</v>
      </c>
      <c r="O38" s="57" t="s">
        <v>2257</v>
      </c>
      <c r="P38" s="57" t="s">
        <v>2284</v>
      </c>
      <c r="Q38" s="57" t="s">
        <v>1931</v>
      </c>
    </row>
    <row r="39" spans="1:17" x14ac:dyDescent="0.25">
      <c r="A39" s="55" t="s">
        <v>1927</v>
      </c>
      <c r="B39" s="56" t="s">
        <v>2199</v>
      </c>
      <c r="C39" s="57" t="s">
        <v>28</v>
      </c>
      <c r="D39" s="56" t="s">
        <v>1928</v>
      </c>
      <c r="E39" s="57" t="s">
        <v>1930</v>
      </c>
      <c r="F39" s="56">
        <v>9</v>
      </c>
      <c r="G39" s="57" t="s">
        <v>1931</v>
      </c>
      <c r="H39" s="58">
        <v>46174</v>
      </c>
      <c r="I39" s="57" t="s">
        <v>1932</v>
      </c>
      <c r="J39" s="56">
        <v>1</v>
      </c>
      <c r="K39" s="60">
        <v>46204</v>
      </c>
      <c r="L39" s="59">
        <v>195000000</v>
      </c>
      <c r="M39" s="57" t="s">
        <v>2219</v>
      </c>
      <c r="N39" s="57" t="s">
        <v>2227</v>
      </c>
      <c r="O39" s="57" t="s">
        <v>2257</v>
      </c>
      <c r="P39" s="57" t="s">
        <v>2284</v>
      </c>
      <c r="Q39" s="57" t="s">
        <v>1931</v>
      </c>
    </row>
    <row r="40" spans="1:17" x14ac:dyDescent="0.25">
      <c r="A40" s="55" t="s">
        <v>1927</v>
      </c>
      <c r="B40" s="56" t="s">
        <v>2199</v>
      </c>
      <c r="C40" s="57" t="s">
        <v>28</v>
      </c>
      <c r="D40" s="56" t="s">
        <v>1928</v>
      </c>
      <c r="E40" s="57" t="s">
        <v>1935</v>
      </c>
      <c r="F40" s="56">
        <v>9</v>
      </c>
      <c r="G40" s="57" t="s">
        <v>1931</v>
      </c>
      <c r="H40" s="58">
        <v>46174</v>
      </c>
      <c r="I40" s="57" t="s">
        <v>1932</v>
      </c>
      <c r="J40" s="56">
        <v>1</v>
      </c>
      <c r="K40" s="60">
        <v>46204</v>
      </c>
      <c r="L40" s="59">
        <v>1800000</v>
      </c>
      <c r="M40" s="57" t="s">
        <v>2219</v>
      </c>
      <c r="N40" s="57" t="s">
        <v>2227</v>
      </c>
      <c r="O40" s="57" t="s">
        <v>2257</v>
      </c>
      <c r="P40" s="57" t="s">
        <v>2284</v>
      </c>
      <c r="Q40" s="57" t="s">
        <v>1931</v>
      </c>
    </row>
    <row r="41" spans="1:17" x14ac:dyDescent="0.25">
      <c r="A41" s="55" t="s">
        <v>222</v>
      </c>
      <c r="B41" s="56" t="s">
        <v>2196</v>
      </c>
      <c r="C41" s="57" t="s">
        <v>28</v>
      </c>
      <c r="D41" s="56" t="s">
        <v>224</v>
      </c>
      <c r="E41" s="57" t="s">
        <v>226</v>
      </c>
      <c r="F41" s="56">
        <v>2</v>
      </c>
      <c r="G41" s="57" t="s">
        <v>227</v>
      </c>
      <c r="H41" s="58">
        <v>45658</v>
      </c>
      <c r="I41" s="57" t="s">
        <v>228</v>
      </c>
      <c r="J41" s="56">
        <v>24</v>
      </c>
      <c r="K41" s="57" t="s">
        <v>73</v>
      </c>
      <c r="L41" s="59">
        <v>48115128</v>
      </c>
      <c r="M41" s="57" t="s">
        <v>2220</v>
      </c>
      <c r="N41" s="57" t="s">
        <v>2234</v>
      </c>
      <c r="O41" s="57" t="s">
        <v>2258</v>
      </c>
      <c r="P41" s="57" t="s">
        <v>2284</v>
      </c>
      <c r="Q41" s="57" t="s">
        <v>227</v>
      </c>
    </row>
    <row r="42" spans="1:17" x14ac:dyDescent="0.25">
      <c r="A42" s="55" t="s">
        <v>238</v>
      </c>
      <c r="B42" s="56" t="s">
        <v>2196</v>
      </c>
      <c r="C42" s="57" t="s">
        <v>28</v>
      </c>
      <c r="D42" s="56" t="s">
        <v>239</v>
      </c>
      <c r="E42" s="57" t="s">
        <v>226</v>
      </c>
      <c r="F42" s="56">
        <v>2</v>
      </c>
      <c r="G42" s="57" t="s">
        <v>227</v>
      </c>
      <c r="H42" s="58">
        <v>45658</v>
      </c>
      <c r="I42" s="57" t="s">
        <v>228</v>
      </c>
      <c r="J42" s="56">
        <v>24</v>
      </c>
      <c r="K42" s="57" t="s">
        <v>73</v>
      </c>
      <c r="L42" s="59">
        <v>237155100</v>
      </c>
      <c r="M42" s="57" t="s">
        <v>2220</v>
      </c>
      <c r="N42" s="57" t="s">
        <v>2234</v>
      </c>
      <c r="O42" s="57" t="s">
        <v>2258</v>
      </c>
      <c r="P42" s="57" t="s">
        <v>2284</v>
      </c>
      <c r="Q42" s="57" t="s">
        <v>227</v>
      </c>
    </row>
    <row r="43" spans="1:17" x14ac:dyDescent="0.25">
      <c r="A43" s="55" t="s">
        <v>244</v>
      </c>
      <c r="B43" s="56" t="s">
        <v>2196</v>
      </c>
      <c r="C43" s="57" t="s">
        <v>28</v>
      </c>
      <c r="D43" s="56" t="s">
        <v>245</v>
      </c>
      <c r="E43" s="57" t="s">
        <v>226</v>
      </c>
      <c r="F43" s="56">
        <v>2</v>
      </c>
      <c r="G43" s="57" t="s">
        <v>227</v>
      </c>
      <c r="H43" s="58">
        <v>45658</v>
      </c>
      <c r="I43" s="57" t="s">
        <v>228</v>
      </c>
      <c r="J43" s="56">
        <v>24</v>
      </c>
      <c r="K43" s="57" t="s">
        <v>73</v>
      </c>
      <c r="L43" s="59">
        <v>284700000</v>
      </c>
      <c r="M43" s="57" t="s">
        <v>2220</v>
      </c>
      <c r="N43" s="57" t="s">
        <v>2234</v>
      </c>
      <c r="O43" s="57" t="s">
        <v>2258</v>
      </c>
      <c r="P43" s="57" t="s">
        <v>2284</v>
      </c>
      <c r="Q43" s="57" t="s">
        <v>227</v>
      </c>
    </row>
    <row r="44" spans="1:17" x14ac:dyDescent="0.25">
      <c r="A44" s="55" t="s">
        <v>686</v>
      </c>
      <c r="B44" s="56" t="s">
        <v>2199</v>
      </c>
      <c r="C44" s="57" t="s">
        <v>28</v>
      </c>
      <c r="D44" s="56" t="s">
        <v>687</v>
      </c>
      <c r="E44" s="57" t="s">
        <v>692</v>
      </c>
      <c r="F44" s="56">
        <v>3</v>
      </c>
      <c r="G44" s="57" t="s">
        <v>227</v>
      </c>
      <c r="H44" s="58">
        <v>46082</v>
      </c>
      <c r="I44" s="57" t="s">
        <v>480</v>
      </c>
      <c r="J44" s="56">
        <v>12</v>
      </c>
      <c r="K44" s="57" t="s">
        <v>690</v>
      </c>
      <c r="L44" s="59">
        <v>36406019</v>
      </c>
      <c r="M44" s="57" t="s">
        <v>2220</v>
      </c>
      <c r="N44" s="57" t="s">
        <v>2234</v>
      </c>
      <c r="O44" s="57" t="s">
        <v>2258</v>
      </c>
      <c r="P44" s="57" t="s">
        <v>2284</v>
      </c>
      <c r="Q44" s="57" t="s">
        <v>227</v>
      </c>
    </row>
    <row r="45" spans="1:17" x14ac:dyDescent="0.25">
      <c r="A45" s="55" t="s">
        <v>686</v>
      </c>
      <c r="B45" s="56" t="s">
        <v>2199</v>
      </c>
      <c r="C45" s="57" t="s">
        <v>28</v>
      </c>
      <c r="D45" s="56" t="s">
        <v>687</v>
      </c>
      <c r="E45" s="57" t="s">
        <v>689</v>
      </c>
      <c r="F45" s="56">
        <v>3</v>
      </c>
      <c r="G45" s="57" t="s">
        <v>227</v>
      </c>
      <c r="H45" s="58">
        <v>46082</v>
      </c>
      <c r="I45" s="57" t="s">
        <v>480</v>
      </c>
      <c r="J45" s="56">
        <v>12</v>
      </c>
      <c r="K45" s="57" t="s">
        <v>690</v>
      </c>
      <c r="L45" s="59">
        <v>64787500</v>
      </c>
      <c r="M45" s="57" t="s">
        <v>2220</v>
      </c>
      <c r="N45" s="57" t="s">
        <v>2234</v>
      </c>
      <c r="O45" s="57" t="s">
        <v>2258</v>
      </c>
      <c r="P45" s="57" t="s">
        <v>2284</v>
      </c>
      <c r="Q45" s="57" t="s">
        <v>227</v>
      </c>
    </row>
    <row r="46" spans="1:17" x14ac:dyDescent="0.25">
      <c r="A46" s="55" t="s">
        <v>713</v>
      </c>
      <c r="B46" s="56" t="s">
        <v>2199</v>
      </c>
      <c r="C46" s="57" t="s">
        <v>28</v>
      </c>
      <c r="D46" s="56" t="s">
        <v>714</v>
      </c>
      <c r="E46" s="57" t="s">
        <v>716</v>
      </c>
      <c r="F46" s="56">
        <v>1</v>
      </c>
      <c r="G46" s="57" t="s">
        <v>227</v>
      </c>
      <c r="H46" s="58">
        <v>46082</v>
      </c>
      <c r="I46" s="57" t="s">
        <v>480</v>
      </c>
      <c r="J46" s="56">
        <v>24</v>
      </c>
      <c r="K46" s="57" t="s">
        <v>717</v>
      </c>
      <c r="L46" s="59">
        <v>49483210</v>
      </c>
      <c r="M46" s="57" t="s">
        <v>2220</v>
      </c>
      <c r="N46" s="57" t="s">
        <v>2234</v>
      </c>
      <c r="O46" s="57" t="s">
        <v>2258</v>
      </c>
      <c r="P46" s="57" t="s">
        <v>2284</v>
      </c>
      <c r="Q46" s="57" t="s">
        <v>227</v>
      </c>
    </row>
    <row r="47" spans="1:17" x14ac:dyDescent="0.25">
      <c r="A47" s="55" t="s">
        <v>721</v>
      </c>
      <c r="B47" s="56" t="s">
        <v>2199</v>
      </c>
      <c r="C47" s="57" t="s">
        <v>28</v>
      </c>
      <c r="D47" s="56" t="s">
        <v>722</v>
      </c>
      <c r="E47" s="57" t="s">
        <v>716</v>
      </c>
      <c r="F47" s="56">
        <v>1</v>
      </c>
      <c r="G47" s="57" t="s">
        <v>227</v>
      </c>
      <c r="H47" s="58">
        <v>46082</v>
      </c>
      <c r="I47" s="57" t="s">
        <v>480</v>
      </c>
      <c r="J47" s="56">
        <v>12</v>
      </c>
      <c r="K47" s="57" t="s">
        <v>690</v>
      </c>
      <c r="L47" s="59">
        <v>247689000</v>
      </c>
      <c r="M47" s="57" t="s">
        <v>2220</v>
      </c>
      <c r="N47" s="57" t="s">
        <v>2234</v>
      </c>
      <c r="O47" s="57" t="s">
        <v>2258</v>
      </c>
      <c r="P47" s="57" t="s">
        <v>2284</v>
      </c>
      <c r="Q47" s="57" t="s">
        <v>227</v>
      </c>
    </row>
    <row r="48" spans="1:17" x14ac:dyDescent="0.25">
      <c r="A48" s="55" t="s">
        <v>476</v>
      </c>
      <c r="B48" s="56" t="s">
        <v>2196</v>
      </c>
      <c r="C48" s="57" t="s">
        <v>28</v>
      </c>
      <c r="D48" s="56" t="s">
        <v>477</v>
      </c>
      <c r="E48" s="57" t="s">
        <v>481</v>
      </c>
      <c r="F48" s="56">
        <v>2</v>
      </c>
      <c r="G48" s="57" t="s">
        <v>227</v>
      </c>
      <c r="H48" s="58">
        <v>45870</v>
      </c>
      <c r="I48" s="57" t="s">
        <v>480</v>
      </c>
      <c r="J48" s="56">
        <v>12</v>
      </c>
      <c r="K48" s="57" t="s">
        <v>413</v>
      </c>
      <c r="L48" s="59">
        <v>23924290</v>
      </c>
      <c r="M48" s="57" t="s">
        <v>2220</v>
      </c>
      <c r="N48" s="57" t="s">
        <v>2234</v>
      </c>
      <c r="O48" s="57" t="s">
        <v>2258</v>
      </c>
      <c r="P48" s="57" t="s">
        <v>2284</v>
      </c>
      <c r="Q48" s="57" t="s">
        <v>227</v>
      </c>
    </row>
    <row r="49" spans="1:17" x14ac:dyDescent="0.25">
      <c r="A49" s="55" t="s">
        <v>476</v>
      </c>
      <c r="B49" s="56" t="s">
        <v>2196</v>
      </c>
      <c r="C49" s="57" t="s">
        <v>28</v>
      </c>
      <c r="D49" s="56" t="s">
        <v>477</v>
      </c>
      <c r="E49" s="57" t="s">
        <v>479</v>
      </c>
      <c r="F49" s="56">
        <v>2</v>
      </c>
      <c r="G49" s="57" t="s">
        <v>227</v>
      </c>
      <c r="H49" s="58">
        <v>46023</v>
      </c>
      <c r="I49" s="57" t="s">
        <v>480</v>
      </c>
      <c r="J49" s="56">
        <v>12</v>
      </c>
      <c r="K49" s="57" t="s">
        <v>413</v>
      </c>
      <c r="L49" s="59">
        <v>90702500</v>
      </c>
      <c r="M49" s="57" t="s">
        <v>2220</v>
      </c>
      <c r="N49" s="57" t="s">
        <v>2234</v>
      </c>
      <c r="O49" s="57" t="s">
        <v>2258</v>
      </c>
      <c r="P49" s="57" t="s">
        <v>2284</v>
      </c>
      <c r="Q49" s="57" t="s">
        <v>227</v>
      </c>
    </row>
    <row r="50" spans="1:17" x14ac:dyDescent="0.25">
      <c r="A50" s="55" t="s">
        <v>68</v>
      </c>
      <c r="B50" s="56" t="s">
        <v>2196</v>
      </c>
      <c r="C50" s="57" t="s">
        <v>28</v>
      </c>
      <c r="D50" s="56" t="s">
        <v>70</v>
      </c>
      <c r="E50" s="57" t="s">
        <v>72</v>
      </c>
      <c r="F50" s="56">
        <v>1</v>
      </c>
      <c r="G50" s="57" t="s">
        <v>74</v>
      </c>
      <c r="H50" s="58">
        <v>45474</v>
      </c>
      <c r="I50" s="57" t="s">
        <v>75</v>
      </c>
      <c r="J50" s="56">
        <v>24</v>
      </c>
      <c r="K50" s="57" t="s">
        <v>73</v>
      </c>
      <c r="L50" s="59">
        <v>40432878</v>
      </c>
      <c r="M50" s="57" t="s">
        <v>2220</v>
      </c>
      <c r="N50" s="57" t="s">
        <v>2234</v>
      </c>
      <c r="O50" s="57" t="s">
        <v>2258</v>
      </c>
      <c r="P50" s="57" t="s">
        <v>2284</v>
      </c>
      <c r="Q50" s="57" t="s">
        <v>74</v>
      </c>
    </row>
    <row r="51" spans="1:17" x14ac:dyDescent="0.25">
      <c r="A51" s="55" t="s">
        <v>82</v>
      </c>
      <c r="B51" s="56" t="s">
        <v>2196</v>
      </c>
      <c r="C51" s="57" t="s">
        <v>28</v>
      </c>
      <c r="D51" s="56" t="s">
        <v>83</v>
      </c>
      <c r="E51" s="57" t="s">
        <v>72</v>
      </c>
      <c r="F51" s="56">
        <v>1</v>
      </c>
      <c r="G51" s="57" t="s">
        <v>74</v>
      </c>
      <c r="H51" s="58">
        <v>45444</v>
      </c>
      <c r="I51" s="57" t="s">
        <v>85</v>
      </c>
      <c r="J51" s="56">
        <v>24</v>
      </c>
      <c r="K51" s="57" t="s">
        <v>73</v>
      </c>
      <c r="L51" s="59">
        <v>78361124</v>
      </c>
      <c r="M51" s="57" t="s">
        <v>2220</v>
      </c>
      <c r="N51" s="57" t="s">
        <v>2234</v>
      </c>
      <c r="O51" s="57" t="s">
        <v>2258</v>
      </c>
      <c r="P51" s="57" t="s">
        <v>2284</v>
      </c>
      <c r="Q51" s="57" t="s">
        <v>74</v>
      </c>
    </row>
    <row r="52" spans="1:17" x14ac:dyDescent="0.25">
      <c r="A52" s="55" t="s">
        <v>91</v>
      </c>
      <c r="B52" s="56" t="s">
        <v>2196</v>
      </c>
      <c r="C52" s="57" t="s">
        <v>28</v>
      </c>
      <c r="D52" s="56" t="s">
        <v>92</v>
      </c>
      <c r="E52" s="57" t="s">
        <v>72</v>
      </c>
      <c r="F52" s="56">
        <v>1</v>
      </c>
      <c r="G52" s="57" t="s">
        <v>74</v>
      </c>
      <c r="H52" s="58">
        <v>45444</v>
      </c>
      <c r="I52" s="57" t="s">
        <v>85</v>
      </c>
      <c r="J52" s="56">
        <v>24</v>
      </c>
      <c r="K52" s="57" t="s">
        <v>73</v>
      </c>
      <c r="L52" s="59">
        <v>78361124</v>
      </c>
      <c r="M52" s="57" t="s">
        <v>2220</v>
      </c>
      <c r="N52" s="57" t="s">
        <v>2234</v>
      </c>
      <c r="O52" s="57" t="s">
        <v>2258</v>
      </c>
      <c r="P52" s="57" t="s">
        <v>2284</v>
      </c>
      <c r="Q52" s="57" t="s">
        <v>74</v>
      </c>
    </row>
    <row r="53" spans="1:17" x14ac:dyDescent="0.25">
      <c r="A53" s="55" t="s">
        <v>461</v>
      </c>
      <c r="B53" s="56" t="s">
        <v>2196</v>
      </c>
      <c r="C53" s="57" t="s">
        <v>28</v>
      </c>
      <c r="D53" s="56" t="s">
        <v>462</v>
      </c>
      <c r="E53" s="57" t="s">
        <v>464</v>
      </c>
      <c r="F53" s="56">
        <v>1</v>
      </c>
      <c r="G53" s="57" t="s">
        <v>465</v>
      </c>
      <c r="H53" s="58">
        <v>45992</v>
      </c>
      <c r="I53" s="57" t="s">
        <v>466</v>
      </c>
      <c r="J53" s="56">
        <v>12</v>
      </c>
      <c r="K53" s="57" t="s">
        <v>413</v>
      </c>
      <c r="L53" s="59">
        <v>246357600</v>
      </c>
      <c r="M53" s="57" t="s">
        <v>2220</v>
      </c>
      <c r="N53" s="57" t="s">
        <v>2234</v>
      </c>
      <c r="O53" s="57" t="s">
        <v>2258</v>
      </c>
      <c r="P53" s="57" t="s">
        <v>2284</v>
      </c>
      <c r="Q53" s="57" t="s">
        <v>74</v>
      </c>
    </row>
    <row r="54" spans="1:17" x14ac:dyDescent="0.25">
      <c r="A54" s="55" t="s">
        <v>1981</v>
      </c>
      <c r="B54" s="56" t="s">
        <v>2199</v>
      </c>
      <c r="C54" s="57" t="s">
        <v>28</v>
      </c>
      <c r="D54" s="56" t="s">
        <v>1982</v>
      </c>
      <c r="E54" s="57" t="s">
        <v>1984</v>
      </c>
      <c r="F54" s="56">
        <v>2</v>
      </c>
      <c r="G54" s="57" t="s">
        <v>1985</v>
      </c>
      <c r="H54" s="58">
        <v>46023</v>
      </c>
      <c r="I54" s="57" t="s">
        <v>1986</v>
      </c>
      <c r="J54" s="56">
        <v>1</v>
      </c>
      <c r="K54" s="60">
        <v>46023</v>
      </c>
      <c r="L54" s="59">
        <v>350200</v>
      </c>
      <c r="M54" s="57" t="s">
        <v>2221</v>
      </c>
      <c r="N54" s="57" t="s">
        <v>2234</v>
      </c>
      <c r="O54" s="57" t="s">
        <v>2259</v>
      </c>
      <c r="P54" s="57" t="s">
        <v>2284</v>
      </c>
      <c r="Q54" s="57" t="s">
        <v>1985</v>
      </c>
    </row>
    <row r="55" spans="1:17" x14ac:dyDescent="0.25">
      <c r="A55" s="55" t="s">
        <v>1981</v>
      </c>
      <c r="B55" s="56" t="s">
        <v>2199</v>
      </c>
      <c r="C55" s="57" t="s">
        <v>28</v>
      </c>
      <c r="D55" s="56" t="s">
        <v>1982</v>
      </c>
      <c r="E55" s="57" t="s">
        <v>1989</v>
      </c>
      <c r="F55" s="56">
        <v>2</v>
      </c>
      <c r="G55" s="57" t="s">
        <v>1985</v>
      </c>
      <c r="H55" s="58">
        <v>46023</v>
      </c>
      <c r="I55" s="57" t="s">
        <v>1986</v>
      </c>
      <c r="J55" s="56">
        <v>1</v>
      </c>
      <c r="K55" s="60">
        <v>46023</v>
      </c>
      <c r="L55" s="59">
        <v>550800</v>
      </c>
      <c r="M55" s="57" t="s">
        <v>2221</v>
      </c>
      <c r="N55" s="57" t="s">
        <v>2234</v>
      </c>
      <c r="O55" s="57" t="s">
        <v>2259</v>
      </c>
      <c r="P55" s="57" t="s">
        <v>2284</v>
      </c>
      <c r="Q55" s="57" t="s">
        <v>1985</v>
      </c>
    </row>
    <row r="56" spans="1:17" x14ac:dyDescent="0.25">
      <c r="A56" s="55" t="s">
        <v>1997</v>
      </c>
      <c r="B56" s="56" t="s">
        <v>2199</v>
      </c>
      <c r="C56" s="57" t="s">
        <v>28</v>
      </c>
      <c r="D56" s="56" t="s">
        <v>1998</v>
      </c>
      <c r="E56" s="57" t="s">
        <v>602</v>
      </c>
      <c r="F56" s="56">
        <v>1</v>
      </c>
      <c r="G56" s="57" t="s">
        <v>1985</v>
      </c>
      <c r="H56" s="58">
        <v>46113</v>
      </c>
      <c r="I56" s="57" t="s">
        <v>1986</v>
      </c>
      <c r="J56" s="56">
        <v>1</v>
      </c>
      <c r="K56" s="60">
        <v>46113</v>
      </c>
      <c r="L56" s="59">
        <v>1200000</v>
      </c>
      <c r="M56" s="57" t="s">
        <v>2221</v>
      </c>
      <c r="N56" s="57" t="s">
        <v>2234</v>
      </c>
      <c r="O56" s="57" t="s">
        <v>2259</v>
      </c>
      <c r="P56" s="57" t="s">
        <v>2284</v>
      </c>
      <c r="Q56" s="57" t="s">
        <v>1985</v>
      </c>
    </row>
    <row r="57" spans="1:17" x14ac:dyDescent="0.25">
      <c r="A57" s="55" t="s">
        <v>2000</v>
      </c>
      <c r="B57" s="56" t="s">
        <v>2199</v>
      </c>
      <c r="C57" s="57" t="s">
        <v>28</v>
      </c>
      <c r="D57" s="56" t="s">
        <v>2001</v>
      </c>
      <c r="E57" s="57" t="s">
        <v>2003</v>
      </c>
      <c r="F57" s="56">
        <v>2</v>
      </c>
      <c r="G57" s="57" t="s">
        <v>1985</v>
      </c>
      <c r="H57" s="58">
        <v>46023</v>
      </c>
      <c r="I57" s="57" t="s">
        <v>1986</v>
      </c>
      <c r="J57" s="56">
        <v>12</v>
      </c>
      <c r="K57" s="57" t="s">
        <v>413</v>
      </c>
      <c r="L57" s="59">
        <v>10000000</v>
      </c>
      <c r="M57" s="57" t="s">
        <v>2221</v>
      </c>
      <c r="N57" s="57" t="s">
        <v>2234</v>
      </c>
      <c r="O57" s="57" t="s">
        <v>2259</v>
      </c>
      <c r="P57" s="57" t="s">
        <v>2284</v>
      </c>
      <c r="Q57" s="57" t="s">
        <v>1985</v>
      </c>
    </row>
    <row r="58" spans="1:17" x14ac:dyDescent="0.25">
      <c r="A58" s="55" t="s">
        <v>2000</v>
      </c>
      <c r="B58" s="56" t="s">
        <v>2199</v>
      </c>
      <c r="C58" s="57" t="s">
        <v>28</v>
      </c>
      <c r="D58" s="56" t="s">
        <v>2001</v>
      </c>
      <c r="E58" s="57" t="s">
        <v>2004</v>
      </c>
      <c r="F58" s="56">
        <v>2</v>
      </c>
      <c r="G58" s="57" t="s">
        <v>1985</v>
      </c>
      <c r="H58" s="58">
        <v>46023</v>
      </c>
      <c r="I58" s="57" t="s">
        <v>1986</v>
      </c>
      <c r="J58" s="56">
        <v>12</v>
      </c>
      <c r="K58" s="57" t="s">
        <v>413</v>
      </c>
      <c r="L58" s="59">
        <v>10000000</v>
      </c>
      <c r="M58" s="57" t="s">
        <v>2221</v>
      </c>
      <c r="N58" s="57" t="s">
        <v>2234</v>
      </c>
      <c r="O58" s="57" t="s">
        <v>2259</v>
      </c>
      <c r="P58" s="57" t="s">
        <v>2284</v>
      </c>
      <c r="Q58" s="57" t="s">
        <v>1985</v>
      </c>
    </row>
    <row r="59" spans="1:17" x14ac:dyDescent="0.25">
      <c r="A59" s="55" t="s">
        <v>2011</v>
      </c>
      <c r="B59" s="56" t="s">
        <v>2199</v>
      </c>
      <c r="C59" s="57" t="s">
        <v>28</v>
      </c>
      <c r="D59" s="56" t="s">
        <v>2012</v>
      </c>
      <c r="E59" s="57" t="s">
        <v>2014</v>
      </c>
      <c r="F59" s="56">
        <v>2</v>
      </c>
      <c r="G59" s="57" t="s">
        <v>1985</v>
      </c>
      <c r="H59" s="58">
        <v>46023</v>
      </c>
      <c r="I59" s="57" t="s">
        <v>1986</v>
      </c>
      <c r="J59" s="56">
        <v>12</v>
      </c>
      <c r="K59" s="57" t="s">
        <v>413</v>
      </c>
      <c r="L59" s="59">
        <v>10000000</v>
      </c>
      <c r="M59" s="57" t="s">
        <v>2221</v>
      </c>
      <c r="N59" s="57" t="s">
        <v>2234</v>
      </c>
      <c r="O59" s="57" t="s">
        <v>2259</v>
      </c>
      <c r="P59" s="57" t="s">
        <v>2284</v>
      </c>
      <c r="Q59" s="57" t="s">
        <v>1985</v>
      </c>
    </row>
    <row r="60" spans="1:17" x14ac:dyDescent="0.25">
      <c r="A60" s="55" t="s">
        <v>2011</v>
      </c>
      <c r="B60" s="56" t="s">
        <v>2199</v>
      </c>
      <c r="C60" s="57" t="s">
        <v>28</v>
      </c>
      <c r="D60" s="56" t="s">
        <v>2012</v>
      </c>
      <c r="E60" s="57" t="s">
        <v>2015</v>
      </c>
      <c r="F60" s="56">
        <v>2</v>
      </c>
      <c r="G60" s="57" t="s">
        <v>1985</v>
      </c>
      <c r="H60" s="58">
        <v>46023</v>
      </c>
      <c r="I60" s="57" t="s">
        <v>1986</v>
      </c>
      <c r="J60" s="56">
        <v>12</v>
      </c>
      <c r="K60" s="57" t="s">
        <v>413</v>
      </c>
      <c r="L60" s="59">
        <v>40008000</v>
      </c>
      <c r="M60" s="57" t="s">
        <v>2221</v>
      </c>
      <c r="N60" s="57" t="s">
        <v>2234</v>
      </c>
      <c r="O60" s="57" t="s">
        <v>2259</v>
      </c>
      <c r="P60" s="57" t="s">
        <v>2284</v>
      </c>
      <c r="Q60" s="57" t="s">
        <v>1985</v>
      </c>
    </row>
    <row r="61" spans="1:17" x14ac:dyDescent="0.25">
      <c r="A61" s="55" t="s">
        <v>2020</v>
      </c>
      <c r="B61" s="56" t="s">
        <v>2199</v>
      </c>
      <c r="C61" s="57" t="s">
        <v>28</v>
      </c>
      <c r="D61" s="56" t="s">
        <v>2021</v>
      </c>
      <c r="E61" s="57" t="s">
        <v>2023</v>
      </c>
      <c r="F61" s="56">
        <v>1</v>
      </c>
      <c r="G61" s="57" t="s">
        <v>1985</v>
      </c>
      <c r="H61" s="58">
        <v>46023</v>
      </c>
      <c r="I61" s="57" t="s">
        <v>1986</v>
      </c>
      <c r="J61" s="56">
        <v>1</v>
      </c>
      <c r="K61" s="60">
        <v>46023</v>
      </c>
      <c r="L61" s="59">
        <v>700005</v>
      </c>
      <c r="M61" s="57" t="s">
        <v>2221</v>
      </c>
      <c r="N61" s="57" t="s">
        <v>2234</v>
      </c>
      <c r="O61" s="57" t="s">
        <v>2259</v>
      </c>
      <c r="P61" s="57" t="s">
        <v>2284</v>
      </c>
      <c r="Q61" s="57" t="s">
        <v>1985</v>
      </c>
    </row>
    <row r="62" spans="1:17" x14ac:dyDescent="0.25">
      <c r="A62" s="55" t="s">
        <v>2024</v>
      </c>
      <c r="B62" s="56" t="s">
        <v>2199</v>
      </c>
      <c r="C62" s="57" t="s">
        <v>28</v>
      </c>
      <c r="D62" s="56" t="s">
        <v>2025</v>
      </c>
      <c r="E62" s="57" t="s">
        <v>2027</v>
      </c>
      <c r="F62" s="56">
        <v>1</v>
      </c>
      <c r="G62" s="57" t="s">
        <v>1985</v>
      </c>
      <c r="H62" s="58">
        <v>46023</v>
      </c>
      <c r="I62" s="57" t="s">
        <v>1986</v>
      </c>
      <c r="J62" s="56">
        <v>12</v>
      </c>
      <c r="K62" s="57" t="s">
        <v>413</v>
      </c>
      <c r="L62" s="59">
        <v>10000000</v>
      </c>
      <c r="M62" s="57" t="s">
        <v>2221</v>
      </c>
      <c r="N62" s="57" t="s">
        <v>2234</v>
      </c>
      <c r="O62" s="57" t="s">
        <v>2259</v>
      </c>
      <c r="P62" s="57" t="s">
        <v>2284</v>
      </c>
      <c r="Q62" s="57" t="s">
        <v>1985</v>
      </c>
    </row>
    <row r="63" spans="1:17" x14ac:dyDescent="0.25">
      <c r="A63" s="55" t="s">
        <v>29</v>
      </c>
      <c r="B63" s="56" t="s">
        <v>2196</v>
      </c>
      <c r="C63" s="57" t="s">
        <v>28</v>
      </c>
      <c r="D63" s="56" t="s">
        <v>33</v>
      </c>
      <c r="E63" s="57" t="s">
        <v>35</v>
      </c>
      <c r="F63" s="56">
        <v>2</v>
      </c>
      <c r="G63" s="57" t="s">
        <v>37</v>
      </c>
      <c r="H63" s="58">
        <v>45292</v>
      </c>
      <c r="I63" s="57" t="s">
        <v>38</v>
      </c>
      <c r="J63" s="56">
        <v>36</v>
      </c>
      <c r="K63" s="57" t="s">
        <v>36</v>
      </c>
      <c r="L63" s="59">
        <v>30000000</v>
      </c>
      <c r="M63" s="57" t="s">
        <v>2217</v>
      </c>
      <c r="N63" s="57" t="s">
        <v>2256</v>
      </c>
      <c r="O63" s="57" t="s">
        <v>2280</v>
      </c>
      <c r="P63" s="57" t="s">
        <v>2284</v>
      </c>
      <c r="Q63" s="57" t="s">
        <v>37</v>
      </c>
    </row>
    <row r="64" spans="1:17" x14ac:dyDescent="0.25">
      <c r="A64" s="55" t="s">
        <v>44</v>
      </c>
      <c r="B64" s="56" t="s">
        <v>2196</v>
      </c>
      <c r="C64" s="57" t="s">
        <v>28</v>
      </c>
      <c r="D64" s="56" t="s">
        <v>46</v>
      </c>
      <c r="E64" s="57" t="s">
        <v>48</v>
      </c>
      <c r="F64" s="56">
        <v>2</v>
      </c>
      <c r="G64" s="57" t="s">
        <v>37</v>
      </c>
      <c r="H64" s="58">
        <v>45200</v>
      </c>
      <c r="I64" s="57" t="s">
        <v>49</v>
      </c>
      <c r="J64" s="56">
        <v>36</v>
      </c>
      <c r="K64" s="57" t="s">
        <v>36</v>
      </c>
      <c r="L64" s="59">
        <v>6711996</v>
      </c>
      <c r="M64" s="57" t="s">
        <v>2217</v>
      </c>
      <c r="N64" s="57" t="s">
        <v>2256</v>
      </c>
      <c r="O64" s="57" t="s">
        <v>2280</v>
      </c>
      <c r="P64" s="57" t="s">
        <v>2284</v>
      </c>
      <c r="Q64" s="57" t="s">
        <v>37</v>
      </c>
    </row>
    <row r="65" spans="1:17" x14ac:dyDescent="0.25">
      <c r="A65" s="55" t="s">
        <v>444</v>
      </c>
      <c r="B65" s="56" t="s">
        <v>2196</v>
      </c>
      <c r="C65" s="57" t="s">
        <v>28</v>
      </c>
      <c r="D65" s="56" t="s">
        <v>445</v>
      </c>
      <c r="E65" s="57" t="s">
        <v>447</v>
      </c>
      <c r="F65" s="56">
        <v>1</v>
      </c>
      <c r="G65" s="57" t="s">
        <v>37</v>
      </c>
      <c r="H65" s="58">
        <v>45870</v>
      </c>
      <c r="I65" s="57" t="s">
        <v>449</v>
      </c>
      <c r="J65" s="56">
        <v>32</v>
      </c>
      <c r="K65" s="57" t="s">
        <v>448</v>
      </c>
      <c r="L65" s="59">
        <v>89478000</v>
      </c>
      <c r="M65" s="57" t="s">
        <v>2217</v>
      </c>
      <c r="N65" s="57" t="s">
        <v>2256</v>
      </c>
      <c r="O65" s="57" t="s">
        <v>2280</v>
      </c>
      <c r="P65" s="57" t="s">
        <v>2284</v>
      </c>
      <c r="Q65" s="57" t="s">
        <v>37</v>
      </c>
    </row>
    <row r="66" spans="1:17" x14ac:dyDescent="0.25">
      <c r="A66" s="55" t="s">
        <v>938</v>
      </c>
      <c r="B66" s="56" t="s">
        <v>2199</v>
      </c>
      <c r="C66" s="57" t="s">
        <v>28</v>
      </c>
      <c r="D66" s="56" t="s">
        <v>939</v>
      </c>
      <c r="E66" s="57" t="s">
        <v>946</v>
      </c>
      <c r="F66" s="56">
        <v>3</v>
      </c>
      <c r="G66" s="57" t="s">
        <v>942</v>
      </c>
      <c r="H66" s="58">
        <v>46113</v>
      </c>
      <c r="I66" s="57" t="s">
        <v>943</v>
      </c>
      <c r="J66" s="56">
        <v>1</v>
      </c>
      <c r="K66" s="60">
        <v>46113</v>
      </c>
      <c r="L66" s="59">
        <v>2175000</v>
      </c>
      <c r="M66" s="57" t="s">
        <v>2222</v>
      </c>
      <c r="N66" s="57" t="s">
        <v>2234</v>
      </c>
      <c r="O66" s="57" t="s">
        <v>2260</v>
      </c>
      <c r="P66" s="57" t="s">
        <v>2284</v>
      </c>
      <c r="Q66" s="57" t="s">
        <v>942</v>
      </c>
    </row>
    <row r="67" spans="1:17" x14ac:dyDescent="0.25">
      <c r="A67" s="55" t="s">
        <v>938</v>
      </c>
      <c r="B67" s="56" t="s">
        <v>2199</v>
      </c>
      <c r="C67" s="57" t="s">
        <v>28</v>
      </c>
      <c r="D67" s="56" t="s">
        <v>939</v>
      </c>
      <c r="E67" s="57" t="s">
        <v>945</v>
      </c>
      <c r="F67" s="56">
        <v>3</v>
      </c>
      <c r="G67" s="57" t="s">
        <v>942</v>
      </c>
      <c r="H67" s="58">
        <v>46113</v>
      </c>
      <c r="I67" s="57" t="s">
        <v>943</v>
      </c>
      <c r="J67" s="56">
        <v>1</v>
      </c>
      <c r="K67" s="60">
        <v>46113</v>
      </c>
      <c r="L67" s="59">
        <v>8155836</v>
      </c>
      <c r="M67" s="57" t="s">
        <v>2222</v>
      </c>
      <c r="N67" s="57" t="s">
        <v>2234</v>
      </c>
      <c r="O67" s="57" t="s">
        <v>2260</v>
      </c>
      <c r="P67" s="57" t="s">
        <v>2284</v>
      </c>
      <c r="Q67" s="57" t="s">
        <v>942</v>
      </c>
    </row>
    <row r="68" spans="1:17" x14ac:dyDescent="0.25">
      <c r="A68" s="55" t="s">
        <v>938</v>
      </c>
      <c r="B68" s="56" t="s">
        <v>2199</v>
      </c>
      <c r="C68" s="57" t="s">
        <v>28</v>
      </c>
      <c r="D68" s="56" t="s">
        <v>939</v>
      </c>
      <c r="E68" s="57" t="s">
        <v>941</v>
      </c>
      <c r="F68" s="56">
        <v>3</v>
      </c>
      <c r="G68" s="57" t="s">
        <v>942</v>
      </c>
      <c r="H68" s="58">
        <v>46113</v>
      </c>
      <c r="I68" s="57" t="s">
        <v>943</v>
      </c>
      <c r="J68" s="56">
        <v>1</v>
      </c>
      <c r="K68" s="60">
        <v>46113</v>
      </c>
      <c r="L68" s="59">
        <v>1672500</v>
      </c>
      <c r="M68" s="57" t="s">
        <v>2222</v>
      </c>
      <c r="N68" s="57" t="s">
        <v>2234</v>
      </c>
      <c r="O68" s="57" t="s">
        <v>2260</v>
      </c>
      <c r="P68" s="57" t="s">
        <v>2284</v>
      </c>
      <c r="Q68" s="57" t="s">
        <v>942</v>
      </c>
    </row>
    <row r="69" spans="1:17" x14ac:dyDescent="0.25">
      <c r="A69" s="55" t="s">
        <v>468</v>
      </c>
      <c r="B69" s="56" t="s">
        <v>2196</v>
      </c>
      <c r="C69" s="57" t="s">
        <v>374</v>
      </c>
      <c r="D69" s="56" t="s">
        <v>470</v>
      </c>
      <c r="E69" s="57" t="s">
        <v>472</v>
      </c>
      <c r="F69" s="56">
        <v>1</v>
      </c>
      <c r="G69" s="57" t="s">
        <v>473</v>
      </c>
      <c r="H69" s="58">
        <v>45870</v>
      </c>
      <c r="I69" s="57" t="s">
        <v>474</v>
      </c>
      <c r="J69" s="56">
        <v>12</v>
      </c>
      <c r="K69" s="57" t="s">
        <v>413</v>
      </c>
      <c r="L69" s="59">
        <v>394362600</v>
      </c>
      <c r="M69" s="57" t="s">
        <v>2222</v>
      </c>
      <c r="N69" s="57" t="s">
        <v>2234</v>
      </c>
      <c r="O69" s="57" t="s">
        <v>2260</v>
      </c>
      <c r="P69" s="57" t="s">
        <v>2284</v>
      </c>
      <c r="Q69" s="57" t="s">
        <v>942</v>
      </c>
    </row>
    <row r="70" spans="1:17" x14ac:dyDescent="0.25">
      <c r="A70" s="55" t="s">
        <v>392</v>
      </c>
      <c r="B70" s="56" t="s">
        <v>2196</v>
      </c>
      <c r="C70" s="57" t="s">
        <v>28</v>
      </c>
      <c r="D70" s="56" t="s">
        <v>393</v>
      </c>
      <c r="E70" s="57" t="s">
        <v>326</v>
      </c>
      <c r="F70" s="56">
        <v>1</v>
      </c>
      <c r="G70" s="57" t="s">
        <v>395</v>
      </c>
      <c r="H70" s="58">
        <v>45870</v>
      </c>
      <c r="I70" s="57" t="s">
        <v>396</v>
      </c>
      <c r="J70" s="56">
        <v>12</v>
      </c>
      <c r="K70" s="57" t="s">
        <v>318</v>
      </c>
      <c r="L70" s="59">
        <v>17416663</v>
      </c>
      <c r="M70" s="57" t="s">
        <v>2223</v>
      </c>
      <c r="N70" s="57" t="s">
        <v>2234</v>
      </c>
      <c r="O70" s="57" t="s">
        <v>2258</v>
      </c>
      <c r="P70" s="57" t="s">
        <v>2284</v>
      </c>
      <c r="Q70" s="57" t="s">
        <v>395</v>
      </c>
    </row>
    <row r="71" spans="1:17" x14ac:dyDescent="0.25">
      <c r="A71" s="55" t="s">
        <v>1213</v>
      </c>
      <c r="B71" s="56" t="s">
        <v>2199</v>
      </c>
      <c r="C71" s="57" t="s">
        <v>28</v>
      </c>
      <c r="D71" s="56" t="s">
        <v>1214</v>
      </c>
      <c r="E71" s="57" t="s">
        <v>1216</v>
      </c>
      <c r="F71" s="56">
        <v>1</v>
      </c>
      <c r="G71" s="57" t="s">
        <v>395</v>
      </c>
      <c r="H71" s="58">
        <v>46023</v>
      </c>
      <c r="I71" s="57" t="s">
        <v>1217</v>
      </c>
      <c r="J71" s="56">
        <v>1</v>
      </c>
      <c r="K71" s="60">
        <v>46023</v>
      </c>
      <c r="L71" s="59">
        <v>126581</v>
      </c>
      <c r="M71" s="57" t="s">
        <v>2223</v>
      </c>
      <c r="N71" s="57" t="s">
        <v>2234</v>
      </c>
      <c r="O71" s="57" t="s">
        <v>2258</v>
      </c>
      <c r="P71" s="57" t="s">
        <v>2284</v>
      </c>
      <c r="Q71" s="57" t="s">
        <v>395</v>
      </c>
    </row>
    <row r="72" spans="1:17" x14ac:dyDescent="0.25">
      <c r="A72" s="55" t="s">
        <v>1219</v>
      </c>
      <c r="B72" s="56" t="s">
        <v>2199</v>
      </c>
      <c r="C72" s="57" t="s">
        <v>28</v>
      </c>
      <c r="D72" s="56" t="s">
        <v>1220</v>
      </c>
      <c r="E72" s="57" t="s">
        <v>1223</v>
      </c>
      <c r="F72" s="56">
        <v>2</v>
      </c>
      <c r="G72" s="57" t="s">
        <v>395</v>
      </c>
      <c r="H72" s="58">
        <v>46023</v>
      </c>
      <c r="I72" s="57" t="s">
        <v>1217</v>
      </c>
      <c r="J72" s="56">
        <v>1</v>
      </c>
      <c r="K72" s="60">
        <v>46023</v>
      </c>
      <c r="L72" s="59">
        <v>45000</v>
      </c>
      <c r="M72" s="57" t="s">
        <v>2223</v>
      </c>
      <c r="N72" s="57" t="s">
        <v>2234</v>
      </c>
      <c r="O72" s="57" t="s">
        <v>2258</v>
      </c>
      <c r="P72" s="57" t="s">
        <v>2284</v>
      </c>
      <c r="Q72" s="57" t="s">
        <v>395</v>
      </c>
    </row>
    <row r="73" spans="1:17" x14ac:dyDescent="0.25">
      <c r="A73" s="55" t="s">
        <v>1219</v>
      </c>
      <c r="B73" s="56" t="s">
        <v>2199</v>
      </c>
      <c r="C73" s="57" t="s">
        <v>28</v>
      </c>
      <c r="D73" s="56" t="s">
        <v>1220</v>
      </c>
      <c r="E73" s="57" t="s">
        <v>1222</v>
      </c>
      <c r="F73" s="56">
        <v>2</v>
      </c>
      <c r="G73" s="57" t="s">
        <v>395</v>
      </c>
      <c r="H73" s="58">
        <v>46023</v>
      </c>
      <c r="I73" s="57" t="s">
        <v>1217</v>
      </c>
      <c r="J73" s="56">
        <v>1</v>
      </c>
      <c r="K73" s="60">
        <v>46023</v>
      </c>
      <c r="L73" s="59">
        <v>127000</v>
      </c>
      <c r="M73" s="57" t="s">
        <v>2223</v>
      </c>
      <c r="N73" s="57" t="s">
        <v>2234</v>
      </c>
      <c r="O73" s="57" t="s">
        <v>2258</v>
      </c>
      <c r="P73" s="57" t="s">
        <v>2284</v>
      </c>
      <c r="Q73" s="57" t="s">
        <v>395</v>
      </c>
    </row>
    <row r="74" spans="1:17" x14ac:dyDescent="0.25">
      <c r="A74" s="55" t="s">
        <v>1259</v>
      </c>
      <c r="B74" s="56" t="s">
        <v>2199</v>
      </c>
      <c r="C74" s="57" t="s">
        <v>28</v>
      </c>
      <c r="D74" s="56" t="s">
        <v>1260</v>
      </c>
      <c r="E74" s="57" t="s">
        <v>777</v>
      </c>
      <c r="F74" s="56">
        <v>2</v>
      </c>
      <c r="G74" s="57" t="s">
        <v>395</v>
      </c>
      <c r="H74" s="58">
        <v>46023</v>
      </c>
      <c r="I74" s="57" t="s">
        <v>1217</v>
      </c>
      <c r="J74" s="56">
        <v>1</v>
      </c>
      <c r="K74" s="60">
        <v>46023</v>
      </c>
      <c r="L74" s="59">
        <v>90100</v>
      </c>
      <c r="M74" s="57" t="s">
        <v>2223</v>
      </c>
      <c r="N74" s="57" t="s">
        <v>2234</v>
      </c>
      <c r="O74" s="57" t="s">
        <v>2258</v>
      </c>
      <c r="P74" s="57" t="s">
        <v>2284</v>
      </c>
      <c r="Q74" s="57" t="s">
        <v>395</v>
      </c>
    </row>
    <row r="75" spans="1:17" x14ac:dyDescent="0.25">
      <c r="A75" s="55" t="s">
        <v>1259</v>
      </c>
      <c r="B75" s="56" t="s">
        <v>2199</v>
      </c>
      <c r="C75" s="57" t="s">
        <v>28</v>
      </c>
      <c r="D75" s="56" t="s">
        <v>1260</v>
      </c>
      <c r="E75" s="57" t="s">
        <v>1263</v>
      </c>
      <c r="F75" s="56">
        <v>2</v>
      </c>
      <c r="G75" s="57" t="s">
        <v>395</v>
      </c>
      <c r="H75" s="58">
        <v>46023</v>
      </c>
      <c r="I75" s="57" t="s">
        <v>1217</v>
      </c>
      <c r="J75" s="56">
        <v>1</v>
      </c>
      <c r="K75" s="60">
        <v>46023</v>
      </c>
      <c r="L75" s="59">
        <v>280000</v>
      </c>
      <c r="M75" s="57" t="s">
        <v>2223</v>
      </c>
      <c r="N75" s="57" t="s">
        <v>2234</v>
      </c>
      <c r="O75" s="57" t="s">
        <v>2258</v>
      </c>
      <c r="P75" s="57" t="s">
        <v>2284</v>
      </c>
      <c r="Q75" s="57" t="s">
        <v>395</v>
      </c>
    </row>
    <row r="76" spans="1:17" x14ac:dyDescent="0.25">
      <c r="A76" s="55" t="s">
        <v>2156</v>
      </c>
      <c r="B76" s="56" t="s">
        <v>2199</v>
      </c>
      <c r="C76" s="57" t="s">
        <v>28</v>
      </c>
      <c r="D76" s="56" t="s">
        <v>2157</v>
      </c>
      <c r="E76" s="57" t="s">
        <v>786</v>
      </c>
      <c r="F76" s="56">
        <v>2</v>
      </c>
      <c r="G76" s="57" t="s">
        <v>395</v>
      </c>
      <c r="H76" s="58">
        <v>46023</v>
      </c>
      <c r="I76" s="57" t="s">
        <v>1217</v>
      </c>
      <c r="J76" s="56">
        <v>1</v>
      </c>
      <c r="K76" s="60">
        <v>46023</v>
      </c>
      <c r="L76" s="59">
        <v>791208</v>
      </c>
      <c r="M76" s="57" t="s">
        <v>2223</v>
      </c>
      <c r="N76" s="57" t="s">
        <v>2234</v>
      </c>
      <c r="O76" s="57" t="s">
        <v>2258</v>
      </c>
      <c r="P76" s="57" t="s">
        <v>2284</v>
      </c>
      <c r="Q76" s="57" t="s">
        <v>395</v>
      </c>
    </row>
    <row r="77" spans="1:17" x14ac:dyDescent="0.25">
      <c r="A77" s="55" t="s">
        <v>2156</v>
      </c>
      <c r="B77" s="56" t="s">
        <v>2199</v>
      </c>
      <c r="C77" s="57" t="s">
        <v>28</v>
      </c>
      <c r="D77" s="56" t="s">
        <v>2157</v>
      </c>
      <c r="E77" s="57" t="s">
        <v>1989</v>
      </c>
      <c r="F77" s="56">
        <v>2</v>
      </c>
      <c r="G77" s="57" t="s">
        <v>395</v>
      </c>
      <c r="H77" s="58">
        <v>46023</v>
      </c>
      <c r="I77" s="57" t="s">
        <v>1217</v>
      </c>
      <c r="J77" s="56">
        <v>1</v>
      </c>
      <c r="K77" s="60">
        <v>46023</v>
      </c>
      <c r="L77" s="59">
        <v>30000</v>
      </c>
      <c r="M77" s="57" t="s">
        <v>2223</v>
      </c>
      <c r="N77" s="57" t="s">
        <v>2234</v>
      </c>
      <c r="O77" s="57" t="s">
        <v>2258</v>
      </c>
      <c r="P77" s="57" t="s">
        <v>2284</v>
      </c>
      <c r="Q77" s="57" t="s">
        <v>395</v>
      </c>
    </row>
    <row r="78" spans="1:17" x14ac:dyDescent="0.25">
      <c r="A78" s="55" t="s">
        <v>653</v>
      </c>
      <c r="B78" s="56" t="s">
        <v>2199</v>
      </c>
      <c r="C78" s="57" t="s">
        <v>28</v>
      </c>
      <c r="D78" s="56" t="s">
        <v>655</v>
      </c>
      <c r="E78" s="57" t="s">
        <v>370</v>
      </c>
      <c r="F78" s="56">
        <v>1</v>
      </c>
      <c r="G78" s="57" t="s">
        <v>657</v>
      </c>
      <c r="H78" s="58">
        <v>46327</v>
      </c>
      <c r="I78" s="57" t="s">
        <v>658</v>
      </c>
      <c r="J78" s="56">
        <v>1</v>
      </c>
      <c r="K78" s="60">
        <v>46327</v>
      </c>
      <c r="L78" s="59">
        <v>540000</v>
      </c>
      <c r="M78" s="57" t="s">
        <v>2220</v>
      </c>
      <c r="N78" s="57" t="s">
        <v>2234</v>
      </c>
      <c r="O78" s="57" t="s">
        <v>2258</v>
      </c>
      <c r="P78" s="57" t="s">
        <v>2284</v>
      </c>
      <c r="Q78" s="57" t="s">
        <v>657</v>
      </c>
    </row>
    <row r="79" spans="1:17" x14ac:dyDescent="0.25">
      <c r="A79" s="55" t="s">
        <v>661</v>
      </c>
      <c r="B79" s="56" t="s">
        <v>2199</v>
      </c>
      <c r="C79" s="57" t="s">
        <v>28</v>
      </c>
      <c r="D79" s="56" t="s">
        <v>662</v>
      </c>
      <c r="E79" s="57" t="s">
        <v>359</v>
      </c>
      <c r="F79" s="56">
        <v>6</v>
      </c>
      <c r="G79" s="57" t="s">
        <v>657</v>
      </c>
      <c r="H79" s="58">
        <v>46113</v>
      </c>
      <c r="I79" s="57" t="s">
        <v>658</v>
      </c>
      <c r="J79" s="56">
        <v>1</v>
      </c>
      <c r="K79" s="60">
        <v>46113</v>
      </c>
      <c r="L79" s="59">
        <v>135000</v>
      </c>
      <c r="M79" s="57" t="s">
        <v>2220</v>
      </c>
      <c r="N79" s="57" t="s">
        <v>2234</v>
      </c>
      <c r="O79" s="57" t="s">
        <v>2258</v>
      </c>
      <c r="P79" s="57" t="s">
        <v>2284</v>
      </c>
      <c r="Q79" s="57" t="s">
        <v>657</v>
      </c>
    </row>
    <row r="80" spans="1:17" x14ac:dyDescent="0.25">
      <c r="A80" s="55" t="s">
        <v>661</v>
      </c>
      <c r="B80" s="56" t="s">
        <v>2199</v>
      </c>
      <c r="C80" s="57" t="s">
        <v>28</v>
      </c>
      <c r="D80" s="56" t="s">
        <v>662</v>
      </c>
      <c r="E80" s="57" t="s">
        <v>359</v>
      </c>
      <c r="F80" s="56">
        <v>6</v>
      </c>
      <c r="G80" s="57" t="s">
        <v>657</v>
      </c>
      <c r="H80" s="58">
        <v>46204</v>
      </c>
      <c r="I80" s="57" t="s">
        <v>658</v>
      </c>
      <c r="J80" s="56">
        <v>1</v>
      </c>
      <c r="K80" s="60">
        <v>46204</v>
      </c>
      <c r="L80" s="59">
        <v>135000</v>
      </c>
      <c r="M80" s="57" t="s">
        <v>2220</v>
      </c>
      <c r="N80" s="57" t="s">
        <v>2234</v>
      </c>
      <c r="O80" s="57" t="s">
        <v>2258</v>
      </c>
      <c r="P80" s="57" t="s">
        <v>2284</v>
      </c>
      <c r="Q80" s="57" t="s">
        <v>657</v>
      </c>
    </row>
    <row r="81" spans="1:17" x14ac:dyDescent="0.25">
      <c r="A81" s="55" t="s">
        <v>661</v>
      </c>
      <c r="B81" s="56" t="s">
        <v>2199</v>
      </c>
      <c r="C81" s="57" t="s">
        <v>28</v>
      </c>
      <c r="D81" s="56" t="s">
        <v>662</v>
      </c>
      <c r="E81" s="57" t="s">
        <v>359</v>
      </c>
      <c r="F81" s="56">
        <v>6</v>
      </c>
      <c r="G81" s="57" t="s">
        <v>657</v>
      </c>
      <c r="H81" s="58">
        <v>46266</v>
      </c>
      <c r="I81" s="57" t="s">
        <v>658</v>
      </c>
      <c r="J81" s="56">
        <v>1</v>
      </c>
      <c r="K81" s="60">
        <v>46266</v>
      </c>
      <c r="L81" s="59">
        <v>135000</v>
      </c>
      <c r="M81" s="57" t="s">
        <v>2220</v>
      </c>
      <c r="N81" s="57" t="s">
        <v>2234</v>
      </c>
      <c r="O81" s="57" t="s">
        <v>2258</v>
      </c>
      <c r="P81" s="57" t="s">
        <v>2284</v>
      </c>
      <c r="Q81" s="57" t="s">
        <v>657</v>
      </c>
    </row>
    <row r="82" spans="1:17" x14ac:dyDescent="0.25">
      <c r="A82" s="55" t="s">
        <v>661</v>
      </c>
      <c r="B82" s="56" t="s">
        <v>2199</v>
      </c>
      <c r="C82" s="57" t="s">
        <v>28</v>
      </c>
      <c r="D82" s="56" t="s">
        <v>662</v>
      </c>
      <c r="E82" s="57" t="s">
        <v>359</v>
      </c>
      <c r="F82" s="56">
        <v>6</v>
      </c>
      <c r="G82" s="57" t="s">
        <v>657</v>
      </c>
      <c r="H82" s="58">
        <v>46357</v>
      </c>
      <c r="I82" s="57" t="s">
        <v>658</v>
      </c>
      <c r="J82" s="56">
        <v>1</v>
      </c>
      <c r="K82" s="60">
        <v>46357</v>
      </c>
      <c r="L82" s="59">
        <v>135000</v>
      </c>
      <c r="M82" s="57" t="s">
        <v>2220</v>
      </c>
      <c r="N82" s="57" t="s">
        <v>2234</v>
      </c>
      <c r="O82" s="57" t="s">
        <v>2258</v>
      </c>
      <c r="P82" s="57" t="s">
        <v>2284</v>
      </c>
      <c r="Q82" s="57" t="s">
        <v>657</v>
      </c>
    </row>
    <row r="83" spans="1:17" x14ac:dyDescent="0.25">
      <c r="A83" s="55" t="s">
        <v>661</v>
      </c>
      <c r="B83" s="56" t="s">
        <v>2199</v>
      </c>
      <c r="C83" s="57" t="s">
        <v>28</v>
      </c>
      <c r="D83" s="56" t="s">
        <v>662</v>
      </c>
      <c r="E83" s="57" t="s">
        <v>370</v>
      </c>
      <c r="F83" s="56">
        <v>6</v>
      </c>
      <c r="G83" s="57" t="s">
        <v>657</v>
      </c>
      <c r="H83" s="58">
        <v>46113</v>
      </c>
      <c r="I83" s="57" t="s">
        <v>658</v>
      </c>
      <c r="J83" s="56">
        <v>1</v>
      </c>
      <c r="K83" s="60">
        <v>46113</v>
      </c>
      <c r="L83" s="59">
        <v>135000</v>
      </c>
      <c r="M83" s="57" t="s">
        <v>2220</v>
      </c>
      <c r="N83" s="57" t="s">
        <v>2234</v>
      </c>
      <c r="O83" s="57" t="s">
        <v>2258</v>
      </c>
      <c r="P83" s="57" t="s">
        <v>2284</v>
      </c>
      <c r="Q83" s="57" t="s">
        <v>657</v>
      </c>
    </row>
    <row r="84" spans="1:17" x14ac:dyDescent="0.25">
      <c r="A84" s="55" t="s">
        <v>661</v>
      </c>
      <c r="B84" s="56" t="s">
        <v>2199</v>
      </c>
      <c r="C84" s="57" t="s">
        <v>28</v>
      </c>
      <c r="D84" s="56" t="s">
        <v>662</v>
      </c>
      <c r="E84" s="57" t="s">
        <v>370</v>
      </c>
      <c r="F84" s="56">
        <v>6</v>
      </c>
      <c r="G84" s="57" t="s">
        <v>657</v>
      </c>
      <c r="H84" s="58">
        <v>46204</v>
      </c>
      <c r="I84" s="57" t="s">
        <v>658</v>
      </c>
      <c r="J84" s="56">
        <v>3</v>
      </c>
      <c r="K84" s="57" t="s">
        <v>664</v>
      </c>
      <c r="L84" s="59">
        <v>405000</v>
      </c>
      <c r="M84" s="57" t="s">
        <v>2220</v>
      </c>
      <c r="N84" s="57" t="s">
        <v>2234</v>
      </c>
      <c r="O84" s="57" t="s">
        <v>2258</v>
      </c>
      <c r="P84" s="57" t="s">
        <v>2284</v>
      </c>
      <c r="Q84" s="57" t="s">
        <v>657</v>
      </c>
    </row>
    <row r="85" spans="1:17" x14ac:dyDescent="0.25">
      <c r="A85" s="55" t="s">
        <v>665</v>
      </c>
      <c r="B85" s="56" t="s">
        <v>2199</v>
      </c>
      <c r="C85" s="57" t="s">
        <v>28</v>
      </c>
      <c r="D85" s="56" t="s">
        <v>667</v>
      </c>
      <c r="E85" s="57" t="s">
        <v>669</v>
      </c>
      <c r="F85" s="56">
        <v>1</v>
      </c>
      <c r="G85" s="57" t="s">
        <v>657</v>
      </c>
      <c r="H85" s="58">
        <v>46082</v>
      </c>
      <c r="I85" s="57" t="s">
        <v>658</v>
      </c>
      <c r="J85" s="56">
        <v>1</v>
      </c>
      <c r="K85" s="60">
        <v>46082</v>
      </c>
      <c r="L85" s="59">
        <v>1500000</v>
      </c>
      <c r="M85" s="57" t="s">
        <v>2220</v>
      </c>
      <c r="N85" s="57" t="s">
        <v>2234</v>
      </c>
      <c r="O85" s="57" t="s">
        <v>2258</v>
      </c>
      <c r="P85" s="57" t="s">
        <v>2284</v>
      </c>
      <c r="Q85" s="57" t="s">
        <v>657</v>
      </c>
    </row>
    <row r="86" spans="1:17" x14ac:dyDescent="0.25">
      <c r="A86" s="55" t="s">
        <v>670</v>
      </c>
      <c r="B86" s="56" t="s">
        <v>2199</v>
      </c>
      <c r="C86" s="57" t="s">
        <v>28</v>
      </c>
      <c r="D86" s="56" t="s">
        <v>671</v>
      </c>
      <c r="E86" s="57" t="s">
        <v>673</v>
      </c>
      <c r="F86" s="56">
        <v>1</v>
      </c>
      <c r="G86" s="57" t="s">
        <v>657</v>
      </c>
      <c r="H86" s="58">
        <v>46023</v>
      </c>
      <c r="I86" s="57" t="s">
        <v>658</v>
      </c>
      <c r="J86" s="56">
        <v>1</v>
      </c>
      <c r="K86" s="60">
        <v>46023</v>
      </c>
      <c r="L86" s="59">
        <v>850000</v>
      </c>
      <c r="M86" s="57" t="s">
        <v>2220</v>
      </c>
      <c r="N86" s="57" t="s">
        <v>2234</v>
      </c>
      <c r="O86" s="57" t="s">
        <v>2258</v>
      </c>
      <c r="P86" s="57" t="s">
        <v>2284</v>
      </c>
      <c r="Q86" s="57" t="s">
        <v>657</v>
      </c>
    </row>
    <row r="87" spans="1:17" x14ac:dyDescent="0.25">
      <c r="A87" s="55" t="s">
        <v>674</v>
      </c>
      <c r="B87" s="56" t="s">
        <v>2199</v>
      </c>
      <c r="C87" s="57" t="s">
        <v>28</v>
      </c>
      <c r="D87" s="56" t="s">
        <v>675</v>
      </c>
      <c r="E87" s="57" t="s">
        <v>370</v>
      </c>
      <c r="F87" s="56">
        <v>2</v>
      </c>
      <c r="G87" s="57" t="s">
        <v>657</v>
      </c>
      <c r="H87" s="58">
        <v>46143</v>
      </c>
      <c r="I87" s="57" t="s">
        <v>658</v>
      </c>
      <c r="J87" s="56">
        <v>1</v>
      </c>
      <c r="K87" s="60">
        <v>46143</v>
      </c>
      <c r="L87" s="59">
        <v>450000</v>
      </c>
      <c r="M87" s="57" t="s">
        <v>2220</v>
      </c>
      <c r="N87" s="57" t="s">
        <v>2234</v>
      </c>
      <c r="O87" s="57" t="s">
        <v>2258</v>
      </c>
      <c r="P87" s="57" t="s">
        <v>2284</v>
      </c>
      <c r="Q87" s="57" t="s">
        <v>657</v>
      </c>
    </row>
    <row r="88" spans="1:17" x14ac:dyDescent="0.25">
      <c r="A88" s="55" t="s">
        <v>674</v>
      </c>
      <c r="B88" s="56" t="s">
        <v>2199</v>
      </c>
      <c r="C88" s="57" t="s">
        <v>28</v>
      </c>
      <c r="D88" s="56" t="s">
        <v>675</v>
      </c>
      <c r="E88" s="57" t="s">
        <v>370</v>
      </c>
      <c r="F88" s="56">
        <v>2</v>
      </c>
      <c r="G88" s="57" t="s">
        <v>657</v>
      </c>
      <c r="H88" s="58">
        <v>46327</v>
      </c>
      <c r="I88" s="57" t="s">
        <v>658</v>
      </c>
      <c r="J88" s="56">
        <v>1</v>
      </c>
      <c r="K88" s="60">
        <v>46143</v>
      </c>
      <c r="L88" s="59">
        <v>450000</v>
      </c>
      <c r="M88" s="57" t="s">
        <v>2220</v>
      </c>
      <c r="N88" s="57" t="s">
        <v>2234</v>
      </c>
      <c r="O88" s="57" t="s">
        <v>2258</v>
      </c>
      <c r="P88" s="57" t="s">
        <v>2284</v>
      </c>
      <c r="Q88" s="57" t="s">
        <v>657</v>
      </c>
    </row>
    <row r="89" spans="1:17" x14ac:dyDescent="0.25">
      <c r="A89" s="55" t="s">
        <v>677</v>
      </c>
      <c r="B89" s="56" t="s">
        <v>2199</v>
      </c>
      <c r="C89" s="57" t="s">
        <v>28</v>
      </c>
      <c r="D89" s="56" t="s">
        <v>678</v>
      </c>
      <c r="E89" s="57" t="s">
        <v>370</v>
      </c>
      <c r="F89" s="56">
        <v>1</v>
      </c>
      <c r="G89" s="57" t="s">
        <v>657</v>
      </c>
      <c r="H89" s="58">
        <v>46174</v>
      </c>
      <c r="I89" s="57" t="s">
        <v>658</v>
      </c>
      <c r="J89" s="56">
        <v>1</v>
      </c>
      <c r="K89" s="60">
        <v>46174</v>
      </c>
      <c r="L89" s="59">
        <v>630000</v>
      </c>
      <c r="M89" s="57" t="s">
        <v>2220</v>
      </c>
      <c r="N89" s="57" t="s">
        <v>2234</v>
      </c>
      <c r="O89" s="57" t="s">
        <v>2258</v>
      </c>
      <c r="P89" s="57" t="s">
        <v>2284</v>
      </c>
      <c r="Q89" s="57" t="s">
        <v>657</v>
      </c>
    </row>
    <row r="90" spans="1:17" x14ac:dyDescent="0.25">
      <c r="A90" s="55" t="s">
        <v>680</v>
      </c>
      <c r="B90" s="56" t="s">
        <v>2199</v>
      </c>
      <c r="C90" s="57" t="s">
        <v>28</v>
      </c>
      <c r="D90" s="56" t="s">
        <v>681</v>
      </c>
      <c r="E90" s="57" t="s">
        <v>370</v>
      </c>
      <c r="F90" s="56">
        <v>1</v>
      </c>
      <c r="G90" s="57" t="s">
        <v>657</v>
      </c>
      <c r="H90" s="58">
        <v>46235</v>
      </c>
      <c r="I90" s="57" t="s">
        <v>658</v>
      </c>
      <c r="J90" s="56">
        <v>1</v>
      </c>
      <c r="K90" s="60">
        <v>46235</v>
      </c>
      <c r="L90" s="59">
        <v>135000</v>
      </c>
      <c r="M90" s="57" t="s">
        <v>2220</v>
      </c>
      <c r="N90" s="57" t="s">
        <v>2234</v>
      </c>
      <c r="O90" s="57" t="s">
        <v>2258</v>
      </c>
      <c r="P90" s="57" t="s">
        <v>2284</v>
      </c>
      <c r="Q90" s="57" t="s">
        <v>657</v>
      </c>
    </row>
    <row r="91" spans="1:17" x14ac:dyDescent="0.25">
      <c r="A91" s="55" t="s">
        <v>696</v>
      </c>
      <c r="B91" s="56" t="s">
        <v>2199</v>
      </c>
      <c r="C91" s="57" t="s">
        <v>28</v>
      </c>
      <c r="D91" s="56" t="s">
        <v>697</v>
      </c>
      <c r="E91" s="57" t="s">
        <v>370</v>
      </c>
      <c r="F91" s="56">
        <v>1</v>
      </c>
      <c r="G91" s="57" t="s">
        <v>657</v>
      </c>
      <c r="H91" s="58">
        <v>46143</v>
      </c>
      <c r="I91" s="57" t="s">
        <v>658</v>
      </c>
      <c r="J91" s="56">
        <v>1</v>
      </c>
      <c r="K91" s="60">
        <v>46143</v>
      </c>
      <c r="L91" s="59">
        <v>675000</v>
      </c>
      <c r="M91" s="57" t="s">
        <v>2220</v>
      </c>
      <c r="N91" s="57" t="s">
        <v>2234</v>
      </c>
      <c r="O91" s="57" t="s">
        <v>2258</v>
      </c>
      <c r="P91" s="57" t="s">
        <v>2284</v>
      </c>
      <c r="Q91" s="57" t="s">
        <v>657</v>
      </c>
    </row>
    <row r="92" spans="1:17" x14ac:dyDescent="0.25">
      <c r="A92" s="55" t="s">
        <v>718</v>
      </c>
      <c r="B92" s="56" t="s">
        <v>2199</v>
      </c>
      <c r="C92" s="57" t="s">
        <v>28</v>
      </c>
      <c r="D92" s="56" t="s">
        <v>719</v>
      </c>
      <c r="E92" s="57" t="s">
        <v>631</v>
      </c>
      <c r="F92" s="56">
        <v>1</v>
      </c>
      <c r="G92" s="57" t="s">
        <v>657</v>
      </c>
      <c r="H92" s="58">
        <v>46023</v>
      </c>
      <c r="I92" s="57" t="s">
        <v>658</v>
      </c>
      <c r="J92" s="56">
        <v>1</v>
      </c>
      <c r="K92" s="60">
        <v>46023</v>
      </c>
      <c r="L92" s="59">
        <v>430010</v>
      </c>
      <c r="M92" s="57" t="s">
        <v>2220</v>
      </c>
      <c r="N92" s="57" t="s">
        <v>2234</v>
      </c>
      <c r="O92" s="57" t="s">
        <v>2258</v>
      </c>
      <c r="P92" s="57" t="s">
        <v>2284</v>
      </c>
      <c r="Q92" s="57" t="s">
        <v>657</v>
      </c>
    </row>
    <row r="93" spans="1:17" x14ac:dyDescent="0.25">
      <c r="A93" s="55" t="s">
        <v>724</v>
      </c>
      <c r="B93" s="56" t="s">
        <v>2199</v>
      </c>
      <c r="C93" s="57" t="s">
        <v>28</v>
      </c>
      <c r="D93" s="56" t="s">
        <v>726</v>
      </c>
      <c r="E93" s="57" t="s">
        <v>728</v>
      </c>
      <c r="F93" s="56">
        <v>1</v>
      </c>
      <c r="G93" s="57" t="s">
        <v>657</v>
      </c>
      <c r="H93" s="58">
        <v>46082</v>
      </c>
      <c r="I93" s="57" t="s">
        <v>658</v>
      </c>
      <c r="J93" s="56">
        <v>1</v>
      </c>
      <c r="K93" s="60">
        <v>46082</v>
      </c>
      <c r="L93" s="59">
        <v>990002</v>
      </c>
      <c r="M93" s="57" t="s">
        <v>2220</v>
      </c>
      <c r="N93" s="57" t="s">
        <v>2234</v>
      </c>
      <c r="O93" s="57" t="s">
        <v>2258</v>
      </c>
      <c r="P93" s="57" t="s">
        <v>2284</v>
      </c>
      <c r="Q93" s="57" t="s">
        <v>657</v>
      </c>
    </row>
    <row r="94" spans="1:17" x14ac:dyDescent="0.25">
      <c r="A94" s="55" t="s">
        <v>744</v>
      </c>
      <c r="B94" s="56" t="s">
        <v>2199</v>
      </c>
      <c r="C94" s="57" t="s">
        <v>28</v>
      </c>
      <c r="D94" s="56" t="s">
        <v>746</v>
      </c>
      <c r="E94" s="57" t="s">
        <v>748</v>
      </c>
      <c r="F94" s="56">
        <v>1</v>
      </c>
      <c r="G94" s="57" t="s">
        <v>657</v>
      </c>
      <c r="H94" s="58">
        <v>46023</v>
      </c>
      <c r="I94" s="57" t="s">
        <v>658</v>
      </c>
      <c r="J94" s="56">
        <v>1</v>
      </c>
      <c r="K94" s="60">
        <v>46023</v>
      </c>
      <c r="L94" s="59">
        <v>300000</v>
      </c>
      <c r="M94" s="57" t="s">
        <v>2220</v>
      </c>
      <c r="N94" s="57" t="s">
        <v>2234</v>
      </c>
      <c r="O94" s="57" t="s">
        <v>2258</v>
      </c>
      <c r="P94" s="57" t="s">
        <v>2284</v>
      </c>
      <c r="Q94" s="57" t="s">
        <v>657</v>
      </c>
    </row>
    <row r="95" spans="1:17" x14ac:dyDescent="0.25">
      <c r="A95" s="55" t="s">
        <v>2041</v>
      </c>
      <c r="B95" s="56" t="s">
        <v>2199</v>
      </c>
      <c r="C95" s="57" t="s">
        <v>28</v>
      </c>
      <c r="D95" s="56" t="s">
        <v>2042</v>
      </c>
      <c r="E95" s="57" t="s">
        <v>2045</v>
      </c>
      <c r="F95" s="56">
        <v>6</v>
      </c>
      <c r="G95" s="57" t="s">
        <v>657</v>
      </c>
      <c r="H95" s="58">
        <v>46023</v>
      </c>
      <c r="I95" s="57" t="s">
        <v>658</v>
      </c>
      <c r="J95" s="56">
        <v>1</v>
      </c>
      <c r="K95" s="60">
        <v>46023</v>
      </c>
      <c r="L95" s="59">
        <v>280008</v>
      </c>
      <c r="M95" s="57" t="s">
        <v>2220</v>
      </c>
      <c r="N95" s="57" t="s">
        <v>2234</v>
      </c>
      <c r="O95" s="57" t="s">
        <v>2258</v>
      </c>
      <c r="P95" s="57" t="s">
        <v>2284</v>
      </c>
      <c r="Q95" s="57" t="s">
        <v>657</v>
      </c>
    </row>
    <row r="96" spans="1:17" x14ac:dyDescent="0.25">
      <c r="A96" s="55" t="s">
        <v>2041</v>
      </c>
      <c r="B96" s="56" t="s">
        <v>2199</v>
      </c>
      <c r="C96" s="57" t="s">
        <v>28</v>
      </c>
      <c r="D96" s="56" t="s">
        <v>2042</v>
      </c>
      <c r="E96" s="57" t="s">
        <v>777</v>
      </c>
      <c r="F96" s="56">
        <v>6</v>
      </c>
      <c r="G96" s="57" t="s">
        <v>657</v>
      </c>
      <c r="H96" s="58">
        <v>46023</v>
      </c>
      <c r="I96" s="57" t="s">
        <v>658</v>
      </c>
      <c r="J96" s="56">
        <v>1</v>
      </c>
      <c r="K96" s="60">
        <v>46023</v>
      </c>
      <c r="L96" s="59">
        <v>815000</v>
      </c>
      <c r="M96" s="57" t="s">
        <v>2220</v>
      </c>
      <c r="N96" s="57" t="s">
        <v>2234</v>
      </c>
      <c r="O96" s="57" t="s">
        <v>2258</v>
      </c>
      <c r="P96" s="57" t="s">
        <v>2284</v>
      </c>
      <c r="Q96" s="57" t="s">
        <v>657</v>
      </c>
    </row>
    <row r="97" spans="1:17" x14ac:dyDescent="0.25">
      <c r="A97" s="55" t="s">
        <v>2041</v>
      </c>
      <c r="B97" s="56" t="s">
        <v>2199</v>
      </c>
      <c r="C97" s="57" t="s">
        <v>28</v>
      </c>
      <c r="D97" s="56" t="s">
        <v>2042</v>
      </c>
      <c r="E97" s="57" t="s">
        <v>821</v>
      </c>
      <c r="F97" s="56">
        <v>6</v>
      </c>
      <c r="G97" s="57" t="s">
        <v>657</v>
      </c>
      <c r="H97" s="58">
        <v>46023</v>
      </c>
      <c r="I97" s="57" t="s">
        <v>658</v>
      </c>
      <c r="J97" s="56">
        <v>1</v>
      </c>
      <c r="K97" s="60">
        <v>46023</v>
      </c>
      <c r="L97" s="59">
        <v>60000</v>
      </c>
      <c r="M97" s="57" t="s">
        <v>2220</v>
      </c>
      <c r="N97" s="57" t="s">
        <v>2234</v>
      </c>
      <c r="O97" s="57" t="s">
        <v>2258</v>
      </c>
      <c r="P97" s="57" t="s">
        <v>2284</v>
      </c>
      <c r="Q97" s="57" t="s">
        <v>657</v>
      </c>
    </row>
    <row r="98" spans="1:17" x14ac:dyDescent="0.25">
      <c r="A98" s="55" t="s">
        <v>2041</v>
      </c>
      <c r="B98" s="56" t="s">
        <v>2199</v>
      </c>
      <c r="C98" s="57" t="s">
        <v>28</v>
      </c>
      <c r="D98" s="56" t="s">
        <v>2042</v>
      </c>
      <c r="E98" s="57" t="s">
        <v>2044</v>
      </c>
      <c r="F98" s="56">
        <v>6</v>
      </c>
      <c r="G98" s="57" t="s">
        <v>657</v>
      </c>
      <c r="H98" s="58">
        <v>46023</v>
      </c>
      <c r="I98" s="57" t="s">
        <v>658</v>
      </c>
      <c r="J98" s="56">
        <v>1</v>
      </c>
      <c r="K98" s="60">
        <v>46023</v>
      </c>
      <c r="L98" s="59">
        <v>833000</v>
      </c>
      <c r="M98" s="57" t="s">
        <v>2220</v>
      </c>
      <c r="N98" s="57" t="s">
        <v>2234</v>
      </c>
      <c r="O98" s="57" t="s">
        <v>2258</v>
      </c>
      <c r="P98" s="57" t="s">
        <v>2284</v>
      </c>
      <c r="Q98" s="57" t="s">
        <v>657</v>
      </c>
    </row>
    <row r="99" spans="1:17" x14ac:dyDescent="0.25">
      <c r="A99" s="55" t="s">
        <v>2041</v>
      </c>
      <c r="B99" s="56" t="s">
        <v>2199</v>
      </c>
      <c r="C99" s="57" t="s">
        <v>28</v>
      </c>
      <c r="D99" s="56" t="s">
        <v>2042</v>
      </c>
      <c r="E99" s="57" t="s">
        <v>2046</v>
      </c>
      <c r="F99" s="56">
        <v>6</v>
      </c>
      <c r="G99" s="57" t="s">
        <v>657</v>
      </c>
      <c r="H99" s="58">
        <v>46023</v>
      </c>
      <c r="I99" s="57" t="s">
        <v>658</v>
      </c>
      <c r="J99" s="56">
        <v>1</v>
      </c>
      <c r="K99" s="60">
        <v>46023</v>
      </c>
      <c r="L99" s="59">
        <v>100000</v>
      </c>
      <c r="M99" s="57" t="s">
        <v>2220</v>
      </c>
      <c r="N99" s="57" t="s">
        <v>2234</v>
      </c>
      <c r="O99" s="57" t="s">
        <v>2258</v>
      </c>
      <c r="P99" s="57" t="s">
        <v>2284</v>
      </c>
      <c r="Q99" s="57" t="s">
        <v>657</v>
      </c>
    </row>
    <row r="100" spans="1:17" x14ac:dyDescent="0.25">
      <c r="A100" s="55" t="s">
        <v>2041</v>
      </c>
      <c r="B100" s="56" t="s">
        <v>2199</v>
      </c>
      <c r="C100" s="57" t="s">
        <v>28</v>
      </c>
      <c r="D100" s="56" t="s">
        <v>2042</v>
      </c>
      <c r="E100" s="57" t="s">
        <v>760</v>
      </c>
      <c r="F100" s="56">
        <v>6</v>
      </c>
      <c r="G100" s="57" t="s">
        <v>657</v>
      </c>
      <c r="H100" s="58">
        <v>46023</v>
      </c>
      <c r="I100" s="57" t="s">
        <v>658</v>
      </c>
      <c r="J100" s="56">
        <v>1</v>
      </c>
      <c r="K100" s="60">
        <v>46023</v>
      </c>
      <c r="L100" s="59">
        <v>550002</v>
      </c>
      <c r="M100" s="57" t="s">
        <v>2220</v>
      </c>
      <c r="N100" s="57" t="s">
        <v>2234</v>
      </c>
      <c r="O100" s="57" t="s">
        <v>2258</v>
      </c>
      <c r="P100" s="57" t="s">
        <v>2284</v>
      </c>
      <c r="Q100" s="57" t="s">
        <v>657</v>
      </c>
    </row>
    <row r="101" spans="1:17" x14ac:dyDescent="0.25">
      <c r="A101" s="55" t="s">
        <v>683</v>
      </c>
      <c r="B101" s="56" t="s">
        <v>2199</v>
      </c>
      <c r="C101" s="57" t="s">
        <v>374</v>
      </c>
      <c r="D101" s="56" t="s">
        <v>684</v>
      </c>
      <c r="E101" s="57" t="s">
        <v>370</v>
      </c>
      <c r="F101" s="56">
        <v>1</v>
      </c>
      <c r="G101" s="57" t="s">
        <v>657</v>
      </c>
      <c r="H101" s="58">
        <v>46235</v>
      </c>
      <c r="I101" s="57" t="s">
        <v>658</v>
      </c>
      <c r="J101" s="56">
        <v>1</v>
      </c>
      <c r="K101" s="60">
        <v>46235</v>
      </c>
      <c r="L101" s="59">
        <v>225000</v>
      </c>
      <c r="M101" s="57" t="s">
        <v>2220</v>
      </c>
      <c r="N101" s="57" t="s">
        <v>2234</v>
      </c>
      <c r="O101" s="57" t="s">
        <v>2258</v>
      </c>
      <c r="P101" s="57" t="s">
        <v>2284</v>
      </c>
      <c r="Q101" s="57" t="s">
        <v>657</v>
      </c>
    </row>
    <row r="102" spans="1:17" x14ac:dyDescent="0.25">
      <c r="A102" s="55" t="s">
        <v>693</v>
      </c>
      <c r="B102" s="56" t="s">
        <v>2199</v>
      </c>
      <c r="C102" s="57" t="s">
        <v>374</v>
      </c>
      <c r="D102" s="56" t="s">
        <v>694</v>
      </c>
      <c r="E102" s="57" t="s">
        <v>486</v>
      </c>
      <c r="F102" s="56">
        <v>1</v>
      </c>
      <c r="G102" s="57" t="s">
        <v>657</v>
      </c>
      <c r="H102" s="58">
        <v>46054</v>
      </c>
      <c r="I102" s="57" t="s">
        <v>658</v>
      </c>
      <c r="J102" s="56">
        <v>1</v>
      </c>
      <c r="K102" s="60">
        <v>46054</v>
      </c>
      <c r="L102" s="59">
        <v>260000</v>
      </c>
      <c r="M102" s="57" t="s">
        <v>2220</v>
      </c>
      <c r="N102" s="57" t="s">
        <v>2234</v>
      </c>
      <c r="O102" s="57" t="s">
        <v>2258</v>
      </c>
      <c r="P102" s="57" t="s">
        <v>2284</v>
      </c>
      <c r="Q102" s="57" t="s">
        <v>657</v>
      </c>
    </row>
    <row r="103" spans="1:17" x14ac:dyDescent="0.25">
      <c r="A103" s="55" t="s">
        <v>699</v>
      </c>
      <c r="B103" s="56" t="s">
        <v>2199</v>
      </c>
      <c r="C103" s="57" t="s">
        <v>374</v>
      </c>
      <c r="D103" s="56" t="s">
        <v>700</v>
      </c>
      <c r="E103" s="57" t="s">
        <v>370</v>
      </c>
      <c r="F103" s="56">
        <v>2</v>
      </c>
      <c r="G103" s="57" t="s">
        <v>657</v>
      </c>
      <c r="H103" s="58">
        <v>46174</v>
      </c>
      <c r="I103" s="57" t="s">
        <v>658</v>
      </c>
      <c r="J103" s="56">
        <v>1</v>
      </c>
      <c r="K103" s="60">
        <v>46174</v>
      </c>
      <c r="L103" s="59">
        <v>450000</v>
      </c>
      <c r="M103" s="57" t="s">
        <v>2220</v>
      </c>
      <c r="N103" s="57" t="s">
        <v>2234</v>
      </c>
      <c r="O103" s="57" t="s">
        <v>2258</v>
      </c>
      <c r="P103" s="57" t="s">
        <v>2284</v>
      </c>
      <c r="Q103" s="57" t="s">
        <v>657</v>
      </c>
    </row>
    <row r="104" spans="1:17" x14ac:dyDescent="0.25">
      <c r="A104" s="55" t="s">
        <v>699</v>
      </c>
      <c r="B104" s="56" t="s">
        <v>2199</v>
      </c>
      <c r="C104" s="57" t="s">
        <v>374</v>
      </c>
      <c r="D104" s="56" t="s">
        <v>700</v>
      </c>
      <c r="E104" s="57" t="s">
        <v>370</v>
      </c>
      <c r="F104" s="56">
        <v>2</v>
      </c>
      <c r="G104" s="57" t="s">
        <v>657</v>
      </c>
      <c r="H104" s="58">
        <v>46357</v>
      </c>
      <c r="I104" s="57" t="s">
        <v>658</v>
      </c>
      <c r="J104" s="56">
        <v>1</v>
      </c>
      <c r="K104" s="60">
        <v>46357</v>
      </c>
      <c r="L104" s="59">
        <v>450000</v>
      </c>
      <c r="M104" s="57" t="s">
        <v>2220</v>
      </c>
      <c r="N104" s="57" t="s">
        <v>2234</v>
      </c>
      <c r="O104" s="57" t="s">
        <v>2258</v>
      </c>
      <c r="P104" s="57" t="s">
        <v>2284</v>
      </c>
      <c r="Q104" s="57" t="s">
        <v>657</v>
      </c>
    </row>
    <row r="105" spans="1:17" x14ac:dyDescent="0.25">
      <c r="A105" s="55" t="s">
        <v>702</v>
      </c>
      <c r="B105" s="56" t="s">
        <v>2199</v>
      </c>
      <c r="C105" s="57" t="s">
        <v>374</v>
      </c>
      <c r="D105" s="56" t="s">
        <v>703</v>
      </c>
      <c r="E105" s="57" t="s">
        <v>705</v>
      </c>
      <c r="F105" s="56">
        <v>1</v>
      </c>
      <c r="G105" s="57" t="s">
        <v>657</v>
      </c>
      <c r="H105" s="58">
        <v>46266</v>
      </c>
      <c r="I105" s="57" t="s">
        <v>658</v>
      </c>
      <c r="J105" s="56">
        <v>1</v>
      </c>
      <c r="K105" s="60">
        <v>46266</v>
      </c>
      <c r="L105" s="59">
        <v>625000</v>
      </c>
      <c r="M105" s="57" t="s">
        <v>2220</v>
      </c>
      <c r="N105" s="57" t="s">
        <v>2234</v>
      </c>
      <c r="O105" s="57" t="s">
        <v>2258</v>
      </c>
      <c r="P105" s="57" t="s">
        <v>2284</v>
      </c>
      <c r="Q105" s="57" t="s">
        <v>657</v>
      </c>
    </row>
    <row r="106" spans="1:17" x14ac:dyDescent="0.25">
      <c r="A106" s="55" t="s">
        <v>737</v>
      </c>
      <c r="B106" s="56" t="s">
        <v>2199</v>
      </c>
      <c r="C106" s="57" t="s">
        <v>374</v>
      </c>
      <c r="D106" s="56" t="s">
        <v>738</v>
      </c>
      <c r="E106" s="57" t="s">
        <v>740</v>
      </c>
      <c r="F106" s="56">
        <v>2</v>
      </c>
      <c r="G106" s="57" t="s">
        <v>657</v>
      </c>
      <c r="H106" s="58">
        <v>46023</v>
      </c>
      <c r="I106" s="57" t="s">
        <v>658</v>
      </c>
      <c r="J106" s="56">
        <v>1</v>
      </c>
      <c r="K106" s="60">
        <v>46023</v>
      </c>
      <c r="L106" s="59">
        <v>2272800</v>
      </c>
      <c r="M106" s="57" t="s">
        <v>2220</v>
      </c>
      <c r="N106" s="57" t="s">
        <v>2234</v>
      </c>
      <c r="O106" s="57" t="s">
        <v>2258</v>
      </c>
      <c r="P106" s="57" t="s">
        <v>2284</v>
      </c>
      <c r="Q106" s="57" t="s">
        <v>657</v>
      </c>
    </row>
    <row r="107" spans="1:17" x14ac:dyDescent="0.25">
      <c r="A107" s="55" t="s">
        <v>737</v>
      </c>
      <c r="B107" s="56" t="s">
        <v>2199</v>
      </c>
      <c r="C107" s="57" t="s">
        <v>374</v>
      </c>
      <c r="D107" s="56" t="s">
        <v>738</v>
      </c>
      <c r="E107" s="57" t="s">
        <v>195</v>
      </c>
      <c r="F107" s="56">
        <v>2</v>
      </c>
      <c r="G107" s="57" t="s">
        <v>657</v>
      </c>
      <c r="H107" s="58">
        <v>46023</v>
      </c>
      <c r="I107" s="57" t="s">
        <v>658</v>
      </c>
      <c r="J107" s="56">
        <v>1</v>
      </c>
      <c r="K107" s="60">
        <v>46023</v>
      </c>
      <c r="L107" s="59">
        <v>500080</v>
      </c>
      <c r="M107" s="57" t="s">
        <v>2220</v>
      </c>
      <c r="N107" s="57" t="s">
        <v>2234</v>
      </c>
      <c r="O107" s="57" t="s">
        <v>2258</v>
      </c>
      <c r="P107" s="57" t="s">
        <v>2284</v>
      </c>
      <c r="Q107" s="57" t="s">
        <v>657</v>
      </c>
    </row>
    <row r="108" spans="1:17" x14ac:dyDescent="0.25">
      <c r="A108" s="55" t="s">
        <v>741</v>
      </c>
      <c r="B108" s="56" t="s">
        <v>2199</v>
      </c>
      <c r="C108" s="57" t="s">
        <v>374</v>
      </c>
      <c r="D108" s="56" t="s">
        <v>742</v>
      </c>
      <c r="E108" s="57" t="s">
        <v>486</v>
      </c>
      <c r="F108" s="56">
        <v>1</v>
      </c>
      <c r="G108" s="57" t="s">
        <v>657</v>
      </c>
      <c r="H108" s="58">
        <v>46082</v>
      </c>
      <c r="I108" s="57" t="s">
        <v>658</v>
      </c>
      <c r="J108" s="56">
        <v>1</v>
      </c>
      <c r="K108" s="60">
        <v>46082</v>
      </c>
      <c r="L108" s="59">
        <v>1468231</v>
      </c>
      <c r="M108" s="57" t="s">
        <v>2220</v>
      </c>
      <c r="N108" s="57" t="s">
        <v>2234</v>
      </c>
      <c r="O108" s="57" t="s">
        <v>2258</v>
      </c>
      <c r="P108" s="57" t="s">
        <v>2284</v>
      </c>
      <c r="Q108" s="57" t="s">
        <v>657</v>
      </c>
    </row>
    <row r="109" spans="1:17" x14ac:dyDescent="0.25">
      <c r="A109" s="55" t="s">
        <v>749</v>
      </c>
      <c r="B109" s="56" t="s">
        <v>2199</v>
      </c>
      <c r="C109" s="57" t="s">
        <v>374</v>
      </c>
      <c r="D109" s="56" t="s">
        <v>750</v>
      </c>
      <c r="E109" s="57" t="s">
        <v>752</v>
      </c>
      <c r="F109" s="56">
        <v>1</v>
      </c>
      <c r="G109" s="57" t="s">
        <v>657</v>
      </c>
      <c r="H109" s="58">
        <v>46113</v>
      </c>
      <c r="I109" s="57" t="s">
        <v>658</v>
      </c>
      <c r="J109" s="56">
        <v>1</v>
      </c>
      <c r="K109" s="60">
        <v>46113</v>
      </c>
      <c r="L109" s="59">
        <v>350000</v>
      </c>
      <c r="M109" s="57" t="s">
        <v>2220</v>
      </c>
      <c r="N109" s="57" t="s">
        <v>2234</v>
      </c>
      <c r="O109" s="57" t="s">
        <v>2258</v>
      </c>
      <c r="P109" s="57" t="s">
        <v>2284</v>
      </c>
      <c r="Q109" s="57" t="s">
        <v>657</v>
      </c>
    </row>
    <row r="110" spans="1:17" x14ac:dyDescent="0.25">
      <c r="A110" s="55" t="s">
        <v>753</v>
      </c>
      <c r="B110" s="56" t="s">
        <v>2199</v>
      </c>
      <c r="C110" s="57" t="s">
        <v>374</v>
      </c>
      <c r="D110" s="56" t="s">
        <v>754</v>
      </c>
      <c r="E110" s="57" t="s">
        <v>359</v>
      </c>
      <c r="F110" s="56">
        <v>1</v>
      </c>
      <c r="G110" s="57" t="s">
        <v>657</v>
      </c>
      <c r="H110" s="58">
        <v>46082</v>
      </c>
      <c r="I110" s="57" t="s">
        <v>658</v>
      </c>
      <c r="J110" s="56">
        <v>1</v>
      </c>
      <c r="K110" s="60">
        <v>46082</v>
      </c>
      <c r="L110" s="59">
        <v>1287890</v>
      </c>
      <c r="M110" s="57" t="s">
        <v>2220</v>
      </c>
      <c r="N110" s="57" t="s">
        <v>2234</v>
      </c>
      <c r="O110" s="57" t="s">
        <v>2258</v>
      </c>
      <c r="P110" s="57" t="s">
        <v>2284</v>
      </c>
      <c r="Q110" s="57" t="s">
        <v>657</v>
      </c>
    </row>
    <row r="111" spans="1:17" x14ac:dyDescent="0.25">
      <c r="A111" s="55" t="s">
        <v>418</v>
      </c>
      <c r="B111" s="56" t="s">
        <v>2196</v>
      </c>
      <c r="C111" s="57" t="s">
        <v>28</v>
      </c>
      <c r="D111" s="56" t="s">
        <v>419</v>
      </c>
      <c r="E111" s="57" t="s">
        <v>421</v>
      </c>
      <c r="F111" s="56">
        <v>1</v>
      </c>
      <c r="G111" s="57" t="s">
        <v>422</v>
      </c>
      <c r="H111" s="58">
        <v>45870</v>
      </c>
      <c r="I111" s="57" t="s">
        <v>423</v>
      </c>
      <c r="J111" s="56">
        <v>12</v>
      </c>
      <c r="K111" s="57" t="s">
        <v>318</v>
      </c>
      <c r="L111" s="59">
        <v>87524976</v>
      </c>
      <c r="M111" s="57" t="s">
        <v>2224</v>
      </c>
      <c r="N111" s="57" t="s">
        <v>2227</v>
      </c>
      <c r="O111" s="57" t="s">
        <v>2261</v>
      </c>
      <c r="P111" s="57" t="s">
        <v>2284</v>
      </c>
      <c r="Q111" s="57" t="s">
        <v>1505</v>
      </c>
    </row>
    <row r="112" spans="1:17" x14ac:dyDescent="0.25">
      <c r="A112" s="55" t="s">
        <v>1501</v>
      </c>
      <c r="B112" s="56" t="s">
        <v>2199</v>
      </c>
      <c r="C112" s="57" t="s">
        <v>28</v>
      </c>
      <c r="D112" s="56" t="s">
        <v>1502</v>
      </c>
      <c r="E112" s="57" t="s">
        <v>1504</v>
      </c>
      <c r="F112" s="56">
        <v>1</v>
      </c>
      <c r="G112" s="57" t="s">
        <v>1505</v>
      </c>
      <c r="H112" s="58">
        <v>46023</v>
      </c>
      <c r="I112" s="57" t="s">
        <v>423</v>
      </c>
      <c r="J112" s="56">
        <v>12</v>
      </c>
      <c r="K112" s="57" t="s">
        <v>413</v>
      </c>
      <c r="L112" s="59">
        <v>2400000</v>
      </c>
      <c r="M112" s="57" t="s">
        <v>2224</v>
      </c>
      <c r="N112" s="57" t="s">
        <v>2227</v>
      </c>
      <c r="O112" s="57" t="s">
        <v>2261</v>
      </c>
      <c r="P112" s="57" t="s">
        <v>2284</v>
      </c>
      <c r="Q112" s="57" t="s">
        <v>1505</v>
      </c>
    </row>
    <row r="113" spans="1:17" x14ac:dyDescent="0.25">
      <c r="A113" s="55" t="s">
        <v>1525</v>
      </c>
      <c r="B113" s="56" t="s">
        <v>2199</v>
      </c>
      <c r="C113" s="57" t="s">
        <v>28</v>
      </c>
      <c r="D113" s="56" t="s">
        <v>1502</v>
      </c>
      <c r="E113" s="57" t="s">
        <v>1527</v>
      </c>
      <c r="F113" s="56">
        <v>1</v>
      </c>
      <c r="G113" s="57" t="s">
        <v>1505</v>
      </c>
      <c r="H113" s="58">
        <v>46023</v>
      </c>
      <c r="I113" s="57" t="s">
        <v>423</v>
      </c>
      <c r="J113" s="56">
        <v>1</v>
      </c>
      <c r="K113" s="60">
        <v>46023</v>
      </c>
      <c r="L113" s="59">
        <v>3861900</v>
      </c>
      <c r="M113" s="57" t="s">
        <v>2224</v>
      </c>
      <c r="N113" s="57" t="s">
        <v>2227</v>
      </c>
      <c r="O113" s="57" t="s">
        <v>2261</v>
      </c>
      <c r="P113" s="57" t="s">
        <v>2284</v>
      </c>
      <c r="Q113" s="57" t="s">
        <v>1505</v>
      </c>
    </row>
    <row r="114" spans="1:17" x14ac:dyDescent="0.25">
      <c r="A114" s="55" t="s">
        <v>1960</v>
      </c>
      <c r="B114" s="56" t="s">
        <v>2199</v>
      </c>
      <c r="C114" s="57" t="s">
        <v>28</v>
      </c>
      <c r="D114" s="56" t="s">
        <v>1961</v>
      </c>
      <c r="E114" s="57" t="s">
        <v>962</v>
      </c>
      <c r="F114" s="56">
        <v>3</v>
      </c>
      <c r="G114" s="57" t="s">
        <v>1963</v>
      </c>
      <c r="H114" s="58">
        <v>46266</v>
      </c>
      <c r="I114" s="57" t="s">
        <v>1964</v>
      </c>
      <c r="J114" s="56">
        <v>1</v>
      </c>
      <c r="K114" s="60">
        <v>46266</v>
      </c>
      <c r="L114" s="59">
        <v>40000</v>
      </c>
      <c r="M114" s="57" t="s">
        <v>2225</v>
      </c>
      <c r="N114" s="57" t="s">
        <v>2234</v>
      </c>
      <c r="O114" s="57" t="s">
        <v>2258</v>
      </c>
      <c r="P114" s="57" t="s">
        <v>2284</v>
      </c>
      <c r="Q114" s="57" t="s">
        <v>1963</v>
      </c>
    </row>
    <row r="115" spans="1:17" x14ac:dyDescent="0.25">
      <c r="A115" s="55" t="s">
        <v>1960</v>
      </c>
      <c r="B115" s="56" t="s">
        <v>2199</v>
      </c>
      <c r="C115" s="57" t="s">
        <v>28</v>
      </c>
      <c r="D115" s="56" t="s">
        <v>1961</v>
      </c>
      <c r="E115" s="57" t="s">
        <v>1966</v>
      </c>
      <c r="F115" s="56">
        <v>3</v>
      </c>
      <c r="G115" s="57" t="s">
        <v>1963</v>
      </c>
      <c r="H115" s="58">
        <v>46266</v>
      </c>
      <c r="I115" s="57" t="s">
        <v>1964</v>
      </c>
      <c r="J115" s="56">
        <v>1</v>
      </c>
      <c r="K115" s="60">
        <v>46266</v>
      </c>
      <c r="L115" s="59">
        <v>180000</v>
      </c>
      <c r="M115" s="57" t="s">
        <v>2225</v>
      </c>
      <c r="N115" s="57" t="s">
        <v>2234</v>
      </c>
      <c r="O115" s="57" t="s">
        <v>2258</v>
      </c>
      <c r="P115" s="57" t="s">
        <v>2284</v>
      </c>
      <c r="Q115" s="57" t="s">
        <v>1963</v>
      </c>
    </row>
    <row r="116" spans="1:17" x14ac:dyDescent="0.25">
      <c r="A116" s="55" t="s">
        <v>1960</v>
      </c>
      <c r="B116" s="56" t="s">
        <v>2199</v>
      </c>
      <c r="C116" s="57" t="s">
        <v>28</v>
      </c>
      <c r="D116" s="56" t="s">
        <v>1961</v>
      </c>
      <c r="E116" s="57" t="s">
        <v>602</v>
      </c>
      <c r="F116" s="56">
        <v>3</v>
      </c>
      <c r="G116" s="57" t="s">
        <v>1963</v>
      </c>
      <c r="H116" s="58">
        <v>46266</v>
      </c>
      <c r="I116" s="57" t="s">
        <v>1964</v>
      </c>
      <c r="J116" s="56">
        <v>1</v>
      </c>
      <c r="K116" s="60">
        <v>46266</v>
      </c>
      <c r="L116" s="59">
        <v>700000</v>
      </c>
      <c r="M116" s="57" t="s">
        <v>2225</v>
      </c>
      <c r="N116" s="57" t="s">
        <v>2234</v>
      </c>
      <c r="O116" s="57" t="s">
        <v>2258</v>
      </c>
      <c r="P116" s="57" t="s">
        <v>2284</v>
      </c>
      <c r="Q116" s="57" t="s">
        <v>1963</v>
      </c>
    </row>
    <row r="117" spans="1:17" x14ac:dyDescent="0.25">
      <c r="A117" s="55" t="s">
        <v>2016</v>
      </c>
      <c r="B117" s="56" t="s">
        <v>2199</v>
      </c>
      <c r="C117" s="57" t="s">
        <v>28</v>
      </c>
      <c r="D117" s="56" t="s">
        <v>2017</v>
      </c>
      <c r="E117" s="57" t="s">
        <v>740</v>
      </c>
      <c r="F117" s="56">
        <v>3</v>
      </c>
      <c r="G117" s="57" t="s">
        <v>1963</v>
      </c>
      <c r="H117" s="58">
        <v>46082</v>
      </c>
      <c r="I117" s="57" t="s">
        <v>1964</v>
      </c>
      <c r="J117" s="56">
        <v>1</v>
      </c>
      <c r="K117" s="60">
        <v>46082</v>
      </c>
      <c r="L117" s="59">
        <v>65010</v>
      </c>
      <c r="M117" s="57" t="s">
        <v>2225</v>
      </c>
      <c r="N117" s="57" t="s">
        <v>2234</v>
      </c>
      <c r="O117" s="57" t="s">
        <v>2258</v>
      </c>
      <c r="P117" s="57" t="s">
        <v>2284</v>
      </c>
      <c r="Q117" s="57" t="s">
        <v>1963</v>
      </c>
    </row>
    <row r="118" spans="1:17" x14ac:dyDescent="0.25">
      <c r="A118" s="55" t="s">
        <v>2016</v>
      </c>
      <c r="B118" s="56" t="s">
        <v>2199</v>
      </c>
      <c r="C118" s="57" t="s">
        <v>28</v>
      </c>
      <c r="D118" s="56" t="s">
        <v>2017</v>
      </c>
      <c r="E118" s="57" t="s">
        <v>2019</v>
      </c>
      <c r="F118" s="56">
        <v>3</v>
      </c>
      <c r="G118" s="57" t="s">
        <v>1963</v>
      </c>
      <c r="H118" s="58">
        <v>46082</v>
      </c>
      <c r="I118" s="57" t="s">
        <v>1964</v>
      </c>
      <c r="J118" s="56">
        <v>1</v>
      </c>
      <c r="K118" s="60">
        <v>46082</v>
      </c>
      <c r="L118" s="59">
        <v>45012</v>
      </c>
      <c r="M118" s="57" t="s">
        <v>2225</v>
      </c>
      <c r="N118" s="57" t="s">
        <v>2234</v>
      </c>
      <c r="O118" s="57" t="s">
        <v>2258</v>
      </c>
      <c r="P118" s="57" t="s">
        <v>2284</v>
      </c>
      <c r="Q118" s="57" t="s">
        <v>1963</v>
      </c>
    </row>
    <row r="119" spans="1:17" x14ac:dyDescent="0.25">
      <c r="A119" s="55" t="s">
        <v>2016</v>
      </c>
      <c r="B119" s="56" t="s">
        <v>2199</v>
      </c>
      <c r="C119" s="57" t="s">
        <v>28</v>
      </c>
      <c r="D119" s="56" t="s">
        <v>2017</v>
      </c>
      <c r="E119" s="57" t="s">
        <v>962</v>
      </c>
      <c r="F119" s="56">
        <v>3</v>
      </c>
      <c r="G119" s="57" t="s">
        <v>1963</v>
      </c>
      <c r="H119" s="58">
        <v>46082</v>
      </c>
      <c r="I119" s="57" t="s">
        <v>1964</v>
      </c>
      <c r="J119" s="56">
        <v>1</v>
      </c>
      <c r="K119" s="60">
        <v>46082</v>
      </c>
      <c r="L119" s="59">
        <v>120010</v>
      </c>
      <c r="M119" s="57" t="s">
        <v>2225</v>
      </c>
      <c r="N119" s="57" t="s">
        <v>2234</v>
      </c>
      <c r="O119" s="57" t="s">
        <v>2258</v>
      </c>
      <c r="P119" s="57" t="s">
        <v>2284</v>
      </c>
      <c r="Q119" s="57" t="s">
        <v>1963</v>
      </c>
    </row>
    <row r="120" spans="1:17" x14ac:dyDescent="0.25">
      <c r="A120" s="55" t="s">
        <v>1569</v>
      </c>
      <c r="B120" s="56" t="s">
        <v>2199</v>
      </c>
      <c r="C120" s="57" t="s">
        <v>28</v>
      </c>
      <c r="D120" s="56" t="s">
        <v>1570</v>
      </c>
      <c r="E120" s="57" t="s">
        <v>599</v>
      </c>
      <c r="F120" s="56">
        <v>1</v>
      </c>
      <c r="G120" s="57" t="s">
        <v>1572</v>
      </c>
      <c r="H120" s="58">
        <v>46082</v>
      </c>
      <c r="I120" s="57" t="s">
        <v>1573</v>
      </c>
      <c r="J120" s="56">
        <v>1</v>
      </c>
      <c r="K120" s="60">
        <v>46082</v>
      </c>
      <c r="L120" s="59">
        <v>7000000</v>
      </c>
      <c r="M120" s="57" t="s">
        <v>2222</v>
      </c>
      <c r="N120" s="57" t="s">
        <v>2234</v>
      </c>
      <c r="O120" s="57" t="s">
        <v>2260</v>
      </c>
      <c r="P120" s="57" t="s">
        <v>2284</v>
      </c>
      <c r="Q120" s="57" t="s">
        <v>1572</v>
      </c>
    </row>
    <row r="121" spans="1:17" x14ac:dyDescent="0.25">
      <c r="A121" s="55" t="s">
        <v>1585</v>
      </c>
      <c r="B121" s="56" t="s">
        <v>2199</v>
      </c>
      <c r="C121" s="57" t="s">
        <v>28</v>
      </c>
      <c r="D121" s="56" t="s">
        <v>1587</v>
      </c>
      <c r="E121" s="57" t="s">
        <v>1589</v>
      </c>
      <c r="F121" s="56">
        <v>1</v>
      </c>
      <c r="G121" s="57" t="s">
        <v>1572</v>
      </c>
      <c r="H121" s="58">
        <v>46082</v>
      </c>
      <c r="I121" s="57" t="s">
        <v>1573</v>
      </c>
      <c r="J121" s="56">
        <v>1</v>
      </c>
      <c r="K121" s="60">
        <v>46082</v>
      </c>
      <c r="L121" s="59">
        <v>1428000</v>
      </c>
      <c r="M121" s="57" t="s">
        <v>2222</v>
      </c>
      <c r="N121" s="57" t="s">
        <v>2234</v>
      </c>
      <c r="O121" s="57" t="s">
        <v>2260</v>
      </c>
      <c r="P121" s="57" t="s">
        <v>2284</v>
      </c>
      <c r="Q121" s="57" t="s">
        <v>1572</v>
      </c>
    </row>
    <row r="122" spans="1:17" x14ac:dyDescent="0.25">
      <c r="A122" s="55" t="s">
        <v>1600</v>
      </c>
      <c r="B122" s="56" t="s">
        <v>2199</v>
      </c>
      <c r="C122" s="57" t="s">
        <v>28</v>
      </c>
      <c r="D122" s="56" t="s">
        <v>1601</v>
      </c>
      <c r="E122" s="57" t="s">
        <v>1603</v>
      </c>
      <c r="F122" s="56">
        <v>1</v>
      </c>
      <c r="G122" s="57" t="s">
        <v>1572</v>
      </c>
      <c r="H122" s="58">
        <v>46235</v>
      </c>
      <c r="I122" s="57" t="s">
        <v>1573</v>
      </c>
      <c r="J122" s="56">
        <v>1</v>
      </c>
      <c r="K122" s="60">
        <v>46235</v>
      </c>
      <c r="L122" s="59">
        <v>1428000</v>
      </c>
      <c r="M122" s="57" t="s">
        <v>2222</v>
      </c>
      <c r="N122" s="57" t="s">
        <v>2234</v>
      </c>
      <c r="O122" s="57" t="s">
        <v>2260</v>
      </c>
      <c r="P122" s="57" t="s">
        <v>2284</v>
      </c>
      <c r="Q122" s="57" t="s">
        <v>1572</v>
      </c>
    </row>
    <row r="123" spans="1:17" x14ac:dyDescent="0.25">
      <c r="A123" s="55" t="s">
        <v>1626</v>
      </c>
      <c r="B123" s="56" t="s">
        <v>2199</v>
      </c>
      <c r="C123" s="57" t="s">
        <v>28</v>
      </c>
      <c r="D123" s="56" t="s">
        <v>1627</v>
      </c>
      <c r="E123" s="57" t="s">
        <v>1629</v>
      </c>
      <c r="F123" s="56">
        <v>3</v>
      </c>
      <c r="G123" s="57" t="s">
        <v>1572</v>
      </c>
      <c r="H123" s="58">
        <v>46113</v>
      </c>
      <c r="I123" s="57" t="s">
        <v>1573</v>
      </c>
      <c r="J123" s="56">
        <v>1</v>
      </c>
      <c r="K123" s="60">
        <v>46113</v>
      </c>
      <c r="L123" s="59">
        <v>63000</v>
      </c>
      <c r="M123" s="57" t="s">
        <v>2222</v>
      </c>
      <c r="N123" s="57" t="s">
        <v>2234</v>
      </c>
      <c r="O123" s="57" t="s">
        <v>2260</v>
      </c>
      <c r="P123" s="57" t="s">
        <v>2284</v>
      </c>
      <c r="Q123" s="57" t="s">
        <v>1572</v>
      </c>
    </row>
    <row r="124" spans="1:17" x14ac:dyDescent="0.25">
      <c r="A124" s="55" t="s">
        <v>1626</v>
      </c>
      <c r="B124" s="56" t="s">
        <v>2199</v>
      </c>
      <c r="C124" s="57" t="s">
        <v>28</v>
      </c>
      <c r="D124" s="56" t="s">
        <v>1627</v>
      </c>
      <c r="E124" s="57" t="s">
        <v>1630</v>
      </c>
      <c r="F124" s="56">
        <v>3</v>
      </c>
      <c r="G124" s="57" t="s">
        <v>1572</v>
      </c>
      <c r="H124" s="58">
        <v>46113</v>
      </c>
      <c r="I124" s="57" t="s">
        <v>1573</v>
      </c>
      <c r="J124" s="56">
        <v>1</v>
      </c>
      <c r="K124" s="60">
        <v>46113</v>
      </c>
      <c r="L124" s="59">
        <v>3164040</v>
      </c>
      <c r="M124" s="57" t="s">
        <v>2222</v>
      </c>
      <c r="N124" s="57" t="s">
        <v>2234</v>
      </c>
      <c r="O124" s="57" t="s">
        <v>2260</v>
      </c>
      <c r="P124" s="57" t="s">
        <v>2284</v>
      </c>
      <c r="Q124" s="57" t="s">
        <v>1572</v>
      </c>
    </row>
    <row r="125" spans="1:17" x14ac:dyDescent="0.25">
      <c r="A125" s="55" t="s">
        <v>1626</v>
      </c>
      <c r="B125" s="56" t="s">
        <v>2199</v>
      </c>
      <c r="C125" s="57" t="s">
        <v>28</v>
      </c>
      <c r="D125" s="56" t="s">
        <v>1627</v>
      </c>
      <c r="E125" s="57" t="s">
        <v>1631</v>
      </c>
      <c r="F125" s="56">
        <v>3</v>
      </c>
      <c r="G125" s="57" t="s">
        <v>1572</v>
      </c>
      <c r="H125" s="58">
        <v>46113</v>
      </c>
      <c r="I125" s="57" t="s">
        <v>1573</v>
      </c>
      <c r="J125" s="56">
        <v>1</v>
      </c>
      <c r="K125" s="60">
        <v>46113</v>
      </c>
      <c r="L125" s="59">
        <v>2353780</v>
      </c>
      <c r="M125" s="57" t="s">
        <v>2222</v>
      </c>
      <c r="N125" s="57" t="s">
        <v>2234</v>
      </c>
      <c r="O125" s="57" t="s">
        <v>2260</v>
      </c>
      <c r="P125" s="57" t="s">
        <v>2284</v>
      </c>
      <c r="Q125" s="57" t="s">
        <v>1572</v>
      </c>
    </row>
    <row r="126" spans="1:17" x14ac:dyDescent="0.25">
      <c r="A126" s="55" t="s">
        <v>1712</v>
      </c>
      <c r="B126" s="56" t="s">
        <v>2199</v>
      </c>
      <c r="C126" s="57" t="s">
        <v>28</v>
      </c>
      <c r="D126" s="56" t="s">
        <v>1713</v>
      </c>
      <c r="E126" s="57" t="s">
        <v>602</v>
      </c>
      <c r="F126" s="56">
        <v>1</v>
      </c>
      <c r="G126" s="57" t="s">
        <v>1572</v>
      </c>
      <c r="H126" s="58">
        <v>46082</v>
      </c>
      <c r="I126" s="57" t="s">
        <v>1573</v>
      </c>
      <c r="J126" s="56">
        <v>1</v>
      </c>
      <c r="K126" s="60">
        <v>46082</v>
      </c>
      <c r="L126" s="59">
        <v>783090</v>
      </c>
      <c r="M126" s="57" t="s">
        <v>2222</v>
      </c>
      <c r="N126" s="57" t="s">
        <v>2234</v>
      </c>
      <c r="O126" s="57" t="s">
        <v>2260</v>
      </c>
      <c r="P126" s="57" t="s">
        <v>2284</v>
      </c>
      <c r="Q126" s="57" t="s">
        <v>1572</v>
      </c>
    </row>
    <row r="127" spans="1:17" x14ac:dyDescent="0.25">
      <c r="A127" s="55" t="s">
        <v>1731</v>
      </c>
      <c r="B127" s="56" t="s">
        <v>2199</v>
      </c>
      <c r="C127" s="57" t="s">
        <v>28</v>
      </c>
      <c r="D127" s="56" t="s">
        <v>1732</v>
      </c>
      <c r="E127" s="57" t="s">
        <v>1641</v>
      </c>
      <c r="F127" s="56">
        <v>1</v>
      </c>
      <c r="G127" s="57" t="s">
        <v>1572</v>
      </c>
      <c r="H127" s="58">
        <v>46082</v>
      </c>
      <c r="I127" s="57" t="s">
        <v>1573</v>
      </c>
      <c r="J127" s="56">
        <v>1</v>
      </c>
      <c r="K127" s="60">
        <v>46082</v>
      </c>
      <c r="L127" s="59">
        <v>726450</v>
      </c>
      <c r="M127" s="57" t="s">
        <v>2222</v>
      </c>
      <c r="N127" s="57" t="s">
        <v>2234</v>
      </c>
      <c r="O127" s="57" t="s">
        <v>2260</v>
      </c>
      <c r="P127" s="57" t="s">
        <v>2284</v>
      </c>
      <c r="Q127" s="57" t="s">
        <v>1572</v>
      </c>
    </row>
    <row r="128" spans="1:17" x14ac:dyDescent="0.25">
      <c r="A128" s="55" t="s">
        <v>1839</v>
      </c>
      <c r="B128" s="56" t="s">
        <v>2199</v>
      </c>
      <c r="C128" s="57" t="s">
        <v>28</v>
      </c>
      <c r="D128" s="56" t="s">
        <v>1840</v>
      </c>
      <c r="E128" s="57" t="s">
        <v>777</v>
      </c>
      <c r="F128" s="56">
        <v>1</v>
      </c>
      <c r="G128" s="57" t="s">
        <v>1572</v>
      </c>
      <c r="H128" s="58">
        <v>46113</v>
      </c>
      <c r="I128" s="57" t="s">
        <v>1573</v>
      </c>
      <c r="J128" s="56">
        <v>1</v>
      </c>
      <c r="K128" s="60">
        <v>46113</v>
      </c>
      <c r="L128" s="59">
        <v>2578000</v>
      </c>
      <c r="M128" s="57" t="s">
        <v>2222</v>
      </c>
      <c r="N128" s="57" t="s">
        <v>2234</v>
      </c>
      <c r="O128" s="57" t="s">
        <v>2260</v>
      </c>
      <c r="P128" s="57" t="s">
        <v>2284</v>
      </c>
      <c r="Q128" s="57" t="s">
        <v>1572</v>
      </c>
    </row>
    <row r="129" spans="1:17" x14ac:dyDescent="0.25">
      <c r="A129" s="55" t="s">
        <v>1845</v>
      </c>
      <c r="B129" s="56" t="s">
        <v>2199</v>
      </c>
      <c r="C129" s="57" t="s">
        <v>28</v>
      </c>
      <c r="D129" s="56" t="s">
        <v>1846</v>
      </c>
      <c r="E129" s="57" t="s">
        <v>602</v>
      </c>
      <c r="F129" s="56">
        <v>1</v>
      </c>
      <c r="G129" s="57" t="s">
        <v>1572</v>
      </c>
      <c r="H129" s="58">
        <v>46266</v>
      </c>
      <c r="I129" s="57" t="s">
        <v>1573</v>
      </c>
      <c r="J129" s="56">
        <v>1</v>
      </c>
      <c r="K129" s="60">
        <v>46266</v>
      </c>
      <c r="L129" s="59">
        <v>1428000</v>
      </c>
      <c r="M129" s="57" t="s">
        <v>2222</v>
      </c>
      <c r="N129" s="57" t="s">
        <v>2234</v>
      </c>
      <c r="O129" s="57" t="s">
        <v>2260</v>
      </c>
      <c r="P129" s="57" t="s">
        <v>2284</v>
      </c>
      <c r="Q129" s="57" t="s">
        <v>1572</v>
      </c>
    </row>
    <row r="130" spans="1:17" x14ac:dyDescent="0.25">
      <c r="A130" s="55" t="s">
        <v>756</v>
      </c>
      <c r="B130" s="56" t="s">
        <v>2199</v>
      </c>
      <c r="C130" s="57" t="s">
        <v>28</v>
      </c>
      <c r="D130" s="56" t="s">
        <v>758</v>
      </c>
      <c r="E130" s="57" t="s">
        <v>760</v>
      </c>
      <c r="F130" s="56">
        <v>1</v>
      </c>
      <c r="G130" s="57" t="s">
        <v>761</v>
      </c>
      <c r="H130" s="58">
        <v>46296</v>
      </c>
      <c r="I130" s="57" t="s">
        <v>762</v>
      </c>
      <c r="J130" s="56">
        <v>1</v>
      </c>
      <c r="K130" s="60">
        <v>46296</v>
      </c>
      <c r="L130" s="59">
        <v>800000</v>
      </c>
      <c r="M130" s="57" t="s">
        <v>2220</v>
      </c>
      <c r="N130" s="57" t="s">
        <v>2234</v>
      </c>
      <c r="O130" s="57" t="s">
        <v>2258</v>
      </c>
      <c r="P130" s="57" t="s">
        <v>2284</v>
      </c>
      <c r="Q130" s="57" t="s">
        <v>761</v>
      </c>
    </row>
    <row r="131" spans="1:17" x14ac:dyDescent="0.25">
      <c r="A131" s="55" t="s">
        <v>827</v>
      </c>
      <c r="B131" s="56" t="s">
        <v>2199</v>
      </c>
      <c r="C131" s="57" t="s">
        <v>28</v>
      </c>
      <c r="D131" s="56" t="s">
        <v>828</v>
      </c>
      <c r="E131" s="57" t="s">
        <v>831</v>
      </c>
      <c r="F131" s="56">
        <v>4</v>
      </c>
      <c r="G131" s="57" t="s">
        <v>761</v>
      </c>
      <c r="H131" s="58">
        <v>46082</v>
      </c>
      <c r="I131" s="57" t="s">
        <v>762</v>
      </c>
      <c r="J131" s="56">
        <v>1</v>
      </c>
      <c r="K131" s="60">
        <v>46082</v>
      </c>
      <c r="L131" s="59">
        <v>300000</v>
      </c>
      <c r="M131" s="57" t="s">
        <v>2220</v>
      </c>
      <c r="N131" s="57" t="s">
        <v>2234</v>
      </c>
      <c r="O131" s="57" t="s">
        <v>2258</v>
      </c>
      <c r="P131" s="57" t="s">
        <v>2284</v>
      </c>
      <c r="Q131" s="57" t="s">
        <v>761</v>
      </c>
    </row>
    <row r="132" spans="1:17" x14ac:dyDescent="0.25">
      <c r="A132" s="55" t="s">
        <v>827</v>
      </c>
      <c r="B132" s="56" t="s">
        <v>2199</v>
      </c>
      <c r="C132" s="57" t="s">
        <v>28</v>
      </c>
      <c r="D132" s="56" t="s">
        <v>828</v>
      </c>
      <c r="E132" s="57" t="s">
        <v>830</v>
      </c>
      <c r="F132" s="56">
        <v>4</v>
      </c>
      <c r="G132" s="57" t="s">
        <v>761</v>
      </c>
      <c r="H132" s="58">
        <v>46082</v>
      </c>
      <c r="I132" s="57" t="s">
        <v>762</v>
      </c>
      <c r="J132" s="56">
        <v>1</v>
      </c>
      <c r="K132" s="60">
        <v>46082</v>
      </c>
      <c r="L132" s="59">
        <v>176016</v>
      </c>
      <c r="M132" s="57" t="s">
        <v>2220</v>
      </c>
      <c r="N132" s="57" t="s">
        <v>2234</v>
      </c>
      <c r="O132" s="57" t="s">
        <v>2258</v>
      </c>
      <c r="P132" s="57" t="s">
        <v>2284</v>
      </c>
      <c r="Q132" s="57" t="s">
        <v>761</v>
      </c>
    </row>
    <row r="133" spans="1:17" x14ac:dyDescent="0.25">
      <c r="A133" s="55" t="s">
        <v>827</v>
      </c>
      <c r="B133" s="56" t="s">
        <v>2199</v>
      </c>
      <c r="C133" s="57" t="s">
        <v>28</v>
      </c>
      <c r="D133" s="56" t="s">
        <v>828</v>
      </c>
      <c r="E133" s="57" t="s">
        <v>833</v>
      </c>
      <c r="F133" s="56">
        <v>4</v>
      </c>
      <c r="G133" s="57" t="s">
        <v>761</v>
      </c>
      <c r="H133" s="58">
        <v>46082</v>
      </c>
      <c r="I133" s="57" t="s">
        <v>762</v>
      </c>
      <c r="J133" s="56">
        <v>1</v>
      </c>
      <c r="K133" s="60">
        <v>46082</v>
      </c>
      <c r="L133" s="59">
        <v>1071050</v>
      </c>
      <c r="M133" s="57" t="s">
        <v>2220</v>
      </c>
      <c r="N133" s="57" t="s">
        <v>2234</v>
      </c>
      <c r="O133" s="57" t="s">
        <v>2258</v>
      </c>
      <c r="P133" s="57" t="s">
        <v>2284</v>
      </c>
      <c r="Q133" s="57" t="s">
        <v>761</v>
      </c>
    </row>
    <row r="134" spans="1:17" x14ac:dyDescent="0.25">
      <c r="A134" s="55" t="s">
        <v>827</v>
      </c>
      <c r="B134" s="56" t="s">
        <v>2199</v>
      </c>
      <c r="C134" s="57" t="s">
        <v>28</v>
      </c>
      <c r="D134" s="56" t="s">
        <v>828</v>
      </c>
      <c r="E134" s="57" t="s">
        <v>832</v>
      </c>
      <c r="F134" s="56">
        <v>4</v>
      </c>
      <c r="G134" s="57" t="s">
        <v>761</v>
      </c>
      <c r="H134" s="58">
        <v>46023</v>
      </c>
      <c r="I134" s="57" t="s">
        <v>762</v>
      </c>
      <c r="J134" s="56">
        <v>1</v>
      </c>
      <c r="K134" s="60">
        <v>46023</v>
      </c>
      <c r="L134" s="59">
        <v>150000</v>
      </c>
      <c r="M134" s="57" t="s">
        <v>2220</v>
      </c>
      <c r="N134" s="57" t="s">
        <v>2234</v>
      </c>
      <c r="O134" s="57" t="s">
        <v>2258</v>
      </c>
      <c r="P134" s="57" t="s">
        <v>2284</v>
      </c>
      <c r="Q134" s="57" t="s">
        <v>761</v>
      </c>
    </row>
    <row r="135" spans="1:17" x14ac:dyDescent="0.25">
      <c r="A135" s="55" t="s">
        <v>871</v>
      </c>
      <c r="B135" s="56" t="s">
        <v>2199</v>
      </c>
      <c r="C135" s="57" t="s">
        <v>28</v>
      </c>
      <c r="D135" s="56" t="s">
        <v>872</v>
      </c>
      <c r="E135" s="57" t="s">
        <v>874</v>
      </c>
      <c r="F135" s="56">
        <v>1</v>
      </c>
      <c r="G135" s="57" t="s">
        <v>761</v>
      </c>
      <c r="H135" s="58">
        <v>46204</v>
      </c>
      <c r="I135" s="57" t="s">
        <v>762</v>
      </c>
      <c r="J135" s="56">
        <v>1</v>
      </c>
      <c r="K135" s="60">
        <v>46204</v>
      </c>
      <c r="L135" s="59">
        <v>472004</v>
      </c>
      <c r="M135" s="57" t="s">
        <v>2220</v>
      </c>
      <c r="N135" s="57" t="s">
        <v>2234</v>
      </c>
      <c r="O135" s="57" t="s">
        <v>2258</v>
      </c>
      <c r="P135" s="57" t="s">
        <v>2284</v>
      </c>
      <c r="Q135" s="57" t="s">
        <v>761</v>
      </c>
    </row>
    <row r="136" spans="1:17" x14ac:dyDescent="0.25">
      <c r="A136" s="55" t="s">
        <v>875</v>
      </c>
      <c r="B136" s="56" t="s">
        <v>2199</v>
      </c>
      <c r="C136" s="57" t="s">
        <v>28</v>
      </c>
      <c r="D136" s="56" t="s">
        <v>876</v>
      </c>
      <c r="E136" s="57" t="s">
        <v>878</v>
      </c>
      <c r="F136" s="56">
        <v>1</v>
      </c>
      <c r="G136" s="57" t="s">
        <v>761</v>
      </c>
      <c r="H136" s="58">
        <v>46082</v>
      </c>
      <c r="I136" s="57" t="s">
        <v>762</v>
      </c>
      <c r="J136" s="56">
        <v>1</v>
      </c>
      <c r="K136" s="60">
        <v>46082</v>
      </c>
      <c r="L136" s="59">
        <v>600000</v>
      </c>
      <c r="M136" s="57" t="s">
        <v>2220</v>
      </c>
      <c r="N136" s="57" t="s">
        <v>2234</v>
      </c>
      <c r="O136" s="57" t="s">
        <v>2258</v>
      </c>
      <c r="P136" s="57" t="s">
        <v>2284</v>
      </c>
      <c r="Q136" s="57" t="s">
        <v>761</v>
      </c>
    </row>
    <row r="137" spans="1:17" x14ac:dyDescent="0.25">
      <c r="A137" s="55" t="s">
        <v>879</v>
      </c>
      <c r="B137" s="56" t="s">
        <v>2199</v>
      </c>
      <c r="C137" s="57" t="s">
        <v>28</v>
      </c>
      <c r="D137" s="56" t="s">
        <v>880</v>
      </c>
      <c r="E137" s="57" t="s">
        <v>882</v>
      </c>
      <c r="F137" s="56">
        <v>3</v>
      </c>
      <c r="G137" s="57" t="s">
        <v>761</v>
      </c>
      <c r="H137" s="58">
        <v>46143</v>
      </c>
      <c r="I137" s="57" t="s">
        <v>762</v>
      </c>
      <c r="J137" s="56">
        <v>1</v>
      </c>
      <c r="K137" s="60">
        <v>46143</v>
      </c>
      <c r="L137" s="59">
        <v>3700004</v>
      </c>
      <c r="M137" s="57" t="s">
        <v>2220</v>
      </c>
      <c r="N137" s="57" t="s">
        <v>2234</v>
      </c>
      <c r="O137" s="57" t="s">
        <v>2258</v>
      </c>
      <c r="P137" s="57" t="s">
        <v>2284</v>
      </c>
      <c r="Q137" s="57" t="s">
        <v>761</v>
      </c>
    </row>
    <row r="138" spans="1:17" x14ac:dyDescent="0.25">
      <c r="A138" s="55" t="s">
        <v>879</v>
      </c>
      <c r="B138" s="56" t="s">
        <v>2199</v>
      </c>
      <c r="C138" s="57" t="s">
        <v>28</v>
      </c>
      <c r="D138" s="56" t="s">
        <v>880</v>
      </c>
      <c r="E138" s="57" t="s">
        <v>883</v>
      </c>
      <c r="F138" s="56">
        <v>3</v>
      </c>
      <c r="G138" s="57" t="s">
        <v>761</v>
      </c>
      <c r="H138" s="58">
        <v>46143</v>
      </c>
      <c r="I138" s="57" t="s">
        <v>762</v>
      </c>
      <c r="J138" s="56">
        <v>1</v>
      </c>
      <c r="K138" s="60">
        <v>46143</v>
      </c>
      <c r="L138" s="59">
        <v>2200020</v>
      </c>
      <c r="M138" s="57" t="s">
        <v>2220</v>
      </c>
      <c r="N138" s="57" t="s">
        <v>2234</v>
      </c>
      <c r="O138" s="57" t="s">
        <v>2258</v>
      </c>
      <c r="P138" s="57" t="s">
        <v>2284</v>
      </c>
      <c r="Q138" s="57" t="s">
        <v>761</v>
      </c>
    </row>
    <row r="139" spans="1:17" x14ac:dyDescent="0.25">
      <c r="A139" s="55" t="s">
        <v>879</v>
      </c>
      <c r="B139" s="56" t="s">
        <v>2199</v>
      </c>
      <c r="C139" s="57" t="s">
        <v>28</v>
      </c>
      <c r="D139" s="56" t="s">
        <v>880</v>
      </c>
      <c r="E139" s="57" t="s">
        <v>62</v>
      </c>
      <c r="F139" s="56">
        <v>3</v>
      </c>
      <c r="G139" s="57" t="s">
        <v>761</v>
      </c>
      <c r="H139" s="58">
        <v>46143</v>
      </c>
      <c r="I139" s="57" t="s">
        <v>762</v>
      </c>
      <c r="J139" s="56">
        <v>1</v>
      </c>
      <c r="K139" s="60">
        <v>46143</v>
      </c>
      <c r="L139" s="59">
        <v>200000</v>
      </c>
      <c r="M139" s="57" t="s">
        <v>2220</v>
      </c>
      <c r="N139" s="57" t="s">
        <v>2234</v>
      </c>
      <c r="O139" s="57" t="s">
        <v>2258</v>
      </c>
      <c r="P139" s="57" t="s">
        <v>2284</v>
      </c>
      <c r="Q139" s="57" t="s">
        <v>761</v>
      </c>
    </row>
    <row r="140" spans="1:17" x14ac:dyDescent="0.25">
      <c r="A140" s="55" t="s">
        <v>884</v>
      </c>
      <c r="B140" s="56" t="s">
        <v>2199</v>
      </c>
      <c r="C140" s="57" t="s">
        <v>28</v>
      </c>
      <c r="D140" s="56" t="s">
        <v>885</v>
      </c>
      <c r="E140" s="57" t="s">
        <v>821</v>
      </c>
      <c r="F140" s="56">
        <v>3</v>
      </c>
      <c r="G140" s="57" t="s">
        <v>761</v>
      </c>
      <c r="H140" s="58">
        <v>46113</v>
      </c>
      <c r="I140" s="57" t="s">
        <v>762</v>
      </c>
      <c r="J140" s="56">
        <v>1</v>
      </c>
      <c r="K140" s="60">
        <v>46113</v>
      </c>
      <c r="L140" s="59">
        <v>1030006</v>
      </c>
      <c r="M140" s="57" t="s">
        <v>2220</v>
      </c>
      <c r="N140" s="57" t="s">
        <v>2234</v>
      </c>
      <c r="O140" s="57" t="s">
        <v>2258</v>
      </c>
      <c r="P140" s="57" t="s">
        <v>2284</v>
      </c>
      <c r="Q140" s="57" t="s">
        <v>761</v>
      </c>
    </row>
    <row r="141" spans="1:17" x14ac:dyDescent="0.25">
      <c r="A141" s="55" t="s">
        <v>884</v>
      </c>
      <c r="B141" s="56" t="s">
        <v>2199</v>
      </c>
      <c r="C141" s="57" t="s">
        <v>28</v>
      </c>
      <c r="D141" s="56" t="s">
        <v>885</v>
      </c>
      <c r="E141" s="57" t="s">
        <v>883</v>
      </c>
      <c r="F141" s="56">
        <v>3</v>
      </c>
      <c r="G141" s="57" t="s">
        <v>761</v>
      </c>
      <c r="H141" s="58">
        <v>46174</v>
      </c>
      <c r="I141" s="57" t="s">
        <v>762</v>
      </c>
      <c r="J141" s="56">
        <v>1</v>
      </c>
      <c r="K141" s="60">
        <v>46174</v>
      </c>
      <c r="L141" s="59">
        <v>800000</v>
      </c>
      <c r="M141" s="57" t="s">
        <v>2220</v>
      </c>
      <c r="N141" s="57" t="s">
        <v>2234</v>
      </c>
      <c r="O141" s="57" t="s">
        <v>2258</v>
      </c>
      <c r="P141" s="57" t="s">
        <v>2284</v>
      </c>
      <c r="Q141" s="57" t="s">
        <v>761</v>
      </c>
    </row>
    <row r="142" spans="1:17" x14ac:dyDescent="0.25">
      <c r="A142" s="55" t="s">
        <v>884</v>
      </c>
      <c r="B142" s="56" t="s">
        <v>2199</v>
      </c>
      <c r="C142" s="57" t="s">
        <v>28</v>
      </c>
      <c r="D142" s="56" t="s">
        <v>885</v>
      </c>
      <c r="E142" s="57" t="s">
        <v>887</v>
      </c>
      <c r="F142" s="56">
        <v>3</v>
      </c>
      <c r="G142" s="57" t="s">
        <v>761</v>
      </c>
      <c r="H142" s="58">
        <v>46023</v>
      </c>
      <c r="I142" s="57" t="s">
        <v>762</v>
      </c>
      <c r="J142" s="56">
        <v>1</v>
      </c>
      <c r="K142" s="60">
        <v>46023</v>
      </c>
      <c r="L142" s="59">
        <v>900000</v>
      </c>
      <c r="M142" s="57" t="s">
        <v>2220</v>
      </c>
      <c r="N142" s="57" t="s">
        <v>2234</v>
      </c>
      <c r="O142" s="57" t="s">
        <v>2258</v>
      </c>
      <c r="P142" s="57" t="s">
        <v>2284</v>
      </c>
      <c r="Q142" s="57" t="s">
        <v>761</v>
      </c>
    </row>
    <row r="143" spans="1:17" x14ac:dyDescent="0.25">
      <c r="A143" s="55" t="s">
        <v>1518</v>
      </c>
      <c r="B143" s="56" t="s">
        <v>2199</v>
      </c>
      <c r="C143" s="57" t="s">
        <v>28</v>
      </c>
      <c r="D143" s="56" t="s">
        <v>1520</v>
      </c>
      <c r="E143" s="57" t="s">
        <v>1523</v>
      </c>
      <c r="F143" s="56">
        <v>3</v>
      </c>
      <c r="G143" s="57" t="s">
        <v>761</v>
      </c>
      <c r="H143" s="58">
        <v>46143</v>
      </c>
      <c r="I143" s="57" t="s">
        <v>762</v>
      </c>
      <c r="J143" s="56">
        <v>1</v>
      </c>
      <c r="K143" s="60">
        <v>46143</v>
      </c>
      <c r="L143" s="59">
        <v>50004</v>
      </c>
      <c r="M143" s="57" t="s">
        <v>2220</v>
      </c>
      <c r="N143" s="57" t="s">
        <v>2234</v>
      </c>
      <c r="O143" s="57" t="s">
        <v>2258</v>
      </c>
      <c r="P143" s="57" t="s">
        <v>2284</v>
      </c>
      <c r="Q143" s="57" t="s">
        <v>761</v>
      </c>
    </row>
    <row r="144" spans="1:17" x14ac:dyDescent="0.25">
      <c r="A144" s="55" t="s">
        <v>1518</v>
      </c>
      <c r="B144" s="56" t="s">
        <v>2199</v>
      </c>
      <c r="C144" s="57" t="s">
        <v>28</v>
      </c>
      <c r="D144" s="56" t="s">
        <v>1520</v>
      </c>
      <c r="E144" s="57" t="s">
        <v>1524</v>
      </c>
      <c r="F144" s="56">
        <v>3</v>
      </c>
      <c r="G144" s="57" t="s">
        <v>761</v>
      </c>
      <c r="H144" s="58">
        <v>46143</v>
      </c>
      <c r="I144" s="57" t="s">
        <v>762</v>
      </c>
      <c r="J144" s="56">
        <v>1</v>
      </c>
      <c r="K144" s="60">
        <v>46143</v>
      </c>
      <c r="L144" s="59">
        <v>650000</v>
      </c>
      <c r="M144" s="57" t="s">
        <v>2220</v>
      </c>
      <c r="N144" s="57" t="s">
        <v>2234</v>
      </c>
      <c r="O144" s="57" t="s">
        <v>2258</v>
      </c>
      <c r="P144" s="57" t="s">
        <v>2284</v>
      </c>
      <c r="Q144" s="57" t="s">
        <v>761</v>
      </c>
    </row>
    <row r="145" spans="1:17" x14ac:dyDescent="0.25">
      <c r="A145" s="55" t="s">
        <v>1518</v>
      </c>
      <c r="B145" s="56" t="s">
        <v>2199</v>
      </c>
      <c r="C145" s="57" t="s">
        <v>28</v>
      </c>
      <c r="D145" s="56" t="s">
        <v>1520</v>
      </c>
      <c r="E145" s="57" t="s">
        <v>1522</v>
      </c>
      <c r="F145" s="56">
        <v>3</v>
      </c>
      <c r="G145" s="57" t="s">
        <v>761</v>
      </c>
      <c r="H145" s="58">
        <v>46143</v>
      </c>
      <c r="I145" s="57" t="s">
        <v>762</v>
      </c>
      <c r="J145" s="56">
        <v>1</v>
      </c>
      <c r="K145" s="60">
        <v>46143</v>
      </c>
      <c r="L145" s="59">
        <v>960000</v>
      </c>
      <c r="M145" s="57" t="s">
        <v>2220</v>
      </c>
      <c r="N145" s="57" t="s">
        <v>2234</v>
      </c>
      <c r="O145" s="57" t="s">
        <v>2258</v>
      </c>
      <c r="P145" s="57" t="s">
        <v>2284</v>
      </c>
      <c r="Q145" s="57" t="s">
        <v>761</v>
      </c>
    </row>
    <row r="146" spans="1:17" x14ac:dyDescent="0.25">
      <c r="A146" s="55" t="s">
        <v>1532</v>
      </c>
      <c r="B146" s="56" t="s">
        <v>2199</v>
      </c>
      <c r="C146" s="57" t="s">
        <v>28</v>
      </c>
      <c r="D146" s="56" t="s">
        <v>1533</v>
      </c>
      <c r="E146" s="57" t="s">
        <v>1536</v>
      </c>
      <c r="F146" s="56">
        <v>5</v>
      </c>
      <c r="G146" s="57" t="s">
        <v>761</v>
      </c>
      <c r="H146" s="58">
        <v>46143</v>
      </c>
      <c r="I146" s="57" t="s">
        <v>762</v>
      </c>
      <c r="J146" s="56">
        <v>1</v>
      </c>
      <c r="K146" s="60">
        <v>46143</v>
      </c>
      <c r="L146" s="59">
        <v>120000</v>
      </c>
      <c r="M146" s="57" t="s">
        <v>2220</v>
      </c>
      <c r="N146" s="57" t="s">
        <v>2234</v>
      </c>
      <c r="O146" s="57" t="s">
        <v>2258</v>
      </c>
      <c r="P146" s="57" t="s">
        <v>2284</v>
      </c>
      <c r="Q146" s="57" t="s">
        <v>761</v>
      </c>
    </row>
    <row r="147" spans="1:17" x14ac:dyDescent="0.25">
      <c r="A147" s="55" t="s">
        <v>1532</v>
      </c>
      <c r="B147" s="56" t="s">
        <v>2199</v>
      </c>
      <c r="C147" s="57" t="s">
        <v>28</v>
      </c>
      <c r="D147" s="56" t="s">
        <v>1533</v>
      </c>
      <c r="E147" s="57" t="s">
        <v>1534</v>
      </c>
      <c r="F147" s="56">
        <v>5</v>
      </c>
      <c r="G147" s="57" t="s">
        <v>761</v>
      </c>
      <c r="H147" s="58">
        <v>46143</v>
      </c>
      <c r="I147" s="57" t="s">
        <v>762</v>
      </c>
      <c r="J147" s="56">
        <v>1</v>
      </c>
      <c r="K147" s="60">
        <v>46143</v>
      </c>
      <c r="L147" s="59">
        <v>1100001</v>
      </c>
      <c r="M147" s="57" t="s">
        <v>2220</v>
      </c>
      <c r="N147" s="57" t="s">
        <v>2234</v>
      </c>
      <c r="O147" s="57" t="s">
        <v>2258</v>
      </c>
      <c r="P147" s="57" t="s">
        <v>2284</v>
      </c>
      <c r="Q147" s="57" t="s">
        <v>761</v>
      </c>
    </row>
    <row r="148" spans="1:17" x14ac:dyDescent="0.25">
      <c r="A148" s="55" t="s">
        <v>1532</v>
      </c>
      <c r="B148" s="56" t="s">
        <v>2199</v>
      </c>
      <c r="C148" s="57" t="s">
        <v>28</v>
      </c>
      <c r="D148" s="56" t="s">
        <v>1533</v>
      </c>
      <c r="E148" s="57" t="s">
        <v>1537</v>
      </c>
      <c r="F148" s="56">
        <v>5</v>
      </c>
      <c r="G148" s="57" t="s">
        <v>761</v>
      </c>
      <c r="H148" s="58">
        <v>46143</v>
      </c>
      <c r="I148" s="57" t="s">
        <v>762</v>
      </c>
      <c r="J148" s="56">
        <v>1</v>
      </c>
      <c r="K148" s="60">
        <v>46143</v>
      </c>
      <c r="L148" s="59">
        <v>30000</v>
      </c>
      <c r="M148" s="57" t="s">
        <v>2220</v>
      </c>
      <c r="N148" s="57" t="s">
        <v>2234</v>
      </c>
      <c r="O148" s="57" t="s">
        <v>2258</v>
      </c>
      <c r="P148" s="57" t="s">
        <v>2284</v>
      </c>
      <c r="Q148" s="57" t="s">
        <v>761</v>
      </c>
    </row>
    <row r="149" spans="1:17" x14ac:dyDescent="0.25">
      <c r="A149" s="55" t="s">
        <v>1532</v>
      </c>
      <c r="B149" s="56" t="s">
        <v>2199</v>
      </c>
      <c r="C149" s="57" t="s">
        <v>28</v>
      </c>
      <c r="D149" s="56" t="s">
        <v>1533</v>
      </c>
      <c r="E149" s="57" t="s">
        <v>1538</v>
      </c>
      <c r="F149" s="56">
        <v>5</v>
      </c>
      <c r="G149" s="57" t="s">
        <v>761</v>
      </c>
      <c r="H149" s="58">
        <v>46143</v>
      </c>
      <c r="I149" s="57" t="s">
        <v>762</v>
      </c>
      <c r="J149" s="56">
        <v>1</v>
      </c>
      <c r="K149" s="60">
        <v>46143</v>
      </c>
      <c r="L149" s="59">
        <v>390000</v>
      </c>
      <c r="M149" s="57" t="s">
        <v>2220</v>
      </c>
      <c r="N149" s="57" t="s">
        <v>2234</v>
      </c>
      <c r="O149" s="57" t="s">
        <v>2258</v>
      </c>
      <c r="P149" s="57" t="s">
        <v>2284</v>
      </c>
      <c r="Q149" s="57" t="s">
        <v>761</v>
      </c>
    </row>
    <row r="150" spans="1:17" x14ac:dyDescent="0.25">
      <c r="A150" s="55" t="s">
        <v>1532</v>
      </c>
      <c r="B150" s="56" t="s">
        <v>2199</v>
      </c>
      <c r="C150" s="57" t="s">
        <v>28</v>
      </c>
      <c r="D150" s="56" t="s">
        <v>1533</v>
      </c>
      <c r="E150" s="57" t="s">
        <v>1535</v>
      </c>
      <c r="F150" s="56">
        <v>5</v>
      </c>
      <c r="G150" s="57" t="s">
        <v>761</v>
      </c>
      <c r="H150" s="58">
        <v>46143</v>
      </c>
      <c r="I150" s="57" t="s">
        <v>762</v>
      </c>
      <c r="J150" s="56">
        <v>1</v>
      </c>
      <c r="K150" s="60">
        <v>46143</v>
      </c>
      <c r="L150" s="59">
        <v>1100090</v>
      </c>
      <c r="M150" s="57" t="s">
        <v>2220</v>
      </c>
      <c r="N150" s="57" t="s">
        <v>2234</v>
      </c>
      <c r="O150" s="57" t="s">
        <v>2258</v>
      </c>
      <c r="P150" s="57" t="s">
        <v>2284</v>
      </c>
      <c r="Q150" s="57" t="s">
        <v>761</v>
      </c>
    </row>
    <row r="151" spans="1:17" x14ac:dyDescent="0.25">
      <c r="A151" s="55" t="s">
        <v>1546</v>
      </c>
      <c r="B151" s="56" t="s">
        <v>2199</v>
      </c>
      <c r="C151" s="57" t="s">
        <v>28</v>
      </c>
      <c r="D151" s="56" t="s">
        <v>1548</v>
      </c>
      <c r="E151" s="57" t="s">
        <v>1549</v>
      </c>
      <c r="F151" s="56">
        <v>3</v>
      </c>
      <c r="G151" s="57" t="s">
        <v>761</v>
      </c>
      <c r="H151" s="58">
        <v>46143</v>
      </c>
      <c r="I151" s="57" t="s">
        <v>762</v>
      </c>
      <c r="J151" s="56">
        <v>1</v>
      </c>
      <c r="K151" s="60">
        <v>46143</v>
      </c>
      <c r="L151" s="59">
        <v>746010</v>
      </c>
      <c r="M151" s="57" t="s">
        <v>2220</v>
      </c>
      <c r="N151" s="57" t="s">
        <v>2234</v>
      </c>
      <c r="O151" s="57" t="s">
        <v>2258</v>
      </c>
      <c r="P151" s="57" t="s">
        <v>2284</v>
      </c>
      <c r="Q151" s="57" t="s">
        <v>761</v>
      </c>
    </row>
    <row r="152" spans="1:17" x14ac:dyDescent="0.25">
      <c r="A152" s="55" t="s">
        <v>1546</v>
      </c>
      <c r="B152" s="56" t="s">
        <v>2199</v>
      </c>
      <c r="C152" s="57" t="s">
        <v>28</v>
      </c>
      <c r="D152" s="56" t="s">
        <v>1548</v>
      </c>
      <c r="E152" s="57" t="s">
        <v>1550</v>
      </c>
      <c r="F152" s="56">
        <v>3</v>
      </c>
      <c r="G152" s="57" t="s">
        <v>761</v>
      </c>
      <c r="H152" s="58">
        <v>46143</v>
      </c>
      <c r="I152" s="57" t="s">
        <v>762</v>
      </c>
      <c r="J152" s="56">
        <v>1</v>
      </c>
      <c r="K152" s="60">
        <v>46143</v>
      </c>
      <c r="L152" s="59">
        <v>480032</v>
      </c>
      <c r="M152" s="57" t="s">
        <v>2220</v>
      </c>
      <c r="N152" s="57" t="s">
        <v>2234</v>
      </c>
      <c r="O152" s="57" t="s">
        <v>2258</v>
      </c>
      <c r="P152" s="57" t="s">
        <v>2284</v>
      </c>
      <c r="Q152" s="57" t="s">
        <v>761</v>
      </c>
    </row>
    <row r="153" spans="1:17" x14ac:dyDescent="0.25">
      <c r="A153" s="55" t="s">
        <v>1546</v>
      </c>
      <c r="B153" s="56" t="s">
        <v>2199</v>
      </c>
      <c r="C153" s="57" t="s">
        <v>28</v>
      </c>
      <c r="D153" s="56" t="s">
        <v>1548</v>
      </c>
      <c r="E153" s="57" t="s">
        <v>1227</v>
      </c>
      <c r="F153" s="56">
        <v>3</v>
      </c>
      <c r="G153" s="57" t="s">
        <v>761</v>
      </c>
      <c r="H153" s="58">
        <v>46143</v>
      </c>
      <c r="I153" s="57" t="s">
        <v>762</v>
      </c>
      <c r="J153" s="56">
        <v>1</v>
      </c>
      <c r="K153" s="60">
        <v>46143</v>
      </c>
      <c r="L153" s="59">
        <v>96000</v>
      </c>
      <c r="M153" s="57" t="s">
        <v>2220</v>
      </c>
      <c r="N153" s="57" t="s">
        <v>2234</v>
      </c>
      <c r="O153" s="57" t="s">
        <v>2258</v>
      </c>
      <c r="P153" s="57" t="s">
        <v>2284</v>
      </c>
      <c r="Q153" s="57" t="s">
        <v>761</v>
      </c>
    </row>
    <row r="154" spans="1:17" x14ac:dyDescent="0.25">
      <c r="A154" s="55" t="s">
        <v>1551</v>
      </c>
      <c r="B154" s="56" t="s">
        <v>2199</v>
      </c>
      <c r="C154" s="57" t="s">
        <v>28</v>
      </c>
      <c r="D154" s="56" t="s">
        <v>1553</v>
      </c>
      <c r="E154" s="57" t="s">
        <v>1554</v>
      </c>
      <c r="F154" s="56">
        <v>1</v>
      </c>
      <c r="G154" s="57" t="s">
        <v>761</v>
      </c>
      <c r="H154" s="58">
        <v>46143</v>
      </c>
      <c r="I154" s="57" t="s">
        <v>762</v>
      </c>
      <c r="J154" s="56">
        <v>1</v>
      </c>
      <c r="K154" s="60">
        <v>46143</v>
      </c>
      <c r="L154" s="59">
        <v>334061</v>
      </c>
      <c r="M154" s="57" t="s">
        <v>2220</v>
      </c>
      <c r="N154" s="57" t="s">
        <v>2234</v>
      </c>
      <c r="O154" s="57" t="s">
        <v>2258</v>
      </c>
      <c r="P154" s="57" t="s">
        <v>2284</v>
      </c>
      <c r="Q154" s="57" t="s">
        <v>761</v>
      </c>
    </row>
    <row r="155" spans="1:17" x14ac:dyDescent="0.25">
      <c r="A155" s="55" t="s">
        <v>1590</v>
      </c>
      <c r="B155" s="56" t="s">
        <v>2199</v>
      </c>
      <c r="C155" s="57" t="s">
        <v>374</v>
      </c>
      <c r="D155" s="56" t="s">
        <v>1591</v>
      </c>
      <c r="E155" s="57" t="s">
        <v>1592</v>
      </c>
      <c r="F155" s="56">
        <v>3</v>
      </c>
      <c r="G155" s="57" t="s">
        <v>761</v>
      </c>
      <c r="H155" s="58">
        <v>46143</v>
      </c>
      <c r="I155" s="57" t="s">
        <v>762</v>
      </c>
      <c r="J155" s="56">
        <v>1</v>
      </c>
      <c r="K155" s="60">
        <v>46143</v>
      </c>
      <c r="L155" s="59">
        <v>150000</v>
      </c>
      <c r="M155" s="57" t="s">
        <v>2220</v>
      </c>
      <c r="N155" s="57" t="s">
        <v>2234</v>
      </c>
      <c r="O155" s="57" t="s">
        <v>2258</v>
      </c>
      <c r="P155" s="57" t="s">
        <v>2284</v>
      </c>
      <c r="Q155" s="57" t="s">
        <v>761</v>
      </c>
    </row>
    <row r="156" spans="1:17" x14ac:dyDescent="0.25">
      <c r="A156" s="55" t="s">
        <v>1590</v>
      </c>
      <c r="B156" s="56" t="s">
        <v>2199</v>
      </c>
      <c r="C156" s="57" t="s">
        <v>374</v>
      </c>
      <c r="D156" s="56" t="s">
        <v>1591</v>
      </c>
      <c r="E156" s="57" t="s">
        <v>1594</v>
      </c>
      <c r="F156" s="56">
        <v>3</v>
      </c>
      <c r="G156" s="57" t="s">
        <v>761</v>
      </c>
      <c r="H156" s="58">
        <v>46143</v>
      </c>
      <c r="I156" s="57" t="s">
        <v>762</v>
      </c>
      <c r="J156" s="56">
        <v>1</v>
      </c>
      <c r="K156" s="60">
        <v>46143</v>
      </c>
      <c r="L156" s="59">
        <v>75000</v>
      </c>
      <c r="M156" s="57" t="s">
        <v>2220</v>
      </c>
      <c r="N156" s="57" t="s">
        <v>2234</v>
      </c>
      <c r="O156" s="57" t="s">
        <v>2258</v>
      </c>
      <c r="P156" s="57" t="s">
        <v>2284</v>
      </c>
      <c r="Q156" s="57" t="s">
        <v>761</v>
      </c>
    </row>
    <row r="157" spans="1:17" x14ac:dyDescent="0.25">
      <c r="A157" s="55" t="s">
        <v>1590</v>
      </c>
      <c r="B157" s="56" t="s">
        <v>2199</v>
      </c>
      <c r="C157" s="57" t="s">
        <v>374</v>
      </c>
      <c r="D157" s="56" t="s">
        <v>1591</v>
      </c>
      <c r="E157" s="57" t="s">
        <v>1593</v>
      </c>
      <c r="F157" s="56">
        <v>3</v>
      </c>
      <c r="G157" s="57" t="s">
        <v>761</v>
      </c>
      <c r="H157" s="58">
        <v>46143</v>
      </c>
      <c r="I157" s="57" t="s">
        <v>762</v>
      </c>
      <c r="J157" s="56">
        <v>1</v>
      </c>
      <c r="K157" s="60">
        <v>46143</v>
      </c>
      <c r="L157" s="59">
        <v>70000</v>
      </c>
      <c r="M157" s="57" t="s">
        <v>2220</v>
      </c>
      <c r="N157" s="57" t="s">
        <v>2234</v>
      </c>
      <c r="O157" s="57" t="s">
        <v>2258</v>
      </c>
      <c r="P157" s="57" t="s">
        <v>2284</v>
      </c>
      <c r="Q157" s="57" t="s">
        <v>761</v>
      </c>
    </row>
    <row r="158" spans="1:17" x14ac:dyDescent="0.25">
      <c r="A158" s="55" t="s">
        <v>1856</v>
      </c>
      <c r="B158" s="56" t="s">
        <v>2199</v>
      </c>
      <c r="C158" s="57" t="s">
        <v>28</v>
      </c>
      <c r="D158" s="56" t="s">
        <v>1857</v>
      </c>
      <c r="E158" s="57" t="s">
        <v>760</v>
      </c>
      <c r="F158" s="56">
        <v>1</v>
      </c>
      <c r="G158" s="57" t="s">
        <v>761</v>
      </c>
      <c r="H158" s="58">
        <v>46174</v>
      </c>
      <c r="I158" s="57" t="s">
        <v>762</v>
      </c>
      <c r="J158" s="56">
        <v>1</v>
      </c>
      <c r="K158" s="60">
        <v>46174</v>
      </c>
      <c r="L158" s="59">
        <v>1250000</v>
      </c>
      <c r="M158" s="57" t="s">
        <v>2220</v>
      </c>
      <c r="N158" s="57" t="s">
        <v>2234</v>
      </c>
      <c r="O158" s="57" t="s">
        <v>2258</v>
      </c>
      <c r="P158" s="57" t="s">
        <v>2284</v>
      </c>
      <c r="Q158" s="57" t="s">
        <v>761</v>
      </c>
    </row>
    <row r="159" spans="1:17" x14ac:dyDescent="0.25">
      <c r="A159" s="55" t="s">
        <v>1901</v>
      </c>
      <c r="B159" s="56" t="s">
        <v>2199</v>
      </c>
      <c r="C159" s="57" t="s">
        <v>28</v>
      </c>
      <c r="D159" s="56" t="s">
        <v>1903</v>
      </c>
      <c r="E159" s="57" t="s">
        <v>359</v>
      </c>
      <c r="F159" s="56">
        <v>3</v>
      </c>
      <c r="G159" s="57" t="s">
        <v>761</v>
      </c>
      <c r="H159" s="58">
        <v>46023</v>
      </c>
      <c r="I159" s="57" t="s">
        <v>762</v>
      </c>
      <c r="J159" s="56">
        <v>1</v>
      </c>
      <c r="K159" s="60">
        <v>46054</v>
      </c>
      <c r="L159" s="59">
        <v>5255136</v>
      </c>
      <c r="M159" s="57" t="s">
        <v>2220</v>
      </c>
      <c r="N159" s="57" t="s">
        <v>2234</v>
      </c>
      <c r="O159" s="57" t="s">
        <v>2258</v>
      </c>
      <c r="P159" s="57" t="s">
        <v>2284</v>
      </c>
      <c r="Q159" s="57" t="s">
        <v>761</v>
      </c>
    </row>
    <row r="160" spans="1:17" x14ac:dyDescent="0.25">
      <c r="A160" s="55" t="s">
        <v>1901</v>
      </c>
      <c r="B160" s="56" t="s">
        <v>2199</v>
      </c>
      <c r="C160" s="57" t="s">
        <v>28</v>
      </c>
      <c r="D160" s="56" t="s">
        <v>1903</v>
      </c>
      <c r="E160" s="57" t="s">
        <v>1907</v>
      </c>
      <c r="F160" s="56">
        <v>3</v>
      </c>
      <c r="G160" s="57" t="s">
        <v>761</v>
      </c>
      <c r="H160" s="58">
        <v>46023</v>
      </c>
      <c r="I160" s="57" t="s">
        <v>762</v>
      </c>
      <c r="J160" s="56">
        <v>1</v>
      </c>
      <c r="K160" s="60">
        <v>46054</v>
      </c>
      <c r="L160" s="59">
        <v>1261902</v>
      </c>
      <c r="M160" s="57" t="s">
        <v>2220</v>
      </c>
      <c r="N160" s="57" t="s">
        <v>2234</v>
      </c>
      <c r="O160" s="57" t="s">
        <v>2258</v>
      </c>
      <c r="P160" s="57" t="s">
        <v>2284</v>
      </c>
      <c r="Q160" s="57" t="s">
        <v>761</v>
      </c>
    </row>
    <row r="161" spans="1:17" x14ac:dyDescent="0.25">
      <c r="A161" s="55" t="s">
        <v>1942</v>
      </c>
      <c r="B161" s="56" t="s">
        <v>2199</v>
      </c>
      <c r="C161" s="57" t="s">
        <v>28</v>
      </c>
      <c r="D161" s="56" t="s">
        <v>1943</v>
      </c>
      <c r="E161" s="57" t="s">
        <v>1945</v>
      </c>
      <c r="F161" s="56">
        <v>3</v>
      </c>
      <c r="G161" s="57" t="s">
        <v>761</v>
      </c>
      <c r="H161" s="58">
        <v>46174</v>
      </c>
      <c r="I161" s="57" t="s">
        <v>762</v>
      </c>
      <c r="J161" s="56">
        <v>1</v>
      </c>
      <c r="K161" s="60">
        <v>46204</v>
      </c>
      <c r="L161" s="59">
        <v>239016</v>
      </c>
      <c r="M161" s="57" t="s">
        <v>2220</v>
      </c>
      <c r="N161" s="57" t="s">
        <v>2234</v>
      </c>
      <c r="O161" s="57" t="s">
        <v>2258</v>
      </c>
      <c r="P161" s="57" t="s">
        <v>2284</v>
      </c>
      <c r="Q161" s="57" t="s">
        <v>761</v>
      </c>
    </row>
    <row r="162" spans="1:17" x14ac:dyDescent="0.25">
      <c r="A162" s="55" t="s">
        <v>1942</v>
      </c>
      <c r="B162" s="56" t="s">
        <v>2199</v>
      </c>
      <c r="C162" s="57" t="s">
        <v>28</v>
      </c>
      <c r="D162" s="56" t="s">
        <v>1943</v>
      </c>
      <c r="E162" s="57" t="s">
        <v>1947</v>
      </c>
      <c r="F162" s="56">
        <v>3</v>
      </c>
      <c r="G162" s="57" t="s">
        <v>761</v>
      </c>
      <c r="H162" s="58">
        <v>46174</v>
      </c>
      <c r="I162" s="57" t="s">
        <v>762</v>
      </c>
      <c r="J162" s="56">
        <v>1</v>
      </c>
      <c r="K162" s="60">
        <v>46204</v>
      </c>
      <c r="L162" s="59">
        <v>480320</v>
      </c>
      <c r="M162" s="57" t="s">
        <v>2220</v>
      </c>
      <c r="N162" s="57" t="s">
        <v>2234</v>
      </c>
      <c r="O162" s="57" t="s">
        <v>2258</v>
      </c>
      <c r="P162" s="57" t="s">
        <v>2284</v>
      </c>
      <c r="Q162" s="57" t="s">
        <v>761</v>
      </c>
    </row>
    <row r="163" spans="1:17" x14ac:dyDescent="0.25">
      <c r="A163" s="55" t="s">
        <v>1942</v>
      </c>
      <c r="B163" s="56" t="s">
        <v>2199</v>
      </c>
      <c r="C163" s="57" t="s">
        <v>28</v>
      </c>
      <c r="D163" s="56" t="s">
        <v>1943</v>
      </c>
      <c r="E163" s="57" t="s">
        <v>1946</v>
      </c>
      <c r="F163" s="56">
        <v>3</v>
      </c>
      <c r="G163" s="57" t="s">
        <v>761</v>
      </c>
      <c r="H163" s="58">
        <v>46174</v>
      </c>
      <c r="I163" s="57" t="s">
        <v>762</v>
      </c>
      <c r="J163" s="56">
        <v>1</v>
      </c>
      <c r="K163" s="60">
        <v>46204</v>
      </c>
      <c r="L163" s="59">
        <v>1074052</v>
      </c>
      <c r="M163" s="57" t="s">
        <v>2220</v>
      </c>
      <c r="N163" s="57" t="s">
        <v>2234</v>
      </c>
      <c r="O163" s="57" t="s">
        <v>2258</v>
      </c>
      <c r="P163" s="57" t="s">
        <v>2284</v>
      </c>
      <c r="Q163" s="57" t="s">
        <v>761</v>
      </c>
    </row>
    <row r="164" spans="1:17" x14ac:dyDescent="0.25">
      <c r="A164" s="55" t="s">
        <v>1951</v>
      </c>
      <c r="B164" s="56" t="s">
        <v>2199</v>
      </c>
      <c r="C164" s="57" t="s">
        <v>28</v>
      </c>
      <c r="D164" s="56" t="s">
        <v>1952</v>
      </c>
      <c r="E164" s="57" t="s">
        <v>1864</v>
      </c>
      <c r="F164" s="56">
        <v>2</v>
      </c>
      <c r="G164" s="57" t="s">
        <v>761</v>
      </c>
      <c r="H164" s="58">
        <v>46082</v>
      </c>
      <c r="I164" s="57" t="s">
        <v>762</v>
      </c>
      <c r="J164" s="56">
        <v>1</v>
      </c>
      <c r="K164" s="60">
        <v>46113</v>
      </c>
      <c r="L164" s="59">
        <v>809217</v>
      </c>
      <c r="M164" s="57" t="s">
        <v>2220</v>
      </c>
      <c r="N164" s="57" t="s">
        <v>2234</v>
      </c>
      <c r="O164" s="57" t="s">
        <v>2258</v>
      </c>
      <c r="P164" s="57" t="s">
        <v>2284</v>
      </c>
      <c r="Q164" s="57" t="s">
        <v>761</v>
      </c>
    </row>
    <row r="165" spans="1:17" x14ac:dyDescent="0.25">
      <c r="A165" s="55" t="s">
        <v>1951</v>
      </c>
      <c r="B165" s="56" t="s">
        <v>2199</v>
      </c>
      <c r="C165" s="57" t="s">
        <v>28</v>
      </c>
      <c r="D165" s="56" t="s">
        <v>1952</v>
      </c>
      <c r="E165" s="57" t="s">
        <v>1938</v>
      </c>
      <c r="F165" s="56">
        <v>2</v>
      </c>
      <c r="G165" s="57" t="s">
        <v>761</v>
      </c>
      <c r="H165" s="58">
        <v>46082</v>
      </c>
      <c r="I165" s="57" t="s">
        <v>762</v>
      </c>
      <c r="J165" s="56">
        <v>1</v>
      </c>
      <c r="K165" s="60">
        <v>46113</v>
      </c>
      <c r="L165" s="59">
        <v>340060</v>
      </c>
      <c r="M165" s="57" t="s">
        <v>2220</v>
      </c>
      <c r="N165" s="57" t="s">
        <v>2234</v>
      </c>
      <c r="O165" s="57" t="s">
        <v>2258</v>
      </c>
      <c r="P165" s="57" t="s">
        <v>2284</v>
      </c>
      <c r="Q165" s="57" t="s">
        <v>761</v>
      </c>
    </row>
    <row r="166" spans="1:17" x14ac:dyDescent="0.25">
      <c r="A166" s="55" t="s">
        <v>2089</v>
      </c>
      <c r="B166" s="56" t="s">
        <v>2199</v>
      </c>
      <c r="C166" s="57" t="s">
        <v>28</v>
      </c>
      <c r="D166" s="56" t="s">
        <v>2090</v>
      </c>
      <c r="E166" s="57" t="s">
        <v>2096</v>
      </c>
      <c r="F166" s="56">
        <v>6</v>
      </c>
      <c r="G166" s="57" t="s">
        <v>761</v>
      </c>
      <c r="H166" s="58">
        <v>46113</v>
      </c>
      <c r="I166" s="57" t="s">
        <v>762</v>
      </c>
      <c r="J166" s="56">
        <v>1</v>
      </c>
      <c r="K166" s="60">
        <v>46143</v>
      </c>
      <c r="L166" s="59">
        <v>30000</v>
      </c>
      <c r="M166" s="57" t="s">
        <v>2220</v>
      </c>
      <c r="N166" s="57" t="s">
        <v>2234</v>
      </c>
      <c r="O166" s="57" t="s">
        <v>2258</v>
      </c>
      <c r="P166" s="57" t="s">
        <v>2284</v>
      </c>
      <c r="Q166" s="57" t="s">
        <v>761</v>
      </c>
    </row>
    <row r="167" spans="1:17" x14ac:dyDescent="0.25">
      <c r="A167" s="55" t="s">
        <v>2089</v>
      </c>
      <c r="B167" s="56" t="s">
        <v>2199</v>
      </c>
      <c r="C167" s="57" t="s">
        <v>28</v>
      </c>
      <c r="D167" s="56" t="s">
        <v>2090</v>
      </c>
      <c r="E167" s="57" t="s">
        <v>2092</v>
      </c>
      <c r="F167" s="56">
        <v>6</v>
      </c>
      <c r="G167" s="57" t="s">
        <v>761</v>
      </c>
      <c r="H167" s="58">
        <v>46113</v>
      </c>
      <c r="I167" s="57" t="s">
        <v>762</v>
      </c>
      <c r="J167" s="56">
        <v>1</v>
      </c>
      <c r="K167" s="60">
        <v>46143</v>
      </c>
      <c r="L167" s="59">
        <v>343480</v>
      </c>
      <c r="M167" s="57" t="s">
        <v>2220</v>
      </c>
      <c r="N167" s="57" t="s">
        <v>2234</v>
      </c>
      <c r="O167" s="57" t="s">
        <v>2258</v>
      </c>
      <c r="P167" s="57" t="s">
        <v>2284</v>
      </c>
      <c r="Q167" s="57" t="s">
        <v>761</v>
      </c>
    </row>
    <row r="168" spans="1:17" x14ac:dyDescent="0.25">
      <c r="A168" s="55" t="s">
        <v>2089</v>
      </c>
      <c r="B168" s="56" t="s">
        <v>2199</v>
      </c>
      <c r="C168" s="57" t="s">
        <v>28</v>
      </c>
      <c r="D168" s="56" t="s">
        <v>2090</v>
      </c>
      <c r="E168" s="57" t="s">
        <v>1864</v>
      </c>
      <c r="F168" s="56">
        <v>6</v>
      </c>
      <c r="G168" s="57" t="s">
        <v>761</v>
      </c>
      <c r="H168" s="58">
        <v>46113</v>
      </c>
      <c r="I168" s="57" t="s">
        <v>762</v>
      </c>
      <c r="J168" s="56">
        <v>1</v>
      </c>
      <c r="K168" s="60">
        <v>46143</v>
      </c>
      <c r="L168" s="59">
        <v>230040</v>
      </c>
      <c r="M168" s="57" t="s">
        <v>2220</v>
      </c>
      <c r="N168" s="57" t="s">
        <v>2234</v>
      </c>
      <c r="O168" s="57" t="s">
        <v>2258</v>
      </c>
      <c r="P168" s="57" t="s">
        <v>2284</v>
      </c>
      <c r="Q168" s="57" t="s">
        <v>761</v>
      </c>
    </row>
    <row r="169" spans="1:17" x14ac:dyDescent="0.25">
      <c r="A169" s="55" t="s">
        <v>2089</v>
      </c>
      <c r="B169" s="56" t="s">
        <v>2199</v>
      </c>
      <c r="C169" s="57" t="s">
        <v>28</v>
      </c>
      <c r="D169" s="56" t="s">
        <v>2090</v>
      </c>
      <c r="E169" s="57" t="s">
        <v>1938</v>
      </c>
      <c r="F169" s="56">
        <v>6</v>
      </c>
      <c r="G169" s="57" t="s">
        <v>761</v>
      </c>
      <c r="H169" s="58">
        <v>46113</v>
      </c>
      <c r="I169" s="57" t="s">
        <v>762</v>
      </c>
      <c r="J169" s="56">
        <v>1</v>
      </c>
      <c r="K169" s="60">
        <v>46143</v>
      </c>
      <c r="L169" s="59">
        <v>220110</v>
      </c>
      <c r="M169" s="57" t="s">
        <v>2220</v>
      </c>
      <c r="N169" s="57" t="s">
        <v>2234</v>
      </c>
      <c r="O169" s="57" t="s">
        <v>2258</v>
      </c>
      <c r="P169" s="57" t="s">
        <v>2284</v>
      </c>
      <c r="Q169" s="57" t="s">
        <v>761</v>
      </c>
    </row>
    <row r="170" spans="1:17" x14ac:dyDescent="0.25">
      <c r="A170" s="55" t="s">
        <v>2089</v>
      </c>
      <c r="B170" s="56" t="s">
        <v>2199</v>
      </c>
      <c r="C170" s="57" t="s">
        <v>28</v>
      </c>
      <c r="D170" s="56" t="s">
        <v>2090</v>
      </c>
      <c r="E170" s="57" t="s">
        <v>2093</v>
      </c>
      <c r="F170" s="56">
        <v>6</v>
      </c>
      <c r="G170" s="57" t="s">
        <v>761</v>
      </c>
      <c r="H170" s="58">
        <v>46113</v>
      </c>
      <c r="I170" s="57" t="s">
        <v>762</v>
      </c>
      <c r="J170" s="56">
        <v>1</v>
      </c>
      <c r="K170" s="60">
        <v>46143</v>
      </c>
      <c r="L170" s="59">
        <v>100000</v>
      </c>
      <c r="M170" s="57" t="s">
        <v>2220</v>
      </c>
      <c r="N170" s="57" t="s">
        <v>2234</v>
      </c>
      <c r="O170" s="57" t="s">
        <v>2258</v>
      </c>
      <c r="P170" s="57" t="s">
        <v>2284</v>
      </c>
      <c r="Q170" s="57" t="s">
        <v>761</v>
      </c>
    </row>
    <row r="171" spans="1:17" x14ac:dyDescent="0.25">
      <c r="A171" s="55" t="s">
        <v>2089</v>
      </c>
      <c r="B171" s="56" t="s">
        <v>2199</v>
      </c>
      <c r="C171" s="57" t="s">
        <v>28</v>
      </c>
      <c r="D171" s="56" t="s">
        <v>2090</v>
      </c>
      <c r="E171" s="57" t="s">
        <v>2095</v>
      </c>
      <c r="F171" s="56">
        <v>6</v>
      </c>
      <c r="G171" s="57" t="s">
        <v>761</v>
      </c>
      <c r="H171" s="58">
        <v>46113</v>
      </c>
      <c r="I171" s="57" t="s">
        <v>762</v>
      </c>
      <c r="J171" s="56">
        <v>1</v>
      </c>
      <c r="K171" s="60">
        <v>46143</v>
      </c>
      <c r="L171" s="59">
        <v>2364300</v>
      </c>
      <c r="M171" s="57" t="s">
        <v>2220</v>
      </c>
      <c r="N171" s="57" t="s">
        <v>2234</v>
      </c>
      <c r="O171" s="57" t="s">
        <v>2258</v>
      </c>
      <c r="P171" s="57" t="s">
        <v>2284</v>
      </c>
      <c r="Q171" s="57" t="s">
        <v>761</v>
      </c>
    </row>
    <row r="172" spans="1:17" x14ac:dyDescent="0.25">
      <c r="A172" s="55" t="s">
        <v>2107</v>
      </c>
      <c r="B172" s="56" t="s">
        <v>2199</v>
      </c>
      <c r="C172" s="57" t="s">
        <v>28</v>
      </c>
      <c r="D172" s="56" t="s">
        <v>2108</v>
      </c>
      <c r="E172" s="57" t="s">
        <v>486</v>
      </c>
      <c r="F172" s="56">
        <v>3</v>
      </c>
      <c r="G172" s="57" t="s">
        <v>761</v>
      </c>
      <c r="H172" s="58">
        <v>46054</v>
      </c>
      <c r="I172" s="57" t="s">
        <v>762</v>
      </c>
      <c r="J172" s="56">
        <v>1</v>
      </c>
      <c r="K172" s="60">
        <v>46054</v>
      </c>
      <c r="L172" s="59">
        <v>1975000</v>
      </c>
      <c r="M172" s="57" t="s">
        <v>2220</v>
      </c>
      <c r="N172" s="57" t="s">
        <v>2234</v>
      </c>
      <c r="O172" s="57" t="s">
        <v>2258</v>
      </c>
      <c r="P172" s="57" t="s">
        <v>2284</v>
      </c>
      <c r="Q172" s="57" t="s">
        <v>761</v>
      </c>
    </row>
    <row r="173" spans="1:17" x14ac:dyDescent="0.25">
      <c r="A173" s="55" t="s">
        <v>2107</v>
      </c>
      <c r="B173" s="56" t="s">
        <v>2199</v>
      </c>
      <c r="C173" s="57" t="s">
        <v>28</v>
      </c>
      <c r="D173" s="56" t="s">
        <v>2108</v>
      </c>
      <c r="E173" s="57" t="s">
        <v>1683</v>
      </c>
      <c r="F173" s="56">
        <v>3</v>
      </c>
      <c r="G173" s="57" t="s">
        <v>761</v>
      </c>
      <c r="H173" s="58">
        <v>46054</v>
      </c>
      <c r="I173" s="57" t="s">
        <v>762</v>
      </c>
      <c r="J173" s="56">
        <v>1</v>
      </c>
      <c r="K173" s="60">
        <v>46054</v>
      </c>
      <c r="L173" s="59">
        <v>50000</v>
      </c>
      <c r="M173" s="57" t="s">
        <v>2220</v>
      </c>
      <c r="N173" s="57" t="s">
        <v>2234</v>
      </c>
      <c r="O173" s="57" t="s">
        <v>2258</v>
      </c>
      <c r="P173" s="57" t="s">
        <v>2284</v>
      </c>
      <c r="Q173" s="57" t="s">
        <v>761</v>
      </c>
    </row>
    <row r="174" spans="1:17" x14ac:dyDescent="0.25">
      <c r="A174" s="55" t="s">
        <v>2107</v>
      </c>
      <c r="B174" s="56" t="s">
        <v>2199</v>
      </c>
      <c r="C174" s="57" t="s">
        <v>28</v>
      </c>
      <c r="D174" s="56" t="s">
        <v>2108</v>
      </c>
      <c r="E174" s="57" t="s">
        <v>953</v>
      </c>
      <c r="F174" s="56">
        <v>3</v>
      </c>
      <c r="G174" s="57" t="s">
        <v>761</v>
      </c>
      <c r="H174" s="58">
        <v>46054</v>
      </c>
      <c r="I174" s="57" t="s">
        <v>762</v>
      </c>
      <c r="J174" s="56">
        <v>1</v>
      </c>
      <c r="K174" s="60">
        <v>46054</v>
      </c>
      <c r="L174" s="59">
        <v>500004</v>
      </c>
      <c r="M174" s="57" t="s">
        <v>2220</v>
      </c>
      <c r="N174" s="57" t="s">
        <v>2234</v>
      </c>
      <c r="O174" s="57" t="s">
        <v>2258</v>
      </c>
      <c r="P174" s="57" t="s">
        <v>2284</v>
      </c>
      <c r="Q174" s="57" t="s">
        <v>761</v>
      </c>
    </row>
    <row r="175" spans="1:17" x14ac:dyDescent="0.25">
      <c r="A175" s="55" t="s">
        <v>2115</v>
      </c>
      <c r="B175" s="56" t="s">
        <v>2199</v>
      </c>
      <c r="C175" s="57" t="s">
        <v>28</v>
      </c>
      <c r="D175" s="56" t="s">
        <v>2116</v>
      </c>
      <c r="E175" s="57" t="s">
        <v>359</v>
      </c>
      <c r="F175" s="56">
        <v>4</v>
      </c>
      <c r="G175" s="57" t="s">
        <v>761</v>
      </c>
      <c r="H175" s="58">
        <v>46266</v>
      </c>
      <c r="I175" s="57" t="s">
        <v>762</v>
      </c>
      <c r="J175" s="56">
        <v>1</v>
      </c>
      <c r="K175" s="60">
        <v>46266</v>
      </c>
      <c r="L175" s="59">
        <v>679980</v>
      </c>
      <c r="M175" s="57" t="s">
        <v>2220</v>
      </c>
      <c r="N175" s="57" t="s">
        <v>2234</v>
      </c>
      <c r="O175" s="57" t="s">
        <v>2258</v>
      </c>
      <c r="P175" s="57" t="s">
        <v>2284</v>
      </c>
      <c r="Q175" s="57" t="s">
        <v>761</v>
      </c>
    </row>
    <row r="176" spans="1:17" x14ac:dyDescent="0.25">
      <c r="A176" s="55" t="s">
        <v>2115</v>
      </c>
      <c r="B176" s="56" t="s">
        <v>2199</v>
      </c>
      <c r="C176" s="57" t="s">
        <v>28</v>
      </c>
      <c r="D176" s="56" t="s">
        <v>2116</v>
      </c>
      <c r="E176" s="57" t="s">
        <v>2118</v>
      </c>
      <c r="F176" s="56">
        <v>4</v>
      </c>
      <c r="G176" s="57" t="s">
        <v>761</v>
      </c>
      <c r="H176" s="58">
        <v>46266</v>
      </c>
      <c r="I176" s="57" t="s">
        <v>762</v>
      </c>
      <c r="J176" s="56">
        <v>1</v>
      </c>
      <c r="K176" s="60">
        <v>46266</v>
      </c>
      <c r="L176" s="59">
        <v>1000000</v>
      </c>
      <c r="M176" s="57" t="s">
        <v>2220</v>
      </c>
      <c r="N176" s="57" t="s">
        <v>2234</v>
      </c>
      <c r="O176" s="57" t="s">
        <v>2258</v>
      </c>
      <c r="P176" s="57" t="s">
        <v>2284</v>
      </c>
      <c r="Q176" s="57" t="s">
        <v>761</v>
      </c>
    </row>
    <row r="177" spans="1:17" x14ac:dyDescent="0.25">
      <c r="A177" s="55" t="s">
        <v>2115</v>
      </c>
      <c r="B177" s="56" t="s">
        <v>2199</v>
      </c>
      <c r="C177" s="57" t="s">
        <v>28</v>
      </c>
      <c r="D177" s="56" t="s">
        <v>2116</v>
      </c>
      <c r="E177" s="57" t="s">
        <v>2120</v>
      </c>
      <c r="F177" s="56">
        <v>4</v>
      </c>
      <c r="G177" s="57" t="s">
        <v>761</v>
      </c>
      <c r="H177" s="58">
        <v>46266</v>
      </c>
      <c r="I177" s="57" t="s">
        <v>762</v>
      </c>
      <c r="J177" s="56">
        <v>1</v>
      </c>
      <c r="K177" s="60">
        <v>46266</v>
      </c>
      <c r="L177" s="59">
        <v>186000</v>
      </c>
      <c r="M177" s="57" t="s">
        <v>2220</v>
      </c>
      <c r="N177" s="57" t="s">
        <v>2234</v>
      </c>
      <c r="O177" s="57" t="s">
        <v>2258</v>
      </c>
      <c r="P177" s="57" t="s">
        <v>2284</v>
      </c>
      <c r="Q177" s="57" t="s">
        <v>761</v>
      </c>
    </row>
    <row r="178" spans="1:17" x14ac:dyDescent="0.25">
      <c r="A178" s="55" t="s">
        <v>2115</v>
      </c>
      <c r="B178" s="56" t="s">
        <v>2199</v>
      </c>
      <c r="C178" s="57" t="s">
        <v>28</v>
      </c>
      <c r="D178" s="56" t="s">
        <v>2116</v>
      </c>
      <c r="E178" s="57" t="s">
        <v>2119</v>
      </c>
      <c r="F178" s="56">
        <v>4</v>
      </c>
      <c r="G178" s="57" t="s">
        <v>761</v>
      </c>
      <c r="H178" s="58">
        <v>46266</v>
      </c>
      <c r="I178" s="57" t="s">
        <v>762</v>
      </c>
      <c r="J178" s="56">
        <v>1</v>
      </c>
      <c r="K178" s="60">
        <v>46266</v>
      </c>
      <c r="L178" s="59">
        <v>360000</v>
      </c>
      <c r="M178" s="57" t="s">
        <v>2220</v>
      </c>
      <c r="N178" s="57" t="s">
        <v>2234</v>
      </c>
      <c r="O178" s="57" t="s">
        <v>2258</v>
      </c>
      <c r="P178" s="57" t="s">
        <v>2284</v>
      </c>
      <c r="Q178" s="57" t="s">
        <v>761</v>
      </c>
    </row>
    <row r="179" spans="1:17" x14ac:dyDescent="0.25">
      <c r="A179" s="55" t="s">
        <v>2183</v>
      </c>
      <c r="B179" s="56" t="s">
        <v>2199</v>
      </c>
      <c r="C179" s="57" t="s">
        <v>28</v>
      </c>
      <c r="D179" s="56" t="s">
        <v>2184</v>
      </c>
      <c r="E179" s="57" t="s">
        <v>2188</v>
      </c>
      <c r="F179" s="56">
        <v>11</v>
      </c>
      <c r="G179" s="57" t="s">
        <v>761</v>
      </c>
      <c r="H179" s="58">
        <v>46143</v>
      </c>
      <c r="I179" s="57" t="s">
        <v>762</v>
      </c>
      <c r="J179" s="56">
        <v>1</v>
      </c>
      <c r="K179" s="60">
        <v>46143</v>
      </c>
      <c r="L179" s="59">
        <v>960000</v>
      </c>
      <c r="M179" s="57" t="s">
        <v>2220</v>
      </c>
      <c r="N179" s="57" t="s">
        <v>2234</v>
      </c>
      <c r="O179" s="57" t="s">
        <v>2258</v>
      </c>
      <c r="P179" s="57" t="s">
        <v>2284</v>
      </c>
      <c r="Q179" s="57" t="s">
        <v>761</v>
      </c>
    </row>
    <row r="180" spans="1:17" x14ac:dyDescent="0.25">
      <c r="A180" s="55" t="s">
        <v>2183</v>
      </c>
      <c r="B180" s="56" t="s">
        <v>2199</v>
      </c>
      <c r="C180" s="57" t="s">
        <v>28</v>
      </c>
      <c r="D180" s="56" t="s">
        <v>2184</v>
      </c>
      <c r="E180" s="57" t="s">
        <v>2191</v>
      </c>
      <c r="F180" s="56">
        <v>11</v>
      </c>
      <c r="G180" s="57" t="s">
        <v>761</v>
      </c>
      <c r="H180" s="58">
        <v>46143</v>
      </c>
      <c r="I180" s="57" t="s">
        <v>762</v>
      </c>
      <c r="J180" s="56">
        <v>1</v>
      </c>
      <c r="K180" s="60">
        <v>46143</v>
      </c>
      <c r="L180" s="59">
        <v>500004</v>
      </c>
      <c r="M180" s="57" t="s">
        <v>2220</v>
      </c>
      <c r="N180" s="57" t="s">
        <v>2234</v>
      </c>
      <c r="O180" s="57" t="s">
        <v>2258</v>
      </c>
      <c r="P180" s="57" t="s">
        <v>2284</v>
      </c>
      <c r="Q180" s="57" t="s">
        <v>761</v>
      </c>
    </row>
    <row r="181" spans="1:17" x14ac:dyDescent="0.25">
      <c r="A181" s="55" t="s">
        <v>2183</v>
      </c>
      <c r="B181" s="56" t="s">
        <v>2199</v>
      </c>
      <c r="C181" s="57" t="s">
        <v>28</v>
      </c>
      <c r="D181" s="56" t="s">
        <v>2184</v>
      </c>
      <c r="E181" s="57" t="s">
        <v>2187</v>
      </c>
      <c r="F181" s="56">
        <v>11</v>
      </c>
      <c r="G181" s="57" t="s">
        <v>761</v>
      </c>
      <c r="H181" s="58">
        <v>46143</v>
      </c>
      <c r="I181" s="57" t="s">
        <v>762</v>
      </c>
      <c r="J181" s="56">
        <v>1</v>
      </c>
      <c r="K181" s="60">
        <v>46143</v>
      </c>
      <c r="L181" s="59">
        <v>1201970</v>
      </c>
      <c r="M181" s="57" t="s">
        <v>2220</v>
      </c>
      <c r="N181" s="57" t="s">
        <v>2234</v>
      </c>
      <c r="O181" s="57" t="s">
        <v>2258</v>
      </c>
      <c r="P181" s="57" t="s">
        <v>2284</v>
      </c>
      <c r="Q181" s="57" t="s">
        <v>761</v>
      </c>
    </row>
    <row r="182" spans="1:17" x14ac:dyDescent="0.25">
      <c r="A182" s="55" t="s">
        <v>2183</v>
      </c>
      <c r="B182" s="56" t="s">
        <v>2199</v>
      </c>
      <c r="C182" s="57" t="s">
        <v>28</v>
      </c>
      <c r="D182" s="56" t="s">
        <v>2184</v>
      </c>
      <c r="E182" s="57" t="s">
        <v>855</v>
      </c>
      <c r="F182" s="56">
        <v>11</v>
      </c>
      <c r="G182" s="57" t="s">
        <v>761</v>
      </c>
      <c r="H182" s="58">
        <v>46143</v>
      </c>
      <c r="I182" s="57" t="s">
        <v>762</v>
      </c>
      <c r="J182" s="56">
        <v>1</v>
      </c>
      <c r="K182" s="60">
        <v>46143</v>
      </c>
      <c r="L182" s="59">
        <v>2563440</v>
      </c>
      <c r="M182" s="57" t="s">
        <v>2220</v>
      </c>
      <c r="N182" s="57" t="s">
        <v>2234</v>
      </c>
      <c r="O182" s="57" t="s">
        <v>2258</v>
      </c>
      <c r="P182" s="57" t="s">
        <v>2284</v>
      </c>
      <c r="Q182" s="57" t="s">
        <v>761</v>
      </c>
    </row>
    <row r="183" spans="1:17" x14ac:dyDescent="0.25">
      <c r="A183" s="55" t="s">
        <v>2183</v>
      </c>
      <c r="B183" s="56" t="s">
        <v>2199</v>
      </c>
      <c r="C183" s="57" t="s">
        <v>28</v>
      </c>
      <c r="D183" s="56" t="s">
        <v>2184</v>
      </c>
      <c r="E183" s="57" t="s">
        <v>2190</v>
      </c>
      <c r="F183" s="56">
        <v>11</v>
      </c>
      <c r="G183" s="57" t="s">
        <v>761</v>
      </c>
      <c r="H183" s="58">
        <v>46143</v>
      </c>
      <c r="I183" s="57" t="s">
        <v>762</v>
      </c>
      <c r="J183" s="56">
        <v>1</v>
      </c>
      <c r="K183" s="60">
        <v>46143</v>
      </c>
      <c r="L183" s="59">
        <v>549000</v>
      </c>
      <c r="M183" s="57" t="s">
        <v>2220</v>
      </c>
      <c r="N183" s="57" t="s">
        <v>2234</v>
      </c>
      <c r="O183" s="57" t="s">
        <v>2258</v>
      </c>
      <c r="P183" s="57" t="s">
        <v>2284</v>
      </c>
      <c r="Q183" s="57" t="s">
        <v>761</v>
      </c>
    </row>
    <row r="184" spans="1:17" x14ac:dyDescent="0.25">
      <c r="A184" s="55" t="s">
        <v>2183</v>
      </c>
      <c r="B184" s="56" t="s">
        <v>2199</v>
      </c>
      <c r="C184" s="57" t="s">
        <v>28</v>
      </c>
      <c r="D184" s="56" t="s">
        <v>2184</v>
      </c>
      <c r="E184" s="57" t="s">
        <v>2194</v>
      </c>
      <c r="F184" s="56">
        <v>11</v>
      </c>
      <c r="G184" s="57" t="s">
        <v>761</v>
      </c>
      <c r="H184" s="58">
        <v>46143</v>
      </c>
      <c r="I184" s="57" t="s">
        <v>762</v>
      </c>
      <c r="J184" s="56">
        <v>1</v>
      </c>
      <c r="K184" s="60">
        <v>46143</v>
      </c>
      <c r="L184" s="59">
        <v>55008</v>
      </c>
      <c r="M184" s="57" t="s">
        <v>2220</v>
      </c>
      <c r="N184" s="57" t="s">
        <v>2234</v>
      </c>
      <c r="O184" s="57" t="s">
        <v>2258</v>
      </c>
      <c r="P184" s="57" t="s">
        <v>2284</v>
      </c>
      <c r="Q184" s="57" t="s">
        <v>761</v>
      </c>
    </row>
    <row r="185" spans="1:17" x14ac:dyDescent="0.25">
      <c r="A185" s="55" t="s">
        <v>2183</v>
      </c>
      <c r="B185" s="56" t="s">
        <v>2199</v>
      </c>
      <c r="C185" s="57" t="s">
        <v>28</v>
      </c>
      <c r="D185" s="56" t="s">
        <v>2184</v>
      </c>
      <c r="E185" s="57" t="s">
        <v>2193</v>
      </c>
      <c r="F185" s="56">
        <v>11</v>
      </c>
      <c r="G185" s="57" t="s">
        <v>761</v>
      </c>
      <c r="H185" s="58">
        <v>46143</v>
      </c>
      <c r="I185" s="57" t="s">
        <v>762</v>
      </c>
      <c r="J185" s="56">
        <v>1</v>
      </c>
      <c r="K185" s="60">
        <v>46143</v>
      </c>
      <c r="L185" s="59">
        <v>120000</v>
      </c>
      <c r="M185" s="57" t="s">
        <v>2220</v>
      </c>
      <c r="N185" s="57" t="s">
        <v>2234</v>
      </c>
      <c r="O185" s="57" t="s">
        <v>2258</v>
      </c>
      <c r="P185" s="57" t="s">
        <v>2284</v>
      </c>
      <c r="Q185" s="57" t="s">
        <v>761</v>
      </c>
    </row>
    <row r="186" spans="1:17" x14ac:dyDescent="0.25">
      <c r="A186" s="55" t="s">
        <v>2183</v>
      </c>
      <c r="B186" s="56" t="s">
        <v>2199</v>
      </c>
      <c r="C186" s="57" t="s">
        <v>28</v>
      </c>
      <c r="D186" s="56" t="s">
        <v>2184</v>
      </c>
      <c r="E186" s="57" t="s">
        <v>2192</v>
      </c>
      <c r="F186" s="56">
        <v>11</v>
      </c>
      <c r="G186" s="57" t="s">
        <v>761</v>
      </c>
      <c r="H186" s="58">
        <v>46143</v>
      </c>
      <c r="I186" s="57" t="s">
        <v>762</v>
      </c>
      <c r="J186" s="56">
        <v>1</v>
      </c>
      <c r="K186" s="60">
        <v>46143</v>
      </c>
      <c r="L186" s="59">
        <v>290017</v>
      </c>
      <c r="M186" s="57" t="s">
        <v>2220</v>
      </c>
      <c r="N186" s="57" t="s">
        <v>2234</v>
      </c>
      <c r="O186" s="57" t="s">
        <v>2258</v>
      </c>
      <c r="P186" s="57" t="s">
        <v>2284</v>
      </c>
      <c r="Q186" s="57" t="s">
        <v>761</v>
      </c>
    </row>
    <row r="187" spans="1:17" x14ac:dyDescent="0.25">
      <c r="A187" s="55" t="s">
        <v>2183</v>
      </c>
      <c r="B187" s="56" t="s">
        <v>2199</v>
      </c>
      <c r="C187" s="57" t="s">
        <v>28</v>
      </c>
      <c r="D187" s="56" t="s">
        <v>2184</v>
      </c>
      <c r="E187" s="57" t="s">
        <v>2189</v>
      </c>
      <c r="F187" s="56">
        <v>11</v>
      </c>
      <c r="G187" s="57" t="s">
        <v>761</v>
      </c>
      <c r="H187" s="58">
        <v>46143</v>
      </c>
      <c r="I187" s="57" t="s">
        <v>762</v>
      </c>
      <c r="J187" s="56">
        <v>1</v>
      </c>
      <c r="K187" s="60">
        <v>46143</v>
      </c>
      <c r="L187" s="59">
        <v>948047</v>
      </c>
      <c r="M187" s="57" t="s">
        <v>2220</v>
      </c>
      <c r="N187" s="57" t="s">
        <v>2234</v>
      </c>
      <c r="O187" s="57" t="s">
        <v>2258</v>
      </c>
      <c r="P187" s="57" t="s">
        <v>2284</v>
      </c>
      <c r="Q187" s="57" t="s">
        <v>761</v>
      </c>
    </row>
    <row r="188" spans="1:17" x14ac:dyDescent="0.25">
      <c r="A188" s="55" t="s">
        <v>2183</v>
      </c>
      <c r="B188" s="56" t="s">
        <v>2199</v>
      </c>
      <c r="C188" s="57" t="s">
        <v>28</v>
      </c>
      <c r="D188" s="56" t="s">
        <v>2184</v>
      </c>
      <c r="E188" s="57" t="s">
        <v>2186</v>
      </c>
      <c r="F188" s="56">
        <v>11</v>
      </c>
      <c r="G188" s="57" t="s">
        <v>761</v>
      </c>
      <c r="H188" s="58">
        <v>46143</v>
      </c>
      <c r="I188" s="57" t="s">
        <v>762</v>
      </c>
      <c r="J188" s="56">
        <v>1</v>
      </c>
      <c r="K188" s="60">
        <v>46143</v>
      </c>
      <c r="L188" s="59">
        <v>4093285</v>
      </c>
      <c r="M188" s="57" t="s">
        <v>2220</v>
      </c>
      <c r="N188" s="57" t="s">
        <v>2234</v>
      </c>
      <c r="O188" s="57" t="s">
        <v>2258</v>
      </c>
      <c r="P188" s="57" t="s">
        <v>2284</v>
      </c>
      <c r="Q188" s="57" t="s">
        <v>761</v>
      </c>
    </row>
    <row r="189" spans="1:17" x14ac:dyDescent="0.25">
      <c r="A189" s="55" t="s">
        <v>2183</v>
      </c>
      <c r="B189" s="56" t="s">
        <v>2199</v>
      </c>
      <c r="C189" s="57" t="s">
        <v>28</v>
      </c>
      <c r="D189" s="56" t="s">
        <v>2184</v>
      </c>
      <c r="E189" s="57" t="s">
        <v>2195</v>
      </c>
      <c r="F189" s="56">
        <v>11</v>
      </c>
      <c r="G189" s="57" t="s">
        <v>761</v>
      </c>
      <c r="H189" s="58">
        <v>46143</v>
      </c>
      <c r="I189" s="57" t="s">
        <v>762</v>
      </c>
      <c r="J189" s="56">
        <v>1</v>
      </c>
      <c r="K189" s="60">
        <v>46143</v>
      </c>
      <c r="L189" s="59">
        <v>30000</v>
      </c>
      <c r="M189" s="57" t="s">
        <v>2220</v>
      </c>
      <c r="N189" s="57" t="s">
        <v>2234</v>
      </c>
      <c r="O189" s="57" t="s">
        <v>2258</v>
      </c>
      <c r="P189" s="57" t="s">
        <v>2284</v>
      </c>
      <c r="Q189" s="57" t="s">
        <v>761</v>
      </c>
    </row>
    <row r="190" spans="1:17" x14ac:dyDescent="0.25">
      <c r="A190" s="55" t="s">
        <v>1575</v>
      </c>
      <c r="B190" s="56" t="s">
        <v>2199</v>
      </c>
      <c r="C190" s="57" t="s">
        <v>374</v>
      </c>
      <c r="D190" s="56" t="s">
        <v>1576</v>
      </c>
      <c r="E190" s="57" t="s">
        <v>1580</v>
      </c>
      <c r="F190" s="56">
        <v>7</v>
      </c>
      <c r="G190" s="57" t="s">
        <v>761</v>
      </c>
      <c r="H190" s="58">
        <v>46054</v>
      </c>
      <c r="I190" s="57" t="s">
        <v>762</v>
      </c>
      <c r="J190" s="56">
        <v>1</v>
      </c>
      <c r="K190" s="60">
        <v>46054</v>
      </c>
      <c r="L190" s="59">
        <v>2760000</v>
      </c>
      <c r="M190" s="57" t="s">
        <v>2220</v>
      </c>
      <c r="N190" s="57" t="s">
        <v>2234</v>
      </c>
      <c r="O190" s="57" t="s">
        <v>2258</v>
      </c>
      <c r="P190" s="57" t="s">
        <v>2284</v>
      </c>
      <c r="Q190" s="57" t="s">
        <v>761</v>
      </c>
    </row>
    <row r="191" spans="1:17" x14ac:dyDescent="0.25">
      <c r="A191" s="55" t="s">
        <v>1575</v>
      </c>
      <c r="B191" s="56" t="s">
        <v>2199</v>
      </c>
      <c r="C191" s="57" t="s">
        <v>374</v>
      </c>
      <c r="D191" s="56" t="s">
        <v>1576</v>
      </c>
      <c r="E191" s="57" t="s">
        <v>1579</v>
      </c>
      <c r="F191" s="56">
        <v>7</v>
      </c>
      <c r="G191" s="57" t="s">
        <v>761</v>
      </c>
      <c r="H191" s="58">
        <v>46054</v>
      </c>
      <c r="I191" s="57" t="s">
        <v>762</v>
      </c>
      <c r="J191" s="56">
        <v>1</v>
      </c>
      <c r="K191" s="60">
        <v>46054</v>
      </c>
      <c r="L191" s="59">
        <v>450000</v>
      </c>
      <c r="M191" s="57" t="s">
        <v>2220</v>
      </c>
      <c r="N191" s="57" t="s">
        <v>2234</v>
      </c>
      <c r="O191" s="57" t="s">
        <v>2258</v>
      </c>
      <c r="P191" s="57" t="s">
        <v>2284</v>
      </c>
      <c r="Q191" s="57" t="s">
        <v>761</v>
      </c>
    </row>
    <row r="192" spans="1:17" x14ac:dyDescent="0.25">
      <c r="A192" s="55" t="s">
        <v>1575</v>
      </c>
      <c r="B192" s="56" t="s">
        <v>2199</v>
      </c>
      <c r="C192" s="57" t="s">
        <v>374</v>
      </c>
      <c r="D192" s="56" t="s">
        <v>1576</v>
      </c>
      <c r="E192" s="57" t="s">
        <v>1582</v>
      </c>
      <c r="F192" s="56">
        <v>7</v>
      </c>
      <c r="G192" s="57" t="s">
        <v>761</v>
      </c>
      <c r="H192" s="58">
        <v>46054</v>
      </c>
      <c r="I192" s="57" t="s">
        <v>762</v>
      </c>
      <c r="J192" s="56">
        <v>1</v>
      </c>
      <c r="K192" s="60">
        <v>46054</v>
      </c>
      <c r="L192" s="59">
        <v>800000</v>
      </c>
      <c r="M192" s="57" t="s">
        <v>2220</v>
      </c>
      <c r="N192" s="57" t="s">
        <v>2234</v>
      </c>
      <c r="O192" s="57" t="s">
        <v>2258</v>
      </c>
      <c r="P192" s="57" t="s">
        <v>2284</v>
      </c>
      <c r="Q192" s="57" t="s">
        <v>761</v>
      </c>
    </row>
    <row r="193" spans="1:17" x14ac:dyDescent="0.25">
      <c r="A193" s="55" t="s">
        <v>1575</v>
      </c>
      <c r="B193" s="56" t="s">
        <v>2199</v>
      </c>
      <c r="C193" s="57" t="s">
        <v>374</v>
      </c>
      <c r="D193" s="56" t="s">
        <v>1576</v>
      </c>
      <c r="E193" s="57" t="s">
        <v>1583</v>
      </c>
      <c r="F193" s="56">
        <v>7</v>
      </c>
      <c r="G193" s="57" t="s">
        <v>761</v>
      </c>
      <c r="H193" s="58">
        <v>46054</v>
      </c>
      <c r="I193" s="57" t="s">
        <v>762</v>
      </c>
      <c r="J193" s="56">
        <v>1</v>
      </c>
      <c r="K193" s="60">
        <v>46054</v>
      </c>
      <c r="L193" s="59">
        <v>240000</v>
      </c>
      <c r="M193" s="57" t="s">
        <v>2220</v>
      </c>
      <c r="N193" s="57" t="s">
        <v>2234</v>
      </c>
      <c r="O193" s="57" t="s">
        <v>2258</v>
      </c>
      <c r="P193" s="57" t="s">
        <v>2284</v>
      </c>
      <c r="Q193" s="57" t="s">
        <v>761</v>
      </c>
    </row>
    <row r="194" spans="1:17" x14ac:dyDescent="0.25">
      <c r="A194" s="55" t="s">
        <v>1575</v>
      </c>
      <c r="B194" s="56" t="s">
        <v>2199</v>
      </c>
      <c r="C194" s="57" t="s">
        <v>374</v>
      </c>
      <c r="D194" s="56" t="s">
        <v>1576</v>
      </c>
      <c r="E194" s="57" t="s">
        <v>1578</v>
      </c>
      <c r="F194" s="56">
        <v>7</v>
      </c>
      <c r="G194" s="57" t="s">
        <v>761</v>
      </c>
      <c r="H194" s="58">
        <v>46054</v>
      </c>
      <c r="I194" s="57" t="s">
        <v>762</v>
      </c>
      <c r="J194" s="56">
        <v>1</v>
      </c>
      <c r="K194" s="60">
        <v>46143</v>
      </c>
      <c r="L194" s="59">
        <v>120000</v>
      </c>
      <c r="M194" s="57" t="s">
        <v>2220</v>
      </c>
      <c r="N194" s="57" t="s">
        <v>2234</v>
      </c>
      <c r="O194" s="57" t="s">
        <v>2258</v>
      </c>
      <c r="P194" s="57" t="s">
        <v>2284</v>
      </c>
      <c r="Q194" s="57" t="s">
        <v>761</v>
      </c>
    </row>
    <row r="195" spans="1:17" x14ac:dyDescent="0.25">
      <c r="A195" s="55" t="s">
        <v>1575</v>
      </c>
      <c r="B195" s="56" t="s">
        <v>2199</v>
      </c>
      <c r="C195" s="57" t="s">
        <v>374</v>
      </c>
      <c r="D195" s="56" t="s">
        <v>1576</v>
      </c>
      <c r="E195" s="57" t="s">
        <v>1584</v>
      </c>
      <c r="F195" s="56">
        <v>7</v>
      </c>
      <c r="G195" s="57" t="s">
        <v>761</v>
      </c>
      <c r="H195" s="58">
        <v>46054</v>
      </c>
      <c r="I195" s="57" t="s">
        <v>762</v>
      </c>
      <c r="J195" s="56">
        <v>1</v>
      </c>
      <c r="K195" s="60">
        <v>46054</v>
      </c>
      <c r="L195" s="59">
        <v>30000</v>
      </c>
      <c r="M195" s="57" t="s">
        <v>2220</v>
      </c>
      <c r="N195" s="57" t="s">
        <v>2234</v>
      </c>
      <c r="O195" s="57" t="s">
        <v>2258</v>
      </c>
      <c r="P195" s="57" t="s">
        <v>2284</v>
      </c>
      <c r="Q195" s="57" t="s">
        <v>761</v>
      </c>
    </row>
    <row r="196" spans="1:17" x14ac:dyDescent="0.25">
      <c r="A196" s="55" t="s">
        <v>1575</v>
      </c>
      <c r="B196" s="56" t="s">
        <v>2199</v>
      </c>
      <c r="C196" s="57" t="s">
        <v>374</v>
      </c>
      <c r="D196" s="56" t="s">
        <v>1576</v>
      </c>
      <c r="E196" s="57" t="s">
        <v>1581</v>
      </c>
      <c r="F196" s="56">
        <v>7</v>
      </c>
      <c r="G196" s="57" t="s">
        <v>761</v>
      </c>
      <c r="H196" s="58">
        <v>46054</v>
      </c>
      <c r="I196" s="57" t="s">
        <v>762</v>
      </c>
      <c r="J196" s="56">
        <v>1</v>
      </c>
      <c r="K196" s="60">
        <v>46054</v>
      </c>
      <c r="L196" s="59">
        <v>2310000</v>
      </c>
      <c r="M196" s="57" t="s">
        <v>2220</v>
      </c>
      <c r="N196" s="57" t="s">
        <v>2234</v>
      </c>
      <c r="O196" s="57" t="s">
        <v>2258</v>
      </c>
      <c r="P196" s="57" t="s">
        <v>2284</v>
      </c>
      <c r="Q196" s="57" t="s">
        <v>761</v>
      </c>
    </row>
    <row r="197" spans="1:17" x14ac:dyDescent="0.25">
      <c r="A197" s="55" t="s">
        <v>1595</v>
      </c>
      <c r="B197" s="56" t="s">
        <v>2199</v>
      </c>
      <c r="C197" s="57" t="s">
        <v>374</v>
      </c>
      <c r="D197" s="56" t="s">
        <v>1597</v>
      </c>
      <c r="E197" s="57" t="s">
        <v>1599</v>
      </c>
      <c r="F197" s="56">
        <v>1</v>
      </c>
      <c r="G197" s="57" t="s">
        <v>761</v>
      </c>
      <c r="H197" s="58">
        <v>46054</v>
      </c>
      <c r="I197" s="57" t="s">
        <v>762</v>
      </c>
      <c r="J197" s="56">
        <v>1</v>
      </c>
      <c r="K197" s="60">
        <v>46054</v>
      </c>
      <c r="L197" s="59">
        <v>360000</v>
      </c>
      <c r="M197" s="57" t="s">
        <v>2220</v>
      </c>
      <c r="N197" s="57" t="s">
        <v>2234</v>
      </c>
      <c r="O197" s="57" t="s">
        <v>2258</v>
      </c>
      <c r="P197" s="57" t="s">
        <v>2284</v>
      </c>
      <c r="Q197" s="57" t="s">
        <v>761</v>
      </c>
    </row>
    <row r="198" spans="1:17" x14ac:dyDescent="0.25">
      <c r="A198" s="55" t="s">
        <v>1650</v>
      </c>
      <c r="B198" s="56" t="s">
        <v>2199</v>
      </c>
      <c r="C198" s="57" t="s">
        <v>374</v>
      </c>
      <c r="D198" s="56" t="s">
        <v>1651</v>
      </c>
      <c r="E198" s="57" t="s">
        <v>1653</v>
      </c>
      <c r="F198" s="56">
        <v>1</v>
      </c>
      <c r="G198" s="57" t="s">
        <v>761</v>
      </c>
      <c r="H198" s="58">
        <v>46143</v>
      </c>
      <c r="I198" s="57" t="s">
        <v>762</v>
      </c>
      <c r="J198" s="56">
        <v>1</v>
      </c>
      <c r="K198" s="60">
        <v>46143</v>
      </c>
      <c r="L198" s="59">
        <v>200004</v>
      </c>
      <c r="M198" s="57" t="s">
        <v>2220</v>
      </c>
      <c r="N198" s="57" t="s">
        <v>2234</v>
      </c>
      <c r="O198" s="57" t="s">
        <v>2258</v>
      </c>
      <c r="P198" s="57" t="s">
        <v>2284</v>
      </c>
      <c r="Q198" s="57" t="s">
        <v>761</v>
      </c>
    </row>
    <row r="199" spans="1:17" x14ac:dyDescent="0.25">
      <c r="A199" s="55" t="s">
        <v>1654</v>
      </c>
      <c r="B199" s="56" t="s">
        <v>2199</v>
      </c>
      <c r="C199" s="57" t="s">
        <v>374</v>
      </c>
      <c r="D199" s="56" t="s">
        <v>1655</v>
      </c>
      <c r="E199" s="57" t="s">
        <v>1592</v>
      </c>
      <c r="F199" s="56">
        <v>3</v>
      </c>
      <c r="G199" s="57" t="s">
        <v>761</v>
      </c>
      <c r="H199" s="58">
        <v>46143</v>
      </c>
      <c r="I199" s="57" t="s">
        <v>762</v>
      </c>
      <c r="J199" s="56">
        <v>1</v>
      </c>
      <c r="K199" s="60">
        <v>46143</v>
      </c>
      <c r="L199" s="59">
        <v>150000</v>
      </c>
      <c r="M199" s="57" t="s">
        <v>2220</v>
      </c>
      <c r="N199" s="57" t="s">
        <v>2234</v>
      </c>
      <c r="O199" s="57" t="s">
        <v>2258</v>
      </c>
      <c r="P199" s="57" t="s">
        <v>2284</v>
      </c>
      <c r="Q199" s="57" t="s">
        <v>761</v>
      </c>
    </row>
    <row r="200" spans="1:17" x14ac:dyDescent="0.25">
      <c r="A200" s="55" t="s">
        <v>1654</v>
      </c>
      <c r="B200" s="56" t="s">
        <v>2199</v>
      </c>
      <c r="C200" s="57" t="s">
        <v>374</v>
      </c>
      <c r="D200" s="56" t="s">
        <v>1655</v>
      </c>
      <c r="E200" s="57" t="s">
        <v>1656</v>
      </c>
      <c r="F200" s="56">
        <v>3</v>
      </c>
      <c r="G200" s="57" t="s">
        <v>761</v>
      </c>
      <c r="H200" s="58">
        <v>46143</v>
      </c>
      <c r="I200" s="57" t="s">
        <v>762</v>
      </c>
      <c r="J200" s="56">
        <v>1</v>
      </c>
      <c r="K200" s="60">
        <v>46143</v>
      </c>
      <c r="L200" s="59">
        <v>60000</v>
      </c>
      <c r="M200" s="57" t="s">
        <v>2220</v>
      </c>
      <c r="N200" s="57" t="s">
        <v>2234</v>
      </c>
      <c r="O200" s="57" t="s">
        <v>2258</v>
      </c>
      <c r="P200" s="57" t="s">
        <v>2284</v>
      </c>
      <c r="Q200" s="57" t="s">
        <v>761</v>
      </c>
    </row>
    <row r="201" spans="1:17" x14ac:dyDescent="0.25">
      <c r="A201" s="55" t="s">
        <v>1654</v>
      </c>
      <c r="B201" s="56" t="s">
        <v>2199</v>
      </c>
      <c r="C201" s="57" t="s">
        <v>374</v>
      </c>
      <c r="D201" s="56" t="s">
        <v>1655</v>
      </c>
      <c r="E201" s="57" t="s">
        <v>1593</v>
      </c>
      <c r="F201" s="56">
        <v>3</v>
      </c>
      <c r="G201" s="57" t="s">
        <v>761</v>
      </c>
      <c r="H201" s="58">
        <v>46143</v>
      </c>
      <c r="I201" s="57" t="s">
        <v>762</v>
      </c>
      <c r="J201" s="56">
        <v>1</v>
      </c>
      <c r="K201" s="60">
        <v>46143</v>
      </c>
      <c r="L201" s="59">
        <v>70000</v>
      </c>
      <c r="M201" s="57" t="s">
        <v>2220</v>
      </c>
      <c r="N201" s="57" t="s">
        <v>2234</v>
      </c>
      <c r="O201" s="57" t="s">
        <v>2258</v>
      </c>
      <c r="P201" s="57" t="s">
        <v>2284</v>
      </c>
      <c r="Q201" s="57" t="s">
        <v>761</v>
      </c>
    </row>
    <row r="202" spans="1:17" x14ac:dyDescent="0.25">
      <c r="A202" s="55" t="s">
        <v>2159</v>
      </c>
      <c r="B202" s="56" t="s">
        <v>2199</v>
      </c>
      <c r="C202" s="57" t="s">
        <v>374</v>
      </c>
      <c r="D202" s="56" t="s">
        <v>2160</v>
      </c>
      <c r="E202" s="57" t="s">
        <v>2165</v>
      </c>
      <c r="F202" s="56">
        <v>7</v>
      </c>
      <c r="G202" s="57" t="s">
        <v>761</v>
      </c>
      <c r="H202" s="58">
        <v>46054</v>
      </c>
      <c r="I202" s="57" t="s">
        <v>762</v>
      </c>
      <c r="J202" s="56">
        <v>1</v>
      </c>
      <c r="K202" s="60">
        <v>46174</v>
      </c>
      <c r="L202" s="59">
        <v>500000</v>
      </c>
      <c r="M202" s="57" t="s">
        <v>2220</v>
      </c>
      <c r="N202" s="57" t="s">
        <v>2234</v>
      </c>
      <c r="O202" s="57" t="s">
        <v>2258</v>
      </c>
      <c r="P202" s="57" t="s">
        <v>2284</v>
      </c>
      <c r="Q202" s="57" t="s">
        <v>761</v>
      </c>
    </row>
    <row r="203" spans="1:17" x14ac:dyDescent="0.25">
      <c r="A203" s="55" t="s">
        <v>2159</v>
      </c>
      <c r="B203" s="56" t="s">
        <v>2199</v>
      </c>
      <c r="C203" s="57" t="s">
        <v>374</v>
      </c>
      <c r="D203" s="56" t="s">
        <v>2160</v>
      </c>
      <c r="E203" s="57" t="s">
        <v>2164</v>
      </c>
      <c r="F203" s="56">
        <v>7</v>
      </c>
      <c r="G203" s="57" t="s">
        <v>761</v>
      </c>
      <c r="H203" s="58">
        <v>46054</v>
      </c>
      <c r="I203" s="57" t="s">
        <v>762</v>
      </c>
      <c r="J203" s="56">
        <v>1</v>
      </c>
      <c r="K203" s="60">
        <v>46174</v>
      </c>
      <c r="L203" s="59">
        <v>470007</v>
      </c>
      <c r="M203" s="57" t="s">
        <v>2220</v>
      </c>
      <c r="N203" s="57" t="s">
        <v>2234</v>
      </c>
      <c r="O203" s="57" t="s">
        <v>2258</v>
      </c>
      <c r="P203" s="57" t="s">
        <v>2284</v>
      </c>
      <c r="Q203" s="57" t="s">
        <v>761</v>
      </c>
    </row>
    <row r="204" spans="1:17" x14ac:dyDescent="0.25">
      <c r="A204" s="55" t="s">
        <v>2159</v>
      </c>
      <c r="B204" s="56" t="s">
        <v>2199</v>
      </c>
      <c r="C204" s="57" t="s">
        <v>374</v>
      </c>
      <c r="D204" s="56" t="s">
        <v>2160</v>
      </c>
      <c r="E204" s="57" t="s">
        <v>2163</v>
      </c>
      <c r="F204" s="56">
        <v>7</v>
      </c>
      <c r="G204" s="57" t="s">
        <v>761</v>
      </c>
      <c r="H204" s="58">
        <v>46174</v>
      </c>
      <c r="I204" s="57" t="s">
        <v>762</v>
      </c>
      <c r="J204" s="56">
        <v>1</v>
      </c>
      <c r="K204" s="60">
        <v>46174</v>
      </c>
      <c r="L204" s="59">
        <v>2060002</v>
      </c>
      <c r="M204" s="57" t="s">
        <v>2220</v>
      </c>
      <c r="N204" s="57" t="s">
        <v>2234</v>
      </c>
      <c r="O204" s="57" t="s">
        <v>2258</v>
      </c>
      <c r="P204" s="57" t="s">
        <v>2284</v>
      </c>
      <c r="Q204" s="57" t="s">
        <v>761</v>
      </c>
    </row>
    <row r="205" spans="1:17" x14ac:dyDescent="0.25">
      <c r="A205" s="55" t="s">
        <v>2159</v>
      </c>
      <c r="B205" s="56" t="s">
        <v>2199</v>
      </c>
      <c r="C205" s="57" t="s">
        <v>374</v>
      </c>
      <c r="D205" s="56" t="s">
        <v>2160</v>
      </c>
      <c r="E205" s="57" t="s">
        <v>1578</v>
      </c>
      <c r="F205" s="56">
        <v>7</v>
      </c>
      <c r="G205" s="57" t="s">
        <v>761</v>
      </c>
      <c r="H205" s="58">
        <v>46174</v>
      </c>
      <c r="I205" s="57" t="s">
        <v>762</v>
      </c>
      <c r="J205" s="56">
        <v>1</v>
      </c>
      <c r="K205" s="60">
        <v>46174</v>
      </c>
      <c r="L205" s="59">
        <v>120000</v>
      </c>
      <c r="M205" s="57" t="s">
        <v>2220</v>
      </c>
      <c r="N205" s="57" t="s">
        <v>2234</v>
      </c>
      <c r="O205" s="57" t="s">
        <v>2258</v>
      </c>
      <c r="P205" s="57" t="s">
        <v>2284</v>
      </c>
      <c r="Q205" s="57" t="s">
        <v>761</v>
      </c>
    </row>
    <row r="206" spans="1:17" x14ac:dyDescent="0.25">
      <c r="A206" s="55" t="s">
        <v>2159</v>
      </c>
      <c r="B206" s="56" t="s">
        <v>2199</v>
      </c>
      <c r="C206" s="57" t="s">
        <v>374</v>
      </c>
      <c r="D206" s="56" t="s">
        <v>2160</v>
      </c>
      <c r="E206" s="57" t="s">
        <v>820</v>
      </c>
      <c r="F206" s="56">
        <v>7</v>
      </c>
      <c r="G206" s="57" t="s">
        <v>761</v>
      </c>
      <c r="H206" s="58">
        <v>46174</v>
      </c>
      <c r="I206" s="57" t="s">
        <v>762</v>
      </c>
      <c r="J206" s="56">
        <v>1</v>
      </c>
      <c r="K206" s="60">
        <v>46174</v>
      </c>
      <c r="L206" s="59">
        <v>700000</v>
      </c>
      <c r="M206" s="57" t="s">
        <v>2220</v>
      </c>
      <c r="N206" s="57" t="s">
        <v>2234</v>
      </c>
      <c r="O206" s="57" t="s">
        <v>2258</v>
      </c>
      <c r="P206" s="57" t="s">
        <v>2284</v>
      </c>
      <c r="Q206" s="57" t="s">
        <v>761</v>
      </c>
    </row>
    <row r="207" spans="1:17" x14ac:dyDescent="0.25">
      <c r="A207" s="55" t="s">
        <v>2159</v>
      </c>
      <c r="B207" s="56" t="s">
        <v>2199</v>
      </c>
      <c r="C207" s="57" t="s">
        <v>374</v>
      </c>
      <c r="D207" s="56" t="s">
        <v>2160</v>
      </c>
      <c r="E207" s="57" t="s">
        <v>2161</v>
      </c>
      <c r="F207" s="56">
        <v>7</v>
      </c>
      <c r="G207" s="57" t="s">
        <v>761</v>
      </c>
      <c r="H207" s="58">
        <v>46054</v>
      </c>
      <c r="I207" s="57" t="s">
        <v>762</v>
      </c>
      <c r="J207" s="56">
        <v>1</v>
      </c>
      <c r="K207" s="60">
        <v>46054</v>
      </c>
      <c r="L207" s="59">
        <v>2700016</v>
      </c>
      <c r="M207" s="57" t="s">
        <v>2220</v>
      </c>
      <c r="N207" s="57" t="s">
        <v>2234</v>
      </c>
      <c r="O207" s="57" t="s">
        <v>2258</v>
      </c>
      <c r="P207" s="57" t="s">
        <v>2284</v>
      </c>
      <c r="Q207" s="57" t="s">
        <v>761</v>
      </c>
    </row>
    <row r="208" spans="1:17" x14ac:dyDescent="0.25">
      <c r="A208" s="55" t="s">
        <v>2159</v>
      </c>
      <c r="B208" s="56" t="s">
        <v>2199</v>
      </c>
      <c r="C208" s="57" t="s">
        <v>374</v>
      </c>
      <c r="D208" s="56" t="s">
        <v>2160</v>
      </c>
      <c r="E208" s="57" t="s">
        <v>2162</v>
      </c>
      <c r="F208" s="56">
        <v>7</v>
      </c>
      <c r="G208" s="57" t="s">
        <v>761</v>
      </c>
      <c r="H208" s="58">
        <v>46054</v>
      </c>
      <c r="I208" s="57" t="s">
        <v>762</v>
      </c>
      <c r="J208" s="56">
        <v>1</v>
      </c>
      <c r="K208" s="60">
        <v>46054</v>
      </c>
      <c r="L208" s="59">
        <v>1260000</v>
      </c>
      <c r="M208" s="57" t="s">
        <v>2220</v>
      </c>
      <c r="N208" s="57" t="s">
        <v>2234</v>
      </c>
      <c r="O208" s="57" t="s">
        <v>2258</v>
      </c>
      <c r="P208" s="57" t="s">
        <v>2284</v>
      </c>
      <c r="Q208" s="57" t="s">
        <v>761</v>
      </c>
    </row>
    <row r="209" spans="1:17" x14ac:dyDescent="0.25">
      <c r="A209" s="55" t="s">
        <v>2181</v>
      </c>
      <c r="B209" s="56" t="s">
        <v>2199</v>
      </c>
      <c r="C209" s="57" t="s">
        <v>374</v>
      </c>
      <c r="D209" s="56" t="s">
        <v>2182</v>
      </c>
      <c r="E209" s="57" t="s">
        <v>1653</v>
      </c>
      <c r="F209" s="56">
        <v>1</v>
      </c>
      <c r="G209" s="57" t="s">
        <v>761</v>
      </c>
      <c r="H209" s="58">
        <v>46143</v>
      </c>
      <c r="I209" s="57" t="s">
        <v>762</v>
      </c>
      <c r="J209" s="56">
        <v>1</v>
      </c>
      <c r="K209" s="60">
        <v>46143</v>
      </c>
      <c r="L209" s="59">
        <v>280008</v>
      </c>
      <c r="M209" s="57" t="s">
        <v>2220</v>
      </c>
      <c r="N209" s="57" t="s">
        <v>2234</v>
      </c>
      <c r="O209" s="57" t="s">
        <v>2258</v>
      </c>
      <c r="P209" s="57" t="s">
        <v>2284</v>
      </c>
      <c r="Q209" s="57" t="s">
        <v>761</v>
      </c>
    </row>
    <row r="210" spans="1:17" x14ac:dyDescent="0.25">
      <c r="A210" s="55" t="s">
        <v>1645</v>
      </c>
      <c r="B210" s="56" t="s">
        <v>2199</v>
      </c>
      <c r="C210" s="57" t="s">
        <v>374</v>
      </c>
      <c r="D210" s="56" t="s">
        <v>1646</v>
      </c>
      <c r="E210" s="57" t="s">
        <v>1648</v>
      </c>
      <c r="F210" s="56">
        <v>1</v>
      </c>
      <c r="G210" s="57" t="s">
        <v>1649</v>
      </c>
      <c r="H210" s="58">
        <v>46235</v>
      </c>
      <c r="I210" s="57" t="s">
        <v>762</v>
      </c>
      <c r="J210" s="56">
        <v>1</v>
      </c>
      <c r="K210" s="60">
        <v>46235</v>
      </c>
      <c r="L210" s="59">
        <v>4160004</v>
      </c>
      <c r="M210" s="57" t="s">
        <v>2220</v>
      </c>
      <c r="N210" s="57" t="s">
        <v>2234</v>
      </c>
      <c r="O210" s="57" t="s">
        <v>2258</v>
      </c>
      <c r="P210" s="57" t="s">
        <v>2284</v>
      </c>
      <c r="Q210" s="57" t="s">
        <v>761</v>
      </c>
    </row>
    <row r="211" spans="1:17" x14ac:dyDescent="0.25">
      <c r="A211" s="55" t="s">
        <v>59</v>
      </c>
      <c r="B211" s="56" t="s">
        <v>2196</v>
      </c>
      <c r="C211" s="57" t="s">
        <v>28</v>
      </c>
      <c r="D211" s="56" t="s">
        <v>60</v>
      </c>
      <c r="E211" s="57" t="s">
        <v>62</v>
      </c>
      <c r="F211" s="56">
        <v>1</v>
      </c>
      <c r="G211" s="57" t="s">
        <v>64</v>
      </c>
      <c r="H211" s="58">
        <v>45413</v>
      </c>
      <c r="I211" s="57" t="s">
        <v>65</v>
      </c>
      <c r="J211" s="56">
        <v>36</v>
      </c>
      <c r="K211" s="57" t="s">
        <v>63</v>
      </c>
      <c r="L211" s="59">
        <v>43333332</v>
      </c>
      <c r="M211" s="57" t="s">
        <v>2226</v>
      </c>
      <c r="N211" s="57" t="s">
        <v>2262</v>
      </c>
      <c r="O211" s="57" t="s">
        <v>2226</v>
      </c>
      <c r="P211" s="57" t="s">
        <v>2284</v>
      </c>
      <c r="Q211" s="57" t="s">
        <v>1231</v>
      </c>
    </row>
    <row r="212" spans="1:17" x14ac:dyDescent="0.25">
      <c r="A212" s="55" t="s">
        <v>1228</v>
      </c>
      <c r="B212" s="56" t="s">
        <v>2199</v>
      </c>
      <c r="C212" s="57" t="s">
        <v>28</v>
      </c>
      <c r="D212" s="56" t="s">
        <v>1229</v>
      </c>
      <c r="E212" s="57" t="s">
        <v>781</v>
      </c>
      <c r="F212" s="56">
        <v>2</v>
      </c>
      <c r="G212" s="57" t="s">
        <v>64</v>
      </c>
      <c r="H212" s="58">
        <v>46023</v>
      </c>
      <c r="I212" s="57" t="s">
        <v>65</v>
      </c>
      <c r="J212" s="56">
        <v>1</v>
      </c>
      <c r="K212" s="60">
        <v>46023</v>
      </c>
      <c r="L212" s="59">
        <v>30000</v>
      </c>
      <c r="M212" s="57" t="s">
        <v>2226</v>
      </c>
      <c r="N212" s="57" t="s">
        <v>2262</v>
      </c>
      <c r="O212" s="57" t="s">
        <v>2226</v>
      </c>
      <c r="P212" s="57" t="s">
        <v>2284</v>
      </c>
      <c r="Q212" s="57" t="s">
        <v>1231</v>
      </c>
    </row>
    <row r="213" spans="1:17" x14ac:dyDescent="0.25">
      <c r="A213" s="55" t="s">
        <v>1228</v>
      </c>
      <c r="B213" s="56" t="s">
        <v>2199</v>
      </c>
      <c r="C213" s="57" t="s">
        <v>28</v>
      </c>
      <c r="D213" s="56" t="s">
        <v>1229</v>
      </c>
      <c r="E213" s="57" t="s">
        <v>1233</v>
      </c>
      <c r="F213" s="56">
        <v>2</v>
      </c>
      <c r="G213" s="57" t="s">
        <v>64</v>
      </c>
      <c r="H213" s="58">
        <v>46023</v>
      </c>
      <c r="I213" s="57" t="s">
        <v>65</v>
      </c>
      <c r="J213" s="56">
        <v>1</v>
      </c>
      <c r="K213" s="60">
        <v>46023</v>
      </c>
      <c r="L213" s="59">
        <v>900000</v>
      </c>
      <c r="M213" s="57" t="s">
        <v>2226</v>
      </c>
      <c r="N213" s="57" t="s">
        <v>2262</v>
      </c>
      <c r="O213" s="57" t="s">
        <v>2226</v>
      </c>
      <c r="P213" s="57" t="s">
        <v>2284</v>
      </c>
      <c r="Q213" s="57" t="s">
        <v>1231</v>
      </c>
    </row>
    <row r="214" spans="1:17" x14ac:dyDescent="0.25">
      <c r="A214" s="55" t="s">
        <v>1234</v>
      </c>
      <c r="B214" s="56" t="s">
        <v>2199</v>
      </c>
      <c r="C214" s="57" t="s">
        <v>28</v>
      </c>
      <c r="D214" s="56" t="s">
        <v>1235</v>
      </c>
      <c r="E214" s="57" t="s">
        <v>1237</v>
      </c>
      <c r="F214" s="56">
        <v>1</v>
      </c>
      <c r="G214" s="57" t="s">
        <v>64</v>
      </c>
      <c r="H214" s="58">
        <v>46023</v>
      </c>
      <c r="I214" s="57" t="s">
        <v>65</v>
      </c>
      <c r="J214" s="56">
        <v>1</v>
      </c>
      <c r="K214" s="60">
        <v>46054</v>
      </c>
      <c r="L214" s="59">
        <v>1400000</v>
      </c>
      <c r="M214" s="57" t="s">
        <v>2226</v>
      </c>
      <c r="N214" s="57" t="s">
        <v>2262</v>
      </c>
      <c r="O214" s="57" t="s">
        <v>2226</v>
      </c>
      <c r="P214" s="57" t="s">
        <v>2284</v>
      </c>
      <c r="Q214" s="57" t="s">
        <v>1231</v>
      </c>
    </row>
    <row r="215" spans="1:17" x14ac:dyDescent="0.25">
      <c r="A215" s="55" t="s">
        <v>1395</v>
      </c>
      <c r="B215" s="56" t="s">
        <v>2199</v>
      </c>
      <c r="C215" s="57" t="s">
        <v>28</v>
      </c>
      <c r="D215" s="56" t="s">
        <v>1396</v>
      </c>
      <c r="E215" s="57" t="s">
        <v>1133</v>
      </c>
      <c r="F215" s="56">
        <v>1</v>
      </c>
      <c r="G215" s="57" t="s">
        <v>64</v>
      </c>
      <c r="H215" s="58">
        <v>46054</v>
      </c>
      <c r="I215" s="57" t="s">
        <v>65</v>
      </c>
      <c r="J215" s="56">
        <v>1</v>
      </c>
      <c r="K215" s="60">
        <v>46054</v>
      </c>
      <c r="L215" s="59">
        <v>500004</v>
      </c>
      <c r="M215" s="57" t="s">
        <v>2226</v>
      </c>
      <c r="N215" s="57" t="s">
        <v>2262</v>
      </c>
      <c r="O215" s="57" t="s">
        <v>2226</v>
      </c>
      <c r="P215" s="57" t="s">
        <v>2284</v>
      </c>
      <c r="Q215" s="57" t="s">
        <v>1231</v>
      </c>
    </row>
    <row r="216" spans="1:17" x14ac:dyDescent="0.25">
      <c r="A216" s="55" t="s">
        <v>1436</v>
      </c>
      <c r="B216" s="56" t="s">
        <v>2199</v>
      </c>
      <c r="C216" s="57" t="s">
        <v>28</v>
      </c>
      <c r="D216" s="56" t="s">
        <v>1438</v>
      </c>
      <c r="E216" s="57" t="s">
        <v>1440</v>
      </c>
      <c r="F216" s="56">
        <v>3</v>
      </c>
      <c r="G216" s="57" t="s">
        <v>64</v>
      </c>
      <c r="H216" s="58">
        <v>46235</v>
      </c>
      <c r="I216" s="57" t="s">
        <v>65</v>
      </c>
      <c r="J216" s="56">
        <v>1</v>
      </c>
      <c r="K216" s="60">
        <v>46235</v>
      </c>
      <c r="L216" s="59">
        <v>50000</v>
      </c>
      <c r="M216" s="57" t="s">
        <v>2226</v>
      </c>
      <c r="N216" s="57" t="s">
        <v>2262</v>
      </c>
      <c r="O216" s="57" t="s">
        <v>2226</v>
      </c>
      <c r="P216" s="57" t="s">
        <v>2284</v>
      </c>
      <c r="Q216" s="57" t="s">
        <v>1231</v>
      </c>
    </row>
    <row r="217" spans="1:17" x14ac:dyDescent="0.25">
      <c r="A217" s="55" t="s">
        <v>1436</v>
      </c>
      <c r="B217" s="56" t="s">
        <v>2199</v>
      </c>
      <c r="C217" s="57" t="s">
        <v>28</v>
      </c>
      <c r="D217" s="56" t="s">
        <v>1438</v>
      </c>
      <c r="E217" s="57" t="s">
        <v>1441</v>
      </c>
      <c r="F217" s="56">
        <v>3</v>
      </c>
      <c r="G217" s="57" t="s">
        <v>64</v>
      </c>
      <c r="H217" s="58">
        <v>46235</v>
      </c>
      <c r="I217" s="57" t="s">
        <v>65</v>
      </c>
      <c r="J217" s="56">
        <v>1</v>
      </c>
      <c r="K217" s="60">
        <v>46235</v>
      </c>
      <c r="L217" s="59">
        <v>420000</v>
      </c>
      <c r="M217" s="57" t="s">
        <v>2226</v>
      </c>
      <c r="N217" s="57" t="s">
        <v>2262</v>
      </c>
      <c r="O217" s="57" t="s">
        <v>2226</v>
      </c>
      <c r="P217" s="57" t="s">
        <v>2284</v>
      </c>
      <c r="Q217" s="57" t="s">
        <v>1231</v>
      </c>
    </row>
    <row r="218" spans="1:17" x14ac:dyDescent="0.25">
      <c r="A218" s="55" t="s">
        <v>1436</v>
      </c>
      <c r="B218" s="56" t="s">
        <v>2199</v>
      </c>
      <c r="C218" s="57" t="s">
        <v>28</v>
      </c>
      <c r="D218" s="56" t="s">
        <v>1438</v>
      </c>
      <c r="E218" s="57" t="s">
        <v>1276</v>
      </c>
      <c r="F218" s="56">
        <v>3</v>
      </c>
      <c r="G218" s="57" t="s">
        <v>64</v>
      </c>
      <c r="H218" s="58">
        <v>46235</v>
      </c>
      <c r="I218" s="57" t="s">
        <v>65</v>
      </c>
      <c r="J218" s="56">
        <v>1</v>
      </c>
      <c r="K218" s="60">
        <v>46235</v>
      </c>
      <c r="L218" s="59">
        <v>30000</v>
      </c>
      <c r="M218" s="57" t="s">
        <v>2226</v>
      </c>
      <c r="N218" s="57" t="s">
        <v>2262</v>
      </c>
      <c r="O218" s="57" t="s">
        <v>2226</v>
      </c>
      <c r="P218" s="57" t="s">
        <v>2284</v>
      </c>
      <c r="Q218" s="57" t="s">
        <v>1231</v>
      </c>
    </row>
    <row r="219" spans="1:17" x14ac:dyDescent="0.25">
      <c r="A219" s="55" t="s">
        <v>1667</v>
      </c>
      <c r="B219" s="56" t="s">
        <v>2199</v>
      </c>
      <c r="C219" s="57" t="s">
        <v>28</v>
      </c>
      <c r="D219" s="56" t="s">
        <v>1668</v>
      </c>
      <c r="E219" s="57" t="s">
        <v>359</v>
      </c>
      <c r="F219" s="56">
        <v>3</v>
      </c>
      <c r="G219" s="57" t="s">
        <v>64</v>
      </c>
      <c r="H219" s="58">
        <v>46082</v>
      </c>
      <c r="I219" s="57" t="s">
        <v>65</v>
      </c>
      <c r="J219" s="56">
        <v>4</v>
      </c>
      <c r="K219" s="57" t="s">
        <v>1672</v>
      </c>
      <c r="L219" s="59">
        <v>367136</v>
      </c>
      <c r="M219" s="57" t="s">
        <v>2226</v>
      </c>
      <c r="N219" s="57" t="s">
        <v>2262</v>
      </c>
      <c r="O219" s="57" t="s">
        <v>2226</v>
      </c>
      <c r="P219" s="57" t="s">
        <v>2284</v>
      </c>
      <c r="Q219" s="57" t="s">
        <v>1231</v>
      </c>
    </row>
    <row r="220" spans="1:17" x14ac:dyDescent="0.25">
      <c r="A220" s="55" t="s">
        <v>1667</v>
      </c>
      <c r="B220" s="56" t="s">
        <v>2199</v>
      </c>
      <c r="C220" s="57" t="s">
        <v>28</v>
      </c>
      <c r="D220" s="56" t="s">
        <v>1668</v>
      </c>
      <c r="E220" s="57" t="s">
        <v>1670</v>
      </c>
      <c r="F220" s="56">
        <v>3</v>
      </c>
      <c r="G220" s="57" t="s">
        <v>64</v>
      </c>
      <c r="H220" s="58">
        <v>46054</v>
      </c>
      <c r="I220" s="57" t="s">
        <v>65</v>
      </c>
      <c r="J220" s="56">
        <v>1</v>
      </c>
      <c r="K220" s="60">
        <v>46054</v>
      </c>
      <c r="L220" s="59">
        <v>150000</v>
      </c>
      <c r="M220" s="57" t="s">
        <v>2226</v>
      </c>
      <c r="N220" s="57" t="s">
        <v>2262</v>
      </c>
      <c r="O220" s="57" t="s">
        <v>2226</v>
      </c>
      <c r="P220" s="57" t="s">
        <v>2284</v>
      </c>
      <c r="Q220" s="57" t="s">
        <v>1231</v>
      </c>
    </row>
    <row r="221" spans="1:17" x14ac:dyDescent="0.25">
      <c r="A221" s="55" t="s">
        <v>1667</v>
      </c>
      <c r="B221" s="56" t="s">
        <v>2199</v>
      </c>
      <c r="C221" s="57" t="s">
        <v>28</v>
      </c>
      <c r="D221" s="56" t="s">
        <v>1668</v>
      </c>
      <c r="E221" s="57" t="s">
        <v>1671</v>
      </c>
      <c r="F221" s="56">
        <v>3</v>
      </c>
      <c r="G221" s="57" t="s">
        <v>64</v>
      </c>
      <c r="H221" s="58">
        <v>46054</v>
      </c>
      <c r="I221" s="57" t="s">
        <v>65</v>
      </c>
      <c r="J221" s="56">
        <v>1</v>
      </c>
      <c r="K221" s="60">
        <v>46054</v>
      </c>
      <c r="L221" s="59">
        <v>25017</v>
      </c>
      <c r="M221" s="57" t="s">
        <v>2226</v>
      </c>
      <c r="N221" s="57" t="s">
        <v>2262</v>
      </c>
      <c r="O221" s="57" t="s">
        <v>2226</v>
      </c>
      <c r="P221" s="57" t="s">
        <v>2284</v>
      </c>
      <c r="Q221" s="57" t="s">
        <v>1231</v>
      </c>
    </row>
    <row r="222" spans="1:17" x14ac:dyDescent="0.25">
      <c r="A222" s="55" t="s">
        <v>2144</v>
      </c>
      <c r="B222" s="56" t="s">
        <v>2199</v>
      </c>
      <c r="C222" s="57" t="s">
        <v>28</v>
      </c>
      <c r="D222" s="56" t="s">
        <v>2145</v>
      </c>
      <c r="E222" s="57" t="s">
        <v>359</v>
      </c>
      <c r="F222" s="56">
        <v>4</v>
      </c>
      <c r="G222" s="57" t="s">
        <v>64</v>
      </c>
      <c r="H222" s="58">
        <v>46113</v>
      </c>
      <c r="I222" s="57" t="s">
        <v>65</v>
      </c>
      <c r="J222" s="56">
        <v>1</v>
      </c>
      <c r="K222" s="60">
        <v>46113</v>
      </c>
      <c r="L222" s="59">
        <v>364000</v>
      </c>
      <c r="M222" s="57" t="s">
        <v>2226</v>
      </c>
      <c r="N222" s="57" t="s">
        <v>2262</v>
      </c>
      <c r="O222" s="57" t="s">
        <v>2226</v>
      </c>
      <c r="P222" s="57" t="s">
        <v>2284</v>
      </c>
      <c r="Q222" s="57" t="s">
        <v>1231</v>
      </c>
    </row>
    <row r="223" spans="1:17" x14ac:dyDescent="0.25">
      <c r="A223" s="55" t="s">
        <v>2144</v>
      </c>
      <c r="B223" s="56" t="s">
        <v>2199</v>
      </c>
      <c r="C223" s="57" t="s">
        <v>28</v>
      </c>
      <c r="D223" s="56" t="s">
        <v>2145</v>
      </c>
      <c r="E223" s="57" t="s">
        <v>2147</v>
      </c>
      <c r="F223" s="56">
        <v>4</v>
      </c>
      <c r="G223" s="57" t="s">
        <v>64</v>
      </c>
      <c r="H223" s="58">
        <v>46113</v>
      </c>
      <c r="I223" s="57" t="s">
        <v>65</v>
      </c>
      <c r="J223" s="56">
        <v>1</v>
      </c>
      <c r="K223" s="60">
        <v>46113</v>
      </c>
      <c r="L223" s="59">
        <v>166036</v>
      </c>
      <c r="M223" s="57" t="s">
        <v>2226</v>
      </c>
      <c r="N223" s="57" t="s">
        <v>2262</v>
      </c>
      <c r="O223" s="57" t="s">
        <v>2226</v>
      </c>
      <c r="P223" s="57" t="s">
        <v>2284</v>
      </c>
      <c r="Q223" s="57" t="s">
        <v>1231</v>
      </c>
    </row>
    <row r="224" spans="1:17" x14ac:dyDescent="0.25">
      <c r="A224" s="55" t="s">
        <v>2144</v>
      </c>
      <c r="B224" s="56" t="s">
        <v>2199</v>
      </c>
      <c r="C224" s="57" t="s">
        <v>28</v>
      </c>
      <c r="D224" s="56" t="s">
        <v>2145</v>
      </c>
      <c r="E224" s="57" t="s">
        <v>855</v>
      </c>
      <c r="F224" s="56">
        <v>4</v>
      </c>
      <c r="G224" s="57" t="s">
        <v>64</v>
      </c>
      <c r="H224" s="58">
        <v>46113</v>
      </c>
      <c r="I224" s="57" t="s">
        <v>65</v>
      </c>
      <c r="J224" s="56">
        <v>1</v>
      </c>
      <c r="K224" s="60">
        <v>46113</v>
      </c>
      <c r="L224" s="59">
        <v>73472</v>
      </c>
      <c r="M224" s="57" t="s">
        <v>2226</v>
      </c>
      <c r="N224" s="57" t="s">
        <v>2262</v>
      </c>
      <c r="O224" s="57" t="s">
        <v>2226</v>
      </c>
      <c r="P224" s="57" t="s">
        <v>2284</v>
      </c>
      <c r="Q224" s="57" t="s">
        <v>1231</v>
      </c>
    </row>
    <row r="225" spans="1:17" x14ac:dyDescent="0.25">
      <c r="A225" s="55" t="s">
        <v>2144</v>
      </c>
      <c r="B225" s="56" t="s">
        <v>2199</v>
      </c>
      <c r="C225" s="57" t="s">
        <v>28</v>
      </c>
      <c r="D225" s="56" t="s">
        <v>2145</v>
      </c>
      <c r="E225" s="57" t="s">
        <v>2148</v>
      </c>
      <c r="F225" s="56">
        <v>4</v>
      </c>
      <c r="G225" s="57" t="s">
        <v>64</v>
      </c>
      <c r="H225" s="58">
        <v>46113</v>
      </c>
      <c r="I225" s="57" t="s">
        <v>65</v>
      </c>
      <c r="J225" s="56">
        <v>1</v>
      </c>
      <c r="K225" s="60">
        <v>46113</v>
      </c>
      <c r="L225" s="59">
        <v>1350000</v>
      </c>
      <c r="M225" s="57" t="s">
        <v>2226</v>
      </c>
      <c r="N225" s="57" t="s">
        <v>2262</v>
      </c>
      <c r="O225" s="57" t="s">
        <v>2226</v>
      </c>
      <c r="P225" s="57" t="s">
        <v>2284</v>
      </c>
      <c r="Q225" s="57" t="s">
        <v>1231</v>
      </c>
    </row>
    <row r="226" spans="1:17" x14ac:dyDescent="0.25">
      <c r="A226" s="55" t="s">
        <v>2166</v>
      </c>
      <c r="B226" s="56" t="s">
        <v>2199</v>
      </c>
      <c r="C226" s="57" t="s">
        <v>28</v>
      </c>
      <c r="D226" s="56" t="s">
        <v>2167</v>
      </c>
      <c r="E226" s="57" t="s">
        <v>1550</v>
      </c>
      <c r="F226" s="56">
        <v>3</v>
      </c>
      <c r="G226" s="57" t="s">
        <v>64</v>
      </c>
      <c r="H226" s="58">
        <v>46054</v>
      </c>
      <c r="I226" s="57" t="s">
        <v>65</v>
      </c>
      <c r="J226" s="56">
        <v>1</v>
      </c>
      <c r="K226" s="60">
        <v>46054</v>
      </c>
      <c r="L226" s="59">
        <v>40000</v>
      </c>
      <c r="M226" s="57" t="s">
        <v>2226</v>
      </c>
      <c r="N226" s="57" t="s">
        <v>2262</v>
      </c>
      <c r="O226" s="57" t="s">
        <v>2226</v>
      </c>
      <c r="P226" s="57" t="s">
        <v>2284</v>
      </c>
      <c r="Q226" s="57" t="s">
        <v>1231</v>
      </c>
    </row>
    <row r="227" spans="1:17" x14ac:dyDescent="0.25">
      <c r="A227" s="55" t="s">
        <v>2166</v>
      </c>
      <c r="B227" s="56" t="s">
        <v>2199</v>
      </c>
      <c r="C227" s="57" t="s">
        <v>28</v>
      </c>
      <c r="D227" s="56" t="s">
        <v>2167</v>
      </c>
      <c r="E227" s="57" t="s">
        <v>486</v>
      </c>
      <c r="F227" s="56">
        <v>3</v>
      </c>
      <c r="G227" s="57" t="s">
        <v>64</v>
      </c>
      <c r="H227" s="58">
        <v>46054</v>
      </c>
      <c r="I227" s="57" t="s">
        <v>65</v>
      </c>
      <c r="J227" s="56">
        <v>1</v>
      </c>
      <c r="K227" s="60">
        <v>46054</v>
      </c>
      <c r="L227" s="59">
        <v>275496</v>
      </c>
      <c r="M227" s="57" t="s">
        <v>2226</v>
      </c>
      <c r="N227" s="57" t="s">
        <v>2262</v>
      </c>
      <c r="O227" s="57" t="s">
        <v>2226</v>
      </c>
      <c r="P227" s="57" t="s">
        <v>2284</v>
      </c>
      <c r="Q227" s="57" t="s">
        <v>1231</v>
      </c>
    </row>
    <row r="228" spans="1:17" x14ac:dyDescent="0.25">
      <c r="A228" s="55" t="s">
        <v>2166</v>
      </c>
      <c r="B228" s="56" t="s">
        <v>2199</v>
      </c>
      <c r="C228" s="57" t="s">
        <v>28</v>
      </c>
      <c r="D228" s="56" t="s">
        <v>2167</v>
      </c>
      <c r="E228" s="57" t="s">
        <v>832</v>
      </c>
      <c r="F228" s="56">
        <v>3</v>
      </c>
      <c r="G228" s="57" t="s">
        <v>64</v>
      </c>
      <c r="H228" s="58">
        <v>46054</v>
      </c>
      <c r="I228" s="57" t="s">
        <v>65</v>
      </c>
      <c r="J228" s="56">
        <v>1</v>
      </c>
      <c r="K228" s="60">
        <v>46054</v>
      </c>
      <c r="L228" s="59">
        <v>80000</v>
      </c>
      <c r="M228" s="57" t="s">
        <v>2226</v>
      </c>
      <c r="N228" s="57" t="s">
        <v>2262</v>
      </c>
      <c r="O228" s="57" t="s">
        <v>2226</v>
      </c>
      <c r="P228" s="57" t="s">
        <v>2284</v>
      </c>
      <c r="Q228" s="57" t="s">
        <v>1231</v>
      </c>
    </row>
    <row r="229" spans="1:17" x14ac:dyDescent="0.25">
      <c r="A229" s="55" t="s">
        <v>165</v>
      </c>
      <c r="B229" s="56" t="s">
        <v>2196</v>
      </c>
      <c r="C229" s="57" t="s">
        <v>28</v>
      </c>
      <c r="D229" s="56" t="s">
        <v>167</v>
      </c>
      <c r="E229" s="57" t="s">
        <v>62</v>
      </c>
      <c r="F229" s="56">
        <v>1</v>
      </c>
      <c r="G229" s="57" t="s">
        <v>169</v>
      </c>
      <c r="H229" s="58">
        <v>45444</v>
      </c>
      <c r="I229" s="57" t="s">
        <v>65</v>
      </c>
      <c r="J229" s="56">
        <v>24</v>
      </c>
      <c r="K229" s="57" t="s">
        <v>73</v>
      </c>
      <c r="L229" s="59">
        <v>10000004</v>
      </c>
      <c r="M229" s="57" t="s">
        <v>2226</v>
      </c>
      <c r="N229" s="57" t="s">
        <v>2262</v>
      </c>
      <c r="O229" s="57" t="s">
        <v>2226</v>
      </c>
      <c r="P229" s="57" t="s">
        <v>2284</v>
      </c>
      <c r="Q229" s="57" t="s">
        <v>1231</v>
      </c>
    </row>
    <row r="230" spans="1:17" x14ac:dyDescent="0.25">
      <c r="A230" s="55" t="s">
        <v>560</v>
      </c>
      <c r="B230" s="56" t="s">
        <v>2196</v>
      </c>
      <c r="C230" s="57" t="s">
        <v>28</v>
      </c>
      <c r="D230" s="56" t="s">
        <v>562</v>
      </c>
      <c r="E230" s="57" t="s">
        <v>564</v>
      </c>
      <c r="F230" s="56">
        <v>1</v>
      </c>
      <c r="G230" s="57" t="s">
        <v>169</v>
      </c>
      <c r="H230" s="58">
        <v>45992</v>
      </c>
      <c r="I230" s="57" t="s">
        <v>65</v>
      </c>
      <c r="J230" s="56">
        <v>32</v>
      </c>
      <c r="K230" s="57" t="s">
        <v>196</v>
      </c>
      <c r="L230" s="59">
        <v>69333336</v>
      </c>
      <c r="M230" s="57" t="s">
        <v>2226</v>
      </c>
      <c r="N230" s="57" t="s">
        <v>2262</v>
      </c>
      <c r="O230" s="57" t="s">
        <v>2226</v>
      </c>
      <c r="P230" s="57" t="s">
        <v>2284</v>
      </c>
      <c r="Q230" s="57" t="s">
        <v>1231</v>
      </c>
    </row>
    <row r="231" spans="1:17" x14ac:dyDescent="0.25">
      <c r="A231" s="55" t="s">
        <v>482</v>
      </c>
      <c r="B231" s="56" t="s">
        <v>2196</v>
      </c>
      <c r="C231" s="57" t="s">
        <v>28</v>
      </c>
      <c r="D231" s="56" t="s">
        <v>484</v>
      </c>
      <c r="E231" s="57" t="s">
        <v>486</v>
      </c>
      <c r="F231" s="56">
        <v>1</v>
      </c>
      <c r="G231" s="57" t="s">
        <v>487</v>
      </c>
      <c r="H231" s="58">
        <v>45870</v>
      </c>
      <c r="I231" s="57" t="s">
        <v>488</v>
      </c>
      <c r="J231" s="56">
        <v>12</v>
      </c>
      <c r="K231" s="57" t="s">
        <v>308</v>
      </c>
      <c r="L231" s="59">
        <v>16817500</v>
      </c>
      <c r="M231" s="57" t="s">
        <v>2244</v>
      </c>
      <c r="N231" s="57" t="s">
        <v>2256</v>
      </c>
      <c r="O231" s="57" t="s">
        <v>2268</v>
      </c>
      <c r="P231" s="57" t="s">
        <v>2284</v>
      </c>
      <c r="Q231" s="57" t="s">
        <v>487</v>
      </c>
    </row>
    <row r="232" spans="1:17" x14ac:dyDescent="0.25">
      <c r="A232" s="55" t="s">
        <v>605</v>
      </c>
      <c r="B232" s="56" t="s">
        <v>2199</v>
      </c>
      <c r="C232" s="57" t="s">
        <v>374</v>
      </c>
      <c r="D232" s="56" t="s">
        <v>607</v>
      </c>
      <c r="E232" s="57" t="s">
        <v>613</v>
      </c>
      <c r="F232" s="56">
        <v>2</v>
      </c>
      <c r="G232" s="57" t="s">
        <v>609</v>
      </c>
      <c r="H232" s="58">
        <v>46143</v>
      </c>
      <c r="I232" s="57" t="s">
        <v>610</v>
      </c>
      <c r="J232" s="56">
        <v>1</v>
      </c>
      <c r="K232" s="60">
        <v>46143</v>
      </c>
      <c r="L232" s="59">
        <v>30000000</v>
      </c>
      <c r="M232" s="57" t="s">
        <v>2221</v>
      </c>
      <c r="N232" s="57" t="s">
        <v>2234</v>
      </c>
      <c r="O232" s="57" t="s">
        <v>2259</v>
      </c>
      <c r="P232" s="57" t="s">
        <v>2284</v>
      </c>
      <c r="Q232" s="57" t="s">
        <v>609</v>
      </c>
    </row>
    <row r="233" spans="1:17" x14ac:dyDescent="0.25">
      <c r="A233" s="55" t="s">
        <v>605</v>
      </c>
      <c r="B233" s="56" t="s">
        <v>2199</v>
      </c>
      <c r="C233" s="57" t="s">
        <v>374</v>
      </c>
      <c r="D233" s="56" t="s">
        <v>607</v>
      </c>
      <c r="E233" s="57" t="s">
        <v>288</v>
      </c>
      <c r="F233" s="56">
        <v>2</v>
      </c>
      <c r="G233" s="57" t="s">
        <v>609</v>
      </c>
      <c r="H233" s="58">
        <v>46113</v>
      </c>
      <c r="I233" s="57" t="s">
        <v>610</v>
      </c>
      <c r="J233" s="56">
        <v>1</v>
      </c>
      <c r="K233" s="60">
        <v>46113</v>
      </c>
      <c r="L233" s="59">
        <v>30000000</v>
      </c>
      <c r="M233" s="57" t="s">
        <v>2221</v>
      </c>
      <c r="N233" s="57" t="s">
        <v>2234</v>
      </c>
      <c r="O233" s="57" t="s">
        <v>2259</v>
      </c>
      <c r="P233" s="57" t="s">
        <v>2284</v>
      </c>
      <c r="Q233" s="57" t="s">
        <v>609</v>
      </c>
    </row>
    <row r="234" spans="1:17" x14ac:dyDescent="0.25">
      <c r="A234" s="55" t="s">
        <v>568</v>
      </c>
      <c r="B234" s="56" t="s">
        <v>2199</v>
      </c>
      <c r="C234" s="57" t="s">
        <v>567</v>
      </c>
      <c r="D234" s="56" t="s">
        <v>570</v>
      </c>
      <c r="E234" s="57" t="s">
        <v>583</v>
      </c>
      <c r="F234" s="56">
        <v>8</v>
      </c>
      <c r="G234" s="57" t="s">
        <v>573</v>
      </c>
      <c r="H234" s="58">
        <v>46327</v>
      </c>
      <c r="I234" s="57" t="s">
        <v>574</v>
      </c>
      <c r="J234" s="56">
        <v>1</v>
      </c>
      <c r="K234" s="60">
        <v>46357</v>
      </c>
      <c r="L234" s="59">
        <v>18000000</v>
      </c>
      <c r="M234" s="57" t="s">
        <v>2227</v>
      </c>
      <c r="N234" s="57" t="s">
        <v>2227</v>
      </c>
      <c r="O234" s="57" t="s">
        <v>2263</v>
      </c>
      <c r="P234" s="57" t="s">
        <v>2284</v>
      </c>
      <c r="Q234" s="57" t="s">
        <v>573</v>
      </c>
    </row>
    <row r="235" spans="1:17" x14ac:dyDescent="0.25">
      <c r="A235" s="55" t="s">
        <v>568</v>
      </c>
      <c r="B235" s="56" t="s">
        <v>2199</v>
      </c>
      <c r="C235" s="57" t="s">
        <v>567</v>
      </c>
      <c r="D235" s="56" t="s">
        <v>570</v>
      </c>
      <c r="E235" s="57" t="s">
        <v>577</v>
      </c>
      <c r="F235" s="56">
        <v>8</v>
      </c>
      <c r="G235" s="57" t="s">
        <v>573</v>
      </c>
      <c r="H235" s="58">
        <v>46174</v>
      </c>
      <c r="I235" s="57" t="s">
        <v>574</v>
      </c>
      <c r="J235" s="56">
        <v>1</v>
      </c>
      <c r="K235" s="60">
        <v>46174</v>
      </c>
      <c r="L235" s="59">
        <v>1000000</v>
      </c>
      <c r="M235" s="57" t="s">
        <v>2227</v>
      </c>
      <c r="N235" s="57" t="s">
        <v>2227</v>
      </c>
      <c r="O235" s="57" t="s">
        <v>2263</v>
      </c>
      <c r="P235" s="57" t="s">
        <v>2284</v>
      </c>
      <c r="Q235" s="57" t="s">
        <v>573</v>
      </c>
    </row>
    <row r="236" spans="1:17" x14ac:dyDescent="0.25">
      <c r="A236" s="55" t="s">
        <v>568</v>
      </c>
      <c r="B236" s="56" t="s">
        <v>2199</v>
      </c>
      <c r="C236" s="57" t="s">
        <v>567</v>
      </c>
      <c r="D236" s="56" t="s">
        <v>570</v>
      </c>
      <c r="E236" s="57" t="s">
        <v>578</v>
      </c>
      <c r="F236" s="56">
        <v>8</v>
      </c>
      <c r="G236" s="57" t="s">
        <v>573</v>
      </c>
      <c r="H236" s="58">
        <v>46174</v>
      </c>
      <c r="I236" s="57" t="s">
        <v>574</v>
      </c>
      <c r="J236" s="56">
        <v>1</v>
      </c>
      <c r="K236" s="60">
        <v>46174</v>
      </c>
      <c r="L236" s="59">
        <v>2000000</v>
      </c>
      <c r="M236" s="57" t="s">
        <v>2227</v>
      </c>
      <c r="N236" s="57" t="s">
        <v>2227</v>
      </c>
      <c r="O236" s="57" t="s">
        <v>2263</v>
      </c>
      <c r="P236" s="57" t="s">
        <v>2284</v>
      </c>
      <c r="Q236" s="57" t="s">
        <v>573</v>
      </c>
    </row>
    <row r="237" spans="1:17" x14ac:dyDescent="0.25">
      <c r="A237" s="55" t="s">
        <v>568</v>
      </c>
      <c r="B237" s="56" t="s">
        <v>2199</v>
      </c>
      <c r="C237" s="57" t="s">
        <v>567</v>
      </c>
      <c r="D237" s="56" t="s">
        <v>570</v>
      </c>
      <c r="E237" s="57" t="s">
        <v>580</v>
      </c>
      <c r="F237" s="56">
        <v>8</v>
      </c>
      <c r="G237" s="57" t="s">
        <v>573</v>
      </c>
      <c r="H237" s="58">
        <v>46296</v>
      </c>
      <c r="I237" s="57" t="s">
        <v>574</v>
      </c>
      <c r="J237" s="56">
        <v>1</v>
      </c>
      <c r="K237" s="60">
        <v>46296</v>
      </c>
      <c r="L237" s="59">
        <v>35000000</v>
      </c>
      <c r="M237" s="57" t="s">
        <v>2227</v>
      </c>
      <c r="N237" s="57" t="s">
        <v>2227</v>
      </c>
      <c r="O237" s="57" t="s">
        <v>2263</v>
      </c>
      <c r="P237" s="57" t="s">
        <v>2284</v>
      </c>
      <c r="Q237" s="57" t="s">
        <v>573</v>
      </c>
    </row>
    <row r="238" spans="1:17" x14ac:dyDescent="0.25">
      <c r="A238" s="55" t="s">
        <v>568</v>
      </c>
      <c r="B238" s="56" t="s">
        <v>2199</v>
      </c>
      <c r="C238" s="57" t="s">
        <v>567</v>
      </c>
      <c r="D238" s="56" t="s">
        <v>570</v>
      </c>
      <c r="E238" s="57" t="s">
        <v>579</v>
      </c>
      <c r="F238" s="56">
        <v>8</v>
      </c>
      <c r="G238" s="57" t="s">
        <v>573</v>
      </c>
      <c r="H238" s="58">
        <v>46266</v>
      </c>
      <c r="I238" s="57" t="s">
        <v>574</v>
      </c>
      <c r="J238" s="56">
        <v>1</v>
      </c>
      <c r="K238" s="60">
        <v>46266</v>
      </c>
      <c r="L238" s="59">
        <v>25000000</v>
      </c>
      <c r="M238" s="57" t="s">
        <v>2227</v>
      </c>
      <c r="N238" s="57" t="s">
        <v>2227</v>
      </c>
      <c r="O238" s="57" t="s">
        <v>2263</v>
      </c>
      <c r="P238" s="57" t="s">
        <v>2284</v>
      </c>
      <c r="Q238" s="57" t="s">
        <v>573</v>
      </c>
    </row>
    <row r="239" spans="1:17" x14ac:dyDescent="0.25">
      <c r="A239" s="55" t="s">
        <v>568</v>
      </c>
      <c r="B239" s="56" t="s">
        <v>2199</v>
      </c>
      <c r="C239" s="57" t="s">
        <v>567</v>
      </c>
      <c r="D239" s="56" t="s">
        <v>570</v>
      </c>
      <c r="E239" s="57" t="s">
        <v>582</v>
      </c>
      <c r="F239" s="56">
        <v>8</v>
      </c>
      <c r="G239" s="57" t="s">
        <v>573</v>
      </c>
      <c r="H239" s="58">
        <v>46327</v>
      </c>
      <c r="I239" s="57" t="s">
        <v>574</v>
      </c>
      <c r="J239" s="56">
        <v>1</v>
      </c>
      <c r="K239" s="60">
        <v>46357</v>
      </c>
      <c r="L239" s="59">
        <v>20000000</v>
      </c>
      <c r="M239" s="57" t="s">
        <v>2227</v>
      </c>
      <c r="N239" s="57" t="s">
        <v>2227</v>
      </c>
      <c r="O239" s="57" t="s">
        <v>2263</v>
      </c>
      <c r="P239" s="57" t="s">
        <v>2284</v>
      </c>
      <c r="Q239" s="57" t="s">
        <v>573</v>
      </c>
    </row>
    <row r="240" spans="1:17" x14ac:dyDescent="0.25">
      <c r="A240" s="55" t="s">
        <v>568</v>
      </c>
      <c r="B240" s="56" t="s">
        <v>2199</v>
      </c>
      <c r="C240" s="57" t="s">
        <v>567</v>
      </c>
      <c r="D240" s="56" t="s">
        <v>570</v>
      </c>
      <c r="E240" s="57" t="s">
        <v>581</v>
      </c>
      <c r="F240" s="56">
        <v>8</v>
      </c>
      <c r="G240" s="57" t="s">
        <v>573</v>
      </c>
      <c r="H240" s="58">
        <v>46327</v>
      </c>
      <c r="I240" s="57" t="s">
        <v>574</v>
      </c>
      <c r="J240" s="56">
        <v>1</v>
      </c>
      <c r="K240" s="60">
        <v>46327</v>
      </c>
      <c r="L240" s="59">
        <v>15000000</v>
      </c>
      <c r="M240" s="57" t="s">
        <v>2227</v>
      </c>
      <c r="N240" s="57" t="s">
        <v>2227</v>
      </c>
      <c r="O240" s="57" t="s">
        <v>2263</v>
      </c>
      <c r="P240" s="57" t="s">
        <v>2284</v>
      </c>
      <c r="Q240" s="57" t="s">
        <v>573</v>
      </c>
    </row>
    <row r="241" spans="1:17" x14ac:dyDescent="0.25">
      <c r="A241" s="55" t="s">
        <v>568</v>
      </c>
      <c r="B241" s="56" t="s">
        <v>2199</v>
      </c>
      <c r="C241" s="57" t="s">
        <v>567</v>
      </c>
      <c r="D241" s="56" t="s">
        <v>570</v>
      </c>
      <c r="E241" s="57" t="s">
        <v>572</v>
      </c>
      <c r="F241" s="56">
        <v>8</v>
      </c>
      <c r="G241" s="57" t="s">
        <v>573</v>
      </c>
      <c r="H241" s="58">
        <v>46113</v>
      </c>
      <c r="I241" s="57" t="s">
        <v>574</v>
      </c>
      <c r="J241" s="56">
        <v>1</v>
      </c>
      <c r="K241" s="60">
        <v>46113</v>
      </c>
      <c r="L241" s="59">
        <v>40000000</v>
      </c>
      <c r="M241" s="57" t="s">
        <v>2227</v>
      </c>
      <c r="N241" s="57" t="s">
        <v>2227</v>
      </c>
      <c r="O241" s="57" t="s">
        <v>2263</v>
      </c>
      <c r="P241" s="57" t="s">
        <v>2284</v>
      </c>
      <c r="Q241" s="57" t="s">
        <v>573</v>
      </c>
    </row>
    <row r="242" spans="1:17" x14ac:dyDescent="0.25">
      <c r="A242" s="55" t="s">
        <v>1099</v>
      </c>
      <c r="B242" s="56" t="s">
        <v>2199</v>
      </c>
      <c r="C242" s="57" t="s">
        <v>28</v>
      </c>
      <c r="D242" s="56" t="s">
        <v>1100</v>
      </c>
      <c r="E242" s="57" t="s">
        <v>359</v>
      </c>
      <c r="F242" s="56">
        <v>2</v>
      </c>
      <c r="G242" s="57" t="s">
        <v>457</v>
      </c>
      <c r="H242" s="58">
        <v>46174</v>
      </c>
      <c r="I242" s="57" t="s">
        <v>458</v>
      </c>
      <c r="J242" s="56">
        <v>1</v>
      </c>
      <c r="K242" s="60">
        <v>46174</v>
      </c>
      <c r="L242" s="59">
        <v>123178</v>
      </c>
      <c r="M242" s="57" t="s">
        <v>2228</v>
      </c>
      <c r="N242" s="57" t="s">
        <v>2227</v>
      </c>
      <c r="O242" s="57" t="s">
        <v>2261</v>
      </c>
      <c r="P242" s="57" t="s">
        <v>2284</v>
      </c>
      <c r="Q242" s="57" t="s">
        <v>457</v>
      </c>
    </row>
    <row r="243" spans="1:17" x14ac:dyDescent="0.25">
      <c r="A243" s="55" t="s">
        <v>1099</v>
      </c>
      <c r="B243" s="56" t="s">
        <v>2199</v>
      </c>
      <c r="C243" s="57" t="s">
        <v>28</v>
      </c>
      <c r="D243" s="56" t="s">
        <v>1100</v>
      </c>
      <c r="E243" s="57" t="s">
        <v>855</v>
      </c>
      <c r="F243" s="56">
        <v>2</v>
      </c>
      <c r="G243" s="57" t="s">
        <v>457</v>
      </c>
      <c r="H243" s="58">
        <v>46174</v>
      </c>
      <c r="I243" s="57" t="s">
        <v>458</v>
      </c>
      <c r="J243" s="56">
        <v>1</v>
      </c>
      <c r="K243" s="60">
        <v>46174</v>
      </c>
      <c r="L243" s="59">
        <v>60060</v>
      </c>
      <c r="M243" s="57" t="s">
        <v>2228</v>
      </c>
      <c r="N243" s="57" t="s">
        <v>2227</v>
      </c>
      <c r="O243" s="57" t="s">
        <v>2261</v>
      </c>
      <c r="P243" s="57" t="s">
        <v>2284</v>
      </c>
      <c r="Q243" s="57" t="s">
        <v>457</v>
      </c>
    </row>
    <row r="244" spans="1:17" x14ac:dyDescent="0.25">
      <c r="A244" s="55" t="s">
        <v>452</v>
      </c>
      <c r="B244" s="56" t="s">
        <v>2196</v>
      </c>
      <c r="C244" s="57" t="s">
        <v>28</v>
      </c>
      <c r="D244" s="56" t="s">
        <v>454</v>
      </c>
      <c r="E244" s="57" t="s">
        <v>456</v>
      </c>
      <c r="F244" s="56">
        <v>1</v>
      </c>
      <c r="G244" s="57" t="s">
        <v>457</v>
      </c>
      <c r="H244" s="58">
        <v>45870</v>
      </c>
      <c r="I244" s="57" t="s">
        <v>458</v>
      </c>
      <c r="J244" s="56">
        <v>12</v>
      </c>
      <c r="K244" s="57" t="s">
        <v>318</v>
      </c>
      <c r="L244" s="59">
        <v>189933326</v>
      </c>
      <c r="M244" s="57" t="s">
        <v>2228</v>
      </c>
      <c r="N244" s="57" t="s">
        <v>2227</v>
      </c>
      <c r="O244" s="57" t="s">
        <v>2261</v>
      </c>
      <c r="P244" s="57" t="s">
        <v>2284</v>
      </c>
      <c r="Q244" s="57" t="s">
        <v>457</v>
      </c>
    </row>
    <row r="245" spans="1:17" x14ac:dyDescent="0.25">
      <c r="A245" s="55" t="s">
        <v>1110</v>
      </c>
      <c r="B245" s="56" t="s">
        <v>2199</v>
      </c>
      <c r="C245" s="57" t="s">
        <v>28</v>
      </c>
      <c r="D245" s="56" t="s">
        <v>1111</v>
      </c>
      <c r="E245" s="57" t="s">
        <v>359</v>
      </c>
      <c r="F245" s="56">
        <v>2</v>
      </c>
      <c r="G245" s="57" t="s">
        <v>457</v>
      </c>
      <c r="H245" s="58">
        <v>46204</v>
      </c>
      <c r="I245" s="57" t="s">
        <v>458</v>
      </c>
      <c r="J245" s="56">
        <v>1</v>
      </c>
      <c r="K245" s="60">
        <v>46204</v>
      </c>
      <c r="L245" s="59">
        <v>150006</v>
      </c>
      <c r="M245" s="57" t="s">
        <v>2228</v>
      </c>
      <c r="N245" s="57" t="s">
        <v>2227</v>
      </c>
      <c r="O245" s="57" t="s">
        <v>2261</v>
      </c>
      <c r="P245" s="57" t="s">
        <v>2284</v>
      </c>
      <c r="Q245" s="57" t="s">
        <v>457</v>
      </c>
    </row>
    <row r="246" spans="1:17" x14ac:dyDescent="0.25">
      <c r="A246" s="55" t="s">
        <v>1110</v>
      </c>
      <c r="B246" s="56" t="s">
        <v>2199</v>
      </c>
      <c r="C246" s="57" t="s">
        <v>28</v>
      </c>
      <c r="D246" s="56" t="s">
        <v>1111</v>
      </c>
      <c r="E246" s="57" t="s">
        <v>962</v>
      </c>
      <c r="F246" s="56">
        <v>2</v>
      </c>
      <c r="G246" s="57" t="s">
        <v>457</v>
      </c>
      <c r="H246" s="58">
        <v>46204</v>
      </c>
      <c r="I246" s="57" t="s">
        <v>458</v>
      </c>
      <c r="J246" s="56">
        <v>1</v>
      </c>
      <c r="K246" s="60">
        <v>46204</v>
      </c>
      <c r="L246" s="59">
        <v>75040</v>
      </c>
      <c r="M246" s="57" t="s">
        <v>2228</v>
      </c>
      <c r="N246" s="57" t="s">
        <v>2227</v>
      </c>
      <c r="O246" s="57" t="s">
        <v>2261</v>
      </c>
      <c r="P246" s="57" t="s">
        <v>2284</v>
      </c>
      <c r="Q246" s="57" t="s">
        <v>457</v>
      </c>
    </row>
    <row r="247" spans="1:17" x14ac:dyDescent="0.25">
      <c r="A247" s="55" t="s">
        <v>1679</v>
      </c>
      <c r="B247" s="56" t="s">
        <v>2199</v>
      </c>
      <c r="C247" s="57" t="s">
        <v>28</v>
      </c>
      <c r="D247" s="56" t="s">
        <v>1680</v>
      </c>
      <c r="E247" s="57" t="s">
        <v>1550</v>
      </c>
      <c r="F247" s="56">
        <v>3</v>
      </c>
      <c r="G247" s="57" t="s">
        <v>457</v>
      </c>
      <c r="H247" s="58">
        <v>46023</v>
      </c>
      <c r="I247" s="57" t="s">
        <v>1682</v>
      </c>
      <c r="J247" s="56">
        <v>1</v>
      </c>
      <c r="K247" s="60">
        <v>46023</v>
      </c>
      <c r="L247" s="59">
        <v>18000</v>
      </c>
      <c r="M247" s="57" t="s">
        <v>2228</v>
      </c>
      <c r="N247" s="57" t="s">
        <v>2227</v>
      </c>
      <c r="O247" s="57" t="s">
        <v>2261</v>
      </c>
      <c r="P247" s="57" t="s">
        <v>2284</v>
      </c>
      <c r="Q247" s="57" t="s">
        <v>457</v>
      </c>
    </row>
    <row r="248" spans="1:17" x14ac:dyDescent="0.25">
      <c r="A248" s="55" t="s">
        <v>1679</v>
      </c>
      <c r="B248" s="56" t="s">
        <v>2199</v>
      </c>
      <c r="C248" s="57" t="s">
        <v>28</v>
      </c>
      <c r="D248" s="56" t="s">
        <v>1680</v>
      </c>
      <c r="E248" s="57" t="s">
        <v>486</v>
      </c>
      <c r="F248" s="56">
        <v>3</v>
      </c>
      <c r="G248" s="57" t="s">
        <v>457</v>
      </c>
      <c r="H248" s="58">
        <v>46023</v>
      </c>
      <c r="I248" s="57" t="s">
        <v>1682</v>
      </c>
      <c r="J248" s="56">
        <v>1</v>
      </c>
      <c r="K248" s="60">
        <v>46023</v>
      </c>
      <c r="L248" s="59">
        <v>184014</v>
      </c>
      <c r="M248" s="57" t="s">
        <v>2228</v>
      </c>
      <c r="N248" s="57" t="s">
        <v>2227</v>
      </c>
      <c r="O248" s="57" t="s">
        <v>2261</v>
      </c>
      <c r="P248" s="57" t="s">
        <v>2284</v>
      </c>
      <c r="Q248" s="57" t="s">
        <v>457</v>
      </c>
    </row>
    <row r="249" spans="1:17" x14ac:dyDescent="0.25">
      <c r="A249" s="55" t="s">
        <v>1679</v>
      </c>
      <c r="B249" s="56" t="s">
        <v>2199</v>
      </c>
      <c r="C249" s="57" t="s">
        <v>28</v>
      </c>
      <c r="D249" s="56" t="s">
        <v>1680</v>
      </c>
      <c r="E249" s="57" t="s">
        <v>1683</v>
      </c>
      <c r="F249" s="56">
        <v>3</v>
      </c>
      <c r="G249" s="57" t="s">
        <v>457</v>
      </c>
      <c r="H249" s="58">
        <v>46023</v>
      </c>
      <c r="I249" s="57" t="s">
        <v>1682</v>
      </c>
      <c r="J249" s="56">
        <v>1</v>
      </c>
      <c r="K249" s="60">
        <v>46023</v>
      </c>
      <c r="L249" s="59">
        <v>20000</v>
      </c>
      <c r="M249" s="57" t="s">
        <v>2228</v>
      </c>
      <c r="N249" s="57" t="s">
        <v>2227</v>
      </c>
      <c r="O249" s="57" t="s">
        <v>2261</v>
      </c>
      <c r="P249" s="57" t="s">
        <v>2284</v>
      </c>
      <c r="Q249" s="57" t="s">
        <v>457</v>
      </c>
    </row>
    <row r="250" spans="1:17" x14ac:dyDescent="0.25">
      <c r="A250" s="55" t="s">
        <v>1921</v>
      </c>
      <c r="B250" s="56" t="s">
        <v>2199</v>
      </c>
      <c r="C250" s="57" t="s">
        <v>28</v>
      </c>
      <c r="D250" s="56" t="s">
        <v>1922</v>
      </c>
      <c r="E250" s="57" t="s">
        <v>359</v>
      </c>
      <c r="F250" s="56">
        <v>2</v>
      </c>
      <c r="G250" s="57" t="s">
        <v>1924</v>
      </c>
      <c r="H250" s="58">
        <v>46023</v>
      </c>
      <c r="I250" s="57" t="s">
        <v>1869</v>
      </c>
      <c r="J250" s="56">
        <v>1</v>
      </c>
      <c r="K250" s="60">
        <v>46023</v>
      </c>
      <c r="L250" s="59">
        <v>380078</v>
      </c>
      <c r="M250" s="57" t="s">
        <v>2229</v>
      </c>
      <c r="N250" s="57" t="s">
        <v>2262</v>
      </c>
      <c r="O250" s="57" t="s">
        <v>2262</v>
      </c>
      <c r="P250" s="57" t="s">
        <v>2284</v>
      </c>
      <c r="Q250" s="57" t="s">
        <v>1924</v>
      </c>
    </row>
    <row r="251" spans="1:17" x14ac:dyDescent="0.25">
      <c r="A251" s="55" t="s">
        <v>1921</v>
      </c>
      <c r="B251" s="56" t="s">
        <v>2199</v>
      </c>
      <c r="C251" s="57" t="s">
        <v>28</v>
      </c>
      <c r="D251" s="56" t="s">
        <v>1922</v>
      </c>
      <c r="E251" s="57" t="s">
        <v>855</v>
      </c>
      <c r="F251" s="56">
        <v>2</v>
      </c>
      <c r="G251" s="57" t="s">
        <v>1924</v>
      </c>
      <c r="H251" s="58">
        <v>46023</v>
      </c>
      <c r="I251" s="57" t="s">
        <v>1869</v>
      </c>
      <c r="J251" s="56">
        <v>1</v>
      </c>
      <c r="K251" s="60">
        <v>46023</v>
      </c>
      <c r="L251" s="59">
        <v>131430</v>
      </c>
      <c r="M251" s="57" t="s">
        <v>2229</v>
      </c>
      <c r="N251" s="57" t="s">
        <v>2262</v>
      </c>
      <c r="O251" s="57" t="s">
        <v>2262</v>
      </c>
      <c r="P251" s="57" t="s">
        <v>2284</v>
      </c>
      <c r="Q251" s="57" t="s">
        <v>1924</v>
      </c>
    </row>
    <row r="252" spans="1:17" x14ac:dyDescent="0.25">
      <c r="A252" s="55" t="s">
        <v>1793</v>
      </c>
      <c r="B252" s="56" t="s">
        <v>2199</v>
      </c>
      <c r="C252" s="57" t="s">
        <v>28</v>
      </c>
      <c r="D252" s="56" t="s">
        <v>1794</v>
      </c>
      <c r="E252" s="57" t="s">
        <v>1796</v>
      </c>
      <c r="F252" s="56">
        <v>2</v>
      </c>
      <c r="G252" s="57" t="s">
        <v>1797</v>
      </c>
      <c r="H252" s="58">
        <v>46023</v>
      </c>
      <c r="I252" s="57" t="s">
        <v>1798</v>
      </c>
      <c r="J252" s="56">
        <v>1</v>
      </c>
      <c r="K252" s="60">
        <v>46023</v>
      </c>
      <c r="L252" s="59">
        <v>65000</v>
      </c>
      <c r="M252" s="57" t="s">
        <v>2230</v>
      </c>
      <c r="N252" s="57" t="s">
        <v>2227</v>
      </c>
      <c r="O252" s="57" t="s">
        <v>2261</v>
      </c>
      <c r="P252" s="57" t="s">
        <v>2284</v>
      </c>
      <c r="Q252" s="57" t="s">
        <v>1797</v>
      </c>
    </row>
    <row r="253" spans="1:17" x14ac:dyDescent="0.25">
      <c r="A253" s="55" t="s">
        <v>1793</v>
      </c>
      <c r="B253" s="56" t="s">
        <v>2199</v>
      </c>
      <c r="C253" s="57" t="s">
        <v>28</v>
      </c>
      <c r="D253" s="56" t="s">
        <v>1794</v>
      </c>
      <c r="E253" s="57" t="s">
        <v>1801</v>
      </c>
      <c r="F253" s="56">
        <v>2</v>
      </c>
      <c r="G253" s="57" t="s">
        <v>1797</v>
      </c>
      <c r="H253" s="58">
        <v>46023</v>
      </c>
      <c r="I253" s="57" t="s">
        <v>1798</v>
      </c>
      <c r="J253" s="56">
        <v>1</v>
      </c>
      <c r="K253" s="60">
        <v>46023</v>
      </c>
      <c r="L253" s="59">
        <v>45000</v>
      </c>
      <c r="M253" s="57" t="s">
        <v>2230</v>
      </c>
      <c r="N253" s="57" t="s">
        <v>2227</v>
      </c>
      <c r="O253" s="57" t="s">
        <v>2261</v>
      </c>
      <c r="P253" s="57" t="s">
        <v>2284</v>
      </c>
      <c r="Q253" s="57" t="s">
        <v>1797</v>
      </c>
    </row>
    <row r="254" spans="1:17" x14ac:dyDescent="0.25">
      <c r="A254" s="55" t="s">
        <v>1811</v>
      </c>
      <c r="B254" s="56" t="s">
        <v>2199</v>
      </c>
      <c r="C254" s="57" t="s">
        <v>28</v>
      </c>
      <c r="D254" s="56" t="s">
        <v>1812</v>
      </c>
      <c r="E254" s="57" t="s">
        <v>1814</v>
      </c>
      <c r="F254" s="56">
        <v>1</v>
      </c>
      <c r="G254" s="57" t="s">
        <v>1797</v>
      </c>
      <c r="H254" s="58">
        <v>46023</v>
      </c>
      <c r="I254" s="57" t="s">
        <v>1798</v>
      </c>
      <c r="J254" s="56">
        <v>1</v>
      </c>
      <c r="K254" s="60">
        <v>46023</v>
      </c>
      <c r="L254" s="59">
        <v>500000</v>
      </c>
      <c r="M254" s="57" t="s">
        <v>2230</v>
      </c>
      <c r="N254" s="57" t="s">
        <v>2227</v>
      </c>
      <c r="O254" s="57" t="s">
        <v>2261</v>
      </c>
      <c r="P254" s="57" t="s">
        <v>2284</v>
      </c>
      <c r="Q254" s="57" t="s">
        <v>1797</v>
      </c>
    </row>
    <row r="255" spans="1:17" x14ac:dyDescent="0.25">
      <c r="A255" s="55" t="s">
        <v>1860</v>
      </c>
      <c r="B255" s="56" t="s">
        <v>2199</v>
      </c>
      <c r="C255" s="57" t="s">
        <v>28</v>
      </c>
      <c r="D255" s="56" t="s">
        <v>1861</v>
      </c>
      <c r="E255" s="57" t="s">
        <v>1864</v>
      </c>
      <c r="F255" s="56">
        <v>3</v>
      </c>
      <c r="G255" s="57" t="s">
        <v>1797</v>
      </c>
      <c r="H255" s="58">
        <v>46023</v>
      </c>
      <c r="I255" s="57" t="s">
        <v>1798</v>
      </c>
      <c r="J255" s="56">
        <v>1</v>
      </c>
      <c r="K255" s="60">
        <v>46054</v>
      </c>
      <c r="L255" s="59">
        <v>58014</v>
      </c>
      <c r="M255" s="57" t="s">
        <v>2230</v>
      </c>
      <c r="N255" s="57" t="s">
        <v>2227</v>
      </c>
      <c r="O255" s="57" t="s">
        <v>2261</v>
      </c>
      <c r="P255" s="57" t="s">
        <v>2284</v>
      </c>
      <c r="Q255" s="57" t="s">
        <v>1797</v>
      </c>
    </row>
    <row r="256" spans="1:17" x14ac:dyDescent="0.25">
      <c r="A256" s="55" t="s">
        <v>1860</v>
      </c>
      <c r="B256" s="56" t="s">
        <v>2199</v>
      </c>
      <c r="C256" s="57" t="s">
        <v>28</v>
      </c>
      <c r="D256" s="56" t="s">
        <v>1861</v>
      </c>
      <c r="E256" s="57" t="s">
        <v>1863</v>
      </c>
      <c r="F256" s="56">
        <v>3</v>
      </c>
      <c r="G256" s="57" t="s">
        <v>1797</v>
      </c>
      <c r="H256" s="58">
        <v>46023</v>
      </c>
      <c r="I256" s="57" t="s">
        <v>1798</v>
      </c>
      <c r="J256" s="56">
        <v>1</v>
      </c>
      <c r="K256" s="60">
        <v>46054</v>
      </c>
      <c r="L256" s="59">
        <v>120000</v>
      </c>
      <c r="M256" s="57" t="s">
        <v>2230</v>
      </c>
      <c r="N256" s="57" t="s">
        <v>2227</v>
      </c>
      <c r="O256" s="57" t="s">
        <v>2261</v>
      </c>
      <c r="P256" s="57" t="s">
        <v>2284</v>
      </c>
      <c r="Q256" s="57" t="s">
        <v>1797</v>
      </c>
    </row>
    <row r="257" spans="1:17" x14ac:dyDescent="0.25">
      <c r="A257" s="55" t="s">
        <v>1860</v>
      </c>
      <c r="B257" s="56" t="s">
        <v>2199</v>
      </c>
      <c r="C257" s="57" t="s">
        <v>28</v>
      </c>
      <c r="D257" s="56" t="s">
        <v>1861</v>
      </c>
      <c r="E257" s="57" t="s">
        <v>486</v>
      </c>
      <c r="F257" s="56">
        <v>3</v>
      </c>
      <c r="G257" s="57" t="s">
        <v>1797</v>
      </c>
      <c r="H257" s="58">
        <v>46023</v>
      </c>
      <c r="I257" s="57" t="s">
        <v>1798</v>
      </c>
      <c r="J257" s="56">
        <v>1</v>
      </c>
      <c r="K257" s="60">
        <v>46054</v>
      </c>
      <c r="L257" s="59">
        <v>271072</v>
      </c>
      <c r="M257" s="57" t="s">
        <v>2230</v>
      </c>
      <c r="N257" s="57" t="s">
        <v>2227</v>
      </c>
      <c r="O257" s="57" t="s">
        <v>2261</v>
      </c>
      <c r="P257" s="57" t="s">
        <v>2284</v>
      </c>
      <c r="Q257" s="57" t="s">
        <v>1797</v>
      </c>
    </row>
    <row r="258" spans="1:17" x14ac:dyDescent="0.25">
      <c r="A258" s="55" t="s">
        <v>1897</v>
      </c>
      <c r="B258" s="56" t="s">
        <v>2199</v>
      </c>
      <c r="C258" s="57" t="s">
        <v>28</v>
      </c>
      <c r="D258" s="56" t="s">
        <v>1898</v>
      </c>
      <c r="E258" s="57" t="s">
        <v>1550</v>
      </c>
      <c r="F258" s="56">
        <v>3</v>
      </c>
      <c r="G258" s="57" t="s">
        <v>1797</v>
      </c>
      <c r="H258" s="58">
        <v>46023</v>
      </c>
      <c r="I258" s="57" t="s">
        <v>1798</v>
      </c>
      <c r="J258" s="56">
        <v>1</v>
      </c>
      <c r="K258" s="60">
        <v>46023</v>
      </c>
      <c r="L258" s="59">
        <v>35000</v>
      </c>
      <c r="M258" s="57" t="s">
        <v>2230</v>
      </c>
      <c r="N258" s="57" t="s">
        <v>2227</v>
      </c>
      <c r="O258" s="57" t="s">
        <v>2261</v>
      </c>
      <c r="P258" s="57" t="s">
        <v>2284</v>
      </c>
      <c r="Q258" s="57" t="s">
        <v>1797</v>
      </c>
    </row>
    <row r="259" spans="1:17" x14ac:dyDescent="0.25">
      <c r="A259" s="55" t="s">
        <v>1897</v>
      </c>
      <c r="B259" s="56" t="s">
        <v>2199</v>
      </c>
      <c r="C259" s="57" t="s">
        <v>28</v>
      </c>
      <c r="D259" s="56" t="s">
        <v>1898</v>
      </c>
      <c r="E259" s="57" t="s">
        <v>486</v>
      </c>
      <c r="F259" s="56">
        <v>3</v>
      </c>
      <c r="G259" s="57" t="s">
        <v>1797</v>
      </c>
      <c r="H259" s="58">
        <v>46023</v>
      </c>
      <c r="I259" s="57" t="s">
        <v>1798</v>
      </c>
      <c r="J259" s="56">
        <v>1</v>
      </c>
      <c r="K259" s="60">
        <v>46023</v>
      </c>
      <c r="L259" s="59">
        <v>120000</v>
      </c>
      <c r="M259" s="57" t="s">
        <v>2230</v>
      </c>
      <c r="N259" s="57" t="s">
        <v>2227</v>
      </c>
      <c r="O259" s="57" t="s">
        <v>2261</v>
      </c>
      <c r="P259" s="57" t="s">
        <v>2284</v>
      </c>
      <c r="Q259" s="57" t="s">
        <v>1797</v>
      </c>
    </row>
    <row r="260" spans="1:17" x14ac:dyDescent="0.25">
      <c r="A260" s="55" t="s">
        <v>1897</v>
      </c>
      <c r="B260" s="56" t="s">
        <v>2199</v>
      </c>
      <c r="C260" s="57" t="s">
        <v>28</v>
      </c>
      <c r="D260" s="56" t="s">
        <v>1898</v>
      </c>
      <c r="E260" s="57" t="s">
        <v>1058</v>
      </c>
      <c r="F260" s="56">
        <v>3</v>
      </c>
      <c r="G260" s="57" t="s">
        <v>1797</v>
      </c>
      <c r="H260" s="58">
        <v>46023</v>
      </c>
      <c r="I260" s="57" t="s">
        <v>1798</v>
      </c>
      <c r="J260" s="56">
        <v>1</v>
      </c>
      <c r="K260" s="60">
        <v>46023</v>
      </c>
      <c r="L260" s="59">
        <v>180000</v>
      </c>
      <c r="M260" s="57" t="s">
        <v>2230</v>
      </c>
      <c r="N260" s="57" t="s">
        <v>2227</v>
      </c>
      <c r="O260" s="57" t="s">
        <v>2261</v>
      </c>
      <c r="P260" s="57" t="s">
        <v>2284</v>
      </c>
      <c r="Q260" s="57" t="s">
        <v>1797</v>
      </c>
    </row>
    <row r="261" spans="1:17" x14ac:dyDescent="0.25">
      <c r="A261" s="55" t="s">
        <v>1908</v>
      </c>
      <c r="B261" s="56" t="s">
        <v>2199</v>
      </c>
      <c r="C261" s="57" t="s">
        <v>28</v>
      </c>
      <c r="D261" s="56" t="s">
        <v>1909</v>
      </c>
      <c r="E261" s="57" t="s">
        <v>740</v>
      </c>
      <c r="F261" s="56">
        <v>1</v>
      </c>
      <c r="G261" s="57" t="s">
        <v>1797</v>
      </c>
      <c r="H261" s="58">
        <v>46023</v>
      </c>
      <c r="I261" s="57" t="s">
        <v>1798</v>
      </c>
      <c r="J261" s="56">
        <v>1</v>
      </c>
      <c r="K261" s="60">
        <v>46023</v>
      </c>
      <c r="L261" s="59">
        <v>170000</v>
      </c>
      <c r="M261" s="57" t="s">
        <v>2230</v>
      </c>
      <c r="N261" s="57" t="s">
        <v>2227</v>
      </c>
      <c r="O261" s="57" t="s">
        <v>2261</v>
      </c>
      <c r="P261" s="57" t="s">
        <v>2284</v>
      </c>
      <c r="Q261" s="57" t="s">
        <v>1797</v>
      </c>
    </row>
    <row r="262" spans="1:17" x14ac:dyDescent="0.25">
      <c r="A262" s="55" t="s">
        <v>408</v>
      </c>
      <c r="B262" s="56" t="s">
        <v>2196</v>
      </c>
      <c r="C262" s="57" t="s">
        <v>28</v>
      </c>
      <c r="D262" s="56" t="s">
        <v>410</v>
      </c>
      <c r="E262" s="57" t="s">
        <v>412</v>
      </c>
      <c r="F262" s="56">
        <v>1</v>
      </c>
      <c r="G262" s="57" t="s">
        <v>414</v>
      </c>
      <c r="H262" s="58">
        <v>45870</v>
      </c>
      <c r="I262" s="57" t="s">
        <v>415</v>
      </c>
      <c r="J262" s="56">
        <v>12</v>
      </c>
      <c r="K262" s="57" t="s">
        <v>413</v>
      </c>
      <c r="L262" s="59">
        <v>500000000</v>
      </c>
      <c r="M262" s="57" t="s">
        <v>2222</v>
      </c>
      <c r="N262" s="57" t="s">
        <v>2234</v>
      </c>
      <c r="O262" s="57" t="s">
        <v>2260</v>
      </c>
      <c r="P262" s="57" t="s">
        <v>2284</v>
      </c>
      <c r="Q262" s="57" t="s">
        <v>414</v>
      </c>
    </row>
    <row r="263" spans="1:17" x14ac:dyDescent="0.25">
      <c r="A263" s="55" t="s">
        <v>1694</v>
      </c>
      <c r="B263" s="56" t="s">
        <v>2199</v>
      </c>
      <c r="C263" s="57" t="s">
        <v>28</v>
      </c>
      <c r="D263" s="56" t="s">
        <v>1695</v>
      </c>
      <c r="E263" s="57" t="s">
        <v>815</v>
      </c>
      <c r="F263" s="56">
        <v>1</v>
      </c>
      <c r="G263" s="57" t="s">
        <v>414</v>
      </c>
      <c r="H263" s="58">
        <v>46143</v>
      </c>
      <c r="I263" s="57" t="s">
        <v>1697</v>
      </c>
      <c r="J263" s="56">
        <v>1</v>
      </c>
      <c r="K263" s="60">
        <v>46143</v>
      </c>
      <c r="L263" s="59">
        <v>2500008</v>
      </c>
      <c r="M263" s="57" t="s">
        <v>2222</v>
      </c>
      <c r="N263" s="57" t="s">
        <v>2234</v>
      </c>
      <c r="O263" s="57" t="s">
        <v>2260</v>
      </c>
      <c r="P263" s="57" t="s">
        <v>2284</v>
      </c>
      <c r="Q263" s="57" t="s">
        <v>414</v>
      </c>
    </row>
    <row r="264" spans="1:17" x14ac:dyDescent="0.25">
      <c r="A264" s="55" t="s">
        <v>1848</v>
      </c>
      <c r="B264" s="56" t="s">
        <v>2199</v>
      </c>
      <c r="C264" s="57" t="s">
        <v>28</v>
      </c>
      <c r="D264" s="56" t="s">
        <v>1849</v>
      </c>
      <c r="E264" s="57" t="s">
        <v>1851</v>
      </c>
      <c r="F264" s="56">
        <v>1</v>
      </c>
      <c r="G264" s="57" t="s">
        <v>414</v>
      </c>
      <c r="H264" s="58">
        <v>46082</v>
      </c>
      <c r="I264" s="57" t="s">
        <v>1852</v>
      </c>
      <c r="J264" s="56">
        <v>1</v>
      </c>
      <c r="K264" s="60">
        <v>46082</v>
      </c>
      <c r="L264" s="59">
        <v>9000000</v>
      </c>
      <c r="M264" s="57" t="s">
        <v>2222</v>
      </c>
      <c r="N264" s="57" t="s">
        <v>2234</v>
      </c>
      <c r="O264" s="57" t="s">
        <v>2260</v>
      </c>
      <c r="P264" s="57" t="s">
        <v>2284</v>
      </c>
      <c r="Q264" s="57" t="s">
        <v>414</v>
      </c>
    </row>
    <row r="265" spans="1:17" x14ac:dyDescent="0.25">
      <c r="A265" s="55" t="s">
        <v>1948</v>
      </c>
      <c r="B265" s="56" t="s">
        <v>2199</v>
      </c>
      <c r="C265" s="57" t="s">
        <v>28</v>
      </c>
      <c r="D265" s="56" t="s">
        <v>1949</v>
      </c>
      <c r="E265" s="57" t="s">
        <v>777</v>
      </c>
      <c r="F265" s="56">
        <v>1</v>
      </c>
      <c r="G265" s="57" t="s">
        <v>414</v>
      </c>
      <c r="H265" s="58">
        <v>46082</v>
      </c>
      <c r="I265" s="57" t="s">
        <v>1852</v>
      </c>
      <c r="J265" s="56">
        <v>1</v>
      </c>
      <c r="K265" s="60">
        <v>46082</v>
      </c>
      <c r="L265" s="59">
        <v>10002100</v>
      </c>
      <c r="M265" s="57" t="s">
        <v>2222</v>
      </c>
      <c r="N265" s="57" t="s">
        <v>2234</v>
      </c>
      <c r="O265" s="57" t="s">
        <v>2260</v>
      </c>
      <c r="P265" s="57" t="s">
        <v>2284</v>
      </c>
      <c r="Q265" s="57" t="s">
        <v>414</v>
      </c>
    </row>
    <row r="266" spans="1:17" x14ac:dyDescent="0.25">
      <c r="A266" s="55" t="s">
        <v>1955</v>
      </c>
      <c r="B266" s="56" t="s">
        <v>2199</v>
      </c>
      <c r="C266" s="57" t="s">
        <v>28</v>
      </c>
      <c r="D266" s="56" t="s">
        <v>1956</v>
      </c>
      <c r="E266" s="57" t="s">
        <v>1303</v>
      </c>
      <c r="F266" s="56">
        <v>3</v>
      </c>
      <c r="G266" s="57" t="s">
        <v>414</v>
      </c>
      <c r="H266" s="58">
        <v>46082</v>
      </c>
      <c r="I266" s="57" t="s">
        <v>1852</v>
      </c>
      <c r="J266" s="56">
        <v>1</v>
      </c>
      <c r="K266" s="60">
        <v>46082</v>
      </c>
      <c r="L266" s="59">
        <v>3960000</v>
      </c>
      <c r="M266" s="57" t="s">
        <v>2222</v>
      </c>
      <c r="N266" s="57" t="s">
        <v>2234</v>
      </c>
      <c r="O266" s="57" t="s">
        <v>2260</v>
      </c>
      <c r="P266" s="57" t="s">
        <v>2284</v>
      </c>
      <c r="Q266" s="57" t="s">
        <v>414</v>
      </c>
    </row>
    <row r="267" spans="1:17" x14ac:dyDescent="0.25">
      <c r="A267" s="55" t="s">
        <v>1955</v>
      </c>
      <c r="B267" s="56" t="s">
        <v>2199</v>
      </c>
      <c r="C267" s="57" t="s">
        <v>28</v>
      </c>
      <c r="D267" s="56" t="s">
        <v>1956</v>
      </c>
      <c r="E267" s="57" t="s">
        <v>1958</v>
      </c>
      <c r="F267" s="56">
        <v>3</v>
      </c>
      <c r="G267" s="57" t="s">
        <v>414</v>
      </c>
      <c r="H267" s="58">
        <v>46082</v>
      </c>
      <c r="I267" s="57" t="s">
        <v>1852</v>
      </c>
      <c r="J267" s="56">
        <v>1</v>
      </c>
      <c r="K267" s="60">
        <v>46082</v>
      </c>
      <c r="L267" s="59">
        <v>600000</v>
      </c>
      <c r="M267" s="57" t="s">
        <v>2222</v>
      </c>
      <c r="N267" s="57" t="s">
        <v>2234</v>
      </c>
      <c r="O267" s="57" t="s">
        <v>2260</v>
      </c>
      <c r="P267" s="57" t="s">
        <v>2284</v>
      </c>
      <c r="Q267" s="57" t="s">
        <v>414</v>
      </c>
    </row>
    <row r="268" spans="1:17" x14ac:dyDescent="0.25">
      <c r="A268" s="55" t="s">
        <v>1955</v>
      </c>
      <c r="B268" s="56" t="s">
        <v>2199</v>
      </c>
      <c r="C268" s="57" t="s">
        <v>28</v>
      </c>
      <c r="D268" s="56" t="s">
        <v>1956</v>
      </c>
      <c r="E268" s="57" t="s">
        <v>1959</v>
      </c>
      <c r="F268" s="56">
        <v>3</v>
      </c>
      <c r="G268" s="57" t="s">
        <v>414</v>
      </c>
      <c r="H268" s="58">
        <v>46082</v>
      </c>
      <c r="I268" s="57" t="s">
        <v>1852</v>
      </c>
      <c r="J268" s="56">
        <v>1</v>
      </c>
      <c r="K268" s="60">
        <v>46082</v>
      </c>
      <c r="L268" s="59">
        <v>1000000</v>
      </c>
      <c r="M268" s="57" t="s">
        <v>2222</v>
      </c>
      <c r="N268" s="57" t="s">
        <v>2234</v>
      </c>
      <c r="O268" s="57" t="s">
        <v>2260</v>
      </c>
      <c r="P268" s="57" t="s">
        <v>2284</v>
      </c>
      <c r="Q268" s="57" t="s">
        <v>414</v>
      </c>
    </row>
    <row r="269" spans="1:17" x14ac:dyDescent="0.25">
      <c r="A269" s="55" t="s">
        <v>1990</v>
      </c>
      <c r="B269" s="56" t="s">
        <v>2199</v>
      </c>
      <c r="C269" s="57" t="s">
        <v>28</v>
      </c>
      <c r="D269" s="56" t="s">
        <v>1991</v>
      </c>
      <c r="E269" s="57" t="s">
        <v>1303</v>
      </c>
      <c r="F269" s="56">
        <v>1</v>
      </c>
      <c r="G269" s="57" t="s">
        <v>414</v>
      </c>
      <c r="H269" s="58">
        <v>46082</v>
      </c>
      <c r="I269" s="57" t="s">
        <v>1852</v>
      </c>
      <c r="J269" s="56">
        <v>1</v>
      </c>
      <c r="K269" s="60">
        <v>46113</v>
      </c>
      <c r="L269" s="59">
        <v>3500000</v>
      </c>
      <c r="M269" s="57" t="s">
        <v>2222</v>
      </c>
      <c r="N269" s="57" t="s">
        <v>2234</v>
      </c>
      <c r="O269" s="57" t="s">
        <v>2260</v>
      </c>
      <c r="P269" s="57" t="s">
        <v>2284</v>
      </c>
      <c r="Q269" s="57" t="s">
        <v>414</v>
      </c>
    </row>
    <row r="270" spans="1:17" x14ac:dyDescent="0.25">
      <c r="A270" s="55" t="s">
        <v>1993</v>
      </c>
      <c r="B270" s="56" t="s">
        <v>2199</v>
      </c>
      <c r="C270" s="57" t="s">
        <v>28</v>
      </c>
      <c r="D270" s="56" t="s">
        <v>1994</v>
      </c>
      <c r="E270" s="57" t="s">
        <v>1959</v>
      </c>
      <c r="F270" s="56">
        <v>1</v>
      </c>
      <c r="G270" s="57" t="s">
        <v>414</v>
      </c>
      <c r="H270" s="58">
        <v>46082</v>
      </c>
      <c r="I270" s="57" t="s">
        <v>1996</v>
      </c>
      <c r="J270" s="56">
        <v>1</v>
      </c>
      <c r="K270" s="60">
        <v>46082</v>
      </c>
      <c r="L270" s="59">
        <v>15135390</v>
      </c>
      <c r="M270" s="57" t="s">
        <v>2222</v>
      </c>
      <c r="N270" s="57" t="s">
        <v>2234</v>
      </c>
      <c r="O270" s="57" t="s">
        <v>2260</v>
      </c>
      <c r="P270" s="57" t="s">
        <v>2284</v>
      </c>
      <c r="Q270" s="57" t="s">
        <v>414</v>
      </c>
    </row>
    <row r="271" spans="1:17" x14ac:dyDescent="0.25">
      <c r="A271" s="55" t="s">
        <v>545</v>
      </c>
      <c r="B271" s="56" t="s">
        <v>2196</v>
      </c>
      <c r="C271" s="57" t="s">
        <v>374</v>
      </c>
      <c r="D271" s="56" t="s">
        <v>546</v>
      </c>
      <c r="E271" s="57" t="s">
        <v>496</v>
      </c>
      <c r="F271" s="56">
        <v>1</v>
      </c>
      <c r="G271" s="57" t="s">
        <v>414</v>
      </c>
      <c r="H271" s="58">
        <v>45870</v>
      </c>
      <c r="I271" s="57" t="s">
        <v>415</v>
      </c>
      <c r="J271" s="56">
        <v>12</v>
      </c>
      <c r="K271" s="57" t="s">
        <v>318</v>
      </c>
      <c r="L271" s="59">
        <v>30800000</v>
      </c>
      <c r="M271" s="57" t="s">
        <v>2222</v>
      </c>
      <c r="N271" s="57" t="s">
        <v>2234</v>
      </c>
      <c r="O271" s="57" t="s">
        <v>2260</v>
      </c>
      <c r="P271" s="57" t="s">
        <v>2284</v>
      </c>
      <c r="Q271" s="57" t="s">
        <v>414</v>
      </c>
    </row>
    <row r="272" spans="1:17" x14ac:dyDescent="0.25">
      <c r="A272" s="55" t="s">
        <v>1890</v>
      </c>
      <c r="B272" s="56" t="s">
        <v>2199</v>
      </c>
      <c r="C272" s="57" t="s">
        <v>28</v>
      </c>
      <c r="D272" s="56" t="s">
        <v>1891</v>
      </c>
      <c r="E272" s="57" t="s">
        <v>1527</v>
      </c>
      <c r="F272" s="56">
        <v>1</v>
      </c>
      <c r="G272" s="57" t="s">
        <v>1893</v>
      </c>
      <c r="H272" s="58">
        <v>46023</v>
      </c>
      <c r="I272" s="57" t="s">
        <v>1894</v>
      </c>
      <c r="J272" s="56">
        <v>1</v>
      </c>
      <c r="K272" s="60">
        <v>46023</v>
      </c>
      <c r="L272" s="59">
        <v>70000</v>
      </c>
      <c r="M272" s="57" t="s">
        <v>2231</v>
      </c>
      <c r="N272" s="57" t="s">
        <v>2262</v>
      </c>
      <c r="O272" s="57" t="s">
        <v>2264</v>
      </c>
      <c r="P272" s="57" t="s">
        <v>2284</v>
      </c>
      <c r="Q272" s="57" t="s">
        <v>1893</v>
      </c>
    </row>
    <row r="273" spans="1:17" x14ac:dyDescent="0.25">
      <c r="A273" s="55" t="s">
        <v>1911</v>
      </c>
      <c r="B273" s="56" t="s">
        <v>2199</v>
      </c>
      <c r="C273" s="57" t="s">
        <v>28</v>
      </c>
      <c r="D273" s="56" t="s">
        <v>1912</v>
      </c>
      <c r="E273" s="57" t="s">
        <v>840</v>
      </c>
      <c r="F273" s="56">
        <v>1</v>
      </c>
      <c r="G273" s="57" t="s">
        <v>1893</v>
      </c>
      <c r="H273" s="58">
        <v>46023</v>
      </c>
      <c r="I273" s="57" t="s">
        <v>1894</v>
      </c>
      <c r="J273" s="56">
        <v>1</v>
      </c>
      <c r="K273" s="60">
        <v>46023</v>
      </c>
      <c r="L273" s="59">
        <v>100000</v>
      </c>
      <c r="M273" s="57" t="s">
        <v>2231</v>
      </c>
      <c r="N273" s="57" t="s">
        <v>2262</v>
      </c>
      <c r="O273" s="57" t="s">
        <v>2264</v>
      </c>
      <c r="P273" s="57" t="s">
        <v>2284</v>
      </c>
      <c r="Q273" s="57" t="s">
        <v>1893</v>
      </c>
    </row>
    <row r="274" spans="1:17" x14ac:dyDescent="0.25">
      <c r="A274" s="55" t="s">
        <v>2174</v>
      </c>
      <c r="B274" s="56" t="s">
        <v>2199</v>
      </c>
      <c r="C274" s="57" t="s">
        <v>28</v>
      </c>
      <c r="D274" s="56" t="s">
        <v>2175</v>
      </c>
      <c r="E274" s="57" t="s">
        <v>2106</v>
      </c>
      <c r="F274" s="56">
        <v>2</v>
      </c>
      <c r="G274" s="57" t="s">
        <v>1893</v>
      </c>
      <c r="H274" s="58">
        <v>46023</v>
      </c>
      <c r="I274" s="57" t="s">
        <v>2177</v>
      </c>
      <c r="J274" s="56">
        <v>1</v>
      </c>
      <c r="K274" s="60">
        <v>46023</v>
      </c>
      <c r="L274" s="59">
        <v>250000</v>
      </c>
      <c r="M274" s="57" t="s">
        <v>2231</v>
      </c>
      <c r="N274" s="57" t="s">
        <v>2262</v>
      </c>
      <c r="O274" s="57" t="s">
        <v>2264</v>
      </c>
      <c r="P274" s="57" t="s">
        <v>2284</v>
      </c>
      <c r="Q274" s="57" t="s">
        <v>1893</v>
      </c>
    </row>
    <row r="275" spans="1:17" x14ac:dyDescent="0.25">
      <c r="A275" s="55" t="s">
        <v>2174</v>
      </c>
      <c r="B275" s="56" t="s">
        <v>2199</v>
      </c>
      <c r="C275" s="57" t="s">
        <v>28</v>
      </c>
      <c r="D275" s="56" t="s">
        <v>2175</v>
      </c>
      <c r="E275" s="57" t="s">
        <v>486</v>
      </c>
      <c r="F275" s="56">
        <v>2</v>
      </c>
      <c r="G275" s="57" t="s">
        <v>1893</v>
      </c>
      <c r="H275" s="58">
        <v>46023</v>
      </c>
      <c r="I275" s="57" t="s">
        <v>2177</v>
      </c>
      <c r="J275" s="56">
        <v>1</v>
      </c>
      <c r="K275" s="60">
        <v>46023</v>
      </c>
      <c r="L275" s="59">
        <v>239000</v>
      </c>
      <c r="M275" s="57" t="s">
        <v>2231</v>
      </c>
      <c r="N275" s="57" t="s">
        <v>2262</v>
      </c>
      <c r="O275" s="57" t="s">
        <v>2264</v>
      </c>
      <c r="P275" s="57" t="s">
        <v>2284</v>
      </c>
      <c r="Q275" s="57" t="s">
        <v>1893</v>
      </c>
    </row>
    <row r="276" spans="1:17" x14ac:dyDescent="0.25">
      <c r="A276" s="55" t="s">
        <v>2074</v>
      </c>
      <c r="B276" s="56" t="s">
        <v>2199</v>
      </c>
      <c r="C276" s="57" t="s">
        <v>28</v>
      </c>
      <c r="D276" s="56" t="s">
        <v>788</v>
      </c>
      <c r="E276" s="57" t="s">
        <v>359</v>
      </c>
      <c r="F276" s="56">
        <v>2</v>
      </c>
      <c r="G276" s="57" t="s">
        <v>2076</v>
      </c>
      <c r="H276" s="58">
        <v>46082</v>
      </c>
      <c r="I276" s="57" t="s">
        <v>2077</v>
      </c>
      <c r="J276" s="56">
        <v>1</v>
      </c>
      <c r="K276" s="60">
        <v>46082</v>
      </c>
      <c r="L276" s="59">
        <v>2280150</v>
      </c>
      <c r="M276" s="57" t="s">
        <v>2232</v>
      </c>
      <c r="N276" s="57" t="s">
        <v>2234</v>
      </c>
      <c r="O276" s="57" t="s">
        <v>2265</v>
      </c>
      <c r="P276" s="57" t="s">
        <v>2284</v>
      </c>
      <c r="Q276" s="57" t="s">
        <v>2076</v>
      </c>
    </row>
    <row r="277" spans="1:17" x14ac:dyDescent="0.25">
      <c r="A277" s="55" t="s">
        <v>2074</v>
      </c>
      <c r="B277" s="56" t="s">
        <v>2199</v>
      </c>
      <c r="C277" s="57" t="s">
        <v>28</v>
      </c>
      <c r="D277" s="56" t="s">
        <v>788</v>
      </c>
      <c r="E277" s="57" t="s">
        <v>855</v>
      </c>
      <c r="F277" s="56">
        <v>2</v>
      </c>
      <c r="G277" s="57" t="s">
        <v>2076</v>
      </c>
      <c r="H277" s="58">
        <v>46082</v>
      </c>
      <c r="I277" s="57" t="s">
        <v>2077</v>
      </c>
      <c r="J277" s="56">
        <v>1</v>
      </c>
      <c r="K277" s="60">
        <v>46082</v>
      </c>
      <c r="L277" s="59">
        <v>193760</v>
      </c>
      <c r="M277" s="57" t="s">
        <v>2232</v>
      </c>
      <c r="N277" s="57" t="s">
        <v>2234</v>
      </c>
      <c r="O277" s="57" t="s">
        <v>2265</v>
      </c>
      <c r="P277" s="57" t="s">
        <v>2284</v>
      </c>
      <c r="Q277" s="57" t="s">
        <v>2076</v>
      </c>
    </row>
    <row r="278" spans="1:17" x14ac:dyDescent="0.25">
      <c r="A278" s="55" t="s">
        <v>787</v>
      </c>
      <c r="B278" s="56" t="s">
        <v>2199</v>
      </c>
      <c r="C278" s="57" t="s">
        <v>28</v>
      </c>
      <c r="D278" s="56" t="s">
        <v>788</v>
      </c>
      <c r="E278" s="57" t="s">
        <v>359</v>
      </c>
      <c r="F278" s="56">
        <v>2</v>
      </c>
      <c r="G278" s="57" t="s">
        <v>790</v>
      </c>
      <c r="H278" s="58">
        <v>46082</v>
      </c>
      <c r="I278" s="57" t="s">
        <v>791</v>
      </c>
      <c r="J278" s="56">
        <v>1</v>
      </c>
      <c r="K278" s="60">
        <v>46082</v>
      </c>
      <c r="L278" s="59">
        <v>921162</v>
      </c>
      <c r="M278" s="57" t="s">
        <v>2232</v>
      </c>
      <c r="N278" s="57" t="s">
        <v>2234</v>
      </c>
      <c r="O278" s="57" t="s">
        <v>2265</v>
      </c>
      <c r="P278" s="57" t="s">
        <v>2284</v>
      </c>
      <c r="Q278" s="57" t="s">
        <v>790</v>
      </c>
    </row>
    <row r="279" spans="1:17" x14ac:dyDescent="0.25">
      <c r="A279" s="55" t="s">
        <v>787</v>
      </c>
      <c r="B279" s="56" t="s">
        <v>2199</v>
      </c>
      <c r="C279" s="57" t="s">
        <v>28</v>
      </c>
      <c r="D279" s="56" t="s">
        <v>788</v>
      </c>
      <c r="E279" s="57" t="s">
        <v>195</v>
      </c>
      <c r="F279" s="56">
        <v>2</v>
      </c>
      <c r="G279" s="57" t="s">
        <v>790</v>
      </c>
      <c r="H279" s="58">
        <v>46082</v>
      </c>
      <c r="I279" s="57" t="s">
        <v>791</v>
      </c>
      <c r="J279" s="56">
        <v>1</v>
      </c>
      <c r="K279" s="60">
        <v>46082</v>
      </c>
      <c r="L279" s="59">
        <v>86299</v>
      </c>
      <c r="M279" s="57" t="s">
        <v>2232</v>
      </c>
      <c r="N279" s="57" t="s">
        <v>2234</v>
      </c>
      <c r="O279" s="57" t="s">
        <v>2265</v>
      </c>
      <c r="P279" s="57" t="s">
        <v>2284</v>
      </c>
      <c r="Q279" s="57" t="s">
        <v>790</v>
      </c>
    </row>
    <row r="280" spans="1:17" x14ac:dyDescent="0.25">
      <c r="A280" s="55" t="s">
        <v>811</v>
      </c>
      <c r="B280" s="56" t="s">
        <v>2199</v>
      </c>
      <c r="C280" s="57" t="s">
        <v>28</v>
      </c>
      <c r="D280" s="56" t="s">
        <v>813</v>
      </c>
      <c r="E280" s="57" t="s">
        <v>815</v>
      </c>
      <c r="F280" s="56">
        <v>1</v>
      </c>
      <c r="G280" s="57" t="s">
        <v>790</v>
      </c>
      <c r="H280" s="58">
        <v>46082</v>
      </c>
      <c r="I280" s="57" t="s">
        <v>791</v>
      </c>
      <c r="J280" s="56">
        <v>1</v>
      </c>
      <c r="K280" s="60">
        <v>46082</v>
      </c>
      <c r="L280" s="59">
        <v>400000</v>
      </c>
      <c r="M280" s="57" t="s">
        <v>2232</v>
      </c>
      <c r="N280" s="57" t="s">
        <v>2234</v>
      </c>
      <c r="O280" s="57" t="s">
        <v>2265</v>
      </c>
      <c r="P280" s="57" t="s">
        <v>2284</v>
      </c>
      <c r="Q280" s="57" t="s">
        <v>790</v>
      </c>
    </row>
    <row r="281" spans="1:17" x14ac:dyDescent="0.25">
      <c r="A281" s="55" t="s">
        <v>834</v>
      </c>
      <c r="B281" s="56" t="s">
        <v>2199</v>
      </c>
      <c r="C281" s="57" t="s">
        <v>28</v>
      </c>
      <c r="D281" s="56" t="s">
        <v>835</v>
      </c>
      <c r="E281" s="57" t="s">
        <v>370</v>
      </c>
      <c r="F281" s="56">
        <v>1</v>
      </c>
      <c r="G281" s="57" t="s">
        <v>790</v>
      </c>
      <c r="H281" s="58">
        <v>46204</v>
      </c>
      <c r="I281" s="57" t="s">
        <v>791</v>
      </c>
      <c r="J281" s="56">
        <v>1</v>
      </c>
      <c r="K281" s="60">
        <v>46204</v>
      </c>
      <c r="L281" s="59">
        <v>400000</v>
      </c>
      <c r="M281" s="57" t="s">
        <v>2232</v>
      </c>
      <c r="N281" s="57" t="s">
        <v>2234</v>
      </c>
      <c r="O281" s="57" t="s">
        <v>2265</v>
      </c>
      <c r="P281" s="57" t="s">
        <v>2284</v>
      </c>
      <c r="Q281" s="57" t="s">
        <v>790</v>
      </c>
    </row>
    <row r="282" spans="1:17" x14ac:dyDescent="0.25">
      <c r="A282" s="55" t="s">
        <v>1059</v>
      </c>
      <c r="B282" s="56" t="s">
        <v>2199</v>
      </c>
      <c r="C282" s="57" t="s">
        <v>28</v>
      </c>
      <c r="D282" s="56" t="s">
        <v>1060</v>
      </c>
      <c r="E282" s="57" t="s">
        <v>1062</v>
      </c>
      <c r="F282" s="56">
        <v>2</v>
      </c>
      <c r="G282" s="57" t="s">
        <v>790</v>
      </c>
      <c r="H282" s="58">
        <v>46296</v>
      </c>
      <c r="I282" s="57" t="s">
        <v>791</v>
      </c>
      <c r="J282" s="56">
        <v>1</v>
      </c>
      <c r="K282" s="60">
        <v>46296</v>
      </c>
      <c r="L282" s="59">
        <v>400000</v>
      </c>
      <c r="M282" s="57" t="s">
        <v>2232</v>
      </c>
      <c r="N282" s="57" t="s">
        <v>2234</v>
      </c>
      <c r="O282" s="57" t="s">
        <v>2265</v>
      </c>
      <c r="P282" s="57" t="s">
        <v>2284</v>
      </c>
      <c r="Q282" s="57" t="s">
        <v>790</v>
      </c>
    </row>
    <row r="283" spans="1:17" x14ac:dyDescent="0.25">
      <c r="A283" s="55" t="s">
        <v>1059</v>
      </c>
      <c r="B283" s="56" t="s">
        <v>2199</v>
      </c>
      <c r="C283" s="57" t="s">
        <v>28</v>
      </c>
      <c r="D283" s="56" t="s">
        <v>1060</v>
      </c>
      <c r="E283" s="57" t="s">
        <v>486</v>
      </c>
      <c r="F283" s="56">
        <v>2</v>
      </c>
      <c r="G283" s="57" t="s">
        <v>790</v>
      </c>
      <c r="H283" s="58">
        <v>46296</v>
      </c>
      <c r="I283" s="57" t="s">
        <v>791</v>
      </c>
      <c r="J283" s="56">
        <v>1</v>
      </c>
      <c r="K283" s="60">
        <v>46296</v>
      </c>
      <c r="L283" s="59">
        <v>110006</v>
      </c>
      <c r="M283" s="57" t="s">
        <v>2232</v>
      </c>
      <c r="N283" s="57" t="s">
        <v>2234</v>
      </c>
      <c r="O283" s="57" t="s">
        <v>2265</v>
      </c>
      <c r="P283" s="57" t="s">
        <v>2284</v>
      </c>
      <c r="Q283" s="57" t="s">
        <v>790</v>
      </c>
    </row>
    <row r="284" spans="1:17" x14ac:dyDescent="0.25">
      <c r="A284" s="55" t="s">
        <v>1063</v>
      </c>
      <c r="B284" s="56" t="s">
        <v>2199</v>
      </c>
      <c r="C284" s="57" t="s">
        <v>28</v>
      </c>
      <c r="D284" s="56" t="s">
        <v>1064</v>
      </c>
      <c r="E284" s="57" t="s">
        <v>486</v>
      </c>
      <c r="F284" s="56">
        <v>2</v>
      </c>
      <c r="G284" s="57" t="s">
        <v>790</v>
      </c>
      <c r="H284" s="58">
        <v>46296</v>
      </c>
      <c r="I284" s="57" t="s">
        <v>791</v>
      </c>
      <c r="J284" s="56">
        <v>1</v>
      </c>
      <c r="K284" s="60">
        <v>46296</v>
      </c>
      <c r="L284" s="59">
        <v>50000</v>
      </c>
      <c r="M284" s="57" t="s">
        <v>2232</v>
      </c>
      <c r="N284" s="57" t="s">
        <v>2234</v>
      </c>
      <c r="O284" s="57" t="s">
        <v>2265</v>
      </c>
      <c r="P284" s="57" t="s">
        <v>2284</v>
      </c>
      <c r="Q284" s="57" t="s">
        <v>790</v>
      </c>
    </row>
    <row r="285" spans="1:17" x14ac:dyDescent="0.25">
      <c r="A285" s="55" t="s">
        <v>1063</v>
      </c>
      <c r="B285" s="56" t="s">
        <v>2199</v>
      </c>
      <c r="C285" s="57" t="s">
        <v>28</v>
      </c>
      <c r="D285" s="56" t="s">
        <v>1064</v>
      </c>
      <c r="E285" s="57" t="s">
        <v>602</v>
      </c>
      <c r="F285" s="56">
        <v>2</v>
      </c>
      <c r="G285" s="57" t="s">
        <v>790</v>
      </c>
      <c r="H285" s="58">
        <v>46296</v>
      </c>
      <c r="I285" s="57" t="s">
        <v>791</v>
      </c>
      <c r="J285" s="56">
        <v>1</v>
      </c>
      <c r="K285" s="60">
        <v>46296</v>
      </c>
      <c r="L285" s="59">
        <v>400000</v>
      </c>
      <c r="M285" s="57" t="s">
        <v>2232</v>
      </c>
      <c r="N285" s="57" t="s">
        <v>2234</v>
      </c>
      <c r="O285" s="57" t="s">
        <v>2265</v>
      </c>
      <c r="P285" s="57" t="s">
        <v>2284</v>
      </c>
      <c r="Q285" s="57" t="s">
        <v>790</v>
      </c>
    </row>
    <row r="286" spans="1:17" x14ac:dyDescent="0.25">
      <c r="A286" s="55" t="s">
        <v>1183</v>
      </c>
      <c r="B286" s="56" t="s">
        <v>2199</v>
      </c>
      <c r="C286" s="57" t="s">
        <v>28</v>
      </c>
      <c r="D286" s="56" t="s">
        <v>1185</v>
      </c>
      <c r="E286" s="57" t="s">
        <v>1187</v>
      </c>
      <c r="F286" s="56">
        <v>1</v>
      </c>
      <c r="G286" s="57" t="s">
        <v>790</v>
      </c>
      <c r="H286" s="58">
        <v>46143</v>
      </c>
      <c r="I286" s="57" t="s">
        <v>791</v>
      </c>
      <c r="J286" s="56">
        <v>1</v>
      </c>
      <c r="K286" s="60">
        <v>46143</v>
      </c>
      <c r="L286" s="59">
        <v>2885085</v>
      </c>
      <c r="M286" s="57" t="s">
        <v>2232</v>
      </c>
      <c r="N286" s="57" t="s">
        <v>2234</v>
      </c>
      <c r="O286" s="57" t="s">
        <v>2265</v>
      </c>
      <c r="P286" s="57" t="s">
        <v>2284</v>
      </c>
      <c r="Q286" s="57" t="s">
        <v>790</v>
      </c>
    </row>
    <row r="287" spans="1:17" x14ac:dyDescent="0.25">
      <c r="A287" s="55" t="s">
        <v>1188</v>
      </c>
      <c r="B287" s="56" t="s">
        <v>2199</v>
      </c>
      <c r="C287" s="57" t="s">
        <v>28</v>
      </c>
      <c r="D287" s="56" t="s">
        <v>1189</v>
      </c>
      <c r="E287" s="57" t="s">
        <v>1191</v>
      </c>
      <c r="F287" s="56">
        <v>5</v>
      </c>
      <c r="G287" s="57" t="s">
        <v>790</v>
      </c>
      <c r="H287" s="58">
        <v>46296</v>
      </c>
      <c r="I287" s="57" t="s">
        <v>791</v>
      </c>
      <c r="J287" s="56">
        <v>1</v>
      </c>
      <c r="K287" s="60">
        <v>46296</v>
      </c>
      <c r="L287" s="59">
        <v>1000000</v>
      </c>
      <c r="M287" s="57" t="s">
        <v>2232</v>
      </c>
      <c r="N287" s="57" t="s">
        <v>2234</v>
      </c>
      <c r="O287" s="57" t="s">
        <v>2265</v>
      </c>
      <c r="P287" s="57" t="s">
        <v>2284</v>
      </c>
      <c r="Q287" s="57" t="s">
        <v>790</v>
      </c>
    </row>
    <row r="288" spans="1:17" x14ac:dyDescent="0.25">
      <c r="A288" s="55" t="s">
        <v>1188</v>
      </c>
      <c r="B288" s="56" t="s">
        <v>2199</v>
      </c>
      <c r="C288" s="57" t="s">
        <v>28</v>
      </c>
      <c r="D288" s="56" t="s">
        <v>1189</v>
      </c>
      <c r="E288" s="57" t="s">
        <v>486</v>
      </c>
      <c r="F288" s="56">
        <v>5</v>
      </c>
      <c r="G288" s="57" t="s">
        <v>790</v>
      </c>
      <c r="H288" s="58">
        <v>46296</v>
      </c>
      <c r="I288" s="57" t="s">
        <v>791</v>
      </c>
      <c r="J288" s="56">
        <v>1</v>
      </c>
      <c r="K288" s="60">
        <v>46296</v>
      </c>
      <c r="L288" s="59">
        <v>300000</v>
      </c>
      <c r="M288" s="57" t="s">
        <v>2232</v>
      </c>
      <c r="N288" s="57" t="s">
        <v>2234</v>
      </c>
      <c r="O288" s="57" t="s">
        <v>2265</v>
      </c>
      <c r="P288" s="57" t="s">
        <v>2284</v>
      </c>
      <c r="Q288" s="57" t="s">
        <v>790</v>
      </c>
    </row>
    <row r="289" spans="1:17" x14ac:dyDescent="0.25">
      <c r="A289" s="55" t="s">
        <v>1188</v>
      </c>
      <c r="B289" s="56" t="s">
        <v>2199</v>
      </c>
      <c r="C289" s="57" t="s">
        <v>28</v>
      </c>
      <c r="D289" s="56" t="s">
        <v>1189</v>
      </c>
      <c r="E289" s="57" t="s">
        <v>855</v>
      </c>
      <c r="F289" s="56">
        <v>5</v>
      </c>
      <c r="G289" s="57" t="s">
        <v>790</v>
      </c>
      <c r="H289" s="58">
        <v>46296</v>
      </c>
      <c r="I289" s="57" t="s">
        <v>791</v>
      </c>
      <c r="J289" s="56">
        <v>1</v>
      </c>
      <c r="K289" s="60">
        <v>46296</v>
      </c>
      <c r="L289" s="59">
        <v>47268</v>
      </c>
      <c r="M289" s="57" t="s">
        <v>2232</v>
      </c>
      <c r="N289" s="57" t="s">
        <v>2234</v>
      </c>
      <c r="O289" s="57" t="s">
        <v>2265</v>
      </c>
      <c r="P289" s="57" t="s">
        <v>2284</v>
      </c>
      <c r="Q289" s="57" t="s">
        <v>790</v>
      </c>
    </row>
    <row r="290" spans="1:17" x14ac:dyDescent="0.25">
      <c r="A290" s="55" t="s">
        <v>1188</v>
      </c>
      <c r="B290" s="56" t="s">
        <v>2199</v>
      </c>
      <c r="C290" s="57" t="s">
        <v>28</v>
      </c>
      <c r="D290" s="56" t="s">
        <v>1189</v>
      </c>
      <c r="E290" s="57" t="s">
        <v>602</v>
      </c>
      <c r="F290" s="56">
        <v>5</v>
      </c>
      <c r="G290" s="57" t="s">
        <v>790</v>
      </c>
      <c r="H290" s="58">
        <v>46296</v>
      </c>
      <c r="I290" s="57" t="s">
        <v>791</v>
      </c>
      <c r="J290" s="56">
        <v>1</v>
      </c>
      <c r="K290" s="60">
        <v>46296</v>
      </c>
      <c r="L290" s="59">
        <v>1500000</v>
      </c>
      <c r="M290" s="57" t="s">
        <v>2232</v>
      </c>
      <c r="N290" s="57" t="s">
        <v>2234</v>
      </c>
      <c r="O290" s="57" t="s">
        <v>2265</v>
      </c>
      <c r="P290" s="57" t="s">
        <v>2284</v>
      </c>
      <c r="Q290" s="57" t="s">
        <v>790</v>
      </c>
    </row>
    <row r="291" spans="1:17" x14ac:dyDescent="0.25">
      <c r="A291" s="55" t="s">
        <v>1188</v>
      </c>
      <c r="B291" s="56" t="s">
        <v>2199</v>
      </c>
      <c r="C291" s="57" t="s">
        <v>28</v>
      </c>
      <c r="D291" s="56" t="s">
        <v>1189</v>
      </c>
      <c r="E291" s="57" t="s">
        <v>1192</v>
      </c>
      <c r="F291" s="56">
        <v>5</v>
      </c>
      <c r="G291" s="57" t="s">
        <v>790</v>
      </c>
      <c r="H291" s="58">
        <v>46296</v>
      </c>
      <c r="I291" s="57" t="s">
        <v>791</v>
      </c>
      <c r="J291" s="56">
        <v>1</v>
      </c>
      <c r="K291" s="60">
        <v>46296</v>
      </c>
      <c r="L291" s="59">
        <v>150000</v>
      </c>
      <c r="M291" s="57" t="s">
        <v>2232</v>
      </c>
      <c r="N291" s="57" t="s">
        <v>2234</v>
      </c>
      <c r="O291" s="57" t="s">
        <v>2265</v>
      </c>
      <c r="P291" s="57" t="s">
        <v>2284</v>
      </c>
      <c r="Q291" s="57" t="s">
        <v>790</v>
      </c>
    </row>
    <row r="292" spans="1:17" x14ac:dyDescent="0.25">
      <c r="A292" s="55" t="s">
        <v>1066</v>
      </c>
      <c r="B292" s="56" t="s">
        <v>2199</v>
      </c>
      <c r="C292" s="57" t="s">
        <v>374</v>
      </c>
      <c r="D292" s="56" t="s">
        <v>1067</v>
      </c>
      <c r="E292" s="57" t="s">
        <v>486</v>
      </c>
      <c r="F292" s="56">
        <v>2</v>
      </c>
      <c r="G292" s="57" t="s">
        <v>790</v>
      </c>
      <c r="H292" s="58">
        <v>46266</v>
      </c>
      <c r="I292" s="57" t="s">
        <v>791</v>
      </c>
      <c r="J292" s="56">
        <v>1</v>
      </c>
      <c r="K292" s="60">
        <v>46296</v>
      </c>
      <c r="L292" s="59">
        <v>250000</v>
      </c>
      <c r="M292" s="57" t="s">
        <v>2232</v>
      </c>
      <c r="N292" s="57" t="s">
        <v>2234</v>
      </c>
      <c r="O292" s="57" t="s">
        <v>2265</v>
      </c>
      <c r="P292" s="57" t="s">
        <v>2284</v>
      </c>
      <c r="Q292" s="57" t="s">
        <v>790</v>
      </c>
    </row>
    <row r="293" spans="1:17" x14ac:dyDescent="0.25">
      <c r="A293" s="55" t="s">
        <v>1066</v>
      </c>
      <c r="B293" s="56" t="s">
        <v>2199</v>
      </c>
      <c r="C293" s="57" t="s">
        <v>374</v>
      </c>
      <c r="D293" s="56" t="s">
        <v>1067</v>
      </c>
      <c r="E293" s="57" t="s">
        <v>602</v>
      </c>
      <c r="F293" s="56">
        <v>2</v>
      </c>
      <c r="G293" s="57" t="s">
        <v>790</v>
      </c>
      <c r="H293" s="58">
        <v>46296</v>
      </c>
      <c r="I293" s="57" t="s">
        <v>791</v>
      </c>
      <c r="J293" s="56">
        <v>1</v>
      </c>
      <c r="K293" s="60">
        <v>46296</v>
      </c>
      <c r="L293" s="59">
        <v>1500000</v>
      </c>
      <c r="M293" s="57" t="s">
        <v>2232</v>
      </c>
      <c r="N293" s="57" t="s">
        <v>2234</v>
      </c>
      <c r="O293" s="57" t="s">
        <v>2265</v>
      </c>
      <c r="P293" s="57" t="s">
        <v>2284</v>
      </c>
      <c r="Q293" s="57" t="s">
        <v>790</v>
      </c>
    </row>
    <row r="294" spans="1:17" x14ac:dyDescent="0.25">
      <c r="A294" s="55" t="s">
        <v>954</v>
      </c>
      <c r="B294" s="56" t="s">
        <v>2199</v>
      </c>
      <c r="C294" s="57" t="s">
        <v>28</v>
      </c>
      <c r="D294" s="56" t="s">
        <v>955</v>
      </c>
      <c r="E294" s="57" t="s">
        <v>359</v>
      </c>
      <c r="F294" s="56">
        <v>3</v>
      </c>
      <c r="G294" s="57" t="s">
        <v>958</v>
      </c>
      <c r="H294" s="58">
        <v>46235</v>
      </c>
      <c r="I294" s="57" t="s">
        <v>959</v>
      </c>
      <c r="J294" s="56">
        <v>1</v>
      </c>
      <c r="K294" s="60">
        <v>46235</v>
      </c>
      <c r="L294" s="59">
        <v>185040</v>
      </c>
      <c r="M294" s="57" t="s">
        <v>2230</v>
      </c>
      <c r="N294" s="57" t="s">
        <v>2227</v>
      </c>
      <c r="O294" s="57" t="s">
        <v>2261</v>
      </c>
      <c r="P294" s="57" t="s">
        <v>2284</v>
      </c>
      <c r="Q294" s="57" t="s">
        <v>958</v>
      </c>
    </row>
    <row r="295" spans="1:17" x14ac:dyDescent="0.25">
      <c r="A295" s="55" t="s">
        <v>954</v>
      </c>
      <c r="B295" s="56" t="s">
        <v>2199</v>
      </c>
      <c r="C295" s="57" t="s">
        <v>28</v>
      </c>
      <c r="D295" s="56" t="s">
        <v>955</v>
      </c>
      <c r="E295" s="57" t="s">
        <v>962</v>
      </c>
      <c r="F295" s="56">
        <v>3</v>
      </c>
      <c r="G295" s="57" t="s">
        <v>958</v>
      </c>
      <c r="H295" s="58">
        <v>46235</v>
      </c>
      <c r="I295" s="57" t="s">
        <v>959</v>
      </c>
      <c r="J295" s="56">
        <v>1</v>
      </c>
      <c r="K295" s="60">
        <v>46235</v>
      </c>
      <c r="L295" s="59">
        <v>270160</v>
      </c>
      <c r="M295" s="57" t="s">
        <v>2230</v>
      </c>
      <c r="N295" s="57" t="s">
        <v>2227</v>
      </c>
      <c r="O295" s="57" t="s">
        <v>2261</v>
      </c>
      <c r="P295" s="57" t="s">
        <v>2284</v>
      </c>
      <c r="Q295" s="57" t="s">
        <v>958</v>
      </c>
    </row>
    <row r="296" spans="1:17" x14ac:dyDescent="0.25">
      <c r="A296" s="55" t="s">
        <v>954</v>
      </c>
      <c r="B296" s="56" t="s">
        <v>2199</v>
      </c>
      <c r="C296" s="57" t="s">
        <v>28</v>
      </c>
      <c r="D296" s="56" t="s">
        <v>955</v>
      </c>
      <c r="E296" s="57" t="s">
        <v>957</v>
      </c>
      <c r="F296" s="56">
        <v>3</v>
      </c>
      <c r="G296" s="57" t="s">
        <v>958</v>
      </c>
      <c r="H296" s="58">
        <v>46235</v>
      </c>
      <c r="I296" s="57" t="s">
        <v>959</v>
      </c>
      <c r="J296" s="56">
        <v>1</v>
      </c>
      <c r="K296" s="60">
        <v>46235</v>
      </c>
      <c r="L296" s="59">
        <v>220000</v>
      </c>
      <c r="M296" s="57" t="s">
        <v>2230</v>
      </c>
      <c r="N296" s="57" t="s">
        <v>2227</v>
      </c>
      <c r="O296" s="57" t="s">
        <v>2261</v>
      </c>
      <c r="P296" s="57" t="s">
        <v>2284</v>
      </c>
      <c r="Q296" s="57" t="s">
        <v>958</v>
      </c>
    </row>
    <row r="297" spans="1:17" x14ac:dyDescent="0.25">
      <c r="A297" s="55" t="s">
        <v>1708</v>
      </c>
      <c r="B297" s="56" t="s">
        <v>2199</v>
      </c>
      <c r="C297" s="57" t="s">
        <v>28</v>
      </c>
      <c r="D297" s="56" t="s">
        <v>1709</v>
      </c>
      <c r="E297" s="57" t="s">
        <v>1711</v>
      </c>
      <c r="F297" s="56">
        <v>1</v>
      </c>
      <c r="G297" s="57" t="s">
        <v>958</v>
      </c>
      <c r="H297" s="58">
        <v>46023</v>
      </c>
      <c r="I297" s="57" t="s">
        <v>959</v>
      </c>
      <c r="J297" s="56">
        <v>1</v>
      </c>
      <c r="K297" s="60">
        <v>46023</v>
      </c>
      <c r="L297" s="59">
        <v>550000</v>
      </c>
      <c r="M297" s="57" t="s">
        <v>2230</v>
      </c>
      <c r="N297" s="57" t="s">
        <v>2227</v>
      </c>
      <c r="O297" s="57" t="s">
        <v>2261</v>
      </c>
      <c r="P297" s="57" t="s">
        <v>2284</v>
      </c>
      <c r="Q297" s="57" t="s">
        <v>958</v>
      </c>
    </row>
    <row r="298" spans="1:17" x14ac:dyDescent="0.25">
      <c r="A298" s="55" t="s">
        <v>1715</v>
      </c>
      <c r="B298" s="56" t="s">
        <v>2199</v>
      </c>
      <c r="C298" s="57" t="s">
        <v>28</v>
      </c>
      <c r="D298" s="56" t="s">
        <v>1716</v>
      </c>
      <c r="E298" s="57" t="s">
        <v>1592</v>
      </c>
      <c r="F298" s="56">
        <v>1</v>
      </c>
      <c r="G298" s="57" t="s">
        <v>958</v>
      </c>
      <c r="H298" s="58">
        <v>46023</v>
      </c>
      <c r="I298" s="57" t="s">
        <v>959</v>
      </c>
      <c r="J298" s="56">
        <v>1</v>
      </c>
      <c r="K298" s="60">
        <v>46023</v>
      </c>
      <c r="L298" s="59">
        <v>60000</v>
      </c>
      <c r="M298" s="57" t="s">
        <v>2230</v>
      </c>
      <c r="N298" s="57" t="s">
        <v>2227</v>
      </c>
      <c r="O298" s="57" t="s">
        <v>2261</v>
      </c>
      <c r="P298" s="57" t="s">
        <v>2284</v>
      </c>
      <c r="Q298" s="57" t="s">
        <v>958</v>
      </c>
    </row>
    <row r="299" spans="1:17" x14ac:dyDescent="0.25">
      <c r="A299" s="55" t="s">
        <v>493</v>
      </c>
      <c r="B299" s="56" t="s">
        <v>2196</v>
      </c>
      <c r="C299" s="57" t="s">
        <v>28</v>
      </c>
      <c r="D299" s="56" t="s">
        <v>494</v>
      </c>
      <c r="E299" s="57" t="s">
        <v>496</v>
      </c>
      <c r="F299" s="56">
        <v>1</v>
      </c>
      <c r="G299" s="57" t="s">
        <v>497</v>
      </c>
      <c r="H299" s="58">
        <v>45870</v>
      </c>
      <c r="I299" s="57" t="s">
        <v>302</v>
      </c>
      <c r="J299" s="56">
        <v>24</v>
      </c>
      <c r="K299" s="57" t="s">
        <v>278</v>
      </c>
      <c r="L299" s="59">
        <v>72999996</v>
      </c>
      <c r="M299" s="57" t="s">
        <v>2230</v>
      </c>
      <c r="N299" s="57" t="s">
        <v>2227</v>
      </c>
      <c r="O299" s="57" t="s">
        <v>2261</v>
      </c>
      <c r="P299" s="57" t="s">
        <v>2284</v>
      </c>
      <c r="Q299" s="57" t="s">
        <v>497</v>
      </c>
    </row>
    <row r="300" spans="1:17" x14ac:dyDescent="0.25">
      <c r="A300" s="55" t="s">
        <v>922</v>
      </c>
      <c r="B300" s="56" t="s">
        <v>2199</v>
      </c>
      <c r="C300" s="57" t="s">
        <v>28</v>
      </c>
      <c r="D300" s="56" t="s">
        <v>923</v>
      </c>
      <c r="E300" s="57" t="s">
        <v>891</v>
      </c>
      <c r="F300" s="56">
        <v>1</v>
      </c>
      <c r="G300" s="57" t="s">
        <v>926</v>
      </c>
      <c r="H300" s="58">
        <v>46143</v>
      </c>
      <c r="I300" s="57" t="s">
        <v>893</v>
      </c>
      <c r="J300" s="56">
        <v>12</v>
      </c>
      <c r="K300" s="57" t="s">
        <v>925</v>
      </c>
      <c r="L300" s="59">
        <v>23333328</v>
      </c>
      <c r="M300" s="57" t="s">
        <v>2221</v>
      </c>
      <c r="N300" s="57" t="s">
        <v>2234</v>
      </c>
      <c r="O300" s="57" t="s">
        <v>2259</v>
      </c>
      <c r="P300" s="57" t="s">
        <v>2284</v>
      </c>
      <c r="Q300" s="57" t="s">
        <v>926</v>
      </c>
    </row>
    <row r="301" spans="1:17" x14ac:dyDescent="0.25">
      <c r="A301" s="55" t="s">
        <v>1429</v>
      </c>
      <c r="B301" s="56" t="s">
        <v>2199</v>
      </c>
      <c r="C301" s="57" t="s">
        <v>28</v>
      </c>
      <c r="D301" s="56" t="s">
        <v>1430</v>
      </c>
      <c r="E301" s="57" t="s">
        <v>623</v>
      </c>
      <c r="F301" s="56">
        <v>1</v>
      </c>
      <c r="G301" s="57" t="s">
        <v>1432</v>
      </c>
      <c r="H301" s="58">
        <v>46296</v>
      </c>
      <c r="I301" s="57" t="s">
        <v>1433</v>
      </c>
      <c r="J301" s="56">
        <v>1</v>
      </c>
      <c r="K301" s="60">
        <v>46296</v>
      </c>
      <c r="L301" s="59">
        <v>35304528</v>
      </c>
      <c r="M301" s="57" t="s">
        <v>2233</v>
      </c>
      <c r="N301" s="57" t="s">
        <v>2256</v>
      </c>
      <c r="O301" s="57" t="s">
        <v>2266</v>
      </c>
      <c r="P301" s="57" t="s">
        <v>2284</v>
      </c>
      <c r="Q301" s="57" t="s">
        <v>1432</v>
      </c>
    </row>
    <row r="302" spans="1:17" x14ac:dyDescent="0.25">
      <c r="A302" s="55" t="s">
        <v>284</v>
      </c>
      <c r="B302" s="56" t="s">
        <v>2196</v>
      </c>
      <c r="C302" s="57" t="s">
        <v>28</v>
      </c>
      <c r="D302" s="56" t="s">
        <v>286</v>
      </c>
      <c r="E302" s="57" t="s">
        <v>288</v>
      </c>
      <c r="F302" s="56">
        <v>1</v>
      </c>
      <c r="G302" s="57" t="s">
        <v>290</v>
      </c>
      <c r="H302" s="58">
        <v>45748</v>
      </c>
      <c r="I302" s="57" t="s">
        <v>291</v>
      </c>
      <c r="J302" s="56">
        <v>24</v>
      </c>
      <c r="K302" s="57" t="s">
        <v>289</v>
      </c>
      <c r="L302" s="59">
        <v>75000000</v>
      </c>
      <c r="M302" s="57" t="s">
        <v>2233</v>
      </c>
      <c r="N302" s="57" t="s">
        <v>2256</v>
      </c>
      <c r="O302" s="57" t="s">
        <v>2266</v>
      </c>
      <c r="P302" s="57" t="s">
        <v>2284</v>
      </c>
      <c r="Q302" s="57" t="s">
        <v>2205</v>
      </c>
    </row>
    <row r="303" spans="1:17" x14ac:dyDescent="0.25">
      <c r="A303" s="55" t="s">
        <v>1473</v>
      </c>
      <c r="B303" s="56" t="s">
        <v>2199</v>
      </c>
      <c r="C303" s="57" t="s">
        <v>28</v>
      </c>
      <c r="D303" s="56" t="s">
        <v>1474</v>
      </c>
      <c r="E303" s="57" t="s">
        <v>1476</v>
      </c>
      <c r="F303" s="56">
        <v>1</v>
      </c>
      <c r="G303" s="57" t="s">
        <v>1477</v>
      </c>
      <c r="H303" s="58">
        <v>46023</v>
      </c>
      <c r="I303" s="57" t="s">
        <v>219</v>
      </c>
      <c r="J303" s="56">
        <v>1</v>
      </c>
      <c r="K303" s="60">
        <v>46023</v>
      </c>
      <c r="L303" s="59">
        <v>300006</v>
      </c>
      <c r="M303" s="57" t="s">
        <v>2226</v>
      </c>
      <c r="N303" s="57" t="s">
        <v>2262</v>
      </c>
      <c r="O303" s="57" t="s">
        <v>2226</v>
      </c>
      <c r="P303" s="57" t="s">
        <v>2284</v>
      </c>
      <c r="Q303" s="57" t="s">
        <v>1477</v>
      </c>
    </row>
    <row r="304" spans="1:17" x14ac:dyDescent="0.25">
      <c r="A304" s="55" t="s">
        <v>1482</v>
      </c>
      <c r="B304" s="56" t="s">
        <v>2199</v>
      </c>
      <c r="C304" s="57" t="s">
        <v>28</v>
      </c>
      <c r="D304" s="56" t="s">
        <v>1483</v>
      </c>
      <c r="E304" s="57" t="s">
        <v>1459</v>
      </c>
      <c r="F304" s="56">
        <v>1</v>
      </c>
      <c r="G304" s="57" t="s">
        <v>1477</v>
      </c>
      <c r="H304" s="58">
        <v>46023</v>
      </c>
      <c r="I304" s="57" t="s">
        <v>219</v>
      </c>
      <c r="J304" s="56">
        <v>1</v>
      </c>
      <c r="K304" s="60">
        <v>46023</v>
      </c>
      <c r="L304" s="59">
        <v>1500018</v>
      </c>
      <c r="M304" s="57" t="s">
        <v>2226</v>
      </c>
      <c r="N304" s="57" t="s">
        <v>2262</v>
      </c>
      <c r="O304" s="57" t="s">
        <v>2226</v>
      </c>
      <c r="P304" s="57" t="s">
        <v>2284</v>
      </c>
      <c r="Q304" s="57" t="s">
        <v>1477</v>
      </c>
    </row>
    <row r="305" spans="1:17" x14ac:dyDescent="0.25">
      <c r="A305" s="55" t="s">
        <v>214</v>
      </c>
      <c r="B305" s="56" t="s">
        <v>2196</v>
      </c>
      <c r="C305" s="57" t="s">
        <v>28</v>
      </c>
      <c r="D305" s="56" t="s">
        <v>216</v>
      </c>
      <c r="E305" s="57" t="s">
        <v>121</v>
      </c>
      <c r="F305" s="56">
        <v>2</v>
      </c>
      <c r="G305" s="57" t="s">
        <v>218</v>
      </c>
      <c r="H305" s="58">
        <v>45658</v>
      </c>
      <c r="I305" s="57" t="s">
        <v>219</v>
      </c>
      <c r="J305" s="56">
        <v>24</v>
      </c>
      <c r="K305" s="57" t="s">
        <v>73</v>
      </c>
      <c r="L305" s="59">
        <v>6255504</v>
      </c>
      <c r="M305" s="57" t="s">
        <v>2226</v>
      </c>
      <c r="N305" s="57" t="s">
        <v>2262</v>
      </c>
      <c r="O305" s="57" t="s">
        <v>2226</v>
      </c>
      <c r="P305" s="57" t="s">
        <v>2284</v>
      </c>
      <c r="Q305" s="57" t="s">
        <v>1477</v>
      </c>
    </row>
    <row r="306" spans="1:17" x14ac:dyDescent="0.25">
      <c r="A306" s="55" t="s">
        <v>1865</v>
      </c>
      <c r="B306" s="56" t="s">
        <v>2199</v>
      </c>
      <c r="C306" s="57" t="s">
        <v>28</v>
      </c>
      <c r="D306" s="56" t="s">
        <v>1866</v>
      </c>
      <c r="E306" s="57" t="s">
        <v>359</v>
      </c>
      <c r="F306" s="56">
        <v>2</v>
      </c>
      <c r="G306" s="57" t="s">
        <v>1868</v>
      </c>
      <c r="H306" s="58">
        <v>46023</v>
      </c>
      <c r="I306" s="57" t="s">
        <v>1869</v>
      </c>
      <c r="J306" s="56">
        <v>1</v>
      </c>
      <c r="K306" s="60">
        <v>46023</v>
      </c>
      <c r="L306" s="59">
        <v>385050</v>
      </c>
      <c r="M306" s="57" t="s">
        <v>2234</v>
      </c>
      <c r="N306" s="57" t="s">
        <v>2234</v>
      </c>
      <c r="O306" s="57" t="s">
        <v>2267</v>
      </c>
      <c r="P306" s="57" t="s">
        <v>2284</v>
      </c>
      <c r="Q306" s="57" t="s">
        <v>1868</v>
      </c>
    </row>
    <row r="307" spans="1:17" x14ac:dyDescent="0.25">
      <c r="A307" s="55" t="s">
        <v>1865</v>
      </c>
      <c r="B307" s="56" t="s">
        <v>2199</v>
      </c>
      <c r="C307" s="57" t="s">
        <v>28</v>
      </c>
      <c r="D307" s="56" t="s">
        <v>1866</v>
      </c>
      <c r="E307" s="57" t="s">
        <v>855</v>
      </c>
      <c r="F307" s="56">
        <v>2</v>
      </c>
      <c r="G307" s="57" t="s">
        <v>1868</v>
      </c>
      <c r="H307" s="58">
        <v>46023</v>
      </c>
      <c r="I307" s="57" t="s">
        <v>1869</v>
      </c>
      <c r="J307" s="56">
        <v>1</v>
      </c>
      <c r="K307" s="60">
        <v>46023</v>
      </c>
      <c r="L307" s="59">
        <v>121800</v>
      </c>
      <c r="M307" s="57" t="s">
        <v>2234</v>
      </c>
      <c r="N307" s="57" t="s">
        <v>2234</v>
      </c>
      <c r="O307" s="57" t="s">
        <v>2267</v>
      </c>
      <c r="P307" s="57" t="s">
        <v>2284</v>
      </c>
      <c r="Q307" s="57" t="s">
        <v>1868</v>
      </c>
    </row>
    <row r="308" spans="1:17" x14ac:dyDescent="0.25">
      <c r="A308" s="55" t="s">
        <v>1149</v>
      </c>
      <c r="B308" s="56" t="s">
        <v>2199</v>
      </c>
      <c r="C308" s="57" t="s">
        <v>374</v>
      </c>
      <c r="D308" s="56" t="s">
        <v>1150</v>
      </c>
      <c r="E308" s="57" t="s">
        <v>831</v>
      </c>
      <c r="F308" s="56">
        <v>3</v>
      </c>
      <c r="G308" s="57" t="s">
        <v>1152</v>
      </c>
      <c r="H308" s="58">
        <v>46113</v>
      </c>
      <c r="I308" s="57" t="s">
        <v>1153</v>
      </c>
      <c r="J308" s="56">
        <v>1</v>
      </c>
      <c r="K308" s="60">
        <v>46113</v>
      </c>
      <c r="L308" s="59">
        <v>50000</v>
      </c>
      <c r="M308" s="57" t="s">
        <v>2222</v>
      </c>
      <c r="N308" s="57" t="s">
        <v>2234</v>
      </c>
      <c r="O308" s="57" t="s">
        <v>2260</v>
      </c>
      <c r="P308" s="57" t="s">
        <v>2284</v>
      </c>
      <c r="Q308" s="57" t="s">
        <v>1152</v>
      </c>
    </row>
    <row r="309" spans="1:17" x14ac:dyDescent="0.25">
      <c r="A309" s="55" t="s">
        <v>1149</v>
      </c>
      <c r="B309" s="56" t="s">
        <v>2199</v>
      </c>
      <c r="C309" s="57" t="s">
        <v>374</v>
      </c>
      <c r="D309" s="56" t="s">
        <v>1150</v>
      </c>
      <c r="E309" s="57" t="s">
        <v>486</v>
      </c>
      <c r="F309" s="56">
        <v>3</v>
      </c>
      <c r="G309" s="57" t="s">
        <v>1152</v>
      </c>
      <c r="H309" s="58">
        <v>46113</v>
      </c>
      <c r="I309" s="57" t="s">
        <v>1153</v>
      </c>
      <c r="J309" s="56">
        <v>1</v>
      </c>
      <c r="K309" s="60">
        <v>46113</v>
      </c>
      <c r="L309" s="59">
        <v>352240</v>
      </c>
      <c r="M309" s="57" t="s">
        <v>2222</v>
      </c>
      <c r="N309" s="57" t="s">
        <v>2234</v>
      </c>
      <c r="O309" s="57" t="s">
        <v>2260</v>
      </c>
      <c r="P309" s="57" t="s">
        <v>2284</v>
      </c>
      <c r="Q309" s="57" t="s">
        <v>1152</v>
      </c>
    </row>
    <row r="310" spans="1:17" x14ac:dyDescent="0.25">
      <c r="A310" s="55" t="s">
        <v>1149</v>
      </c>
      <c r="B310" s="56" t="s">
        <v>2199</v>
      </c>
      <c r="C310" s="57" t="s">
        <v>374</v>
      </c>
      <c r="D310" s="56" t="s">
        <v>1150</v>
      </c>
      <c r="E310" s="57" t="s">
        <v>602</v>
      </c>
      <c r="F310" s="56">
        <v>3</v>
      </c>
      <c r="G310" s="57" t="s">
        <v>1152</v>
      </c>
      <c r="H310" s="58">
        <v>46113</v>
      </c>
      <c r="I310" s="57" t="s">
        <v>1153</v>
      </c>
      <c r="J310" s="56">
        <v>1</v>
      </c>
      <c r="K310" s="60">
        <v>46113</v>
      </c>
      <c r="L310" s="59">
        <v>270000</v>
      </c>
      <c r="M310" s="57" t="s">
        <v>2222</v>
      </c>
      <c r="N310" s="57" t="s">
        <v>2234</v>
      </c>
      <c r="O310" s="57" t="s">
        <v>2260</v>
      </c>
      <c r="P310" s="57" t="s">
        <v>2284</v>
      </c>
      <c r="Q310" s="57" t="s">
        <v>1152</v>
      </c>
    </row>
    <row r="311" spans="1:17" x14ac:dyDescent="0.25">
      <c r="A311" s="55" t="s">
        <v>1171</v>
      </c>
      <c r="B311" s="56" t="s">
        <v>2199</v>
      </c>
      <c r="C311" s="57" t="s">
        <v>374</v>
      </c>
      <c r="D311" s="56" t="s">
        <v>1172</v>
      </c>
      <c r="E311" s="57" t="s">
        <v>780</v>
      </c>
      <c r="F311" s="56">
        <v>4</v>
      </c>
      <c r="G311" s="57" t="s">
        <v>1152</v>
      </c>
      <c r="H311" s="58">
        <v>46174</v>
      </c>
      <c r="I311" s="57" t="s">
        <v>1153</v>
      </c>
      <c r="J311" s="56">
        <v>1</v>
      </c>
      <c r="K311" s="60">
        <v>46174</v>
      </c>
      <c r="L311" s="59">
        <v>50000</v>
      </c>
      <c r="M311" s="57" t="s">
        <v>2222</v>
      </c>
      <c r="N311" s="57" t="s">
        <v>2234</v>
      </c>
      <c r="O311" s="57" t="s">
        <v>2260</v>
      </c>
      <c r="P311" s="57" t="s">
        <v>2284</v>
      </c>
      <c r="Q311" s="57" t="s">
        <v>1152</v>
      </c>
    </row>
    <row r="312" spans="1:17" x14ac:dyDescent="0.25">
      <c r="A312" s="55" t="s">
        <v>1171</v>
      </c>
      <c r="B312" s="56" t="s">
        <v>2199</v>
      </c>
      <c r="C312" s="57" t="s">
        <v>374</v>
      </c>
      <c r="D312" s="56" t="s">
        <v>1172</v>
      </c>
      <c r="E312" s="57" t="s">
        <v>1175</v>
      </c>
      <c r="F312" s="56">
        <v>4</v>
      </c>
      <c r="G312" s="57" t="s">
        <v>1152</v>
      </c>
      <c r="H312" s="58">
        <v>46174</v>
      </c>
      <c r="I312" s="57" t="s">
        <v>1153</v>
      </c>
      <c r="J312" s="56">
        <v>1</v>
      </c>
      <c r="K312" s="60">
        <v>46174</v>
      </c>
      <c r="L312" s="59">
        <v>580665</v>
      </c>
      <c r="M312" s="57" t="s">
        <v>2222</v>
      </c>
      <c r="N312" s="57" t="s">
        <v>2234</v>
      </c>
      <c r="O312" s="57" t="s">
        <v>2260</v>
      </c>
      <c r="P312" s="57" t="s">
        <v>2284</v>
      </c>
      <c r="Q312" s="57" t="s">
        <v>1152</v>
      </c>
    </row>
    <row r="313" spans="1:17" x14ac:dyDescent="0.25">
      <c r="A313" s="55" t="s">
        <v>1171</v>
      </c>
      <c r="B313" s="56" t="s">
        <v>2199</v>
      </c>
      <c r="C313" s="57" t="s">
        <v>374</v>
      </c>
      <c r="D313" s="56" t="s">
        <v>1172</v>
      </c>
      <c r="E313" s="57" t="s">
        <v>1174</v>
      </c>
      <c r="F313" s="56">
        <v>4</v>
      </c>
      <c r="G313" s="57" t="s">
        <v>1152</v>
      </c>
      <c r="H313" s="58">
        <v>46174</v>
      </c>
      <c r="I313" s="57" t="s">
        <v>1153</v>
      </c>
      <c r="J313" s="56">
        <v>1</v>
      </c>
      <c r="K313" s="60">
        <v>46174</v>
      </c>
      <c r="L313" s="59">
        <v>994896</v>
      </c>
      <c r="M313" s="57" t="s">
        <v>2222</v>
      </c>
      <c r="N313" s="57" t="s">
        <v>2234</v>
      </c>
      <c r="O313" s="57" t="s">
        <v>2260</v>
      </c>
      <c r="P313" s="57" t="s">
        <v>2284</v>
      </c>
      <c r="Q313" s="57" t="s">
        <v>1152</v>
      </c>
    </row>
    <row r="314" spans="1:17" x14ac:dyDescent="0.25">
      <c r="A314" s="55" t="s">
        <v>1171</v>
      </c>
      <c r="B314" s="56" t="s">
        <v>2199</v>
      </c>
      <c r="C314" s="57" t="s">
        <v>374</v>
      </c>
      <c r="D314" s="56" t="s">
        <v>1172</v>
      </c>
      <c r="E314" s="57" t="s">
        <v>874</v>
      </c>
      <c r="F314" s="56">
        <v>4</v>
      </c>
      <c r="G314" s="57" t="s">
        <v>1152</v>
      </c>
      <c r="H314" s="58">
        <v>46174</v>
      </c>
      <c r="I314" s="57" t="s">
        <v>1153</v>
      </c>
      <c r="J314" s="56">
        <v>1</v>
      </c>
      <c r="K314" s="60">
        <v>46174</v>
      </c>
      <c r="L314" s="59">
        <v>1350000</v>
      </c>
      <c r="M314" s="57" t="s">
        <v>2222</v>
      </c>
      <c r="N314" s="57" t="s">
        <v>2234</v>
      </c>
      <c r="O314" s="57" t="s">
        <v>2260</v>
      </c>
      <c r="P314" s="57" t="s">
        <v>2284</v>
      </c>
      <c r="Q314" s="57" t="s">
        <v>1152</v>
      </c>
    </row>
    <row r="315" spans="1:17" x14ac:dyDescent="0.25">
      <c r="A315" s="55" t="s">
        <v>2047</v>
      </c>
      <c r="B315" s="56" t="s">
        <v>2199</v>
      </c>
      <c r="C315" s="57" t="s">
        <v>28</v>
      </c>
      <c r="D315" s="56" t="s">
        <v>2048</v>
      </c>
      <c r="E315" s="57" t="s">
        <v>2054</v>
      </c>
      <c r="F315" s="56">
        <v>3</v>
      </c>
      <c r="G315" s="57" t="s">
        <v>2051</v>
      </c>
      <c r="H315" s="58">
        <v>46143</v>
      </c>
      <c r="I315" s="57" t="s">
        <v>2052</v>
      </c>
      <c r="J315" s="56">
        <v>1</v>
      </c>
      <c r="K315" s="60">
        <v>46174</v>
      </c>
      <c r="L315" s="59">
        <v>684735</v>
      </c>
      <c r="M315" s="57" t="s">
        <v>2222</v>
      </c>
      <c r="N315" s="57" t="s">
        <v>2234</v>
      </c>
      <c r="O315" s="57" t="s">
        <v>2260</v>
      </c>
      <c r="P315" s="57" t="s">
        <v>2284</v>
      </c>
      <c r="Q315" s="57" t="s">
        <v>1152</v>
      </c>
    </row>
    <row r="316" spans="1:17" x14ac:dyDescent="0.25">
      <c r="A316" s="55" t="s">
        <v>2047</v>
      </c>
      <c r="B316" s="56" t="s">
        <v>2199</v>
      </c>
      <c r="C316" s="57" t="s">
        <v>28</v>
      </c>
      <c r="D316" s="56" t="s">
        <v>2048</v>
      </c>
      <c r="E316" s="57" t="s">
        <v>2055</v>
      </c>
      <c r="F316" s="56">
        <v>3</v>
      </c>
      <c r="G316" s="57" t="s">
        <v>2051</v>
      </c>
      <c r="H316" s="58">
        <v>46143</v>
      </c>
      <c r="I316" s="57" t="s">
        <v>2052</v>
      </c>
      <c r="J316" s="56">
        <v>1</v>
      </c>
      <c r="K316" s="60">
        <v>46174</v>
      </c>
      <c r="L316" s="59">
        <v>204100</v>
      </c>
      <c r="M316" s="57" t="s">
        <v>2222</v>
      </c>
      <c r="N316" s="57" t="s">
        <v>2234</v>
      </c>
      <c r="O316" s="57" t="s">
        <v>2260</v>
      </c>
      <c r="P316" s="57" t="s">
        <v>2284</v>
      </c>
      <c r="Q316" s="57" t="s">
        <v>1152</v>
      </c>
    </row>
    <row r="317" spans="1:17" x14ac:dyDescent="0.25">
      <c r="A317" s="55" t="s">
        <v>2047</v>
      </c>
      <c r="B317" s="56" t="s">
        <v>2199</v>
      </c>
      <c r="C317" s="57" t="s">
        <v>28</v>
      </c>
      <c r="D317" s="56" t="s">
        <v>2048</v>
      </c>
      <c r="E317" s="57" t="s">
        <v>1936</v>
      </c>
      <c r="F317" s="56">
        <v>3</v>
      </c>
      <c r="G317" s="57" t="s">
        <v>2051</v>
      </c>
      <c r="H317" s="58">
        <v>46143</v>
      </c>
      <c r="I317" s="57" t="s">
        <v>2052</v>
      </c>
      <c r="J317" s="56">
        <v>1</v>
      </c>
      <c r="K317" s="60">
        <v>46174</v>
      </c>
      <c r="L317" s="59">
        <v>360000</v>
      </c>
      <c r="M317" s="57" t="s">
        <v>2222</v>
      </c>
      <c r="N317" s="57" t="s">
        <v>2234</v>
      </c>
      <c r="O317" s="57" t="s">
        <v>2260</v>
      </c>
      <c r="P317" s="57" t="s">
        <v>2284</v>
      </c>
      <c r="Q317" s="57" t="s">
        <v>1152</v>
      </c>
    </row>
    <row r="318" spans="1:17" x14ac:dyDescent="0.25">
      <c r="A318" s="55" t="s">
        <v>1176</v>
      </c>
      <c r="B318" s="56" t="s">
        <v>2199</v>
      </c>
      <c r="C318" s="57" t="s">
        <v>28</v>
      </c>
      <c r="D318" s="56" t="s">
        <v>1177</v>
      </c>
      <c r="E318" s="57" t="s">
        <v>1179</v>
      </c>
      <c r="F318" s="56">
        <v>1</v>
      </c>
      <c r="G318" s="57" t="s">
        <v>1180</v>
      </c>
      <c r="H318" s="58">
        <v>46082</v>
      </c>
      <c r="I318" s="57" t="s">
        <v>1181</v>
      </c>
      <c r="J318" s="56">
        <v>1</v>
      </c>
      <c r="K318" s="60">
        <v>46082</v>
      </c>
      <c r="L318" s="59">
        <v>696000</v>
      </c>
      <c r="M318" s="57" t="s">
        <v>2230</v>
      </c>
      <c r="N318" s="57" t="s">
        <v>2227</v>
      </c>
      <c r="O318" s="57" t="s">
        <v>2261</v>
      </c>
      <c r="P318" s="57" t="s">
        <v>2284</v>
      </c>
      <c r="Q318" s="57" t="s">
        <v>1180</v>
      </c>
    </row>
    <row r="319" spans="1:17" x14ac:dyDescent="0.25">
      <c r="A319" s="55" t="s">
        <v>1637</v>
      </c>
      <c r="B319" s="56" t="s">
        <v>2199</v>
      </c>
      <c r="C319" s="57" t="s">
        <v>28</v>
      </c>
      <c r="D319" s="56" t="s">
        <v>1177</v>
      </c>
      <c r="E319" s="57" t="s">
        <v>1179</v>
      </c>
      <c r="F319" s="56">
        <v>1</v>
      </c>
      <c r="G319" s="57" t="s">
        <v>1180</v>
      </c>
      <c r="H319" s="58">
        <v>46082</v>
      </c>
      <c r="I319" s="57" t="s">
        <v>1181</v>
      </c>
      <c r="J319" s="56">
        <v>1</v>
      </c>
      <c r="K319" s="60">
        <v>46082</v>
      </c>
      <c r="L319" s="59">
        <v>115003</v>
      </c>
      <c r="M319" s="57" t="s">
        <v>2230</v>
      </c>
      <c r="N319" s="57" t="s">
        <v>2227</v>
      </c>
      <c r="O319" s="57" t="s">
        <v>2261</v>
      </c>
      <c r="P319" s="57" t="s">
        <v>2284</v>
      </c>
      <c r="Q319" s="57" t="s">
        <v>1180</v>
      </c>
    </row>
    <row r="320" spans="1:17" x14ac:dyDescent="0.25">
      <c r="A320" s="55" t="s">
        <v>117</v>
      </c>
      <c r="B320" s="56" t="s">
        <v>2196</v>
      </c>
      <c r="C320" s="57" t="s">
        <v>28</v>
      </c>
      <c r="D320" s="56" t="s">
        <v>119</v>
      </c>
      <c r="E320" s="57" t="s">
        <v>121</v>
      </c>
      <c r="F320" s="56">
        <v>1</v>
      </c>
      <c r="G320" s="57" t="s">
        <v>122</v>
      </c>
      <c r="H320" s="58">
        <v>45474</v>
      </c>
      <c r="I320" s="57" t="s">
        <v>123</v>
      </c>
      <c r="J320" s="56">
        <v>24</v>
      </c>
      <c r="K320" s="57" t="s">
        <v>73</v>
      </c>
      <c r="L320" s="59">
        <v>150000000</v>
      </c>
      <c r="M320" s="57" t="s">
        <v>2235</v>
      </c>
      <c r="N320" s="57" t="s">
        <v>2256</v>
      </c>
      <c r="O320" s="57" t="s">
        <v>2268</v>
      </c>
      <c r="P320" s="57" t="s">
        <v>2284</v>
      </c>
      <c r="Q320" s="57" t="s">
        <v>122</v>
      </c>
    </row>
    <row r="321" spans="1:17" x14ac:dyDescent="0.25">
      <c r="A321" s="55" t="s">
        <v>552</v>
      </c>
      <c r="B321" s="56" t="s">
        <v>2196</v>
      </c>
      <c r="C321" s="57" t="s">
        <v>28</v>
      </c>
      <c r="D321" s="56" t="s">
        <v>553</v>
      </c>
      <c r="E321" s="57" t="s">
        <v>512</v>
      </c>
      <c r="F321" s="56">
        <v>1</v>
      </c>
      <c r="G321" s="57" t="s">
        <v>122</v>
      </c>
      <c r="H321" s="58">
        <v>45870</v>
      </c>
      <c r="I321" s="57" t="s">
        <v>555</v>
      </c>
      <c r="J321" s="56">
        <v>24</v>
      </c>
      <c r="K321" s="57" t="s">
        <v>278</v>
      </c>
      <c r="L321" s="59">
        <v>100200000</v>
      </c>
      <c r="M321" s="57" t="s">
        <v>2235</v>
      </c>
      <c r="N321" s="57" t="s">
        <v>2256</v>
      </c>
      <c r="O321" s="57" t="s">
        <v>2268</v>
      </c>
      <c r="P321" s="57" t="s">
        <v>2284</v>
      </c>
      <c r="Q321" s="57" t="s">
        <v>122</v>
      </c>
    </row>
    <row r="322" spans="1:17" x14ac:dyDescent="0.25">
      <c r="A322" s="55" t="s">
        <v>557</v>
      </c>
      <c r="B322" s="56" t="s">
        <v>2196</v>
      </c>
      <c r="C322" s="57" t="s">
        <v>28</v>
      </c>
      <c r="D322" s="56" t="s">
        <v>558</v>
      </c>
      <c r="E322" s="57" t="s">
        <v>496</v>
      </c>
      <c r="F322" s="56">
        <v>1</v>
      </c>
      <c r="G322" s="57" t="s">
        <v>122</v>
      </c>
      <c r="H322" s="58">
        <v>45870</v>
      </c>
      <c r="I322" s="57" t="s">
        <v>555</v>
      </c>
      <c r="J322" s="56">
        <v>12</v>
      </c>
      <c r="K322" s="57" t="s">
        <v>413</v>
      </c>
      <c r="L322" s="59">
        <v>30000000</v>
      </c>
      <c r="M322" s="57" t="s">
        <v>2235</v>
      </c>
      <c r="N322" s="57" t="s">
        <v>2256</v>
      </c>
      <c r="O322" s="57" t="s">
        <v>2268</v>
      </c>
      <c r="P322" s="57" t="s">
        <v>2284</v>
      </c>
      <c r="Q322" s="57" t="s">
        <v>122</v>
      </c>
    </row>
    <row r="323" spans="1:17" x14ac:dyDescent="0.25">
      <c r="A323" s="55" t="s">
        <v>1245</v>
      </c>
      <c r="B323" s="56" t="s">
        <v>2199</v>
      </c>
      <c r="C323" s="57" t="s">
        <v>28</v>
      </c>
      <c r="D323" s="56" t="s">
        <v>1247</v>
      </c>
      <c r="E323" s="57" t="s">
        <v>1251</v>
      </c>
      <c r="F323" s="56">
        <v>3</v>
      </c>
      <c r="G323" s="57" t="s">
        <v>122</v>
      </c>
      <c r="H323" s="58">
        <v>46054</v>
      </c>
      <c r="I323" s="57" t="s">
        <v>544</v>
      </c>
      <c r="J323" s="56">
        <v>1</v>
      </c>
      <c r="K323" s="60">
        <v>46054</v>
      </c>
      <c r="L323" s="59">
        <v>60000</v>
      </c>
      <c r="M323" s="57" t="s">
        <v>2235</v>
      </c>
      <c r="N323" s="57" t="s">
        <v>2256</v>
      </c>
      <c r="O323" s="57" t="s">
        <v>2268</v>
      </c>
      <c r="P323" s="57" t="s">
        <v>2284</v>
      </c>
      <c r="Q323" s="57" t="s">
        <v>122</v>
      </c>
    </row>
    <row r="324" spans="1:17" x14ac:dyDescent="0.25">
      <c r="A324" s="55" t="s">
        <v>1245</v>
      </c>
      <c r="B324" s="56" t="s">
        <v>2199</v>
      </c>
      <c r="C324" s="57" t="s">
        <v>28</v>
      </c>
      <c r="D324" s="56" t="s">
        <v>1247</v>
      </c>
      <c r="E324" s="57" t="s">
        <v>1249</v>
      </c>
      <c r="F324" s="56">
        <v>3</v>
      </c>
      <c r="G324" s="57" t="s">
        <v>122</v>
      </c>
      <c r="H324" s="58">
        <v>46054</v>
      </c>
      <c r="I324" s="57" t="s">
        <v>544</v>
      </c>
      <c r="J324" s="56">
        <v>1</v>
      </c>
      <c r="K324" s="60">
        <v>46054</v>
      </c>
      <c r="L324" s="59">
        <v>160000</v>
      </c>
      <c r="M324" s="57" t="s">
        <v>2235</v>
      </c>
      <c r="N324" s="57" t="s">
        <v>2256</v>
      </c>
      <c r="O324" s="57" t="s">
        <v>2268</v>
      </c>
      <c r="P324" s="57" t="s">
        <v>2284</v>
      </c>
      <c r="Q324" s="57" t="s">
        <v>122</v>
      </c>
    </row>
    <row r="325" spans="1:17" x14ac:dyDescent="0.25">
      <c r="A325" s="55" t="s">
        <v>1245</v>
      </c>
      <c r="B325" s="56" t="s">
        <v>2199</v>
      </c>
      <c r="C325" s="57" t="s">
        <v>28</v>
      </c>
      <c r="D325" s="56" t="s">
        <v>1247</v>
      </c>
      <c r="E325" s="57" t="s">
        <v>1250</v>
      </c>
      <c r="F325" s="56">
        <v>3</v>
      </c>
      <c r="G325" s="57" t="s">
        <v>122</v>
      </c>
      <c r="H325" s="58">
        <v>46054</v>
      </c>
      <c r="I325" s="57" t="s">
        <v>544</v>
      </c>
      <c r="J325" s="56">
        <v>1</v>
      </c>
      <c r="K325" s="60">
        <v>46054</v>
      </c>
      <c r="L325" s="59">
        <v>390000</v>
      </c>
      <c r="M325" s="57" t="s">
        <v>2235</v>
      </c>
      <c r="N325" s="57" t="s">
        <v>2256</v>
      </c>
      <c r="O325" s="57" t="s">
        <v>2268</v>
      </c>
      <c r="P325" s="57" t="s">
        <v>2284</v>
      </c>
      <c r="Q325" s="57" t="s">
        <v>122</v>
      </c>
    </row>
    <row r="326" spans="1:17" x14ac:dyDescent="0.25">
      <c r="A326" s="55" t="s">
        <v>1842</v>
      </c>
      <c r="B326" s="56" t="s">
        <v>2199</v>
      </c>
      <c r="C326" s="57" t="s">
        <v>28</v>
      </c>
      <c r="D326" s="56" t="s">
        <v>1843</v>
      </c>
      <c r="E326" s="57" t="s">
        <v>1844</v>
      </c>
      <c r="F326" s="56">
        <v>1</v>
      </c>
      <c r="G326" s="57" t="s">
        <v>122</v>
      </c>
      <c r="H326" s="58">
        <v>46143</v>
      </c>
      <c r="I326" s="57" t="s">
        <v>544</v>
      </c>
      <c r="J326" s="56">
        <v>1</v>
      </c>
      <c r="K326" s="60">
        <v>46143</v>
      </c>
      <c r="L326" s="59">
        <v>3000000</v>
      </c>
      <c r="M326" s="57" t="s">
        <v>2235</v>
      </c>
      <c r="N326" s="57" t="s">
        <v>2256</v>
      </c>
      <c r="O326" s="57" t="s">
        <v>2268</v>
      </c>
      <c r="P326" s="57" t="s">
        <v>2284</v>
      </c>
      <c r="Q326" s="57" t="s">
        <v>122</v>
      </c>
    </row>
    <row r="327" spans="1:17" x14ac:dyDescent="0.25">
      <c r="A327" s="55" t="s">
        <v>1239</v>
      </c>
      <c r="B327" s="56" t="s">
        <v>2199</v>
      </c>
      <c r="C327" s="57" t="s">
        <v>1238</v>
      </c>
      <c r="D327" s="56" t="s">
        <v>1241</v>
      </c>
      <c r="E327" s="57" t="s">
        <v>1243</v>
      </c>
      <c r="F327" s="56">
        <v>1</v>
      </c>
      <c r="G327" s="57" t="s">
        <v>122</v>
      </c>
      <c r="H327" s="58">
        <v>46113</v>
      </c>
      <c r="I327" s="57" t="s">
        <v>544</v>
      </c>
      <c r="J327" s="56">
        <v>1</v>
      </c>
      <c r="K327" s="60">
        <v>46113</v>
      </c>
      <c r="L327" s="59">
        <v>108183000</v>
      </c>
      <c r="M327" s="57" t="s">
        <v>2235</v>
      </c>
      <c r="N327" s="57" t="s">
        <v>2256</v>
      </c>
      <c r="O327" s="57" t="s">
        <v>2268</v>
      </c>
      <c r="P327" s="57" t="s">
        <v>2284</v>
      </c>
      <c r="Q327" s="57" t="s">
        <v>122</v>
      </c>
    </row>
    <row r="328" spans="1:17" x14ac:dyDescent="0.25">
      <c r="A328" s="55" t="s">
        <v>51</v>
      </c>
      <c r="B328" s="56" t="s">
        <v>2196</v>
      </c>
      <c r="C328" s="57" t="s">
        <v>28</v>
      </c>
      <c r="D328" s="56" t="s">
        <v>52</v>
      </c>
      <c r="E328" s="57" t="s">
        <v>54</v>
      </c>
      <c r="F328" s="56">
        <v>1</v>
      </c>
      <c r="G328" s="57" t="s">
        <v>55</v>
      </c>
      <c r="H328" s="58">
        <v>45292</v>
      </c>
      <c r="I328" s="57" t="s">
        <v>56</v>
      </c>
      <c r="J328" s="56">
        <v>36</v>
      </c>
      <c r="K328" s="57" t="s">
        <v>36</v>
      </c>
      <c r="L328" s="59">
        <v>6712008</v>
      </c>
      <c r="M328" s="57" t="s">
        <v>2235</v>
      </c>
      <c r="N328" s="57" t="s">
        <v>2256</v>
      </c>
      <c r="O328" s="57" t="s">
        <v>2268</v>
      </c>
      <c r="P328" s="57" t="s">
        <v>2284</v>
      </c>
      <c r="Q328" s="57" t="s">
        <v>122</v>
      </c>
    </row>
    <row r="329" spans="1:17" x14ac:dyDescent="0.25">
      <c r="A329" s="55" t="s">
        <v>539</v>
      </c>
      <c r="B329" s="56" t="s">
        <v>2196</v>
      </c>
      <c r="C329" s="57" t="s">
        <v>28</v>
      </c>
      <c r="D329" s="56" t="s">
        <v>541</v>
      </c>
      <c r="E329" s="57" t="s">
        <v>543</v>
      </c>
      <c r="F329" s="56">
        <v>1</v>
      </c>
      <c r="G329" s="57" t="s">
        <v>55</v>
      </c>
      <c r="H329" s="58">
        <v>45870</v>
      </c>
      <c r="I329" s="57" t="s">
        <v>544</v>
      </c>
      <c r="J329" s="56">
        <v>24</v>
      </c>
      <c r="K329" s="57" t="s">
        <v>278</v>
      </c>
      <c r="L329" s="59">
        <v>39999996</v>
      </c>
      <c r="M329" s="57" t="s">
        <v>2235</v>
      </c>
      <c r="N329" s="57" t="s">
        <v>2256</v>
      </c>
      <c r="O329" s="57" t="s">
        <v>2268</v>
      </c>
      <c r="P329" s="57" t="s">
        <v>2284</v>
      </c>
      <c r="Q329" s="57" t="s">
        <v>122</v>
      </c>
    </row>
    <row r="330" spans="1:17" x14ac:dyDescent="0.25">
      <c r="A330" s="55" t="s">
        <v>548</v>
      </c>
      <c r="B330" s="56" t="s">
        <v>2196</v>
      </c>
      <c r="C330" s="57" t="s">
        <v>28</v>
      </c>
      <c r="D330" s="56" t="s">
        <v>550</v>
      </c>
      <c r="E330" s="57" t="s">
        <v>496</v>
      </c>
      <c r="F330" s="56">
        <v>1</v>
      </c>
      <c r="G330" s="57" t="s">
        <v>55</v>
      </c>
      <c r="H330" s="58">
        <v>45870</v>
      </c>
      <c r="I330" s="57" t="s">
        <v>544</v>
      </c>
      <c r="J330" s="56">
        <v>12</v>
      </c>
      <c r="K330" s="57" t="s">
        <v>413</v>
      </c>
      <c r="L330" s="59">
        <v>96100000</v>
      </c>
      <c r="M330" s="57" t="s">
        <v>2235</v>
      </c>
      <c r="N330" s="57" t="s">
        <v>2256</v>
      </c>
      <c r="O330" s="57" t="s">
        <v>2268</v>
      </c>
      <c r="P330" s="57" t="s">
        <v>2284</v>
      </c>
      <c r="Q330" s="57" t="s">
        <v>122</v>
      </c>
    </row>
    <row r="331" spans="1:17" x14ac:dyDescent="0.25">
      <c r="A331" s="55" t="s">
        <v>947</v>
      </c>
      <c r="B331" s="56" t="s">
        <v>2199</v>
      </c>
      <c r="C331" s="57" t="s">
        <v>28</v>
      </c>
      <c r="D331" s="56" t="s">
        <v>948</v>
      </c>
      <c r="E331" s="57" t="s">
        <v>486</v>
      </c>
      <c r="F331" s="56">
        <v>2</v>
      </c>
      <c r="G331" s="57" t="s">
        <v>950</v>
      </c>
      <c r="H331" s="58">
        <v>46082</v>
      </c>
      <c r="I331" s="57" t="s">
        <v>951</v>
      </c>
      <c r="J331" s="56">
        <v>1</v>
      </c>
      <c r="K331" s="60">
        <v>46082</v>
      </c>
      <c r="L331" s="59">
        <v>509936</v>
      </c>
      <c r="M331" s="57" t="s">
        <v>2236</v>
      </c>
      <c r="N331" s="57" t="s">
        <v>2234</v>
      </c>
      <c r="O331" s="57" t="s">
        <v>2259</v>
      </c>
      <c r="P331" s="57" t="s">
        <v>2284</v>
      </c>
      <c r="Q331" s="57" t="s">
        <v>950</v>
      </c>
    </row>
    <row r="332" spans="1:17" x14ac:dyDescent="0.25">
      <c r="A332" s="55" t="s">
        <v>947</v>
      </c>
      <c r="B332" s="56" t="s">
        <v>2199</v>
      </c>
      <c r="C332" s="57" t="s">
        <v>28</v>
      </c>
      <c r="D332" s="56" t="s">
        <v>948</v>
      </c>
      <c r="E332" s="57" t="s">
        <v>953</v>
      </c>
      <c r="F332" s="56">
        <v>2</v>
      </c>
      <c r="G332" s="57" t="s">
        <v>950</v>
      </c>
      <c r="H332" s="58">
        <v>46082</v>
      </c>
      <c r="I332" s="57" t="s">
        <v>951</v>
      </c>
      <c r="J332" s="56">
        <v>1</v>
      </c>
      <c r="K332" s="60">
        <v>46082</v>
      </c>
      <c r="L332" s="59">
        <v>48000</v>
      </c>
      <c r="M332" s="57" t="s">
        <v>2236</v>
      </c>
      <c r="N332" s="57" t="s">
        <v>2234</v>
      </c>
      <c r="O332" s="57" t="s">
        <v>2259</v>
      </c>
      <c r="P332" s="57" t="s">
        <v>2284</v>
      </c>
      <c r="Q332" s="57" t="s">
        <v>950</v>
      </c>
    </row>
    <row r="333" spans="1:17" x14ac:dyDescent="0.25">
      <c r="A333" s="55" t="s">
        <v>2178</v>
      </c>
      <c r="B333" s="56" t="s">
        <v>2199</v>
      </c>
      <c r="C333" s="57" t="s">
        <v>28</v>
      </c>
      <c r="D333" s="56" t="s">
        <v>2179</v>
      </c>
      <c r="E333" s="57" t="s">
        <v>760</v>
      </c>
      <c r="F333" s="56">
        <v>1</v>
      </c>
      <c r="G333" s="57" t="s">
        <v>950</v>
      </c>
      <c r="H333" s="58">
        <v>46113</v>
      </c>
      <c r="I333" s="57" t="s">
        <v>951</v>
      </c>
      <c r="J333" s="56">
        <v>1</v>
      </c>
      <c r="K333" s="60">
        <v>46113</v>
      </c>
      <c r="L333" s="59">
        <v>57500000</v>
      </c>
      <c r="M333" s="57" t="s">
        <v>2236</v>
      </c>
      <c r="N333" s="57" t="s">
        <v>2234</v>
      </c>
      <c r="O333" s="57" t="s">
        <v>2259</v>
      </c>
      <c r="P333" s="57" t="s">
        <v>2284</v>
      </c>
      <c r="Q333" s="57" t="s">
        <v>950</v>
      </c>
    </row>
    <row r="334" spans="1:17" x14ac:dyDescent="0.25">
      <c r="A334" s="55" t="s">
        <v>1339</v>
      </c>
      <c r="B334" s="56" t="s">
        <v>2199</v>
      </c>
      <c r="C334" s="57" t="s">
        <v>1304</v>
      </c>
      <c r="D334" s="56" t="s">
        <v>1340</v>
      </c>
      <c r="E334" s="57" t="s">
        <v>807</v>
      </c>
      <c r="F334" s="56">
        <v>1</v>
      </c>
      <c r="G334" s="57" t="s">
        <v>1342</v>
      </c>
      <c r="H334" s="58">
        <v>46174</v>
      </c>
      <c r="I334" s="57" t="s">
        <v>1343</v>
      </c>
      <c r="J334" s="56">
        <v>1</v>
      </c>
      <c r="K334" s="60">
        <v>46174</v>
      </c>
      <c r="L334" s="59">
        <v>525000</v>
      </c>
      <c r="M334" s="57" t="s">
        <v>2237</v>
      </c>
      <c r="N334" s="57" t="s">
        <v>2256</v>
      </c>
      <c r="O334" s="57" t="s">
        <v>2266</v>
      </c>
      <c r="P334" s="57" t="s">
        <v>2284</v>
      </c>
      <c r="Q334" s="57" t="s">
        <v>1342</v>
      </c>
    </row>
    <row r="335" spans="1:17" x14ac:dyDescent="0.25">
      <c r="A335" s="55" t="s">
        <v>1389</v>
      </c>
      <c r="B335" s="56" t="s">
        <v>2199</v>
      </c>
      <c r="C335" s="57" t="s">
        <v>1304</v>
      </c>
      <c r="D335" s="56" t="s">
        <v>1390</v>
      </c>
      <c r="E335" s="57" t="s">
        <v>807</v>
      </c>
      <c r="F335" s="56">
        <v>1</v>
      </c>
      <c r="G335" s="57" t="s">
        <v>1342</v>
      </c>
      <c r="H335" s="58">
        <v>46174</v>
      </c>
      <c r="I335" s="57" t="s">
        <v>1392</v>
      </c>
      <c r="J335" s="56">
        <v>1</v>
      </c>
      <c r="K335" s="60">
        <v>46174</v>
      </c>
      <c r="L335" s="59">
        <v>630000</v>
      </c>
      <c r="M335" s="57" t="s">
        <v>2237</v>
      </c>
      <c r="N335" s="57" t="s">
        <v>2256</v>
      </c>
      <c r="O335" s="57" t="s">
        <v>2266</v>
      </c>
      <c r="P335" s="57" t="s">
        <v>2284</v>
      </c>
      <c r="Q335" s="57" t="s">
        <v>1342</v>
      </c>
    </row>
    <row r="336" spans="1:17" x14ac:dyDescent="0.25">
      <c r="A336" s="55" t="s">
        <v>1442</v>
      </c>
      <c r="B336" s="56" t="s">
        <v>2199</v>
      </c>
      <c r="C336" s="57" t="s">
        <v>28</v>
      </c>
      <c r="D336" s="56" t="s">
        <v>1443</v>
      </c>
      <c r="E336" s="57" t="s">
        <v>786</v>
      </c>
      <c r="F336" s="56">
        <v>1</v>
      </c>
      <c r="G336" s="57" t="s">
        <v>1445</v>
      </c>
      <c r="H336" s="58">
        <v>46054</v>
      </c>
      <c r="I336" s="57" t="s">
        <v>1446</v>
      </c>
      <c r="J336" s="56">
        <v>1</v>
      </c>
      <c r="K336" s="60">
        <v>46054</v>
      </c>
      <c r="L336" s="59">
        <v>299940</v>
      </c>
      <c r="M336" s="57" t="s">
        <v>2222</v>
      </c>
      <c r="N336" s="57" t="s">
        <v>2234</v>
      </c>
      <c r="O336" s="57" t="s">
        <v>2260</v>
      </c>
      <c r="P336" s="57" t="s">
        <v>2284</v>
      </c>
      <c r="Q336" s="57" t="s">
        <v>1445</v>
      </c>
    </row>
    <row r="337" spans="1:17" x14ac:dyDescent="0.25">
      <c r="A337" s="55" t="s">
        <v>1453</v>
      </c>
      <c r="B337" s="56" t="s">
        <v>2199</v>
      </c>
      <c r="C337" s="57" t="s">
        <v>28</v>
      </c>
      <c r="D337" s="56" t="s">
        <v>1454</v>
      </c>
      <c r="E337" s="57" t="s">
        <v>602</v>
      </c>
      <c r="F337" s="56">
        <v>1</v>
      </c>
      <c r="G337" s="57" t="s">
        <v>1445</v>
      </c>
      <c r="H337" s="58">
        <v>46113</v>
      </c>
      <c r="I337" s="57" t="s">
        <v>1446</v>
      </c>
      <c r="J337" s="56">
        <v>1</v>
      </c>
      <c r="K337" s="60">
        <v>46113</v>
      </c>
      <c r="L337" s="59">
        <v>720000</v>
      </c>
      <c r="M337" s="57" t="s">
        <v>2222</v>
      </c>
      <c r="N337" s="57" t="s">
        <v>2234</v>
      </c>
      <c r="O337" s="57" t="s">
        <v>2260</v>
      </c>
      <c r="P337" s="57" t="s">
        <v>2284</v>
      </c>
      <c r="Q337" s="57" t="s">
        <v>1445</v>
      </c>
    </row>
    <row r="338" spans="1:17" x14ac:dyDescent="0.25">
      <c r="A338" s="55" t="s">
        <v>1479</v>
      </c>
      <c r="B338" s="56" t="s">
        <v>2199</v>
      </c>
      <c r="C338" s="57" t="s">
        <v>28</v>
      </c>
      <c r="D338" s="56" t="s">
        <v>1480</v>
      </c>
      <c r="E338" s="57" t="s">
        <v>602</v>
      </c>
      <c r="F338" s="56">
        <v>1</v>
      </c>
      <c r="G338" s="57" t="s">
        <v>1445</v>
      </c>
      <c r="H338" s="58">
        <v>46113</v>
      </c>
      <c r="I338" s="57" t="s">
        <v>1446</v>
      </c>
      <c r="J338" s="56">
        <v>1</v>
      </c>
      <c r="K338" s="60">
        <v>46143</v>
      </c>
      <c r="L338" s="59">
        <v>220000</v>
      </c>
      <c r="M338" s="57" t="s">
        <v>2222</v>
      </c>
      <c r="N338" s="57" t="s">
        <v>2234</v>
      </c>
      <c r="O338" s="57" t="s">
        <v>2260</v>
      </c>
      <c r="P338" s="57" t="s">
        <v>2284</v>
      </c>
      <c r="Q338" s="57" t="s">
        <v>1445</v>
      </c>
    </row>
    <row r="339" spans="1:17" x14ac:dyDescent="0.25">
      <c r="A339" s="55" t="s">
        <v>1853</v>
      </c>
      <c r="B339" s="56" t="s">
        <v>2199</v>
      </c>
      <c r="C339" s="57" t="s">
        <v>28</v>
      </c>
      <c r="D339" s="56" t="s">
        <v>1854</v>
      </c>
      <c r="E339" s="57" t="s">
        <v>1175</v>
      </c>
      <c r="F339" s="56">
        <v>1</v>
      </c>
      <c r="G339" s="57" t="s">
        <v>1445</v>
      </c>
      <c r="H339" s="58">
        <v>46054</v>
      </c>
      <c r="I339" s="57" t="s">
        <v>1446</v>
      </c>
      <c r="J339" s="56">
        <v>1</v>
      </c>
      <c r="K339" s="60">
        <v>46054</v>
      </c>
      <c r="L339" s="59">
        <v>3000000</v>
      </c>
      <c r="M339" s="57" t="s">
        <v>2222</v>
      </c>
      <c r="N339" s="57" t="s">
        <v>2234</v>
      </c>
      <c r="O339" s="57" t="s">
        <v>2260</v>
      </c>
      <c r="P339" s="57" t="s">
        <v>2284</v>
      </c>
      <c r="Q339" s="57" t="s">
        <v>1445</v>
      </c>
    </row>
    <row r="340" spans="1:17" x14ac:dyDescent="0.25">
      <c r="A340" s="55" t="s">
        <v>1914</v>
      </c>
      <c r="B340" s="56" t="s">
        <v>2199</v>
      </c>
      <c r="C340" s="57" t="s">
        <v>28</v>
      </c>
      <c r="D340" s="56" t="s">
        <v>1916</v>
      </c>
      <c r="E340" s="57" t="s">
        <v>1920</v>
      </c>
      <c r="F340" s="56">
        <v>2</v>
      </c>
      <c r="G340" s="57" t="s">
        <v>1445</v>
      </c>
      <c r="H340" s="58">
        <v>46054</v>
      </c>
      <c r="I340" s="57" t="s">
        <v>1446</v>
      </c>
      <c r="J340" s="56">
        <v>1</v>
      </c>
      <c r="K340" s="60">
        <v>46082</v>
      </c>
      <c r="L340" s="59">
        <v>150000</v>
      </c>
      <c r="M340" s="57" t="s">
        <v>2222</v>
      </c>
      <c r="N340" s="57" t="s">
        <v>2234</v>
      </c>
      <c r="O340" s="57" t="s">
        <v>2260</v>
      </c>
      <c r="P340" s="57" t="s">
        <v>2284</v>
      </c>
      <c r="Q340" s="57" t="s">
        <v>1445</v>
      </c>
    </row>
    <row r="341" spans="1:17" x14ac:dyDescent="0.25">
      <c r="A341" s="55" t="s">
        <v>1914</v>
      </c>
      <c r="B341" s="56" t="s">
        <v>2199</v>
      </c>
      <c r="C341" s="57" t="s">
        <v>28</v>
      </c>
      <c r="D341" s="56" t="s">
        <v>1916</v>
      </c>
      <c r="E341" s="57" t="s">
        <v>1918</v>
      </c>
      <c r="F341" s="56">
        <v>2</v>
      </c>
      <c r="G341" s="57" t="s">
        <v>1445</v>
      </c>
      <c r="H341" s="58">
        <v>46054</v>
      </c>
      <c r="I341" s="57" t="s">
        <v>1446</v>
      </c>
      <c r="J341" s="56">
        <v>1</v>
      </c>
      <c r="K341" s="60">
        <v>46082</v>
      </c>
      <c r="L341" s="59">
        <v>70000</v>
      </c>
      <c r="M341" s="57" t="s">
        <v>2222</v>
      </c>
      <c r="N341" s="57" t="s">
        <v>2234</v>
      </c>
      <c r="O341" s="57" t="s">
        <v>2260</v>
      </c>
      <c r="P341" s="57" t="s">
        <v>2284</v>
      </c>
      <c r="Q341" s="57" t="s">
        <v>1445</v>
      </c>
    </row>
    <row r="342" spans="1:17" x14ac:dyDescent="0.25">
      <c r="A342" s="55" t="s">
        <v>2083</v>
      </c>
      <c r="B342" s="56" t="s">
        <v>2199</v>
      </c>
      <c r="C342" s="57" t="s">
        <v>28</v>
      </c>
      <c r="D342" s="56" t="s">
        <v>1916</v>
      </c>
      <c r="E342" s="57" t="s">
        <v>2085</v>
      </c>
      <c r="F342" s="56">
        <v>1</v>
      </c>
      <c r="G342" s="57" t="s">
        <v>1445</v>
      </c>
      <c r="H342" s="58">
        <v>46054</v>
      </c>
      <c r="I342" s="57" t="s">
        <v>1446</v>
      </c>
      <c r="J342" s="56">
        <v>1</v>
      </c>
      <c r="K342" s="60">
        <v>46082</v>
      </c>
      <c r="L342" s="59">
        <v>200000</v>
      </c>
      <c r="M342" s="57" t="s">
        <v>2222</v>
      </c>
      <c r="N342" s="57" t="s">
        <v>2234</v>
      </c>
      <c r="O342" s="57" t="s">
        <v>2260</v>
      </c>
      <c r="P342" s="57" t="s">
        <v>2284</v>
      </c>
      <c r="Q342" s="57" t="s">
        <v>1445</v>
      </c>
    </row>
    <row r="343" spans="1:17" x14ac:dyDescent="0.25">
      <c r="A343" s="55" t="s">
        <v>1610</v>
      </c>
      <c r="B343" s="56" t="s">
        <v>2199</v>
      </c>
      <c r="C343" s="57" t="s">
        <v>28</v>
      </c>
      <c r="D343" s="56" t="s">
        <v>1611</v>
      </c>
      <c r="E343" s="57" t="s">
        <v>1618</v>
      </c>
      <c r="F343" s="56">
        <v>4</v>
      </c>
      <c r="G343" s="57" t="s">
        <v>1613</v>
      </c>
      <c r="H343" s="58">
        <v>46054</v>
      </c>
      <c r="I343" s="57" t="s">
        <v>1614</v>
      </c>
      <c r="J343" s="56">
        <v>1</v>
      </c>
      <c r="K343" s="60">
        <v>46054</v>
      </c>
      <c r="L343" s="59">
        <v>5000001</v>
      </c>
      <c r="M343" s="57" t="s">
        <v>2221</v>
      </c>
      <c r="N343" s="57" t="s">
        <v>2234</v>
      </c>
      <c r="O343" s="57" t="s">
        <v>2259</v>
      </c>
      <c r="P343" s="57" t="s">
        <v>2284</v>
      </c>
      <c r="Q343" s="57" t="s">
        <v>1613</v>
      </c>
    </row>
    <row r="344" spans="1:17" x14ac:dyDescent="0.25">
      <c r="A344" s="55" t="s">
        <v>1610</v>
      </c>
      <c r="B344" s="56" t="s">
        <v>2199</v>
      </c>
      <c r="C344" s="57" t="s">
        <v>28</v>
      </c>
      <c r="D344" s="56" t="s">
        <v>1611</v>
      </c>
      <c r="E344" s="57" t="s">
        <v>1617</v>
      </c>
      <c r="F344" s="56">
        <v>4</v>
      </c>
      <c r="G344" s="57" t="s">
        <v>1613</v>
      </c>
      <c r="H344" s="58">
        <v>46082</v>
      </c>
      <c r="I344" s="57" t="s">
        <v>1614</v>
      </c>
      <c r="J344" s="56">
        <v>1</v>
      </c>
      <c r="K344" s="60">
        <v>46082</v>
      </c>
      <c r="L344" s="59">
        <v>5000001</v>
      </c>
      <c r="M344" s="57" t="s">
        <v>2221</v>
      </c>
      <c r="N344" s="57" t="s">
        <v>2234</v>
      </c>
      <c r="O344" s="57" t="s">
        <v>2259</v>
      </c>
      <c r="P344" s="57" t="s">
        <v>2284</v>
      </c>
      <c r="Q344" s="57" t="s">
        <v>1613</v>
      </c>
    </row>
    <row r="345" spans="1:17" x14ac:dyDescent="0.25">
      <c r="A345" s="55" t="s">
        <v>1610</v>
      </c>
      <c r="B345" s="56" t="s">
        <v>2199</v>
      </c>
      <c r="C345" s="57" t="s">
        <v>28</v>
      </c>
      <c r="D345" s="56" t="s">
        <v>1611</v>
      </c>
      <c r="E345" s="57" t="s">
        <v>602</v>
      </c>
      <c r="F345" s="56">
        <v>4</v>
      </c>
      <c r="G345" s="57" t="s">
        <v>1613</v>
      </c>
      <c r="H345" s="58">
        <v>46054</v>
      </c>
      <c r="I345" s="57" t="s">
        <v>1614</v>
      </c>
      <c r="J345" s="56">
        <v>1</v>
      </c>
      <c r="K345" s="60">
        <v>46054</v>
      </c>
      <c r="L345" s="59">
        <v>1500000</v>
      </c>
      <c r="M345" s="57" t="s">
        <v>2221</v>
      </c>
      <c r="N345" s="57" t="s">
        <v>2234</v>
      </c>
      <c r="O345" s="57" t="s">
        <v>2259</v>
      </c>
      <c r="P345" s="57" t="s">
        <v>2284</v>
      </c>
      <c r="Q345" s="57" t="s">
        <v>1613</v>
      </c>
    </row>
    <row r="346" spans="1:17" x14ac:dyDescent="0.25">
      <c r="A346" s="55" t="s">
        <v>1610</v>
      </c>
      <c r="B346" s="56" t="s">
        <v>2199</v>
      </c>
      <c r="C346" s="57" t="s">
        <v>28</v>
      </c>
      <c r="D346" s="56" t="s">
        <v>1611</v>
      </c>
      <c r="E346" s="57" t="s">
        <v>1619</v>
      </c>
      <c r="F346" s="56">
        <v>4</v>
      </c>
      <c r="G346" s="57" t="s">
        <v>1613</v>
      </c>
      <c r="H346" s="58">
        <v>46023</v>
      </c>
      <c r="I346" s="57" t="s">
        <v>1614</v>
      </c>
      <c r="J346" s="56">
        <v>1</v>
      </c>
      <c r="K346" s="60">
        <v>46023</v>
      </c>
      <c r="L346" s="59">
        <v>50932000</v>
      </c>
      <c r="M346" s="57" t="s">
        <v>2221</v>
      </c>
      <c r="N346" s="57" t="s">
        <v>2234</v>
      </c>
      <c r="O346" s="57" t="s">
        <v>2259</v>
      </c>
      <c r="P346" s="57" t="s">
        <v>2284</v>
      </c>
      <c r="Q346" s="57" t="s">
        <v>1613</v>
      </c>
    </row>
    <row r="347" spans="1:17" x14ac:dyDescent="0.25">
      <c r="A347" s="55" t="s">
        <v>1411</v>
      </c>
      <c r="B347" s="56" t="s">
        <v>2199</v>
      </c>
      <c r="C347" s="57" t="s">
        <v>28</v>
      </c>
      <c r="D347" s="56" t="s">
        <v>1413</v>
      </c>
      <c r="E347" s="57" t="s">
        <v>882</v>
      </c>
      <c r="F347" s="56">
        <v>1</v>
      </c>
      <c r="G347" s="57" t="s">
        <v>1415</v>
      </c>
      <c r="H347" s="58">
        <v>46174</v>
      </c>
      <c r="I347" s="57" t="s">
        <v>514</v>
      </c>
      <c r="J347" s="56">
        <v>1</v>
      </c>
      <c r="K347" s="60">
        <v>46174</v>
      </c>
      <c r="L347" s="59">
        <v>2000000</v>
      </c>
      <c r="M347" s="57" t="s">
        <v>2233</v>
      </c>
      <c r="N347" s="57" t="s">
        <v>2256</v>
      </c>
      <c r="O347" s="57" t="s">
        <v>2266</v>
      </c>
      <c r="P347" s="57" t="s">
        <v>2284</v>
      </c>
      <c r="Q347" s="57" t="s">
        <v>1415</v>
      </c>
    </row>
    <row r="348" spans="1:17" x14ac:dyDescent="0.25">
      <c r="A348" s="55" t="s">
        <v>1416</v>
      </c>
      <c r="B348" s="56" t="s">
        <v>2199</v>
      </c>
      <c r="C348" s="57" t="s">
        <v>28</v>
      </c>
      <c r="D348" s="56" t="s">
        <v>1417</v>
      </c>
      <c r="E348" s="57" t="s">
        <v>623</v>
      </c>
      <c r="F348" s="56">
        <v>1</v>
      </c>
      <c r="G348" s="57" t="s">
        <v>1415</v>
      </c>
      <c r="H348" s="58">
        <v>46357</v>
      </c>
      <c r="I348" s="57" t="s">
        <v>514</v>
      </c>
      <c r="J348" s="56">
        <v>1</v>
      </c>
      <c r="K348" s="60">
        <v>46357</v>
      </c>
      <c r="L348" s="59">
        <v>6000000</v>
      </c>
      <c r="M348" s="57" t="s">
        <v>2233</v>
      </c>
      <c r="N348" s="57" t="s">
        <v>2256</v>
      </c>
      <c r="O348" s="57" t="s">
        <v>2266</v>
      </c>
      <c r="P348" s="57" t="s">
        <v>2284</v>
      </c>
      <c r="Q348" s="57" t="s">
        <v>1415</v>
      </c>
    </row>
    <row r="349" spans="1:17" x14ac:dyDescent="0.25">
      <c r="A349" s="55" t="s">
        <v>1419</v>
      </c>
      <c r="B349" s="56" t="s">
        <v>2199</v>
      </c>
      <c r="C349" s="57" t="s">
        <v>28</v>
      </c>
      <c r="D349" s="56" t="s">
        <v>1420</v>
      </c>
      <c r="E349" s="57" t="s">
        <v>882</v>
      </c>
      <c r="F349" s="56">
        <v>1</v>
      </c>
      <c r="G349" s="57" t="s">
        <v>1415</v>
      </c>
      <c r="H349" s="58">
        <v>46357</v>
      </c>
      <c r="I349" s="57" t="s">
        <v>514</v>
      </c>
      <c r="J349" s="56">
        <v>12</v>
      </c>
      <c r="K349" s="57" t="s">
        <v>1029</v>
      </c>
      <c r="L349" s="59">
        <v>0</v>
      </c>
      <c r="M349" s="57" t="s">
        <v>2233</v>
      </c>
      <c r="N349" s="57" t="s">
        <v>2256</v>
      </c>
      <c r="O349" s="57" t="s">
        <v>2266</v>
      </c>
      <c r="P349" s="57" t="s">
        <v>2284</v>
      </c>
      <c r="Q349" s="57" t="s">
        <v>1415</v>
      </c>
    </row>
    <row r="350" spans="1:17" x14ac:dyDescent="0.25">
      <c r="A350" s="55" t="s">
        <v>1422</v>
      </c>
      <c r="B350" s="56" t="s">
        <v>2199</v>
      </c>
      <c r="C350" s="57" t="s">
        <v>28</v>
      </c>
      <c r="D350" s="56" t="s">
        <v>1423</v>
      </c>
      <c r="E350" s="57" t="s">
        <v>1425</v>
      </c>
      <c r="F350" s="56">
        <v>1</v>
      </c>
      <c r="G350" s="57" t="s">
        <v>1415</v>
      </c>
      <c r="H350" s="58">
        <v>46327</v>
      </c>
      <c r="I350" s="57" t="s">
        <v>514</v>
      </c>
      <c r="J350" s="56">
        <v>1</v>
      </c>
      <c r="K350" s="60">
        <v>46327</v>
      </c>
      <c r="L350" s="59">
        <v>25000000</v>
      </c>
      <c r="M350" s="57" t="s">
        <v>2233</v>
      </c>
      <c r="N350" s="57" t="s">
        <v>2256</v>
      </c>
      <c r="O350" s="57" t="s">
        <v>2266</v>
      </c>
      <c r="P350" s="57" t="s">
        <v>2284</v>
      </c>
      <c r="Q350" s="57" t="s">
        <v>1415</v>
      </c>
    </row>
    <row r="351" spans="1:17" x14ac:dyDescent="0.25">
      <c r="A351" s="55" t="s">
        <v>1426</v>
      </c>
      <c r="B351" s="56" t="s">
        <v>2199</v>
      </c>
      <c r="C351" s="57" t="s">
        <v>28</v>
      </c>
      <c r="D351" s="56" t="s">
        <v>1427</v>
      </c>
      <c r="E351" s="57" t="s">
        <v>623</v>
      </c>
      <c r="F351" s="56">
        <v>1</v>
      </c>
      <c r="G351" s="57" t="s">
        <v>1415</v>
      </c>
      <c r="H351" s="58">
        <v>46327</v>
      </c>
      <c r="I351" s="57" t="s">
        <v>514</v>
      </c>
      <c r="J351" s="56">
        <v>1</v>
      </c>
      <c r="K351" s="60">
        <v>46327</v>
      </c>
      <c r="L351" s="59">
        <v>10000000</v>
      </c>
      <c r="M351" s="57" t="s">
        <v>2233</v>
      </c>
      <c r="N351" s="57" t="s">
        <v>2256</v>
      </c>
      <c r="O351" s="57" t="s">
        <v>2266</v>
      </c>
      <c r="P351" s="57" t="s">
        <v>2284</v>
      </c>
      <c r="Q351" s="57" t="s">
        <v>1415</v>
      </c>
    </row>
    <row r="352" spans="1:17" x14ac:dyDescent="0.25">
      <c r="A352" s="55" t="s">
        <v>509</v>
      </c>
      <c r="B352" s="56" t="s">
        <v>2196</v>
      </c>
      <c r="C352" s="57" t="s">
        <v>28</v>
      </c>
      <c r="D352" s="56" t="s">
        <v>510</v>
      </c>
      <c r="E352" s="57" t="s">
        <v>512</v>
      </c>
      <c r="F352" s="56">
        <v>1</v>
      </c>
      <c r="G352" s="57" t="s">
        <v>513</v>
      </c>
      <c r="H352" s="58">
        <v>45870</v>
      </c>
      <c r="I352" s="57" t="s">
        <v>514</v>
      </c>
      <c r="J352" s="56">
        <v>12</v>
      </c>
      <c r="K352" s="57" t="s">
        <v>413</v>
      </c>
      <c r="L352" s="59">
        <v>83594337</v>
      </c>
      <c r="M352" s="57" t="s">
        <v>2233</v>
      </c>
      <c r="N352" s="57" t="s">
        <v>2256</v>
      </c>
      <c r="O352" s="57" t="s">
        <v>2266</v>
      </c>
      <c r="P352" s="57" t="s">
        <v>2284</v>
      </c>
      <c r="Q352" s="57" t="s">
        <v>1415</v>
      </c>
    </row>
    <row r="353" spans="1:17" x14ac:dyDescent="0.25">
      <c r="A353" s="55" t="s">
        <v>1700</v>
      </c>
      <c r="B353" s="56" t="s">
        <v>2199</v>
      </c>
      <c r="C353" s="57" t="s">
        <v>28</v>
      </c>
      <c r="D353" s="56" t="s">
        <v>1701</v>
      </c>
      <c r="E353" s="57" t="s">
        <v>1703</v>
      </c>
      <c r="F353" s="56">
        <v>1</v>
      </c>
      <c r="G353" s="57" t="s">
        <v>1704</v>
      </c>
      <c r="H353" s="58">
        <v>46143</v>
      </c>
      <c r="I353" s="57" t="s">
        <v>1705</v>
      </c>
      <c r="J353" s="56">
        <v>1</v>
      </c>
      <c r="K353" s="60">
        <v>46143</v>
      </c>
      <c r="L353" s="59">
        <v>4059825</v>
      </c>
      <c r="M353" s="57" t="s">
        <v>2222</v>
      </c>
      <c r="N353" s="57" t="s">
        <v>2234</v>
      </c>
      <c r="O353" s="57" t="s">
        <v>2260</v>
      </c>
      <c r="P353" s="57" t="s">
        <v>2284</v>
      </c>
      <c r="Q353" s="57" t="s">
        <v>1704</v>
      </c>
    </row>
    <row r="354" spans="1:17" x14ac:dyDescent="0.25">
      <c r="A354" s="55" t="s">
        <v>1466</v>
      </c>
      <c r="B354" s="56" t="s">
        <v>2199</v>
      </c>
      <c r="C354" s="57" t="s">
        <v>28</v>
      </c>
      <c r="D354" s="56" t="s">
        <v>1467</v>
      </c>
      <c r="E354" s="57" t="s">
        <v>760</v>
      </c>
      <c r="F354" s="56">
        <v>1</v>
      </c>
      <c r="G354" s="57" t="s">
        <v>1469</v>
      </c>
      <c r="H354" s="58">
        <v>46054</v>
      </c>
      <c r="I354" s="57" t="s">
        <v>1470</v>
      </c>
      <c r="J354" s="56">
        <v>1</v>
      </c>
      <c r="K354" s="60">
        <v>46054</v>
      </c>
      <c r="L354" s="59">
        <v>5000001</v>
      </c>
      <c r="M354" s="57" t="s">
        <v>2238</v>
      </c>
      <c r="N354" s="57" t="s">
        <v>2227</v>
      </c>
      <c r="O354" s="57" t="s">
        <v>2269</v>
      </c>
      <c r="P354" s="57" t="s">
        <v>2284</v>
      </c>
      <c r="Q354" s="57" t="s">
        <v>1469</v>
      </c>
    </row>
    <row r="355" spans="1:17" x14ac:dyDescent="0.25">
      <c r="A355" s="55" t="s">
        <v>2005</v>
      </c>
      <c r="B355" s="56" t="s">
        <v>2199</v>
      </c>
      <c r="C355" s="57" t="s">
        <v>28</v>
      </c>
      <c r="D355" s="56" t="s">
        <v>2006</v>
      </c>
      <c r="E355" s="57" t="s">
        <v>359</v>
      </c>
      <c r="F355" s="56">
        <v>4</v>
      </c>
      <c r="G355" s="57" t="s">
        <v>1469</v>
      </c>
      <c r="H355" s="58">
        <v>46082</v>
      </c>
      <c r="I355" s="57" t="s">
        <v>2008</v>
      </c>
      <c r="J355" s="56">
        <v>1</v>
      </c>
      <c r="K355" s="60">
        <v>46113</v>
      </c>
      <c r="L355" s="59">
        <v>158235</v>
      </c>
      <c r="M355" s="57" t="s">
        <v>2238</v>
      </c>
      <c r="N355" s="57" t="s">
        <v>2227</v>
      </c>
      <c r="O355" s="57" t="s">
        <v>2269</v>
      </c>
      <c r="P355" s="57" t="s">
        <v>2284</v>
      </c>
      <c r="Q355" s="57" t="s">
        <v>1469</v>
      </c>
    </row>
    <row r="356" spans="1:17" x14ac:dyDescent="0.25">
      <c r="A356" s="55" t="s">
        <v>2005</v>
      </c>
      <c r="B356" s="56" t="s">
        <v>2199</v>
      </c>
      <c r="C356" s="57" t="s">
        <v>28</v>
      </c>
      <c r="D356" s="56" t="s">
        <v>2006</v>
      </c>
      <c r="E356" s="57" t="s">
        <v>1938</v>
      </c>
      <c r="F356" s="56">
        <v>4</v>
      </c>
      <c r="G356" s="57" t="s">
        <v>1469</v>
      </c>
      <c r="H356" s="58">
        <v>46054</v>
      </c>
      <c r="I356" s="57" t="s">
        <v>2008</v>
      </c>
      <c r="J356" s="56">
        <v>1</v>
      </c>
      <c r="K356" s="60">
        <v>46082</v>
      </c>
      <c r="L356" s="59">
        <v>729076</v>
      </c>
      <c r="M356" s="57" t="s">
        <v>2238</v>
      </c>
      <c r="N356" s="57" t="s">
        <v>2227</v>
      </c>
      <c r="O356" s="57" t="s">
        <v>2269</v>
      </c>
      <c r="P356" s="57" t="s">
        <v>2284</v>
      </c>
      <c r="Q356" s="57" t="s">
        <v>1469</v>
      </c>
    </row>
    <row r="357" spans="1:17" x14ac:dyDescent="0.25">
      <c r="A357" s="55" t="s">
        <v>2005</v>
      </c>
      <c r="B357" s="56" t="s">
        <v>2199</v>
      </c>
      <c r="C357" s="57" t="s">
        <v>28</v>
      </c>
      <c r="D357" s="56" t="s">
        <v>2006</v>
      </c>
      <c r="E357" s="57" t="s">
        <v>1406</v>
      </c>
      <c r="F357" s="56">
        <v>4</v>
      </c>
      <c r="G357" s="57" t="s">
        <v>1469</v>
      </c>
      <c r="H357" s="58">
        <v>46143</v>
      </c>
      <c r="I357" s="57" t="s">
        <v>2008</v>
      </c>
      <c r="J357" s="56">
        <v>1</v>
      </c>
      <c r="K357" s="60">
        <v>46174</v>
      </c>
      <c r="L357" s="59">
        <v>4000</v>
      </c>
      <c r="M357" s="57" t="s">
        <v>2238</v>
      </c>
      <c r="N357" s="57" t="s">
        <v>2227</v>
      </c>
      <c r="O357" s="57" t="s">
        <v>2269</v>
      </c>
      <c r="P357" s="57" t="s">
        <v>2284</v>
      </c>
      <c r="Q357" s="57" t="s">
        <v>1469</v>
      </c>
    </row>
    <row r="358" spans="1:17" x14ac:dyDescent="0.25">
      <c r="A358" s="55" t="s">
        <v>2005</v>
      </c>
      <c r="B358" s="56" t="s">
        <v>2199</v>
      </c>
      <c r="C358" s="57" t="s">
        <v>28</v>
      </c>
      <c r="D358" s="56" t="s">
        <v>2006</v>
      </c>
      <c r="E358" s="57" t="s">
        <v>2010</v>
      </c>
      <c r="F358" s="56">
        <v>4</v>
      </c>
      <c r="G358" s="57" t="s">
        <v>1469</v>
      </c>
      <c r="H358" s="58">
        <v>46143</v>
      </c>
      <c r="I358" s="57" t="s">
        <v>2008</v>
      </c>
      <c r="J358" s="56">
        <v>1</v>
      </c>
      <c r="K358" s="60">
        <v>46174</v>
      </c>
      <c r="L358" s="59">
        <v>20000</v>
      </c>
      <c r="M358" s="57" t="s">
        <v>2238</v>
      </c>
      <c r="N358" s="57" t="s">
        <v>2227</v>
      </c>
      <c r="O358" s="57" t="s">
        <v>2269</v>
      </c>
      <c r="P358" s="57" t="s">
        <v>2284</v>
      </c>
      <c r="Q358" s="57" t="s">
        <v>1469</v>
      </c>
    </row>
    <row r="359" spans="1:17" x14ac:dyDescent="0.25">
      <c r="A359" s="55" t="s">
        <v>1252</v>
      </c>
      <c r="B359" s="56" t="s">
        <v>2199</v>
      </c>
      <c r="C359" s="57" t="s">
        <v>28</v>
      </c>
      <c r="D359" s="56" t="s">
        <v>1253</v>
      </c>
      <c r="E359" s="57" t="s">
        <v>140</v>
      </c>
      <c r="F359" s="56">
        <v>1</v>
      </c>
      <c r="G359" s="57" t="s">
        <v>1255</v>
      </c>
      <c r="H359" s="58">
        <v>46054</v>
      </c>
      <c r="I359" s="57" t="s">
        <v>1256</v>
      </c>
      <c r="J359" s="56">
        <v>1</v>
      </c>
      <c r="K359" s="60">
        <v>46054</v>
      </c>
      <c r="L359" s="59">
        <v>52000</v>
      </c>
      <c r="M359" s="57" t="s">
        <v>2239</v>
      </c>
      <c r="N359" s="57" t="s">
        <v>2227</v>
      </c>
      <c r="O359" s="57" t="s">
        <v>2269</v>
      </c>
      <c r="P359" s="57" t="s">
        <v>2284</v>
      </c>
      <c r="Q359" s="57" t="s">
        <v>1255</v>
      </c>
    </row>
    <row r="360" spans="1:17" x14ac:dyDescent="0.25">
      <c r="A360" s="55" t="s">
        <v>1371</v>
      </c>
      <c r="B360" s="56" t="s">
        <v>2199</v>
      </c>
      <c r="C360" s="57" t="s">
        <v>1304</v>
      </c>
      <c r="D360" s="56" t="s">
        <v>1373</v>
      </c>
      <c r="E360" s="57" t="s">
        <v>1375</v>
      </c>
      <c r="F360" s="56">
        <v>1</v>
      </c>
      <c r="G360" s="57" t="s">
        <v>1200</v>
      </c>
      <c r="H360" s="58">
        <v>46113</v>
      </c>
      <c r="I360" s="57" t="s">
        <v>514</v>
      </c>
      <c r="J360" s="56">
        <v>1</v>
      </c>
      <c r="K360" s="60">
        <v>46174</v>
      </c>
      <c r="L360" s="59">
        <v>1058222000</v>
      </c>
      <c r="M360" s="57" t="s">
        <v>2237</v>
      </c>
      <c r="N360" s="57" t="s">
        <v>2256</v>
      </c>
      <c r="O360" s="57" t="s">
        <v>2266</v>
      </c>
      <c r="P360" s="57" t="s">
        <v>2284</v>
      </c>
      <c r="Q360" s="57" t="s">
        <v>1200</v>
      </c>
    </row>
    <row r="361" spans="1:17" x14ac:dyDescent="0.25">
      <c r="A361" s="55" t="s">
        <v>1376</v>
      </c>
      <c r="B361" s="56" t="s">
        <v>2199</v>
      </c>
      <c r="C361" s="57" t="s">
        <v>1304</v>
      </c>
      <c r="D361" s="56" t="s">
        <v>1377</v>
      </c>
      <c r="E361" s="57" t="s">
        <v>1375</v>
      </c>
      <c r="F361" s="56">
        <v>1</v>
      </c>
      <c r="G361" s="57" t="s">
        <v>1200</v>
      </c>
      <c r="H361" s="58">
        <v>46113</v>
      </c>
      <c r="I361" s="57" t="s">
        <v>514</v>
      </c>
      <c r="J361" s="56">
        <v>1</v>
      </c>
      <c r="K361" s="60">
        <v>46174</v>
      </c>
      <c r="L361" s="59">
        <v>916961000</v>
      </c>
      <c r="M361" s="57" t="s">
        <v>2237</v>
      </c>
      <c r="N361" s="57" t="s">
        <v>2256</v>
      </c>
      <c r="O361" s="57" t="s">
        <v>2266</v>
      </c>
      <c r="P361" s="57" t="s">
        <v>2284</v>
      </c>
      <c r="Q361" s="57" t="s">
        <v>1200</v>
      </c>
    </row>
    <row r="362" spans="1:17" x14ac:dyDescent="0.25">
      <c r="A362" s="55" t="s">
        <v>1379</v>
      </c>
      <c r="B362" s="56" t="s">
        <v>2199</v>
      </c>
      <c r="C362" s="57" t="s">
        <v>1304</v>
      </c>
      <c r="D362" s="56" t="s">
        <v>1380</v>
      </c>
      <c r="E362" s="57" t="s">
        <v>1375</v>
      </c>
      <c r="F362" s="56">
        <v>1</v>
      </c>
      <c r="G362" s="57" t="s">
        <v>1200</v>
      </c>
      <c r="H362" s="58">
        <v>46113</v>
      </c>
      <c r="I362" s="57" t="s">
        <v>514</v>
      </c>
      <c r="J362" s="56">
        <v>1</v>
      </c>
      <c r="K362" s="60">
        <v>46113</v>
      </c>
      <c r="L362" s="59">
        <v>888441000</v>
      </c>
      <c r="M362" s="57" t="s">
        <v>2237</v>
      </c>
      <c r="N362" s="57" t="s">
        <v>2256</v>
      </c>
      <c r="O362" s="57" t="s">
        <v>2266</v>
      </c>
      <c r="P362" s="57" t="s">
        <v>2284</v>
      </c>
      <c r="Q362" s="57" t="s">
        <v>1200</v>
      </c>
    </row>
    <row r="363" spans="1:17" x14ac:dyDescent="0.25">
      <c r="A363" s="55" t="s">
        <v>1887</v>
      </c>
      <c r="B363" s="56" t="s">
        <v>2199</v>
      </c>
      <c r="C363" s="57" t="s">
        <v>1304</v>
      </c>
      <c r="D363" s="56" t="s">
        <v>1888</v>
      </c>
      <c r="E363" s="57" t="s">
        <v>1199</v>
      </c>
      <c r="F363" s="56">
        <v>4</v>
      </c>
      <c r="G363" s="57" t="s">
        <v>1200</v>
      </c>
      <c r="H363" s="58">
        <v>46082</v>
      </c>
      <c r="I363" s="57" t="s">
        <v>514</v>
      </c>
      <c r="J363" s="56">
        <v>1</v>
      </c>
      <c r="K363" s="60">
        <v>46082</v>
      </c>
      <c r="L363" s="59">
        <v>493463899</v>
      </c>
      <c r="M363" s="57" t="s">
        <v>2237</v>
      </c>
      <c r="N363" s="57" t="s">
        <v>2256</v>
      </c>
      <c r="O363" s="57" t="s">
        <v>2266</v>
      </c>
      <c r="P363" s="57" t="s">
        <v>2284</v>
      </c>
      <c r="Q363" s="57" t="s">
        <v>1200</v>
      </c>
    </row>
    <row r="364" spans="1:17" x14ac:dyDescent="0.25">
      <c r="A364" s="55" t="s">
        <v>1887</v>
      </c>
      <c r="B364" s="56" t="s">
        <v>2199</v>
      </c>
      <c r="C364" s="57" t="s">
        <v>1304</v>
      </c>
      <c r="D364" s="56" t="s">
        <v>1888</v>
      </c>
      <c r="E364" s="57" t="s">
        <v>1199</v>
      </c>
      <c r="F364" s="56">
        <v>4</v>
      </c>
      <c r="G364" s="57" t="s">
        <v>1200</v>
      </c>
      <c r="H364" s="58">
        <v>46113</v>
      </c>
      <c r="I364" s="57" t="s">
        <v>514</v>
      </c>
      <c r="J364" s="56">
        <v>1</v>
      </c>
      <c r="K364" s="60">
        <v>46113</v>
      </c>
      <c r="L364" s="59">
        <v>424384098</v>
      </c>
      <c r="M364" s="57" t="s">
        <v>2237</v>
      </c>
      <c r="N364" s="57" t="s">
        <v>2256</v>
      </c>
      <c r="O364" s="57" t="s">
        <v>2266</v>
      </c>
      <c r="P364" s="57" t="s">
        <v>2284</v>
      </c>
      <c r="Q364" s="57" t="s">
        <v>1200</v>
      </c>
    </row>
    <row r="365" spans="1:17" x14ac:dyDescent="0.25">
      <c r="A365" s="55" t="s">
        <v>1887</v>
      </c>
      <c r="B365" s="56" t="s">
        <v>2199</v>
      </c>
      <c r="C365" s="57" t="s">
        <v>1304</v>
      </c>
      <c r="D365" s="56" t="s">
        <v>1888</v>
      </c>
      <c r="E365" s="57" t="s">
        <v>1199</v>
      </c>
      <c r="F365" s="56">
        <v>4</v>
      </c>
      <c r="G365" s="57" t="s">
        <v>1200</v>
      </c>
      <c r="H365" s="58">
        <v>46357</v>
      </c>
      <c r="I365" s="57" t="s">
        <v>514</v>
      </c>
      <c r="J365" s="56">
        <v>1</v>
      </c>
      <c r="K365" s="60">
        <v>46357</v>
      </c>
      <c r="L365" s="59">
        <v>1157231542</v>
      </c>
      <c r="M365" s="57" t="s">
        <v>2237</v>
      </c>
      <c r="N365" s="57" t="s">
        <v>2256</v>
      </c>
      <c r="O365" s="57" t="s">
        <v>2266</v>
      </c>
      <c r="P365" s="57" t="s">
        <v>2284</v>
      </c>
      <c r="Q365" s="57" t="s">
        <v>1200</v>
      </c>
    </row>
    <row r="366" spans="1:17" x14ac:dyDescent="0.25">
      <c r="A366" s="55" t="s">
        <v>1196</v>
      </c>
      <c r="B366" s="56" t="s">
        <v>2199</v>
      </c>
      <c r="C366" s="57" t="s">
        <v>594</v>
      </c>
      <c r="D366" s="56" t="s">
        <v>1197</v>
      </c>
      <c r="E366" s="57" t="s">
        <v>1199</v>
      </c>
      <c r="F366" s="56">
        <v>1</v>
      </c>
      <c r="G366" s="57" t="s">
        <v>1200</v>
      </c>
      <c r="H366" s="58">
        <v>46357</v>
      </c>
      <c r="I366" s="57" t="s">
        <v>514</v>
      </c>
      <c r="J366" s="56">
        <v>1</v>
      </c>
      <c r="K366" s="60">
        <v>46357</v>
      </c>
      <c r="L366" s="59">
        <v>3430002</v>
      </c>
      <c r="M366" s="57" t="s">
        <v>2237</v>
      </c>
      <c r="N366" s="57" t="s">
        <v>2256</v>
      </c>
      <c r="O366" s="57" t="s">
        <v>2266</v>
      </c>
      <c r="P366" s="57" t="s">
        <v>2284</v>
      </c>
      <c r="Q366" s="57" t="s">
        <v>1200</v>
      </c>
    </row>
    <row r="367" spans="1:17" x14ac:dyDescent="0.25">
      <c r="A367" s="55" t="s">
        <v>1872</v>
      </c>
      <c r="B367" s="56" t="s">
        <v>2199</v>
      </c>
      <c r="C367" s="57" t="s">
        <v>28</v>
      </c>
      <c r="D367" s="56" t="s">
        <v>1873</v>
      </c>
      <c r="E367" s="57" t="s">
        <v>359</v>
      </c>
      <c r="F367" s="56">
        <v>3</v>
      </c>
      <c r="G367" s="57" t="s">
        <v>1875</v>
      </c>
      <c r="H367" s="58">
        <v>46082</v>
      </c>
      <c r="I367" s="57" t="s">
        <v>1876</v>
      </c>
      <c r="J367" s="56">
        <v>1</v>
      </c>
      <c r="K367" s="60">
        <v>46082</v>
      </c>
      <c r="L367" s="59">
        <v>68000</v>
      </c>
      <c r="M367" s="57" t="s">
        <v>2230</v>
      </c>
      <c r="N367" s="57" t="s">
        <v>2227</v>
      </c>
      <c r="O367" s="57" t="s">
        <v>2261</v>
      </c>
      <c r="P367" s="57" t="s">
        <v>2284</v>
      </c>
      <c r="Q367" s="57" t="s">
        <v>1875</v>
      </c>
    </row>
    <row r="368" spans="1:17" x14ac:dyDescent="0.25">
      <c r="A368" s="55" t="s">
        <v>1872</v>
      </c>
      <c r="B368" s="56" t="s">
        <v>2199</v>
      </c>
      <c r="C368" s="57" t="s">
        <v>28</v>
      </c>
      <c r="D368" s="56" t="s">
        <v>1873</v>
      </c>
      <c r="E368" s="57" t="s">
        <v>1878</v>
      </c>
      <c r="F368" s="56">
        <v>3</v>
      </c>
      <c r="G368" s="57" t="s">
        <v>1875</v>
      </c>
      <c r="H368" s="58">
        <v>46082</v>
      </c>
      <c r="I368" s="57" t="s">
        <v>1876</v>
      </c>
      <c r="J368" s="56">
        <v>1</v>
      </c>
      <c r="K368" s="60">
        <v>46082</v>
      </c>
      <c r="L368" s="59">
        <v>305000</v>
      </c>
      <c r="M368" s="57" t="s">
        <v>2230</v>
      </c>
      <c r="N368" s="57" t="s">
        <v>2227</v>
      </c>
      <c r="O368" s="57" t="s">
        <v>2261</v>
      </c>
      <c r="P368" s="57" t="s">
        <v>2284</v>
      </c>
      <c r="Q368" s="57" t="s">
        <v>1875</v>
      </c>
    </row>
    <row r="369" spans="1:17" x14ac:dyDescent="0.25">
      <c r="A369" s="55" t="s">
        <v>1872</v>
      </c>
      <c r="B369" s="56" t="s">
        <v>2199</v>
      </c>
      <c r="C369" s="57" t="s">
        <v>28</v>
      </c>
      <c r="D369" s="56" t="s">
        <v>1873</v>
      </c>
      <c r="E369" s="57" t="s">
        <v>486</v>
      </c>
      <c r="F369" s="56">
        <v>3</v>
      </c>
      <c r="G369" s="57" t="s">
        <v>1875</v>
      </c>
      <c r="H369" s="58">
        <v>46082</v>
      </c>
      <c r="I369" s="57" t="s">
        <v>1876</v>
      </c>
      <c r="J369" s="56">
        <v>1</v>
      </c>
      <c r="K369" s="60">
        <v>46082</v>
      </c>
      <c r="L369" s="59">
        <v>132068</v>
      </c>
      <c r="M369" s="57" t="s">
        <v>2230</v>
      </c>
      <c r="N369" s="57" t="s">
        <v>2227</v>
      </c>
      <c r="O369" s="57" t="s">
        <v>2261</v>
      </c>
      <c r="P369" s="57" t="s">
        <v>2284</v>
      </c>
      <c r="Q369" s="57" t="s">
        <v>1875</v>
      </c>
    </row>
    <row r="370" spans="1:17" x14ac:dyDescent="0.25">
      <c r="A370" s="55" t="s">
        <v>1322</v>
      </c>
      <c r="B370" s="56" t="s">
        <v>2199</v>
      </c>
      <c r="C370" s="57" t="s">
        <v>1304</v>
      </c>
      <c r="D370" s="56" t="s">
        <v>1323</v>
      </c>
      <c r="E370" s="57" t="s">
        <v>807</v>
      </c>
      <c r="F370" s="56">
        <v>1</v>
      </c>
      <c r="G370" s="57" t="s">
        <v>1325</v>
      </c>
      <c r="H370" s="58">
        <v>46296</v>
      </c>
      <c r="I370" s="57" t="s">
        <v>1326</v>
      </c>
      <c r="J370" s="56">
        <v>1</v>
      </c>
      <c r="K370" s="60">
        <v>46296</v>
      </c>
      <c r="L370" s="59">
        <v>80000000</v>
      </c>
      <c r="M370" s="57" t="s">
        <v>2240</v>
      </c>
      <c r="N370" s="57" t="s">
        <v>2256</v>
      </c>
      <c r="O370" s="57" t="s">
        <v>2270</v>
      </c>
      <c r="P370" s="57" t="s">
        <v>2284</v>
      </c>
      <c r="Q370" s="57" t="s">
        <v>1325</v>
      </c>
    </row>
    <row r="371" spans="1:17" x14ac:dyDescent="0.25">
      <c r="A371" s="55" t="s">
        <v>1328</v>
      </c>
      <c r="B371" s="56" t="s">
        <v>2199</v>
      </c>
      <c r="C371" s="57" t="s">
        <v>1304</v>
      </c>
      <c r="D371" s="56" t="s">
        <v>1329</v>
      </c>
      <c r="E371" s="57" t="s">
        <v>807</v>
      </c>
      <c r="F371" s="56">
        <v>1</v>
      </c>
      <c r="G371" s="57" t="s">
        <v>1325</v>
      </c>
      <c r="H371" s="58">
        <v>46296</v>
      </c>
      <c r="I371" s="57" t="s">
        <v>1326</v>
      </c>
      <c r="J371" s="56">
        <v>1</v>
      </c>
      <c r="K371" s="60">
        <v>46296</v>
      </c>
      <c r="L371" s="59">
        <v>80000000</v>
      </c>
      <c r="M371" s="57" t="s">
        <v>2240</v>
      </c>
      <c r="N371" s="57" t="s">
        <v>2256</v>
      </c>
      <c r="O371" s="57" t="s">
        <v>2270</v>
      </c>
      <c r="P371" s="57" t="s">
        <v>2284</v>
      </c>
      <c r="Q371" s="57" t="s">
        <v>1325</v>
      </c>
    </row>
    <row r="372" spans="1:17" x14ac:dyDescent="0.25">
      <c r="A372" s="55" t="s">
        <v>426</v>
      </c>
      <c r="B372" s="56" t="s">
        <v>2196</v>
      </c>
      <c r="C372" s="57" t="s">
        <v>28</v>
      </c>
      <c r="D372" s="56" t="s">
        <v>428</v>
      </c>
      <c r="E372" s="57" t="s">
        <v>412</v>
      </c>
      <c r="F372" s="56">
        <v>1</v>
      </c>
      <c r="G372" s="57" t="s">
        <v>430</v>
      </c>
      <c r="H372" s="58">
        <v>45870</v>
      </c>
      <c r="I372" s="57" t="s">
        <v>431</v>
      </c>
      <c r="J372" s="56">
        <v>12</v>
      </c>
      <c r="K372" s="57" t="s">
        <v>318</v>
      </c>
      <c r="L372" s="59">
        <v>48583326</v>
      </c>
      <c r="M372" s="57" t="s">
        <v>2222</v>
      </c>
      <c r="N372" s="57" t="s">
        <v>2234</v>
      </c>
      <c r="O372" s="57" t="s">
        <v>2260</v>
      </c>
      <c r="P372" s="57" t="s">
        <v>2284</v>
      </c>
      <c r="Q372" s="57" t="s">
        <v>430</v>
      </c>
    </row>
    <row r="373" spans="1:17" x14ac:dyDescent="0.25">
      <c r="A373" s="55" t="s">
        <v>903</v>
      </c>
      <c r="B373" s="56" t="s">
        <v>2199</v>
      </c>
      <c r="C373" s="57" t="s">
        <v>28</v>
      </c>
      <c r="D373" s="56" t="s">
        <v>904</v>
      </c>
      <c r="E373" s="57" t="s">
        <v>359</v>
      </c>
      <c r="F373" s="56">
        <v>7</v>
      </c>
      <c r="G373" s="57" t="s">
        <v>906</v>
      </c>
      <c r="H373" s="58">
        <v>46054</v>
      </c>
      <c r="I373" s="57" t="s">
        <v>907</v>
      </c>
      <c r="J373" s="56">
        <v>1</v>
      </c>
      <c r="K373" s="60">
        <v>46054</v>
      </c>
      <c r="L373" s="59">
        <v>107000</v>
      </c>
      <c r="M373" s="57" t="s">
        <v>2241</v>
      </c>
      <c r="N373" s="57" t="s">
        <v>2227</v>
      </c>
      <c r="O373" s="57" t="s">
        <v>2271</v>
      </c>
      <c r="P373" s="57" t="s">
        <v>2284</v>
      </c>
      <c r="Q373" s="57" t="s">
        <v>906</v>
      </c>
    </row>
    <row r="374" spans="1:17" x14ac:dyDescent="0.25">
      <c r="A374" s="55" t="s">
        <v>903</v>
      </c>
      <c r="B374" s="56" t="s">
        <v>2199</v>
      </c>
      <c r="C374" s="57" t="s">
        <v>28</v>
      </c>
      <c r="D374" s="56" t="s">
        <v>904</v>
      </c>
      <c r="E374" s="57" t="s">
        <v>912</v>
      </c>
      <c r="F374" s="56">
        <v>7</v>
      </c>
      <c r="G374" s="57" t="s">
        <v>906</v>
      </c>
      <c r="H374" s="58">
        <v>46054</v>
      </c>
      <c r="I374" s="57" t="s">
        <v>907</v>
      </c>
      <c r="J374" s="56">
        <v>1</v>
      </c>
      <c r="K374" s="60">
        <v>46054</v>
      </c>
      <c r="L374" s="59">
        <v>15000</v>
      </c>
      <c r="M374" s="57" t="s">
        <v>2241</v>
      </c>
      <c r="N374" s="57" t="s">
        <v>2227</v>
      </c>
      <c r="O374" s="57" t="s">
        <v>2271</v>
      </c>
      <c r="P374" s="57" t="s">
        <v>2284</v>
      </c>
      <c r="Q374" s="57" t="s">
        <v>906</v>
      </c>
    </row>
    <row r="375" spans="1:17" x14ac:dyDescent="0.25">
      <c r="A375" s="55" t="s">
        <v>903</v>
      </c>
      <c r="B375" s="56" t="s">
        <v>2199</v>
      </c>
      <c r="C375" s="57" t="s">
        <v>28</v>
      </c>
      <c r="D375" s="56" t="s">
        <v>904</v>
      </c>
      <c r="E375" s="57" t="s">
        <v>914</v>
      </c>
      <c r="F375" s="56">
        <v>7</v>
      </c>
      <c r="G375" s="57" t="s">
        <v>906</v>
      </c>
      <c r="H375" s="58">
        <v>46054</v>
      </c>
      <c r="I375" s="57" t="s">
        <v>907</v>
      </c>
      <c r="J375" s="56">
        <v>1</v>
      </c>
      <c r="K375" s="60">
        <v>46054</v>
      </c>
      <c r="L375" s="59">
        <v>10000</v>
      </c>
      <c r="M375" s="57" t="s">
        <v>2241</v>
      </c>
      <c r="N375" s="57" t="s">
        <v>2227</v>
      </c>
      <c r="O375" s="57" t="s">
        <v>2271</v>
      </c>
      <c r="P375" s="57" t="s">
        <v>2284</v>
      </c>
      <c r="Q375" s="57" t="s">
        <v>906</v>
      </c>
    </row>
    <row r="376" spans="1:17" x14ac:dyDescent="0.25">
      <c r="A376" s="55" t="s">
        <v>903</v>
      </c>
      <c r="B376" s="56" t="s">
        <v>2199</v>
      </c>
      <c r="C376" s="57" t="s">
        <v>28</v>
      </c>
      <c r="D376" s="56" t="s">
        <v>904</v>
      </c>
      <c r="E376" s="57" t="s">
        <v>911</v>
      </c>
      <c r="F376" s="56">
        <v>7</v>
      </c>
      <c r="G376" s="57" t="s">
        <v>906</v>
      </c>
      <c r="H376" s="58">
        <v>46143</v>
      </c>
      <c r="I376" s="57" t="s">
        <v>907</v>
      </c>
      <c r="J376" s="56">
        <v>1</v>
      </c>
      <c r="K376" s="60">
        <v>46143</v>
      </c>
      <c r="L376" s="59">
        <v>25000</v>
      </c>
      <c r="M376" s="57" t="s">
        <v>2241</v>
      </c>
      <c r="N376" s="57" t="s">
        <v>2227</v>
      </c>
      <c r="O376" s="57" t="s">
        <v>2271</v>
      </c>
      <c r="P376" s="57" t="s">
        <v>2284</v>
      </c>
      <c r="Q376" s="57" t="s">
        <v>906</v>
      </c>
    </row>
    <row r="377" spans="1:17" x14ac:dyDescent="0.25">
      <c r="A377" s="55" t="s">
        <v>903</v>
      </c>
      <c r="B377" s="56" t="s">
        <v>2199</v>
      </c>
      <c r="C377" s="57" t="s">
        <v>28</v>
      </c>
      <c r="D377" s="56" t="s">
        <v>904</v>
      </c>
      <c r="E377" s="57" t="s">
        <v>913</v>
      </c>
      <c r="F377" s="56">
        <v>7</v>
      </c>
      <c r="G377" s="57" t="s">
        <v>906</v>
      </c>
      <c r="H377" s="58">
        <v>46327</v>
      </c>
      <c r="I377" s="57" t="s">
        <v>907</v>
      </c>
      <c r="J377" s="56">
        <v>1</v>
      </c>
      <c r="K377" s="60">
        <v>46327</v>
      </c>
      <c r="L377" s="59">
        <v>120000</v>
      </c>
      <c r="M377" s="57" t="s">
        <v>2241</v>
      </c>
      <c r="N377" s="57" t="s">
        <v>2227</v>
      </c>
      <c r="O377" s="57" t="s">
        <v>2271</v>
      </c>
      <c r="P377" s="57" t="s">
        <v>2284</v>
      </c>
      <c r="Q377" s="57" t="s">
        <v>906</v>
      </c>
    </row>
    <row r="378" spans="1:17" x14ac:dyDescent="0.25">
      <c r="A378" s="55" t="s">
        <v>903</v>
      </c>
      <c r="B378" s="56" t="s">
        <v>2199</v>
      </c>
      <c r="C378" s="57" t="s">
        <v>28</v>
      </c>
      <c r="D378" s="56" t="s">
        <v>904</v>
      </c>
      <c r="E378" s="57" t="s">
        <v>602</v>
      </c>
      <c r="F378" s="56">
        <v>7</v>
      </c>
      <c r="G378" s="57" t="s">
        <v>906</v>
      </c>
      <c r="H378" s="58">
        <v>46143</v>
      </c>
      <c r="I378" s="57" t="s">
        <v>907</v>
      </c>
      <c r="J378" s="56">
        <v>1</v>
      </c>
      <c r="K378" s="60">
        <v>46143</v>
      </c>
      <c r="L378" s="59">
        <v>1400001</v>
      </c>
      <c r="M378" s="57" t="s">
        <v>2241</v>
      </c>
      <c r="N378" s="57" t="s">
        <v>2227</v>
      </c>
      <c r="O378" s="57" t="s">
        <v>2271</v>
      </c>
      <c r="P378" s="57" t="s">
        <v>2284</v>
      </c>
      <c r="Q378" s="57" t="s">
        <v>906</v>
      </c>
    </row>
    <row r="379" spans="1:17" x14ac:dyDescent="0.25">
      <c r="A379" s="55" t="s">
        <v>903</v>
      </c>
      <c r="B379" s="56" t="s">
        <v>2199</v>
      </c>
      <c r="C379" s="57" t="s">
        <v>28</v>
      </c>
      <c r="D379" s="56" t="s">
        <v>904</v>
      </c>
      <c r="E379" s="57" t="s">
        <v>910</v>
      </c>
      <c r="F379" s="56">
        <v>7</v>
      </c>
      <c r="G379" s="57" t="s">
        <v>906</v>
      </c>
      <c r="H379" s="58">
        <v>46143</v>
      </c>
      <c r="I379" s="57" t="s">
        <v>907</v>
      </c>
      <c r="J379" s="56">
        <v>1</v>
      </c>
      <c r="K379" s="60">
        <v>46143</v>
      </c>
      <c r="L379" s="59">
        <v>45000000</v>
      </c>
      <c r="M379" s="57" t="s">
        <v>2241</v>
      </c>
      <c r="N379" s="57" t="s">
        <v>2227</v>
      </c>
      <c r="O379" s="57" t="s">
        <v>2271</v>
      </c>
      <c r="P379" s="57" t="s">
        <v>2284</v>
      </c>
      <c r="Q379" s="57" t="s">
        <v>906</v>
      </c>
    </row>
    <row r="380" spans="1:17" x14ac:dyDescent="0.25">
      <c r="A380" s="55" t="s">
        <v>136</v>
      </c>
      <c r="B380" s="56" t="s">
        <v>2196</v>
      </c>
      <c r="C380" s="57" t="s">
        <v>28</v>
      </c>
      <c r="D380" s="56" t="s">
        <v>138</v>
      </c>
      <c r="E380" s="57" t="s">
        <v>140</v>
      </c>
      <c r="F380" s="56">
        <v>1</v>
      </c>
      <c r="G380" s="57" t="s">
        <v>141</v>
      </c>
      <c r="H380" s="58">
        <v>45444</v>
      </c>
      <c r="I380" s="57" t="s">
        <v>142</v>
      </c>
      <c r="J380" s="56">
        <v>30</v>
      </c>
      <c r="K380" s="57" t="s">
        <v>108</v>
      </c>
      <c r="L380" s="59">
        <v>496977708</v>
      </c>
      <c r="M380" s="57" t="s">
        <v>2250</v>
      </c>
      <c r="N380" s="57" t="s">
        <v>2227</v>
      </c>
      <c r="O380" s="57" t="s">
        <v>2261</v>
      </c>
      <c r="P380" s="57" t="s">
        <v>2284</v>
      </c>
      <c r="Q380" s="57" t="s">
        <v>2208</v>
      </c>
    </row>
    <row r="381" spans="1:17" x14ac:dyDescent="0.25">
      <c r="A381" s="55" t="s">
        <v>1269</v>
      </c>
      <c r="B381" s="56" t="s">
        <v>2199</v>
      </c>
      <c r="C381" s="57" t="s">
        <v>28</v>
      </c>
      <c r="D381" s="56" t="s">
        <v>1270</v>
      </c>
      <c r="E381" s="57" t="s">
        <v>1277</v>
      </c>
      <c r="F381" s="56">
        <v>5</v>
      </c>
      <c r="G381" s="57" t="s">
        <v>1273</v>
      </c>
      <c r="H381" s="58">
        <v>46082</v>
      </c>
      <c r="I381" s="57" t="s">
        <v>514</v>
      </c>
      <c r="J381" s="56">
        <v>1</v>
      </c>
      <c r="K381" s="60">
        <v>46082</v>
      </c>
      <c r="L381" s="59">
        <v>164000</v>
      </c>
      <c r="M381" s="57" t="s">
        <v>2242</v>
      </c>
      <c r="N381" s="57" t="s">
        <v>2227</v>
      </c>
      <c r="O381" s="57" t="s">
        <v>2271</v>
      </c>
      <c r="P381" s="57" t="s">
        <v>2284</v>
      </c>
      <c r="Q381" s="57" t="s">
        <v>1273</v>
      </c>
    </row>
    <row r="382" spans="1:17" x14ac:dyDescent="0.25">
      <c r="A382" s="55" t="s">
        <v>1269</v>
      </c>
      <c r="B382" s="56" t="s">
        <v>2199</v>
      </c>
      <c r="C382" s="57" t="s">
        <v>28</v>
      </c>
      <c r="D382" s="56" t="s">
        <v>1270</v>
      </c>
      <c r="E382" s="57" t="s">
        <v>1272</v>
      </c>
      <c r="F382" s="56">
        <v>5</v>
      </c>
      <c r="G382" s="57" t="s">
        <v>1273</v>
      </c>
      <c r="H382" s="58">
        <v>46023</v>
      </c>
      <c r="I382" s="57" t="s">
        <v>514</v>
      </c>
      <c r="J382" s="56">
        <v>1</v>
      </c>
      <c r="K382" s="60">
        <v>46023</v>
      </c>
      <c r="L382" s="59">
        <v>198000</v>
      </c>
      <c r="M382" s="57" t="s">
        <v>2242</v>
      </c>
      <c r="N382" s="57" t="s">
        <v>2227</v>
      </c>
      <c r="O382" s="57" t="s">
        <v>2271</v>
      </c>
      <c r="P382" s="57" t="s">
        <v>2284</v>
      </c>
      <c r="Q382" s="57" t="s">
        <v>1273</v>
      </c>
    </row>
    <row r="383" spans="1:17" x14ac:dyDescent="0.25">
      <c r="A383" s="55" t="s">
        <v>1269</v>
      </c>
      <c r="B383" s="56" t="s">
        <v>2199</v>
      </c>
      <c r="C383" s="57" t="s">
        <v>28</v>
      </c>
      <c r="D383" s="56" t="s">
        <v>1270</v>
      </c>
      <c r="E383" s="57" t="s">
        <v>1279</v>
      </c>
      <c r="F383" s="56">
        <v>5</v>
      </c>
      <c r="G383" s="57" t="s">
        <v>1273</v>
      </c>
      <c r="H383" s="58">
        <v>46082</v>
      </c>
      <c r="I383" s="57" t="s">
        <v>514</v>
      </c>
      <c r="J383" s="56">
        <v>1</v>
      </c>
      <c r="K383" s="60">
        <v>46082</v>
      </c>
      <c r="L383" s="59">
        <v>75000</v>
      </c>
      <c r="M383" s="57" t="s">
        <v>2242</v>
      </c>
      <c r="N383" s="57" t="s">
        <v>2227</v>
      </c>
      <c r="O383" s="57" t="s">
        <v>2271</v>
      </c>
      <c r="P383" s="57" t="s">
        <v>2284</v>
      </c>
      <c r="Q383" s="57" t="s">
        <v>1273</v>
      </c>
    </row>
    <row r="384" spans="1:17" x14ac:dyDescent="0.25">
      <c r="A384" s="55" t="s">
        <v>1269</v>
      </c>
      <c r="B384" s="56" t="s">
        <v>2199</v>
      </c>
      <c r="C384" s="57" t="s">
        <v>28</v>
      </c>
      <c r="D384" s="56" t="s">
        <v>1270</v>
      </c>
      <c r="E384" s="57" t="s">
        <v>1276</v>
      </c>
      <c r="F384" s="56">
        <v>5</v>
      </c>
      <c r="G384" s="57" t="s">
        <v>1273</v>
      </c>
      <c r="H384" s="58">
        <v>46023</v>
      </c>
      <c r="I384" s="57" t="s">
        <v>514</v>
      </c>
      <c r="J384" s="56">
        <v>1</v>
      </c>
      <c r="K384" s="60">
        <v>46023</v>
      </c>
      <c r="L384" s="59">
        <v>106000</v>
      </c>
      <c r="M384" s="57" t="s">
        <v>2242</v>
      </c>
      <c r="N384" s="57" t="s">
        <v>2227</v>
      </c>
      <c r="O384" s="57" t="s">
        <v>2271</v>
      </c>
      <c r="P384" s="57" t="s">
        <v>2284</v>
      </c>
      <c r="Q384" s="57" t="s">
        <v>1273</v>
      </c>
    </row>
    <row r="385" spans="1:17" x14ac:dyDescent="0.25">
      <c r="A385" s="55" t="s">
        <v>1269</v>
      </c>
      <c r="B385" s="56" t="s">
        <v>2199</v>
      </c>
      <c r="C385" s="57" t="s">
        <v>28</v>
      </c>
      <c r="D385" s="56" t="s">
        <v>1270</v>
      </c>
      <c r="E385" s="57" t="s">
        <v>1278</v>
      </c>
      <c r="F385" s="56">
        <v>5</v>
      </c>
      <c r="G385" s="57" t="s">
        <v>1273</v>
      </c>
      <c r="H385" s="58">
        <v>46082</v>
      </c>
      <c r="I385" s="57" t="s">
        <v>514</v>
      </c>
      <c r="J385" s="56">
        <v>1</v>
      </c>
      <c r="K385" s="60">
        <v>46082</v>
      </c>
      <c r="L385" s="59">
        <v>60000</v>
      </c>
      <c r="M385" s="57" t="s">
        <v>2242</v>
      </c>
      <c r="N385" s="57" t="s">
        <v>2227</v>
      </c>
      <c r="O385" s="57" t="s">
        <v>2271</v>
      </c>
      <c r="P385" s="57" t="s">
        <v>2284</v>
      </c>
      <c r="Q385" s="57" t="s">
        <v>1273</v>
      </c>
    </row>
    <row r="386" spans="1:17" x14ac:dyDescent="0.25">
      <c r="A386" s="55" t="s">
        <v>706</v>
      </c>
      <c r="B386" s="56" t="s">
        <v>2199</v>
      </c>
      <c r="C386" s="57" t="s">
        <v>28</v>
      </c>
      <c r="D386" s="56" t="s">
        <v>707</v>
      </c>
      <c r="E386" s="57" t="s">
        <v>486</v>
      </c>
      <c r="F386" s="56">
        <v>1</v>
      </c>
      <c r="G386" s="57" t="s">
        <v>590</v>
      </c>
      <c r="H386" s="58">
        <v>46082</v>
      </c>
      <c r="I386" s="57" t="s">
        <v>591</v>
      </c>
      <c r="J386" s="56">
        <v>1</v>
      </c>
      <c r="K386" s="60">
        <v>46082</v>
      </c>
      <c r="L386" s="59">
        <v>190000</v>
      </c>
      <c r="M386" s="57" t="s">
        <v>2222</v>
      </c>
      <c r="N386" s="57" t="s">
        <v>2234</v>
      </c>
      <c r="O386" s="57" t="s">
        <v>2260</v>
      </c>
      <c r="P386" s="57" t="s">
        <v>2284</v>
      </c>
      <c r="Q386" s="57" t="s">
        <v>590</v>
      </c>
    </row>
    <row r="387" spans="1:17" x14ac:dyDescent="0.25">
      <c r="A387" s="55" t="s">
        <v>1407</v>
      </c>
      <c r="B387" s="56" t="s">
        <v>2199</v>
      </c>
      <c r="C387" s="57" t="s">
        <v>28</v>
      </c>
      <c r="D387" s="56" t="s">
        <v>1408</v>
      </c>
      <c r="E387" s="57" t="s">
        <v>1410</v>
      </c>
      <c r="F387" s="56">
        <v>1</v>
      </c>
      <c r="G387" s="57" t="s">
        <v>590</v>
      </c>
      <c r="H387" s="58">
        <v>46082</v>
      </c>
      <c r="I387" s="57" t="s">
        <v>591</v>
      </c>
      <c r="J387" s="56">
        <v>1</v>
      </c>
      <c r="K387" s="60">
        <v>46082</v>
      </c>
      <c r="L387" s="59">
        <v>80000</v>
      </c>
      <c r="M387" s="57" t="s">
        <v>2222</v>
      </c>
      <c r="N387" s="57" t="s">
        <v>2234</v>
      </c>
      <c r="O387" s="57" t="s">
        <v>2260</v>
      </c>
      <c r="P387" s="57" t="s">
        <v>2284</v>
      </c>
      <c r="Q387" s="57" t="s">
        <v>590</v>
      </c>
    </row>
    <row r="388" spans="1:17" x14ac:dyDescent="0.25">
      <c r="A388" s="55" t="s">
        <v>1492</v>
      </c>
      <c r="B388" s="56" t="s">
        <v>2199</v>
      </c>
      <c r="C388" s="57" t="s">
        <v>28</v>
      </c>
      <c r="D388" s="56" t="s">
        <v>1494</v>
      </c>
      <c r="E388" s="57" t="s">
        <v>1410</v>
      </c>
      <c r="F388" s="56">
        <v>1</v>
      </c>
      <c r="G388" s="57" t="s">
        <v>590</v>
      </c>
      <c r="H388" s="58">
        <v>46082</v>
      </c>
      <c r="I388" s="57" t="s">
        <v>591</v>
      </c>
      <c r="J388" s="56">
        <v>1</v>
      </c>
      <c r="K388" s="60">
        <v>46082</v>
      </c>
      <c r="L388" s="59">
        <v>100000</v>
      </c>
      <c r="M388" s="57" t="s">
        <v>2222</v>
      </c>
      <c r="N388" s="57" t="s">
        <v>2234</v>
      </c>
      <c r="O388" s="57" t="s">
        <v>2260</v>
      </c>
      <c r="P388" s="57" t="s">
        <v>2284</v>
      </c>
      <c r="Q388" s="57" t="s">
        <v>590</v>
      </c>
    </row>
    <row r="389" spans="1:17" x14ac:dyDescent="0.25">
      <c r="A389" s="55" t="s">
        <v>1509</v>
      </c>
      <c r="B389" s="56" t="s">
        <v>2199</v>
      </c>
      <c r="C389" s="57" t="s">
        <v>28</v>
      </c>
      <c r="D389" s="56" t="s">
        <v>1510</v>
      </c>
      <c r="E389" s="57" t="s">
        <v>1512</v>
      </c>
      <c r="F389" s="56">
        <v>2</v>
      </c>
      <c r="G389" s="57" t="s">
        <v>590</v>
      </c>
      <c r="H389" s="58">
        <v>46113</v>
      </c>
      <c r="I389" s="57" t="s">
        <v>591</v>
      </c>
      <c r="J389" s="56">
        <v>1</v>
      </c>
      <c r="K389" s="60">
        <v>46113</v>
      </c>
      <c r="L389" s="59">
        <v>76086</v>
      </c>
      <c r="M389" s="57" t="s">
        <v>2222</v>
      </c>
      <c r="N389" s="57" t="s">
        <v>2234</v>
      </c>
      <c r="O389" s="57" t="s">
        <v>2260</v>
      </c>
      <c r="P389" s="57" t="s">
        <v>2284</v>
      </c>
      <c r="Q389" s="57" t="s">
        <v>590</v>
      </c>
    </row>
    <row r="390" spans="1:17" x14ac:dyDescent="0.25">
      <c r="A390" s="55" t="s">
        <v>1509</v>
      </c>
      <c r="B390" s="56" t="s">
        <v>2199</v>
      </c>
      <c r="C390" s="57" t="s">
        <v>28</v>
      </c>
      <c r="D390" s="56" t="s">
        <v>1510</v>
      </c>
      <c r="E390" s="57" t="s">
        <v>1513</v>
      </c>
      <c r="F390" s="56">
        <v>2</v>
      </c>
      <c r="G390" s="57" t="s">
        <v>590</v>
      </c>
      <c r="H390" s="58">
        <v>46113</v>
      </c>
      <c r="I390" s="57" t="s">
        <v>591</v>
      </c>
      <c r="J390" s="56">
        <v>1</v>
      </c>
      <c r="K390" s="60">
        <v>46113</v>
      </c>
      <c r="L390" s="59">
        <v>224004</v>
      </c>
      <c r="M390" s="57" t="s">
        <v>2222</v>
      </c>
      <c r="N390" s="57" t="s">
        <v>2234</v>
      </c>
      <c r="O390" s="57" t="s">
        <v>2260</v>
      </c>
      <c r="P390" s="57" t="s">
        <v>2284</v>
      </c>
      <c r="Q390" s="57" t="s">
        <v>590</v>
      </c>
    </row>
    <row r="391" spans="1:17" x14ac:dyDescent="0.25">
      <c r="A391" s="55" t="s">
        <v>2067</v>
      </c>
      <c r="B391" s="56" t="s">
        <v>2199</v>
      </c>
      <c r="C391" s="57" t="s">
        <v>28</v>
      </c>
      <c r="D391" s="56" t="s">
        <v>2068</v>
      </c>
      <c r="E391" s="57" t="s">
        <v>486</v>
      </c>
      <c r="F391" s="56">
        <v>1</v>
      </c>
      <c r="G391" s="57" t="s">
        <v>590</v>
      </c>
      <c r="H391" s="58">
        <v>46082</v>
      </c>
      <c r="I391" s="57" t="s">
        <v>591</v>
      </c>
      <c r="J391" s="56">
        <v>1</v>
      </c>
      <c r="K391" s="60">
        <v>46082</v>
      </c>
      <c r="L391" s="59">
        <v>490280</v>
      </c>
      <c r="M391" s="57" t="s">
        <v>2222</v>
      </c>
      <c r="N391" s="57" t="s">
        <v>2234</v>
      </c>
      <c r="O391" s="57" t="s">
        <v>2260</v>
      </c>
      <c r="P391" s="57" t="s">
        <v>2284</v>
      </c>
      <c r="Q391" s="57" t="s">
        <v>590</v>
      </c>
    </row>
    <row r="392" spans="1:17" x14ac:dyDescent="0.25">
      <c r="A392" s="55" t="s">
        <v>2097</v>
      </c>
      <c r="B392" s="56" t="s">
        <v>2199</v>
      </c>
      <c r="C392" s="57" t="s">
        <v>28</v>
      </c>
      <c r="D392" s="56" t="s">
        <v>2098</v>
      </c>
      <c r="E392" s="57" t="s">
        <v>2101</v>
      </c>
      <c r="F392" s="56">
        <v>3</v>
      </c>
      <c r="G392" s="57" t="s">
        <v>590</v>
      </c>
      <c r="H392" s="58">
        <v>46113</v>
      </c>
      <c r="I392" s="57" t="s">
        <v>591</v>
      </c>
      <c r="J392" s="56">
        <v>1</v>
      </c>
      <c r="K392" s="60">
        <v>46143</v>
      </c>
      <c r="L392" s="59">
        <v>1559097</v>
      </c>
      <c r="M392" s="57" t="s">
        <v>2222</v>
      </c>
      <c r="N392" s="57" t="s">
        <v>2234</v>
      </c>
      <c r="O392" s="57" t="s">
        <v>2260</v>
      </c>
      <c r="P392" s="57" t="s">
        <v>2284</v>
      </c>
      <c r="Q392" s="57" t="s">
        <v>590</v>
      </c>
    </row>
    <row r="393" spans="1:17" x14ac:dyDescent="0.25">
      <c r="A393" s="55" t="s">
        <v>2097</v>
      </c>
      <c r="B393" s="56" t="s">
        <v>2199</v>
      </c>
      <c r="C393" s="57" t="s">
        <v>28</v>
      </c>
      <c r="D393" s="56" t="s">
        <v>2098</v>
      </c>
      <c r="E393" s="57" t="s">
        <v>1940</v>
      </c>
      <c r="F393" s="56">
        <v>3</v>
      </c>
      <c r="G393" s="57" t="s">
        <v>590</v>
      </c>
      <c r="H393" s="58">
        <v>46113</v>
      </c>
      <c r="I393" s="57" t="s">
        <v>591</v>
      </c>
      <c r="J393" s="56">
        <v>1</v>
      </c>
      <c r="K393" s="60">
        <v>46143</v>
      </c>
      <c r="L393" s="59">
        <v>150000</v>
      </c>
      <c r="M393" s="57" t="s">
        <v>2222</v>
      </c>
      <c r="N393" s="57" t="s">
        <v>2234</v>
      </c>
      <c r="O393" s="57" t="s">
        <v>2260</v>
      </c>
      <c r="P393" s="57" t="s">
        <v>2284</v>
      </c>
      <c r="Q393" s="57" t="s">
        <v>590</v>
      </c>
    </row>
    <row r="394" spans="1:17" x14ac:dyDescent="0.25">
      <c r="A394" s="55" t="s">
        <v>2097</v>
      </c>
      <c r="B394" s="56" t="s">
        <v>2199</v>
      </c>
      <c r="C394" s="57" t="s">
        <v>28</v>
      </c>
      <c r="D394" s="56" t="s">
        <v>2098</v>
      </c>
      <c r="E394" s="57" t="s">
        <v>2055</v>
      </c>
      <c r="F394" s="56">
        <v>3</v>
      </c>
      <c r="G394" s="57" t="s">
        <v>590</v>
      </c>
      <c r="H394" s="58">
        <v>46082</v>
      </c>
      <c r="I394" s="57" t="s">
        <v>591</v>
      </c>
      <c r="J394" s="56">
        <v>1</v>
      </c>
      <c r="K394" s="60">
        <v>46113</v>
      </c>
      <c r="L394" s="59">
        <v>464009</v>
      </c>
      <c r="M394" s="57" t="s">
        <v>2222</v>
      </c>
      <c r="N394" s="57" t="s">
        <v>2234</v>
      </c>
      <c r="O394" s="57" t="s">
        <v>2260</v>
      </c>
      <c r="P394" s="57" t="s">
        <v>2284</v>
      </c>
      <c r="Q394" s="57" t="s">
        <v>590</v>
      </c>
    </row>
    <row r="395" spans="1:17" x14ac:dyDescent="0.25">
      <c r="A395" s="55" t="s">
        <v>584</v>
      </c>
      <c r="B395" s="56" t="s">
        <v>2199</v>
      </c>
      <c r="C395" s="57" t="s">
        <v>374</v>
      </c>
      <c r="D395" s="56" t="s">
        <v>586</v>
      </c>
      <c r="E395" s="57" t="s">
        <v>588</v>
      </c>
      <c r="F395" s="56">
        <v>1</v>
      </c>
      <c r="G395" s="57" t="s">
        <v>590</v>
      </c>
      <c r="H395" s="58">
        <v>46054</v>
      </c>
      <c r="I395" s="57" t="s">
        <v>591</v>
      </c>
      <c r="J395" s="56">
        <v>10</v>
      </c>
      <c r="K395" s="57" t="s">
        <v>589</v>
      </c>
      <c r="L395" s="59">
        <v>56320000</v>
      </c>
      <c r="M395" s="57" t="s">
        <v>2222</v>
      </c>
      <c r="N395" s="57" t="s">
        <v>2234</v>
      </c>
      <c r="O395" s="57" t="s">
        <v>2260</v>
      </c>
      <c r="P395" s="57" t="s">
        <v>2284</v>
      </c>
      <c r="Q395" s="57" t="s">
        <v>590</v>
      </c>
    </row>
    <row r="396" spans="1:17" x14ac:dyDescent="0.25">
      <c r="A396" s="55" t="s">
        <v>614</v>
      </c>
      <c r="B396" s="56" t="s">
        <v>2199</v>
      </c>
      <c r="C396" s="57" t="s">
        <v>374</v>
      </c>
      <c r="D396" s="56" t="s">
        <v>616</v>
      </c>
      <c r="E396" s="57" t="s">
        <v>618</v>
      </c>
      <c r="F396" s="56">
        <v>1</v>
      </c>
      <c r="G396" s="57" t="s">
        <v>590</v>
      </c>
      <c r="H396" s="58">
        <v>46082</v>
      </c>
      <c r="I396" s="57" t="s">
        <v>591</v>
      </c>
      <c r="J396" s="56">
        <v>1</v>
      </c>
      <c r="K396" s="60">
        <v>46082</v>
      </c>
      <c r="L396" s="59">
        <v>410000</v>
      </c>
      <c r="M396" s="57" t="s">
        <v>2222</v>
      </c>
      <c r="N396" s="57" t="s">
        <v>2234</v>
      </c>
      <c r="O396" s="57" t="s">
        <v>2260</v>
      </c>
      <c r="P396" s="57" t="s">
        <v>2284</v>
      </c>
      <c r="Q396" s="57" t="s">
        <v>590</v>
      </c>
    </row>
    <row r="397" spans="1:17" x14ac:dyDescent="0.25">
      <c r="A397" s="55" t="s">
        <v>709</v>
      </c>
      <c r="B397" s="56" t="s">
        <v>2199</v>
      </c>
      <c r="C397" s="57" t="s">
        <v>374</v>
      </c>
      <c r="D397" s="56" t="s">
        <v>710</v>
      </c>
      <c r="E397" s="57" t="s">
        <v>712</v>
      </c>
      <c r="F397" s="56">
        <v>1</v>
      </c>
      <c r="G397" s="57" t="s">
        <v>590</v>
      </c>
      <c r="H397" s="58">
        <v>46082</v>
      </c>
      <c r="I397" s="57" t="s">
        <v>591</v>
      </c>
      <c r="J397" s="56">
        <v>1</v>
      </c>
      <c r="K397" s="60">
        <v>46082</v>
      </c>
      <c r="L397" s="59">
        <v>150000</v>
      </c>
      <c r="M397" s="57" t="s">
        <v>2222</v>
      </c>
      <c r="N397" s="57" t="s">
        <v>2234</v>
      </c>
      <c r="O397" s="57" t="s">
        <v>2260</v>
      </c>
      <c r="P397" s="57" t="s">
        <v>2284</v>
      </c>
      <c r="Q397" s="57" t="s">
        <v>590</v>
      </c>
    </row>
    <row r="398" spans="1:17" x14ac:dyDescent="0.25">
      <c r="A398" s="55" t="s">
        <v>595</v>
      </c>
      <c r="B398" s="56" t="s">
        <v>2199</v>
      </c>
      <c r="C398" s="57" t="s">
        <v>594</v>
      </c>
      <c r="D398" s="56" t="s">
        <v>597</v>
      </c>
      <c r="E398" s="57" t="s">
        <v>600</v>
      </c>
      <c r="F398" s="56">
        <v>6</v>
      </c>
      <c r="G398" s="57" t="s">
        <v>590</v>
      </c>
      <c r="H398" s="58">
        <v>46143</v>
      </c>
      <c r="I398" s="57" t="s">
        <v>591</v>
      </c>
      <c r="J398" s="56">
        <v>1</v>
      </c>
      <c r="K398" s="60">
        <v>46143</v>
      </c>
      <c r="L398" s="59">
        <v>96000000</v>
      </c>
      <c r="M398" s="57" t="s">
        <v>2222</v>
      </c>
      <c r="N398" s="57" t="s">
        <v>2234</v>
      </c>
      <c r="O398" s="57" t="s">
        <v>2260</v>
      </c>
      <c r="P398" s="57" t="s">
        <v>2284</v>
      </c>
      <c r="Q398" s="57" t="s">
        <v>590</v>
      </c>
    </row>
    <row r="399" spans="1:17" x14ac:dyDescent="0.25">
      <c r="A399" s="55" t="s">
        <v>595</v>
      </c>
      <c r="B399" s="56" t="s">
        <v>2199</v>
      </c>
      <c r="C399" s="57" t="s">
        <v>594</v>
      </c>
      <c r="D399" s="56" t="s">
        <v>597</v>
      </c>
      <c r="E399" s="57" t="s">
        <v>601</v>
      </c>
      <c r="F399" s="56">
        <v>6</v>
      </c>
      <c r="G399" s="57" t="s">
        <v>590</v>
      </c>
      <c r="H399" s="58">
        <v>46082</v>
      </c>
      <c r="I399" s="57" t="s">
        <v>591</v>
      </c>
      <c r="J399" s="56">
        <v>1</v>
      </c>
      <c r="K399" s="60">
        <v>46082</v>
      </c>
      <c r="L399" s="59">
        <v>24115000</v>
      </c>
      <c r="M399" s="57" t="s">
        <v>2222</v>
      </c>
      <c r="N399" s="57" t="s">
        <v>2234</v>
      </c>
      <c r="O399" s="57" t="s">
        <v>2260</v>
      </c>
      <c r="P399" s="57" t="s">
        <v>2284</v>
      </c>
      <c r="Q399" s="57" t="s">
        <v>590</v>
      </c>
    </row>
    <row r="400" spans="1:17" x14ac:dyDescent="0.25">
      <c r="A400" s="55" t="s">
        <v>595</v>
      </c>
      <c r="B400" s="56" t="s">
        <v>2199</v>
      </c>
      <c r="C400" s="57" t="s">
        <v>594</v>
      </c>
      <c r="D400" s="56" t="s">
        <v>597</v>
      </c>
      <c r="E400" s="57" t="s">
        <v>604</v>
      </c>
      <c r="F400" s="56">
        <v>6</v>
      </c>
      <c r="G400" s="57" t="s">
        <v>590</v>
      </c>
      <c r="H400" s="58">
        <v>46143</v>
      </c>
      <c r="I400" s="57" t="s">
        <v>591</v>
      </c>
      <c r="J400" s="56">
        <v>1</v>
      </c>
      <c r="K400" s="60">
        <v>46143</v>
      </c>
      <c r="L400" s="59">
        <v>122000004</v>
      </c>
      <c r="M400" s="57" t="s">
        <v>2222</v>
      </c>
      <c r="N400" s="57" t="s">
        <v>2234</v>
      </c>
      <c r="O400" s="57" t="s">
        <v>2260</v>
      </c>
      <c r="P400" s="57" t="s">
        <v>2284</v>
      </c>
      <c r="Q400" s="57" t="s">
        <v>590</v>
      </c>
    </row>
    <row r="401" spans="1:17" x14ac:dyDescent="0.25">
      <c r="A401" s="55" t="s">
        <v>595</v>
      </c>
      <c r="B401" s="56" t="s">
        <v>2199</v>
      </c>
      <c r="C401" s="57" t="s">
        <v>594</v>
      </c>
      <c r="D401" s="56" t="s">
        <v>597</v>
      </c>
      <c r="E401" s="57" t="s">
        <v>603</v>
      </c>
      <c r="F401" s="56">
        <v>6</v>
      </c>
      <c r="G401" s="57" t="s">
        <v>590</v>
      </c>
      <c r="H401" s="58">
        <v>46143</v>
      </c>
      <c r="I401" s="57" t="s">
        <v>591</v>
      </c>
      <c r="J401" s="56">
        <v>1</v>
      </c>
      <c r="K401" s="60">
        <v>46143</v>
      </c>
      <c r="L401" s="59">
        <v>5000002</v>
      </c>
      <c r="M401" s="57" t="s">
        <v>2222</v>
      </c>
      <c r="N401" s="57" t="s">
        <v>2234</v>
      </c>
      <c r="O401" s="57" t="s">
        <v>2260</v>
      </c>
      <c r="P401" s="57" t="s">
        <v>2284</v>
      </c>
      <c r="Q401" s="57" t="s">
        <v>590</v>
      </c>
    </row>
    <row r="402" spans="1:17" x14ac:dyDescent="0.25">
      <c r="A402" s="55" t="s">
        <v>595</v>
      </c>
      <c r="B402" s="56" t="s">
        <v>2199</v>
      </c>
      <c r="C402" s="57" t="s">
        <v>594</v>
      </c>
      <c r="D402" s="56" t="s">
        <v>597</v>
      </c>
      <c r="E402" s="57" t="s">
        <v>602</v>
      </c>
      <c r="F402" s="56">
        <v>6</v>
      </c>
      <c r="G402" s="57" t="s">
        <v>590</v>
      </c>
      <c r="H402" s="58">
        <v>46266</v>
      </c>
      <c r="I402" s="57" t="s">
        <v>591</v>
      </c>
      <c r="J402" s="56">
        <v>1</v>
      </c>
      <c r="K402" s="60">
        <v>46266</v>
      </c>
      <c r="L402" s="59">
        <v>3500000</v>
      </c>
      <c r="M402" s="57" t="s">
        <v>2222</v>
      </c>
      <c r="N402" s="57" t="s">
        <v>2234</v>
      </c>
      <c r="O402" s="57" t="s">
        <v>2260</v>
      </c>
      <c r="P402" s="57" t="s">
        <v>2284</v>
      </c>
      <c r="Q402" s="57" t="s">
        <v>590</v>
      </c>
    </row>
    <row r="403" spans="1:17" x14ac:dyDescent="0.25">
      <c r="A403" s="55" t="s">
        <v>595</v>
      </c>
      <c r="B403" s="56" t="s">
        <v>2199</v>
      </c>
      <c r="C403" s="57" t="s">
        <v>594</v>
      </c>
      <c r="D403" s="56" t="s">
        <v>597</v>
      </c>
      <c r="E403" s="57" t="s">
        <v>599</v>
      </c>
      <c r="F403" s="56">
        <v>6</v>
      </c>
      <c r="G403" s="57" t="s">
        <v>590</v>
      </c>
      <c r="H403" s="58">
        <v>46143</v>
      </c>
      <c r="I403" s="57" t="s">
        <v>591</v>
      </c>
      <c r="J403" s="56">
        <v>1</v>
      </c>
      <c r="K403" s="60">
        <v>46143</v>
      </c>
      <c r="L403" s="59">
        <v>28000000</v>
      </c>
      <c r="M403" s="57" t="s">
        <v>2222</v>
      </c>
      <c r="N403" s="57" t="s">
        <v>2234</v>
      </c>
      <c r="O403" s="57" t="s">
        <v>2260</v>
      </c>
      <c r="P403" s="57" t="s">
        <v>2284</v>
      </c>
      <c r="Q403" s="57" t="s">
        <v>590</v>
      </c>
    </row>
    <row r="404" spans="1:17" x14ac:dyDescent="0.25">
      <c r="A404" s="55" t="s">
        <v>103</v>
      </c>
      <c r="B404" s="56" t="s">
        <v>2196</v>
      </c>
      <c r="C404" s="57" t="s">
        <v>28</v>
      </c>
      <c r="D404" s="56" t="s">
        <v>105</v>
      </c>
      <c r="E404" s="57" t="s">
        <v>107</v>
      </c>
      <c r="F404" s="56">
        <v>1</v>
      </c>
      <c r="G404" s="57" t="s">
        <v>109</v>
      </c>
      <c r="H404" s="58">
        <v>45444</v>
      </c>
      <c r="I404" s="57" t="s">
        <v>110</v>
      </c>
      <c r="J404" s="56">
        <v>30</v>
      </c>
      <c r="K404" s="57" t="s">
        <v>108</v>
      </c>
      <c r="L404" s="59">
        <v>18060000</v>
      </c>
      <c r="M404" s="57" t="s">
        <v>2250</v>
      </c>
      <c r="N404" s="57" t="s">
        <v>2227</v>
      </c>
      <c r="O404" s="57" t="s">
        <v>2261</v>
      </c>
      <c r="P404" s="57" t="s">
        <v>2284</v>
      </c>
      <c r="Q404" s="57" t="s">
        <v>2207</v>
      </c>
    </row>
    <row r="405" spans="1:17" x14ac:dyDescent="0.25">
      <c r="A405" s="55" t="s">
        <v>128</v>
      </c>
      <c r="B405" s="56" t="s">
        <v>2196</v>
      </c>
      <c r="C405" s="57" t="s">
        <v>28</v>
      </c>
      <c r="D405" s="56" t="s">
        <v>130</v>
      </c>
      <c r="E405" s="57" t="s">
        <v>132</v>
      </c>
      <c r="F405" s="56">
        <v>1</v>
      </c>
      <c r="G405" s="57" t="s">
        <v>109</v>
      </c>
      <c r="H405" s="58">
        <v>45505</v>
      </c>
      <c r="I405" s="57" t="s">
        <v>133</v>
      </c>
      <c r="J405" s="56">
        <v>24</v>
      </c>
      <c r="K405" s="57" t="s">
        <v>73</v>
      </c>
      <c r="L405" s="59">
        <v>397359215</v>
      </c>
      <c r="M405" s="57" t="s">
        <v>2250</v>
      </c>
      <c r="N405" s="57" t="s">
        <v>2227</v>
      </c>
      <c r="O405" s="57" t="s">
        <v>2261</v>
      </c>
      <c r="P405" s="57" t="s">
        <v>2284</v>
      </c>
      <c r="Q405" s="57" t="s">
        <v>2207</v>
      </c>
    </row>
    <row r="406" spans="1:17" x14ac:dyDescent="0.25">
      <c r="A406" s="55" t="s">
        <v>1403</v>
      </c>
      <c r="B406" s="56" t="s">
        <v>2199</v>
      </c>
      <c r="C406" s="57" t="s">
        <v>28</v>
      </c>
      <c r="D406" s="56" t="s">
        <v>1404</v>
      </c>
      <c r="E406" s="57" t="s">
        <v>359</v>
      </c>
      <c r="F406" s="56">
        <v>3</v>
      </c>
      <c r="G406" s="57" t="s">
        <v>1035</v>
      </c>
      <c r="H406" s="58">
        <v>46327</v>
      </c>
      <c r="I406" s="57" t="s">
        <v>1036</v>
      </c>
      <c r="J406" s="56">
        <v>1</v>
      </c>
      <c r="K406" s="60">
        <v>46327</v>
      </c>
      <c r="L406" s="59">
        <v>153624</v>
      </c>
      <c r="M406" s="57" t="s">
        <v>2230</v>
      </c>
      <c r="N406" s="57" t="s">
        <v>2227</v>
      </c>
      <c r="O406" s="57" t="s">
        <v>2261</v>
      </c>
      <c r="P406" s="57" t="s">
        <v>2284</v>
      </c>
      <c r="Q406" s="57" t="s">
        <v>1035</v>
      </c>
    </row>
    <row r="407" spans="1:17" x14ac:dyDescent="0.25">
      <c r="A407" s="55" t="s">
        <v>1403</v>
      </c>
      <c r="B407" s="56" t="s">
        <v>2199</v>
      </c>
      <c r="C407" s="57" t="s">
        <v>28</v>
      </c>
      <c r="D407" s="56" t="s">
        <v>1404</v>
      </c>
      <c r="E407" s="57" t="s">
        <v>855</v>
      </c>
      <c r="F407" s="56">
        <v>3</v>
      </c>
      <c r="G407" s="57" t="s">
        <v>1035</v>
      </c>
      <c r="H407" s="58">
        <v>46327</v>
      </c>
      <c r="I407" s="57" t="s">
        <v>1036</v>
      </c>
      <c r="J407" s="56">
        <v>1</v>
      </c>
      <c r="K407" s="60">
        <v>46327</v>
      </c>
      <c r="L407" s="59">
        <v>17000</v>
      </c>
      <c r="M407" s="57" t="s">
        <v>2230</v>
      </c>
      <c r="N407" s="57" t="s">
        <v>2227</v>
      </c>
      <c r="O407" s="57" t="s">
        <v>2261</v>
      </c>
      <c r="P407" s="57" t="s">
        <v>2284</v>
      </c>
      <c r="Q407" s="57" t="s">
        <v>1035</v>
      </c>
    </row>
    <row r="408" spans="1:17" x14ac:dyDescent="0.25">
      <c r="A408" s="55" t="s">
        <v>1403</v>
      </c>
      <c r="B408" s="56" t="s">
        <v>2199</v>
      </c>
      <c r="C408" s="57" t="s">
        <v>28</v>
      </c>
      <c r="D408" s="56" t="s">
        <v>1404</v>
      </c>
      <c r="E408" s="57" t="s">
        <v>1406</v>
      </c>
      <c r="F408" s="56">
        <v>3</v>
      </c>
      <c r="G408" s="57" t="s">
        <v>1035</v>
      </c>
      <c r="H408" s="58">
        <v>46327</v>
      </c>
      <c r="I408" s="57" t="s">
        <v>1036</v>
      </c>
      <c r="J408" s="56">
        <v>1</v>
      </c>
      <c r="K408" s="60">
        <v>46327</v>
      </c>
      <c r="L408" s="59">
        <v>3000</v>
      </c>
      <c r="M408" s="57" t="s">
        <v>2230</v>
      </c>
      <c r="N408" s="57" t="s">
        <v>2227</v>
      </c>
      <c r="O408" s="57" t="s">
        <v>2261</v>
      </c>
      <c r="P408" s="57" t="s">
        <v>2284</v>
      </c>
      <c r="Q408" s="57" t="s">
        <v>1035</v>
      </c>
    </row>
    <row r="409" spans="1:17" x14ac:dyDescent="0.25">
      <c r="A409" s="55" t="s">
        <v>1563</v>
      </c>
      <c r="B409" s="56" t="s">
        <v>2199</v>
      </c>
      <c r="C409" s="57" t="s">
        <v>28</v>
      </c>
      <c r="D409" s="56" t="s">
        <v>1404</v>
      </c>
      <c r="E409" s="57" t="s">
        <v>815</v>
      </c>
      <c r="F409" s="56">
        <v>2</v>
      </c>
      <c r="G409" s="57" t="s">
        <v>1035</v>
      </c>
      <c r="H409" s="58">
        <v>46327</v>
      </c>
      <c r="I409" s="57" t="s">
        <v>1036</v>
      </c>
      <c r="J409" s="56">
        <v>1</v>
      </c>
      <c r="K409" s="60">
        <v>46327</v>
      </c>
      <c r="L409" s="59">
        <v>60000</v>
      </c>
      <c r="M409" s="57" t="s">
        <v>2230</v>
      </c>
      <c r="N409" s="57" t="s">
        <v>2227</v>
      </c>
      <c r="O409" s="57" t="s">
        <v>2261</v>
      </c>
      <c r="P409" s="57" t="s">
        <v>2284</v>
      </c>
      <c r="Q409" s="57" t="s">
        <v>1035</v>
      </c>
    </row>
    <row r="410" spans="1:17" x14ac:dyDescent="0.25">
      <c r="A410" s="55" t="s">
        <v>1563</v>
      </c>
      <c r="B410" s="56" t="s">
        <v>2199</v>
      </c>
      <c r="C410" s="57" t="s">
        <v>28</v>
      </c>
      <c r="D410" s="56" t="s">
        <v>1404</v>
      </c>
      <c r="E410" s="57" t="s">
        <v>957</v>
      </c>
      <c r="F410" s="56">
        <v>2</v>
      </c>
      <c r="G410" s="57" t="s">
        <v>1035</v>
      </c>
      <c r="H410" s="58">
        <v>46327</v>
      </c>
      <c r="I410" s="57" t="s">
        <v>1036</v>
      </c>
      <c r="J410" s="56">
        <v>1</v>
      </c>
      <c r="K410" s="60">
        <v>46327</v>
      </c>
      <c r="L410" s="59">
        <v>400000</v>
      </c>
      <c r="M410" s="57" t="s">
        <v>2230</v>
      </c>
      <c r="N410" s="57" t="s">
        <v>2227</v>
      </c>
      <c r="O410" s="57" t="s">
        <v>2261</v>
      </c>
      <c r="P410" s="57" t="s">
        <v>2284</v>
      </c>
      <c r="Q410" s="57" t="s">
        <v>1035</v>
      </c>
    </row>
    <row r="411" spans="1:17" x14ac:dyDescent="0.25">
      <c r="A411" s="55" t="s">
        <v>1030</v>
      </c>
      <c r="B411" s="56" t="s">
        <v>2199</v>
      </c>
      <c r="C411" s="57" t="s">
        <v>374</v>
      </c>
      <c r="D411" s="56" t="s">
        <v>1032</v>
      </c>
      <c r="E411" s="57" t="s">
        <v>359</v>
      </c>
      <c r="F411" s="56">
        <v>2</v>
      </c>
      <c r="G411" s="57" t="s">
        <v>1035</v>
      </c>
      <c r="H411" s="58">
        <v>46082</v>
      </c>
      <c r="I411" s="57" t="s">
        <v>1036</v>
      </c>
      <c r="J411" s="56">
        <v>1</v>
      </c>
      <c r="K411" s="60">
        <v>46082</v>
      </c>
      <c r="L411" s="59">
        <v>9200000</v>
      </c>
      <c r="M411" s="57" t="s">
        <v>2230</v>
      </c>
      <c r="N411" s="57" t="s">
        <v>2227</v>
      </c>
      <c r="O411" s="57" t="s">
        <v>2261</v>
      </c>
      <c r="P411" s="57" t="s">
        <v>2284</v>
      </c>
      <c r="Q411" s="57" t="s">
        <v>1035</v>
      </c>
    </row>
    <row r="412" spans="1:17" x14ac:dyDescent="0.25">
      <c r="A412" s="55" t="s">
        <v>1030</v>
      </c>
      <c r="B412" s="56" t="s">
        <v>2199</v>
      </c>
      <c r="C412" s="57" t="s">
        <v>374</v>
      </c>
      <c r="D412" s="56" t="s">
        <v>1032</v>
      </c>
      <c r="E412" s="57" t="s">
        <v>1034</v>
      </c>
      <c r="F412" s="56">
        <v>2</v>
      </c>
      <c r="G412" s="57" t="s">
        <v>1035</v>
      </c>
      <c r="H412" s="58">
        <v>46082</v>
      </c>
      <c r="I412" s="57" t="s">
        <v>1036</v>
      </c>
      <c r="J412" s="56">
        <v>1</v>
      </c>
      <c r="K412" s="60">
        <v>46082</v>
      </c>
      <c r="L412" s="59">
        <v>21200000</v>
      </c>
      <c r="M412" s="57" t="s">
        <v>2230</v>
      </c>
      <c r="N412" s="57" t="s">
        <v>2227</v>
      </c>
      <c r="O412" s="57" t="s">
        <v>2261</v>
      </c>
      <c r="P412" s="57" t="s">
        <v>2284</v>
      </c>
      <c r="Q412" s="57" t="s">
        <v>1035</v>
      </c>
    </row>
    <row r="413" spans="1:17" x14ac:dyDescent="0.25">
      <c r="A413" s="55" t="s">
        <v>1156</v>
      </c>
      <c r="B413" s="56" t="s">
        <v>2199</v>
      </c>
      <c r="C413" s="57" t="s">
        <v>28</v>
      </c>
      <c r="D413" s="56" t="s">
        <v>1158</v>
      </c>
      <c r="E413" s="57" t="s">
        <v>1167</v>
      </c>
      <c r="F413" s="56">
        <v>5</v>
      </c>
      <c r="G413" s="57" t="s">
        <v>1162</v>
      </c>
      <c r="H413" s="58">
        <v>46174</v>
      </c>
      <c r="I413" s="57" t="s">
        <v>258</v>
      </c>
      <c r="J413" s="56">
        <v>1</v>
      </c>
      <c r="K413" s="60">
        <v>46174</v>
      </c>
      <c r="L413" s="59">
        <v>6000000</v>
      </c>
      <c r="M413" s="57" t="s">
        <v>2243</v>
      </c>
      <c r="N413" s="57" t="s">
        <v>2256</v>
      </c>
      <c r="O413" s="57" t="s">
        <v>2272</v>
      </c>
      <c r="P413" s="57" t="s">
        <v>2284</v>
      </c>
      <c r="Q413" s="57" t="s">
        <v>1162</v>
      </c>
    </row>
    <row r="414" spans="1:17" x14ac:dyDescent="0.25">
      <c r="A414" s="55" t="s">
        <v>1156</v>
      </c>
      <c r="B414" s="56" t="s">
        <v>2199</v>
      </c>
      <c r="C414" s="57" t="s">
        <v>28</v>
      </c>
      <c r="D414" s="56" t="s">
        <v>1158</v>
      </c>
      <c r="E414" s="57" t="s">
        <v>1164</v>
      </c>
      <c r="F414" s="56">
        <v>5</v>
      </c>
      <c r="G414" s="57" t="s">
        <v>1162</v>
      </c>
      <c r="H414" s="58">
        <v>46174</v>
      </c>
      <c r="I414" s="57" t="s">
        <v>258</v>
      </c>
      <c r="J414" s="56">
        <v>1</v>
      </c>
      <c r="K414" s="60">
        <v>46174</v>
      </c>
      <c r="L414" s="59">
        <v>3700002</v>
      </c>
      <c r="M414" s="57" t="s">
        <v>2243</v>
      </c>
      <c r="N414" s="57" t="s">
        <v>2256</v>
      </c>
      <c r="O414" s="57" t="s">
        <v>2272</v>
      </c>
      <c r="P414" s="57" t="s">
        <v>2284</v>
      </c>
      <c r="Q414" s="57" t="s">
        <v>1162</v>
      </c>
    </row>
    <row r="415" spans="1:17" x14ac:dyDescent="0.25">
      <c r="A415" s="55" t="s">
        <v>1156</v>
      </c>
      <c r="B415" s="56" t="s">
        <v>2199</v>
      </c>
      <c r="C415" s="57" t="s">
        <v>28</v>
      </c>
      <c r="D415" s="56" t="s">
        <v>1158</v>
      </c>
      <c r="E415" s="57" t="s">
        <v>1165</v>
      </c>
      <c r="F415" s="56">
        <v>5</v>
      </c>
      <c r="G415" s="57" t="s">
        <v>1162</v>
      </c>
      <c r="H415" s="58">
        <v>46174</v>
      </c>
      <c r="I415" s="57" t="s">
        <v>258</v>
      </c>
      <c r="J415" s="56">
        <v>1</v>
      </c>
      <c r="K415" s="60">
        <v>46174</v>
      </c>
      <c r="L415" s="59">
        <v>3000000</v>
      </c>
      <c r="M415" s="57" t="s">
        <v>2243</v>
      </c>
      <c r="N415" s="57" t="s">
        <v>2256</v>
      </c>
      <c r="O415" s="57" t="s">
        <v>2272</v>
      </c>
      <c r="P415" s="57" t="s">
        <v>2284</v>
      </c>
      <c r="Q415" s="57" t="s">
        <v>1162</v>
      </c>
    </row>
    <row r="416" spans="1:17" x14ac:dyDescent="0.25">
      <c r="A416" s="55" t="s">
        <v>1156</v>
      </c>
      <c r="B416" s="56" t="s">
        <v>2199</v>
      </c>
      <c r="C416" s="57" t="s">
        <v>28</v>
      </c>
      <c r="D416" s="56" t="s">
        <v>1158</v>
      </c>
      <c r="E416" s="57" t="s">
        <v>1166</v>
      </c>
      <c r="F416" s="56">
        <v>5</v>
      </c>
      <c r="G416" s="57" t="s">
        <v>1162</v>
      </c>
      <c r="H416" s="58">
        <v>46174</v>
      </c>
      <c r="I416" s="57" t="s">
        <v>258</v>
      </c>
      <c r="J416" s="56">
        <v>1</v>
      </c>
      <c r="K416" s="60">
        <v>46174</v>
      </c>
      <c r="L416" s="59">
        <v>600000</v>
      </c>
      <c r="M416" s="57" t="s">
        <v>2243</v>
      </c>
      <c r="N416" s="57" t="s">
        <v>2256</v>
      </c>
      <c r="O416" s="57" t="s">
        <v>2272</v>
      </c>
      <c r="P416" s="57" t="s">
        <v>2284</v>
      </c>
      <c r="Q416" s="57" t="s">
        <v>1162</v>
      </c>
    </row>
    <row r="417" spans="1:17" x14ac:dyDescent="0.25">
      <c r="A417" s="55" t="s">
        <v>1156</v>
      </c>
      <c r="B417" s="56" t="s">
        <v>2199</v>
      </c>
      <c r="C417" s="57" t="s">
        <v>28</v>
      </c>
      <c r="D417" s="56" t="s">
        <v>1158</v>
      </c>
      <c r="E417" s="57" t="s">
        <v>1160</v>
      </c>
      <c r="F417" s="56">
        <v>5</v>
      </c>
      <c r="G417" s="57" t="s">
        <v>1162</v>
      </c>
      <c r="H417" s="58">
        <v>46082</v>
      </c>
      <c r="I417" s="57" t="s">
        <v>258</v>
      </c>
      <c r="J417" s="56">
        <v>3</v>
      </c>
      <c r="K417" s="57" t="s">
        <v>1161</v>
      </c>
      <c r="L417" s="59">
        <v>4450000</v>
      </c>
      <c r="M417" s="57" t="s">
        <v>2243</v>
      </c>
      <c r="N417" s="57" t="s">
        <v>2256</v>
      </c>
      <c r="O417" s="57" t="s">
        <v>2272</v>
      </c>
      <c r="P417" s="57" t="s">
        <v>2284</v>
      </c>
      <c r="Q417" s="57" t="s">
        <v>1162</v>
      </c>
    </row>
    <row r="418" spans="1:17" x14ac:dyDescent="0.25">
      <c r="A418" s="55" t="s">
        <v>1168</v>
      </c>
      <c r="B418" s="56" t="s">
        <v>2199</v>
      </c>
      <c r="C418" s="57" t="s">
        <v>28</v>
      </c>
      <c r="D418" s="56" t="s">
        <v>1169</v>
      </c>
      <c r="E418" s="57" t="s">
        <v>496</v>
      </c>
      <c r="F418" s="56">
        <v>1</v>
      </c>
      <c r="G418" s="57" t="s">
        <v>1162</v>
      </c>
      <c r="H418" s="58">
        <v>46266</v>
      </c>
      <c r="I418" s="57" t="s">
        <v>258</v>
      </c>
      <c r="J418" s="56">
        <v>12</v>
      </c>
      <c r="K418" s="57" t="s">
        <v>1029</v>
      </c>
      <c r="L418" s="59">
        <v>0</v>
      </c>
      <c r="M418" s="57" t="s">
        <v>2243</v>
      </c>
      <c r="N418" s="57" t="s">
        <v>2256</v>
      </c>
      <c r="O418" s="57" t="s">
        <v>2272</v>
      </c>
      <c r="P418" s="57" t="s">
        <v>2284</v>
      </c>
      <c r="Q418" s="57" t="s">
        <v>1162</v>
      </c>
    </row>
    <row r="419" spans="1:17" x14ac:dyDescent="0.25">
      <c r="A419" s="55" t="s">
        <v>251</v>
      </c>
      <c r="B419" s="56" t="s">
        <v>2196</v>
      </c>
      <c r="C419" s="57" t="s">
        <v>28</v>
      </c>
      <c r="D419" s="56" t="s">
        <v>253</v>
      </c>
      <c r="E419" s="57" t="s">
        <v>263</v>
      </c>
      <c r="F419" s="56">
        <v>14</v>
      </c>
      <c r="G419" s="57" t="s">
        <v>257</v>
      </c>
      <c r="H419" s="58">
        <v>45717</v>
      </c>
      <c r="I419" s="57" t="s">
        <v>258</v>
      </c>
      <c r="J419" s="56">
        <v>2</v>
      </c>
      <c r="K419" s="57" t="s">
        <v>264</v>
      </c>
      <c r="L419" s="59">
        <v>7000000</v>
      </c>
      <c r="M419" s="57" t="s">
        <v>2243</v>
      </c>
      <c r="N419" s="57" t="s">
        <v>2256</v>
      </c>
      <c r="O419" s="57" t="s">
        <v>2272</v>
      </c>
      <c r="P419" s="57" t="s">
        <v>2284</v>
      </c>
      <c r="Q419" s="57" t="s">
        <v>1162</v>
      </c>
    </row>
    <row r="420" spans="1:17" x14ac:dyDescent="0.25">
      <c r="A420" s="55" t="s">
        <v>251</v>
      </c>
      <c r="B420" s="56" t="s">
        <v>2196</v>
      </c>
      <c r="C420" s="57" t="s">
        <v>28</v>
      </c>
      <c r="D420" s="56" t="s">
        <v>253</v>
      </c>
      <c r="E420" s="57" t="s">
        <v>261</v>
      </c>
      <c r="F420" s="56">
        <v>14</v>
      </c>
      <c r="G420" s="57" t="s">
        <v>257</v>
      </c>
      <c r="H420" s="58">
        <v>45717</v>
      </c>
      <c r="I420" s="57" t="s">
        <v>258</v>
      </c>
      <c r="J420" s="56">
        <v>4</v>
      </c>
      <c r="K420" s="57" t="s">
        <v>262</v>
      </c>
      <c r="L420" s="59">
        <v>71900000</v>
      </c>
      <c r="M420" s="57" t="s">
        <v>2243</v>
      </c>
      <c r="N420" s="57" t="s">
        <v>2256</v>
      </c>
      <c r="O420" s="57" t="s">
        <v>2272</v>
      </c>
      <c r="P420" s="57" t="s">
        <v>2284</v>
      </c>
      <c r="Q420" s="57" t="s">
        <v>1162</v>
      </c>
    </row>
    <row r="421" spans="1:17" x14ac:dyDescent="0.25">
      <c r="A421" s="55" t="s">
        <v>251</v>
      </c>
      <c r="B421" s="56" t="s">
        <v>2196</v>
      </c>
      <c r="C421" s="57" t="s">
        <v>28</v>
      </c>
      <c r="D421" s="56" t="s">
        <v>253</v>
      </c>
      <c r="E421" s="57" t="s">
        <v>267</v>
      </c>
      <c r="F421" s="56">
        <v>14</v>
      </c>
      <c r="G421" s="57" t="s">
        <v>257</v>
      </c>
      <c r="H421" s="58">
        <v>45717</v>
      </c>
      <c r="I421" s="57" t="s">
        <v>258</v>
      </c>
      <c r="J421" s="56">
        <v>4</v>
      </c>
      <c r="K421" s="57" t="s">
        <v>268</v>
      </c>
      <c r="L421" s="59">
        <v>24820000</v>
      </c>
      <c r="M421" s="57" t="s">
        <v>2243</v>
      </c>
      <c r="N421" s="57" t="s">
        <v>2256</v>
      </c>
      <c r="O421" s="57" t="s">
        <v>2272</v>
      </c>
      <c r="P421" s="57" t="s">
        <v>2284</v>
      </c>
      <c r="Q421" s="57" t="s">
        <v>1162</v>
      </c>
    </row>
    <row r="422" spans="1:17" x14ac:dyDescent="0.25">
      <c r="A422" s="55" t="s">
        <v>251</v>
      </c>
      <c r="B422" s="56" t="s">
        <v>2196</v>
      </c>
      <c r="C422" s="57" t="s">
        <v>28</v>
      </c>
      <c r="D422" s="56" t="s">
        <v>253</v>
      </c>
      <c r="E422" s="57" t="s">
        <v>255</v>
      </c>
      <c r="F422" s="56">
        <v>14</v>
      </c>
      <c r="G422" s="57" t="s">
        <v>257</v>
      </c>
      <c r="H422" s="58">
        <v>45717</v>
      </c>
      <c r="I422" s="57" t="s">
        <v>258</v>
      </c>
      <c r="J422" s="56">
        <v>7</v>
      </c>
      <c r="K422" s="57" t="s">
        <v>256</v>
      </c>
      <c r="L422" s="59">
        <v>20800000</v>
      </c>
      <c r="M422" s="57" t="s">
        <v>2243</v>
      </c>
      <c r="N422" s="57" t="s">
        <v>2256</v>
      </c>
      <c r="O422" s="57" t="s">
        <v>2272</v>
      </c>
      <c r="P422" s="57" t="s">
        <v>2284</v>
      </c>
      <c r="Q422" s="57" t="s">
        <v>1162</v>
      </c>
    </row>
    <row r="423" spans="1:17" x14ac:dyDescent="0.25">
      <c r="A423" s="55" t="s">
        <v>251</v>
      </c>
      <c r="B423" s="56" t="s">
        <v>2196</v>
      </c>
      <c r="C423" s="57" t="s">
        <v>28</v>
      </c>
      <c r="D423" s="56" t="s">
        <v>253</v>
      </c>
      <c r="E423" s="57" t="s">
        <v>265</v>
      </c>
      <c r="F423" s="56">
        <v>14</v>
      </c>
      <c r="G423" s="57" t="s">
        <v>257</v>
      </c>
      <c r="H423" s="58">
        <v>45717</v>
      </c>
      <c r="I423" s="57" t="s">
        <v>258</v>
      </c>
      <c r="J423" s="56">
        <v>2</v>
      </c>
      <c r="K423" s="57" t="s">
        <v>266</v>
      </c>
      <c r="L423" s="59">
        <v>45150000</v>
      </c>
      <c r="M423" s="57" t="s">
        <v>2243</v>
      </c>
      <c r="N423" s="57" t="s">
        <v>2256</v>
      </c>
      <c r="O423" s="57" t="s">
        <v>2272</v>
      </c>
      <c r="P423" s="57" t="s">
        <v>2284</v>
      </c>
      <c r="Q423" s="57" t="s">
        <v>1162</v>
      </c>
    </row>
    <row r="424" spans="1:17" x14ac:dyDescent="0.25">
      <c r="A424" s="55" t="s">
        <v>251</v>
      </c>
      <c r="B424" s="56" t="s">
        <v>2196</v>
      </c>
      <c r="C424" s="57" t="s">
        <v>28</v>
      </c>
      <c r="D424" s="56" t="s">
        <v>253</v>
      </c>
      <c r="E424" s="57" t="s">
        <v>269</v>
      </c>
      <c r="F424" s="56">
        <v>14</v>
      </c>
      <c r="G424" s="57" t="s">
        <v>257</v>
      </c>
      <c r="H424" s="58">
        <v>45717</v>
      </c>
      <c r="I424" s="57" t="s">
        <v>258</v>
      </c>
      <c r="J424" s="56">
        <v>6</v>
      </c>
      <c r="K424" s="57" t="s">
        <v>270</v>
      </c>
      <c r="L424" s="59">
        <v>23200001</v>
      </c>
      <c r="M424" s="57" t="s">
        <v>2243</v>
      </c>
      <c r="N424" s="57" t="s">
        <v>2256</v>
      </c>
      <c r="O424" s="57" t="s">
        <v>2272</v>
      </c>
      <c r="P424" s="57" t="s">
        <v>2284</v>
      </c>
      <c r="Q424" s="57" t="s">
        <v>1162</v>
      </c>
    </row>
    <row r="425" spans="1:17" x14ac:dyDescent="0.25">
      <c r="A425" s="55" t="s">
        <v>251</v>
      </c>
      <c r="B425" s="56" t="s">
        <v>2196</v>
      </c>
      <c r="C425" s="57" t="s">
        <v>28</v>
      </c>
      <c r="D425" s="56" t="s">
        <v>253</v>
      </c>
      <c r="E425" s="57" t="s">
        <v>271</v>
      </c>
      <c r="F425" s="56">
        <v>14</v>
      </c>
      <c r="G425" s="57" t="s">
        <v>257</v>
      </c>
      <c r="H425" s="58">
        <v>45717</v>
      </c>
      <c r="I425" s="57" t="s">
        <v>258</v>
      </c>
      <c r="J425" s="56">
        <v>4</v>
      </c>
      <c r="K425" s="57" t="s">
        <v>256</v>
      </c>
      <c r="L425" s="59">
        <v>81500000</v>
      </c>
      <c r="M425" s="57" t="s">
        <v>2243</v>
      </c>
      <c r="N425" s="57" t="s">
        <v>2256</v>
      </c>
      <c r="O425" s="57" t="s">
        <v>2272</v>
      </c>
      <c r="P425" s="57" t="s">
        <v>2284</v>
      </c>
      <c r="Q425" s="57" t="s">
        <v>1162</v>
      </c>
    </row>
    <row r="426" spans="1:17" x14ac:dyDescent="0.25">
      <c r="A426" s="55" t="s">
        <v>251</v>
      </c>
      <c r="B426" s="56" t="s">
        <v>2196</v>
      </c>
      <c r="C426" s="57" t="s">
        <v>28</v>
      </c>
      <c r="D426" s="56" t="s">
        <v>253</v>
      </c>
      <c r="E426" s="57" t="s">
        <v>275</v>
      </c>
      <c r="F426" s="56">
        <v>14</v>
      </c>
      <c r="G426" s="57" t="s">
        <v>257</v>
      </c>
      <c r="H426" s="58">
        <v>45717</v>
      </c>
      <c r="I426" s="57" t="s">
        <v>258</v>
      </c>
      <c r="J426" s="56">
        <v>8</v>
      </c>
      <c r="K426" s="57" t="s">
        <v>276</v>
      </c>
      <c r="L426" s="59">
        <v>45800000</v>
      </c>
      <c r="M426" s="57" t="s">
        <v>2243</v>
      </c>
      <c r="N426" s="57" t="s">
        <v>2256</v>
      </c>
      <c r="O426" s="57" t="s">
        <v>2272</v>
      </c>
      <c r="P426" s="57" t="s">
        <v>2284</v>
      </c>
      <c r="Q426" s="57" t="s">
        <v>1162</v>
      </c>
    </row>
    <row r="427" spans="1:17" x14ac:dyDescent="0.25">
      <c r="A427" s="55" t="s">
        <v>251</v>
      </c>
      <c r="B427" s="56" t="s">
        <v>2196</v>
      </c>
      <c r="C427" s="57" t="s">
        <v>28</v>
      </c>
      <c r="D427" s="56" t="s">
        <v>253</v>
      </c>
      <c r="E427" s="57" t="s">
        <v>272</v>
      </c>
      <c r="F427" s="56">
        <v>14</v>
      </c>
      <c r="G427" s="57" t="s">
        <v>257</v>
      </c>
      <c r="H427" s="58">
        <v>45717</v>
      </c>
      <c r="I427" s="57" t="s">
        <v>258</v>
      </c>
      <c r="J427" s="56">
        <v>8</v>
      </c>
      <c r="K427" s="57" t="s">
        <v>273</v>
      </c>
      <c r="L427" s="59">
        <v>13950000</v>
      </c>
      <c r="M427" s="57" t="s">
        <v>2243</v>
      </c>
      <c r="N427" s="57" t="s">
        <v>2256</v>
      </c>
      <c r="O427" s="57" t="s">
        <v>2272</v>
      </c>
      <c r="P427" s="57" t="s">
        <v>2284</v>
      </c>
      <c r="Q427" s="57" t="s">
        <v>1162</v>
      </c>
    </row>
    <row r="428" spans="1:17" x14ac:dyDescent="0.25">
      <c r="A428" s="55" t="s">
        <v>251</v>
      </c>
      <c r="B428" s="56" t="s">
        <v>2196</v>
      </c>
      <c r="C428" s="57" t="s">
        <v>28</v>
      </c>
      <c r="D428" s="56" t="s">
        <v>253</v>
      </c>
      <c r="E428" s="57" t="s">
        <v>281</v>
      </c>
      <c r="F428" s="56">
        <v>14</v>
      </c>
      <c r="G428" s="57" t="s">
        <v>257</v>
      </c>
      <c r="H428" s="58">
        <v>45809</v>
      </c>
      <c r="I428" s="57" t="s">
        <v>258</v>
      </c>
      <c r="J428" s="56">
        <v>2</v>
      </c>
      <c r="K428" s="57" t="s">
        <v>282</v>
      </c>
      <c r="L428" s="59">
        <v>225000</v>
      </c>
      <c r="M428" s="57" t="s">
        <v>2243</v>
      </c>
      <c r="N428" s="57" t="s">
        <v>2256</v>
      </c>
      <c r="O428" s="57" t="s">
        <v>2272</v>
      </c>
      <c r="P428" s="57" t="s">
        <v>2284</v>
      </c>
      <c r="Q428" s="57" t="s">
        <v>1162</v>
      </c>
    </row>
    <row r="429" spans="1:17" x14ac:dyDescent="0.25">
      <c r="A429" s="55" t="s">
        <v>251</v>
      </c>
      <c r="B429" s="56" t="s">
        <v>2196</v>
      </c>
      <c r="C429" s="57" t="s">
        <v>28</v>
      </c>
      <c r="D429" s="56" t="s">
        <v>253</v>
      </c>
      <c r="E429" s="57" t="s">
        <v>277</v>
      </c>
      <c r="F429" s="56">
        <v>14</v>
      </c>
      <c r="G429" s="57" t="s">
        <v>257</v>
      </c>
      <c r="H429" s="58">
        <v>45717</v>
      </c>
      <c r="I429" s="57" t="s">
        <v>258</v>
      </c>
      <c r="J429" s="56">
        <v>24</v>
      </c>
      <c r="K429" s="57" t="s">
        <v>278</v>
      </c>
      <c r="L429" s="59">
        <v>21279996</v>
      </c>
      <c r="M429" s="57" t="s">
        <v>2243</v>
      </c>
      <c r="N429" s="57" t="s">
        <v>2256</v>
      </c>
      <c r="O429" s="57" t="s">
        <v>2272</v>
      </c>
      <c r="P429" s="57" t="s">
        <v>2284</v>
      </c>
      <c r="Q429" s="57" t="s">
        <v>1162</v>
      </c>
    </row>
    <row r="430" spans="1:17" x14ac:dyDescent="0.25">
      <c r="A430" s="55" t="s">
        <v>1119</v>
      </c>
      <c r="B430" s="56" t="s">
        <v>2199</v>
      </c>
      <c r="C430" s="57" t="s">
        <v>28</v>
      </c>
      <c r="D430" s="56" t="s">
        <v>1120</v>
      </c>
      <c r="E430" s="57" t="s">
        <v>1121</v>
      </c>
      <c r="F430" s="56">
        <v>1</v>
      </c>
      <c r="G430" s="57" t="s">
        <v>1122</v>
      </c>
      <c r="H430" s="58">
        <v>46082</v>
      </c>
      <c r="I430" s="57" t="s">
        <v>1123</v>
      </c>
      <c r="J430" s="56">
        <v>1</v>
      </c>
      <c r="K430" s="60">
        <v>46082</v>
      </c>
      <c r="L430" s="59">
        <v>600000</v>
      </c>
      <c r="M430" s="57" t="s">
        <v>2244</v>
      </c>
      <c r="N430" s="57" t="s">
        <v>2256</v>
      </c>
      <c r="O430" s="57" t="s">
        <v>2268</v>
      </c>
      <c r="P430" s="57" t="s">
        <v>2284</v>
      </c>
      <c r="Q430" s="57" t="s">
        <v>1122</v>
      </c>
    </row>
    <row r="431" spans="1:17" x14ac:dyDescent="0.25">
      <c r="A431" s="55" t="s">
        <v>1126</v>
      </c>
      <c r="B431" s="56" t="s">
        <v>2199</v>
      </c>
      <c r="C431" s="57" t="s">
        <v>28</v>
      </c>
      <c r="D431" s="56" t="s">
        <v>1127</v>
      </c>
      <c r="E431" s="57" t="s">
        <v>1129</v>
      </c>
      <c r="F431" s="56">
        <v>1</v>
      </c>
      <c r="G431" s="57" t="s">
        <v>1122</v>
      </c>
      <c r="H431" s="58">
        <v>46082</v>
      </c>
      <c r="I431" s="57" t="s">
        <v>1123</v>
      </c>
      <c r="J431" s="56">
        <v>1</v>
      </c>
      <c r="K431" s="60">
        <v>46082</v>
      </c>
      <c r="L431" s="59">
        <v>1700000</v>
      </c>
      <c r="M431" s="57" t="s">
        <v>2244</v>
      </c>
      <c r="N431" s="57" t="s">
        <v>2256</v>
      </c>
      <c r="O431" s="57" t="s">
        <v>2268</v>
      </c>
      <c r="P431" s="57" t="s">
        <v>2284</v>
      </c>
      <c r="Q431" s="57" t="s">
        <v>1122</v>
      </c>
    </row>
    <row r="432" spans="1:17" x14ac:dyDescent="0.25">
      <c r="A432" s="55" t="s">
        <v>1130</v>
      </c>
      <c r="B432" s="56" t="s">
        <v>2199</v>
      </c>
      <c r="C432" s="57" t="s">
        <v>28</v>
      </c>
      <c r="D432" s="56" t="s">
        <v>1131</v>
      </c>
      <c r="E432" s="57" t="s">
        <v>1133</v>
      </c>
      <c r="F432" s="56">
        <v>1</v>
      </c>
      <c r="G432" s="57" t="s">
        <v>1122</v>
      </c>
      <c r="H432" s="58">
        <v>46082</v>
      </c>
      <c r="I432" s="57" t="s">
        <v>1123</v>
      </c>
      <c r="J432" s="56">
        <v>1</v>
      </c>
      <c r="K432" s="60">
        <v>46082</v>
      </c>
      <c r="L432" s="59">
        <v>1670016</v>
      </c>
      <c r="M432" s="57" t="s">
        <v>2244</v>
      </c>
      <c r="N432" s="57" t="s">
        <v>2256</v>
      </c>
      <c r="O432" s="57" t="s">
        <v>2268</v>
      </c>
      <c r="P432" s="57" t="s">
        <v>2284</v>
      </c>
      <c r="Q432" s="57" t="s">
        <v>1122</v>
      </c>
    </row>
    <row r="433" spans="1:17" x14ac:dyDescent="0.25">
      <c r="A433" s="55" t="s">
        <v>1134</v>
      </c>
      <c r="B433" s="56" t="s">
        <v>2199</v>
      </c>
      <c r="C433" s="57" t="s">
        <v>28</v>
      </c>
      <c r="D433" s="56" t="s">
        <v>1135</v>
      </c>
      <c r="E433" s="57" t="s">
        <v>1137</v>
      </c>
      <c r="F433" s="56">
        <v>1</v>
      </c>
      <c r="G433" s="57" t="s">
        <v>1122</v>
      </c>
      <c r="H433" s="58">
        <v>46082</v>
      </c>
      <c r="I433" s="57" t="s">
        <v>1123</v>
      </c>
      <c r="J433" s="56">
        <v>1</v>
      </c>
      <c r="K433" s="60">
        <v>46082</v>
      </c>
      <c r="L433" s="59">
        <v>900000</v>
      </c>
      <c r="M433" s="57" t="s">
        <v>2244</v>
      </c>
      <c r="N433" s="57" t="s">
        <v>2256</v>
      </c>
      <c r="O433" s="57" t="s">
        <v>2268</v>
      </c>
      <c r="P433" s="57" t="s">
        <v>2284</v>
      </c>
      <c r="Q433" s="57" t="s">
        <v>1122</v>
      </c>
    </row>
    <row r="434" spans="1:17" x14ac:dyDescent="0.25">
      <c r="A434" s="55" t="s">
        <v>1138</v>
      </c>
      <c r="B434" s="56" t="s">
        <v>2199</v>
      </c>
      <c r="C434" s="57" t="s">
        <v>28</v>
      </c>
      <c r="D434" s="56" t="s">
        <v>1140</v>
      </c>
      <c r="E434" s="57" t="s">
        <v>1142</v>
      </c>
      <c r="F434" s="56">
        <v>1</v>
      </c>
      <c r="G434" s="57" t="s">
        <v>1122</v>
      </c>
      <c r="H434" s="58">
        <v>46082</v>
      </c>
      <c r="I434" s="57" t="s">
        <v>1123</v>
      </c>
      <c r="J434" s="56">
        <v>1</v>
      </c>
      <c r="K434" s="60">
        <v>46082</v>
      </c>
      <c r="L434" s="59">
        <v>3500010</v>
      </c>
      <c r="M434" s="57" t="s">
        <v>2244</v>
      </c>
      <c r="N434" s="57" t="s">
        <v>2256</v>
      </c>
      <c r="O434" s="57" t="s">
        <v>2268</v>
      </c>
      <c r="P434" s="57" t="s">
        <v>2284</v>
      </c>
      <c r="Q434" s="57" t="s">
        <v>1122</v>
      </c>
    </row>
    <row r="435" spans="1:17" x14ac:dyDescent="0.25">
      <c r="A435" s="55" t="s">
        <v>930</v>
      </c>
      <c r="B435" s="56" t="s">
        <v>2199</v>
      </c>
      <c r="C435" s="57" t="s">
        <v>28</v>
      </c>
      <c r="D435" s="56" t="s">
        <v>931</v>
      </c>
      <c r="E435" s="57" t="s">
        <v>933</v>
      </c>
      <c r="F435" s="56">
        <v>1</v>
      </c>
      <c r="G435" s="57" t="s">
        <v>934</v>
      </c>
      <c r="H435" s="58">
        <v>46023</v>
      </c>
      <c r="I435" s="57" t="s">
        <v>935</v>
      </c>
      <c r="J435" s="56">
        <v>1</v>
      </c>
      <c r="K435" s="60">
        <v>46023</v>
      </c>
      <c r="L435" s="59">
        <v>681264</v>
      </c>
      <c r="M435" s="57" t="s">
        <v>2230</v>
      </c>
      <c r="N435" s="57" t="s">
        <v>2227</v>
      </c>
      <c r="O435" s="57" t="s">
        <v>2261</v>
      </c>
      <c r="P435" s="57" t="s">
        <v>2284</v>
      </c>
      <c r="Q435" s="57" t="s">
        <v>934</v>
      </c>
    </row>
    <row r="436" spans="1:17" x14ac:dyDescent="0.25">
      <c r="A436" s="55" t="s">
        <v>996</v>
      </c>
      <c r="B436" s="56" t="s">
        <v>2199</v>
      </c>
      <c r="C436" s="57" t="s">
        <v>28</v>
      </c>
      <c r="D436" s="56" t="s">
        <v>997</v>
      </c>
      <c r="E436" s="57" t="s">
        <v>486</v>
      </c>
      <c r="F436" s="56">
        <v>1</v>
      </c>
      <c r="G436" s="57" t="s">
        <v>934</v>
      </c>
      <c r="H436" s="58">
        <v>46023</v>
      </c>
      <c r="I436" s="57" t="s">
        <v>935</v>
      </c>
      <c r="J436" s="56">
        <v>1</v>
      </c>
      <c r="K436" s="60">
        <v>46023</v>
      </c>
      <c r="L436" s="59">
        <v>60000</v>
      </c>
      <c r="M436" s="57" t="s">
        <v>2230</v>
      </c>
      <c r="N436" s="57" t="s">
        <v>2227</v>
      </c>
      <c r="O436" s="57" t="s">
        <v>2261</v>
      </c>
      <c r="P436" s="57" t="s">
        <v>2284</v>
      </c>
      <c r="Q436" s="57" t="s">
        <v>934</v>
      </c>
    </row>
    <row r="437" spans="1:17" x14ac:dyDescent="0.25">
      <c r="A437" s="55" t="s">
        <v>1069</v>
      </c>
      <c r="B437" s="56" t="s">
        <v>2199</v>
      </c>
      <c r="C437" s="57" t="s">
        <v>28</v>
      </c>
      <c r="D437" s="56" t="s">
        <v>1070</v>
      </c>
      <c r="E437" s="57" t="s">
        <v>819</v>
      </c>
      <c r="F437" s="56">
        <v>1</v>
      </c>
      <c r="G437" s="57" t="s">
        <v>934</v>
      </c>
      <c r="H437" s="58">
        <v>46023</v>
      </c>
      <c r="I437" s="57" t="s">
        <v>935</v>
      </c>
      <c r="J437" s="56">
        <v>1</v>
      </c>
      <c r="K437" s="60">
        <v>46023</v>
      </c>
      <c r="L437" s="59">
        <v>450000</v>
      </c>
      <c r="M437" s="57" t="s">
        <v>2230</v>
      </c>
      <c r="N437" s="57" t="s">
        <v>2227</v>
      </c>
      <c r="O437" s="57" t="s">
        <v>2261</v>
      </c>
      <c r="P437" s="57" t="s">
        <v>2284</v>
      </c>
      <c r="Q437" s="57" t="s">
        <v>934</v>
      </c>
    </row>
    <row r="438" spans="1:17" x14ac:dyDescent="0.25">
      <c r="A438" s="55" t="s">
        <v>1085</v>
      </c>
      <c r="B438" s="56" t="s">
        <v>2199</v>
      </c>
      <c r="C438" s="57" t="s">
        <v>28</v>
      </c>
      <c r="D438" s="56" t="s">
        <v>1086</v>
      </c>
      <c r="E438" s="57" t="s">
        <v>1088</v>
      </c>
      <c r="F438" s="56">
        <v>1</v>
      </c>
      <c r="G438" s="57" t="s">
        <v>934</v>
      </c>
      <c r="H438" s="58">
        <v>46023</v>
      </c>
      <c r="I438" s="57" t="s">
        <v>935</v>
      </c>
      <c r="J438" s="56">
        <v>1</v>
      </c>
      <c r="K438" s="60">
        <v>46023</v>
      </c>
      <c r="L438" s="59">
        <v>352600</v>
      </c>
      <c r="M438" s="57" t="s">
        <v>2230</v>
      </c>
      <c r="N438" s="57" t="s">
        <v>2227</v>
      </c>
      <c r="O438" s="57" t="s">
        <v>2261</v>
      </c>
      <c r="P438" s="57" t="s">
        <v>2284</v>
      </c>
      <c r="Q438" s="57" t="s">
        <v>934</v>
      </c>
    </row>
    <row r="439" spans="1:17" x14ac:dyDescent="0.25">
      <c r="A439" s="55" t="s">
        <v>1089</v>
      </c>
      <c r="B439" s="56" t="s">
        <v>2199</v>
      </c>
      <c r="C439" s="57" t="s">
        <v>28</v>
      </c>
      <c r="D439" s="56" t="s">
        <v>1090</v>
      </c>
      <c r="E439" s="57" t="s">
        <v>781</v>
      </c>
      <c r="F439" s="56">
        <v>1</v>
      </c>
      <c r="G439" s="57" t="s">
        <v>934</v>
      </c>
      <c r="H439" s="58">
        <v>46054</v>
      </c>
      <c r="I439" s="57" t="s">
        <v>935</v>
      </c>
      <c r="J439" s="56">
        <v>1</v>
      </c>
      <c r="K439" s="60">
        <v>46054</v>
      </c>
      <c r="L439" s="59">
        <v>50004</v>
      </c>
      <c r="M439" s="57" t="s">
        <v>2230</v>
      </c>
      <c r="N439" s="57" t="s">
        <v>2227</v>
      </c>
      <c r="O439" s="57" t="s">
        <v>2261</v>
      </c>
      <c r="P439" s="57" t="s">
        <v>2284</v>
      </c>
      <c r="Q439" s="57" t="s">
        <v>934</v>
      </c>
    </row>
    <row r="440" spans="1:17" x14ac:dyDescent="0.25">
      <c r="A440" s="55" t="s">
        <v>1632</v>
      </c>
      <c r="B440" s="56" t="s">
        <v>2199</v>
      </c>
      <c r="C440" s="57" t="s">
        <v>28</v>
      </c>
      <c r="D440" s="56" t="s">
        <v>1633</v>
      </c>
      <c r="E440" s="57" t="s">
        <v>1636</v>
      </c>
      <c r="F440" s="56">
        <v>2</v>
      </c>
      <c r="G440" s="57" t="s">
        <v>934</v>
      </c>
      <c r="H440" s="58">
        <v>46204</v>
      </c>
      <c r="I440" s="57" t="s">
        <v>935</v>
      </c>
      <c r="J440" s="56">
        <v>1</v>
      </c>
      <c r="K440" s="60">
        <v>46204</v>
      </c>
      <c r="L440" s="59">
        <v>80000</v>
      </c>
      <c r="M440" s="57" t="s">
        <v>2230</v>
      </c>
      <c r="N440" s="57" t="s">
        <v>2227</v>
      </c>
      <c r="O440" s="57" t="s">
        <v>2261</v>
      </c>
      <c r="P440" s="57" t="s">
        <v>2284</v>
      </c>
      <c r="Q440" s="57" t="s">
        <v>934</v>
      </c>
    </row>
    <row r="441" spans="1:17" x14ac:dyDescent="0.25">
      <c r="A441" s="55" t="s">
        <v>1632</v>
      </c>
      <c r="B441" s="56" t="s">
        <v>2199</v>
      </c>
      <c r="C441" s="57" t="s">
        <v>28</v>
      </c>
      <c r="D441" s="56" t="s">
        <v>1633</v>
      </c>
      <c r="E441" s="57" t="s">
        <v>1635</v>
      </c>
      <c r="F441" s="56">
        <v>2</v>
      </c>
      <c r="G441" s="57" t="s">
        <v>934</v>
      </c>
      <c r="H441" s="58">
        <v>46204</v>
      </c>
      <c r="I441" s="57" t="s">
        <v>935</v>
      </c>
      <c r="J441" s="56">
        <v>1</v>
      </c>
      <c r="K441" s="60">
        <v>46204</v>
      </c>
      <c r="L441" s="59">
        <v>360000</v>
      </c>
      <c r="M441" s="57" t="s">
        <v>2230</v>
      </c>
      <c r="N441" s="57" t="s">
        <v>2227</v>
      </c>
      <c r="O441" s="57" t="s">
        <v>2261</v>
      </c>
      <c r="P441" s="57" t="s">
        <v>2284</v>
      </c>
      <c r="Q441" s="57" t="s">
        <v>934</v>
      </c>
    </row>
    <row r="442" spans="1:17" x14ac:dyDescent="0.25">
      <c r="A442" s="55" t="s">
        <v>298</v>
      </c>
      <c r="B442" s="56" t="s">
        <v>2196</v>
      </c>
      <c r="C442" s="57" t="s">
        <v>28</v>
      </c>
      <c r="D442" s="56" t="s">
        <v>300</v>
      </c>
      <c r="E442" s="57" t="s">
        <v>205</v>
      </c>
      <c r="F442" s="56">
        <v>1</v>
      </c>
      <c r="G442" s="57" t="s">
        <v>182</v>
      </c>
      <c r="H442" s="58">
        <v>45839</v>
      </c>
      <c r="I442" s="57" t="s">
        <v>302</v>
      </c>
      <c r="J442" s="56">
        <v>18</v>
      </c>
      <c r="K442" s="57" t="s">
        <v>206</v>
      </c>
      <c r="L442" s="59">
        <v>144000000</v>
      </c>
      <c r="M442" s="57" t="s">
        <v>2278</v>
      </c>
      <c r="N442" s="57" t="s">
        <v>2256</v>
      </c>
      <c r="O442" s="57" t="s">
        <v>2268</v>
      </c>
      <c r="P442" s="57" t="s">
        <v>2284</v>
      </c>
      <c r="Q442" s="57" t="s">
        <v>182</v>
      </c>
    </row>
    <row r="443" spans="1:17" x14ac:dyDescent="0.25">
      <c r="A443" s="55" t="s">
        <v>202</v>
      </c>
      <c r="B443" s="56" t="s">
        <v>2196</v>
      </c>
      <c r="C443" s="57" t="s">
        <v>28</v>
      </c>
      <c r="D443" s="56" t="s">
        <v>203</v>
      </c>
      <c r="E443" s="57" t="s">
        <v>205</v>
      </c>
      <c r="F443" s="56">
        <v>2</v>
      </c>
      <c r="G443" s="57" t="s">
        <v>182</v>
      </c>
      <c r="H443" s="58">
        <v>45658</v>
      </c>
      <c r="I443" s="57" t="s">
        <v>183</v>
      </c>
      <c r="J443" s="56">
        <v>18</v>
      </c>
      <c r="K443" s="57" t="s">
        <v>206</v>
      </c>
      <c r="L443" s="59">
        <v>70333380</v>
      </c>
      <c r="M443" s="57" t="s">
        <v>2278</v>
      </c>
      <c r="N443" s="57" t="s">
        <v>2256</v>
      </c>
      <c r="O443" s="57" t="s">
        <v>2268</v>
      </c>
      <c r="P443" s="57" t="s">
        <v>2284</v>
      </c>
      <c r="Q443" s="57" t="s">
        <v>182</v>
      </c>
    </row>
    <row r="444" spans="1:17" x14ac:dyDescent="0.25">
      <c r="A444" s="55" t="s">
        <v>177</v>
      </c>
      <c r="B444" s="56" t="s">
        <v>2196</v>
      </c>
      <c r="C444" s="57" t="s">
        <v>28</v>
      </c>
      <c r="D444" s="56" t="s">
        <v>179</v>
      </c>
      <c r="E444" s="57" t="s">
        <v>181</v>
      </c>
      <c r="F444" s="56">
        <v>1</v>
      </c>
      <c r="G444" s="57" t="s">
        <v>182</v>
      </c>
      <c r="H444" s="58">
        <v>45444</v>
      </c>
      <c r="I444" s="57" t="s">
        <v>183</v>
      </c>
      <c r="J444" s="56">
        <v>24</v>
      </c>
      <c r="K444" s="57" t="s">
        <v>73</v>
      </c>
      <c r="L444" s="59">
        <v>905196910</v>
      </c>
      <c r="M444" s="57" t="s">
        <v>2278</v>
      </c>
      <c r="N444" s="57" t="s">
        <v>2256</v>
      </c>
      <c r="O444" s="57" t="s">
        <v>2268</v>
      </c>
      <c r="P444" s="57" t="s">
        <v>2284</v>
      </c>
      <c r="Q444" s="57" t="s">
        <v>182</v>
      </c>
    </row>
    <row r="445" spans="1:17" x14ac:dyDescent="0.25">
      <c r="A445" s="55" t="s">
        <v>1748</v>
      </c>
      <c r="B445" s="56" t="s">
        <v>2199</v>
      </c>
      <c r="C445" s="57" t="s">
        <v>28</v>
      </c>
      <c r="D445" s="56" t="s">
        <v>1749</v>
      </c>
      <c r="E445" s="57" t="s">
        <v>1751</v>
      </c>
      <c r="F445" s="56">
        <v>1</v>
      </c>
      <c r="G445" s="57" t="s">
        <v>1752</v>
      </c>
      <c r="H445" s="58">
        <v>46023</v>
      </c>
      <c r="I445" s="57" t="s">
        <v>1753</v>
      </c>
      <c r="J445" s="56">
        <v>1</v>
      </c>
      <c r="K445" s="60">
        <v>46023</v>
      </c>
      <c r="L445" s="59">
        <v>10000000</v>
      </c>
      <c r="M445" s="57" t="s">
        <v>2230</v>
      </c>
      <c r="N445" s="57" t="s">
        <v>2227</v>
      </c>
      <c r="O445" s="57" t="s">
        <v>2261</v>
      </c>
      <c r="P445" s="57" t="s">
        <v>2284</v>
      </c>
      <c r="Q445" s="57" t="s">
        <v>1752</v>
      </c>
    </row>
    <row r="446" spans="1:17" x14ac:dyDescent="0.25">
      <c r="A446" s="55" t="s">
        <v>1807</v>
      </c>
      <c r="B446" s="56" t="s">
        <v>2199</v>
      </c>
      <c r="C446" s="57" t="s">
        <v>28</v>
      </c>
      <c r="D446" s="56" t="s">
        <v>1808</v>
      </c>
      <c r="E446" s="57" t="s">
        <v>1810</v>
      </c>
      <c r="F446" s="56">
        <v>1</v>
      </c>
      <c r="G446" s="57" t="s">
        <v>1752</v>
      </c>
      <c r="H446" s="58">
        <v>46023</v>
      </c>
      <c r="I446" s="57" t="s">
        <v>1753</v>
      </c>
      <c r="J446" s="56">
        <v>1</v>
      </c>
      <c r="K446" s="60">
        <v>46023</v>
      </c>
      <c r="L446" s="59">
        <v>10000000</v>
      </c>
      <c r="M446" s="57" t="s">
        <v>2230</v>
      </c>
      <c r="N446" s="57" t="s">
        <v>2227</v>
      </c>
      <c r="O446" s="57" t="s">
        <v>2261</v>
      </c>
      <c r="P446" s="57" t="s">
        <v>2284</v>
      </c>
      <c r="Q446" s="57" t="s">
        <v>1752</v>
      </c>
    </row>
    <row r="447" spans="1:17" x14ac:dyDescent="0.25">
      <c r="A447" s="55" t="s">
        <v>1207</v>
      </c>
      <c r="B447" s="56" t="s">
        <v>2199</v>
      </c>
      <c r="C447" s="57" t="s">
        <v>28</v>
      </c>
      <c r="D447" s="56" t="s">
        <v>1208</v>
      </c>
      <c r="E447" s="57" t="s">
        <v>1210</v>
      </c>
      <c r="F447" s="56">
        <v>1</v>
      </c>
      <c r="G447" s="57" t="s">
        <v>1211</v>
      </c>
      <c r="H447" s="58">
        <v>46082</v>
      </c>
      <c r="I447" s="57" t="s">
        <v>320</v>
      </c>
      <c r="J447" s="56">
        <v>1</v>
      </c>
      <c r="K447" s="60">
        <v>46113</v>
      </c>
      <c r="L447" s="59">
        <v>198030</v>
      </c>
      <c r="M447" s="57" t="s">
        <v>2225</v>
      </c>
      <c r="N447" s="57" t="s">
        <v>2234</v>
      </c>
      <c r="O447" s="57" t="s">
        <v>2258</v>
      </c>
      <c r="P447" s="57" t="s">
        <v>2284</v>
      </c>
      <c r="Q447" s="57" t="s">
        <v>1211</v>
      </c>
    </row>
    <row r="448" spans="1:17" x14ac:dyDescent="0.25">
      <c r="A448" s="55" t="s">
        <v>1224</v>
      </c>
      <c r="B448" s="56" t="s">
        <v>2199</v>
      </c>
      <c r="C448" s="57" t="s">
        <v>28</v>
      </c>
      <c r="D448" s="56" t="s">
        <v>1225</v>
      </c>
      <c r="E448" s="57" t="s">
        <v>486</v>
      </c>
      <c r="F448" s="56">
        <v>2</v>
      </c>
      <c r="G448" s="57" t="s">
        <v>1211</v>
      </c>
      <c r="H448" s="58">
        <v>46113</v>
      </c>
      <c r="I448" s="57" t="s">
        <v>320</v>
      </c>
      <c r="J448" s="56">
        <v>1</v>
      </c>
      <c r="K448" s="60">
        <v>46113</v>
      </c>
      <c r="L448" s="59">
        <v>695014</v>
      </c>
      <c r="M448" s="57" t="s">
        <v>2225</v>
      </c>
      <c r="N448" s="57" t="s">
        <v>2234</v>
      </c>
      <c r="O448" s="57" t="s">
        <v>2258</v>
      </c>
      <c r="P448" s="57" t="s">
        <v>2284</v>
      </c>
      <c r="Q448" s="57" t="s">
        <v>1211</v>
      </c>
    </row>
    <row r="449" spans="1:17" x14ac:dyDescent="0.25">
      <c r="A449" s="55" t="s">
        <v>1224</v>
      </c>
      <c r="B449" s="56" t="s">
        <v>2199</v>
      </c>
      <c r="C449" s="57" t="s">
        <v>28</v>
      </c>
      <c r="D449" s="56" t="s">
        <v>1225</v>
      </c>
      <c r="E449" s="57" t="s">
        <v>1227</v>
      </c>
      <c r="F449" s="56">
        <v>2</v>
      </c>
      <c r="G449" s="57" t="s">
        <v>1211</v>
      </c>
      <c r="H449" s="58">
        <v>46113</v>
      </c>
      <c r="I449" s="57" t="s">
        <v>320</v>
      </c>
      <c r="J449" s="56">
        <v>1</v>
      </c>
      <c r="K449" s="60">
        <v>46113</v>
      </c>
      <c r="L449" s="59">
        <v>20000</v>
      </c>
      <c r="M449" s="57" t="s">
        <v>2225</v>
      </c>
      <c r="N449" s="57" t="s">
        <v>2234</v>
      </c>
      <c r="O449" s="57" t="s">
        <v>2258</v>
      </c>
      <c r="P449" s="57" t="s">
        <v>2284</v>
      </c>
      <c r="Q449" s="57" t="s">
        <v>1211</v>
      </c>
    </row>
    <row r="450" spans="1:17" x14ac:dyDescent="0.25">
      <c r="A450" s="55" t="s">
        <v>1456</v>
      </c>
      <c r="B450" s="56" t="s">
        <v>2199</v>
      </c>
      <c r="C450" s="57" t="s">
        <v>28</v>
      </c>
      <c r="D450" s="56" t="s">
        <v>1457</v>
      </c>
      <c r="E450" s="57" t="s">
        <v>1459</v>
      </c>
      <c r="F450" s="56">
        <v>1</v>
      </c>
      <c r="G450" s="57" t="s">
        <v>1211</v>
      </c>
      <c r="H450" s="58">
        <v>46054</v>
      </c>
      <c r="I450" s="57" t="s">
        <v>320</v>
      </c>
      <c r="J450" s="56">
        <v>1</v>
      </c>
      <c r="K450" s="60">
        <v>46054</v>
      </c>
      <c r="L450" s="59">
        <v>170001</v>
      </c>
      <c r="M450" s="57" t="s">
        <v>2225</v>
      </c>
      <c r="N450" s="57" t="s">
        <v>2234</v>
      </c>
      <c r="O450" s="57" t="s">
        <v>2258</v>
      </c>
      <c r="P450" s="57" t="s">
        <v>2284</v>
      </c>
      <c r="Q450" s="57" t="s">
        <v>1211</v>
      </c>
    </row>
    <row r="451" spans="1:17" x14ac:dyDescent="0.25">
      <c r="A451" s="55" t="s">
        <v>1489</v>
      </c>
      <c r="B451" s="56" t="s">
        <v>2199</v>
      </c>
      <c r="C451" s="57" t="s">
        <v>28</v>
      </c>
      <c r="D451" s="56" t="s">
        <v>1490</v>
      </c>
      <c r="E451" s="57" t="s">
        <v>359</v>
      </c>
      <c r="F451" s="56">
        <v>1</v>
      </c>
      <c r="G451" s="57" t="s">
        <v>1211</v>
      </c>
      <c r="H451" s="58">
        <v>46113</v>
      </c>
      <c r="I451" s="57" t="s">
        <v>320</v>
      </c>
      <c r="J451" s="56">
        <v>1</v>
      </c>
      <c r="K451" s="60">
        <v>46113</v>
      </c>
      <c r="L451" s="59">
        <v>218020</v>
      </c>
      <c r="M451" s="57" t="s">
        <v>2225</v>
      </c>
      <c r="N451" s="57" t="s">
        <v>2234</v>
      </c>
      <c r="O451" s="57" t="s">
        <v>2258</v>
      </c>
      <c r="P451" s="57" t="s">
        <v>2284</v>
      </c>
      <c r="Q451" s="57" t="s">
        <v>1211</v>
      </c>
    </row>
    <row r="452" spans="1:17" x14ac:dyDescent="0.25">
      <c r="A452" s="55" t="s">
        <v>1539</v>
      </c>
      <c r="B452" s="56" t="s">
        <v>2199</v>
      </c>
      <c r="C452" s="57" t="s">
        <v>28</v>
      </c>
      <c r="D452" s="56" t="s">
        <v>1540</v>
      </c>
      <c r="E452" s="57" t="s">
        <v>1191</v>
      </c>
      <c r="F452" s="56">
        <v>1</v>
      </c>
      <c r="G452" s="57" t="s">
        <v>1211</v>
      </c>
      <c r="H452" s="58">
        <v>46327</v>
      </c>
      <c r="I452" s="57" t="s">
        <v>320</v>
      </c>
      <c r="J452" s="56">
        <v>1</v>
      </c>
      <c r="K452" s="60">
        <v>46327</v>
      </c>
      <c r="L452" s="59">
        <v>400000</v>
      </c>
      <c r="M452" s="57" t="s">
        <v>2225</v>
      </c>
      <c r="N452" s="57" t="s">
        <v>2234</v>
      </c>
      <c r="O452" s="57" t="s">
        <v>2258</v>
      </c>
      <c r="P452" s="57" t="s">
        <v>2284</v>
      </c>
      <c r="Q452" s="57" t="s">
        <v>1211</v>
      </c>
    </row>
    <row r="453" spans="1:17" x14ac:dyDescent="0.25">
      <c r="A453" s="55" t="s">
        <v>1566</v>
      </c>
      <c r="B453" s="56" t="s">
        <v>2199</v>
      </c>
      <c r="C453" s="57" t="s">
        <v>28</v>
      </c>
      <c r="D453" s="56" t="s">
        <v>1567</v>
      </c>
      <c r="E453" s="57" t="s">
        <v>1121</v>
      </c>
      <c r="F453" s="56">
        <v>1</v>
      </c>
      <c r="G453" s="57" t="s">
        <v>1211</v>
      </c>
      <c r="H453" s="58">
        <v>46054</v>
      </c>
      <c r="I453" s="57" t="s">
        <v>320</v>
      </c>
      <c r="J453" s="56">
        <v>1</v>
      </c>
      <c r="K453" s="60">
        <v>46054</v>
      </c>
      <c r="L453" s="59">
        <v>120000</v>
      </c>
      <c r="M453" s="57" t="s">
        <v>2225</v>
      </c>
      <c r="N453" s="57" t="s">
        <v>2234</v>
      </c>
      <c r="O453" s="57" t="s">
        <v>2258</v>
      </c>
      <c r="P453" s="57" t="s">
        <v>2284</v>
      </c>
      <c r="Q453" s="57" t="s">
        <v>1211</v>
      </c>
    </row>
    <row r="454" spans="1:17" x14ac:dyDescent="0.25">
      <c r="A454" s="55" t="s">
        <v>1725</v>
      </c>
      <c r="B454" s="56" t="s">
        <v>2199</v>
      </c>
      <c r="C454" s="57" t="s">
        <v>28</v>
      </c>
      <c r="D454" s="56" t="s">
        <v>1726</v>
      </c>
      <c r="E454" s="57" t="s">
        <v>623</v>
      </c>
      <c r="F454" s="56">
        <v>1</v>
      </c>
      <c r="G454" s="57" t="s">
        <v>1211</v>
      </c>
      <c r="H454" s="58">
        <v>46143</v>
      </c>
      <c r="I454" s="57" t="s">
        <v>320</v>
      </c>
      <c r="J454" s="56">
        <v>1</v>
      </c>
      <c r="K454" s="60">
        <v>46143</v>
      </c>
      <c r="L454" s="59">
        <v>900000</v>
      </c>
      <c r="M454" s="57" t="s">
        <v>2225</v>
      </c>
      <c r="N454" s="57" t="s">
        <v>2234</v>
      </c>
      <c r="O454" s="57" t="s">
        <v>2258</v>
      </c>
      <c r="P454" s="57" t="s">
        <v>2284</v>
      </c>
      <c r="Q454" s="57" t="s">
        <v>1211</v>
      </c>
    </row>
    <row r="455" spans="1:17" x14ac:dyDescent="0.25">
      <c r="A455" s="55" t="s">
        <v>1728</v>
      </c>
      <c r="B455" s="56" t="s">
        <v>2199</v>
      </c>
      <c r="C455" s="57" t="s">
        <v>28</v>
      </c>
      <c r="D455" s="56" t="s">
        <v>1729</v>
      </c>
      <c r="E455" s="57" t="s">
        <v>882</v>
      </c>
      <c r="F455" s="56">
        <v>1</v>
      </c>
      <c r="G455" s="57" t="s">
        <v>1211</v>
      </c>
      <c r="H455" s="58">
        <v>46357</v>
      </c>
      <c r="I455" s="57" t="s">
        <v>320</v>
      </c>
      <c r="J455" s="56">
        <v>1</v>
      </c>
      <c r="K455" s="60">
        <v>46357</v>
      </c>
      <c r="L455" s="59">
        <v>1500000</v>
      </c>
      <c r="M455" s="57" t="s">
        <v>2225</v>
      </c>
      <c r="N455" s="57" t="s">
        <v>2234</v>
      </c>
      <c r="O455" s="57" t="s">
        <v>2258</v>
      </c>
      <c r="P455" s="57" t="s">
        <v>2284</v>
      </c>
      <c r="Q455" s="57" t="s">
        <v>1211</v>
      </c>
    </row>
    <row r="456" spans="1:17" x14ac:dyDescent="0.25">
      <c r="A456" s="55" t="s">
        <v>1485</v>
      </c>
      <c r="B456" s="56" t="s">
        <v>2199</v>
      </c>
      <c r="C456" s="57" t="s">
        <v>1238</v>
      </c>
      <c r="D456" s="56" t="s">
        <v>1486</v>
      </c>
      <c r="E456" s="57" t="s">
        <v>1488</v>
      </c>
      <c r="F456" s="56">
        <v>1</v>
      </c>
      <c r="G456" s="57" t="s">
        <v>1211</v>
      </c>
      <c r="H456" s="58">
        <v>46054</v>
      </c>
      <c r="I456" s="57" t="s">
        <v>320</v>
      </c>
      <c r="J456" s="56">
        <v>1</v>
      </c>
      <c r="K456" s="60">
        <v>46054</v>
      </c>
      <c r="L456" s="59">
        <v>250000</v>
      </c>
      <c r="M456" s="57" t="s">
        <v>2225</v>
      </c>
      <c r="N456" s="57" t="s">
        <v>2234</v>
      </c>
      <c r="O456" s="57" t="s">
        <v>2258</v>
      </c>
      <c r="P456" s="57" t="s">
        <v>2284</v>
      </c>
      <c r="Q456" s="57" t="s">
        <v>1211</v>
      </c>
    </row>
    <row r="457" spans="1:17" x14ac:dyDescent="0.25">
      <c r="A457" s="55" t="s">
        <v>313</v>
      </c>
      <c r="B457" s="56" t="s">
        <v>2196</v>
      </c>
      <c r="C457" s="57" t="s">
        <v>28</v>
      </c>
      <c r="D457" s="56" t="s">
        <v>315</v>
      </c>
      <c r="E457" s="57" t="s">
        <v>317</v>
      </c>
      <c r="F457" s="56">
        <v>1</v>
      </c>
      <c r="G457" s="57" t="s">
        <v>319</v>
      </c>
      <c r="H457" s="58">
        <v>45839</v>
      </c>
      <c r="I457" s="57" t="s">
        <v>320</v>
      </c>
      <c r="J457" s="56">
        <v>12</v>
      </c>
      <c r="K457" s="57" t="s">
        <v>318</v>
      </c>
      <c r="L457" s="59">
        <v>36208337</v>
      </c>
      <c r="M457" s="57" t="s">
        <v>2225</v>
      </c>
      <c r="N457" s="57" t="s">
        <v>2234</v>
      </c>
      <c r="O457" s="57" t="s">
        <v>2258</v>
      </c>
      <c r="P457" s="57" t="s">
        <v>2284</v>
      </c>
      <c r="Q457" s="57" t="s">
        <v>1211</v>
      </c>
    </row>
    <row r="458" spans="1:17" x14ac:dyDescent="0.25">
      <c r="A458" s="55" t="s">
        <v>323</v>
      </c>
      <c r="B458" s="56" t="s">
        <v>2196</v>
      </c>
      <c r="C458" s="57" t="s">
        <v>28</v>
      </c>
      <c r="D458" s="56" t="s">
        <v>324</v>
      </c>
      <c r="E458" s="57" t="s">
        <v>326</v>
      </c>
      <c r="F458" s="56">
        <v>1</v>
      </c>
      <c r="G458" s="57" t="s">
        <v>319</v>
      </c>
      <c r="H458" s="58">
        <v>45870</v>
      </c>
      <c r="I458" s="57" t="s">
        <v>320</v>
      </c>
      <c r="J458" s="56">
        <v>12</v>
      </c>
      <c r="K458" s="57" t="s">
        <v>318</v>
      </c>
      <c r="L458" s="59">
        <v>28875000</v>
      </c>
      <c r="M458" s="57" t="s">
        <v>2225</v>
      </c>
      <c r="N458" s="57" t="s">
        <v>2234</v>
      </c>
      <c r="O458" s="57" t="s">
        <v>2258</v>
      </c>
      <c r="P458" s="57" t="s">
        <v>2284</v>
      </c>
      <c r="Q458" s="57" t="s">
        <v>1211</v>
      </c>
    </row>
    <row r="459" spans="1:17" x14ac:dyDescent="0.25">
      <c r="A459" s="55" t="s">
        <v>434</v>
      </c>
      <c r="B459" s="56" t="s">
        <v>2196</v>
      </c>
      <c r="C459" s="57" t="s">
        <v>28</v>
      </c>
      <c r="D459" s="56" t="s">
        <v>435</v>
      </c>
      <c r="E459" s="57" t="s">
        <v>359</v>
      </c>
      <c r="F459" s="56">
        <v>1</v>
      </c>
      <c r="G459" s="57" t="s">
        <v>319</v>
      </c>
      <c r="H459" s="58">
        <v>45870</v>
      </c>
      <c r="I459" s="57" t="s">
        <v>320</v>
      </c>
      <c r="J459" s="56">
        <v>12</v>
      </c>
      <c r="K459" s="57" t="s">
        <v>318</v>
      </c>
      <c r="L459" s="59">
        <v>73333326</v>
      </c>
      <c r="M459" s="57" t="s">
        <v>2225</v>
      </c>
      <c r="N459" s="57" t="s">
        <v>2234</v>
      </c>
      <c r="O459" s="57" t="s">
        <v>2258</v>
      </c>
      <c r="P459" s="57" t="s">
        <v>2284</v>
      </c>
      <c r="Q459" s="57" t="s">
        <v>1211</v>
      </c>
    </row>
    <row r="460" spans="1:17" x14ac:dyDescent="0.25">
      <c r="A460" s="55" t="s">
        <v>895</v>
      </c>
      <c r="B460" s="56" t="s">
        <v>2199</v>
      </c>
      <c r="C460" s="57" t="s">
        <v>28</v>
      </c>
      <c r="D460" s="56" t="s">
        <v>896</v>
      </c>
      <c r="E460" s="57" t="s">
        <v>898</v>
      </c>
      <c r="F460" s="56">
        <v>1</v>
      </c>
      <c r="G460" s="57" t="s">
        <v>899</v>
      </c>
      <c r="H460" s="58">
        <v>46082</v>
      </c>
      <c r="I460" s="57" t="s">
        <v>900</v>
      </c>
      <c r="J460" s="56">
        <v>1</v>
      </c>
      <c r="K460" s="60">
        <v>46082</v>
      </c>
      <c r="L460" s="59">
        <v>200000</v>
      </c>
      <c r="M460" s="57" t="s">
        <v>2230</v>
      </c>
      <c r="N460" s="57" t="s">
        <v>2227</v>
      </c>
      <c r="O460" s="57" t="s">
        <v>2261</v>
      </c>
      <c r="P460" s="57" t="s">
        <v>2284</v>
      </c>
      <c r="Q460" s="57" t="s">
        <v>899</v>
      </c>
    </row>
    <row r="461" spans="1:17" x14ac:dyDescent="0.25">
      <c r="A461" s="55" t="s">
        <v>2028</v>
      </c>
      <c r="B461" s="56" t="s">
        <v>2199</v>
      </c>
      <c r="C461" s="57" t="s">
        <v>374</v>
      </c>
      <c r="D461" s="56" t="s">
        <v>2029</v>
      </c>
      <c r="E461" s="57" t="s">
        <v>831</v>
      </c>
      <c r="F461" s="56">
        <v>8</v>
      </c>
      <c r="G461" s="57" t="s">
        <v>2032</v>
      </c>
      <c r="H461" s="58">
        <v>46082</v>
      </c>
      <c r="I461" s="57" t="s">
        <v>2033</v>
      </c>
      <c r="J461" s="56">
        <v>1</v>
      </c>
      <c r="K461" s="60">
        <v>46082</v>
      </c>
      <c r="L461" s="59">
        <v>930000</v>
      </c>
      <c r="M461" s="57" t="s">
        <v>2221</v>
      </c>
      <c r="N461" s="57" t="s">
        <v>2234</v>
      </c>
      <c r="O461" s="57" t="s">
        <v>2259</v>
      </c>
      <c r="P461" s="57" t="s">
        <v>2284</v>
      </c>
      <c r="Q461" s="57" t="s">
        <v>2032</v>
      </c>
    </row>
    <row r="462" spans="1:17" x14ac:dyDescent="0.25">
      <c r="A462" s="55" t="s">
        <v>2028</v>
      </c>
      <c r="B462" s="56" t="s">
        <v>2199</v>
      </c>
      <c r="C462" s="57" t="s">
        <v>374</v>
      </c>
      <c r="D462" s="56" t="s">
        <v>2029</v>
      </c>
      <c r="E462" s="57" t="s">
        <v>370</v>
      </c>
      <c r="F462" s="56">
        <v>8</v>
      </c>
      <c r="G462" s="57" t="s">
        <v>2032</v>
      </c>
      <c r="H462" s="58">
        <v>46082</v>
      </c>
      <c r="I462" s="57" t="s">
        <v>2033</v>
      </c>
      <c r="J462" s="56">
        <v>1</v>
      </c>
      <c r="K462" s="60">
        <v>46082</v>
      </c>
      <c r="L462" s="59">
        <v>250000</v>
      </c>
      <c r="M462" s="57" t="s">
        <v>2221</v>
      </c>
      <c r="N462" s="57" t="s">
        <v>2234</v>
      </c>
      <c r="O462" s="57" t="s">
        <v>2259</v>
      </c>
      <c r="P462" s="57" t="s">
        <v>2284</v>
      </c>
      <c r="Q462" s="57" t="s">
        <v>2032</v>
      </c>
    </row>
    <row r="463" spans="1:17" x14ac:dyDescent="0.25">
      <c r="A463" s="55" t="s">
        <v>2028</v>
      </c>
      <c r="B463" s="56" t="s">
        <v>2199</v>
      </c>
      <c r="C463" s="57" t="s">
        <v>374</v>
      </c>
      <c r="D463" s="56" t="s">
        <v>2029</v>
      </c>
      <c r="E463" s="57" t="s">
        <v>1174</v>
      </c>
      <c r="F463" s="56">
        <v>8</v>
      </c>
      <c r="G463" s="57" t="s">
        <v>2032</v>
      </c>
      <c r="H463" s="58">
        <v>46082</v>
      </c>
      <c r="I463" s="57" t="s">
        <v>2033</v>
      </c>
      <c r="J463" s="56">
        <v>1</v>
      </c>
      <c r="K463" s="60">
        <v>46082</v>
      </c>
      <c r="L463" s="59">
        <v>1195000</v>
      </c>
      <c r="M463" s="57" t="s">
        <v>2221</v>
      </c>
      <c r="N463" s="57" t="s">
        <v>2234</v>
      </c>
      <c r="O463" s="57" t="s">
        <v>2259</v>
      </c>
      <c r="P463" s="57" t="s">
        <v>2284</v>
      </c>
      <c r="Q463" s="57" t="s">
        <v>2032</v>
      </c>
    </row>
    <row r="464" spans="1:17" x14ac:dyDescent="0.25">
      <c r="A464" s="55" t="s">
        <v>2028</v>
      </c>
      <c r="B464" s="56" t="s">
        <v>2199</v>
      </c>
      <c r="C464" s="57" t="s">
        <v>374</v>
      </c>
      <c r="D464" s="56" t="s">
        <v>2029</v>
      </c>
      <c r="E464" s="57" t="s">
        <v>2031</v>
      </c>
      <c r="F464" s="56">
        <v>8</v>
      </c>
      <c r="G464" s="57" t="s">
        <v>2032</v>
      </c>
      <c r="H464" s="58">
        <v>46082</v>
      </c>
      <c r="I464" s="57" t="s">
        <v>2033</v>
      </c>
      <c r="J464" s="56">
        <v>1</v>
      </c>
      <c r="K464" s="60">
        <v>46082</v>
      </c>
      <c r="L464" s="59">
        <v>600000</v>
      </c>
      <c r="M464" s="57" t="s">
        <v>2221</v>
      </c>
      <c r="N464" s="57" t="s">
        <v>2234</v>
      </c>
      <c r="O464" s="57" t="s">
        <v>2259</v>
      </c>
      <c r="P464" s="57" t="s">
        <v>2284</v>
      </c>
      <c r="Q464" s="57" t="s">
        <v>2032</v>
      </c>
    </row>
    <row r="465" spans="1:17" x14ac:dyDescent="0.25">
      <c r="A465" s="55" t="s">
        <v>2028</v>
      </c>
      <c r="B465" s="56" t="s">
        <v>2199</v>
      </c>
      <c r="C465" s="57" t="s">
        <v>374</v>
      </c>
      <c r="D465" s="56" t="s">
        <v>2029</v>
      </c>
      <c r="E465" s="57" t="s">
        <v>1279</v>
      </c>
      <c r="F465" s="56">
        <v>8</v>
      </c>
      <c r="G465" s="57" t="s">
        <v>2032</v>
      </c>
      <c r="H465" s="58">
        <v>46082</v>
      </c>
      <c r="I465" s="57" t="s">
        <v>2033</v>
      </c>
      <c r="J465" s="56">
        <v>1</v>
      </c>
      <c r="K465" s="60">
        <v>46082</v>
      </c>
      <c r="L465" s="59">
        <v>1850000</v>
      </c>
      <c r="M465" s="57" t="s">
        <v>2221</v>
      </c>
      <c r="N465" s="57" t="s">
        <v>2234</v>
      </c>
      <c r="O465" s="57" t="s">
        <v>2259</v>
      </c>
      <c r="P465" s="57" t="s">
        <v>2284</v>
      </c>
      <c r="Q465" s="57" t="s">
        <v>2032</v>
      </c>
    </row>
    <row r="466" spans="1:17" x14ac:dyDescent="0.25">
      <c r="A466" s="55" t="s">
        <v>2028</v>
      </c>
      <c r="B466" s="56" t="s">
        <v>2199</v>
      </c>
      <c r="C466" s="57" t="s">
        <v>374</v>
      </c>
      <c r="D466" s="56" t="s">
        <v>2029</v>
      </c>
      <c r="E466" s="57" t="s">
        <v>486</v>
      </c>
      <c r="F466" s="56">
        <v>8</v>
      </c>
      <c r="G466" s="57" t="s">
        <v>2032</v>
      </c>
      <c r="H466" s="58">
        <v>46082</v>
      </c>
      <c r="I466" s="57" t="s">
        <v>2033</v>
      </c>
      <c r="J466" s="56">
        <v>1</v>
      </c>
      <c r="K466" s="60">
        <v>46082</v>
      </c>
      <c r="L466" s="59">
        <v>1164000</v>
      </c>
      <c r="M466" s="57" t="s">
        <v>2221</v>
      </c>
      <c r="N466" s="57" t="s">
        <v>2234</v>
      </c>
      <c r="O466" s="57" t="s">
        <v>2259</v>
      </c>
      <c r="P466" s="57" t="s">
        <v>2284</v>
      </c>
      <c r="Q466" s="57" t="s">
        <v>2032</v>
      </c>
    </row>
    <row r="467" spans="1:17" x14ac:dyDescent="0.25">
      <c r="A467" s="55" t="s">
        <v>2028</v>
      </c>
      <c r="B467" s="56" t="s">
        <v>2199</v>
      </c>
      <c r="C467" s="57" t="s">
        <v>374</v>
      </c>
      <c r="D467" s="56" t="s">
        <v>2029</v>
      </c>
      <c r="E467" s="57" t="s">
        <v>1678</v>
      </c>
      <c r="F467" s="56">
        <v>8</v>
      </c>
      <c r="G467" s="57" t="s">
        <v>2032</v>
      </c>
      <c r="H467" s="58">
        <v>46082</v>
      </c>
      <c r="I467" s="57" t="s">
        <v>2033</v>
      </c>
      <c r="J467" s="56">
        <v>1</v>
      </c>
      <c r="K467" s="60">
        <v>46082</v>
      </c>
      <c r="L467" s="59">
        <v>395540</v>
      </c>
      <c r="M467" s="57" t="s">
        <v>2221</v>
      </c>
      <c r="N467" s="57" t="s">
        <v>2234</v>
      </c>
      <c r="O467" s="57" t="s">
        <v>2259</v>
      </c>
      <c r="P467" s="57" t="s">
        <v>2284</v>
      </c>
      <c r="Q467" s="57" t="s">
        <v>2032</v>
      </c>
    </row>
    <row r="468" spans="1:17" x14ac:dyDescent="0.25">
      <c r="A468" s="55" t="s">
        <v>2028</v>
      </c>
      <c r="B468" s="56" t="s">
        <v>2199</v>
      </c>
      <c r="C468" s="57" t="s">
        <v>374</v>
      </c>
      <c r="D468" s="56" t="s">
        <v>2029</v>
      </c>
      <c r="E468" s="57" t="s">
        <v>2036</v>
      </c>
      <c r="F468" s="56">
        <v>8</v>
      </c>
      <c r="G468" s="57" t="s">
        <v>2032</v>
      </c>
      <c r="H468" s="58">
        <v>46082</v>
      </c>
      <c r="I468" s="57" t="s">
        <v>2033</v>
      </c>
      <c r="J468" s="56">
        <v>1</v>
      </c>
      <c r="K468" s="60">
        <v>46082</v>
      </c>
      <c r="L468" s="59">
        <v>1200000</v>
      </c>
      <c r="M468" s="57" t="s">
        <v>2221</v>
      </c>
      <c r="N468" s="57" t="s">
        <v>2234</v>
      </c>
      <c r="O468" s="57" t="s">
        <v>2259</v>
      </c>
      <c r="P468" s="57" t="s">
        <v>2284</v>
      </c>
      <c r="Q468" s="57" t="s">
        <v>2032</v>
      </c>
    </row>
    <row r="469" spans="1:17" x14ac:dyDescent="0.25">
      <c r="A469" s="55" t="s">
        <v>1345</v>
      </c>
      <c r="B469" s="56" t="s">
        <v>2199</v>
      </c>
      <c r="C469" s="57" t="s">
        <v>28</v>
      </c>
      <c r="D469" s="56" t="s">
        <v>1347</v>
      </c>
      <c r="E469" s="57" t="s">
        <v>1133</v>
      </c>
      <c r="F469" s="56">
        <v>1</v>
      </c>
      <c r="G469" s="57" t="s">
        <v>1299</v>
      </c>
      <c r="H469" s="58">
        <v>46113</v>
      </c>
      <c r="I469" s="57" t="s">
        <v>1300</v>
      </c>
      <c r="J469" s="56">
        <v>1</v>
      </c>
      <c r="K469" s="60">
        <v>46113</v>
      </c>
      <c r="L469" s="59">
        <v>150000</v>
      </c>
      <c r="M469" s="57" t="s">
        <v>2245</v>
      </c>
      <c r="N469" s="57" t="s">
        <v>2256</v>
      </c>
      <c r="O469" s="57" t="s">
        <v>2272</v>
      </c>
      <c r="P469" s="57" t="s">
        <v>2284</v>
      </c>
      <c r="Q469" s="57" t="s">
        <v>1299</v>
      </c>
    </row>
    <row r="470" spans="1:17" x14ac:dyDescent="0.25">
      <c r="A470" s="55" t="s">
        <v>1369</v>
      </c>
      <c r="B470" s="56" t="s">
        <v>2199</v>
      </c>
      <c r="C470" s="57" t="s">
        <v>1238</v>
      </c>
      <c r="D470" s="56" t="s">
        <v>1370</v>
      </c>
      <c r="E470" s="57" t="s">
        <v>1175</v>
      </c>
      <c r="F470" s="56">
        <v>2</v>
      </c>
      <c r="G470" s="57" t="s">
        <v>1299</v>
      </c>
      <c r="H470" s="58">
        <v>46113</v>
      </c>
      <c r="I470" s="57" t="s">
        <v>1300</v>
      </c>
      <c r="J470" s="56">
        <v>1</v>
      </c>
      <c r="K470" s="60">
        <v>46113</v>
      </c>
      <c r="L470" s="59">
        <v>704255000</v>
      </c>
      <c r="M470" s="57" t="s">
        <v>2245</v>
      </c>
      <c r="N470" s="57" t="s">
        <v>2256</v>
      </c>
      <c r="O470" s="57" t="s">
        <v>2272</v>
      </c>
      <c r="P470" s="57" t="s">
        <v>2284</v>
      </c>
      <c r="Q470" s="57" t="s">
        <v>1299</v>
      </c>
    </row>
    <row r="471" spans="1:17" x14ac:dyDescent="0.25">
      <c r="A471" s="55" t="s">
        <v>1369</v>
      </c>
      <c r="B471" s="56" t="s">
        <v>2199</v>
      </c>
      <c r="C471" s="57" t="s">
        <v>1238</v>
      </c>
      <c r="D471" s="56" t="s">
        <v>1370</v>
      </c>
      <c r="E471" s="57" t="s">
        <v>1303</v>
      </c>
      <c r="F471" s="56">
        <v>2</v>
      </c>
      <c r="G471" s="57" t="s">
        <v>1299</v>
      </c>
      <c r="H471" s="58">
        <v>46113</v>
      </c>
      <c r="I471" s="57" t="s">
        <v>1300</v>
      </c>
      <c r="J471" s="56">
        <v>1</v>
      </c>
      <c r="K471" s="60">
        <v>46113</v>
      </c>
      <c r="L471" s="59">
        <v>874576000</v>
      </c>
      <c r="M471" s="57" t="s">
        <v>2245</v>
      </c>
      <c r="N471" s="57" t="s">
        <v>2256</v>
      </c>
      <c r="O471" s="57" t="s">
        <v>2272</v>
      </c>
      <c r="P471" s="57" t="s">
        <v>2284</v>
      </c>
      <c r="Q471" s="57" t="s">
        <v>1299</v>
      </c>
    </row>
    <row r="472" spans="1:17" x14ac:dyDescent="0.25">
      <c r="A472" s="55" t="s">
        <v>1385</v>
      </c>
      <c r="B472" s="56" t="s">
        <v>2199</v>
      </c>
      <c r="C472" s="57" t="s">
        <v>1238</v>
      </c>
      <c r="D472" s="56" t="s">
        <v>1386</v>
      </c>
      <c r="E472" s="57" t="s">
        <v>1175</v>
      </c>
      <c r="F472" s="56">
        <v>2</v>
      </c>
      <c r="G472" s="57" t="s">
        <v>1299</v>
      </c>
      <c r="H472" s="58">
        <v>46113</v>
      </c>
      <c r="I472" s="57" t="s">
        <v>1300</v>
      </c>
      <c r="J472" s="56">
        <v>1</v>
      </c>
      <c r="K472" s="60">
        <v>46113</v>
      </c>
      <c r="L472" s="59">
        <v>64156000</v>
      </c>
      <c r="M472" s="57" t="s">
        <v>2245</v>
      </c>
      <c r="N472" s="57" t="s">
        <v>2256</v>
      </c>
      <c r="O472" s="57" t="s">
        <v>2272</v>
      </c>
      <c r="P472" s="57" t="s">
        <v>2284</v>
      </c>
      <c r="Q472" s="57" t="s">
        <v>1299</v>
      </c>
    </row>
    <row r="473" spans="1:17" x14ac:dyDescent="0.25">
      <c r="A473" s="55" t="s">
        <v>1385</v>
      </c>
      <c r="B473" s="56" t="s">
        <v>2199</v>
      </c>
      <c r="C473" s="57" t="s">
        <v>1238</v>
      </c>
      <c r="D473" s="56" t="s">
        <v>1386</v>
      </c>
      <c r="E473" s="57" t="s">
        <v>1303</v>
      </c>
      <c r="F473" s="56">
        <v>2</v>
      </c>
      <c r="G473" s="57" t="s">
        <v>1299</v>
      </c>
      <c r="H473" s="58">
        <v>46113</v>
      </c>
      <c r="I473" s="57" t="s">
        <v>1300</v>
      </c>
      <c r="J473" s="56">
        <v>1</v>
      </c>
      <c r="K473" s="60">
        <v>46113</v>
      </c>
      <c r="L473" s="59">
        <v>1904912000</v>
      </c>
      <c r="M473" s="57" t="s">
        <v>2245</v>
      </c>
      <c r="N473" s="57" t="s">
        <v>2256</v>
      </c>
      <c r="O473" s="57" t="s">
        <v>2272</v>
      </c>
      <c r="P473" s="57" t="s">
        <v>2284</v>
      </c>
      <c r="Q473" s="57" t="s">
        <v>1299</v>
      </c>
    </row>
    <row r="474" spans="1:17" x14ac:dyDescent="0.25">
      <c r="A474" s="55" t="s">
        <v>1387</v>
      </c>
      <c r="B474" s="56" t="s">
        <v>2199</v>
      </c>
      <c r="C474" s="57" t="s">
        <v>1238</v>
      </c>
      <c r="D474" s="56" t="s">
        <v>1388</v>
      </c>
      <c r="E474" s="57" t="s">
        <v>1175</v>
      </c>
      <c r="F474" s="56">
        <v>2</v>
      </c>
      <c r="G474" s="57" t="s">
        <v>1299</v>
      </c>
      <c r="H474" s="58">
        <v>46113</v>
      </c>
      <c r="I474" s="57" t="s">
        <v>1300</v>
      </c>
      <c r="J474" s="56">
        <v>1</v>
      </c>
      <c r="K474" s="60">
        <v>46113</v>
      </c>
      <c r="L474" s="59">
        <v>12678000</v>
      </c>
      <c r="M474" s="57" t="s">
        <v>2245</v>
      </c>
      <c r="N474" s="57" t="s">
        <v>2256</v>
      </c>
      <c r="O474" s="57" t="s">
        <v>2272</v>
      </c>
      <c r="P474" s="57" t="s">
        <v>2284</v>
      </c>
      <c r="Q474" s="57" t="s">
        <v>1299</v>
      </c>
    </row>
    <row r="475" spans="1:17" x14ac:dyDescent="0.25">
      <c r="A475" s="55" t="s">
        <v>1387</v>
      </c>
      <c r="B475" s="56" t="s">
        <v>2199</v>
      </c>
      <c r="C475" s="57" t="s">
        <v>1238</v>
      </c>
      <c r="D475" s="56" t="s">
        <v>1388</v>
      </c>
      <c r="E475" s="57" t="s">
        <v>1303</v>
      </c>
      <c r="F475" s="56">
        <v>2</v>
      </c>
      <c r="G475" s="57" t="s">
        <v>1299</v>
      </c>
      <c r="H475" s="58">
        <v>46113</v>
      </c>
      <c r="I475" s="57" t="s">
        <v>1300</v>
      </c>
      <c r="J475" s="56">
        <v>1</v>
      </c>
      <c r="K475" s="60">
        <v>46113</v>
      </c>
      <c r="L475" s="59">
        <v>5954000</v>
      </c>
      <c r="M475" s="57" t="s">
        <v>2245</v>
      </c>
      <c r="N475" s="57" t="s">
        <v>2256</v>
      </c>
      <c r="O475" s="57" t="s">
        <v>2272</v>
      </c>
      <c r="P475" s="57" t="s">
        <v>2284</v>
      </c>
      <c r="Q475" s="57" t="s">
        <v>1299</v>
      </c>
    </row>
    <row r="476" spans="1:17" x14ac:dyDescent="0.25">
      <c r="A476" s="55" t="s">
        <v>1393</v>
      </c>
      <c r="B476" s="56" t="s">
        <v>2199</v>
      </c>
      <c r="C476" s="57" t="s">
        <v>1238</v>
      </c>
      <c r="D476" s="56" t="s">
        <v>1394</v>
      </c>
      <c r="E476" s="57" t="s">
        <v>1175</v>
      </c>
      <c r="F476" s="56">
        <v>2</v>
      </c>
      <c r="G476" s="57" t="s">
        <v>1299</v>
      </c>
      <c r="H476" s="58">
        <v>46113</v>
      </c>
      <c r="I476" s="57" t="s">
        <v>1300</v>
      </c>
      <c r="J476" s="56">
        <v>1</v>
      </c>
      <c r="K476" s="60">
        <v>46113</v>
      </c>
      <c r="L476" s="59">
        <v>30000000</v>
      </c>
      <c r="M476" s="57" t="s">
        <v>2245</v>
      </c>
      <c r="N476" s="57" t="s">
        <v>2256</v>
      </c>
      <c r="O476" s="57" t="s">
        <v>2272</v>
      </c>
      <c r="P476" s="57" t="s">
        <v>2284</v>
      </c>
      <c r="Q476" s="57" t="s">
        <v>1299</v>
      </c>
    </row>
    <row r="477" spans="1:17" x14ac:dyDescent="0.25">
      <c r="A477" s="55" t="s">
        <v>1393</v>
      </c>
      <c r="B477" s="56" t="s">
        <v>2199</v>
      </c>
      <c r="C477" s="57" t="s">
        <v>1238</v>
      </c>
      <c r="D477" s="56" t="s">
        <v>1394</v>
      </c>
      <c r="E477" s="57" t="s">
        <v>1303</v>
      </c>
      <c r="F477" s="56">
        <v>2</v>
      </c>
      <c r="G477" s="57" t="s">
        <v>1299</v>
      </c>
      <c r="H477" s="58">
        <v>46113</v>
      </c>
      <c r="I477" s="57" t="s">
        <v>1300</v>
      </c>
      <c r="J477" s="56">
        <v>1</v>
      </c>
      <c r="K477" s="60">
        <v>46113</v>
      </c>
      <c r="L477" s="59">
        <v>250000000</v>
      </c>
      <c r="M477" s="57" t="s">
        <v>2245</v>
      </c>
      <c r="N477" s="57" t="s">
        <v>2256</v>
      </c>
      <c r="O477" s="57" t="s">
        <v>2272</v>
      </c>
      <c r="P477" s="57" t="s">
        <v>2284</v>
      </c>
      <c r="Q477" s="57" t="s">
        <v>1299</v>
      </c>
    </row>
    <row r="478" spans="1:17" x14ac:dyDescent="0.25">
      <c r="A478" s="55" t="s">
        <v>1398</v>
      </c>
      <c r="B478" s="56" t="s">
        <v>2199</v>
      </c>
      <c r="C478" s="57" t="s">
        <v>1238</v>
      </c>
      <c r="D478" s="56" t="s">
        <v>1399</v>
      </c>
      <c r="E478" s="57" t="s">
        <v>1175</v>
      </c>
      <c r="F478" s="56">
        <v>2</v>
      </c>
      <c r="G478" s="57" t="s">
        <v>1299</v>
      </c>
      <c r="H478" s="58">
        <v>46143</v>
      </c>
      <c r="I478" s="57" t="s">
        <v>1300</v>
      </c>
      <c r="J478" s="56">
        <v>1</v>
      </c>
      <c r="K478" s="60">
        <v>46143</v>
      </c>
      <c r="L478" s="59">
        <v>6000000</v>
      </c>
      <c r="M478" s="57" t="s">
        <v>2245</v>
      </c>
      <c r="N478" s="57" t="s">
        <v>2256</v>
      </c>
      <c r="O478" s="57" t="s">
        <v>2272</v>
      </c>
      <c r="P478" s="57" t="s">
        <v>2284</v>
      </c>
      <c r="Q478" s="57" t="s">
        <v>1299</v>
      </c>
    </row>
    <row r="479" spans="1:17" x14ac:dyDescent="0.25">
      <c r="A479" s="55" t="s">
        <v>1398</v>
      </c>
      <c r="B479" s="56" t="s">
        <v>2199</v>
      </c>
      <c r="C479" s="57" t="s">
        <v>1238</v>
      </c>
      <c r="D479" s="56" t="s">
        <v>1399</v>
      </c>
      <c r="E479" s="57" t="s">
        <v>1303</v>
      </c>
      <c r="F479" s="56">
        <v>2</v>
      </c>
      <c r="G479" s="57" t="s">
        <v>1299</v>
      </c>
      <c r="H479" s="58">
        <v>46143</v>
      </c>
      <c r="I479" s="57" t="s">
        <v>1300</v>
      </c>
      <c r="J479" s="56">
        <v>1</v>
      </c>
      <c r="K479" s="60">
        <v>46143</v>
      </c>
      <c r="L479" s="59">
        <v>55000000</v>
      </c>
      <c r="M479" s="57" t="s">
        <v>2245</v>
      </c>
      <c r="N479" s="57" t="s">
        <v>2256</v>
      </c>
      <c r="O479" s="57" t="s">
        <v>2272</v>
      </c>
      <c r="P479" s="57" t="s">
        <v>2284</v>
      </c>
      <c r="Q479" s="57" t="s">
        <v>1299</v>
      </c>
    </row>
    <row r="480" spans="1:17" x14ac:dyDescent="0.25">
      <c r="A480" s="55" t="s">
        <v>1673</v>
      </c>
      <c r="B480" s="56" t="s">
        <v>2199</v>
      </c>
      <c r="C480" s="57" t="s">
        <v>1238</v>
      </c>
      <c r="D480" s="56" t="s">
        <v>1674</v>
      </c>
      <c r="E480" s="57" t="s">
        <v>1175</v>
      </c>
      <c r="F480" s="56">
        <v>2</v>
      </c>
      <c r="G480" s="57" t="s">
        <v>1299</v>
      </c>
      <c r="H480" s="58">
        <v>46113</v>
      </c>
      <c r="I480" s="57" t="s">
        <v>1300</v>
      </c>
      <c r="J480" s="56">
        <v>1</v>
      </c>
      <c r="K480" s="60">
        <v>46113</v>
      </c>
      <c r="L480" s="59">
        <v>5731000</v>
      </c>
      <c r="M480" s="57" t="s">
        <v>2245</v>
      </c>
      <c r="N480" s="57" t="s">
        <v>2256</v>
      </c>
      <c r="O480" s="57" t="s">
        <v>2272</v>
      </c>
      <c r="P480" s="57" t="s">
        <v>2284</v>
      </c>
      <c r="Q480" s="57" t="s">
        <v>1299</v>
      </c>
    </row>
    <row r="481" spans="1:17" x14ac:dyDescent="0.25">
      <c r="A481" s="55" t="s">
        <v>1673</v>
      </c>
      <c r="B481" s="56" t="s">
        <v>2199</v>
      </c>
      <c r="C481" s="57" t="s">
        <v>1238</v>
      </c>
      <c r="D481" s="56" t="s">
        <v>1674</v>
      </c>
      <c r="E481" s="57" t="s">
        <v>1303</v>
      </c>
      <c r="F481" s="56">
        <v>2</v>
      </c>
      <c r="G481" s="57" t="s">
        <v>1299</v>
      </c>
      <c r="H481" s="58">
        <v>46113</v>
      </c>
      <c r="I481" s="57" t="s">
        <v>1300</v>
      </c>
      <c r="J481" s="56">
        <v>1</v>
      </c>
      <c r="K481" s="60">
        <v>46113</v>
      </c>
      <c r="L481" s="59">
        <v>1042000</v>
      </c>
      <c r="M481" s="57" t="s">
        <v>2245</v>
      </c>
      <c r="N481" s="57" t="s">
        <v>2256</v>
      </c>
      <c r="O481" s="57" t="s">
        <v>2272</v>
      </c>
      <c r="P481" s="57" t="s">
        <v>2284</v>
      </c>
      <c r="Q481" s="57" t="s">
        <v>1299</v>
      </c>
    </row>
    <row r="482" spans="1:17" x14ac:dyDescent="0.25">
      <c r="A482" s="55" t="s">
        <v>1295</v>
      </c>
      <c r="B482" s="56" t="s">
        <v>2199</v>
      </c>
      <c r="C482" s="57" t="s">
        <v>1238</v>
      </c>
      <c r="D482" s="56" t="s">
        <v>1297</v>
      </c>
      <c r="E482" s="57" t="s">
        <v>1175</v>
      </c>
      <c r="F482" s="56">
        <v>2</v>
      </c>
      <c r="G482" s="57" t="s">
        <v>1299</v>
      </c>
      <c r="H482" s="58">
        <v>46113</v>
      </c>
      <c r="I482" s="57" t="s">
        <v>1300</v>
      </c>
      <c r="J482" s="56">
        <v>1</v>
      </c>
      <c r="K482" s="60">
        <v>46113</v>
      </c>
      <c r="L482" s="59">
        <v>75964000</v>
      </c>
      <c r="M482" s="57" t="s">
        <v>2245</v>
      </c>
      <c r="N482" s="57" t="s">
        <v>2256</v>
      </c>
      <c r="O482" s="57" t="s">
        <v>2272</v>
      </c>
      <c r="P482" s="57" t="s">
        <v>2284</v>
      </c>
      <c r="Q482" s="57" t="s">
        <v>1299</v>
      </c>
    </row>
    <row r="483" spans="1:17" x14ac:dyDescent="0.25">
      <c r="A483" s="55" t="s">
        <v>1295</v>
      </c>
      <c r="B483" s="56" t="s">
        <v>2199</v>
      </c>
      <c r="C483" s="57" t="s">
        <v>1238</v>
      </c>
      <c r="D483" s="56" t="s">
        <v>1297</v>
      </c>
      <c r="E483" s="57" t="s">
        <v>1303</v>
      </c>
      <c r="F483" s="56">
        <v>2</v>
      </c>
      <c r="G483" s="57" t="s">
        <v>1299</v>
      </c>
      <c r="H483" s="58">
        <v>46113</v>
      </c>
      <c r="I483" s="57" t="s">
        <v>1300</v>
      </c>
      <c r="J483" s="56">
        <v>1</v>
      </c>
      <c r="K483" s="60">
        <v>46113</v>
      </c>
      <c r="L483" s="59">
        <v>66699000</v>
      </c>
      <c r="M483" s="57" t="s">
        <v>2245</v>
      </c>
      <c r="N483" s="57" t="s">
        <v>2256</v>
      </c>
      <c r="O483" s="57" t="s">
        <v>2272</v>
      </c>
      <c r="P483" s="57" t="s">
        <v>2284</v>
      </c>
      <c r="Q483" s="57" t="s">
        <v>1299</v>
      </c>
    </row>
    <row r="484" spans="1:17" x14ac:dyDescent="0.25">
      <c r="A484" s="55" t="s">
        <v>1349</v>
      </c>
      <c r="B484" s="56" t="s">
        <v>2199</v>
      </c>
      <c r="C484" s="57" t="s">
        <v>1238</v>
      </c>
      <c r="D484" s="56" t="s">
        <v>1350</v>
      </c>
      <c r="E484" s="57" t="s">
        <v>1175</v>
      </c>
      <c r="F484" s="56">
        <v>2</v>
      </c>
      <c r="G484" s="57" t="s">
        <v>1299</v>
      </c>
      <c r="H484" s="58">
        <v>46113</v>
      </c>
      <c r="I484" s="57" t="s">
        <v>1300</v>
      </c>
      <c r="J484" s="56">
        <v>1</v>
      </c>
      <c r="K484" s="60">
        <v>46113</v>
      </c>
      <c r="L484" s="59">
        <v>10000000</v>
      </c>
      <c r="M484" s="57" t="s">
        <v>2245</v>
      </c>
      <c r="N484" s="57" t="s">
        <v>2256</v>
      </c>
      <c r="O484" s="57" t="s">
        <v>2272</v>
      </c>
      <c r="P484" s="57" t="s">
        <v>2284</v>
      </c>
      <c r="Q484" s="57" t="s">
        <v>1299</v>
      </c>
    </row>
    <row r="485" spans="1:17" x14ac:dyDescent="0.25">
      <c r="A485" s="55" t="s">
        <v>1349</v>
      </c>
      <c r="B485" s="56" t="s">
        <v>2199</v>
      </c>
      <c r="C485" s="57" t="s">
        <v>1238</v>
      </c>
      <c r="D485" s="56" t="s">
        <v>1350</v>
      </c>
      <c r="E485" s="57" t="s">
        <v>1303</v>
      </c>
      <c r="F485" s="56">
        <v>2</v>
      </c>
      <c r="G485" s="57" t="s">
        <v>1299</v>
      </c>
      <c r="H485" s="58">
        <v>46113</v>
      </c>
      <c r="I485" s="57" t="s">
        <v>1300</v>
      </c>
      <c r="J485" s="56">
        <v>1</v>
      </c>
      <c r="K485" s="60">
        <v>46113</v>
      </c>
      <c r="L485" s="59">
        <v>200000000</v>
      </c>
      <c r="M485" s="57" t="s">
        <v>2245</v>
      </c>
      <c r="N485" s="57" t="s">
        <v>2256</v>
      </c>
      <c r="O485" s="57" t="s">
        <v>2272</v>
      </c>
      <c r="P485" s="57" t="s">
        <v>2284</v>
      </c>
      <c r="Q485" s="57" t="s">
        <v>1299</v>
      </c>
    </row>
    <row r="486" spans="1:17" x14ac:dyDescent="0.25">
      <c r="A486" s="55" t="s">
        <v>1352</v>
      </c>
      <c r="B486" s="56" t="s">
        <v>2199</v>
      </c>
      <c r="C486" s="57" t="s">
        <v>1238</v>
      </c>
      <c r="D486" s="56" t="s">
        <v>1353</v>
      </c>
      <c r="E486" s="57" t="s">
        <v>1175</v>
      </c>
      <c r="F486" s="56">
        <v>2</v>
      </c>
      <c r="G486" s="57" t="s">
        <v>1299</v>
      </c>
      <c r="H486" s="58">
        <v>46204</v>
      </c>
      <c r="I486" s="57" t="s">
        <v>1300</v>
      </c>
      <c r="J486" s="56">
        <v>1</v>
      </c>
      <c r="K486" s="60">
        <v>46204</v>
      </c>
      <c r="L486" s="59">
        <v>86892000</v>
      </c>
      <c r="M486" s="57" t="s">
        <v>2245</v>
      </c>
      <c r="N486" s="57" t="s">
        <v>2256</v>
      </c>
      <c r="O486" s="57" t="s">
        <v>2272</v>
      </c>
      <c r="P486" s="57" t="s">
        <v>2284</v>
      </c>
      <c r="Q486" s="57" t="s">
        <v>1299</v>
      </c>
    </row>
    <row r="487" spans="1:17" x14ac:dyDescent="0.25">
      <c r="A487" s="55" t="s">
        <v>1352</v>
      </c>
      <c r="B487" s="56" t="s">
        <v>2199</v>
      </c>
      <c r="C487" s="57" t="s">
        <v>1238</v>
      </c>
      <c r="D487" s="56" t="s">
        <v>1353</v>
      </c>
      <c r="E487" s="57" t="s">
        <v>1303</v>
      </c>
      <c r="F487" s="56">
        <v>2</v>
      </c>
      <c r="G487" s="57" t="s">
        <v>1299</v>
      </c>
      <c r="H487" s="58">
        <v>46204</v>
      </c>
      <c r="I487" s="57" t="s">
        <v>1300</v>
      </c>
      <c r="J487" s="56">
        <v>1</v>
      </c>
      <c r="K487" s="60">
        <v>46204</v>
      </c>
      <c r="L487" s="59">
        <v>42183000</v>
      </c>
      <c r="M487" s="57" t="s">
        <v>2245</v>
      </c>
      <c r="N487" s="57" t="s">
        <v>2256</v>
      </c>
      <c r="O487" s="57" t="s">
        <v>2272</v>
      </c>
      <c r="P487" s="57" t="s">
        <v>2284</v>
      </c>
      <c r="Q487" s="57" t="s">
        <v>1299</v>
      </c>
    </row>
    <row r="488" spans="1:17" x14ac:dyDescent="0.25">
      <c r="A488" s="55" t="s">
        <v>1355</v>
      </c>
      <c r="B488" s="56" t="s">
        <v>2199</v>
      </c>
      <c r="C488" s="57" t="s">
        <v>594</v>
      </c>
      <c r="D488" s="56" t="s">
        <v>1356</v>
      </c>
      <c r="E488" s="57" t="s">
        <v>1175</v>
      </c>
      <c r="F488" s="56">
        <v>2</v>
      </c>
      <c r="G488" s="57" t="s">
        <v>1299</v>
      </c>
      <c r="H488" s="58">
        <v>46204</v>
      </c>
      <c r="I488" s="57" t="s">
        <v>1300</v>
      </c>
      <c r="J488" s="56">
        <v>1</v>
      </c>
      <c r="K488" s="60">
        <v>46204</v>
      </c>
      <c r="L488" s="59">
        <v>9566000</v>
      </c>
      <c r="M488" s="57" t="s">
        <v>2245</v>
      </c>
      <c r="N488" s="57" t="s">
        <v>2256</v>
      </c>
      <c r="O488" s="57" t="s">
        <v>2272</v>
      </c>
      <c r="P488" s="57" t="s">
        <v>2284</v>
      </c>
      <c r="Q488" s="57" t="s">
        <v>1299</v>
      </c>
    </row>
    <row r="489" spans="1:17" x14ac:dyDescent="0.25">
      <c r="A489" s="55" t="s">
        <v>1355</v>
      </c>
      <c r="B489" s="56" t="s">
        <v>2199</v>
      </c>
      <c r="C489" s="57" t="s">
        <v>594</v>
      </c>
      <c r="D489" s="56" t="s">
        <v>1356</v>
      </c>
      <c r="E489" s="57" t="s">
        <v>1303</v>
      </c>
      <c r="F489" s="56">
        <v>2</v>
      </c>
      <c r="G489" s="57" t="s">
        <v>1299</v>
      </c>
      <c r="H489" s="58">
        <v>46204</v>
      </c>
      <c r="I489" s="57" t="s">
        <v>1300</v>
      </c>
      <c r="J489" s="56">
        <v>1</v>
      </c>
      <c r="K489" s="60">
        <v>46204</v>
      </c>
      <c r="L489" s="59">
        <v>7621000</v>
      </c>
      <c r="M489" s="57" t="s">
        <v>2245</v>
      </c>
      <c r="N489" s="57" t="s">
        <v>2256</v>
      </c>
      <c r="O489" s="57" t="s">
        <v>2272</v>
      </c>
      <c r="P489" s="57" t="s">
        <v>2284</v>
      </c>
      <c r="Q489" s="57" t="s">
        <v>1299</v>
      </c>
    </row>
    <row r="490" spans="1:17" x14ac:dyDescent="0.25">
      <c r="A490" s="55" t="s">
        <v>1357</v>
      </c>
      <c r="B490" s="56" t="s">
        <v>2199</v>
      </c>
      <c r="C490" s="57" t="s">
        <v>594</v>
      </c>
      <c r="D490" s="56" t="s">
        <v>1358</v>
      </c>
      <c r="E490" s="57" t="s">
        <v>1175</v>
      </c>
      <c r="F490" s="56">
        <v>2</v>
      </c>
      <c r="G490" s="57" t="s">
        <v>1299</v>
      </c>
      <c r="H490" s="58">
        <v>46174</v>
      </c>
      <c r="I490" s="57" t="s">
        <v>1300</v>
      </c>
      <c r="J490" s="56">
        <v>1</v>
      </c>
      <c r="K490" s="60">
        <v>46174</v>
      </c>
      <c r="L490" s="59">
        <v>97703000</v>
      </c>
      <c r="M490" s="57" t="s">
        <v>2245</v>
      </c>
      <c r="N490" s="57" t="s">
        <v>2256</v>
      </c>
      <c r="O490" s="57" t="s">
        <v>2272</v>
      </c>
      <c r="P490" s="57" t="s">
        <v>2284</v>
      </c>
      <c r="Q490" s="57" t="s">
        <v>1299</v>
      </c>
    </row>
    <row r="491" spans="1:17" x14ac:dyDescent="0.25">
      <c r="A491" s="55" t="s">
        <v>1357</v>
      </c>
      <c r="B491" s="56" t="s">
        <v>2199</v>
      </c>
      <c r="C491" s="57" t="s">
        <v>594</v>
      </c>
      <c r="D491" s="56" t="s">
        <v>1358</v>
      </c>
      <c r="E491" s="57" t="s">
        <v>1303</v>
      </c>
      <c r="F491" s="56">
        <v>2</v>
      </c>
      <c r="G491" s="57" t="s">
        <v>1299</v>
      </c>
      <c r="H491" s="58">
        <v>46174</v>
      </c>
      <c r="I491" s="57" t="s">
        <v>1300</v>
      </c>
      <c r="J491" s="56">
        <v>1</v>
      </c>
      <c r="K491" s="60">
        <v>46174</v>
      </c>
      <c r="L491" s="59">
        <v>196076000</v>
      </c>
      <c r="M491" s="57" t="s">
        <v>2245</v>
      </c>
      <c r="N491" s="57" t="s">
        <v>2256</v>
      </c>
      <c r="O491" s="57" t="s">
        <v>2272</v>
      </c>
      <c r="P491" s="57" t="s">
        <v>2284</v>
      </c>
      <c r="Q491" s="57" t="s">
        <v>1299</v>
      </c>
    </row>
    <row r="492" spans="1:17" x14ac:dyDescent="0.25">
      <c r="A492" s="55" t="s">
        <v>1363</v>
      </c>
      <c r="B492" s="56" t="s">
        <v>2199</v>
      </c>
      <c r="C492" s="57" t="s">
        <v>594</v>
      </c>
      <c r="D492" s="56" t="s">
        <v>1364</v>
      </c>
      <c r="E492" s="57" t="s">
        <v>1175</v>
      </c>
      <c r="F492" s="56">
        <v>2</v>
      </c>
      <c r="G492" s="57" t="s">
        <v>1299</v>
      </c>
      <c r="H492" s="58">
        <v>46143</v>
      </c>
      <c r="I492" s="57" t="s">
        <v>1300</v>
      </c>
      <c r="J492" s="56">
        <v>1</v>
      </c>
      <c r="K492" s="60">
        <v>46143</v>
      </c>
      <c r="L492" s="59">
        <v>44778000</v>
      </c>
      <c r="M492" s="57" t="s">
        <v>2245</v>
      </c>
      <c r="N492" s="57" t="s">
        <v>2256</v>
      </c>
      <c r="O492" s="57" t="s">
        <v>2272</v>
      </c>
      <c r="P492" s="57" t="s">
        <v>2284</v>
      </c>
      <c r="Q492" s="57" t="s">
        <v>1299</v>
      </c>
    </row>
    <row r="493" spans="1:17" x14ac:dyDescent="0.25">
      <c r="A493" s="55" t="s">
        <v>1363</v>
      </c>
      <c r="B493" s="56" t="s">
        <v>2199</v>
      </c>
      <c r="C493" s="57" t="s">
        <v>594</v>
      </c>
      <c r="D493" s="56" t="s">
        <v>1364</v>
      </c>
      <c r="E493" s="57" t="s">
        <v>1303</v>
      </c>
      <c r="F493" s="56">
        <v>2</v>
      </c>
      <c r="G493" s="57" t="s">
        <v>1299</v>
      </c>
      <c r="H493" s="58">
        <v>46143</v>
      </c>
      <c r="I493" s="57" t="s">
        <v>1300</v>
      </c>
      <c r="J493" s="56">
        <v>1</v>
      </c>
      <c r="K493" s="60">
        <v>46143</v>
      </c>
      <c r="L493" s="59">
        <v>57632000</v>
      </c>
      <c r="M493" s="57" t="s">
        <v>2245</v>
      </c>
      <c r="N493" s="57" t="s">
        <v>2256</v>
      </c>
      <c r="O493" s="57" t="s">
        <v>2272</v>
      </c>
      <c r="P493" s="57" t="s">
        <v>2284</v>
      </c>
      <c r="Q493" s="57" t="s">
        <v>1299</v>
      </c>
    </row>
    <row r="494" spans="1:17" x14ac:dyDescent="0.25">
      <c r="A494" s="55" t="s">
        <v>1382</v>
      </c>
      <c r="B494" s="56" t="s">
        <v>2199</v>
      </c>
      <c r="C494" s="57" t="s">
        <v>594</v>
      </c>
      <c r="D494" s="56" t="s">
        <v>1383</v>
      </c>
      <c r="E494" s="57" t="s">
        <v>1175</v>
      </c>
      <c r="F494" s="56">
        <v>1</v>
      </c>
      <c r="G494" s="57" t="s">
        <v>1299</v>
      </c>
      <c r="H494" s="58">
        <v>46113</v>
      </c>
      <c r="I494" s="57" t="s">
        <v>1300</v>
      </c>
      <c r="J494" s="56">
        <v>1</v>
      </c>
      <c r="K494" s="60">
        <v>46113</v>
      </c>
      <c r="L494" s="59">
        <v>6442000</v>
      </c>
      <c r="M494" s="57" t="s">
        <v>2245</v>
      </c>
      <c r="N494" s="57" t="s">
        <v>2256</v>
      </c>
      <c r="O494" s="57" t="s">
        <v>2272</v>
      </c>
      <c r="P494" s="57" t="s">
        <v>2284</v>
      </c>
      <c r="Q494" s="57" t="s">
        <v>1299</v>
      </c>
    </row>
    <row r="495" spans="1:17" x14ac:dyDescent="0.25">
      <c r="A495" s="55" t="s">
        <v>1401</v>
      </c>
      <c r="B495" s="56" t="s">
        <v>2199</v>
      </c>
      <c r="C495" s="57" t="s">
        <v>594</v>
      </c>
      <c r="D495" s="56" t="s">
        <v>1402</v>
      </c>
      <c r="E495" s="57" t="s">
        <v>1175</v>
      </c>
      <c r="F495" s="56">
        <v>2</v>
      </c>
      <c r="G495" s="57" t="s">
        <v>1299</v>
      </c>
      <c r="H495" s="58">
        <v>46143</v>
      </c>
      <c r="I495" s="57" t="s">
        <v>1300</v>
      </c>
      <c r="J495" s="56">
        <v>1</v>
      </c>
      <c r="K495" s="60">
        <v>46143</v>
      </c>
      <c r="L495" s="59">
        <v>40289000</v>
      </c>
      <c r="M495" s="57" t="s">
        <v>2245</v>
      </c>
      <c r="N495" s="57" t="s">
        <v>2256</v>
      </c>
      <c r="O495" s="57" t="s">
        <v>2272</v>
      </c>
      <c r="P495" s="57" t="s">
        <v>2284</v>
      </c>
      <c r="Q495" s="57" t="s">
        <v>1299</v>
      </c>
    </row>
    <row r="496" spans="1:17" x14ac:dyDescent="0.25">
      <c r="A496" s="55" t="s">
        <v>1401</v>
      </c>
      <c r="B496" s="56" t="s">
        <v>2199</v>
      </c>
      <c r="C496" s="57" t="s">
        <v>594</v>
      </c>
      <c r="D496" s="56" t="s">
        <v>1402</v>
      </c>
      <c r="E496" s="57" t="s">
        <v>1303</v>
      </c>
      <c r="F496" s="56">
        <v>2</v>
      </c>
      <c r="G496" s="57" t="s">
        <v>1299</v>
      </c>
      <c r="H496" s="58">
        <v>46143</v>
      </c>
      <c r="I496" s="57" t="s">
        <v>1300</v>
      </c>
      <c r="J496" s="56">
        <v>1</v>
      </c>
      <c r="K496" s="60">
        <v>46143</v>
      </c>
      <c r="L496" s="59">
        <v>316236000</v>
      </c>
      <c r="M496" s="57" t="s">
        <v>2245</v>
      </c>
      <c r="N496" s="57" t="s">
        <v>2256</v>
      </c>
      <c r="O496" s="57" t="s">
        <v>2272</v>
      </c>
      <c r="P496" s="57" t="s">
        <v>2284</v>
      </c>
      <c r="Q496" s="57" t="s">
        <v>1299</v>
      </c>
    </row>
    <row r="497" spans="1:17" x14ac:dyDescent="0.25">
      <c r="A497" s="55" t="s">
        <v>355</v>
      </c>
      <c r="B497" s="56" t="s">
        <v>2196</v>
      </c>
      <c r="C497" s="57" t="s">
        <v>28</v>
      </c>
      <c r="D497" s="56" t="s">
        <v>357</v>
      </c>
      <c r="E497" s="57" t="s">
        <v>359</v>
      </c>
      <c r="F497" s="56">
        <v>1</v>
      </c>
      <c r="G497" s="57" t="s">
        <v>360</v>
      </c>
      <c r="H497" s="58">
        <v>45870</v>
      </c>
      <c r="I497" s="57" t="s">
        <v>361</v>
      </c>
      <c r="J497" s="56">
        <v>12</v>
      </c>
      <c r="K497" s="57" t="s">
        <v>318</v>
      </c>
      <c r="L497" s="59">
        <v>30250000</v>
      </c>
      <c r="M497" s="57" t="s">
        <v>2279</v>
      </c>
      <c r="N497" s="57" t="s">
        <v>2234</v>
      </c>
      <c r="O497" s="57" t="s">
        <v>2258</v>
      </c>
      <c r="P497" s="57" t="s">
        <v>2284</v>
      </c>
      <c r="Q497" s="57" t="s">
        <v>360</v>
      </c>
    </row>
    <row r="498" spans="1:17" x14ac:dyDescent="0.25">
      <c r="A498" s="55" t="s">
        <v>405</v>
      </c>
      <c r="B498" s="56" t="s">
        <v>2196</v>
      </c>
      <c r="C498" s="57" t="s">
        <v>28</v>
      </c>
      <c r="D498" s="56" t="s">
        <v>406</v>
      </c>
      <c r="E498" s="57" t="s">
        <v>326</v>
      </c>
      <c r="F498" s="56">
        <v>1</v>
      </c>
      <c r="G498" s="57" t="s">
        <v>360</v>
      </c>
      <c r="H498" s="58">
        <v>45870</v>
      </c>
      <c r="I498" s="57" t="s">
        <v>361</v>
      </c>
      <c r="J498" s="56">
        <v>12</v>
      </c>
      <c r="K498" s="57" t="s">
        <v>318</v>
      </c>
      <c r="L498" s="59">
        <v>23833337</v>
      </c>
      <c r="M498" s="57" t="s">
        <v>2279</v>
      </c>
      <c r="N498" s="57" t="s">
        <v>2234</v>
      </c>
      <c r="O498" s="57" t="s">
        <v>2258</v>
      </c>
      <c r="P498" s="57" t="s">
        <v>2284</v>
      </c>
      <c r="Q498" s="57" t="s">
        <v>360</v>
      </c>
    </row>
    <row r="499" spans="1:17" x14ac:dyDescent="0.25">
      <c r="A499" s="55" t="s">
        <v>438</v>
      </c>
      <c r="B499" s="56" t="s">
        <v>2196</v>
      </c>
      <c r="C499" s="57" t="s">
        <v>28</v>
      </c>
      <c r="D499" s="56" t="s">
        <v>440</v>
      </c>
      <c r="E499" s="57" t="s">
        <v>442</v>
      </c>
      <c r="F499" s="56">
        <v>2</v>
      </c>
      <c r="G499" s="57" t="s">
        <v>360</v>
      </c>
      <c r="H499" s="58">
        <v>45870</v>
      </c>
      <c r="I499" s="57" t="s">
        <v>361</v>
      </c>
      <c r="J499" s="56">
        <v>12</v>
      </c>
      <c r="K499" s="57" t="s">
        <v>413</v>
      </c>
      <c r="L499" s="59">
        <v>3503500</v>
      </c>
      <c r="M499" s="57" t="s">
        <v>2279</v>
      </c>
      <c r="N499" s="57" t="s">
        <v>2234</v>
      </c>
      <c r="O499" s="57" t="s">
        <v>2258</v>
      </c>
      <c r="P499" s="57" t="s">
        <v>2284</v>
      </c>
      <c r="Q499" s="57" t="s">
        <v>360</v>
      </c>
    </row>
    <row r="500" spans="1:17" x14ac:dyDescent="0.25">
      <c r="A500" s="55" t="s">
        <v>438</v>
      </c>
      <c r="B500" s="56" t="s">
        <v>2196</v>
      </c>
      <c r="C500" s="57" t="s">
        <v>28</v>
      </c>
      <c r="D500" s="56" t="s">
        <v>440</v>
      </c>
      <c r="E500" s="57" t="s">
        <v>443</v>
      </c>
      <c r="F500" s="56">
        <v>2</v>
      </c>
      <c r="G500" s="57" t="s">
        <v>360</v>
      </c>
      <c r="H500" s="58">
        <v>45870</v>
      </c>
      <c r="I500" s="57" t="s">
        <v>361</v>
      </c>
      <c r="J500" s="56">
        <v>12</v>
      </c>
      <c r="K500" s="57" t="s">
        <v>413</v>
      </c>
      <c r="L500" s="59">
        <v>2914000</v>
      </c>
      <c r="M500" s="57" t="s">
        <v>2279</v>
      </c>
      <c r="N500" s="57" t="s">
        <v>2234</v>
      </c>
      <c r="O500" s="57" t="s">
        <v>2258</v>
      </c>
      <c r="P500" s="57" t="s">
        <v>2284</v>
      </c>
      <c r="Q500" s="57" t="s">
        <v>360</v>
      </c>
    </row>
    <row r="501" spans="1:17" x14ac:dyDescent="0.25">
      <c r="A501" s="55" t="s">
        <v>1675</v>
      </c>
      <c r="B501" s="56" t="s">
        <v>2199</v>
      </c>
      <c r="C501" s="57" t="s">
        <v>28</v>
      </c>
      <c r="D501" s="56" t="s">
        <v>1658</v>
      </c>
      <c r="E501" s="57" t="s">
        <v>1617</v>
      </c>
      <c r="F501" s="56">
        <v>2</v>
      </c>
      <c r="G501" s="57" t="s">
        <v>1660</v>
      </c>
      <c r="H501" s="58">
        <v>46174</v>
      </c>
      <c r="I501" s="57" t="s">
        <v>1661</v>
      </c>
      <c r="J501" s="56">
        <v>1</v>
      </c>
      <c r="K501" s="60">
        <v>46174</v>
      </c>
      <c r="L501" s="59">
        <v>1302600</v>
      </c>
      <c r="M501" s="57" t="s">
        <v>2222</v>
      </c>
      <c r="N501" s="57" t="s">
        <v>2234</v>
      </c>
      <c r="O501" s="57" t="s">
        <v>2260</v>
      </c>
      <c r="P501" s="57" t="s">
        <v>2284</v>
      </c>
      <c r="Q501" s="57" t="s">
        <v>1660</v>
      </c>
    </row>
    <row r="502" spans="1:17" x14ac:dyDescent="0.25">
      <c r="A502" s="55" t="s">
        <v>1675</v>
      </c>
      <c r="B502" s="56" t="s">
        <v>2199</v>
      </c>
      <c r="C502" s="57" t="s">
        <v>28</v>
      </c>
      <c r="D502" s="56" t="s">
        <v>1658</v>
      </c>
      <c r="E502" s="57" t="s">
        <v>1678</v>
      </c>
      <c r="F502" s="56">
        <v>2</v>
      </c>
      <c r="G502" s="57" t="s">
        <v>1660</v>
      </c>
      <c r="H502" s="58">
        <v>46174</v>
      </c>
      <c r="I502" s="57" t="s">
        <v>1661</v>
      </c>
      <c r="J502" s="56">
        <v>1</v>
      </c>
      <c r="K502" s="60">
        <v>46174</v>
      </c>
      <c r="L502" s="59">
        <v>1200000</v>
      </c>
      <c r="M502" s="57" t="s">
        <v>2222</v>
      </c>
      <c r="N502" s="57" t="s">
        <v>2234</v>
      </c>
      <c r="O502" s="57" t="s">
        <v>2260</v>
      </c>
      <c r="P502" s="57" t="s">
        <v>2284</v>
      </c>
      <c r="Q502" s="57" t="s">
        <v>1660</v>
      </c>
    </row>
    <row r="503" spans="1:17" x14ac:dyDescent="0.25">
      <c r="A503" s="55" t="s">
        <v>1699</v>
      </c>
      <c r="B503" s="56" t="s">
        <v>2199</v>
      </c>
      <c r="C503" s="57" t="s">
        <v>28</v>
      </c>
      <c r="D503" s="56" t="s">
        <v>1658</v>
      </c>
      <c r="E503" s="57" t="s">
        <v>486</v>
      </c>
      <c r="F503" s="56">
        <v>1</v>
      </c>
      <c r="G503" s="57" t="s">
        <v>1660</v>
      </c>
      <c r="H503" s="58">
        <v>46174</v>
      </c>
      <c r="I503" s="57" t="s">
        <v>1661</v>
      </c>
      <c r="J503" s="56">
        <v>1</v>
      </c>
      <c r="K503" s="60">
        <v>46174</v>
      </c>
      <c r="L503" s="59">
        <v>500115</v>
      </c>
      <c r="M503" s="57" t="s">
        <v>2222</v>
      </c>
      <c r="N503" s="57" t="s">
        <v>2234</v>
      </c>
      <c r="O503" s="57" t="s">
        <v>2260</v>
      </c>
      <c r="P503" s="57" t="s">
        <v>2284</v>
      </c>
      <c r="Q503" s="57" t="s">
        <v>1660</v>
      </c>
    </row>
    <row r="504" spans="1:17" x14ac:dyDescent="0.25">
      <c r="A504" s="55" t="s">
        <v>1976</v>
      </c>
      <c r="B504" s="56" t="s">
        <v>2199</v>
      </c>
      <c r="C504" s="57" t="s">
        <v>28</v>
      </c>
      <c r="D504" s="56" t="s">
        <v>1977</v>
      </c>
      <c r="E504" s="57" t="s">
        <v>1979</v>
      </c>
      <c r="F504" s="56">
        <v>1</v>
      </c>
      <c r="G504" s="57" t="s">
        <v>1660</v>
      </c>
      <c r="H504" s="58">
        <v>46113</v>
      </c>
      <c r="I504" s="57" t="s">
        <v>1980</v>
      </c>
      <c r="J504" s="56">
        <v>1</v>
      </c>
      <c r="K504" s="60">
        <v>46113</v>
      </c>
      <c r="L504" s="59">
        <v>15984280</v>
      </c>
      <c r="M504" s="57" t="s">
        <v>2222</v>
      </c>
      <c r="N504" s="57" t="s">
        <v>2234</v>
      </c>
      <c r="O504" s="57" t="s">
        <v>2260</v>
      </c>
      <c r="P504" s="57" t="s">
        <v>2284</v>
      </c>
      <c r="Q504" s="57" t="s">
        <v>1660</v>
      </c>
    </row>
    <row r="505" spans="1:17" x14ac:dyDescent="0.25">
      <c r="A505" s="55" t="s">
        <v>1657</v>
      </c>
      <c r="B505" s="56" t="s">
        <v>2199</v>
      </c>
      <c r="C505" s="57" t="s">
        <v>374</v>
      </c>
      <c r="D505" s="56" t="s">
        <v>1658</v>
      </c>
      <c r="E505" s="57" t="s">
        <v>359</v>
      </c>
      <c r="F505" s="56">
        <v>6</v>
      </c>
      <c r="G505" s="57" t="s">
        <v>1660</v>
      </c>
      <c r="H505" s="58">
        <v>46235</v>
      </c>
      <c r="I505" s="57" t="s">
        <v>1661</v>
      </c>
      <c r="J505" s="56">
        <v>1</v>
      </c>
      <c r="K505" s="60">
        <v>46266</v>
      </c>
      <c r="L505" s="59">
        <v>6370016</v>
      </c>
      <c r="M505" s="57" t="s">
        <v>2222</v>
      </c>
      <c r="N505" s="57" t="s">
        <v>2234</v>
      </c>
      <c r="O505" s="57" t="s">
        <v>2260</v>
      </c>
      <c r="P505" s="57" t="s">
        <v>2284</v>
      </c>
      <c r="Q505" s="57" t="s">
        <v>1660</v>
      </c>
    </row>
    <row r="506" spans="1:17" x14ac:dyDescent="0.25">
      <c r="A506" s="55" t="s">
        <v>1657</v>
      </c>
      <c r="B506" s="56" t="s">
        <v>2199</v>
      </c>
      <c r="C506" s="57" t="s">
        <v>374</v>
      </c>
      <c r="D506" s="56" t="s">
        <v>1658</v>
      </c>
      <c r="E506" s="57" t="s">
        <v>1664</v>
      </c>
      <c r="F506" s="56">
        <v>6</v>
      </c>
      <c r="G506" s="57" t="s">
        <v>1660</v>
      </c>
      <c r="H506" s="58">
        <v>46235</v>
      </c>
      <c r="I506" s="57" t="s">
        <v>1661</v>
      </c>
      <c r="J506" s="56">
        <v>1</v>
      </c>
      <c r="K506" s="60">
        <v>46266</v>
      </c>
      <c r="L506" s="59">
        <v>1200000</v>
      </c>
      <c r="M506" s="57" t="s">
        <v>2222</v>
      </c>
      <c r="N506" s="57" t="s">
        <v>2234</v>
      </c>
      <c r="O506" s="57" t="s">
        <v>2260</v>
      </c>
      <c r="P506" s="57" t="s">
        <v>2284</v>
      </c>
      <c r="Q506" s="57" t="s">
        <v>1660</v>
      </c>
    </row>
    <row r="507" spans="1:17" x14ac:dyDescent="0.25">
      <c r="A507" s="55" t="s">
        <v>1657</v>
      </c>
      <c r="B507" s="56" t="s">
        <v>2199</v>
      </c>
      <c r="C507" s="57" t="s">
        <v>374</v>
      </c>
      <c r="D507" s="56" t="s">
        <v>1658</v>
      </c>
      <c r="E507" s="57" t="s">
        <v>1666</v>
      </c>
      <c r="F507" s="56">
        <v>6</v>
      </c>
      <c r="G507" s="57" t="s">
        <v>1660</v>
      </c>
      <c r="H507" s="58">
        <v>46235</v>
      </c>
      <c r="I507" s="57" t="s">
        <v>1661</v>
      </c>
      <c r="J507" s="56">
        <v>1</v>
      </c>
      <c r="K507" s="60">
        <v>46266</v>
      </c>
      <c r="L507" s="59">
        <v>2500000</v>
      </c>
      <c r="M507" s="57" t="s">
        <v>2222</v>
      </c>
      <c r="N507" s="57" t="s">
        <v>2234</v>
      </c>
      <c r="O507" s="57" t="s">
        <v>2260</v>
      </c>
      <c r="P507" s="57" t="s">
        <v>2284</v>
      </c>
      <c r="Q507" s="57" t="s">
        <v>1660</v>
      </c>
    </row>
    <row r="508" spans="1:17" x14ac:dyDescent="0.25">
      <c r="A508" s="55" t="s">
        <v>1657</v>
      </c>
      <c r="B508" s="56" t="s">
        <v>2199</v>
      </c>
      <c r="C508" s="57" t="s">
        <v>374</v>
      </c>
      <c r="D508" s="56" t="s">
        <v>1658</v>
      </c>
      <c r="E508" s="57" t="s">
        <v>855</v>
      </c>
      <c r="F508" s="56">
        <v>6</v>
      </c>
      <c r="G508" s="57" t="s">
        <v>1660</v>
      </c>
      <c r="H508" s="58">
        <v>46235</v>
      </c>
      <c r="I508" s="57" t="s">
        <v>1661</v>
      </c>
      <c r="J508" s="56">
        <v>1</v>
      </c>
      <c r="K508" s="60">
        <v>46266</v>
      </c>
      <c r="L508" s="59">
        <v>40002</v>
      </c>
      <c r="M508" s="57" t="s">
        <v>2222</v>
      </c>
      <c r="N508" s="57" t="s">
        <v>2234</v>
      </c>
      <c r="O508" s="57" t="s">
        <v>2260</v>
      </c>
      <c r="P508" s="57" t="s">
        <v>2284</v>
      </c>
      <c r="Q508" s="57" t="s">
        <v>1660</v>
      </c>
    </row>
    <row r="509" spans="1:17" x14ac:dyDescent="0.25">
      <c r="A509" s="55" t="s">
        <v>1657</v>
      </c>
      <c r="B509" s="56" t="s">
        <v>2199</v>
      </c>
      <c r="C509" s="57" t="s">
        <v>374</v>
      </c>
      <c r="D509" s="56" t="s">
        <v>1658</v>
      </c>
      <c r="E509" s="57" t="s">
        <v>1665</v>
      </c>
      <c r="F509" s="56">
        <v>6</v>
      </c>
      <c r="G509" s="57" t="s">
        <v>1660</v>
      </c>
      <c r="H509" s="58">
        <v>46235</v>
      </c>
      <c r="I509" s="57" t="s">
        <v>1661</v>
      </c>
      <c r="J509" s="56">
        <v>1</v>
      </c>
      <c r="K509" s="60">
        <v>46266</v>
      </c>
      <c r="L509" s="59">
        <v>4000000</v>
      </c>
      <c r="M509" s="57" t="s">
        <v>2222</v>
      </c>
      <c r="N509" s="57" t="s">
        <v>2234</v>
      </c>
      <c r="O509" s="57" t="s">
        <v>2260</v>
      </c>
      <c r="P509" s="57" t="s">
        <v>2284</v>
      </c>
      <c r="Q509" s="57" t="s">
        <v>1660</v>
      </c>
    </row>
    <row r="510" spans="1:17" x14ac:dyDescent="0.25">
      <c r="A510" s="55" t="s">
        <v>1657</v>
      </c>
      <c r="B510" s="56" t="s">
        <v>2199</v>
      </c>
      <c r="C510" s="57" t="s">
        <v>374</v>
      </c>
      <c r="D510" s="56" t="s">
        <v>1658</v>
      </c>
      <c r="E510" s="57" t="s">
        <v>602</v>
      </c>
      <c r="F510" s="56">
        <v>6</v>
      </c>
      <c r="G510" s="57" t="s">
        <v>1660</v>
      </c>
      <c r="H510" s="58">
        <v>46235</v>
      </c>
      <c r="I510" s="57" t="s">
        <v>1661</v>
      </c>
      <c r="J510" s="56">
        <v>1</v>
      </c>
      <c r="K510" s="60">
        <v>46235</v>
      </c>
      <c r="L510" s="59">
        <v>4600000</v>
      </c>
      <c r="M510" s="57" t="s">
        <v>2222</v>
      </c>
      <c r="N510" s="57" t="s">
        <v>2234</v>
      </c>
      <c r="O510" s="57" t="s">
        <v>2260</v>
      </c>
      <c r="P510" s="57" t="s">
        <v>2284</v>
      </c>
      <c r="Q510" s="57" t="s">
        <v>1660</v>
      </c>
    </row>
    <row r="511" spans="1:17" x14ac:dyDescent="0.25">
      <c r="A511" s="55" t="s">
        <v>1802</v>
      </c>
      <c r="B511" s="56" t="s">
        <v>2199</v>
      </c>
      <c r="C511" s="57" t="s">
        <v>28</v>
      </c>
      <c r="D511" s="56" t="s">
        <v>1803</v>
      </c>
      <c r="E511" s="57" t="s">
        <v>486</v>
      </c>
      <c r="F511" s="56">
        <v>1</v>
      </c>
      <c r="G511" s="57" t="s">
        <v>1805</v>
      </c>
      <c r="H511" s="58">
        <v>46054</v>
      </c>
      <c r="I511" s="57" t="s">
        <v>523</v>
      </c>
      <c r="J511" s="56">
        <v>1</v>
      </c>
      <c r="K511" s="60">
        <v>46054</v>
      </c>
      <c r="L511" s="59">
        <v>600000</v>
      </c>
      <c r="M511" s="57" t="s">
        <v>2221</v>
      </c>
      <c r="N511" s="57" t="s">
        <v>2234</v>
      </c>
      <c r="O511" s="57" t="s">
        <v>2259</v>
      </c>
      <c r="P511" s="57" t="s">
        <v>2284</v>
      </c>
      <c r="Q511" s="57" t="s">
        <v>1805</v>
      </c>
    </row>
    <row r="512" spans="1:17" x14ac:dyDescent="0.25">
      <c r="A512" s="55" t="s">
        <v>1824</v>
      </c>
      <c r="B512" s="56" t="s">
        <v>2199</v>
      </c>
      <c r="C512" s="57" t="s">
        <v>28</v>
      </c>
      <c r="D512" s="56" t="s">
        <v>1825</v>
      </c>
      <c r="E512" s="57" t="s">
        <v>602</v>
      </c>
      <c r="F512" s="56">
        <v>1</v>
      </c>
      <c r="G512" s="57" t="s">
        <v>1805</v>
      </c>
      <c r="H512" s="58">
        <v>46113</v>
      </c>
      <c r="I512" s="57" t="s">
        <v>523</v>
      </c>
      <c r="J512" s="56">
        <v>1</v>
      </c>
      <c r="K512" s="60">
        <v>46113</v>
      </c>
      <c r="L512" s="59">
        <v>420000</v>
      </c>
      <c r="M512" s="57" t="s">
        <v>2221</v>
      </c>
      <c r="N512" s="57" t="s">
        <v>2234</v>
      </c>
      <c r="O512" s="57" t="s">
        <v>2259</v>
      </c>
      <c r="P512" s="57" t="s">
        <v>2284</v>
      </c>
      <c r="Q512" s="57" t="s">
        <v>1805</v>
      </c>
    </row>
    <row r="513" spans="1:17" x14ac:dyDescent="0.25">
      <c r="A513" s="55" t="s">
        <v>517</v>
      </c>
      <c r="B513" s="56" t="s">
        <v>2196</v>
      </c>
      <c r="C513" s="57" t="s">
        <v>28</v>
      </c>
      <c r="D513" s="56" t="s">
        <v>518</v>
      </c>
      <c r="E513" s="57" t="s">
        <v>520</v>
      </c>
      <c r="F513" s="56">
        <v>1</v>
      </c>
      <c r="G513" s="57" t="s">
        <v>522</v>
      </c>
      <c r="H513" s="58">
        <v>45870</v>
      </c>
      <c r="I513" s="57" t="s">
        <v>523</v>
      </c>
      <c r="J513" s="56">
        <v>15</v>
      </c>
      <c r="K513" s="57" t="s">
        <v>521</v>
      </c>
      <c r="L513" s="59">
        <v>10192001</v>
      </c>
      <c r="M513" s="57" t="s">
        <v>2221</v>
      </c>
      <c r="N513" s="57" t="s">
        <v>2234</v>
      </c>
      <c r="O513" s="57" t="s">
        <v>2259</v>
      </c>
      <c r="P513" s="57" t="s">
        <v>2284</v>
      </c>
      <c r="Q513" s="57" t="s">
        <v>1805</v>
      </c>
    </row>
    <row r="514" spans="1:17" x14ac:dyDescent="0.25">
      <c r="A514" s="55" t="s">
        <v>1718</v>
      </c>
      <c r="B514" s="56" t="s">
        <v>2199</v>
      </c>
      <c r="C514" s="57" t="s">
        <v>28</v>
      </c>
      <c r="D514" s="56" t="s">
        <v>1719</v>
      </c>
      <c r="E514" s="57" t="s">
        <v>1721</v>
      </c>
      <c r="F514" s="56">
        <v>1</v>
      </c>
      <c r="G514" s="57" t="s">
        <v>1723</v>
      </c>
      <c r="H514" s="58">
        <v>46174</v>
      </c>
      <c r="I514" s="57" t="s">
        <v>154</v>
      </c>
      <c r="J514" s="56">
        <v>24</v>
      </c>
      <c r="K514" s="57" t="s">
        <v>1722</v>
      </c>
      <c r="L514" s="59">
        <v>0</v>
      </c>
      <c r="M514" s="57" t="s">
        <v>2221</v>
      </c>
      <c r="N514" s="57" t="s">
        <v>2234</v>
      </c>
      <c r="O514" s="57" t="s">
        <v>2259</v>
      </c>
      <c r="P514" s="57" t="s">
        <v>2284</v>
      </c>
      <c r="Q514" s="57" t="s">
        <v>1723</v>
      </c>
    </row>
    <row r="515" spans="1:17" x14ac:dyDescent="0.25">
      <c r="A515" s="55" t="s">
        <v>1738</v>
      </c>
      <c r="B515" s="56" t="s">
        <v>2199</v>
      </c>
      <c r="C515" s="57" t="s">
        <v>28</v>
      </c>
      <c r="D515" s="56" t="s">
        <v>1739</v>
      </c>
      <c r="E515" s="57" t="s">
        <v>602</v>
      </c>
      <c r="F515" s="56">
        <v>1</v>
      </c>
      <c r="G515" s="57" t="s">
        <v>1723</v>
      </c>
      <c r="H515" s="58">
        <v>46113</v>
      </c>
      <c r="I515" s="57" t="s">
        <v>154</v>
      </c>
      <c r="J515" s="56">
        <v>1</v>
      </c>
      <c r="K515" s="60">
        <v>46113</v>
      </c>
      <c r="L515" s="59">
        <v>500000</v>
      </c>
      <c r="M515" s="57" t="s">
        <v>2221</v>
      </c>
      <c r="N515" s="57" t="s">
        <v>2234</v>
      </c>
      <c r="O515" s="57" t="s">
        <v>2259</v>
      </c>
      <c r="P515" s="57" t="s">
        <v>2284</v>
      </c>
      <c r="Q515" s="57" t="s">
        <v>1723</v>
      </c>
    </row>
    <row r="516" spans="1:17" x14ac:dyDescent="0.25">
      <c r="A516" s="55" t="s">
        <v>1818</v>
      </c>
      <c r="B516" s="56" t="s">
        <v>2199</v>
      </c>
      <c r="C516" s="57" t="s">
        <v>28</v>
      </c>
      <c r="D516" s="56" t="s">
        <v>1819</v>
      </c>
      <c r="E516" s="57" t="s">
        <v>1174</v>
      </c>
      <c r="F516" s="56">
        <v>1</v>
      </c>
      <c r="G516" s="57" t="s">
        <v>1723</v>
      </c>
      <c r="H516" s="58">
        <v>46174</v>
      </c>
      <c r="I516" s="57" t="s">
        <v>154</v>
      </c>
      <c r="J516" s="56">
        <v>1</v>
      </c>
      <c r="K516" s="60">
        <v>46174</v>
      </c>
      <c r="L516" s="59">
        <v>700000</v>
      </c>
      <c r="M516" s="57" t="s">
        <v>2221</v>
      </c>
      <c r="N516" s="57" t="s">
        <v>2234</v>
      </c>
      <c r="O516" s="57" t="s">
        <v>2259</v>
      </c>
      <c r="P516" s="57" t="s">
        <v>2284</v>
      </c>
      <c r="Q516" s="57" t="s">
        <v>1723</v>
      </c>
    </row>
    <row r="517" spans="1:17" x14ac:dyDescent="0.25">
      <c r="A517" s="55" t="s">
        <v>1821</v>
      </c>
      <c r="B517" s="56" t="s">
        <v>2199</v>
      </c>
      <c r="C517" s="57" t="s">
        <v>28</v>
      </c>
      <c r="D517" s="56" t="s">
        <v>1822</v>
      </c>
      <c r="E517" s="57" t="s">
        <v>777</v>
      </c>
      <c r="F517" s="56">
        <v>1</v>
      </c>
      <c r="G517" s="57" t="s">
        <v>1723</v>
      </c>
      <c r="H517" s="58">
        <v>46113</v>
      </c>
      <c r="I517" s="57" t="s">
        <v>154</v>
      </c>
      <c r="J517" s="56">
        <v>1</v>
      </c>
      <c r="K517" s="60">
        <v>46113</v>
      </c>
      <c r="L517" s="59">
        <v>2000160</v>
      </c>
      <c r="M517" s="57" t="s">
        <v>2221</v>
      </c>
      <c r="N517" s="57" t="s">
        <v>2234</v>
      </c>
      <c r="O517" s="57" t="s">
        <v>2259</v>
      </c>
      <c r="P517" s="57" t="s">
        <v>2284</v>
      </c>
      <c r="Q517" s="57" t="s">
        <v>1723</v>
      </c>
    </row>
    <row r="518" spans="1:17" x14ac:dyDescent="0.25">
      <c r="A518" s="55" t="s">
        <v>1827</v>
      </c>
      <c r="B518" s="56" t="s">
        <v>2199</v>
      </c>
      <c r="C518" s="57" t="s">
        <v>594</v>
      </c>
      <c r="D518" s="56" t="s">
        <v>1828</v>
      </c>
      <c r="E518" s="57" t="s">
        <v>1830</v>
      </c>
      <c r="F518" s="56">
        <v>1</v>
      </c>
      <c r="G518" s="57" t="s">
        <v>1723</v>
      </c>
      <c r="H518" s="58">
        <v>46023</v>
      </c>
      <c r="I518" s="57" t="s">
        <v>1831</v>
      </c>
      <c r="J518" s="56">
        <v>1</v>
      </c>
      <c r="K518" s="60">
        <v>46023</v>
      </c>
      <c r="L518" s="59">
        <v>7200000</v>
      </c>
      <c r="M518" s="57" t="s">
        <v>2221</v>
      </c>
      <c r="N518" s="57" t="s">
        <v>2234</v>
      </c>
      <c r="O518" s="57" t="s">
        <v>2259</v>
      </c>
      <c r="P518" s="57" t="s">
        <v>2284</v>
      </c>
      <c r="Q518" s="57" t="s">
        <v>1723</v>
      </c>
    </row>
    <row r="519" spans="1:17" x14ac:dyDescent="0.25">
      <c r="A519" s="55" t="s">
        <v>148</v>
      </c>
      <c r="B519" s="56" t="s">
        <v>2196</v>
      </c>
      <c r="C519" s="57" t="s">
        <v>28</v>
      </c>
      <c r="D519" s="56" t="s">
        <v>150</v>
      </c>
      <c r="E519" s="57" t="s">
        <v>152</v>
      </c>
      <c r="F519" s="56">
        <v>1</v>
      </c>
      <c r="G519" s="57" t="s">
        <v>153</v>
      </c>
      <c r="H519" s="58">
        <v>45474</v>
      </c>
      <c r="I519" s="57" t="s">
        <v>154</v>
      </c>
      <c r="J519" s="56">
        <v>24</v>
      </c>
      <c r="K519" s="57" t="s">
        <v>73</v>
      </c>
      <c r="L519" s="59">
        <v>118000004</v>
      </c>
      <c r="M519" s="57" t="s">
        <v>2221</v>
      </c>
      <c r="N519" s="57" t="s">
        <v>2234</v>
      </c>
      <c r="O519" s="57" t="s">
        <v>2259</v>
      </c>
      <c r="P519" s="57" t="s">
        <v>2284</v>
      </c>
      <c r="Q519" s="57" t="s">
        <v>1723</v>
      </c>
    </row>
    <row r="520" spans="1:17" x14ac:dyDescent="0.25">
      <c r="A520" s="55" t="s">
        <v>619</v>
      </c>
      <c r="B520" s="56" t="s">
        <v>2199</v>
      </c>
      <c r="C520" s="57" t="s">
        <v>28</v>
      </c>
      <c r="D520" s="56" t="s">
        <v>621</v>
      </c>
      <c r="E520" s="57" t="s">
        <v>623</v>
      </c>
      <c r="F520" s="56">
        <v>1</v>
      </c>
      <c r="G520" s="57" t="s">
        <v>624</v>
      </c>
      <c r="H520" s="58">
        <v>46266</v>
      </c>
      <c r="I520" s="57" t="s">
        <v>625</v>
      </c>
      <c r="J520" s="56">
        <v>1</v>
      </c>
      <c r="K520" s="60">
        <v>46266</v>
      </c>
      <c r="L520" s="59">
        <v>1250000</v>
      </c>
      <c r="M520" s="57" t="s">
        <v>2246</v>
      </c>
      <c r="N520" s="57" t="s">
        <v>2256</v>
      </c>
      <c r="O520" s="57" t="s">
        <v>2270</v>
      </c>
      <c r="P520" s="57" t="s">
        <v>2284</v>
      </c>
      <c r="Q520" s="57" t="s">
        <v>624</v>
      </c>
    </row>
    <row r="521" spans="1:17" x14ac:dyDescent="0.25">
      <c r="A521" s="55" t="s">
        <v>628</v>
      </c>
      <c r="B521" s="56" t="s">
        <v>2199</v>
      </c>
      <c r="C521" s="57" t="s">
        <v>28</v>
      </c>
      <c r="D521" s="56" t="s">
        <v>629</v>
      </c>
      <c r="E521" s="57" t="s">
        <v>631</v>
      </c>
      <c r="F521" s="56">
        <v>1</v>
      </c>
      <c r="G521" s="57" t="s">
        <v>624</v>
      </c>
      <c r="H521" s="58">
        <v>46174</v>
      </c>
      <c r="I521" s="57" t="s">
        <v>625</v>
      </c>
      <c r="J521" s="56">
        <v>1</v>
      </c>
      <c r="K521" s="60">
        <v>46174</v>
      </c>
      <c r="L521" s="59">
        <v>300000</v>
      </c>
      <c r="M521" s="57" t="s">
        <v>2246</v>
      </c>
      <c r="N521" s="57" t="s">
        <v>2256</v>
      </c>
      <c r="O521" s="57" t="s">
        <v>2270</v>
      </c>
      <c r="P521" s="57" t="s">
        <v>2284</v>
      </c>
      <c r="Q521" s="57" t="s">
        <v>624</v>
      </c>
    </row>
    <row r="522" spans="1:17" x14ac:dyDescent="0.25">
      <c r="A522" s="55" t="s">
        <v>632</v>
      </c>
      <c r="B522" s="56" t="s">
        <v>2199</v>
      </c>
      <c r="C522" s="57" t="s">
        <v>28</v>
      </c>
      <c r="D522" s="56" t="s">
        <v>634</v>
      </c>
      <c r="E522" s="57" t="s">
        <v>636</v>
      </c>
      <c r="F522" s="56">
        <v>1</v>
      </c>
      <c r="G522" s="57" t="s">
        <v>624</v>
      </c>
      <c r="H522" s="58">
        <v>46204</v>
      </c>
      <c r="I522" s="57" t="s">
        <v>625</v>
      </c>
      <c r="J522" s="56">
        <v>1</v>
      </c>
      <c r="K522" s="60">
        <v>46204</v>
      </c>
      <c r="L522" s="59">
        <v>1320000</v>
      </c>
      <c r="M522" s="57" t="s">
        <v>2246</v>
      </c>
      <c r="N522" s="57" t="s">
        <v>2256</v>
      </c>
      <c r="O522" s="57" t="s">
        <v>2270</v>
      </c>
      <c r="P522" s="57" t="s">
        <v>2284</v>
      </c>
      <c r="Q522" s="57" t="s">
        <v>624</v>
      </c>
    </row>
    <row r="523" spans="1:17" x14ac:dyDescent="0.25">
      <c r="A523" s="55" t="s">
        <v>868</v>
      </c>
      <c r="B523" s="56" t="s">
        <v>2199</v>
      </c>
      <c r="C523" s="57" t="s">
        <v>28</v>
      </c>
      <c r="D523" s="56" t="s">
        <v>869</v>
      </c>
      <c r="E523" s="57" t="s">
        <v>807</v>
      </c>
      <c r="F523" s="56">
        <v>1</v>
      </c>
      <c r="G523" s="57" t="s">
        <v>624</v>
      </c>
      <c r="H523" s="58">
        <v>46143</v>
      </c>
      <c r="I523" s="57" t="s">
        <v>625</v>
      </c>
      <c r="J523" s="56">
        <v>1</v>
      </c>
      <c r="K523" s="60">
        <v>46143</v>
      </c>
      <c r="L523" s="59">
        <v>3000000</v>
      </c>
      <c r="M523" s="57" t="s">
        <v>2246</v>
      </c>
      <c r="N523" s="57" t="s">
        <v>2256</v>
      </c>
      <c r="O523" s="57" t="s">
        <v>2270</v>
      </c>
      <c r="P523" s="57" t="s">
        <v>2284</v>
      </c>
      <c r="Q523" s="57" t="s">
        <v>624</v>
      </c>
    </row>
    <row r="524" spans="1:17" x14ac:dyDescent="0.25">
      <c r="A524" s="55" t="s">
        <v>1734</v>
      </c>
      <c r="B524" s="56" t="s">
        <v>2199</v>
      </c>
      <c r="C524" s="57" t="s">
        <v>28</v>
      </c>
      <c r="D524" s="56" t="s">
        <v>1736</v>
      </c>
      <c r="E524" s="57" t="s">
        <v>807</v>
      </c>
      <c r="F524" s="56">
        <v>1</v>
      </c>
      <c r="G524" s="57" t="s">
        <v>624</v>
      </c>
      <c r="H524" s="58">
        <v>46143</v>
      </c>
      <c r="I524" s="57" t="s">
        <v>625</v>
      </c>
      <c r="J524" s="56">
        <v>1</v>
      </c>
      <c r="K524" s="60">
        <v>46143</v>
      </c>
      <c r="L524" s="59">
        <v>5000000</v>
      </c>
      <c r="M524" s="57" t="s">
        <v>2246</v>
      </c>
      <c r="N524" s="57" t="s">
        <v>2256</v>
      </c>
      <c r="O524" s="57" t="s">
        <v>2270</v>
      </c>
      <c r="P524" s="57" t="s">
        <v>2284</v>
      </c>
      <c r="Q524" s="57" t="s">
        <v>624</v>
      </c>
    </row>
    <row r="525" spans="1:17" x14ac:dyDescent="0.25">
      <c r="A525" s="55" t="s">
        <v>1305</v>
      </c>
      <c r="B525" s="56" t="s">
        <v>2199</v>
      </c>
      <c r="C525" s="57" t="s">
        <v>1304</v>
      </c>
      <c r="D525" s="56" t="s">
        <v>1306</v>
      </c>
      <c r="E525" s="57" t="s">
        <v>807</v>
      </c>
      <c r="F525" s="56">
        <v>1</v>
      </c>
      <c r="G525" s="57" t="s">
        <v>624</v>
      </c>
      <c r="H525" s="58">
        <v>46266</v>
      </c>
      <c r="I525" s="57" t="s">
        <v>625</v>
      </c>
      <c r="J525" s="56">
        <v>1</v>
      </c>
      <c r="K525" s="60">
        <v>46327</v>
      </c>
      <c r="L525" s="59">
        <v>1680000000</v>
      </c>
      <c r="M525" s="57" t="s">
        <v>2246</v>
      </c>
      <c r="N525" s="57" t="s">
        <v>2256</v>
      </c>
      <c r="O525" s="57" t="s">
        <v>2270</v>
      </c>
      <c r="P525" s="57" t="s">
        <v>2284</v>
      </c>
      <c r="Q525" s="57" t="s">
        <v>624</v>
      </c>
    </row>
    <row r="526" spans="1:17" x14ac:dyDescent="0.25">
      <c r="A526" s="55" t="s">
        <v>1308</v>
      </c>
      <c r="B526" s="56" t="s">
        <v>2199</v>
      </c>
      <c r="C526" s="57" t="s">
        <v>1304</v>
      </c>
      <c r="D526" s="56" t="s">
        <v>1309</v>
      </c>
      <c r="E526" s="57" t="s">
        <v>807</v>
      </c>
      <c r="F526" s="56">
        <v>1</v>
      </c>
      <c r="G526" s="57" t="s">
        <v>624</v>
      </c>
      <c r="H526" s="58">
        <v>46327</v>
      </c>
      <c r="I526" s="57" t="s">
        <v>625</v>
      </c>
      <c r="J526" s="56">
        <v>1</v>
      </c>
      <c r="K526" s="60">
        <v>46327</v>
      </c>
      <c r="L526" s="59">
        <v>80000000</v>
      </c>
      <c r="M526" s="57" t="s">
        <v>2246</v>
      </c>
      <c r="N526" s="57" t="s">
        <v>2256</v>
      </c>
      <c r="O526" s="57" t="s">
        <v>2270</v>
      </c>
      <c r="P526" s="57" t="s">
        <v>2284</v>
      </c>
      <c r="Q526" s="57" t="s">
        <v>624</v>
      </c>
    </row>
    <row r="527" spans="1:17" x14ac:dyDescent="0.25">
      <c r="A527" s="55" t="s">
        <v>1319</v>
      </c>
      <c r="B527" s="56" t="s">
        <v>2199</v>
      </c>
      <c r="C527" s="57" t="s">
        <v>1304</v>
      </c>
      <c r="D527" s="56" t="s">
        <v>1320</v>
      </c>
      <c r="E527" s="57" t="s">
        <v>807</v>
      </c>
      <c r="F527" s="56">
        <v>1</v>
      </c>
      <c r="G527" s="57" t="s">
        <v>624</v>
      </c>
      <c r="H527" s="58">
        <v>46235</v>
      </c>
      <c r="I527" s="57" t="s">
        <v>625</v>
      </c>
      <c r="J527" s="56">
        <v>1</v>
      </c>
      <c r="K527" s="60">
        <v>46266</v>
      </c>
      <c r="L527" s="59">
        <v>55000000</v>
      </c>
      <c r="M527" s="57" t="s">
        <v>2246</v>
      </c>
      <c r="N527" s="57" t="s">
        <v>2256</v>
      </c>
      <c r="O527" s="57" t="s">
        <v>2270</v>
      </c>
      <c r="P527" s="57" t="s">
        <v>2284</v>
      </c>
      <c r="Q527" s="57" t="s">
        <v>624</v>
      </c>
    </row>
    <row r="528" spans="1:17" x14ac:dyDescent="0.25">
      <c r="A528" s="55" t="s">
        <v>1331</v>
      </c>
      <c r="B528" s="56" t="s">
        <v>2199</v>
      </c>
      <c r="C528" s="57" t="s">
        <v>1304</v>
      </c>
      <c r="D528" s="56" t="s">
        <v>1332</v>
      </c>
      <c r="E528" s="57" t="s">
        <v>807</v>
      </c>
      <c r="F528" s="56">
        <v>1</v>
      </c>
      <c r="G528" s="57" t="s">
        <v>624</v>
      </c>
      <c r="H528" s="58">
        <v>46296</v>
      </c>
      <c r="I528" s="57" t="s">
        <v>625</v>
      </c>
      <c r="J528" s="56">
        <v>1</v>
      </c>
      <c r="K528" s="60">
        <v>46296</v>
      </c>
      <c r="L528" s="59">
        <v>90000000</v>
      </c>
      <c r="M528" s="57" t="s">
        <v>2246</v>
      </c>
      <c r="N528" s="57" t="s">
        <v>2256</v>
      </c>
      <c r="O528" s="57" t="s">
        <v>2270</v>
      </c>
      <c r="P528" s="57" t="s">
        <v>2284</v>
      </c>
      <c r="Q528" s="57" t="s">
        <v>624</v>
      </c>
    </row>
    <row r="529" spans="1:17" x14ac:dyDescent="0.25">
      <c r="A529" s="55" t="s">
        <v>1280</v>
      </c>
      <c r="B529" s="56" t="s">
        <v>2199</v>
      </c>
      <c r="C529" s="57" t="s">
        <v>594</v>
      </c>
      <c r="D529" s="56" t="s">
        <v>1281</v>
      </c>
      <c r="E529" s="57" t="s">
        <v>807</v>
      </c>
      <c r="F529" s="56">
        <v>1</v>
      </c>
      <c r="G529" s="57" t="s">
        <v>624</v>
      </c>
      <c r="H529" s="58">
        <v>46296</v>
      </c>
      <c r="I529" s="57" t="s">
        <v>625</v>
      </c>
      <c r="J529" s="56">
        <v>1</v>
      </c>
      <c r="K529" s="60">
        <v>46296</v>
      </c>
      <c r="L529" s="59">
        <v>25000000</v>
      </c>
      <c r="M529" s="57" t="s">
        <v>2246</v>
      </c>
      <c r="N529" s="57" t="s">
        <v>2256</v>
      </c>
      <c r="O529" s="57" t="s">
        <v>2270</v>
      </c>
      <c r="P529" s="57" t="s">
        <v>2284</v>
      </c>
      <c r="Q529" s="57" t="s">
        <v>624</v>
      </c>
    </row>
    <row r="530" spans="1:17" x14ac:dyDescent="0.25">
      <c r="A530" s="55" t="s">
        <v>1283</v>
      </c>
      <c r="B530" s="56" t="s">
        <v>2199</v>
      </c>
      <c r="C530" s="57" t="s">
        <v>594</v>
      </c>
      <c r="D530" s="56" t="s">
        <v>1284</v>
      </c>
      <c r="E530" s="57" t="s">
        <v>807</v>
      </c>
      <c r="F530" s="56">
        <v>1</v>
      </c>
      <c r="G530" s="57" t="s">
        <v>624</v>
      </c>
      <c r="H530" s="58">
        <v>46327</v>
      </c>
      <c r="I530" s="57" t="s">
        <v>625</v>
      </c>
      <c r="J530" s="56">
        <v>1</v>
      </c>
      <c r="K530" s="60">
        <v>46327</v>
      </c>
      <c r="L530" s="59">
        <v>37000000</v>
      </c>
      <c r="M530" s="57" t="s">
        <v>2246</v>
      </c>
      <c r="N530" s="57" t="s">
        <v>2256</v>
      </c>
      <c r="O530" s="57" t="s">
        <v>2270</v>
      </c>
      <c r="P530" s="57" t="s">
        <v>2284</v>
      </c>
      <c r="Q530" s="57" t="s">
        <v>624</v>
      </c>
    </row>
    <row r="531" spans="1:17" x14ac:dyDescent="0.25">
      <c r="A531" s="55" t="s">
        <v>1286</v>
      </c>
      <c r="B531" s="56" t="s">
        <v>2199</v>
      </c>
      <c r="C531" s="57" t="s">
        <v>594</v>
      </c>
      <c r="D531" s="56" t="s">
        <v>1287</v>
      </c>
      <c r="E531" s="57" t="s">
        <v>807</v>
      </c>
      <c r="F531" s="56">
        <v>1</v>
      </c>
      <c r="G531" s="57" t="s">
        <v>624</v>
      </c>
      <c r="H531" s="58">
        <v>46235</v>
      </c>
      <c r="I531" s="57" t="s">
        <v>625</v>
      </c>
      <c r="J531" s="56">
        <v>1</v>
      </c>
      <c r="K531" s="60">
        <v>46235</v>
      </c>
      <c r="L531" s="59">
        <v>60000000</v>
      </c>
      <c r="M531" s="57" t="s">
        <v>2246</v>
      </c>
      <c r="N531" s="57" t="s">
        <v>2256</v>
      </c>
      <c r="O531" s="57" t="s">
        <v>2270</v>
      </c>
      <c r="P531" s="57" t="s">
        <v>2284</v>
      </c>
      <c r="Q531" s="57" t="s">
        <v>624</v>
      </c>
    </row>
    <row r="532" spans="1:17" x14ac:dyDescent="0.25">
      <c r="A532" s="55" t="s">
        <v>1360</v>
      </c>
      <c r="B532" s="56" t="s">
        <v>2199</v>
      </c>
      <c r="C532" s="57" t="s">
        <v>594</v>
      </c>
      <c r="D532" s="56" t="s">
        <v>1361</v>
      </c>
      <c r="E532" s="57" t="s">
        <v>807</v>
      </c>
      <c r="F532" s="56">
        <v>1</v>
      </c>
      <c r="G532" s="57" t="s">
        <v>624</v>
      </c>
      <c r="H532" s="58">
        <v>46266</v>
      </c>
      <c r="I532" s="57" t="s">
        <v>625</v>
      </c>
      <c r="J532" s="56">
        <v>1</v>
      </c>
      <c r="K532" s="60">
        <v>46266</v>
      </c>
      <c r="L532" s="59">
        <v>37000000</v>
      </c>
      <c r="M532" s="57" t="s">
        <v>2246</v>
      </c>
      <c r="N532" s="57" t="s">
        <v>2256</v>
      </c>
      <c r="O532" s="57" t="s">
        <v>2270</v>
      </c>
      <c r="P532" s="57" t="s">
        <v>2284</v>
      </c>
      <c r="Q532" s="57" t="s">
        <v>624</v>
      </c>
    </row>
    <row r="533" spans="1:17" x14ac:dyDescent="0.25">
      <c r="A533" s="55" t="s">
        <v>1366</v>
      </c>
      <c r="B533" s="56" t="s">
        <v>2199</v>
      </c>
      <c r="C533" s="57" t="s">
        <v>594</v>
      </c>
      <c r="D533" s="56" t="s">
        <v>1367</v>
      </c>
      <c r="E533" s="57" t="s">
        <v>807</v>
      </c>
      <c r="F533" s="56">
        <v>1</v>
      </c>
      <c r="G533" s="57" t="s">
        <v>624</v>
      </c>
      <c r="H533" s="58">
        <v>46266</v>
      </c>
      <c r="I533" s="57" t="s">
        <v>625</v>
      </c>
      <c r="J533" s="56">
        <v>1</v>
      </c>
      <c r="K533" s="60">
        <v>46266</v>
      </c>
      <c r="L533" s="59">
        <v>103000000</v>
      </c>
      <c r="M533" s="57" t="s">
        <v>2246</v>
      </c>
      <c r="N533" s="57" t="s">
        <v>2256</v>
      </c>
      <c r="O533" s="57" t="s">
        <v>2270</v>
      </c>
      <c r="P533" s="57" t="s">
        <v>2284</v>
      </c>
      <c r="Q533" s="57" t="s">
        <v>624</v>
      </c>
    </row>
    <row r="534" spans="1:17" x14ac:dyDescent="0.25">
      <c r="A534" s="55" t="s">
        <v>803</v>
      </c>
      <c r="B534" s="56" t="s">
        <v>2199</v>
      </c>
      <c r="C534" s="57" t="s">
        <v>594</v>
      </c>
      <c r="D534" s="56" t="s">
        <v>805</v>
      </c>
      <c r="E534" s="57" t="s">
        <v>807</v>
      </c>
      <c r="F534" s="56">
        <v>1</v>
      </c>
      <c r="G534" s="57" t="s">
        <v>624</v>
      </c>
      <c r="H534" s="58">
        <v>46266</v>
      </c>
      <c r="I534" s="57" t="s">
        <v>625</v>
      </c>
      <c r="J534" s="56">
        <v>1</v>
      </c>
      <c r="K534" s="60">
        <v>46266</v>
      </c>
      <c r="L534" s="59">
        <v>37000000</v>
      </c>
      <c r="M534" s="57" t="s">
        <v>2246</v>
      </c>
      <c r="N534" s="57" t="s">
        <v>2256</v>
      </c>
      <c r="O534" s="57" t="s">
        <v>2270</v>
      </c>
      <c r="P534" s="57" t="s">
        <v>2284</v>
      </c>
      <c r="Q534" s="57" t="s">
        <v>624</v>
      </c>
    </row>
    <row r="535" spans="1:17" x14ac:dyDescent="0.25">
      <c r="A535" s="55" t="s">
        <v>808</v>
      </c>
      <c r="B535" s="56" t="s">
        <v>2199</v>
      </c>
      <c r="C535" s="57" t="s">
        <v>594</v>
      </c>
      <c r="D535" s="56" t="s">
        <v>809</v>
      </c>
      <c r="E535" s="57" t="s">
        <v>807</v>
      </c>
      <c r="F535" s="56">
        <v>1</v>
      </c>
      <c r="G535" s="57" t="s">
        <v>624</v>
      </c>
      <c r="H535" s="58">
        <v>46296</v>
      </c>
      <c r="I535" s="57" t="s">
        <v>625</v>
      </c>
      <c r="J535" s="56">
        <v>1</v>
      </c>
      <c r="K535" s="60">
        <v>46296</v>
      </c>
      <c r="L535" s="59">
        <v>37000000</v>
      </c>
      <c r="M535" s="57" t="s">
        <v>2246</v>
      </c>
      <c r="N535" s="57" t="s">
        <v>2256</v>
      </c>
      <c r="O535" s="57" t="s">
        <v>2270</v>
      </c>
      <c r="P535" s="57" t="s">
        <v>2284</v>
      </c>
      <c r="Q535" s="57" t="s">
        <v>624</v>
      </c>
    </row>
    <row r="536" spans="1:17" x14ac:dyDescent="0.25">
      <c r="A536" s="55" t="s">
        <v>1204</v>
      </c>
      <c r="B536" s="56" t="s">
        <v>2199</v>
      </c>
      <c r="C536" s="57" t="s">
        <v>594</v>
      </c>
      <c r="D536" s="56" t="s">
        <v>1205</v>
      </c>
      <c r="E536" s="57" t="s">
        <v>807</v>
      </c>
      <c r="F536" s="56">
        <v>1</v>
      </c>
      <c r="G536" s="57" t="s">
        <v>624</v>
      </c>
      <c r="H536" s="58">
        <v>46327</v>
      </c>
      <c r="I536" s="57" t="s">
        <v>625</v>
      </c>
      <c r="J536" s="56">
        <v>1</v>
      </c>
      <c r="K536" s="60">
        <v>46327</v>
      </c>
      <c r="L536" s="59">
        <v>37000000</v>
      </c>
      <c r="M536" s="57" t="s">
        <v>2246</v>
      </c>
      <c r="N536" s="57" t="s">
        <v>2256</v>
      </c>
      <c r="O536" s="57" t="s">
        <v>2270</v>
      </c>
      <c r="P536" s="57" t="s">
        <v>2284</v>
      </c>
      <c r="Q536" s="57" t="s">
        <v>624</v>
      </c>
    </row>
    <row r="537" spans="1:17" x14ac:dyDescent="0.25">
      <c r="A537" s="55" t="s">
        <v>1687</v>
      </c>
      <c r="B537" s="56" t="s">
        <v>2199</v>
      </c>
      <c r="C537" s="57" t="s">
        <v>28</v>
      </c>
      <c r="D537" s="56" t="s">
        <v>1688</v>
      </c>
      <c r="E537" s="57" t="s">
        <v>486</v>
      </c>
      <c r="F537" s="56">
        <v>2</v>
      </c>
      <c r="G537" s="57" t="s">
        <v>1690</v>
      </c>
      <c r="H537" s="58">
        <v>46082</v>
      </c>
      <c r="I537" s="57" t="s">
        <v>865</v>
      </c>
      <c r="J537" s="56">
        <v>1</v>
      </c>
      <c r="K537" s="60">
        <v>46082</v>
      </c>
      <c r="L537" s="59">
        <v>230009</v>
      </c>
      <c r="M537" s="57" t="s">
        <v>2233</v>
      </c>
      <c r="N537" s="57" t="s">
        <v>2256</v>
      </c>
      <c r="O537" s="57" t="s">
        <v>2266</v>
      </c>
      <c r="P537" s="57" t="s">
        <v>2284</v>
      </c>
      <c r="Q537" s="57" t="s">
        <v>1690</v>
      </c>
    </row>
    <row r="538" spans="1:17" x14ac:dyDescent="0.25">
      <c r="A538" s="55" t="s">
        <v>1687</v>
      </c>
      <c r="B538" s="56" t="s">
        <v>2199</v>
      </c>
      <c r="C538" s="57" t="s">
        <v>28</v>
      </c>
      <c r="D538" s="56" t="s">
        <v>1688</v>
      </c>
      <c r="E538" s="57" t="s">
        <v>1693</v>
      </c>
      <c r="F538" s="56">
        <v>2</v>
      </c>
      <c r="G538" s="57" t="s">
        <v>1690</v>
      </c>
      <c r="H538" s="58">
        <v>46082</v>
      </c>
      <c r="I538" s="57" t="s">
        <v>865</v>
      </c>
      <c r="J538" s="56">
        <v>1</v>
      </c>
      <c r="K538" s="60">
        <v>46082</v>
      </c>
      <c r="L538" s="59">
        <v>1796000</v>
      </c>
      <c r="M538" s="57" t="s">
        <v>2233</v>
      </c>
      <c r="N538" s="57" t="s">
        <v>2256</v>
      </c>
      <c r="O538" s="57" t="s">
        <v>2266</v>
      </c>
      <c r="P538" s="57" t="s">
        <v>2284</v>
      </c>
      <c r="Q538" s="57" t="s">
        <v>1690</v>
      </c>
    </row>
    <row r="539" spans="1:17" x14ac:dyDescent="0.25">
      <c r="A539" s="55" t="s">
        <v>1741</v>
      </c>
      <c r="B539" s="56" t="s">
        <v>2199</v>
      </c>
      <c r="C539" s="57" t="s">
        <v>28</v>
      </c>
      <c r="D539" s="56" t="s">
        <v>1742</v>
      </c>
      <c r="E539" s="57" t="s">
        <v>486</v>
      </c>
      <c r="F539" s="56">
        <v>1</v>
      </c>
      <c r="G539" s="57" t="s">
        <v>1744</v>
      </c>
      <c r="H539" s="58">
        <v>46082</v>
      </c>
      <c r="I539" s="57" t="s">
        <v>1745</v>
      </c>
      <c r="J539" s="56">
        <v>1</v>
      </c>
      <c r="K539" s="60">
        <v>46082</v>
      </c>
      <c r="L539" s="59">
        <v>316013</v>
      </c>
      <c r="M539" s="57" t="s">
        <v>2247</v>
      </c>
      <c r="N539" s="57" t="s">
        <v>2234</v>
      </c>
      <c r="O539" s="57" t="s">
        <v>2273</v>
      </c>
      <c r="P539" s="57" t="s">
        <v>2284</v>
      </c>
      <c r="Q539" s="57" t="s">
        <v>1744</v>
      </c>
    </row>
    <row r="540" spans="1:17" x14ac:dyDescent="0.25">
      <c r="A540" s="55" t="s">
        <v>1777</v>
      </c>
      <c r="B540" s="56" t="s">
        <v>2199</v>
      </c>
      <c r="C540" s="57" t="s">
        <v>28</v>
      </c>
      <c r="D540" s="56" t="s">
        <v>1778</v>
      </c>
      <c r="E540" s="57" t="s">
        <v>602</v>
      </c>
      <c r="F540" s="56">
        <v>1</v>
      </c>
      <c r="G540" s="57" t="s">
        <v>1744</v>
      </c>
      <c r="H540" s="58">
        <v>46143</v>
      </c>
      <c r="I540" s="57" t="s">
        <v>1745</v>
      </c>
      <c r="J540" s="56">
        <v>1</v>
      </c>
      <c r="K540" s="60">
        <v>46143</v>
      </c>
      <c r="L540" s="59">
        <v>1200000</v>
      </c>
      <c r="M540" s="57" t="s">
        <v>2247</v>
      </c>
      <c r="N540" s="57" t="s">
        <v>2234</v>
      </c>
      <c r="O540" s="57" t="s">
        <v>2273</v>
      </c>
      <c r="P540" s="57" t="s">
        <v>2284</v>
      </c>
      <c r="Q540" s="57" t="s">
        <v>1744</v>
      </c>
    </row>
    <row r="541" spans="1:17" x14ac:dyDescent="0.25">
      <c r="A541" s="55" t="s">
        <v>1780</v>
      </c>
      <c r="B541" s="56" t="s">
        <v>2199</v>
      </c>
      <c r="C541" s="57" t="s">
        <v>28</v>
      </c>
      <c r="D541" s="56" t="s">
        <v>1781</v>
      </c>
      <c r="E541" s="57" t="s">
        <v>359</v>
      </c>
      <c r="F541" s="56">
        <v>1</v>
      </c>
      <c r="G541" s="57" t="s">
        <v>1744</v>
      </c>
      <c r="H541" s="58">
        <v>46082</v>
      </c>
      <c r="I541" s="57" t="s">
        <v>1745</v>
      </c>
      <c r="J541" s="56">
        <v>1</v>
      </c>
      <c r="K541" s="60">
        <v>46082</v>
      </c>
      <c r="L541" s="59">
        <v>150100</v>
      </c>
      <c r="M541" s="57" t="s">
        <v>2247</v>
      </c>
      <c r="N541" s="57" t="s">
        <v>2234</v>
      </c>
      <c r="O541" s="57" t="s">
        <v>2273</v>
      </c>
      <c r="P541" s="57" t="s">
        <v>2284</v>
      </c>
      <c r="Q541" s="57" t="s">
        <v>1744</v>
      </c>
    </row>
    <row r="542" spans="1:17" x14ac:dyDescent="0.25">
      <c r="A542" s="55" t="s">
        <v>2037</v>
      </c>
      <c r="B542" s="56" t="s">
        <v>2199</v>
      </c>
      <c r="C542" s="57" t="s">
        <v>1238</v>
      </c>
      <c r="D542" s="56" t="s">
        <v>1658</v>
      </c>
      <c r="E542" s="57" t="s">
        <v>2040</v>
      </c>
      <c r="F542" s="56">
        <v>2</v>
      </c>
      <c r="G542" s="57" t="s">
        <v>2039</v>
      </c>
      <c r="H542" s="58">
        <v>46174</v>
      </c>
      <c r="I542" s="57" t="s">
        <v>1661</v>
      </c>
      <c r="J542" s="56">
        <v>1</v>
      </c>
      <c r="K542" s="60">
        <v>46174</v>
      </c>
      <c r="L542" s="59">
        <v>1000000</v>
      </c>
      <c r="M542" s="57" t="s">
        <v>2222</v>
      </c>
      <c r="N542" s="57" t="s">
        <v>2234</v>
      </c>
      <c r="O542" s="57" t="s">
        <v>2260</v>
      </c>
      <c r="P542" s="57" t="s">
        <v>2284</v>
      </c>
      <c r="Q542" s="57" t="s">
        <v>2210</v>
      </c>
    </row>
    <row r="543" spans="1:17" x14ac:dyDescent="0.25">
      <c r="A543" s="55" t="s">
        <v>2037</v>
      </c>
      <c r="B543" s="56" t="s">
        <v>2199</v>
      </c>
      <c r="C543" s="57" t="s">
        <v>1238</v>
      </c>
      <c r="D543" s="56" t="s">
        <v>1658</v>
      </c>
      <c r="E543" s="57" t="s">
        <v>2038</v>
      </c>
      <c r="F543" s="56">
        <v>2</v>
      </c>
      <c r="G543" s="57" t="s">
        <v>2039</v>
      </c>
      <c r="H543" s="58">
        <v>46174</v>
      </c>
      <c r="I543" s="57" t="s">
        <v>1661</v>
      </c>
      <c r="J543" s="56">
        <v>1</v>
      </c>
      <c r="K543" s="60">
        <v>46174</v>
      </c>
      <c r="L543" s="59">
        <v>18000000</v>
      </c>
      <c r="M543" s="57" t="s">
        <v>2222</v>
      </c>
      <c r="N543" s="57" t="s">
        <v>2234</v>
      </c>
      <c r="O543" s="57" t="s">
        <v>2260</v>
      </c>
      <c r="P543" s="57" t="s">
        <v>2284</v>
      </c>
      <c r="Q543" s="57" t="s">
        <v>2210</v>
      </c>
    </row>
    <row r="544" spans="1:17" x14ac:dyDescent="0.25">
      <c r="A544" s="55" t="s">
        <v>1555</v>
      </c>
      <c r="B544" s="56" t="s">
        <v>2199</v>
      </c>
      <c r="C544" s="57" t="s">
        <v>28</v>
      </c>
      <c r="D544" s="56" t="s">
        <v>1556</v>
      </c>
      <c r="E544" s="57" t="s">
        <v>1558</v>
      </c>
      <c r="F544" s="56">
        <v>1</v>
      </c>
      <c r="G544" s="57" t="s">
        <v>1559</v>
      </c>
      <c r="H544" s="58">
        <v>46082</v>
      </c>
      <c r="I544" s="57" t="s">
        <v>1560</v>
      </c>
      <c r="J544" s="56">
        <v>1</v>
      </c>
      <c r="K544" s="60">
        <v>46113</v>
      </c>
      <c r="L544" s="59">
        <v>14500000</v>
      </c>
      <c r="M544" s="57" t="s">
        <v>2221</v>
      </c>
      <c r="N544" s="57" t="s">
        <v>2234</v>
      </c>
      <c r="O544" s="57" t="s">
        <v>2259</v>
      </c>
      <c r="P544" s="57" t="s">
        <v>2284</v>
      </c>
      <c r="Q544" s="57" t="s">
        <v>1559</v>
      </c>
    </row>
    <row r="545" spans="1:17" x14ac:dyDescent="0.25">
      <c r="A545" s="55" t="s">
        <v>1770</v>
      </c>
      <c r="B545" s="56" t="s">
        <v>2199</v>
      </c>
      <c r="C545" s="57" t="s">
        <v>28</v>
      </c>
      <c r="D545" s="56" t="s">
        <v>1771</v>
      </c>
      <c r="E545" s="57" t="s">
        <v>1237</v>
      </c>
      <c r="F545" s="56">
        <v>1</v>
      </c>
      <c r="G545" s="57" t="s">
        <v>1773</v>
      </c>
      <c r="H545" s="58">
        <v>46113</v>
      </c>
      <c r="I545" s="57" t="s">
        <v>1774</v>
      </c>
      <c r="J545" s="56">
        <v>1</v>
      </c>
      <c r="K545" s="60">
        <v>46113</v>
      </c>
      <c r="L545" s="59">
        <v>7000000</v>
      </c>
      <c r="M545" s="57" t="s">
        <v>2248</v>
      </c>
      <c r="N545" s="57" t="s">
        <v>2256</v>
      </c>
      <c r="O545" s="57" t="s">
        <v>2274</v>
      </c>
      <c r="P545" s="57" t="s">
        <v>2284</v>
      </c>
      <c r="Q545" s="57" t="s">
        <v>1773</v>
      </c>
    </row>
    <row r="546" spans="1:17" x14ac:dyDescent="0.25">
      <c r="A546" s="55" t="s">
        <v>1783</v>
      </c>
      <c r="B546" s="56" t="s">
        <v>2199</v>
      </c>
      <c r="C546" s="57" t="s">
        <v>28</v>
      </c>
      <c r="D546" s="56" t="s">
        <v>1784</v>
      </c>
      <c r="E546" s="57" t="s">
        <v>1786</v>
      </c>
      <c r="F546" s="56">
        <v>1</v>
      </c>
      <c r="G546" s="57" t="s">
        <v>1773</v>
      </c>
      <c r="H546" s="58">
        <v>46082</v>
      </c>
      <c r="I546" s="57" t="s">
        <v>1774</v>
      </c>
      <c r="J546" s="56">
        <v>1</v>
      </c>
      <c r="K546" s="60">
        <v>46082</v>
      </c>
      <c r="L546" s="59">
        <v>1500000</v>
      </c>
      <c r="M546" s="57" t="s">
        <v>2248</v>
      </c>
      <c r="N546" s="57" t="s">
        <v>2256</v>
      </c>
      <c r="O546" s="57" t="s">
        <v>2274</v>
      </c>
      <c r="P546" s="57" t="s">
        <v>2284</v>
      </c>
      <c r="Q546" s="57" t="s">
        <v>1773</v>
      </c>
    </row>
    <row r="547" spans="1:17" x14ac:dyDescent="0.25">
      <c r="A547" s="55" t="s">
        <v>1790</v>
      </c>
      <c r="B547" s="56" t="s">
        <v>2199</v>
      </c>
      <c r="C547" s="57" t="s">
        <v>28</v>
      </c>
      <c r="D547" s="56" t="s">
        <v>1791</v>
      </c>
      <c r="E547" s="57" t="s">
        <v>910</v>
      </c>
      <c r="F547" s="56">
        <v>1</v>
      </c>
      <c r="G547" s="57" t="s">
        <v>1773</v>
      </c>
      <c r="H547" s="58">
        <v>46054</v>
      </c>
      <c r="I547" s="57" t="s">
        <v>1774</v>
      </c>
      <c r="J547" s="56">
        <v>1</v>
      </c>
      <c r="K547" s="60">
        <v>46054</v>
      </c>
      <c r="L547" s="59">
        <v>1000000</v>
      </c>
      <c r="M547" s="57" t="s">
        <v>2248</v>
      </c>
      <c r="N547" s="57" t="s">
        <v>2256</v>
      </c>
      <c r="O547" s="57" t="s">
        <v>2274</v>
      </c>
      <c r="P547" s="57" t="s">
        <v>2284</v>
      </c>
      <c r="Q547" s="57" t="s">
        <v>1773</v>
      </c>
    </row>
    <row r="548" spans="1:17" x14ac:dyDescent="0.25">
      <c r="A548" s="55" t="s">
        <v>1042</v>
      </c>
      <c r="B548" s="56" t="s">
        <v>2199</v>
      </c>
      <c r="C548" s="57" t="s">
        <v>28</v>
      </c>
      <c r="D548" s="56" t="s">
        <v>1044</v>
      </c>
      <c r="E548" s="57" t="s">
        <v>1012</v>
      </c>
      <c r="F548" s="56">
        <v>1</v>
      </c>
      <c r="G548" s="57" t="s">
        <v>531</v>
      </c>
      <c r="H548" s="58">
        <v>46023</v>
      </c>
      <c r="I548" s="57" t="s">
        <v>532</v>
      </c>
      <c r="J548" s="56">
        <v>12</v>
      </c>
      <c r="K548" s="57" t="s">
        <v>413</v>
      </c>
      <c r="L548" s="59">
        <v>60000000</v>
      </c>
      <c r="M548" s="57" t="s">
        <v>2249</v>
      </c>
      <c r="N548" s="57" t="s">
        <v>2256</v>
      </c>
      <c r="O548" s="57" t="s">
        <v>2268</v>
      </c>
      <c r="P548" s="57" t="s">
        <v>2284</v>
      </c>
      <c r="Q548" s="57" t="s">
        <v>531</v>
      </c>
    </row>
    <row r="549" spans="1:17" x14ac:dyDescent="0.25">
      <c r="A549" s="55" t="s">
        <v>1047</v>
      </c>
      <c r="B549" s="56" t="s">
        <v>2199</v>
      </c>
      <c r="C549" s="57" t="s">
        <v>28</v>
      </c>
      <c r="D549" s="56" t="s">
        <v>1049</v>
      </c>
      <c r="E549" s="57" t="s">
        <v>1012</v>
      </c>
      <c r="F549" s="56">
        <v>1</v>
      </c>
      <c r="G549" s="57" t="s">
        <v>531</v>
      </c>
      <c r="H549" s="58">
        <v>46023</v>
      </c>
      <c r="I549" s="57" t="s">
        <v>1051</v>
      </c>
      <c r="J549" s="56">
        <v>12</v>
      </c>
      <c r="K549" s="57" t="s">
        <v>413</v>
      </c>
      <c r="L549" s="59">
        <v>11000000</v>
      </c>
      <c r="M549" s="57" t="s">
        <v>2249</v>
      </c>
      <c r="N549" s="57" t="s">
        <v>2256</v>
      </c>
      <c r="O549" s="57" t="s">
        <v>2268</v>
      </c>
      <c r="P549" s="57" t="s">
        <v>2284</v>
      </c>
      <c r="Q549" s="57" t="s">
        <v>531</v>
      </c>
    </row>
    <row r="550" spans="1:17" x14ac:dyDescent="0.25">
      <c r="A550" s="55" t="s">
        <v>527</v>
      </c>
      <c r="B550" s="56" t="s">
        <v>2196</v>
      </c>
      <c r="C550" s="57" t="s">
        <v>28</v>
      </c>
      <c r="D550" s="56" t="s">
        <v>528</v>
      </c>
      <c r="E550" s="57" t="s">
        <v>530</v>
      </c>
      <c r="F550" s="56">
        <v>1</v>
      </c>
      <c r="G550" s="57" t="s">
        <v>531</v>
      </c>
      <c r="H550" s="58">
        <v>45870</v>
      </c>
      <c r="I550" s="57" t="s">
        <v>532</v>
      </c>
      <c r="J550" s="56">
        <v>12</v>
      </c>
      <c r="K550" s="57" t="s">
        <v>413</v>
      </c>
      <c r="L550" s="59">
        <v>40000000</v>
      </c>
      <c r="M550" s="57" t="s">
        <v>2249</v>
      </c>
      <c r="N550" s="57" t="s">
        <v>2256</v>
      </c>
      <c r="O550" s="57" t="s">
        <v>2268</v>
      </c>
      <c r="P550" s="57" t="s">
        <v>2284</v>
      </c>
      <c r="Q550" s="57" t="s">
        <v>531</v>
      </c>
    </row>
    <row r="551" spans="1:17" x14ac:dyDescent="0.25">
      <c r="A551" s="55" t="s">
        <v>535</v>
      </c>
      <c r="B551" s="56" t="s">
        <v>2196</v>
      </c>
      <c r="C551" s="57" t="s">
        <v>28</v>
      </c>
      <c r="D551" s="56" t="s">
        <v>537</v>
      </c>
      <c r="E551" s="57" t="s">
        <v>496</v>
      </c>
      <c r="F551" s="56">
        <v>1</v>
      </c>
      <c r="G551" s="57" t="s">
        <v>531</v>
      </c>
      <c r="H551" s="58">
        <v>45870</v>
      </c>
      <c r="I551" s="57" t="s">
        <v>532</v>
      </c>
      <c r="J551" s="56">
        <v>12</v>
      </c>
      <c r="K551" s="57" t="s">
        <v>413</v>
      </c>
      <c r="L551" s="59">
        <v>80000000</v>
      </c>
      <c r="M551" s="57" t="s">
        <v>2249</v>
      </c>
      <c r="N551" s="57" t="s">
        <v>2256</v>
      </c>
      <c r="O551" s="57" t="s">
        <v>2268</v>
      </c>
      <c r="P551" s="57" t="s">
        <v>2284</v>
      </c>
      <c r="Q551" s="57" t="s">
        <v>531</v>
      </c>
    </row>
    <row r="552" spans="1:17" x14ac:dyDescent="0.25">
      <c r="A552" s="55" t="s">
        <v>773</v>
      </c>
      <c r="B552" s="56" t="s">
        <v>2199</v>
      </c>
      <c r="C552" s="57" t="s">
        <v>28</v>
      </c>
      <c r="D552" s="56" t="s">
        <v>774</v>
      </c>
      <c r="E552" s="57" t="s">
        <v>778</v>
      </c>
      <c r="F552" s="56">
        <v>6</v>
      </c>
      <c r="G552" s="57" t="s">
        <v>768</v>
      </c>
      <c r="H552" s="58">
        <v>46054</v>
      </c>
      <c r="I552" s="57" t="s">
        <v>386</v>
      </c>
      <c r="J552" s="56">
        <v>1</v>
      </c>
      <c r="K552" s="60">
        <v>46054</v>
      </c>
      <c r="L552" s="59">
        <v>124000</v>
      </c>
      <c r="M552" s="57" t="s">
        <v>2275</v>
      </c>
      <c r="N552" s="57" t="s">
        <v>2234</v>
      </c>
      <c r="O552" s="57" t="s">
        <v>2258</v>
      </c>
      <c r="P552" s="57" t="s">
        <v>2284</v>
      </c>
      <c r="Q552" s="57" t="s">
        <v>768</v>
      </c>
    </row>
    <row r="553" spans="1:17" x14ac:dyDescent="0.25">
      <c r="A553" s="55" t="s">
        <v>773</v>
      </c>
      <c r="B553" s="56" t="s">
        <v>2199</v>
      </c>
      <c r="C553" s="57" t="s">
        <v>28</v>
      </c>
      <c r="D553" s="56" t="s">
        <v>774</v>
      </c>
      <c r="E553" s="57" t="s">
        <v>781</v>
      </c>
      <c r="F553" s="56">
        <v>6</v>
      </c>
      <c r="G553" s="57" t="s">
        <v>768</v>
      </c>
      <c r="H553" s="58">
        <v>46054</v>
      </c>
      <c r="I553" s="57" t="s">
        <v>386</v>
      </c>
      <c r="J553" s="56">
        <v>1</v>
      </c>
      <c r="K553" s="60">
        <v>46054</v>
      </c>
      <c r="L553" s="59">
        <v>8000</v>
      </c>
      <c r="M553" s="57" t="s">
        <v>2275</v>
      </c>
      <c r="N553" s="57" t="s">
        <v>2234</v>
      </c>
      <c r="O553" s="57" t="s">
        <v>2258</v>
      </c>
      <c r="P553" s="57" t="s">
        <v>2284</v>
      </c>
      <c r="Q553" s="57" t="s">
        <v>768</v>
      </c>
    </row>
    <row r="554" spans="1:17" x14ac:dyDescent="0.25">
      <c r="A554" s="55" t="s">
        <v>773</v>
      </c>
      <c r="B554" s="56" t="s">
        <v>2199</v>
      </c>
      <c r="C554" s="57" t="s">
        <v>28</v>
      </c>
      <c r="D554" s="56" t="s">
        <v>774</v>
      </c>
      <c r="E554" s="57" t="s">
        <v>780</v>
      </c>
      <c r="F554" s="56">
        <v>6</v>
      </c>
      <c r="G554" s="57" t="s">
        <v>768</v>
      </c>
      <c r="H554" s="58">
        <v>46054</v>
      </c>
      <c r="I554" s="57" t="s">
        <v>386</v>
      </c>
      <c r="J554" s="56">
        <v>1</v>
      </c>
      <c r="K554" s="60">
        <v>46054</v>
      </c>
      <c r="L554" s="59">
        <v>25000</v>
      </c>
      <c r="M554" s="57" t="s">
        <v>2275</v>
      </c>
      <c r="N554" s="57" t="s">
        <v>2234</v>
      </c>
      <c r="O554" s="57" t="s">
        <v>2258</v>
      </c>
      <c r="P554" s="57" t="s">
        <v>2284</v>
      </c>
      <c r="Q554" s="57" t="s">
        <v>768</v>
      </c>
    </row>
    <row r="555" spans="1:17" x14ac:dyDescent="0.25">
      <c r="A555" s="55" t="s">
        <v>773</v>
      </c>
      <c r="B555" s="56" t="s">
        <v>2199</v>
      </c>
      <c r="C555" s="57" t="s">
        <v>28</v>
      </c>
      <c r="D555" s="56" t="s">
        <v>774</v>
      </c>
      <c r="E555" s="57" t="s">
        <v>779</v>
      </c>
      <c r="F555" s="56">
        <v>6</v>
      </c>
      <c r="G555" s="57" t="s">
        <v>768</v>
      </c>
      <c r="H555" s="58">
        <v>46054</v>
      </c>
      <c r="I555" s="57" t="s">
        <v>386</v>
      </c>
      <c r="J555" s="56">
        <v>1</v>
      </c>
      <c r="K555" s="60">
        <v>46054</v>
      </c>
      <c r="L555" s="59">
        <v>70000</v>
      </c>
      <c r="M555" s="57" t="s">
        <v>2275</v>
      </c>
      <c r="N555" s="57" t="s">
        <v>2234</v>
      </c>
      <c r="O555" s="57" t="s">
        <v>2258</v>
      </c>
      <c r="P555" s="57" t="s">
        <v>2284</v>
      </c>
      <c r="Q555" s="57" t="s">
        <v>768</v>
      </c>
    </row>
    <row r="556" spans="1:17" x14ac:dyDescent="0.25">
      <c r="A556" s="55" t="s">
        <v>773</v>
      </c>
      <c r="B556" s="56" t="s">
        <v>2199</v>
      </c>
      <c r="C556" s="57" t="s">
        <v>28</v>
      </c>
      <c r="D556" s="56" t="s">
        <v>774</v>
      </c>
      <c r="E556" s="57" t="s">
        <v>777</v>
      </c>
      <c r="F556" s="56">
        <v>6</v>
      </c>
      <c r="G556" s="57" t="s">
        <v>768</v>
      </c>
      <c r="H556" s="58">
        <v>46054</v>
      </c>
      <c r="I556" s="57" t="s">
        <v>386</v>
      </c>
      <c r="J556" s="56">
        <v>1</v>
      </c>
      <c r="K556" s="60">
        <v>46054</v>
      </c>
      <c r="L556" s="59">
        <v>699036</v>
      </c>
      <c r="M556" s="57" t="s">
        <v>2275</v>
      </c>
      <c r="N556" s="57" t="s">
        <v>2234</v>
      </c>
      <c r="O556" s="57" t="s">
        <v>2258</v>
      </c>
      <c r="P556" s="57" t="s">
        <v>2284</v>
      </c>
      <c r="Q556" s="57" t="s">
        <v>768</v>
      </c>
    </row>
    <row r="557" spans="1:17" x14ac:dyDescent="0.25">
      <c r="A557" s="55" t="s">
        <v>773</v>
      </c>
      <c r="B557" s="56" t="s">
        <v>2199</v>
      </c>
      <c r="C557" s="57" t="s">
        <v>28</v>
      </c>
      <c r="D557" s="56" t="s">
        <v>774</v>
      </c>
      <c r="E557" s="57" t="s">
        <v>776</v>
      </c>
      <c r="F557" s="56">
        <v>6</v>
      </c>
      <c r="G557" s="57" t="s">
        <v>768</v>
      </c>
      <c r="H557" s="58">
        <v>46054</v>
      </c>
      <c r="I557" s="57" t="s">
        <v>386</v>
      </c>
      <c r="J557" s="56">
        <v>1</v>
      </c>
      <c r="K557" s="60">
        <v>46054</v>
      </c>
      <c r="L557" s="59">
        <v>240012</v>
      </c>
      <c r="M557" s="57" t="s">
        <v>2275</v>
      </c>
      <c r="N557" s="57" t="s">
        <v>2234</v>
      </c>
      <c r="O557" s="57" t="s">
        <v>2258</v>
      </c>
      <c r="P557" s="57" t="s">
        <v>2284</v>
      </c>
      <c r="Q557" s="57" t="s">
        <v>768</v>
      </c>
    </row>
    <row r="558" spans="1:17" x14ac:dyDescent="0.25">
      <c r="A558" s="55" t="s">
        <v>816</v>
      </c>
      <c r="B558" s="56" t="s">
        <v>2199</v>
      </c>
      <c r="C558" s="57" t="s">
        <v>28</v>
      </c>
      <c r="D558" s="56" t="s">
        <v>817</v>
      </c>
      <c r="E558" s="57" t="s">
        <v>821</v>
      </c>
      <c r="F558" s="56">
        <v>5</v>
      </c>
      <c r="G558" s="57" t="s">
        <v>768</v>
      </c>
      <c r="H558" s="58">
        <v>46023</v>
      </c>
      <c r="I558" s="57" t="s">
        <v>386</v>
      </c>
      <c r="J558" s="56">
        <v>1</v>
      </c>
      <c r="K558" s="60">
        <v>46023</v>
      </c>
      <c r="L558" s="59">
        <v>104004</v>
      </c>
      <c r="M558" s="57" t="s">
        <v>2275</v>
      </c>
      <c r="N558" s="57" t="s">
        <v>2234</v>
      </c>
      <c r="O558" s="57" t="s">
        <v>2258</v>
      </c>
      <c r="P558" s="57" t="s">
        <v>2284</v>
      </c>
      <c r="Q558" s="57" t="s">
        <v>768</v>
      </c>
    </row>
    <row r="559" spans="1:17" x14ac:dyDescent="0.25">
      <c r="A559" s="55" t="s">
        <v>816</v>
      </c>
      <c r="B559" s="56" t="s">
        <v>2199</v>
      </c>
      <c r="C559" s="57" t="s">
        <v>28</v>
      </c>
      <c r="D559" s="56" t="s">
        <v>817</v>
      </c>
      <c r="E559" s="57" t="s">
        <v>821</v>
      </c>
      <c r="F559" s="56">
        <v>5</v>
      </c>
      <c r="G559" s="57" t="s">
        <v>768</v>
      </c>
      <c r="H559" s="58">
        <v>46082</v>
      </c>
      <c r="I559" s="57" t="s">
        <v>386</v>
      </c>
      <c r="J559" s="56">
        <v>1</v>
      </c>
      <c r="K559" s="60">
        <v>46082</v>
      </c>
      <c r="L559" s="59">
        <v>1900044</v>
      </c>
      <c r="M559" s="57" t="s">
        <v>2275</v>
      </c>
      <c r="N559" s="57" t="s">
        <v>2234</v>
      </c>
      <c r="O559" s="57" t="s">
        <v>2258</v>
      </c>
      <c r="P559" s="57" t="s">
        <v>2284</v>
      </c>
      <c r="Q559" s="57" t="s">
        <v>768</v>
      </c>
    </row>
    <row r="560" spans="1:17" x14ac:dyDescent="0.25">
      <c r="A560" s="55" t="s">
        <v>816</v>
      </c>
      <c r="B560" s="56" t="s">
        <v>2199</v>
      </c>
      <c r="C560" s="57" t="s">
        <v>28</v>
      </c>
      <c r="D560" s="56" t="s">
        <v>817</v>
      </c>
      <c r="E560" s="57" t="s">
        <v>486</v>
      </c>
      <c r="F560" s="56">
        <v>5</v>
      </c>
      <c r="G560" s="57" t="s">
        <v>768</v>
      </c>
      <c r="H560" s="58">
        <v>46023</v>
      </c>
      <c r="I560" s="57" t="s">
        <v>386</v>
      </c>
      <c r="J560" s="56">
        <v>1</v>
      </c>
      <c r="K560" s="60">
        <v>46023</v>
      </c>
      <c r="L560" s="59">
        <v>250000</v>
      </c>
      <c r="M560" s="57" t="s">
        <v>2275</v>
      </c>
      <c r="N560" s="57" t="s">
        <v>2234</v>
      </c>
      <c r="O560" s="57" t="s">
        <v>2258</v>
      </c>
      <c r="P560" s="57" t="s">
        <v>2284</v>
      </c>
      <c r="Q560" s="57" t="s">
        <v>768</v>
      </c>
    </row>
    <row r="561" spans="1:17" x14ac:dyDescent="0.25">
      <c r="A561" s="55" t="s">
        <v>816</v>
      </c>
      <c r="B561" s="56" t="s">
        <v>2199</v>
      </c>
      <c r="C561" s="57" t="s">
        <v>28</v>
      </c>
      <c r="D561" s="56" t="s">
        <v>817</v>
      </c>
      <c r="E561" s="57" t="s">
        <v>819</v>
      </c>
      <c r="F561" s="56">
        <v>5</v>
      </c>
      <c r="G561" s="57" t="s">
        <v>768</v>
      </c>
      <c r="H561" s="58">
        <v>46113</v>
      </c>
      <c r="I561" s="57" t="s">
        <v>386</v>
      </c>
      <c r="J561" s="56">
        <v>1</v>
      </c>
      <c r="K561" s="60">
        <v>46113</v>
      </c>
      <c r="L561" s="59">
        <v>1450010</v>
      </c>
      <c r="M561" s="57" t="s">
        <v>2275</v>
      </c>
      <c r="N561" s="57" t="s">
        <v>2234</v>
      </c>
      <c r="O561" s="57" t="s">
        <v>2258</v>
      </c>
      <c r="P561" s="57" t="s">
        <v>2284</v>
      </c>
      <c r="Q561" s="57" t="s">
        <v>768</v>
      </c>
    </row>
    <row r="562" spans="1:17" x14ac:dyDescent="0.25">
      <c r="A562" s="55" t="s">
        <v>816</v>
      </c>
      <c r="B562" s="56" t="s">
        <v>2199</v>
      </c>
      <c r="C562" s="57" t="s">
        <v>28</v>
      </c>
      <c r="D562" s="56" t="s">
        <v>817</v>
      </c>
      <c r="E562" s="57" t="s">
        <v>820</v>
      </c>
      <c r="F562" s="56">
        <v>5</v>
      </c>
      <c r="G562" s="57" t="s">
        <v>768</v>
      </c>
      <c r="H562" s="58">
        <v>46023</v>
      </c>
      <c r="I562" s="57" t="s">
        <v>386</v>
      </c>
      <c r="J562" s="56">
        <v>1</v>
      </c>
      <c r="K562" s="60">
        <v>46023</v>
      </c>
      <c r="L562" s="59">
        <v>1500000</v>
      </c>
      <c r="M562" s="57" t="s">
        <v>2275</v>
      </c>
      <c r="N562" s="57" t="s">
        <v>2234</v>
      </c>
      <c r="O562" s="57" t="s">
        <v>2258</v>
      </c>
      <c r="P562" s="57" t="s">
        <v>2284</v>
      </c>
      <c r="Q562" s="57" t="s">
        <v>768</v>
      </c>
    </row>
    <row r="563" spans="1:17" x14ac:dyDescent="0.25">
      <c r="A563" s="55" t="s">
        <v>837</v>
      </c>
      <c r="B563" s="56" t="s">
        <v>2199</v>
      </c>
      <c r="C563" s="57" t="s">
        <v>28</v>
      </c>
      <c r="D563" s="56" t="s">
        <v>838</v>
      </c>
      <c r="E563" s="57" t="s">
        <v>840</v>
      </c>
      <c r="F563" s="56">
        <v>1</v>
      </c>
      <c r="G563" s="57" t="s">
        <v>768</v>
      </c>
      <c r="H563" s="58">
        <v>46023</v>
      </c>
      <c r="I563" s="57" t="s">
        <v>386</v>
      </c>
      <c r="J563" s="56">
        <v>1</v>
      </c>
      <c r="K563" s="60">
        <v>46023</v>
      </c>
      <c r="L563" s="59">
        <v>130000</v>
      </c>
      <c r="M563" s="57" t="s">
        <v>2275</v>
      </c>
      <c r="N563" s="57" t="s">
        <v>2234</v>
      </c>
      <c r="O563" s="57" t="s">
        <v>2258</v>
      </c>
      <c r="P563" s="57" t="s">
        <v>2284</v>
      </c>
      <c r="Q563" s="57" t="s">
        <v>768</v>
      </c>
    </row>
    <row r="564" spans="1:17" x14ac:dyDescent="0.25">
      <c r="A564" s="55" t="s">
        <v>963</v>
      </c>
      <c r="B564" s="56" t="s">
        <v>2199</v>
      </c>
      <c r="C564" s="57" t="s">
        <v>28</v>
      </c>
      <c r="D564" s="56" t="s">
        <v>964</v>
      </c>
      <c r="E564" s="57" t="s">
        <v>623</v>
      </c>
      <c r="F564" s="56">
        <v>1</v>
      </c>
      <c r="G564" s="57" t="s">
        <v>768</v>
      </c>
      <c r="H564" s="58">
        <v>46054</v>
      </c>
      <c r="I564" s="57" t="s">
        <v>966</v>
      </c>
      <c r="J564" s="56">
        <v>1</v>
      </c>
      <c r="K564" s="60">
        <v>46054</v>
      </c>
      <c r="L564" s="59">
        <v>700002</v>
      </c>
      <c r="M564" s="57" t="s">
        <v>2275</v>
      </c>
      <c r="N564" s="57" t="s">
        <v>2234</v>
      </c>
      <c r="O564" s="57" t="s">
        <v>2258</v>
      </c>
      <c r="P564" s="57" t="s">
        <v>2284</v>
      </c>
      <c r="Q564" s="57" t="s">
        <v>768</v>
      </c>
    </row>
    <row r="565" spans="1:17" x14ac:dyDescent="0.25">
      <c r="A565" s="55" t="s">
        <v>969</v>
      </c>
      <c r="B565" s="56" t="s">
        <v>2199</v>
      </c>
      <c r="C565" s="57" t="s">
        <v>28</v>
      </c>
      <c r="D565" s="56" t="s">
        <v>970</v>
      </c>
      <c r="E565" s="57" t="s">
        <v>623</v>
      </c>
      <c r="F565" s="56">
        <v>1</v>
      </c>
      <c r="G565" s="57" t="s">
        <v>768</v>
      </c>
      <c r="H565" s="58">
        <v>46054</v>
      </c>
      <c r="I565" s="57" t="s">
        <v>966</v>
      </c>
      <c r="J565" s="56">
        <v>1</v>
      </c>
      <c r="K565" s="60">
        <v>46054</v>
      </c>
      <c r="L565" s="59">
        <v>7000008</v>
      </c>
      <c r="M565" s="57" t="s">
        <v>2275</v>
      </c>
      <c r="N565" s="57" t="s">
        <v>2234</v>
      </c>
      <c r="O565" s="57" t="s">
        <v>2258</v>
      </c>
      <c r="P565" s="57" t="s">
        <v>2284</v>
      </c>
      <c r="Q565" s="57" t="s">
        <v>768</v>
      </c>
    </row>
    <row r="566" spans="1:17" x14ac:dyDescent="0.25">
      <c r="A566" s="55" t="s">
        <v>972</v>
      </c>
      <c r="B566" s="56" t="s">
        <v>2199</v>
      </c>
      <c r="C566" s="57" t="s">
        <v>28</v>
      </c>
      <c r="D566" s="56" t="s">
        <v>973</v>
      </c>
      <c r="E566" s="57" t="s">
        <v>623</v>
      </c>
      <c r="F566" s="56">
        <v>1</v>
      </c>
      <c r="G566" s="57" t="s">
        <v>768</v>
      </c>
      <c r="H566" s="58">
        <v>46082</v>
      </c>
      <c r="I566" s="57" t="s">
        <v>966</v>
      </c>
      <c r="J566" s="56">
        <v>1</v>
      </c>
      <c r="K566" s="60">
        <v>46082</v>
      </c>
      <c r="L566" s="59">
        <v>800000</v>
      </c>
      <c r="M566" s="57" t="s">
        <v>2275</v>
      </c>
      <c r="N566" s="57" t="s">
        <v>2234</v>
      </c>
      <c r="O566" s="57" t="s">
        <v>2258</v>
      </c>
      <c r="P566" s="57" t="s">
        <v>2284</v>
      </c>
      <c r="Q566" s="57" t="s">
        <v>768</v>
      </c>
    </row>
    <row r="567" spans="1:17" x14ac:dyDescent="0.25">
      <c r="A567" s="55" t="s">
        <v>975</v>
      </c>
      <c r="B567" s="56" t="s">
        <v>2199</v>
      </c>
      <c r="C567" s="57" t="s">
        <v>28</v>
      </c>
      <c r="D567" s="56" t="s">
        <v>976</v>
      </c>
      <c r="E567" s="57" t="s">
        <v>623</v>
      </c>
      <c r="F567" s="56">
        <v>1</v>
      </c>
      <c r="G567" s="57" t="s">
        <v>768</v>
      </c>
      <c r="H567" s="58">
        <v>46054</v>
      </c>
      <c r="I567" s="57" t="s">
        <v>966</v>
      </c>
      <c r="J567" s="56">
        <v>1</v>
      </c>
      <c r="K567" s="60">
        <v>46054</v>
      </c>
      <c r="L567" s="59">
        <v>3500000</v>
      </c>
      <c r="M567" s="57" t="s">
        <v>2275</v>
      </c>
      <c r="N567" s="57" t="s">
        <v>2234</v>
      </c>
      <c r="O567" s="57" t="s">
        <v>2258</v>
      </c>
      <c r="P567" s="57" t="s">
        <v>2284</v>
      </c>
      <c r="Q567" s="57" t="s">
        <v>768</v>
      </c>
    </row>
    <row r="568" spans="1:17" x14ac:dyDescent="0.25">
      <c r="A568" s="55" t="s">
        <v>978</v>
      </c>
      <c r="B568" s="56" t="s">
        <v>2199</v>
      </c>
      <c r="C568" s="57" t="s">
        <v>28</v>
      </c>
      <c r="D568" s="56" t="s">
        <v>979</v>
      </c>
      <c r="E568" s="57" t="s">
        <v>623</v>
      </c>
      <c r="F568" s="56">
        <v>1</v>
      </c>
      <c r="G568" s="57" t="s">
        <v>768</v>
      </c>
      <c r="H568" s="58">
        <v>46082</v>
      </c>
      <c r="I568" s="57" t="s">
        <v>966</v>
      </c>
      <c r="J568" s="56">
        <v>1</v>
      </c>
      <c r="K568" s="60">
        <v>46082</v>
      </c>
      <c r="L568" s="59">
        <v>2000000</v>
      </c>
      <c r="M568" s="57" t="s">
        <v>2275</v>
      </c>
      <c r="N568" s="57" t="s">
        <v>2234</v>
      </c>
      <c r="O568" s="57" t="s">
        <v>2258</v>
      </c>
      <c r="P568" s="57" t="s">
        <v>2284</v>
      </c>
      <c r="Q568" s="57" t="s">
        <v>768</v>
      </c>
    </row>
    <row r="569" spans="1:17" x14ac:dyDescent="0.25">
      <c r="A569" s="55" t="s">
        <v>981</v>
      </c>
      <c r="B569" s="56" t="s">
        <v>2199</v>
      </c>
      <c r="C569" s="57" t="s">
        <v>28</v>
      </c>
      <c r="D569" s="56" t="s">
        <v>982</v>
      </c>
      <c r="E569" s="57" t="s">
        <v>623</v>
      </c>
      <c r="F569" s="56">
        <v>1</v>
      </c>
      <c r="G569" s="57" t="s">
        <v>768</v>
      </c>
      <c r="H569" s="58">
        <v>46113</v>
      </c>
      <c r="I569" s="57" t="s">
        <v>966</v>
      </c>
      <c r="J569" s="56">
        <v>1</v>
      </c>
      <c r="K569" s="60">
        <v>46113</v>
      </c>
      <c r="L569" s="59">
        <v>800004</v>
      </c>
      <c r="M569" s="57" t="s">
        <v>2275</v>
      </c>
      <c r="N569" s="57" t="s">
        <v>2234</v>
      </c>
      <c r="O569" s="57" t="s">
        <v>2258</v>
      </c>
      <c r="P569" s="57" t="s">
        <v>2284</v>
      </c>
      <c r="Q569" s="57" t="s">
        <v>768</v>
      </c>
    </row>
    <row r="570" spans="1:17" x14ac:dyDescent="0.25">
      <c r="A570" s="55" t="s">
        <v>984</v>
      </c>
      <c r="B570" s="56" t="s">
        <v>2199</v>
      </c>
      <c r="C570" s="57" t="s">
        <v>28</v>
      </c>
      <c r="D570" s="56" t="s">
        <v>985</v>
      </c>
      <c r="E570" s="57" t="s">
        <v>623</v>
      </c>
      <c r="F570" s="56">
        <v>1</v>
      </c>
      <c r="G570" s="57" t="s">
        <v>768</v>
      </c>
      <c r="H570" s="58">
        <v>46023</v>
      </c>
      <c r="I570" s="57" t="s">
        <v>966</v>
      </c>
      <c r="J570" s="56">
        <v>1</v>
      </c>
      <c r="K570" s="60">
        <v>46023</v>
      </c>
      <c r="L570" s="59">
        <v>600000</v>
      </c>
      <c r="M570" s="57" t="s">
        <v>2275</v>
      </c>
      <c r="N570" s="57" t="s">
        <v>2234</v>
      </c>
      <c r="O570" s="57" t="s">
        <v>2258</v>
      </c>
      <c r="P570" s="57" t="s">
        <v>2284</v>
      </c>
      <c r="Q570" s="57" t="s">
        <v>768</v>
      </c>
    </row>
    <row r="571" spans="1:17" x14ac:dyDescent="0.25">
      <c r="A571" s="55" t="s">
        <v>987</v>
      </c>
      <c r="B571" s="56" t="s">
        <v>2199</v>
      </c>
      <c r="C571" s="57" t="s">
        <v>28</v>
      </c>
      <c r="D571" s="56" t="s">
        <v>988</v>
      </c>
      <c r="E571" s="57" t="s">
        <v>623</v>
      </c>
      <c r="F571" s="56">
        <v>1</v>
      </c>
      <c r="G571" s="57" t="s">
        <v>768</v>
      </c>
      <c r="H571" s="58">
        <v>46204</v>
      </c>
      <c r="I571" s="57" t="s">
        <v>966</v>
      </c>
      <c r="J571" s="56">
        <v>1</v>
      </c>
      <c r="K571" s="60">
        <v>46204</v>
      </c>
      <c r="L571" s="59">
        <v>4000000</v>
      </c>
      <c r="M571" s="57" t="s">
        <v>2275</v>
      </c>
      <c r="N571" s="57" t="s">
        <v>2234</v>
      </c>
      <c r="O571" s="57" t="s">
        <v>2258</v>
      </c>
      <c r="P571" s="57" t="s">
        <v>2284</v>
      </c>
      <c r="Q571" s="57" t="s">
        <v>768</v>
      </c>
    </row>
    <row r="572" spans="1:17" x14ac:dyDescent="0.25">
      <c r="A572" s="55" t="s">
        <v>990</v>
      </c>
      <c r="B572" s="56" t="s">
        <v>2199</v>
      </c>
      <c r="C572" s="57" t="s">
        <v>28</v>
      </c>
      <c r="D572" s="56" t="s">
        <v>991</v>
      </c>
      <c r="E572" s="57" t="s">
        <v>623</v>
      </c>
      <c r="F572" s="56">
        <v>1</v>
      </c>
      <c r="G572" s="57" t="s">
        <v>768</v>
      </c>
      <c r="H572" s="58">
        <v>46082</v>
      </c>
      <c r="I572" s="57" t="s">
        <v>966</v>
      </c>
      <c r="J572" s="56">
        <v>1</v>
      </c>
      <c r="K572" s="60">
        <v>46082</v>
      </c>
      <c r="L572" s="59">
        <v>5500000</v>
      </c>
      <c r="M572" s="57" t="s">
        <v>2275</v>
      </c>
      <c r="N572" s="57" t="s">
        <v>2234</v>
      </c>
      <c r="O572" s="57" t="s">
        <v>2258</v>
      </c>
      <c r="P572" s="57" t="s">
        <v>2284</v>
      </c>
      <c r="Q572" s="57" t="s">
        <v>768</v>
      </c>
    </row>
    <row r="573" spans="1:17" x14ac:dyDescent="0.25">
      <c r="A573" s="55" t="s">
        <v>993</v>
      </c>
      <c r="B573" s="56" t="s">
        <v>2199</v>
      </c>
      <c r="C573" s="57" t="s">
        <v>28</v>
      </c>
      <c r="D573" s="56" t="s">
        <v>994</v>
      </c>
      <c r="E573" s="57" t="s">
        <v>623</v>
      </c>
      <c r="F573" s="56">
        <v>1</v>
      </c>
      <c r="G573" s="57" t="s">
        <v>768</v>
      </c>
      <c r="H573" s="58">
        <v>46113</v>
      </c>
      <c r="I573" s="57" t="s">
        <v>966</v>
      </c>
      <c r="J573" s="56">
        <v>1</v>
      </c>
      <c r="K573" s="60">
        <v>46113</v>
      </c>
      <c r="L573" s="59">
        <v>3000000</v>
      </c>
      <c r="M573" s="57" t="s">
        <v>2275</v>
      </c>
      <c r="N573" s="57" t="s">
        <v>2234</v>
      </c>
      <c r="O573" s="57" t="s">
        <v>2258</v>
      </c>
      <c r="P573" s="57" t="s">
        <v>2284</v>
      </c>
      <c r="Q573" s="57" t="s">
        <v>768</v>
      </c>
    </row>
    <row r="574" spans="1:17" x14ac:dyDescent="0.25">
      <c r="A574" s="55" t="s">
        <v>1000</v>
      </c>
      <c r="B574" s="56" t="s">
        <v>2199</v>
      </c>
      <c r="C574" s="57" t="s">
        <v>28</v>
      </c>
      <c r="D574" s="56" t="s">
        <v>1001</v>
      </c>
      <c r="E574" s="57" t="s">
        <v>623</v>
      </c>
      <c r="F574" s="56">
        <v>1</v>
      </c>
      <c r="G574" s="57" t="s">
        <v>768</v>
      </c>
      <c r="H574" s="58">
        <v>46204</v>
      </c>
      <c r="I574" s="57" t="s">
        <v>966</v>
      </c>
      <c r="J574" s="56">
        <v>1</v>
      </c>
      <c r="K574" s="60">
        <v>46174</v>
      </c>
      <c r="L574" s="59">
        <v>1500000</v>
      </c>
      <c r="M574" s="57" t="s">
        <v>2275</v>
      </c>
      <c r="N574" s="57" t="s">
        <v>2234</v>
      </c>
      <c r="O574" s="57" t="s">
        <v>2258</v>
      </c>
      <c r="P574" s="57" t="s">
        <v>2284</v>
      </c>
      <c r="Q574" s="57" t="s">
        <v>768</v>
      </c>
    </row>
    <row r="575" spans="1:17" x14ac:dyDescent="0.25">
      <c r="A575" s="55" t="s">
        <v>1003</v>
      </c>
      <c r="B575" s="56" t="s">
        <v>2199</v>
      </c>
      <c r="C575" s="57" t="s">
        <v>28</v>
      </c>
      <c r="D575" s="56" t="s">
        <v>1004</v>
      </c>
      <c r="E575" s="57" t="s">
        <v>1006</v>
      </c>
      <c r="F575" s="56">
        <v>1</v>
      </c>
      <c r="G575" s="57" t="s">
        <v>768</v>
      </c>
      <c r="H575" s="58">
        <v>46082</v>
      </c>
      <c r="I575" s="57" t="s">
        <v>966</v>
      </c>
      <c r="J575" s="56">
        <v>4</v>
      </c>
      <c r="K575" s="57" t="s">
        <v>1007</v>
      </c>
      <c r="L575" s="59">
        <v>17500000</v>
      </c>
      <c r="M575" s="57" t="s">
        <v>2275</v>
      </c>
      <c r="N575" s="57" t="s">
        <v>2234</v>
      </c>
      <c r="O575" s="57" t="s">
        <v>2258</v>
      </c>
      <c r="P575" s="57" t="s">
        <v>2284</v>
      </c>
      <c r="Q575" s="57" t="s">
        <v>768</v>
      </c>
    </row>
    <row r="576" spans="1:17" x14ac:dyDescent="0.25">
      <c r="A576" s="55" t="s">
        <v>1008</v>
      </c>
      <c r="B576" s="56" t="s">
        <v>2199</v>
      </c>
      <c r="C576" s="57" t="s">
        <v>28</v>
      </c>
      <c r="D576" s="56" t="s">
        <v>1010</v>
      </c>
      <c r="E576" s="57" t="s">
        <v>1012</v>
      </c>
      <c r="F576" s="56">
        <v>1</v>
      </c>
      <c r="G576" s="57" t="s">
        <v>768</v>
      </c>
      <c r="H576" s="58">
        <v>46143</v>
      </c>
      <c r="I576" s="57" t="s">
        <v>966</v>
      </c>
      <c r="J576" s="56">
        <v>1</v>
      </c>
      <c r="K576" s="60">
        <v>46143</v>
      </c>
      <c r="L576" s="59">
        <v>1820000</v>
      </c>
      <c r="M576" s="57" t="s">
        <v>2275</v>
      </c>
      <c r="N576" s="57" t="s">
        <v>2234</v>
      </c>
      <c r="O576" s="57" t="s">
        <v>2258</v>
      </c>
      <c r="P576" s="57" t="s">
        <v>2284</v>
      </c>
      <c r="Q576" s="57" t="s">
        <v>768</v>
      </c>
    </row>
    <row r="577" spans="1:17" x14ac:dyDescent="0.25">
      <c r="A577" s="55" t="s">
        <v>1013</v>
      </c>
      <c r="B577" s="56" t="s">
        <v>2199</v>
      </c>
      <c r="C577" s="57" t="s">
        <v>28</v>
      </c>
      <c r="D577" s="56" t="s">
        <v>1014</v>
      </c>
      <c r="E577" s="57" t="s">
        <v>623</v>
      </c>
      <c r="F577" s="56">
        <v>1</v>
      </c>
      <c r="G577" s="57" t="s">
        <v>768</v>
      </c>
      <c r="H577" s="58">
        <v>46082</v>
      </c>
      <c r="I577" s="57" t="s">
        <v>966</v>
      </c>
      <c r="J577" s="56">
        <v>1</v>
      </c>
      <c r="K577" s="60">
        <v>46082</v>
      </c>
      <c r="L577" s="59">
        <v>1200000</v>
      </c>
      <c r="M577" s="57" t="s">
        <v>2275</v>
      </c>
      <c r="N577" s="57" t="s">
        <v>2234</v>
      </c>
      <c r="O577" s="57" t="s">
        <v>2258</v>
      </c>
      <c r="P577" s="57" t="s">
        <v>2284</v>
      </c>
      <c r="Q577" s="57" t="s">
        <v>768</v>
      </c>
    </row>
    <row r="578" spans="1:17" x14ac:dyDescent="0.25">
      <c r="A578" s="55" t="s">
        <v>1016</v>
      </c>
      <c r="B578" s="56" t="s">
        <v>2199</v>
      </c>
      <c r="C578" s="57" t="s">
        <v>28</v>
      </c>
      <c r="D578" s="56" t="s">
        <v>1017</v>
      </c>
      <c r="E578" s="57" t="s">
        <v>623</v>
      </c>
      <c r="F578" s="56">
        <v>1</v>
      </c>
      <c r="G578" s="57" t="s">
        <v>768</v>
      </c>
      <c r="H578" s="58">
        <v>46174</v>
      </c>
      <c r="I578" s="57" t="s">
        <v>966</v>
      </c>
      <c r="J578" s="56">
        <v>1</v>
      </c>
      <c r="K578" s="60">
        <v>46174</v>
      </c>
      <c r="L578" s="59">
        <v>2500020</v>
      </c>
      <c r="M578" s="57" t="s">
        <v>2275</v>
      </c>
      <c r="N578" s="57" t="s">
        <v>2234</v>
      </c>
      <c r="O578" s="57" t="s">
        <v>2258</v>
      </c>
      <c r="P578" s="57" t="s">
        <v>2284</v>
      </c>
      <c r="Q578" s="57" t="s">
        <v>768</v>
      </c>
    </row>
    <row r="579" spans="1:17" x14ac:dyDescent="0.25">
      <c r="A579" s="55" t="s">
        <v>1019</v>
      </c>
      <c r="B579" s="56" t="s">
        <v>2199</v>
      </c>
      <c r="C579" s="57" t="s">
        <v>28</v>
      </c>
      <c r="D579" s="56" t="s">
        <v>1020</v>
      </c>
      <c r="E579" s="57" t="s">
        <v>121</v>
      </c>
      <c r="F579" s="56">
        <v>1</v>
      </c>
      <c r="G579" s="57" t="s">
        <v>768</v>
      </c>
      <c r="H579" s="58">
        <v>46235</v>
      </c>
      <c r="I579" s="57" t="s">
        <v>966</v>
      </c>
      <c r="J579" s="56">
        <v>1</v>
      </c>
      <c r="K579" s="60">
        <v>46235</v>
      </c>
      <c r="L579" s="59">
        <v>2500000</v>
      </c>
      <c r="M579" s="57" t="s">
        <v>2275</v>
      </c>
      <c r="N579" s="57" t="s">
        <v>2234</v>
      </c>
      <c r="O579" s="57" t="s">
        <v>2258</v>
      </c>
      <c r="P579" s="57" t="s">
        <v>2284</v>
      </c>
      <c r="Q579" s="57" t="s">
        <v>768</v>
      </c>
    </row>
    <row r="580" spans="1:17" x14ac:dyDescent="0.25">
      <c r="A580" s="55" t="s">
        <v>1022</v>
      </c>
      <c r="B580" s="56" t="s">
        <v>2199</v>
      </c>
      <c r="C580" s="57" t="s">
        <v>28</v>
      </c>
      <c r="D580" s="56" t="s">
        <v>1023</v>
      </c>
      <c r="E580" s="57" t="s">
        <v>623</v>
      </c>
      <c r="F580" s="56">
        <v>1</v>
      </c>
      <c r="G580" s="57" t="s">
        <v>768</v>
      </c>
      <c r="H580" s="58">
        <v>46235</v>
      </c>
      <c r="I580" s="57" t="s">
        <v>966</v>
      </c>
      <c r="J580" s="56">
        <v>1</v>
      </c>
      <c r="K580" s="60">
        <v>46235</v>
      </c>
      <c r="L580" s="59">
        <v>2500000</v>
      </c>
      <c r="M580" s="57" t="s">
        <v>2275</v>
      </c>
      <c r="N580" s="57" t="s">
        <v>2234</v>
      </c>
      <c r="O580" s="57" t="s">
        <v>2258</v>
      </c>
      <c r="P580" s="57" t="s">
        <v>2284</v>
      </c>
      <c r="Q580" s="57" t="s">
        <v>768</v>
      </c>
    </row>
    <row r="581" spans="1:17" x14ac:dyDescent="0.25">
      <c r="A581" s="55" t="s">
        <v>1025</v>
      </c>
      <c r="B581" s="56" t="s">
        <v>2199</v>
      </c>
      <c r="C581" s="57" t="s">
        <v>28</v>
      </c>
      <c r="D581" s="56" t="s">
        <v>1026</v>
      </c>
      <c r="E581" s="57" t="s">
        <v>1028</v>
      </c>
      <c r="F581" s="56">
        <v>1</v>
      </c>
      <c r="G581" s="57" t="s">
        <v>768</v>
      </c>
      <c r="H581" s="58">
        <v>46327</v>
      </c>
      <c r="I581" s="57" t="s">
        <v>386</v>
      </c>
      <c r="J581" s="56">
        <v>12</v>
      </c>
      <c r="K581" s="57" t="s">
        <v>1029</v>
      </c>
      <c r="L581" s="59">
        <v>0</v>
      </c>
      <c r="M581" s="57" t="s">
        <v>2275</v>
      </c>
      <c r="N581" s="57" t="s">
        <v>2234</v>
      </c>
      <c r="O581" s="57" t="s">
        <v>2258</v>
      </c>
      <c r="P581" s="57" t="s">
        <v>2284</v>
      </c>
      <c r="Q581" s="57" t="s">
        <v>768</v>
      </c>
    </row>
    <row r="582" spans="1:17" x14ac:dyDescent="0.25">
      <c r="A582" s="55" t="s">
        <v>1039</v>
      </c>
      <c r="B582" s="56" t="s">
        <v>2199</v>
      </c>
      <c r="C582" s="57" t="s">
        <v>28</v>
      </c>
      <c r="D582" s="56" t="s">
        <v>1040</v>
      </c>
      <c r="E582" s="57" t="s">
        <v>486</v>
      </c>
      <c r="F582" s="56">
        <v>1</v>
      </c>
      <c r="G582" s="57" t="s">
        <v>768</v>
      </c>
      <c r="H582" s="58">
        <v>46082</v>
      </c>
      <c r="I582" s="57" t="s">
        <v>386</v>
      </c>
      <c r="J582" s="56">
        <v>1</v>
      </c>
      <c r="K582" s="60">
        <v>46082</v>
      </c>
      <c r="L582" s="59">
        <v>816730</v>
      </c>
      <c r="M582" s="57" t="s">
        <v>2275</v>
      </c>
      <c r="N582" s="57" t="s">
        <v>2234</v>
      </c>
      <c r="O582" s="57" t="s">
        <v>2258</v>
      </c>
      <c r="P582" s="57" t="s">
        <v>2284</v>
      </c>
      <c r="Q582" s="57" t="s">
        <v>768</v>
      </c>
    </row>
    <row r="583" spans="1:17" x14ac:dyDescent="0.25">
      <c r="A583" s="55" t="s">
        <v>1879</v>
      </c>
      <c r="B583" s="56" t="s">
        <v>2199</v>
      </c>
      <c r="C583" s="57" t="s">
        <v>28</v>
      </c>
      <c r="D583" s="56" t="s">
        <v>1880</v>
      </c>
      <c r="E583" s="57" t="s">
        <v>1375</v>
      </c>
      <c r="F583" s="56">
        <v>1</v>
      </c>
      <c r="G583" s="57" t="s">
        <v>768</v>
      </c>
      <c r="H583" s="58">
        <v>46235</v>
      </c>
      <c r="I583" s="57" t="s">
        <v>966</v>
      </c>
      <c r="J583" s="56">
        <v>1</v>
      </c>
      <c r="K583" s="60">
        <v>46235</v>
      </c>
      <c r="L583" s="59">
        <v>12000000</v>
      </c>
      <c r="M583" s="57" t="s">
        <v>2275</v>
      </c>
      <c r="N583" s="57" t="s">
        <v>2234</v>
      </c>
      <c r="O583" s="57" t="s">
        <v>2258</v>
      </c>
      <c r="P583" s="57" t="s">
        <v>2284</v>
      </c>
      <c r="Q583" s="57" t="s">
        <v>768</v>
      </c>
    </row>
    <row r="584" spans="1:17" x14ac:dyDescent="0.25">
      <c r="A584" s="55" t="s">
        <v>2063</v>
      </c>
      <c r="B584" s="56" t="s">
        <v>2199</v>
      </c>
      <c r="C584" s="57" t="s">
        <v>1238</v>
      </c>
      <c r="D584" s="56" t="s">
        <v>2064</v>
      </c>
      <c r="E584" s="57" t="s">
        <v>2066</v>
      </c>
      <c r="F584" s="56">
        <v>1</v>
      </c>
      <c r="G584" s="57" t="s">
        <v>768</v>
      </c>
      <c r="H584" s="58">
        <v>46023</v>
      </c>
      <c r="I584" s="57" t="s">
        <v>966</v>
      </c>
      <c r="J584" s="56">
        <v>1</v>
      </c>
      <c r="K584" s="60">
        <v>46023</v>
      </c>
      <c r="L584" s="59">
        <v>300000</v>
      </c>
      <c r="M584" s="57" t="s">
        <v>2275</v>
      </c>
      <c r="N584" s="57" t="s">
        <v>2234</v>
      </c>
      <c r="O584" s="57" t="s">
        <v>2258</v>
      </c>
      <c r="P584" s="57" t="s">
        <v>2284</v>
      </c>
      <c r="Q584" s="57" t="s">
        <v>768</v>
      </c>
    </row>
    <row r="585" spans="1:17" x14ac:dyDescent="0.25">
      <c r="A585" s="55" t="s">
        <v>2140</v>
      </c>
      <c r="B585" s="56" t="s">
        <v>2199</v>
      </c>
      <c r="C585" s="57" t="s">
        <v>1238</v>
      </c>
      <c r="D585" s="56" t="s">
        <v>2141</v>
      </c>
      <c r="E585" s="57" t="s">
        <v>2143</v>
      </c>
      <c r="F585" s="56">
        <v>1</v>
      </c>
      <c r="G585" s="57" t="s">
        <v>768</v>
      </c>
      <c r="H585" s="58">
        <v>46023</v>
      </c>
      <c r="I585" s="57" t="s">
        <v>966</v>
      </c>
      <c r="J585" s="56">
        <v>1</v>
      </c>
      <c r="K585" s="60">
        <v>46054</v>
      </c>
      <c r="L585" s="59">
        <v>250000</v>
      </c>
      <c r="M585" s="57" t="s">
        <v>2275</v>
      </c>
      <c r="N585" s="57" t="s">
        <v>2234</v>
      </c>
      <c r="O585" s="57" t="s">
        <v>2258</v>
      </c>
      <c r="P585" s="57" t="s">
        <v>2284</v>
      </c>
      <c r="Q585" s="57" t="s">
        <v>768</v>
      </c>
    </row>
    <row r="586" spans="1:17" x14ac:dyDescent="0.25">
      <c r="A586" s="55" t="s">
        <v>1289</v>
      </c>
      <c r="B586" s="56" t="s">
        <v>2199</v>
      </c>
      <c r="C586" s="57" t="s">
        <v>1238</v>
      </c>
      <c r="D586" s="56" t="s">
        <v>1291</v>
      </c>
      <c r="E586" s="57" t="s">
        <v>1293</v>
      </c>
      <c r="F586" s="56">
        <v>1</v>
      </c>
      <c r="G586" s="57" t="s">
        <v>768</v>
      </c>
      <c r="H586" s="58">
        <v>46023</v>
      </c>
      <c r="I586" s="57" t="s">
        <v>386</v>
      </c>
      <c r="J586" s="56">
        <v>1</v>
      </c>
      <c r="K586" s="60">
        <v>46023</v>
      </c>
      <c r="L586" s="59">
        <v>4000005</v>
      </c>
      <c r="M586" s="57" t="s">
        <v>2275</v>
      </c>
      <c r="N586" s="57" t="s">
        <v>2234</v>
      </c>
      <c r="O586" s="57" t="s">
        <v>2258</v>
      </c>
      <c r="P586" s="57" t="s">
        <v>2284</v>
      </c>
      <c r="Q586" s="57" t="s">
        <v>768</v>
      </c>
    </row>
    <row r="587" spans="1:17" x14ac:dyDescent="0.25">
      <c r="A587" s="55" t="s">
        <v>1967</v>
      </c>
      <c r="B587" s="56" t="s">
        <v>2199</v>
      </c>
      <c r="C587" s="57" t="s">
        <v>374</v>
      </c>
      <c r="D587" s="56" t="s">
        <v>1969</v>
      </c>
      <c r="E587" s="57" t="s">
        <v>359</v>
      </c>
      <c r="F587" s="56">
        <v>5</v>
      </c>
      <c r="G587" s="57" t="s">
        <v>768</v>
      </c>
      <c r="H587" s="58">
        <v>46023</v>
      </c>
      <c r="I587" s="57" t="s">
        <v>1972</v>
      </c>
      <c r="J587" s="56">
        <v>1</v>
      </c>
      <c r="K587" s="60">
        <v>46054</v>
      </c>
      <c r="L587" s="59">
        <v>43320</v>
      </c>
      <c r="M587" s="57" t="s">
        <v>2275</v>
      </c>
      <c r="N587" s="57" t="s">
        <v>2234</v>
      </c>
      <c r="O587" s="57" t="s">
        <v>2258</v>
      </c>
      <c r="P587" s="57" t="s">
        <v>2284</v>
      </c>
      <c r="Q587" s="57" t="s">
        <v>768</v>
      </c>
    </row>
    <row r="588" spans="1:17" x14ac:dyDescent="0.25">
      <c r="A588" s="55" t="s">
        <v>1967</v>
      </c>
      <c r="B588" s="56" t="s">
        <v>2199</v>
      </c>
      <c r="C588" s="57" t="s">
        <v>374</v>
      </c>
      <c r="D588" s="56" t="s">
        <v>1969</v>
      </c>
      <c r="E588" s="57" t="s">
        <v>1971</v>
      </c>
      <c r="F588" s="56">
        <v>5</v>
      </c>
      <c r="G588" s="57" t="s">
        <v>768</v>
      </c>
      <c r="H588" s="58">
        <v>46023</v>
      </c>
      <c r="I588" s="57" t="s">
        <v>1972</v>
      </c>
      <c r="J588" s="56">
        <v>1</v>
      </c>
      <c r="K588" s="60">
        <v>46054</v>
      </c>
      <c r="L588" s="59">
        <v>112387</v>
      </c>
      <c r="M588" s="57" t="s">
        <v>2275</v>
      </c>
      <c r="N588" s="57" t="s">
        <v>2234</v>
      </c>
      <c r="O588" s="57" t="s">
        <v>2258</v>
      </c>
      <c r="P588" s="57" t="s">
        <v>2284</v>
      </c>
      <c r="Q588" s="57" t="s">
        <v>768</v>
      </c>
    </row>
    <row r="589" spans="1:17" x14ac:dyDescent="0.25">
      <c r="A589" s="55" t="s">
        <v>1967</v>
      </c>
      <c r="B589" s="56" t="s">
        <v>2199</v>
      </c>
      <c r="C589" s="57" t="s">
        <v>374</v>
      </c>
      <c r="D589" s="56" t="s">
        <v>1969</v>
      </c>
      <c r="E589" s="57" t="s">
        <v>1974</v>
      </c>
      <c r="F589" s="56">
        <v>5</v>
      </c>
      <c r="G589" s="57" t="s">
        <v>768</v>
      </c>
      <c r="H589" s="58">
        <v>46023</v>
      </c>
      <c r="I589" s="57" t="s">
        <v>1972</v>
      </c>
      <c r="J589" s="56">
        <v>1</v>
      </c>
      <c r="K589" s="60">
        <v>46054</v>
      </c>
      <c r="L589" s="59">
        <v>25000</v>
      </c>
      <c r="M589" s="57" t="s">
        <v>2275</v>
      </c>
      <c r="N589" s="57" t="s">
        <v>2234</v>
      </c>
      <c r="O589" s="57" t="s">
        <v>2258</v>
      </c>
      <c r="P589" s="57" t="s">
        <v>2284</v>
      </c>
      <c r="Q589" s="57" t="s">
        <v>768</v>
      </c>
    </row>
    <row r="590" spans="1:17" x14ac:dyDescent="0.25">
      <c r="A590" s="55" t="s">
        <v>1967</v>
      </c>
      <c r="B590" s="56" t="s">
        <v>2199</v>
      </c>
      <c r="C590" s="57" t="s">
        <v>374</v>
      </c>
      <c r="D590" s="56" t="s">
        <v>1969</v>
      </c>
      <c r="E590" s="57" t="s">
        <v>1975</v>
      </c>
      <c r="F590" s="56">
        <v>5</v>
      </c>
      <c r="G590" s="57" t="s">
        <v>768</v>
      </c>
      <c r="H590" s="58">
        <v>46023</v>
      </c>
      <c r="I590" s="57" t="s">
        <v>1972</v>
      </c>
      <c r="J590" s="56">
        <v>1</v>
      </c>
      <c r="K590" s="60">
        <v>46054</v>
      </c>
      <c r="L590" s="59">
        <v>1700</v>
      </c>
      <c r="M590" s="57" t="s">
        <v>2275</v>
      </c>
      <c r="N590" s="57" t="s">
        <v>2234</v>
      </c>
      <c r="O590" s="57" t="s">
        <v>2258</v>
      </c>
      <c r="P590" s="57" t="s">
        <v>2284</v>
      </c>
      <c r="Q590" s="57" t="s">
        <v>768</v>
      </c>
    </row>
    <row r="591" spans="1:17" x14ac:dyDescent="0.25">
      <c r="A591" s="55" t="s">
        <v>1967</v>
      </c>
      <c r="B591" s="56" t="s">
        <v>2199</v>
      </c>
      <c r="C591" s="57" t="s">
        <v>374</v>
      </c>
      <c r="D591" s="56" t="s">
        <v>1969</v>
      </c>
      <c r="E591" s="57" t="s">
        <v>1973</v>
      </c>
      <c r="F591" s="56">
        <v>5</v>
      </c>
      <c r="G591" s="57" t="s">
        <v>768</v>
      </c>
      <c r="H591" s="58">
        <v>46023</v>
      </c>
      <c r="I591" s="57" t="s">
        <v>1972</v>
      </c>
      <c r="J591" s="56">
        <v>1</v>
      </c>
      <c r="K591" s="60">
        <v>46054</v>
      </c>
      <c r="L591" s="59">
        <v>25002</v>
      </c>
      <c r="M591" s="57" t="s">
        <v>2275</v>
      </c>
      <c r="N591" s="57" t="s">
        <v>2234</v>
      </c>
      <c r="O591" s="57" t="s">
        <v>2258</v>
      </c>
      <c r="P591" s="57" t="s">
        <v>2284</v>
      </c>
      <c r="Q591" s="57" t="s">
        <v>768</v>
      </c>
    </row>
    <row r="592" spans="1:17" x14ac:dyDescent="0.25">
      <c r="A592" s="55" t="s">
        <v>2080</v>
      </c>
      <c r="B592" s="56" t="s">
        <v>2199</v>
      </c>
      <c r="C592" s="57" t="s">
        <v>374</v>
      </c>
      <c r="D592" s="56" t="s">
        <v>2081</v>
      </c>
      <c r="E592" s="57" t="s">
        <v>786</v>
      </c>
      <c r="F592" s="56">
        <v>1</v>
      </c>
      <c r="G592" s="57" t="s">
        <v>768</v>
      </c>
      <c r="H592" s="58">
        <v>46082</v>
      </c>
      <c r="I592" s="57" t="s">
        <v>386</v>
      </c>
      <c r="J592" s="56">
        <v>1</v>
      </c>
      <c r="K592" s="60">
        <v>46082</v>
      </c>
      <c r="L592" s="59">
        <v>350280</v>
      </c>
      <c r="M592" s="57" t="s">
        <v>2275</v>
      </c>
      <c r="N592" s="57" t="s">
        <v>2234</v>
      </c>
      <c r="O592" s="57" t="s">
        <v>2258</v>
      </c>
      <c r="P592" s="57" t="s">
        <v>2284</v>
      </c>
      <c r="Q592" s="57" t="s">
        <v>768</v>
      </c>
    </row>
    <row r="593" spans="1:17" x14ac:dyDescent="0.25">
      <c r="A593" s="55" t="s">
        <v>2086</v>
      </c>
      <c r="B593" s="56" t="s">
        <v>2199</v>
      </c>
      <c r="C593" s="57" t="s">
        <v>374</v>
      </c>
      <c r="D593" s="56" t="s">
        <v>2087</v>
      </c>
      <c r="E593" s="57" t="s">
        <v>786</v>
      </c>
      <c r="F593" s="56">
        <v>1</v>
      </c>
      <c r="G593" s="57" t="s">
        <v>768</v>
      </c>
      <c r="H593" s="58">
        <v>46054</v>
      </c>
      <c r="I593" s="57" t="s">
        <v>386</v>
      </c>
      <c r="J593" s="56">
        <v>1</v>
      </c>
      <c r="K593" s="60">
        <v>46082</v>
      </c>
      <c r="L593" s="59">
        <v>506160</v>
      </c>
      <c r="M593" s="57" t="s">
        <v>2275</v>
      </c>
      <c r="N593" s="57" t="s">
        <v>2234</v>
      </c>
      <c r="O593" s="57" t="s">
        <v>2258</v>
      </c>
      <c r="P593" s="57" t="s">
        <v>2284</v>
      </c>
      <c r="Q593" s="57" t="s">
        <v>768</v>
      </c>
    </row>
    <row r="594" spans="1:17" x14ac:dyDescent="0.25">
      <c r="A594" s="55" t="s">
        <v>2110</v>
      </c>
      <c r="B594" s="56" t="s">
        <v>2199</v>
      </c>
      <c r="C594" s="57" t="s">
        <v>374</v>
      </c>
      <c r="D594" s="56" t="s">
        <v>2111</v>
      </c>
      <c r="E594" s="57" t="s">
        <v>359</v>
      </c>
      <c r="F594" s="56">
        <v>5</v>
      </c>
      <c r="G594" s="57" t="s">
        <v>768</v>
      </c>
      <c r="H594" s="58">
        <v>46023</v>
      </c>
      <c r="I594" s="57" t="s">
        <v>386</v>
      </c>
      <c r="J594" s="56">
        <v>1</v>
      </c>
      <c r="K594" s="60">
        <v>46023</v>
      </c>
      <c r="L594" s="59">
        <v>442000</v>
      </c>
      <c r="M594" s="57" t="s">
        <v>2275</v>
      </c>
      <c r="N594" s="57" t="s">
        <v>2234</v>
      </c>
      <c r="O594" s="57" t="s">
        <v>2258</v>
      </c>
      <c r="P594" s="57" t="s">
        <v>2284</v>
      </c>
      <c r="Q594" s="57" t="s">
        <v>768</v>
      </c>
    </row>
    <row r="595" spans="1:17" x14ac:dyDescent="0.25">
      <c r="A595" s="55" t="s">
        <v>2110</v>
      </c>
      <c r="B595" s="56" t="s">
        <v>2199</v>
      </c>
      <c r="C595" s="57" t="s">
        <v>374</v>
      </c>
      <c r="D595" s="56" t="s">
        <v>2111</v>
      </c>
      <c r="E595" s="57" t="s">
        <v>486</v>
      </c>
      <c r="F595" s="56">
        <v>5</v>
      </c>
      <c r="G595" s="57" t="s">
        <v>768</v>
      </c>
      <c r="H595" s="58">
        <v>46023</v>
      </c>
      <c r="I595" s="57" t="s">
        <v>386</v>
      </c>
      <c r="J595" s="56">
        <v>1</v>
      </c>
      <c r="K595" s="60">
        <v>46023</v>
      </c>
      <c r="L595" s="59">
        <v>501330</v>
      </c>
      <c r="M595" s="57" t="s">
        <v>2275</v>
      </c>
      <c r="N595" s="57" t="s">
        <v>2234</v>
      </c>
      <c r="O595" s="57" t="s">
        <v>2258</v>
      </c>
      <c r="P595" s="57" t="s">
        <v>2284</v>
      </c>
      <c r="Q595" s="57" t="s">
        <v>768</v>
      </c>
    </row>
    <row r="596" spans="1:17" x14ac:dyDescent="0.25">
      <c r="A596" s="55" t="s">
        <v>2110</v>
      </c>
      <c r="B596" s="56" t="s">
        <v>2199</v>
      </c>
      <c r="C596" s="57" t="s">
        <v>374</v>
      </c>
      <c r="D596" s="56" t="s">
        <v>2111</v>
      </c>
      <c r="E596" s="57" t="s">
        <v>855</v>
      </c>
      <c r="F596" s="56">
        <v>5</v>
      </c>
      <c r="G596" s="57" t="s">
        <v>768</v>
      </c>
      <c r="H596" s="58">
        <v>46023</v>
      </c>
      <c r="I596" s="57" t="s">
        <v>386</v>
      </c>
      <c r="J596" s="56">
        <v>1</v>
      </c>
      <c r="K596" s="60">
        <v>46023</v>
      </c>
      <c r="L596" s="59">
        <v>49700</v>
      </c>
      <c r="M596" s="57" t="s">
        <v>2275</v>
      </c>
      <c r="N596" s="57" t="s">
        <v>2234</v>
      </c>
      <c r="O596" s="57" t="s">
        <v>2258</v>
      </c>
      <c r="P596" s="57" t="s">
        <v>2284</v>
      </c>
      <c r="Q596" s="57" t="s">
        <v>768</v>
      </c>
    </row>
    <row r="597" spans="1:17" x14ac:dyDescent="0.25">
      <c r="A597" s="55" t="s">
        <v>2110</v>
      </c>
      <c r="B597" s="56" t="s">
        <v>2199</v>
      </c>
      <c r="C597" s="57" t="s">
        <v>374</v>
      </c>
      <c r="D597" s="56" t="s">
        <v>2111</v>
      </c>
      <c r="E597" s="57" t="s">
        <v>2114</v>
      </c>
      <c r="F597" s="56">
        <v>5</v>
      </c>
      <c r="G597" s="57" t="s">
        <v>768</v>
      </c>
      <c r="H597" s="58">
        <v>46023</v>
      </c>
      <c r="I597" s="57" t="s">
        <v>386</v>
      </c>
      <c r="J597" s="56">
        <v>1</v>
      </c>
      <c r="K597" s="60">
        <v>46023</v>
      </c>
      <c r="L597" s="59">
        <v>70000</v>
      </c>
      <c r="M597" s="57" t="s">
        <v>2275</v>
      </c>
      <c r="N597" s="57" t="s">
        <v>2234</v>
      </c>
      <c r="O597" s="57" t="s">
        <v>2258</v>
      </c>
      <c r="P597" s="57" t="s">
        <v>2284</v>
      </c>
      <c r="Q597" s="57" t="s">
        <v>768</v>
      </c>
    </row>
    <row r="598" spans="1:17" x14ac:dyDescent="0.25">
      <c r="A598" s="55" t="s">
        <v>2110</v>
      </c>
      <c r="B598" s="56" t="s">
        <v>2199</v>
      </c>
      <c r="C598" s="57" t="s">
        <v>374</v>
      </c>
      <c r="D598" s="56" t="s">
        <v>2111</v>
      </c>
      <c r="E598" s="57" t="s">
        <v>2113</v>
      </c>
      <c r="F598" s="56">
        <v>5</v>
      </c>
      <c r="G598" s="57" t="s">
        <v>768</v>
      </c>
      <c r="H598" s="58">
        <v>46023</v>
      </c>
      <c r="I598" s="57" t="s">
        <v>386</v>
      </c>
      <c r="J598" s="56">
        <v>1</v>
      </c>
      <c r="K598" s="60">
        <v>46023</v>
      </c>
      <c r="L598" s="59">
        <v>240000</v>
      </c>
      <c r="M598" s="57" t="s">
        <v>2275</v>
      </c>
      <c r="N598" s="57" t="s">
        <v>2234</v>
      </c>
      <c r="O598" s="57" t="s">
        <v>2258</v>
      </c>
      <c r="P598" s="57" t="s">
        <v>2284</v>
      </c>
      <c r="Q598" s="57" t="s">
        <v>768</v>
      </c>
    </row>
    <row r="599" spans="1:17" x14ac:dyDescent="0.25">
      <c r="A599" s="55" t="s">
        <v>765</v>
      </c>
      <c r="B599" s="56" t="s">
        <v>2199</v>
      </c>
      <c r="C599" s="57" t="s">
        <v>374</v>
      </c>
      <c r="D599" s="56" t="s">
        <v>766</v>
      </c>
      <c r="E599" s="57" t="s">
        <v>359</v>
      </c>
      <c r="F599" s="56">
        <v>4</v>
      </c>
      <c r="G599" s="57" t="s">
        <v>768</v>
      </c>
      <c r="H599" s="58">
        <v>46082</v>
      </c>
      <c r="I599" s="57" t="s">
        <v>386</v>
      </c>
      <c r="J599" s="56">
        <v>1</v>
      </c>
      <c r="K599" s="60">
        <v>46082</v>
      </c>
      <c r="L599" s="59">
        <v>180435</v>
      </c>
      <c r="M599" s="57" t="s">
        <v>2275</v>
      </c>
      <c r="N599" s="57" t="s">
        <v>2234</v>
      </c>
      <c r="O599" s="57" t="s">
        <v>2258</v>
      </c>
      <c r="P599" s="57" t="s">
        <v>2284</v>
      </c>
      <c r="Q599" s="57" t="s">
        <v>768</v>
      </c>
    </row>
    <row r="600" spans="1:17" x14ac:dyDescent="0.25">
      <c r="A600" s="55" t="s">
        <v>765</v>
      </c>
      <c r="B600" s="56" t="s">
        <v>2199</v>
      </c>
      <c r="C600" s="57" t="s">
        <v>374</v>
      </c>
      <c r="D600" s="56" t="s">
        <v>766</v>
      </c>
      <c r="E600" s="57" t="s">
        <v>771</v>
      </c>
      <c r="F600" s="56">
        <v>4</v>
      </c>
      <c r="G600" s="57" t="s">
        <v>768</v>
      </c>
      <c r="H600" s="58">
        <v>46082</v>
      </c>
      <c r="I600" s="57" t="s">
        <v>386</v>
      </c>
      <c r="J600" s="56">
        <v>1</v>
      </c>
      <c r="K600" s="60">
        <v>46082</v>
      </c>
      <c r="L600" s="59">
        <v>27000</v>
      </c>
      <c r="M600" s="57" t="s">
        <v>2275</v>
      </c>
      <c r="N600" s="57" t="s">
        <v>2234</v>
      </c>
      <c r="O600" s="57" t="s">
        <v>2258</v>
      </c>
      <c r="P600" s="57" t="s">
        <v>2284</v>
      </c>
      <c r="Q600" s="57" t="s">
        <v>768</v>
      </c>
    </row>
    <row r="601" spans="1:17" x14ac:dyDescent="0.25">
      <c r="A601" s="55" t="s">
        <v>765</v>
      </c>
      <c r="B601" s="56" t="s">
        <v>2199</v>
      </c>
      <c r="C601" s="57" t="s">
        <v>374</v>
      </c>
      <c r="D601" s="56" t="s">
        <v>766</v>
      </c>
      <c r="E601" s="57" t="s">
        <v>195</v>
      </c>
      <c r="F601" s="56">
        <v>4</v>
      </c>
      <c r="G601" s="57" t="s">
        <v>768</v>
      </c>
      <c r="H601" s="58">
        <v>46082</v>
      </c>
      <c r="I601" s="57" t="s">
        <v>386</v>
      </c>
      <c r="J601" s="56">
        <v>1</v>
      </c>
      <c r="K601" s="60">
        <v>46082</v>
      </c>
      <c r="L601" s="59">
        <v>24399</v>
      </c>
      <c r="M601" s="57" t="s">
        <v>2275</v>
      </c>
      <c r="N601" s="57" t="s">
        <v>2234</v>
      </c>
      <c r="O601" s="57" t="s">
        <v>2258</v>
      </c>
      <c r="P601" s="57" t="s">
        <v>2284</v>
      </c>
      <c r="Q601" s="57" t="s">
        <v>768</v>
      </c>
    </row>
    <row r="602" spans="1:17" x14ac:dyDescent="0.25">
      <c r="A602" s="55" t="s">
        <v>765</v>
      </c>
      <c r="B602" s="56" t="s">
        <v>2199</v>
      </c>
      <c r="C602" s="57" t="s">
        <v>374</v>
      </c>
      <c r="D602" s="56" t="s">
        <v>766</v>
      </c>
      <c r="E602" s="57" t="s">
        <v>772</v>
      </c>
      <c r="F602" s="56">
        <v>4</v>
      </c>
      <c r="G602" s="57" t="s">
        <v>768</v>
      </c>
      <c r="H602" s="58">
        <v>46082</v>
      </c>
      <c r="I602" s="57" t="s">
        <v>386</v>
      </c>
      <c r="J602" s="56">
        <v>1</v>
      </c>
      <c r="K602" s="60">
        <v>46082</v>
      </c>
      <c r="L602" s="59">
        <v>52000</v>
      </c>
      <c r="M602" s="57" t="s">
        <v>2275</v>
      </c>
      <c r="N602" s="57" t="s">
        <v>2234</v>
      </c>
      <c r="O602" s="57" t="s">
        <v>2258</v>
      </c>
      <c r="P602" s="57" t="s">
        <v>2284</v>
      </c>
      <c r="Q602" s="57" t="s">
        <v>768</v>
      </c>
    </row>
    <row r="603" spans="1:17" x14ac:dyDescent="0.25">
      <c r="A603" s="55" t="s">
        <v>782</v>
      </c>
      <c r="B603" s="56" t="s">
        <v>2199</v>
      </c>
      <c r="C603" s="57" t="s">
        <v>374</v>
      </c>
      <c r="D603" s="56" t="s">
        <v>784</v>
      </c>
      <c r="E603" s="57" t="s">
        <v>359</v>
      </c>
      <c r="F603" s="56">
        <v>2</v>
      </c>
      <c r="G603" s="57" t="s">
        <v>768</v>
      </c>
      <c r="H603" s="58">
        <v>46023</v>
      </c>
      <c r="I603" s="57" t="s">
        <v>386</v>
      </c>
      <c r="J603" s="56">
        <v>1</v>
      </c>
      <c r="K603" s="60">
        <v>46023</v>
      </c>
      <c r="L603" s="59">
        <v>118594</v>
      </c>
      <c r="M603" s="57" t="s">
        <v>2275</v>
      </c>
      <c r="N603" s="57" t="s">
        <v>2234</v>
      </c>
      <c r="O603" s="57" t="s">
        <v>2258</v>
      </c>
      <c r="P603" s="57" t="s">
        <v>2284</v>
      </c>
      <c r="Q603" s="57" t="s">
        <v>768</v>
      </c>
    </row>
    <row r="604" spans="1:17" x14ac:dyDescent="0.25">
      <c r="A604" s="55" t="s">
        <v>782</v>
      </c>
      <c r="B604" s="56" t="s">
        <v>2199</v>
      </c>
      <c r="C604" s="57" t="s">
        <v>374</v>
      </c>
      <c r="D604" s="56" t="s">
        <v>784</v>
      </c>
      <c r="E604" s="57" t="s">
        <v>786</v>
      </c>
      <c r="F604" s="56">
        <v>2</v>
      </c>
      <c r="G604" s="57" t="s">
        <v>768</v>
      </c>
      <c r="H604" s="58">
        <v>46023</v>
      </c>
      <c r="I604" s="57" t="s">
        <v>386</v>
      </c>
      <c r="J604" s="56">
        <v>1</v>
      </c>
      <c r="K604" s="60">
        <v>46023</v>
      </c>
      <c r="L604" s="59">
        <v>147830</v>
      </c>
      <c r="M604" s="57" t="s">
        <v>2275</v>
      </c>
      <c r="N604" s="57" t="s">
        <v>2234</v>
      </c>
      <c r="O604" s="57" t="s">
        <v>2258</v>
      </c>
      <c r="P604" s="57" t="s">
        <v>2284</v>
      </c>
      <c r="Q604" s="57" t="s">
        <v>768</v>
      </c>
    </row>
    <row r="605" spans="1:17" x14ac:dyDescent="0.25">
      <c r="A605" s="55" t="s">
        <v>794</v>
      </c>
      <c r="B605" s="56" t="s">
        <v>2199</v>
      </c>
      <c r="C605" s="57" t="s">
        <v>374</v>
      </c>
      <c r="D605" s="56" t="s">
        <v>795</v>
      </c>
      <c r="E605" s="57" t="s">
        <v>740</v>
      </c>
      <c r="F605" s="56">
        <v>3</v>
      </c>
      <c r="G605" s="57" t="s">
        <v>768</v>
      </c>
      <c r="H605" s="58">
        <v>46023</v>
      </c>
      <c r="I605" s="57" t="s">
        <v>386</v>
      </c>
      <c r="J605" s="56">
        <v>1</v>
      </c>
      <c r="K605" s="60">
        <v>46023</v>
      </c>
      <c r="L605" s="59">
        <v>25200</v>
      </c>
      <c r="M605" s="57" t="s">
        <v>2275</v>
      </c>
      <c r="N605" s="57" t="s">
        <v>2234</v>
      </c>
      <c r="O605" s="57" t="s">
        <v>2258</v>
      </c>
      <c r="P605" s="57" t="s">
        <v>2284</v>
      </c>
      <c r="Q605" s="57" t="s">
        <v>768</v>
      </c>
    </row>
    <row r="606" spans="1:17" x14ac:dyDescent="0.25">
      <c r="A606" s="55" t="s">
        <v>794</v>
      </c>
      <c r="B606" s="56" t="s">
        <v>2199</v>
      </c>
      <c r="C606" s="57" t="s">
        <v>374</v>
      </c>
      <c r="D606" s="56" t="s">
        <v>795</v>
      </c>
      <c r="E606" s="57" t="s">
        <v>798</v>
      </c>
      <c r="F606" s="56">
        <v>3</v>
      </c>
      <c r="G606" s="57" t="s">
        <v>768</v>
      </c>
      <c r="H606" s="58">
        <v>46023</v>
      </c>
      <c r="I606" s="57" t="s">
        <v>386</v>
      </c>
      <c r="J606" s="56">
        <v>1</v>
      </c>
      <c r="K606" s="60">
        <v>46023</v>
      </c>
      <c r="L606" s="59">
        <v>13600</v>
      </c>
      <c r="M606" s="57" t="s">
        <v>2275</v>
      </c>
      <c r="N606" s="57" t="s">
        <v>2234</v>
      </c>
      <c r="O606" s="57" t="s">
        <v>2258</v>
      </c>
      <c r="P606" s="57" t="s">
        <v>2284</v>
      </c>
      <c r="Q606" s="57" t="s">
        <v>768</v>
      </c>
    </row>
    <row r="607" spans="1:17" x14ac:dyDescent="0.25">
      <c r="A607" s="55" t="s">
        <v>794</v>
      </c>
      <c r="B607" s="56" t="s">
        <v>2199</v>
      </c>
      <c r="C607" s="57" t="s">
        <v>374</v>
      </c>
      <c r="D607" s="56" t="s">
        <v>795</v>
      </c>
      <c r="E607" s="57" t="s">
        <v>797</v>
      </c>
      <c r="F607" s="56">
        <v>3</v>
      </c>
      <c r="G607" s="57" t="s">
        <v>768</v>
      </c>
      <c r="H607" s="58">
        <v>46023</v>
      </c>
      <c r="I607" s="57" t="s">
        <v>386</v>
      </c>
      <c r="J607" s="56">
        <v>1</v>
      </c>
      <c r="K607" s="60">
        <v>46023</v>
      </c>
      <c r="L607" s="59">
        <v>464280</v>
      </c>
      <c r="M607" s="57" t="s">
        <v>2275</v>
      </c>
      <c r="N607" s="57" t="s">
        <v>2234</v>
      </c>
      <c r="O607" s="57" t="s">
        <v>2258</v>
      </c>
      <c r="P607" s="57" t="s">
        <v>2284</v>
      </c>
      <c r="Q607" s="57" t="s">
        <v>768</v>
      </c>
    </row>
    <row r="608" spans="1:17" x14ac:dyDescent="0.25">
      <c r="A608" s="55" t="s">
        <v>799</v>
      </c>
      <c r="B608" s="56" t="s">
        <v>2199</v>
      </c>
      <c r="C608" s="57" t="s">
        <v>374</v>
      </c>
      <c r="D608" s="56" t="s">
        <v>801</v>
      </c>
      <c r="E608" s="57" t="s">
        <v>359</v>
      </c>
      <c r="F608" s="56">
        <v>2</v>
      </c>
      <c r="G608" s="57" t="s">
        <v>768</v>
      </c>
      <c r="H608" s="58">
        <v>46054</v>
      </c>
      <c r="I608" s="57" t="s">
        <v>386</v>
      </c>
      <c r="J608" s="56">
        <v>1</v>
      </c>
      <c r="K608" s="60">
        <v>46054</v>
      </c>
      <c r="L608" s="59">
        <v>13052</v>
      </c>
      <c r="M608" s="57" t="s">
        <v>2275</v>
      </c>
      <c r="N608" s="57" t="s">
        <v>2234</v>
      </c>
      <c r="O608" s="57" t="s">
        <v>2258</v>
      </c>
      <c r="P608" s="57" t="s">
        <v>2284</v>
      </c>
      <c r="Q608" s="57" t="s">
        <v>768</v>
      </c>
    </row>
    <row r="609" spans="1:17" x14ac:dyDescent="0.25">
      <c r="A609" s="55" t="s">
        <v>799</v>
      </c>
      <c r="B609" s="56" t="s">
        <v>2199</v>
      </c>
      <c r="C609" s="57" t="s">
        <v>374</v>
      </c>
      <c r="D609" s="56" t="s">
        <v>801</v>
      </c>
      <c r="E609" s="57" t="s">
        <v>786</v>
      </c>
      <c r="F609" s="56">
        <v>2</v>
      </c>
      <c r="G609" s="57" t="s">
        <v>768</v>
      </c>
      <c r="H609" s="58">
        <v>46054</v>
      </c>
      <c r="I609" s="57" t="s">
        <v>386</v>
      </c>
      <c r="J609" s="56">
        <v>1</v>
      </c>
      <c r="K609" s="60">
        <v>46054</v>
      </c>
      <c r="L609" s="59">
        <v>72618</v>
      </c>
      <c r="M609" s="57" t="s">
        <v>2275</v>
      </c>
      <c r="N609" s="57" t="s">
        <v>2234</v>
      </c>
      <c r="O609" s="57" t="s">
        <v>2258</v>
      </c>
      <c r="P609" s="57" t="s">
        <v>2284</v>
      </c>
      <c r="Q609" s="57" t="s">
        <v>768</v>
      </c>
    </row>
    <row r="610" spans="1:17" x14ac:dyDescent="0.25">
      <c r="A610" s="55" t="s">
        <v>822</v>
      </c>
      <c r="B610" s="56" t="s">
        <v>2199</v>
      </c>
      <c r="C610" s="57" t="s">
        <v>374</v>
      </c>
      <c r="D610" s="56" t="s">
        <v>823</v>
      </c>
      <c r="E610" s="57" t="s">
        <v>359</v>
      </c>
      <c r="F610" s="56">
        <v>3</v>
      </c>
      <c r="G610" s="57" t="s">
        <v>768</v>
      </c>
      <c r="H610" s="58">
        <v>46023</v>
      </c>
      <c r="I610" s="57" t="s">
        <v>386</v>
      </c>
      <c r="J610" s="56">
        <v>1</v>
      </c>
      <c r="K610" s="60">
        <v>46023</v>
      </c>
      <c r="L610" s="59">
        <v>144000</v>
      </c>
      <c r="M610" s="57" t="s">
        <v>2275</v>
      </c>
      <c r="N610" s="57" t="s">
        <v>2234</v>
      </c>
      <c r="O610" s="57" t="s">
        <v>2258</v>
      </c>
      <c r="P610" s="57" t="s">
        <v>2284</v>
      </c>
      <c r="Q610" s="57" t="s">
        <v>768</v>
      </c>
    </row>
    <row r="611" spans="1:17" x14ac:dyDescent="0.25">
      <c r="A611" s="55" t="s">
        <v>822</v>
      </c>
      <c r="B611" s="56" t="s">
        <v>2199</v>
      </c>
      <c r="C611" s="57" t="s">
        <v>374</v>
      </c>
      <c r="D611" s="56" t="s">
        <v>823</v>
      </c>
      <c r="E611" s="57" t="s">
        <v>826</v>
      </c>
      <c r="F611" s="56">
        <v>3</v>
      </c>
      <c r="G611" s="57" t="s">
        <v>768</v>
      </c>
      <c r="H611" s="58">
        <v>46023</v>
      </c>
      <c r="I611" s="57" t="s">
        <v>386</v>
      </c>
      <c r="J611" s="56">
        <v>1</v>
      </c>
      <c r="K611" s="60">
        <v>46023</v>
      </c>
      <c r="L611" s="59">
        <v>116012</v>
      </c>
      <c r="M611" s="57" t="s">
        <v>2275</v>
      </c>
      <c r="N611" s="57" t="s">
        <v>2234</v>
      </c>
      <c r="O611" s="57" t="s">
        <v>2258</v>
      </c>
      <c r="P611" s="57" t="s">
        <v>2284</v>
      </c>
      <c r="Q611" s="57" t="s">
        <v>768</v>
      </c>
    </row>
    <row r="612" spans="1:17" x14ac:dyDescent="0.25">
      <c r="A612" s="55" t="s">
        <v>822</v>
      </c>
      <c r="B612" s="56" t="s">
        <v>2199</v>
      </c>
      <c r="C612" s="57" t="s">
        <v>374</v>
      </c>
      <c r="D612" s="56" t="s">
        <v>823</v>
      </c>
      <c r="E612" s="57" t="s">
        <v>825</v>
      </c>
      <c r="F612" s="56">
        <v>3</v>
      </c>
      <c r="G612" s="57" t="s">
        <v>768</v>
      </c>
      <c r="H612" s="58">
        <v>46023</v>
      </c>
      <c r="I612" s="57" t="s">
        <v>386</v>
      </c>
      <c r="J612" s="56">
        <v>1</v>
      </c>
      <c r="K612" s="60">
        <v>46023</v>
      </c>
      <c r="L612" s="59">
        <v>190000</v>
      </c>
      <c r="M612" s="57" t="s">
        <v>2275</v>
      </c>
      <c r="N612" s="57" t="s">
        <v>2234</v>
      </c>
      <c r="O612" s="57" t="s">
        <v>2258</v>
      </c>
      <c r="P612" s="57" t="s">
        <v>2284</v>
      </c>
      <c r="Q612" s="57" t="s">
        <v>768</v>
      </c>
    </row>
    <row r="613" spans="1:17" x14ac:dyDescent="0.25">
      <c r="A613" s="55" t="s">
        <v>841</v>
      </c>
      <c r="B613" s="56" t="s">
        <v>2199</v>
      </c>
      <c r="C613" s="57" t="s">
        <v>374</v>
      </c>
      <c r="D613" s="56" t="s">
        <v>843</v>
      </c>
      <c r="E613" s="57" t="s">
        <v>846</v>
      </c>
      <c r="F613" s="56">
        <v>2</v>
      </c>
      <c r="G613" s="57" t="s">
        <v>768</v>
      </c>
      <c r="H613" s="58">
        <v>46023</v>
      </c>
      <c r="I613" s="57" t="s">
        <v>386</v>
      </c>
      <c r="J613" s="56">
        <v>1</v>
      </c>
      <c r="K613" s="60">
        <v>46023</v>
      </c>
      <c r="L613" s="59">
        <v>45000</v>
      </c>
      <c r="M613" s="57" t="s">
        <v>2275</v>
      </c>
      <c r="N613" s="57" t="s">
        <v>2234</v>
      </c>
      <c r="O613" s="57" t="s">
        <v>2258</v>
      </c>
      <c r="P613" s="57" t="s">
        <v>2284</v>
      </c>
      <c r="Q613" s="57" t="s">
        <v>768</v>
      </c>
    </row>
    <row r="614" spans="1:17" x14ac:dyDescent="0.25">
      <c r="A614" s="55" t="s">
        <v>841</v>
      </c>
      <c r="B614" s="56" t="s">
        <v>2199</v>
      </c>
      <c r="C614" s="57" t="s">
        <v>374</v>
      </c>
      <c r="D614" s="56" t="s">
        <v>843</v>
      </c>
      <c r="E614" s="57" t="s">
        <v>845</v>
      </c>
      <c r="F614" s="56">
        <v>2</v>
      </c>
      <c r="G614" s="57" t="s">
        <v>768</v>
      </c>
      <c r="H614" s="58">
        <v>46023</v>
      </c>
      <c r="I614" s="57" t="s">
        <v>386</v>
      </c>
      <c r="J614" s="56">
        <v>1</v>
      </c>
      <c r="K614" s="60">
        <v>46023</v>
      </c>
      <c r="L614" s="59">
        <v>105000</v>
      </c>
      <c r="M614" s="57" t="s">
        <v>2275</v>
      </c>
      <c r="N614" s="57" t="s">
        <v>2234</v>
      </c>
      <c r="O614" s="57" t="s">
        <v>2258</v>
      </c>
      <c r="P614" s="57" t="s">
        <v>2284</v>
      </c>
      <c r="Q614" s="57" t="s">
        <v>768</v>
      </c>
    </row>
    <row r="615" spans="1:17" x14ac:dyDescent="0.25">
      <c r="A615" s="55" t="s">
        <v>847</v>
      </c>
      <c r="B615" s="56" t="s">
        <v>2199</v>
      </c>
      <c r="C615" s="57" t="s">
        <v>374</v>
      </c>
      <c r="D615" s="56" t="s">
        <v>848</v>
      </c>
      <c r="E615" s="57" t="s">
        <v>359</v>
      </c>
      <c r="F615" s="56">
        <v>2</v>
      </c>
      <c r="G615" s="57" t="s">
        <v>768</v>
      </c>
      <c r="H615" s="58">
        <v>46204</v>
      </c>
      <c r="I615" s="57" t="s">
        <v>386</v>
      </c>
      <c r="J615" s="56">
        <v>1</v>
      </c>
      <c r="K615" s="60">
        <v>46204</v>
      </c>
      <c r="L615" s="59">
        <v>37792</v>
      </c>
      <c r="M615" s="57" t="s">
        <v>2275</v>
      </c>
      <c r="N615" s="57" t="s">
        <v>2234</v>
      </c>
      <c r="O615" s="57" t="s">
        <v>2258</v>
      </c>
      <c r="P615" s="57" t="s">
        <v>2284</v>
      </c>
      <c r="Q615" s="57" t="s">
        <v>768</v>
      </c>
    </row>
    <row r="616" spans="1:17" x14ac:dyDescent="0.25">
      <c r="A616" s="55" t="s">
        <v>847</v>
      </c>
      <c r="B616" s="56" t="s">
        <v>2199</v>
      </c>
      <c r="C616" s="57" t="s">
        <v>374</v>
      </c>
      <c r="D616" s="56" t="s">
        <v>848</v>
      </c>
      <c r="E616" s="57" t="s">
        <v>850</v>
      </c>
      <c r="F616" s="56">
        <v>2</v>
      </c>
      <c r="G616" s="57" t="s">
        <v>768</v>
      </c>
      <c r="H616" s="58">
        <v>46204</v>
      </c>
      <c r="I616" s="57" t="s">
        <v>386</v>
      </c>
      <c r="J616" s="56">
        <v>1</v>
      </c>
      <c r="K616" s="60">
        <v>46204</v>
      </c>
      <c r="L616" s="59">
        <v>35001</v>
      </c>
      <c r="M616" s="57" t="s">
        <v>2275</v>
      </c>
      <c r="N616" s="57" t="s">
        <v>2234</v>
      </c>
      <c r="O616" s="57" t="s">
        <v>2258</v>
      </c>
      <c r="P616" s="57" t="s">
        <v>2284</v>
      </c>
      <c r="Q616" s="57" t="s">
        <v>768</v>
      </c>
    </row>
    <row r="617" spans="1:17" x14ac:dyDescent="0.25">
      <c r="A617" s="55" t="s">
        <v>851</v>
      </c>
      <c r="B617" s="56" t="s">
        <v>2199</v>
      </c>
      <c r="C617" s="57" t="s">
        <v>374</v>
      </c>
      <c r="D617" s="56" t="s">
        <v>852</v>
      </c>
      <c r="E617" s="57" t="s">
        <v>854</v>
      </c>
      <c r="F617" s="56">
        <v>3</v>
      </c>
      <c r="G617" s="57" t="s">
        <v>768</v>
      </c>
      <c r="H617" s="58">
        <v>46235</v>
      </c>
      <c r="I617" s="57" t="s">
        <v>386</v>
      </c>
      <c r="J617" s="56">
        <v>1</v>
      </c>
      <c r="K617" s="60">
        <v>46235</v>
      </c>
      <c r="L617" s="59">
        <v>74022</v>
      </c>
      <c r="M617" s="57" t="s">
        <v>2275</v>
      </c>
      <c r="N617" s="57" t="s">
        <v>2234</v>
      </c>
      <c r="O617" s="57" t="s">
        <v>2258</v>
      </c>
      <c r="P617" s="57" t="s">
        <v>2284</v>
      </c>
      <c r="Q617" s="57" t="s">
        <v>768</v>
      </c>
    </row>
    <row r="618" spans="1:17" x14ac:dyDescent="0.25">
      <c r="A618" s="55" t="s">
        <v>851</v>
      </c>
      <c r="B618" s="56" t="s">
        <v>2199</v>
      </c>
      <c r="C618" s="57" t="s">
        <v>374</v>
      </c>
      <c r="D618" s="56" t="s">
        <v>852</v>
      </c>
      <c r="E618" s="57" t="s">
        <v>855</v>
      </c>
      <c r="F618" s="56">
        <v>3</v>
      </c>
      <c r="G618" s="57" t="s">
        <v>768</v>
      </c>
      <c r="H618" s="58">
        <v>46235</v>
      </c>
      <c r="I618" s="57" t="s">
        <v>386</v>
      </c>
      <c r="J618" s="56">
        <v>1</v>
      </c>
      <c r="K618" s="60">
        <v>46235</v>
      </c>
      <c r="L618" s="59">
        <v>15000</v>
      </c>
      <c r="M618" s="57" t="s">
        <v>2275</v>
      </c>
      <c r="N618" s="57" t="s">
        <v>2234</v>
      </c>
      <c r="O618" s="57" t="s">
        <v>2258</v>
      </c>
      <c r="P618" s="57" t="s">
        <v>2284</v>
      </c>
      <c r="Q618" s="57" t="s">
        <v>768</v>
      </c>
    </row>
    <row r="619" spans="1:17" x14ac:dyDescent="0.25">
      <c r="A619" s="55" t="s">
        <v>851</v>
      </c>
      <c r="B619" s="56" t="s">
        <v>2199</v>
      </c>
      <c r="C619" s="57" t="s">
        <v>374</v>
      </c>
      <c r="D619" s="56" t="s">
        <v>852</v>
      </c>
      <c r="E619" s="57" t="s">
        <v>602</v>
      </c>
      <c r="F619" s="56">
        <v>3</v>
      </c>
      <c r="G619" s="57" t="s">
        <v>768</v>
      </c>
      <c r="H619" s="58">
        <v>46235</v>
      </c>
      <c r="I619" s="57" t="s">
        <v>386</v>
      </c>
      <c r="J619" s="56">
        <v>1</v>
      </c>
      <c r="K619" s="60">
        <v>46235</v>
      </c>
      <c r="L619" s="59">
        <v>500000</v>
      </c>
      <c r="M619" s="57" t="s">
        <v>2275</v>
      </c>
      <c r="N619" s="57" t="s">
        <v>2234</v>
      </c>
      <c r="O619" s="57" t="s">
        <v>2258</v>
      </c>
      <c r="P619" s="57" t="s">
        <v>2284</v>
      </c>
      <c r="Q619" s="57" t="s">
        <v>768</v>
      </c>
    </row>
    <row r="620" spans="1:17" x14ac:dyDescent="0.25">
      <c r="A620" s="55" t="s">
        <v>856</v>
      </c>
      <c r="B620" s="56" t="s">
        <v>2199</v>
      </c>
      <c r="C620" s="57" t="s">
        <v>374</v>
      </c>
      <c r="D620" s="56" t="s">
        <v>857</v>
      </c>
      <c r="E620" s="57" t="s">
        <v>859</v>
      </c>
      <c r="F620" s="56">
        <v>1</v>
      </c>
      <c r="G620" s="57" t="s">
        <v>768</v>
      </c>
      <c r="H620" s="58">
        <v>46082</v>
      </c>
      <c r="I620" s="57" t="s">
        <v>386</v>
      </c>
      <c r="J620" s="56">
        <v>1</v>
      </c>
      <c r="K620" s="60">
        <v>46082</v>
      </c>
      <c r="L620" s="59">
        <v>300000</v>
      </c>
      <c r="M620" s="57" t="s">
        <v>2275</v>
      </c>
      <c r="N620" s="57" t="s">
        <v>2234</v>
      </c>
      <c r="O620" s="57" t="s">
        <v>2258</v>
      </c>
      <c r="P620" s="57" t="s">
        <v>2284</v>
      </c>
      <c r="Q620" s="57" t="s">
        <v>768</v>
      </c>
    </row>
    <row r="621" spans="1:17" x14ac:dyDescent="0.25">
      <c r="A621" s="55" t="s">
        <v>915</v>
      </c>
      <c r="B621" s="56" t="s">
        <v>2199</v>
      </c>
      <c r="C621" s="57" t="s">
        <v>374</v>
      </c>
      <c r="D621" s="56" t="s">
        <v>916</v>
      </c>
      <c r="E621" s="57" t="s">
        <v>359</v>
      </c>
      <c r="F621" s="56">
        <v>4</v>
      </c>
      <c r="G621" s="57" t="s">
        <v>768</v>
      </c>
      <c r="H621" s="58">
        <v>46327</v>
      </c>
      <c r="I621" s="57" t="s">
        <v>386</v>
      </c>
      <c r="J621" s="56">
        <v>1</v>
      </c>
      <c r="K621" s="60">
        <v>46327</v>
      </c>
      <c r="L621" s="59">
        <v>85250</v>
      </c>
      <c r="M621" s="57" t="s">
        <v>2275</v>
      </c>
      <c r="N621" s="57" t="s">
        <v>2234</v>
      </c>
      <c r="O621" s="57" t="s">
        <v>2258</v>
      </c>
      <c r="P621" s="57" t="s">
        <v>2284</v>
      </c>
      <c r="Q621" s="57" t="s">
        <v>768</v>
      </c>
    </row>
    <row r="622" spans="1:17" x14ac:dyDescent="0.25">
      <c r="A622" s="55" t="s">
        <v>915</v>
      </c>
      <c r="B622" s="56" t="s">
        <v>2199</v>
      </c>
      <c r="C622" s="57" t="s">
        <v>374</v>
      </c>
      <c r="D622" s="56" t="s">
        <v>916</v>
      </c>
      <c r="E622" s="57" t="s">
        <v>918</v>
      </c>
      <c r="F622" s="56">
        <v>4</v>
      </c>
      <c r="G622" s="57" t="s">
        <v>768</v>
      </c>
      <c r="H622" s="58">
        <v>46327</v>
      </c>
      <c r="I622" s="57" t="s">
        <v>386</v>
      </c>
      <c r="J622" s="56">
        <v>1</v>
      </c>
      <c r="K622" s="60">
        <v>46327</v>
      </c>
      <c r="L622" s="59">
        <v>23700</v>
      </c>
      <c r="M622" s="57" t="s">
        <v>2275</v>
      </c>
      <c r="N622" s="57" t="s">
        <v>2234</v>
      </c>
      <c r="O622" s="57" t="s">
        <v>2258</v>
      </c>
      <c r="P622" s="57" t="s">
        <v>2284</v>
      </c>
      <c r="Q622" s="57" t="s">
        <v>768</v>
      </c>
    </row>
    <row r="623" spans="1:17" x14ac:dyDescent="0.25">
      <c r="A623" s="55" t="s">
        <v>915</v>
      </c>
      <c r="B623" s="56" t="s">
        <v>2199</v>
      </c>
      <c r="C623" s="57" t="s">
        <v>374</v>
      </c>
      <c r="D623" s="56" t="s">
        <v>916</v>
      </c>
      <c r="E623" s="57" t="s">
        <v>786</v>
      </c>
      <c r="F623" s="56">
        <v>4</v>
      </c>
      <c r="G623" s="57" t="s">
        <v>768</v>
      </c>
      <c r="H623" s="58">
        <v>46327</v>
      </c>
      <c r="I623" s="57" t="s">
        <v>386</v>
      </c>
      <c r="J623" s="56">
        <v>1</v>
      </c>
      <c r="K623" s="60">
        <v>46327</v>
      </c>
      <c r="L623" s="59">
        <v>40920</v>
      </c>
      <c r="M623" s="57" t="s">
        <v>2275</v>
      </c>
      <c r="N623" s="57" t="s">
        <v>2234</v>
      </c>
      <c r="O623" s="57" t="s">
        <v>2258</v>
      </c>
      <c r="P623" s="57" t="s">
        <v>2284</v>
      </c>
      <c r="Q623" s="57" t="s">
        <v>768</v>
      </c>
    </row>
    <row r="624" spans="1:17" x14ac:dyDescent="0.25">
      <c r="A624" s="55" t="s">
        <v>915</v>
      </c>
      <c r="B624" s="56" t="s">
        <v>2199</v>
      </c>
      <c r="C624" s="57" t="s">
        <v>374</v>
      </c>
      <c r="D624" s="56" t="s">
        <v>916</v>
      </c>
      <c r="E624" s="57" t="s">
        <v>602</v>
      </c>
      <c r="F624" s="56">
        <v>4</v>
      </c>
      <c r="G624" s="57" t="s">
        <v>768</v>
      </c>
      <c r="H624" s="58">
        <v>46327</v>
      </c>
      <c r="I624" s="57" t="s">
        <v>386</v>
      </c>
      <c r="J624" s="56">
        <v>1</v>
      </c>
      <c r="K624" s="60">
        <v>46327</v>
      </c>
      <c r="L624" s="59">
        <v>250000</v>
      </c>
      <c r="M624" s="57" t="s">
        <v>2275</v>
      </c>
      <c r="N624" s="57" t="s">
        <v>2234</v>
      </c>
      <c r="O624" s="57" t="s">
        <v>2258</v>
      </c>
      <c r="P624" s="57" t="s">
        <v>2284</v>
      </c>
      <c r="Q624" s="57" t="s">
        <v>768</v>
      </c>
    </row>
    <row r="625" spans="1:17" x14ac:dyDescent="0.25">
      <c r="A625" s="55" t="s">
        <v>919</v>
      </c>
      <c r="B625" s="56" t="s">
        <v>2199</v>
      </c>
      <c r="C625" s="57" t="s">
        <v>374</v>
      </c>
      <c r="D625" s="56" t="s">
        <v>920</v>
      </c>
      <c r="E625" s="57" t="s">
        <v>786</v>
      </c>
      <c r="F625" s="56">
        <v>1</v>
      </c>
      <c r="G625" s="57" t="s">
        <v>768</v>
      </c>
      <c r="H625" s="58">
        <v>46023</v>
      </c>
      <c r="I625" s="57" t="s">
        <v>386</v>
      </c>
      <c r="J625" s="56">
        <v>1</v>
      </c>
      <c r="K625" s="60">
        <v>46023</v>
      </c>
      <c r="L625" s="59">
        <v>159016</v>
      </c>
      <c r="M625" s="57" t="s">
        <v>2275</v>
      </c>
      <c r="N625" s="57" t="s">
        <v>2234</v>
      </c>
      <c r="O625" s="57" t="s">
        <v>2258</v>
      </c>
      <c r="P625" s="57" t="s">
        <v>2284</v>
      </c>
      <c r="Q625" s="57" t="s">
        <v>768</v>
      </c>
    </row>
    <row r="626" spans="1:17" x14ac:dyDescent="0.25">
      <c r="A626" s="55" t="s">
        <v>927</v>
      </c>
      <c r="B626" s="56" t="s">
        <v>2199</v>
      </c>
      <c r="C626" s="57" t="s">
        <v>374</v>
      </c>
      <c r="D626" s="56" t="s">
        <v>928</v>
      </c>
      <c r="E626" s="57" t="s">
        <v>359</v>
      </c>
      <c r="F626" s="56">
        <v>3</v>
      </c>
      <c r="G626" s="57" t="s">
        <v>768</v>
      </c>
      <c r="H626" s="58">
        <v>46054</v>
      </c>
      <c r="I626" s="57" t="s">
        <v>386</v>
      </c>
      <c r="J626" s="56">
        <v>1</v>
      </c>
      <c r="K626" s="60">
        <v>46054</v>
      </c>
      <c r="L626" s="59">
        <v>392191</v>
      </c>
      <c r="M626" s="57" t="s">
        <v>2275</v>
      </c>
      <c r="N626" s="57" t="s">
        <v>2234</v>
      </c>
      <c r="O626" s="57" t="s">
        <v>2258</v>
      </c>
      <c r="P626" s="57" t="s">
        <v>2284</v>
      </c>
      <c r="Q626" s="57" t="s">
        <v>768</v>
      </c>
    </row>
    <row r="627" spans="1:17" x14ac:dyDescent="0.25">
      <c r="A627" s="55" t="s">
        <v>927</v>
      </c>
      <c r="B627" s="56" t="s">
        <v>2199</v>
      </c>
      <c r="C627" s="57" t="s">
        <v>374</v>
      </c>
      <c r="D627" s="56" t="s">
        <v>928</v>
      </c>
      <c r="E627" s="57" t="s">
        <v>855</v>
      </c>
      <c r="F627" s="56">
        <v>3</v>
      </c>
      <c r="G627" s="57" t="s">
        <v>768</v>
      </c>
      <c r="H627" s="58">
        <v>46054</v>
      </c>
      <c r="I627" s="57" t="s">
        <v>386</v>
      </c>
      <c r="J627" s="56">
        <v>1</v>
      </c>
      <c r="K627" s="60">
        <v>46054</v>
      </c>
      <c r="L627" s="59">
        <v>39600</v>
      </c>
      <c r="M627" s="57" t="s">
        <v>2275</v>
      </c>
      <c r="N627" s="57" t="s">
        <v>2234</v>
      </c>
      <c r="O627" s="57" t="s">
        <v>2258</v>
      </c>
      <c r="P627" s="57" t="s">
        <v>2284</v>
      </c>
      <c r="Q627" s="57" t="s">
        <v>768</v>
      </c>
    </row>
    <row r="628" spans="1:17" x14ac:dyDescent="0.25">
      <c r="A628" s="55" t="s">
        <v>927</v>
      </c>
      <c r="B628" s="56" t="s">
        <v>2199</v>
      </c>
      <c r="C628" s="57" t="s">
        <v>374</v>
      </c>
      <c r="D628" s="56" t="s">
        <v>928</v>
      </c>
      <c r="E628" s="57" t="s">
        <v>602</v>
      </c>
      <c r="F628" s="56">
        <v>3</v>
      </c>
      <c r="G628" s="57" t="s">
        <v>768</v>
      </c>
      <c r="H628" s="58">
        <v>46054</v>
      </c>
      <c r="I628" s="57" t="s">
        <v>386</v>
      </c>
      <c r="J628" s="56">
        <v>1</v>
      </c>
      <c r="K628" s="60">
        <v>46054</v>
      </c>
      <c r="L628" s="59">
        <v>700000</v>
      </c>
      <c r="M628" s="57" t="s">
        <v>2275</v>
      </c>
      <c r="N628" s="57" t="s">
        <v>2234</v>
      </c>
      <c r="O628" s="57" t="s">
        <v>2258</v>
      </c>
      <c r="P628" s="57" t="s">
        <v>2284</v>
      </c>
      <c r="Q628" s="57" t="s">
        <v>768</v>
      </c>
    </row>
    <row r="629" spans="1:17" x14ac:dyDescent="0.25">
      <c r="A629" s="55" t="s">
        <v>1052</v>
      </c>
      <c r="B629" s="56" t="s">
        <v>2199</v>
      </c>
      <c r="C629" s="57" t="s">
        <v>374</v>
      </c>
      <c r="D629" s="56" t="s">
        <v>1053</v>
      </c>
      <c r="E629" s="57" t="s">
        <v>359</v>
      </c>
      <c r="F629" s="56">
        <v>2</v>
      </c>
      <c r="G629" s="57" t="s">
        <v>768</v>
      </c>
      <c r="H629" s="58">
        <v>46082</v>
      </c>
      <c r="I629" s="57" t="s">
        <v>386</v>
      </c>
      <c r="J629" s="56">
        <v>1</v>
      </c>
      <c r="K629" s="60">
        <v>46082</v>
      </c>
      <c r="L629" s="59">
        <v>176460</v>
      </c>
      <c r="M629" s="57" t="s">
        <v>2275</v>
      </c>
      <c r="N629" s="57" t="s">
        <v>2234</v>
      </c>
      <c r="O629" s="57" t="s">
        <v>2258</v>
      </c>
      <c r="P629" s="57" t="s">
        <v>2284</v>
      </c>
      <c r="Q629" s="57" t="s">
        <v>768</v>
      </c>
    </row>
    <row r="630" spans="1:17" x14ac:dyDescent="0.25">
      <c r="A630" s="55" t="s">
        <v>1052</v>
      </c>
      <c r="B630" s="56" t="s">
        <v>2199</v>
      </c>
      <c r="C630" s="57" t="s">
        <v>374</v>
      </c>
      <c r="D630" s="56" t="s">
        <v>1053</v>
      </c>
      <c r="E630" s="57" t="s">
        <v>855</v>
      </c>
      <c r="F630" s="56">
        <v>2</v>
      </c>
      <c r="G630" s="57" t="s">
        <v>768</v>
      </c>
      <c r="H630" s="58">
        <v>46082</v>
      </c>
      <c r="I630" s="57" t="s">
        <v>386</v>
      </c>
      <c r="J630" s="56">
        <v>1</v>
      </c>
      <c r="K630" s="60">
        <v>46082</v>
      </c>
      <c r="L630" s="59">
        <v>35400</v>
      </c>
      <c r="M630" s="57" t="s">
        <v>2275</v>
      </c>
      <c r="N630" s="57" t="s">
        <v>2234</v>
      </c>
      <c r="O630" s="57" t="s">
        <v>2258</v>
      </c>
      <c r="P630" s="57" t="s">
        <v>2284</v>
      </c>
      <c r="Q630" s="57" t="s">
        <v>768</v>
      </c>
    </row>
    <row r="631" spans="1:17" x14ac:dyDescent="0.25">
      <c r="A631" s="55" t="s">
        <v>1055</v>
      </c>
      <c r="B631" s="56" t="s">
        <v>2199</v>
      </c>
      <c r="C631" s="57" t="s">
        <v>374</v>
      </c>
      <c r="D631" s="56" t="s">
        <v>1056</v>
      </c>
      <c r="E631" s="57" t="s">
        <v>359</v>
      </c>
      <c r="F631" s="56">
        <v>4</v>
      </c>
      <c r="G631" s="57" t="s">
        <v>768</v>
      </c>
      <c r="H631" s="58">
        <v>46082</v>
      </c>
      <c r="I631" s="57" t="s">
        <v>386</v>
      </c>
      <c r="J631" s="56">
        <v>1</v>
      </c>
      <c r="K631" s="60">
        <v>46082</v>
      </c>
      <c r="L631" s="59">
        <v>176460</v>
      </c>
      <c r="M631" s="57" t="s">
        <v>2275</v>
      </c>
      <c r="N631" s="57" t="s">
        <v>2234</v>
      </c>
      <c r="O631" s="57" t="s">
        <v>2258</v>
      </c>
      <c r="P631" s="57" t="s">
        <v>2284</v>
      </c>
      <c r="Q631" s="57" t="s">
        <v>768</v>
      </c>
    </row>
    <row r="632" spans="1:17" x14ac:dyDescent="0.25">
      <c r="A632" s="55" t="s">
        <v>1055</v>
      </c>
      <c r="B632" s="56" t="s">
        <v>2199</v>
      </c>
      <c r="C632" s="57" t="s">
        <v>374</v>
      </c>
      <c r="D632" s="56" t="s">
        <v>1056</v>
      </c>
      <c r="E632" s="57" t="s">
        <v>486</v>
      </c>
      <c r="F632" s="56">
        <v>4</v>
      </c>
      <c r="G632" s="57" t="s">
        <v>768</v>
      </c>
      <c r="H632" s="58">
        <v>46082</v>
      </c>
      <c r="I632" s="57" t="s">
        <v>386</v>
      </c>
      <c r="J632" s="56">
        <v>1</v>
      </c>
      <c r="K632" s="60">
        <v>46082</v>
      </c>
      <c r="L632" s="59">
        <v>15000</v>
      </c>
      <c r="M632" s="57" t="s">
        <v>2275</v>
      </c>
      <c r="N632" s="57" t="s">
        <v>2234</v>
      </c>
      <c r="O632" s="57" t="s">
        <v>2258</v>
      </c>
      <c r="P632" s="57" t="s">
        <v>2284</v>
      </c>
      <c r="Q632" s="57" t="s">
        <v>768</v>
      </c>
    </row>
    <row r="633" spans="1:17" x14ac:dyDescent="0.25">
      <c r="A633" s="55" t="s">
        <v>1055</v>
      </c>
      <c r="B633" s="56" t="s">
        <v>2199</v>
      </c>
      <c r="C633" s="57" t="s">
        <v>374</v>
      </c>
      <c r="D633" s="56" t="s">
        <v>1056</v>
      </c>
      <c r="E633" s="57" t="s">
        <v>855</v>
      </c>
      <c r="F633" s="56">
        <v>4</v>
      </c>
      <c r="G633" s="57" t="s">
        <v>768</v>
      </c>
      <c r="H633" s="58">
        <v>46082</v>
      </c>
      <c r="I633" s="57" t="s">
        <v>386</v>
      </c>
      <c r="J633" s="56">
        <v>1</v>
      </c>
      <c r="K633" s="60">
        <v>46082</v>
      </c>
      <c r="L633" s="59">
        <v>20400</v>
      </c>
      <c r="M633" s="57" t="s">
        <v>2275</v>
      </c>
      <c r="N633" s="57" t="s">
        <v>2234</v>
      </c>
      <c r="O633" s="57" t="s">
        <v>2258</v>
      </c>
      <c r="P633" s="57" t="s">
        <v>2284</v>
      </c>
      <c r="Q633" s="57" t="s">
        <v>768</v>
      </c>
    </row>
    <row r="634" spans="1:17" x14ac:dyDescent="0.25">
      <c r="A634" s="55" t="s">
        <v>1055</v>
      </c>
      <c r="B634" s="56" t="s">
        <v>2199</v>
      </c>
      <c r="C634" s="57" t="s">
        <v>374</v>
      </c>
      <c r="D634" s="56" t="s">
        <v>1056</v>
      </c>
      <c r="E634" s="57" t="s">
        <v>1058</v>
      </c>
      <c r="F634" s="56">
        <v>4</v>
      </c>
      <c r="G634" s="57" t="s">
        <v>768</v>
      </c>
      <c r="H634" s="58">
        <v>46082</v>
      </c>
      <c r="I634" s="57" t="s">
        <v>386</v>
      </c>
      <c r="J634" s="56">
        <v>1</v>
      </c>
      <c r="K634" s="60">
        <v>46082</v>
      </c>
      <c r="L634" s="59">
        <v>52000</v>
      </c>
      <c r="M634" s="57" t="s">
        <v>2275</v>
      </c>
      <c r="N634" s="57" t="s">
        <v>2234</v>
      </c>
      <c r="O634" s="57" t="s">
        <v>2258</v>
      </c>
      <c r="P634" s="57" t="s">
        <v>2284</v>
      </c>
      <c r="Q634" s="57" t="s">
        <v>768</v>
      </c>
    </row>
    <row r="635" spans="1:17" x14ac:dyDescent="0.25">
      <c r="A635" s="55" t="s">
        <v>1143</v>
      </c>
      <c r="B635" s="56" t="s">
        <v>2199</v>
      </c>
      <c r="C635" s="57" t="s">
        <v>374</v>
      </c>
      <c r="D635" s="56" t="s">
        <v>1144</v>
      </c>
      <c r="E635" s="57" t="s">
        <v>359</v>
      </c>
      <c r="F635" s="56">
        <v>4</v>
      </c>
      <c r="G635" s="57" t="s">
        <v>768</v>
      </c>
      <c r="H635" s="58">
        <v>46235</v>
      </c>
      <c r="I635" s="57" t="s">
        <v>386</v>
      </c>
      <c r="J635" s="56">
        <v>1</v>
      </c>
      <c r="K635" s="60">
        <v>46235</v>
      </c>
      <c r="L635" s="59">
        <v>89504</v>
      </c>
      <c r="M635" s="57" t="s">
        <v>2275</v>
      </c>
      <c r="N635" s="57" t="s">
        <v>2234</v>
      </c>
      <c r="O635" s="57" t="s">
        <v>2258</v>
      </c>
      <c r="P635" s="57" t="s">
        <v>2284</v>
      </c>
      <c r="Q635" s="57" t="s">
        <v>768</v>
      </c>
    </row>
    <row r="636" spans="1:17" x14ac:dyDescent="0.25">
      <c r="A636" s="55" t="s">
        <v>1143</v>
      </c>
      <c r="B636" s="56" t="s">
        <v>2199</v>
      </c>
      <c r="C636" s="57" t="s">
        <v>374</v>
      </c>
      <c r="D636" s="56" t="s">
        <v>1144</v>
      </c>
      <c r="E636" s="57" t="s">
        <v>1148</v>
      </c>
      <c r="F636" s="56">
        <v>4</v>
      </c>
      <c r="G636" s="57" t="s">
        <v>768</v>
      </c>
      <c r="H636" s="58">
        <v>46235</v>
      </c>
      <c r="I636" s="57" t="s">
        <v>386</v>
      </c>
      <c r="J636" s="56">
        <v>1</v>
      </c>
      <c r="K636" s="60">
        <v>46235</v>
      </c>
      <c r="L636" s="59">
        <v>110000</v>
      </c>
      <c r="M636" s="57" t="s">
        <v>2275</v>
      </c>
      <c r="N636" s="57" t="s">
        <v>2234</v>
      </c>
      <c r="O636" s="57" t="s">
        <v>2258</v>
      </c>
      <c r="P636" s="57" t="s">
        <v>2284</v>
      </c>
      <c r="Q636" s="57" t="s">
        <v>768</v>
      </c>
    </row>
    <row r="637" spans="1:17" x14ac:dyDescent="0.25">
      <c r="A637" s="55" t="s">
        <v>1143</v>
      </c>
      <c r="B637" s="56" t="s">
        <v>2199</v>
      </c>
      <c r="C637" s="57" t="s">
        <v>374</v>
      </c>
      <c r="D637" s="56" t="s">
        <v>1144</v>
      </c>
      <c r="E637" s="57" t="s">
        <v>1147</v>
      </c>
      <c r="F637" s="56">
        <v>4</v>
      </c>
      <c r="G637" s="57" t="s">
        <v>768</v>
      </c>
      <c r="H637" s="58">
        <v>46235</v>
      </c>
      <c r="I637" s="57" t="s">
        <v>386</v>
      </c>
      <c r="J637" s="56">
        <v>1</v>
      </c>
      <c r="K637" s="60">
        <v>46235</v>
      </c>
      <c r="L637" s="59">
        <v>25000</v>
      </c>
      <c r="M637" s="57" t="s">
        <v>2275</v>
      </c>
      <c r="N637" s="57" t="s">
        <v>2234</v>
      </c>
      <c r="O637" s="57" t="s">
        <v>2258</v>
      </c>
      <c r="P637" s="57" t="s">
        <v>2284</v>
      </c>
      <c r="Q637" s="57" t="s">
        <v>768</v>
      </c>
    </row>
    <row r="638" spans="1:17" x14ac:dyDescent="0.25">
      <c r="A638" s="55" t="s">
        <v>1143</v>
      </c>
      <c r="B638" s="56" t="s">
        <v>2199</v>
      </c>
      <c r="C638" s="57" t="s">
        <v>374</v>
      </c>
      <c r="D638" s="56" t="s">
        <v>1144</v>
      </c>
      <c r="E638" s="57" t="s">
        <v>1146</v>
      </c>
      <c r="F638" s="56">
        <v>4</v>
      </c>
      <c r="G638" s="57" t="s">
        <v>768</v>
      </c>
      <c r="H638" s="58">
        <v>46235</v>
      </c>
      <c r="I638" s="57" t="s">
        <v>386</v>
      </c>
      <c r="J638" s="56">
        <v>1</v>
      </c>
      <c r="K638" s="60">
        <v>46235</v>
      </c>
      <c r="L638" s="59">
        <v>25000</v>
      </c>
      <c r="M638" s="57" t="s">
        <v>2275</v>
      </c>
      <c r="N638" s="57" t="s">
        <v>2234</v>
      </c>
      <c r="O638" s="57" t="s">
        <v>2258</v>
      </c>
      <c r="P638" s="57" t="s">
        <v>2284</v>
      </c>
      <c r="Q638" s="57" t="s">
        <v>768</v>
      </c>
    </row>
    <row r="639" spans="1:17" x14ac:dyDescent="0.25">
      <c r="A639" s="55" t="s">
        <v>1264</v>
      </c>
      <c r="B639" s="56" t="s">
        <v>2199</v>
      </c>
      <c r="C639" s="57" t="s">
        <v>374</v>
      </c>
      <c r="D639" s="56" t="s">
        <v>1266</v>
      </c>
      <c r="E639" s="57" t="s">
        <v>1268</v>
      </c>
      <c r="F639" s="56">
        <v>3</v>
      </c>
      <c r="G639" s="57" t="s">
        <v>768</v>
      </c>
      <c r="H639" s="58">
        <v>46082</v>
      </c>
      <c r="I639" s="57" t="s">
        <v>386</v>
      </c>
      <c r="J639" s="56">
        <v>1</v>
      </c>
      <c r="K639" s="60">
        <v>46082</v>
      </c>
      <c r="L639" s="59">
        <v>15600</v>
      </c>
      <c r="M639" s="57" t="s">
        <v>2275</v>
      </c>
      <c r="N639" s="57" t="s">
        <v>2234</v>
      </c>
      <c r="O639" s="57" t="s">
        <v>2258</v>
      </c>
      <c r="P639" s="57" t="s">
        <v>2284</v>
      </c>
      <c r="Q639" s="57" t="s">
        <v>768</v>
      </c>
    </row>
    <row r="640" spans="1:17" x14ac:dyDescent="0.25">
      <c r="A640" s="55" t="s">
        <v>1264</v>
      </c>
      <c r="B640" s="56" t="s">
        <v>2199</v>
      </c>
      <c r="C640" s="57" t="s">
        <v>374</v>
      </c>
      <c r="D640" s="56" t="s">
        <v>1266</v>
      </c>
      <c r="E640" s="57" t="s">
        <v>786</v>
      </c>
      <c r="F640" s="56">
        <v>3</v>
      </c>
      <c r="G640" s="57" t="s">
        <v>768</v>
      </c>
      <c r="H640" s="58">
        <v>46082</v>
      </c>
      <c r="I640" s="57" t="s">
        <v>386</v>
      </c>
      <c r="J640" s="56">
        <v>1</v>
      </c>
      <c r="K640" s="60">
        <v>46082</v>
      </c>
      <c r="L640" s="59">
        <v>245531</v>
      </c>
      <c r="M640" s="57" t="s">
        <v>2275</v>
      </c>
      <c r="N640" s="57" t="s">
        <v>2234</v>
      </c>
      <c r="O640" s="57" t="s">
        <v>2258</v>
      </c>
      <c r="P640" s="57" t="s">
        <v>2284</v>
      </c>
      <c r="Q640" s="57" t="s">
        <v>768</v>
      </c>
    </row>
    <row r="641" spans="1:17" x14ac:dyDescent="0.25">
      <c r="A641" s="55" t="s">
        <v>1264</v>
      </c>
      <c r="B641" s="56" t="s">
        <v>2199</v>
      </c>
      <c r="C641" s="57" t="s">
        <v>374</v>
      </c>
      <c r="D641" s="56" t="s">
        <v>1266</v>
      </c>
      <c r="E641" s="57" t="s">
        <v>772</v>
      </c>
      <c r="F641" s="56">
        <v>3</v>
      </c>
      <c r="G641" s="57" t="s">
        <v>768</v>
      </c>
      <c r="H641" s="58">
        <v>46082</v>
      </c>
      <c r="I641" s="57" t="s">
        <v>386</v>
      </c>
      <c r="J641" s="56">
        <v>1</v>
      </c>
      <c r="K641" s="60">
        <v>46082</v>
      </c>
      <c r="L641" s="59">
        <v>16000</v>
      </c>
      <c r="M641" s="57" t="s">
        <v>2275</v>
      </c>
      <c r="N641" s="57" t="s">
        <v>2234</v>
      </c>
      <c r="O641" s="57" t="s">
        <v>2258</v>
      </c>
      <c r="P641" s="57" t="s">
        <v>2284</v>
      </c>
      <c r="Q641" s="57" t="s">
        <v>768</v>
      </c>
    </row>
    <row r="642" spans="1:17" x14ac:dyDescent="0.25">
      <c r="A642" s="55" t="s">
        <v>382</v>
      </c>
      <c r="B642" s="56" t="s">
        <v>2196</v>
      </c>
      <c r="C642" s="57" t="s">
        <v>28</v>
      </c>
      <c r="D642" s="56" t="s">
        <v>383</v>
      </c>
      <c r="E642" s="57" t="s">
        <v>326</v>
      </c>
      <c r="F642" s="56">
        <v>1</v>
      </c>
      <c r="G642" s="57" t="s">
        <v>385</v>
      </c>
      <c r="H642" s="58">
        <v>45870</v>
      </c>
      <c r="I642" s="57" t="s">
        <v>386</v>
      </c>
      <c r="J642" s="56">
        <v>12</v>
      </c>
      <c r="K642" s="57" t="s">
        <v>318</v>
      </c>
      <c r="L642" s="59">
        <v>16041663</v>
      </c>
      <c r="M642" s="57" t="s">
        <v>2275</v>
      </c>
      <c r="N642" s="57" t="s">
        <v>2234</v>
      </c>
      <c r="O642" s="57" t="s">
        <v>2258</v>
      </c>
      <c r="P642" s="57" t="s">
        <v>2284</v>
      </c>
      <c r="Q642" s="57" t="s">
        <v>768</v>
      </c>
    </row>
    <row r="643" spans="1:17" x14ac:dyDescent="0.25">
      <c r="A643" s="55" t="s">
        <v>729</v>
      </c>
      <c r="B643" s="56" t="s">
        <v>2199</v>
      </c>
      <c r="C643" s="57" t="s">
        <v>28</v>
      </c>
      <c r="D643" s="56" t="s">
        <v>731</v>
      </c>
      <c r="E643" s="57" t="s">
        <v>359</v>
      </c>
      <c r="F643" s="56">
        <v>1</v>
      </c>
      <c r="G643" s="57" t="s">
        <v>733</v>
      </c>
      <c r="H643" s="58">
        <v>46082</v>
      </c>
      <c r="I643" s="57" t="s">
        <v>734</v>
      </c>
      <c r="J643" s="56">
        <v>1</v>
      </c>
      <c r="K643" s="60">
        <v>46082</v>
      </c>
      <c r="L643" s="59">
        <v>1352694</v>
      </c>
      <c r="M643" s="57" t="s">
        <v>2232</v>
      </c>
      <c r="N643" s="57" t="s">
        <v>2234</v>
      </c>
      <c r="O643" s="57" t="s">
        <v>2265</v>
      </c>
      <c r="P643" s="57" t="s">
        <v>2284</v>
      </c>
      <c r="Q643" s="57" t="s">
        <v>733</v>
      </c>
    </row>
    <row r="644" spans="1:17" x14ac:dyDescent="0.25">
      <c r="A644" s="55" t="s">
        <v>1193</v>
      </c>
      <c r="B644" s="56" t="s">
        <v>2199</v>
      </c>
      <c r="C644" s="57" t="s">
        <v>374</v>
      </c>
      <c r="D644" s="56" t="s">
        <v>1194</v>
      </c>
      <c r="E644" s="57" t="s">
        <v>602</v>
      </c>
      <c r="F644" s="56">
        <v>2</v>
      </c>
      <c r="G644" s="57" t="s">
        <v>733</v>
      </c>
      <c r="H644" s="58">
        <v>46204</v>
      </c>
      <c r="I644" s="57" t="s">
        <v>734</v>
      </c>
      <c r="J644" s="56">
        <v>1</v>
      </c>
      <c r="K644" s="60">
        <v>46204</v>
      </c>
      <c r="L644" s="59">
        <v>750000</v>
      </c>
      <c r="M644" s="57" t="s">
        <v>2232</v>
      </c>
      <c r="N644" s="57" t="s">
        <v>2234</v>
      </c>
      <c r="O644" s="57" t="s">
        <v>2265</v>
      </c>
      <c r="P644" s="57" t="s">
        <v>2284</v>
      </c>
      <c r="Q644" s="57" t="s">
        <v>733</v>
      </c>
    </row>
    <row r="645" spans="1:17" x14ac:dyDescent="0.25">
      <c r="A645" s="55" t="s">
        <v>1193</v>
      </c>
      <c r="B645" s="56" t="s">
        <v>2199</v>
      </c>
      <c r="C645" s="57" t="s">
        <v>374</v>
      </c>
      <c r="D645" s="56" t="s">
        <v>1194</v>
      </c>
      <c r="E645" s="57" t="s">
        <v>602</v>
      </c>
      <c r="F645" s="56">
        <v>2</v>
      </c>
      <c r="G645" s="57" t="s">
        <v>733</v>
      </c>
      <c r="H645" s="58">
        <v>46296</v>
      </c>
      <c r="I645" s="57" t="s">
        <v>734</v>
      </c>
      <c r="J645" s="56">
        <v>1</v>
      </c>
      <c r="K645" s="60">
        <v>46296</v>
      </c>
      <c r="L645" s="59">
        <v>750000</v>
      </c>
      <c r="M645" s="57" t="s">
        <v>2232</v>
      </c>
      <c r="N645" s="57" t="s">
        <v>2234</v>
      </c>
      <c r="O645" s="57" t="s">
        <v>2265</v>
      </c>
      <c r="P645" s="57" t="s">
        <v>2284</v>
      </c>
      <c r="Q645" s="57" t="s">
        <v>733</v>
      </c>
    </row>
    <row r="646" spans="1:17" x14ac:dyDescent="0.25">
      <c r="A646" s="55" t="s">
        <v>1092</v>
      </c>
      <c r="B646" s="56" t="s">
        <v>2199</v>
      </c>
      <c r="C646" s="57" t="s">
        <v>28</v>
      </c>
      <c r="D646" s="56" t="s">
        <v>1093</v>
      </c>
      <c r="E646" s="57" t="s">
        <v>486</v>
      </c>
      <c r="F646" s="56">
        <v>1</v>
      </c>
      <c r="G646" s="57" t="s">
        <v>1095</v>
      </c>
      <c r="H646" s="58">
        <v>46296</v>
      </c>
      <c r="I646" s="57" t="s">
        <v>1096</v>
      </c>
      <c r="J646" s="56">
        <v>1</v>
      </c>
      <c r="K646" s="60">
        <v>46296</v>
      </c>
      <c r="L646" s="59">
        <v>624234</v>
      </c>
      <c r="M646" s="57" t="s">
        <v>2250</v>
      </c>
      <c r="N646" s="57" t="s">
        <v>2227</v>
      </c>
      <c r="O646" s="57" t="s">
        <v>2261</v>
      </c>
      <c r="P646" s="57" t="s">
        <v>2284</v>
      </c>
      <c r="Q646" s="57" t="s">
        <v>1095</v>
      </c>
    </row>
    <row r="647" spans="1:17" x14ac:dyDescent="0.25">
      <c r="A647" s="55" t="s">
        <v>499</v>
      </c>
      <c r="B647" s="56" t="s">
        <v>2196</v>
      </c>
      <c r="C647" s="57" t="s">
        <v>28</v>
      </c>
      <c r="D647" s="56" t="s">
        <v>501</v>
      </c>
      <c r="E647" s="57" t="s">
        <v>503</v>
      </c>
      <c r="F647" s="56">
        <v>1</v>
      </c>
      <c r="G647" s="57" t="s">
        <v>505</v>
      </c>
      <c r="H647" s="58">
        <v>45870</v>
      </c>
      <c r="I647" s="57" t="s">
        <v>506</v>
      </c>
      <c r="J647" s="56">
        <v>16</v>
      </c>
      <c r="K647" s="57" t="s">
        <v>504</v>
      </c>
      <c r="L647" s="59">
        <v>56250000</v>
      </c>
      <c r="M647" s="57" t="s">
        <v>2276</v>
      </c>
      <c r="N647" s="57" t="s">
        <v>2234</v>
      </c>
      <c r="O647" s="57" t="s">
        <v>2277</v>
      </c>
      <c r="P647" s="57" t="s">
        <v>2284</v>
      </c>
      <c r="Q647" s="57" t="s">
        <v>505</v>
      </c>
    </row>
    <row r="648" spans="1:17" x14ac:dyDescent="0.25">
      <c r="A648" s="55" t="s">
        <v>1103</v>
      </c>
      <c r="B648" s="56" t="s">
        <v>2199</v>
      </c>
      <c r="C648" s="57" t="s">
        <v>28</v>
      </c>
      <c r="D648" s="56" t="s">
        <v>1104</v>
      </c>
      <c r="E648" s="57" t="s">
        <v>807</v>
      </c>
      <c r="F648" s="56">
        <v>1</v>
      </c>
      <c r="G648" s="57" t="s">
        <v>1106</v>
      </c>
      <c r="H648" s="58">
        <v>46296</v>
      </c>
      <c r="I648" s="57" t="s">
        <v>1107</v>
      </c>
      <c r="J648" s="56">
        <v>1</v>
      </c>
      <c r="K648" s="60">
        <v>46296</v>
      </c>
      <c r="L648" s="59">
        <v>5696005</v>
      </c>
      <c r="M648" s="57" t="s">
        <v>2233</v>
      </c>
      <c r="N648" s="57" t="s">
        <v>2256</v>
      </c>
      <c r="O648" s="57" t="s">
        <v>2266</v>
      </c>
      <c r="P648" s="57" t="s">
        <v>2284</v>
      </c>
      <c r="Q648" s="57" t="s">
        <v>1106</v>
      </c>
    </row>
    <row r="649" spans="1:17" x14ac:dyDescent="0.25">
      <c r="A649" s="55" t="s">
        <v>1334</v>
      </c>
      <c r="B649" s="56" t="s">
        <v>2199</v>
      </c>
      <c r="C649" s="57" t="s">
        <v>1304</v>
      </c>
      <c r="D649" s="56" t="s">
        <v>1335</v>
      </c>
      <c r="E649" s="57" t="s">
        <v>807</v>
      </c>
      <c r="F649" s="56">
        <v>1</v>
      </c>
      <c r="G649" s="57" t="s">
        <v>1337</v>
      </c>
      <c r="H649" s="58">
        <v>46357</v>
      </c>
      <c r="I649" s="57" t="s">
        <v>1107</v>
      </c>
      <c r="J649" s="56">
        <v>1</v>
      </c>
      <c r="K649" s="60">
        <v>46357</v>
      </c>
      <c r="L649" s="59">
        <v>9814756</v>
      </c>
      <c r="M649" s="57" t="s">
        <v>2237</v>
      </c>
      <c r="N649" s="57" t="s">
        <v>2256</v>
      </c>
      <c r="O649" s="57" t="s">
        <v>2266</v>
      </c>
      <c r="P649" s="57" t="s">
        <v>2284</v>
      </c>
      <c r="Q649" s="57" t="s">
        <v>1337</v>
      </c>
    </row>
    <row r="650" spans="1:17" x14ac:dyDescent="0.25">
      <c r="A650" s="55" t="s">
        <v>1311</v>
      </c>
      <c r="B650" s="56" t="s">
        <v>2199</v>
      </c>
      <c r="C650" s="57" t="s">
        <v>1304</v>
      </c>
      <c r="D650" s="56" t="s">
        <v>1313</v>
      </c>
      <c r="E650" s="57" t="s">
        <v>807</v>
      </c>
      <c r="F650" s="56">
        <v>1</v>
      </c>
      <c r="G650" s="57" t="s">
        <v>1315</v>
      </c>
      <c r="H650" s="58">
        <v>46266</v>
      </c>
      <c r="I650" s="57" t="s">
        <v>1316</v>
      </c>
      <c r="J650" s="56">
        <v>1</v>
      </c>
      <c r="K650" s="60">
        <v>46327</v>
      </c>
      <c r="L650" s="59">
        <v>250000000</v>
      </c>
      <c r="M650" s="57" t="s">
        <v>2246</v>
      </c>
      <c r="N650" s="57" t="s">
        <v>2256</v>
      </c>
      <c r="O650" s="57" t="s">
        <v>2270</v>
      </c>
      <c r="P650" s="57" t="s">
        <v>2284</v>
      </c>
      <c r="Q650" s="57" t="s">
        <v>1315</v>
      </c>
    </row>
    <row r="651" spans="1:17" x14ac:dyDescent="0.25">
      <c r="A651" s="55" t="s">
        <v>337</v>
      </c>
      <c r="B651" s="56" t="s">
        <v>2196</v>
      </c>
      <c r="C651" s="57" t="s">
        <v>28</v>
      </c>
      <c r="D651" s="56" t="s">
        <v>338</v>
      </c>
      <c r="E651" s="57" t="s">
        <v>340</v>
      </c>
      <c r="F651" s="56">
        <v>1</v>
      </c>
      <c r="G651" s="57" t="s">
        <v>341</v>
      </c>
      <c r="H651" s="58">
        <v>45809</v>
      </c>
      <c r="I651" s="57" t="s">
        <v>342</v>
      </c>
      <c r="J651" s="56">
        <v>18</v>
      </c>
      <c r="K651" s="57" t="s">
        <v>206</v>
      </c>
      <c r="L651" s="59">
        <v>11000004</v>
      </c>
      <c r="M651" s="57" t="s">
        <v>2278</v>
      </c>
      <c r="N651" s="57" t="s">
        <v>2256</v>
      </c>
      <c r="O651" s="57" t="s">
        <v>2268</v>
      </c>
      <c r="P651" s="57" t="s">
        <v>2284</v>
      </c>
      <c r="Q651" s="57" t="s">
        <v>341</v>
      </c>
    </row>
    <row r="652" spans="1:17" x14ac:dyDescent="0.25">
      <c r="A652" s="55" t="s">
        <v>366</v>
      </c>
      <c r="B652" s="56" t="s">
        <v>2196</v>
      </c>
      <c r="C652" s="57" t="s">
        <v>28</v>
      </c>
      <c r="D652" s="56" t="s">
        <v>368</v>
      </c>
      <c r="E652" s="57" t="s">
        <v>370</v>
      </c>
      <c r="F652" s="56">
        <v>1</v>
      </c>
      <c r="G652" s="57" t="s">
        <v>341</v>
      </c>
      <c r="H652" s="58">
        <v>45870</v>
      </c>
      <c r="I652" s="57" t="s">
        <v>372</v>
      </c>
      <c r="J652" s="56">
        <v>12</v>
      </c>
      <c r="K652" s="57" t="s">
        <v>371</v>
      </c>
      <c r="L652" s="59">
        <v>80000000</v>
      </c>
      <c r="M652" s="57" t="s">
        <v>2278</v>
      </c>
      <c r="N652" s="57" t="s">
        <v>2256</v>
      </c>
      <c r="O652" s="57" t="s">
        <v>2268</v>
      </c>
      <c r="P652" s="57" t="s">
        <v>2284</v>
      </c>
      <c r="Q652" s="57" t="s">
        <v>341</v>
      </c>
    </row>
    <row r="653" spans="1:17" x14ac:dyDescent="0.25">
      <c r="A653" s="55" t="s">
        <v>2149</v>
      </c>
      <c r="B653" s="56" t="s">
        <v>2199</v>
      </c>
      <c r="C653" s="57" t="s">
        <v>28</v>
      </c>
      <c r="D653" s="56" t="s">
        <v>2150</v>
      </c>
      <c r="E653" s="57" t="s">
        <v>359</v>
      </c>
      <c r="F653" s="56">
        <v>5</v>
      </c>
      <c r="G653" s="57" t="s">
        <v>2152</v>
      </c>
      <c r="H653" s="58">
        <v>46054</v>
      </c>
      <c r="I653" s="57" t="s">
        <v>2153</v>
      </c>
      <c r="J653" s="56">
        <v>1</v>
      </c>
      <c r="K653" s="60">
        <v>46054</v>
      </c>
      <c r="L653" s="59">
        <v>647705</v>
      </c>
      <c r="M653" s="57" t="s">
        <v>2251</v>
      </c>
      <c r="N653" s="57" t="s">
        <v>2227</v>
      </c>
      <c r="O653" s="57" t="s">
        <v>2269</v>
      </c>
      <c r="P653" s="57" t="s">
        <v>2284</v>
      </c>
      <c r="Q653" s="57" t="s">
        <v>2152</v>
      </c>
    </row>
    <row r="654" spans="1:17" x14ac:dyDescent="0.25">
      <c r="A654" s="55" t="s">
        <v>2149</v>
      </c>
      <c r="B654" s="56" t="s">
        <v>2199</v>
      </c>
      <c r="C654" s="57" t="s">
        <v>28</v>
      </c>
      <c r="D654" s="56" t="s">
        <v>2150</v>
      </c>
      <c r="E654" s="57" t="s">
        <v>2155</v>
      </c>
      <c r="F654" s="56">
        <v>5</v>
      </c>
      <c r="G654" s="57" t="s">
        <v>2152</v>
      </c>
      <c r="H654" s="58">
        <v>46054</v>
      </c>
      <c r="I654" s="57" t="s">
        <v>2153</v>
      </c>
      <c r="J654" s="56">
        <v>1</v>
      </c>
      <c r="K654" s="60">
        <v>46054</v>
      </c>
      <c r="L654" s="59">
        <v>4498002</v>
      </c>
      <c r="M654" s="57" t="s">
        <v>2251</v>
      </c>
      <c r="N654" s="57" t="s">
        <v>2227</v>
      </c>
      <c r="O654" s="57" t="s">
        <v>2269</v>
      </c>
      <c r="P654" s="57" t="s">
        <v>2284</v>
      </c>
      <c r="Q654" s="57" t="s">
        <v>2152</v>
      </c>
    </row>
    <row r="655" spans="1:17" x14ac:dyDescent="0.25">
      <c r="A655" s="55" t="s">
        <v>2149</v>
      </c>
      <c r="B655" s="56" t="s">
        <v>2199</v>
      </c>
      <c r="C655" s="57" t="s">
        <v>28</v>
      </c>
      <c r="D655" s="56" t="s">
        <v>2150</v>
      </c>
      <c r="E655" s="57" t="s">
        <v>786</v>
      </c>
      <c r="F655" s="56">
        <v>5</v>
      </c>
      <c r="G655" s="57" t="s">
        <v>2152</v>
      </c>
      <c r="H655" s="58">
        <v>46054</v>
      </c>
      <c r="I655" s="57" t="s">
        <v>2153</v>
      </c>
      <c r="J655" s="56">
        <v>1</v>
      </c>
      <c r="K655" s="60">
        <v>46054</v>
      </c>
      <c r="L655" s="59">
        <v>438750</v>
      </c>
      <c r="M655" s="57" t="s">
        <v>2251</v>
      </c>
      <c r="N655" s="57" t="s">
        <v>2227</v>
      </c>
      <c r="O655" s="57" t="s">
        <v>2269</v>
      </c>
      <c r="P655" s="57" t="s">
        <v>2284</v>
      </c>
      <c r="Q655" s="57" t="s">
        <v>2152</v>
      </c>
    </row>
    <row r="656" spans="1:17" x14ac:dyDescent="0.25">
      <c r="A656" s="55" t="s">
        <v>2149</v>
      </c>
      <c r="B656" s="56" t="s">
        <v>2199</v>
      </c>
      <c r="C656" s="57" t="s">
        <v>28</v>
      </c>
      <c r="D656" s="56" t="s">
        <v>2150</v>
      </c>
      <c r="E656" s="57" t="s">
        <v>486</v>
      </c>
      <c r="F656" s="56">
        <v>5</v>
      </c>
      <c r="G656" s="57" t="s">
        <v>2152</v>
      </c>
      <c r="H656" s="58">
        <v>46054</v>
      </c>
      <c r="I656" s="57" t="s">
        <v>2153</v>
      </c>
      <c r="J656" s="56">
        <v>1</v>
      </c>
      <c r="K656" s="60">
        <v>46054</v>
      </c>
      <c r="L656" s="59">
        <v>845559</v>
      </c>
      <c r="M656" s="57" t="s">
        <v>2251</v>
      </c>
      <c r="N656" s="57" t="s">
        <v>2227</v>
      </c>
      <c r="O656" s="57" t="s">
        <v>2269</v>
      </c>
      <c r="P656" s="57" t="s">
        <v>2284</v>
      </c>
      <c r="Q656" s="57" t="s">
        <v>2152</v>
      </c>
    </row>
    <row r="657" spans="1:17" x14ac:dyDescent="0.25">
      <c r="A657" s="55" t="s">
        <v>2149</v>
      </c>
      <c r="B657" s="56" t="s">
        <v>2199</v>
      </c>
      <c r="C657" s="57" t="s">
        <v>28</v>
      </c>
      <c r="D657" s="56" t="s">
        <v>2150</v>
      </c>
      <c r="E657" s="57" t="s">
        <v>855</v>
      </c>
      <c r="F657" s="56">
        <v>5</v>
      </c>
      <c r="G657" s="57" t="s">
        <v>2152</v>
      </c>
      <c r="H657" s="58">
        <v>46054</v>
      </c>
      <c r="I657" s="57" t="s">
        <v>2153</v>
      </c>
      <c r="J657" s="56">
        <v>1</v>
      </c>
      <c r="K657" s="60">
        <v>46054</v>
      </c>
      <c r="L657" s="59">
        <v>157680</v>
      </c>
      <c r="M657" s="57" t="s">
        <v>2251</v>
      </c>
      <c r="N657" s="57" t="s">
        <v>2227</v>
      </c>
      <c r="O657" s="57" t="s">
        <v>2269</v>
      </c>
      <c r="P657" s="57" t="s">
        <v>2284</v>
      </c>
      <c r="Q657" s="57" t="s">
        <v>2152</v>
      </c>
    </row>
    <row r="658" spans="1:17" x14ac:dyDescent="0.25">
      <c r="A658" s="55" t="s">
        <v>637</v>
      </c>
      <c r="B658" s="56" t="s">
        <v>2199</v>
      </c>
      <c r="C658" s="57" t="s">
        <v>28</v>
      </c>
      <c r="D658" s="56" t="s">
        <v>638</v>
      </c>
      <c r="E658" s="57" t="s">
        <v>639</v>
      </c>
      <c r="F658" s="56">
        <v>1</v>
      </c>
      <c r="G658" s="57" t="s">
        <v>640</v>
      </c>
      <c r="H658" s="58">
        <v>46082</v>
      </c>
      <c r="I658" s="57" t="s">
        <v>641</v>
      </c>
      <c r="J658" s="56">
        <v>1</v>
      </c>
      <c r="K658" s="60">
        <v>46082</v>
      </c>
      <c r="L658" s="59">
        <v>2000700</v>
      </c>
      <c r="M658" s="57" t="s">
        <v>2221</v>
      </c>
      <c r="N658" s="57" t="s">
        <v>2234</v>
      </c>
      <c r="O658" s="57" t="s">
        <v>2259</v>
      </c>
      <c r="P658" s="57" t="s">
        <v>2284</v>
      </c>
      <c r="Q658" s="57" t="s">
        <v>640</v>
      </c>
    </row>
    <row r="659" spans="1:17" x14ac:dyDescent="0.25">
      <c r="A659" s="55" t="s">
        <v>644</v>
      </c>
      <c r="B659" s="56" t="s">
        <v>2199</v>
      </c>
      <c r="C659" s="57" t="s">
        <v>28</v>
      </c>
      <c r="D659" s="56" t="s">
        <v>646</v>
      </c>
      <c r="E659" s="57" t="s">
        <v>648</v>
      </c>
      <c r="F659" s="56">
        <v>1</v>
      </c>
      <c r="G659" s="57" t="s">
        <v>640</v>
      </c>
      <c r="H659" s="58">
        <v>46082</v>
      </c>
      <c r="I659" s="57" t="s">
        <v>641</v>
      </c>
      <c r="J659" s="56">
        <v>1</v>
      </c>
      <c r="K659" s="60">
        <v>46082</v>
      </c>
      <c r="L659" s="59">
        <v>1510005</v>
      </c>
      <c r="M659" s="57" t="s">
        <v>2221</v>
      </c>
      <c r="N659" s="57" t="s">
        <v>2234</v>
      </c>
      <c r="O659" s="57" t="s">
        <v>2259</v>
      </c>
      <c r="P659" s="57" t="s">
        <v>2284</v>
      </c>
      <c r="Q659" s="57" t="s">
        <v>640</v>
      </c>
    </row>
    <row r="660" spans="1:17" x14ac:dyDescent="0.25">
      <c r="A660" s="55" t="s">
        <v>649</v>
      </c>
      <c r="B660" s="56" t="s">
        <v>2199</v>
      </c>
      <c r="C660" s="57" t="s">
        <v>28</v>
      </c>
      <c r="D660" s="56" t="s">
        <v>650</v>
      </c>
      <c r="E660" s="57" t="s">
        <v>370</v>
      </c>
      <c r="F660" s="56">
        <v>2</v>
      </c>
      <c r="G660" s="57" t="s">
        <v>640</v>
      </c>
      <c r="H660" s="58">
        <v>46082</v>
      </c>
      <c r="I660" s="57" t="s">
        <v>641</v>
      </c>
      <c r="J660" s="56">
        <v>1</v>
      </c>
      <c r="K660" s="60">
        <v>46082</v>
      </c>
      <c r="L660" s="59">
        <v>850000</v>
      </c>
      <c r="M660" s="57" t="s">
        <v>2221</v>
      </c>
      <c r="N660" s="57" t="s">
        <v>2234</v>
      </c>
      <c r="O660" s="57" t="s">
        <v>2259</v>
      </c>
      <c r="P660" s="57" t="s">
        <v>2284</v>
      </c>
      <c r="Q660" s="57" t="s">
        <v>640</v>
      </c>
    </row>
    <row r="661" spans="1:17" x14ac:dyDescent="0.25">
      <c r="A661" s="55" t="s">
        <v>649</v>
      </c>
      <c r="B661" s="56" t="s">
        <v>2199</v>
      </c>
      <c r="C661" s="57" t="s">
        <v>28</v>
      </c>
      <c r="D661" s="56" t="s">
        <v>650</v>
      </c>
      <c r="E661" s="57" t="s">
        <v>652</v>
      </c>
      <c r="F661" s="56">
        <v>2</v>
      </c>
      <c r="G661" s="57" t="s">
        <v>640</v>
      </c>
      <c r="H661" s="58">
        <v>46082</v>
      </c>
      <c r="I661" s="57" t="s">
        <v>641</v>
      </c>
      <c r="J661" s="56">
        <v>1</v>
      </c>
      <c r="K661" s="60">
        <v>46082</v>
      </c>
      <c r="L661" s="59">
        <v>22500</v>
      </c>
      <c r="M661" s="57" t="s">
        <v>2221</v>
      </c>
      <c r="N661" s="57" t="s">
        <v>2234</v>
      </c>
      <c r="O661" s="57" t="s">
        <v>2259</v>
      </c>
      <c r="P661" s="57" t="s">
        <v>2284</v>
      </c>
      <c r="Q661" s="57" t="s">
        <v>640</v>
      </c>
    </row>
    <row r="662" spans="1:17" x14ac:dyDescent="0.25">
      <c r="A662" s="55" t="s">
        <v>304</v>
      </c>
      <c r="B662" s="56" t="s">
        <v>2196</v>
      </c>
      <c r="C662" s="57" t="s">
        <v>28</v>
      </c>
      <c r="D662" s="56" t="s">
        <v>305</v>
      </c>
      <c r="E662" s="57" t="s">
        <v>307</v>
      </c>
      <c r="F662" s="56">
        <v>1</v>
      </c>
      <c r="G662" s="57" t="s">
        <v>309</v>
      </c>
      <c r="H662" s="58">
        <v>45839</v>
      </c>
      <c r="I662" s="57" t="s">
        <v>310</v>
      </c>
      <c r="J662" s="56">
        <v>12</v>
      </c>
      <c r="K662" s="57" t="s">
        <v>308</v>
      </c>
      <c r="L662" s="59">
        <v>40833335</v>
      </c>
      <c r="M662" s="57" t="s">
        <v>2221</v>
      </c>
      <c r="N662" s="57" t="s">
        <v>2234</v>
      </c>
      <c r="O662" s="57" t="s">
        <v>2259</v>
      </c>
      <c r="P662" s="57" t="s">
        <v>2284</v>
      </c>
      <c r="Q662" s="57" t="s">
        <v>309</v>
      </c>
    </row>
    <row r="663" spans="1:17" x14ac:dyDescent="0.25">
      <c r="A663" s="55" t="s">
        <v>888</v>
      </c>
      <c r="B663" s="56" t="s">
        <v>2199</v>
      </c>
      <c r="C663" s="57" t="s">
        <v>28</v>
      </c>
      <c r="D663" s="56" t="s">
        <v>889</v>
      </c>
      <c r="E663" s="57" t="s">
        <v>891</v>
      </c>
      <c r="F663" s="56">
        <v>1</v>
      </c>
      <c r="G663" s="57" t="s">
        <v>309</v>
      </c>
      <c r="H663" s="58">
        <v>46204</v>
      </c>
      <c r="I663" s="57" t="s">
        <v>893</v>
      </c>
      <c r="J663" s="56">
        <v>12</v>
      </c>
      <c r="K663" s="57" t="s">
        <v>892</v>
      </c>
      <c r="L663" s="59">
        <v>31250000</v>
      </c>
      <c r="M663" s="57" t="s">
        <v>2221</v>
      </c>
      <c r="N663" s="57" t="s">
        <v>2234</v>
      </c>
      <c r="O663" s="57" t="s">
        <v>2259</v>
      </c>
      <c r="P663" s="57" t="s">
        <v>2284</v>
      </c>
      <c r="Q663" s="57" t="s">
        <v>309</v>
      </c>
    </row>
    <row r="664" spans="1:17" x14ac:dyDescent="0.25">
      <c r="A664" s="55" t="s">
        <v>1113</v>
      </c>
      <c r="B664" s="56" t="s">
        <v>2199</v>
      </c>
      <c r="C664" s="57" t="s">
        <v>28</v>
      </c>
      <c r="D664" s="56" t="s">
        <v>1115</v>
      </c>
      <c r="E664" s="57" t="s">
        <v>1117</v>
      </c>
      <c r="F664" s="56">
        <v>1</v>
      </c>
      <c r="G664" s="57" t="s">
        <v>309</v>
      </c>
      <c r="H664" s="58">
        <v>46113</v>
      </c>
      <c r="I664" s="57" t="s">
        <v>893</v>
      </c>
      <c r="J664" s="56">
        <v>32</v>
      </c>
      <c r="K664" s="57" t="s">
        <v>1118</v>
      </c>
      <c r="L664" s="59">
        <v>371161848</v>
      </c>
      <c r="M664" s="57" t="s">
        <v>2221</v>
      </c>
      <c r="N664" s="57" t="s">
        <v>2234</v>
      </c>
      <c r="O664" s="57" t="s">
        <v>2259</v>
      </c>
      <c r="P664" s="57" t="s">
        <v>2284</v>
      </c>
      <c r="Q664" s="57" t="s">
        <v>309</v>
      </c>
    </row>
    <row r="665" spans="1:17" x14ac:dyDescent="0.25">
      <c r="A665" s="55" t="s">
        <v>328</v>
      </c>
      <c r="B665" s="56" t="s">
        <v>2196</v>
      </c>
      <c r="C665" s="57" t="s">
        <v>28</v>
      </c>
      <c r="D665" s="56" t="s">
        <v>329</v>
      </c>
      <c r="E665" s="57" t="s">
        <v>331</v>
      </c>
      <c r="F665" s="56">
        <v>1</v>
      </c>
      <c r="G665" s="57" t="s">
        <v>332</v>
      </c>
      <c r="H665" s="58">
        <v>45839</v>
      </c>
      <c r="I665" s="57" t="s">
        <v>333</v>
      </c>
      <c r="J665" s="56">
        <v>12</v>
      </c>
      <c r="K665" s="57" t="s">
        <v>308</v>
      </c>
      <c r="L665" s="59">
        <v>52500000</v>
      </c>
      <c r="M665" s="57" t="s">
        <v>2221</v>
      </c>
      <c r="N665" s="57" t="s">
        <v>2234</v>
      </c>
      <c r="O665" s="57" t="s">
        <v>2259</v>
      </c>
      <c r="P665" s="57" t="s">
        <v>2284</v>
      </c>
      <c r="Q665" s="57" t="s">
        <v>2209</v>
      </c>
    </row>
    <row r="666" spans="1:17" x14ac:dyDescent="0.25">
      <c r="A666" s="55" t="s">
        <v>1072</v>
      </c>
      <c r="B666" s="56" t="s">
        <v>2199</v>
      </c>
      <c r="C666" s="57" t="s">
        <v>28</v>
      </c>
      <c r="D666" s="56" t="s">
        <v>1073</v>
      </c>
      <c r="E666" s="57" t="s">
        <v>486</v>
      </c>
      <c r="F666" s="56">
        <v>1</v>
      </c>
      <c r="G666" s="57" t="s">
        <v>1075</v>
      </c>
      <c r="H666" s="58">
        <v>46054</v>
      </c>
      <c r="I666" s="57" t="s">
        <v>1076</v>
      </c>
      <c r="J666" s="56">
        <v>1</v>
      </c>
      <c r="K666" s="60">
        <v>46054</v>
      </c>
      <c r="L666" s="59">
        <v>169000</v>
      </c>
      <c r="M666" s="57" t="s">
        <v>2224</v>
      </c>
      <c r="N666" s="57" t="s">
        <v>2227</v>
      </c>
      <c r="O666" s="57" t="s">
        <v>2261</v>
      </c>
      <c r="P666" s="57" t="s">
        <v>2284</v>
      </c>
      <c r="Q666" s="57" t="s">
        <v>1075</v>
      </c>
    </row>
    <row r="667" spans="1:17" x14ac:dyDescent="0.25">
      <c r="A667" s="55" t="s">
        <v>1079</v>
      </c>
      <c r="B667" s="56" t="s">
        <v>2199</v>
      </c>
      <c r="C667" s="57" t="s">
        <v>28</v>
      </c>
      <c r="D667" s="56" t="s">
        <v>1081</v>
      </c>
      <c r="E667" s="57" t="s">
        <v>1083</v>
      </c>
      <c r="F667" s="56">
        <v>1</v>
      </c>
      <c r="G667" s="57" t="s">
        <v>1075</v>
      </c>
      <c r="H667" s="58">
        <v>46082</v>
      </c>
      <c r="I667" s="57" t="s">
        <v>1076</v>
      </c>
      <c r="J667" s="56">
        <v>1</v>
      </c>
      <c r="K667" s="60">
        <v>46082</v>
      </c>
      <c r="L667" s="59">
        <v>100000</v>
      </c>
      <c r="M667" s="57" t="s">
        <v>2224</v>
      </c>
      <c r="N667" s="57" t="s">
        <v>2227</v>
      </c>
      <c r="O667" s="57" t="s">
        <v>2261</v>
      </c>
      <c r="P667" s="57" t="s">
        <v>2284</v>
      </c>
      <c r="Q667" s="57" t="s">
        <v>1075</v>
      </c>
    </row>
    <row r="668" spans="1:17" x14ac:dyDescent="0.25">
      <c r="A668" s="55" t="s">
        <v>1449</v>
      </c>
      <c r="B668" s="56" t="s">
        <v>2199</v>
      </c>
      <c r="C668" s="57" t="s">
        <v>28</v>
      </c>
      <c r="D668" s="56" t="s">
        <v>1450</v>
      </c>
      <c r="E668" s="57" t="s">
        <v>1133</v>
      </c>
      <c r="F668" s="56">
        <v>2</v>
      </c>
      <c r="G668" s="57" t="s">
        <v>1075</v>
      </c>
      <c r="H668" s="58">
        <v>46082</v>
      </c>
      <c r="I668" s="57" t="s">
        <v>1076</v>
      </c>
      <c r="J668" s="56">
        <v>1</v>
      </c>
      <c r="K668" s="60">
        <v>46082</v>
      </c>
      <c r="L668" s="59">
        <v>230000</v>
      </c>
      <c r="M668" s="57" t="s">
        <v>2224</v>
      </c>
      <c r="N668" s="57" t="s">
        <v>2227</v>
      </c>
      <c r="O668" s="57" t="s">
        <v>2261</v>
      </c>
      <c r="P668" s="57" t="s">
        <v>2284</v>
      </c>
      <c r="Q668" s="57" t="s">
        <v>1075</v>
      </c>
    </row>
    <row r="669" spans="1:17" x14ac:dyDescent="0.25">
      <c r="A669" s="55" t="s">
        <v>1449</v>
      </c>
      <c r="B669" s="56" t="s">
        <v>2199</v>
      </c>
      <c r="C669" s="57" t="s">
        <v>28</v>
      </c>
      <c r="D669" s="56" t="s">
        <v>1450</v>
      </c>
      <c r="E669" s="57" t="s">
        <v>1452</v>
      </c>
      <c r="F669" s="56">
        <v>2</v>
      </c>
      <c r="G669" s="57" t="s">
        <v>1075</v>
      </c>
      <c r="H669" s="58">
        <v>46023</v>
      </c>
      <c r="I669" s="57" t="s">
        <v>1076</v>
      </c>
      <c r="J669" s="56">
        <v>1</v>
      </c>
      <c r="K669" s="60">
        <v>46023</v>
      </c>
      <c r="L669" s="59">
        <v>160000</v>
      </c>
      <c r="M669" s="57" t="s">
        <v>2224</v>
      </c>
      <c r="N669" s="57" t="s">
        <v>2227</v>
      </c>
      <c r="O669" s="57" t="s">
        <v>2261</v>
      </c>
      <c r="P669" s="57" t="s">
        <v>2284</v>
      </c>
      <c r="Q669" s="57" t="s">
        <v>1075</v>
      </c>
    </row>
    <row r="670" spans="1:17" x14ac:dyDescent="0.25">
      <c r="A670" s="55" t="s">
        <v>1460</v>
      </c>
      <c r="B670" s="56" t="s">
        <v>2199</v>
      </c>
      <c r="C670" s="57" t="s">
        <v>28</v>
      </c>
      <c r="D670" s="56" t="s">
        <v>1461</v>
      </c>
      <c r="E670" s="57" t="s">
        <v>1463</v>
      </c>
      <c r="F670" s="56">
        <v>1</v>
      </c>
      <c r="G670" s="57" t="s">
        <v>1075</v>
      </c>
      <c r="H670" s="58">
        <v>46023</v>
      </c>
      <c r="I670" s="57" t="s">
        <v>1076</v>
      </c>
      <c r="J670" s="56">
        <v>1</v>
      </c>
      <c r="K670" s="60">
        <v>46023</v>
      </c>
      <c r="L670" s="59">
        <v>8196174</v>
      </c>
      <c r="M670" s="57" t="s">
        <v>2224</v>
      </c>
      <c r="N670" s="57" t="s">
        <v>2227</v>
      </c>
      <c r="O670" s="57" t="s">
        <v>2261</v>
      </c>
      <c r="P670" s="57" t="s">
        <v>2284</v>
      </c>
      <c r="Q670" s="57" t="s">
        <v>1075</v>
      </c>
    </row>
    <row r="671" spans="1:17" x14ac:dyDescent="0.25">
      <c r="A671" s="55" t="s">
        <v>1497</v>
      </c>
      <c r="B671" s="56" t="s">
        <v>2199</v>
      </c>
      <c r="C671" s="57" t="s">
        <v>28</v>
      </c>
      <c r="D671" s="56" t="s">
        <v>1498</v>
      </c>
      <c r="E671" s="57" t="s">
        <v>1500</v>
      </c>
      <c r="F671" s="56">
        <v>1</v>
      </c>
      <c r="G671" s="57" t="s">
        <v>1075</v>
      </c>
      <c r="H671" s="58">
        <v>46082</v>
      </c>
      <c r="I671" s="57" t="s">
        <v>1076</v>
      </c>
      <c r="J671" s="56">
        <v>1</v>
      </c>
      <c r="K671" s="60">
        <v>46082</v>
      </c>
      <c r="L671" s="59">
        <v>335005</v>
      </c>
      <c r="M671" s="57" t="s">
        <v>2224</v>
      </c>
      <c r="N671" s="57" t="s">
        <v>2227</v>
      </c>
      <c r="O671" s="57" t="s">
        <v>2261</v>
      </c>
      <c r="P671" s="57" t="s">
        <v>2284</v>
      </c>
      <c r="Q671" s="57" t="s">
        <v>1075</v>
      </c>
    </row>
    <row r="672" spans="1:17" x14ac:dyDescent="0.25">
      <c r="A672" s="55" t="s">
        <v>1514</v>
      </c>
      <c r="B672" s="56" t="s">
        <v>2199</v>
      </c>
      <c r="C672" s="57" t="s">
        <v>28</v>
      </c>
      <c r="D672" s="56" t="s">
        <v>1515</v>
      </c>
      <c r="E672" s="57" t="s">
        <v>1251</v>
      </c>
      <c r="F672" s="56">
        <v>1</v>
      </c>
      <c r="G672" s="57" t="s">
        <v>1075</v>
      </c>
      <c r="H672" s="58">
        <v>46235</v>
      </c>
      <c r="I672" s="57" t="s">
        <v>1076</v>
      </c>
      <c r="J672" s="56">
        <v>1</v>
      </c>
      <c r="K672" s="60">
        <v>46266</v>
      </c>
      <c r="L672" s="59">
        <v>150000</v>
      </c>
      <c r="M672" s="57" t="s">
        <v>2224</v>
      </c>
      <c r="N672" s="57" t="s">
        <v>2227</v>
      </c>
      <c r="O672" s="57" t="s">
        <v>2261</v>
      </c>
      <c r="P672" s="57" t="s">
        <v>2284</v>
      </c>
      <c r="Q672" s="57" t="s">
        <v>1075</v>
      </c>
    </row>
    <row r="673" spans="1:17" x14ac:dyDescent="0.25">
      <c r="A673" s="55" t="s">
        <v>1528</v>
      </c>
      <c r="B673" s="56" t="s">
        <v>2199</v>
      </c>
      <c r="C673" s="57" t="s">
        <v>28</v>
      </c>
      <c r="D673" s="56" t="s">
        <v>1529</v>
      </c>
      <c r="E673" s="57" t="s">
        <v>911</v>
      </c>
      <c r="F673" s="56">
        <v>2</v>
      </c>
      <c r="G673" s="57" t="s">
        <v>1075</v>
      </c>
      <c r="H673" s="58">
        <v>46143</v>
      </c>
      <c r="I673" s="57" t="s">
        <v>1076</v>
      </c>
      <c r="J673" s="56">
        <v>1</v>
      </c>
      <c r="K673" s="60">
        <v>46143</v>
      </c>
      <c r="L673" s="59">
        <v>20000</v>
      </c>
      <c r="M673" s="57" t="s">
        <v>2224</v>
      </c>
      <c r="N673" s="57" t="s">
        <v>2227</v>
      </c>
      <c r="O673" s="57" t="s">
        <v>2261</v>
      </c>
      <c r="P673" s="57" t="s">
        <v>2284</v>
      </c>
      <c r="Q673" s="57" t="s">
        <v>1075</v>
      </c>
    </row>
    <row r="674" spans="1:17" x14ac:dyDescent="0.25">
      <c r="A674" s="55" t="s">
        <v>1528</v>
      </c>
      <c r="B674" s="56" t="s">
        <v>2199</v>
      </c>
      <c r="C674" s="57" t="s">
        <v>28</v>
      </c>
      <c r="D674" s="56" t="s">
        <v>1529</v>
      </c>
      <c r="E674" s="57" t="s">
        <v>1531</v>
      </c>
      <c r="F674" s="56">
        <v>2</v>
      </c>
      <c r="G674" s="57" t="s">
        <v>1075</v>
      </c>
      <c r="H674" s="58">
        <v>46143</v>
      </c>
      <c r="I674" s="57" t="s">
        <v>1076</v>
      </c>
      <c r="J674" s="56">
        <v>1</v>
      </c>
      <c r="K674" s="60">
        <v>46143</v>
      </c>
      <c r="L674" s="59">
        <v>16000</v>
      </c>
      <c r="M674" s="57" t="s">
        <v>2224</v>
      </c>
      <c r="N674" s="57" t="s">
        <v>2227</v>
      </c>
      <c r="O674" s="57" t="s">
        <v>2261</v>
      </c>
      <c r="P674" s="57" t="s">
        <v>2284</v>
      </c>
      <c r="Q674" s="57" t="s">
        <v>1075</v>
      </c>
    </row>
    <row r="675" spans="1:17" x14ac:dyDescent="0.25">
      <c r="A675" s="55" t="s">
        <v>1542</v>
      </c>
      <c r="B675" s="56" t="s">
        <v>2199</v>
      </c>
      <c r="C675" s="57" t="s">
        <v>28</v>
      </c>
      <c r="D675" s="56" t="s">
        <v>1543</v>
      </c>
      <c r="E675" s="57" t="s">
        <v>1545</v>
      </c>
      <c r="F675" s="56">
        <v>1</v>
      </c>
      <c r="G675" s="57" t="s">
        <v>1075</v>
      </c>
      <c r="H675" s="58">
        <v>46204</v>
      </c>
      <c r="I675" s="57" t="s">
        <v>1076</v>
      </c>
      <c r="J675" s="56">
        <v>1</v>
      </c>
      <c r="K675" s="60">
        <v>46204</v>
      </c>
      <c r="L675" s="59">
        <v>800000</v>
      </c>
      <c r="M675" s="57" t="s">
        <v>2224</v>
      </c>
      <c r="N675" s="57" t="s">
        <v>2227</v>
      </c>
      <c r="O675" s="57" t="s">
        <v>2261</v>
      </c>
      <c r="P675" s="57" t="s">
        <v>2284</v>
      </c>
      <c r="Q675" s="57" t="s">
        <v>1075</v>
      </c>
    </row>
    <row r="676" spans="1:17" x14ac:dyDescent="0.25">
      <c r="A676" s="55" t="s">
        <v>1464</v>
      </c>
      <c r="B676" s="56" t="s">
        <v>2199</v>
      </c>
      <c r="C676" s="57" t="s">
        <v>1238</v>
      </c>
      <c r="D676" s="56" t="s">
        <v>1465</v>
      </c>
      <c r="E676" s="57" t="s">
        <v>1293</v>
      </c>
      <c r="F676" s="56">
        <v>1</v>
      </c>
      <c r="G676" s="57" t="s">
        <v>1075</v>
      </c>
      <c r="H676" s="58">
        <v>46023</v>
      </c>
      <c r="I676" s="57" t="s">
        <v>1076</v>
      </c>
      <c r="J676" s="56">
        <v>1</v>
      </c>
      <c r="K676" s="60">
        <v>46023</v>
      </c>
      <c r="L676" s="59">
        <v>1000000</v>
      </c>
      <c r="M676" s="57" t="s">
        <v>2224</v>
      </c>
      <c r="N676" s="57" t="s">
        <v>2227</v>
      </c>
      <c r="O676" s="57" t="s">
        <v>2261</v>
      </c>
      <c r="P676" s="57" t="s">
        <v>2284</v>
      </c>
      <c r="Q676" s="57" t="s">
        <v>1075</v>
      </c>
    </row>
    <row r="677" spans="1:17" x14ac:dyDescent="0.25">
      <c r="A677" s="55" t="s">
        <v>2169</v>
      </c>
      <c r="B677" s="56" t="s">
        <v>2199</v>
      </c>
      <c r="C677" s="57" t="s">
        <v>28</v>
      </c>
      <c r="D677" s="56" t="s">
        <v>2170</v>
      </c>
      <c r="E677" s="57" t="s">
        <v>359</v>
      </c>
      <c r="F677" s="56">
        <v>3</v>
      </c>
      <c r="G677" s="57" t="s">
        <v>2171</v>
      </c>
      <c r="H677" s="58">
        <v>46054</v>
      </c>
      <c r="I677" s="57" t="s">
        <v>2172</v>
      </c>
      <c r="J677" s="56">
        <v>1</v>
      </c>
      <c r="K677" s="60">
        <v>46054</v>
      </c>
      <c r="L677" s="59">
        <v>781840</v>
      </c>
      <c r="M677" s="57" t="s">
        <v>2252</v>
      </c>
      <c r="N677" s="57" t="s">
        <v>2227</v>
      </c>
      <c r="O677" s="57" t="s">
        <v>2269</v>
      </c>
      <c r="P677" s="57" t="s">
        <v>2284</v>
      </c>
      <c r="Q677" s="57" t="s">
        <v>2171</v>
      </c>
    </row>
    <row r="678" spans="1:17" x14ac:dyDescent="0.25">
      <c r="A678" s="55" t="s">
        <v>2169</v>
      </c>
      <c r="B678" s="56" t="s">
        <v>2199</v>
      </c>
      <c r="C678" s="57" t="s">
        <v>28</v>
      </c>
      <c r="D678" s="56" t="s">
        <v>2170</v>
      </c>
      <c r="E678" s="57" t="s">
        <v>786</v>
      </c>
      <c r="F678" s="56">
        <v>3</v>
      </c>
      <c r="G678" s="57" t="s">
        <v>2171</v>
      </c>
      <c r="H678" s="58">
        <v>46054</v>
      </c>
      <c r="I678" s="57" t="s">
        <v>2172</v>
      </c>
      <c r="J678" s="56">
        <v>1</v>
      </c>
      <c r="K678" s="60">
        <v>46054</v>
      </c>
      <c r="L678" s="59">
        <v>579758</v>
      </c>
      <c r="M678" s="57" t="s">
        <v>2252</v>
      </c>
      <c r="N678" s="57" t="s">
        <v>2227</v>
      </c>
      <c r="O678" s="57" t="s">
        <v>2269</v>
      </c>
      <c r="P678" s="57" t="s">
        <v>2284</v>
      </c>
      <c r="Q678" s="57" t="s">
        <v>2171</v>
      </c>
    </row>
    <row r="679" spans="1:17" x14ac:dyDescent="0.25">
      <c r="A679" s="55" t="s">
        <v>2169</v>
      </c>
      <c r="B679" s="56" t="s">
        <v>2199</v>
      </c>
      <c r="C679" s="57" t="s">
        <v>28</v>
      </c>
      <c r="D679" s="56" t="s">
        <v>2170</v>
      </c>
      <c r="E679" s="57" t="s">
        <v>855</v>
      </c>
      <c r="F679" s="56">
        <v>3</v>
      </c>
      <c r="G679" s="57" t="s">
        <v>2171</v>
      </c>
      <c r="H679" s="58">
        <v>46054</v>
      </c>
      <c r="I679" s="57" t="s">
        <v>2172</v>
      </c>
      <c r="J679" s="56">
        <v>1</v>
      </c>
      <c r="K679" s="60">
        <v>46054</v>
      </c>
      <c r="L679" s="59">
        <v>165750</v>
      </c>
      <c r="M679" s="57" t="s">
        <v>2252</v>
      </c>
      <c r="N679" s="57" t="s">
        <v>2227</v>
      </c>
      <c r="O679" s="57" t="s">
        <v>2269</v>
      </c>
      <c r="P679" s="57" t="s">
        <v>2284</v>
      </c>
      <c r="Q679" s="57" t="s">
        <v>2171</v>
      </c>
    </row>
    <row r="680" spans="1:17" x14ac:dyDescent="0.25">
      <c r="A680" s="55" t="s">
        <v>1638</v>
      </c>
      <c r="B680" s="56" t="s">
        <v>2199</v>
      </c>
      <c r="C680" s="57" t="s">
        <v>28</v>
      </c>
      <c r="D680" s="56" t="s">
        <v>1639</v>
      </c>
      <c r="E680" s="57" t="s">
        <v>1641</v>
      </c>
      <c r="F680" s="56">
        <v>1</v>
      </c>
      <c r="G680" s="57" t="s">
        <v>1642</v>
      </c>
      <c r="H680" s="58">
        <v>46082</v>
      </c>
      <c r="I680" s="57" t="s">
        <v>1643</v>
      </c>
      <c r="J680" s="56">
        <v>1</v>
      </c>
      <c r="K680" s="60">
        <v>46082</v>
      </c>
      <c r="L680" s="59">
        <v>405000</v>
      </c>
      <c r="M680" s="57" t="s">
        <v>2253</v>
      </c>
      <c r="N680" s="57" t="s">
        <v>2234</v>
      </c>
      <c r="O680" s="57" t="s">
        <v>2258</v>
      </c>
      <c r="P680" s="57" t="s">
        <v>2284</v>
      </c>
      <c r="Q680" s="57" t="s">
        <v>1642</v>
      </c>
    </row>
    <row r="681" spans="1:17" x14ac:dyDescent="0.25">
      <c r="A681" s="55" t="s">
        <v>1684</v>
      </c>
      <c r="B681" s="56" t="s">
        <v>2199</v>
      </c>
      <c r="C681" s="57" t="s">
        <v>28</v>
      </c>
      <c r="D681" s="56" t="s">
        <v>1685</v>
      </c>
      <c r="E681" s="57" t="s">
        <v>639</v>
      </c>
      <c r="F681" s="56">
        <v>1</v>
      </c>
      <c r="G681" s="57" t="s">
        <v>1642</v>
      </c>
      <c r="H681" s="58">
        <v>46054</v>
      </c>
      <c r="I681" s="57" t="s">
        <v>1643</v>
      </c>
      <c r="J681" s="56">
        <v>1</v>
      </c>
      <c r="K681" s="60">
        <v>46054</v>
      </c>
      <c r="L681" s="59">
        <v>200000</v>
      </c>
      <c r="M681" s="57" t="s">
        <v>2253</v>
      </c>
      <c r="N681" s="57" t="s">
        <v>2234</v>
      </c>
      <c r="O681" s="57" t="s">
        <v>2258</v>
      </c>
      <c r="P681" s="57" t="s">
        <v>2284</v>
      </c>
      <c r="Q681" s="57" t="s">
        <v>1642</v>
      </c>
    </row>
    <row r="682" spans="1:17" x14ac:dyDescent="0.25">
      <c r="A682" s="55" t="s">
        <v>1767</v>
      </c>
      <c r="B682" s="56" t="s">
        <v>2199</v>
      </c>
      <c r="C682" s="57" t="s">
        <v>28</v>
      </c>
      <c r="D682" s="56" t="s">
        <v>1768</v>
      </c>
      <c r="E682" s="57" t="s">
        <v>1599</v>
      </c>
      <c r="F682" s="56">
        <v>2</v>
      </c>
      <c r="G682" s="57" t="s">
        <v>1642</v>
      </c>
      <c r="H682" s="58">
        <v>46082</v>
      </c>
      <c r="I682" s="57" t="s">
        <v>1643</v>
      </c>
      <c r="J682" s="56">
        <v>1</v>
      </c>
      <c r="K682" s="60">
        <v>46082</v>
      </c>
      <c r="L682" s="59">
        <v>130000</v>
      </c>
      <c r="M682" s="57" t="s">
        <v>2253</v>
      </c>
      <c r="N682" s="57" t="s">
        <v>2234</v>
      </c>
      <c r="O682" s="57" t="s">
        <v>2258</v>
      </c>
      <c r="P682" s="57" t="s">
        <v>2284</v>
      </c>
      <c r="Q682" s="57" t="s">
        <v>1642</v>
      </c>
    </row>
    <row r="683" spans="1:17" x14ac:dyDescent="0.25">
      <c r="A683" s="55" t="s">
        <v>1767</v>
      </c>
      <c r="B683" s="56" t="s">
        <v>2199</v>
      </c>
      <c r="C683" s="57" t="s">
        <v>28</v>
      </c>
      <c r="D683" s="56" t="s">
        <v>1768</v>
      </c>
      <c r="E683" s="57" t="s">
        <v>631</v>
      </c>
      <c r="F683" s="56">
        <v>2</v>
      </c>
      <c r="G683" s="57" t="s">
        <v>1642</v>
      </c>
      <c r="H683" s="58">
        <v>46082</v>
      </c>
      <c r="I683" s="57" t="s">
        <v>1643</v>
      </c>
      <c r="J683" s="56">
        <v>1</v>
      </c>
      <c r="K683" s="60">
        <v>46082</v>
      </c>
      <c r="L683" s="59">
        <v>150000</v>
      </c>
      <c r="M683" s="57" t="s">
        <v>2253</v>
      </c>
      <c r="N683" s="57" t="s">
        <v>2234</v>
      </c>
      <c r="O683" s="57" t="s">
        <v>2258</v>
      </c>
      <c r="P683" s="57" t="s">
        <v>2284</v>
      </c>
      <c r="Q683" s="57" t="s">
        <v>1642</v>
      </c>
    </row>
    <row r="684" spans="1:17" x14ac:dyDescent="0.25">
      <c r="A684" s="55" t="s">
        <v>1787</v>
      </c>
      <c r="B684" s="56" t="s">
        <v>2199</v>
      </c>
      <c r="C684" s="57" t="s">
        <v>28</v>
      </c>
      <c r="D684" s="56" t="s">
        <v>1788</v>
      </c>
      <c r="E684" s="57" t="s">
        <v>359</v>
      </c>
      <c r="F684" s="56">
        <v>3</v>
      </c>
      <c r="G684" s="57" t="s">
        <v>1642</v>
      </c>
      <c r="H684" s="58">
        <v>46266</v>
      </c>
      <c r="I684" s="57" t="s">
        <v>1643</v>
      </c>
      <c r="J684" s="56">
        <v>1</v>
      </c>
      <c r="K684" s="60">
        <v>46266</v>
      </c>
      <c r="L684" s="59">
        <v>20500</v>
      </c>
      <c r="M684" s="57" t="s">
        <v>2253</v>
      </c>
      <c r="N684" s="57" t="s">
        <v>2234</v>
      </c>
      <c r="O684" s="57" t="s">
        <v>2258</v>
      </c>
      <c r="P684" s="57" t="s">
        <v>2284</v>
      </c>
      <c r="Q684" s="57" t="s">
        <v>1642</v>
      </c>
    </row>
    <row r="685" spans="1:17" x14ac:dyDescent="0.25">
      <c r="A685" s="55" t="s">
        <v>1787</v>
      </c>
      <c r="B685" s="56" t="s">
        <v>2199</v>
      </c>
      <c r="C685" s="57" t="s">
        <v>28</v>
      </c>
      <c r="D685" s="56" t="s">
        <v>1788</v>
      </c>
      <c r="E685" s="57" t="s">
        <v>486</v>
      </c>
      <c r="F685" s="56">
        <v>3</v>
      </c>
      <c r="G685" s="57" t="s">
        <v>1642</v>
      </c>
      <c r="H685" s="58">
        <v>46266</v>
      </c>
      <c r="I685" s="57" t="s">
        <v>1643</v>
      </c>
      <c r="J685" s="56">
        <v>1</v>
      </c>
      <c r="K685" s="60">
        <v>46266</v>
      </c>
      <c r="L685" s="59">
        <v>84048</v>
      </c>
      <c r="M685" s="57" t="s">
        <v>2253</v>
      </c>
      <c r="N685" s="57" t="s">
        <v>2234</v>
      </c>
      <c r="O685" s="57" t="s">
        <v>2258</v>
      </c>
      <c r="P685" s="57" t="s">
        <v>2284</v>
      </c>
      <c r="Q685" s="57" t="s">
        <v>1642</v>
      </c>
    </row>
    <row r="686" spans="1:17" x14ac:dyDescent="0.25">
      <c r="A686" s="55" t="s">
        <v>1787</v>
      </c>
      <c r="B686" s="56" t="s">
        <v>2199</v>
      </c>
      <c r="C686" s="57" t="s">
        <v>28</v>
      </c>
      <c r="D686" s="56" t="s">
        <v>1788</v>
      </c>
      <c r="E686" s="57" t="s">
        <v>855</v>
      </c>
      <c r="F686" s="56">
        <v>3</v>
      </c>
      <c r="G686" s="57" t="s">
        <v>1642</v>
      </c>
      <c r="H686" s="58">
        <v>46266</v>
      </c>
      <c r="I686" s="57" t="s">
        <v>1643</v>
      </c>
      <c r="J686" s="56">
        <v>1</v>
      </c>
      <c r="K686" s="60">
        <v>46266</v>
      </c>
      <c r="L686" s="59">
        <v>14000</v>
      </c>
      <c r="M686" s="57" t="s">
        <v>2253</v>
      </c>
      <c r="N686" s="57" t="s">
        <v>2234</v>
      </c>
      <c r="O686" s="57" t="s">
        <v>2258</v>
      </c>
      <c r="P686" s="57" t="s">
        <v>2284</v>
      </c>
      <c r="Q686" s="57" t="s">
        <v>1642</v>
      </c>
    </row>
    <row r="687" spans="1:17" x14ac:dyDescent="0.25">
      <c r="A687" s="55" t="s">
        <v>1815</v>
      </c>
      <c r="B687" s="56" t="s">
        <v>2199</v>
      </c>
      <c r="C687" s="57" t="s">
        <v>28</v>
      </c>
      <c r="D687" s="56" t="s">
        <v>1816</v>
      </c>
      <c r="E687" s="57" t="s">
        <v>1179</v>
      </c>
      <c r="F687" s="56">
        <v>1</v>
      </c>
      <c r="G687" s="57" t="s">
        <v>1642</v>
      </c>
      <c r="H687" s="58">
        <v>46113</v>
      </c>
      <c r="I687" s="57" t="s">
        <v>1643</v>
      </c>
      <c r="J687" s="56">
        <v>1</v>
      </c>
      <c r="K687" s="60">
        <v>46113</v>
      </c>
      <c r="L687" s="59">
        <v>450008</v>
      </c>
      <c r="M687" s="57" t="s">
        <v>2253</v>
      </c>
      <c r="N687" s="57" t="s">
        <v>2234</v>
      </c>
      <c r="O687" s="57" t="s">
        <v>2258</v>
      </c>
      <c r="P687" s="57" t="s">
        <v>2284</v>
      </c>
      <c r="Q687" s="57" t="s">
        <v>1642</v>
      </c>
    </row>
    <row r="688" spans="1:17" x14ac:dyDescent="0.25">
      <c r="A688" s="55" t="s">
        <v>1832</v>
      </c>
      <c r="B688" s="56" t="s">
        <v>2199</v>
      </c>
      <c r="C688" s="57" t="s">
        <v>28</v>
      </c>
      <c r="D688" s="56" t="s">
        <v>1833</v>
      </c>
      <c r="E688" s="57" t="s">
        <v>815</v>
      </c>
      <c r="F688" s="56">
        <v>2</v>
      </c>
      <c r="G688" s="57" t="s">
        <v>1642</v>
      </c>
      <c r="H688" s="58">
        <v>46174</v>
      </c>
      <c r="I688" s="57" t="s">
        <v>1643</v>
      </c>
      <c r="J688" s="56">
        <v>1</v>
      </c>
      <c r="K688" s="60">
        <v>46174</v>
      </c>
      <c r="L688" s="59">
        <v>600000</v>
      </c>
      <c r="M688" s="57" t="s">
        <v>2253</v>
      </c>
      <c r="N688" s="57" t="s">
        <v>2234</v>
      </c>
      <c r="O688" s="57" t="s">
        <v>2258</v>
      </c>
      <c r="P688" s="57" t="s">
        <v>2284</v>
      </c>
      <c r="Q688" s="57" t="s">
        <v>1642</v>
      </c>
    </row>
    <row r="689" spans="1:17" x14ac:dyDescent="0.25">
      <c r="A689" s="55" t="s">
        <v>1832</v>
      </c>
      <c r="B689" s="56" t="s">
        <v>2199</v>
      </c>
      <c r="C689" s="57" t="s">
        <v>28</v>
      </c>
      <c r="D689" s="56" t="s">
        <v>1833</v>
      </c>
      <c r="E689" s="57" t="s">
        <v>486</v>
      </c>
      <c r="F689" s="56">
        <v>2</v>
      </c>
      <c r="G689" s="57" t="s">
        <v>1642</v>
      </c>
      <c r="H689" s="58">
        <v>46174</v>
      </c>
      <c r="I689" s="57" t="s">
        <v>1643</v>
      </c>
      <c r="J689" s="56">
        <v>1</v>
      </c>
      <c r="K689" s="60">
        <v>46174</v>
      </c>
      <c r="L689" s="59">
        <v>400000</v>
      </c>
      <c r="M689" s="57" t="s">
        <v>2253</v>
      </c>
      <c r="N689" s="57" t="s">
        <v>2234</v>
      </c>
      <c r="O689" s="57" t="s">
        <v>2258</v>
      </c>
      <c r="P689" s="57" t="s">
        <v>2284</v>
      </c>
      <c r="Q689" s="57" t="s">
        <v>1642</v>
      </c>
    </row>
    <row r="690" spans="1:17" x14ac:dyDescent="0.25">
      <c r="A690" s="55" t="s">
        <v>1835</v>
      </c>
      <c r="B690" s="56" t="s">
        <v>2199</v>
      </c>
      <c r="C690" s="57" t="s">
        <v>28</v>
      </c>
      <c r="D690" s="56" t="s">
        <v>1836</v>
      </c>
      <c r="E690" s="57" t="s">
        <v>1838</v>
      </c>
      <c r="F690" s="56">
        <v>1</v>
      </c>
      <c r="G690" s="57" t="s">
        <v>1642</v>
      </c>
      <c r="H690" s="58">
        <v>46235</v>
      </c>
      <c r="I690" s="57" t="s">
        <v>1643</v>
      </c>
      <c r="J690" s="56">
        <v>1</v>
      </c>
      <c r="K690" s="60">
        <v>46235</v>
      </c>
      <c r="L690" s="59">
        <v>440040</v>
      </c>
      <c r="M690" s="57" t="s">
        <v>2253</v>
      </c>
      <c r="N690" s="57" t="s">
        <v>2234</v>
      </c>
      <c r="O690" s="57" t="s">
        <v>2258</v>
      </c>
      <c r="P690" s="57" t="s">
        <v>2284</v>
      </c>
      <c r="Q690" s="57" t="s">
        <v>1642</v>
      </c>
    </row>
    <row r="691" spans="1:17" x14ac:dyDescent="0.25">
      <c r="A691" s="55" t="s">
        <v>2056</v>
      </c>
      <c r="B691" s="56" t="s">
        <v>2199</v>
      </c>
      <c r="C691" s="57" t="s">
        <v>28</v>
      </c>
      <c r="D691" s="56" t="s">
        <v>2057</v>
      </c>
      <c r="E691" s="57" t="s">
        <v>2059</v>
      </c>
      <c r="F691" s="56">
        <v>5</v>
      </c>
      <c r="G691" s="57" t="s">
        <v>1642</v>
      </c>
      <c r="H691" s="58">
        <v>46082</v>
      </c>
      <c r="I691" s="57" t="s">
        <v>1643</v>
      </c>
      <c r="J691" s="56">
        <v>1</v>
      </c>
      <c r="K691" s="60">
        <v>46113</v>
      </c>
      <c r="L691" s="59">
        <v>45000</v>
      </c>
      <c r="M691" s="57" t="s">
        <v>2253</v>
      </c>
      <c r="N691" s="57" t="s">
        <v>2234</v>
      </c>
      <c r="O691" s="57" t="s">
        <v>2258</v>
      </c>
      <c r="P691" s="57" t="s">
        <v>2284</v>
      </c>
      <c r="Q691" s="57" t="s">
        <v>1642</v>
      </c>
    </row>
    <row r="692" spans="1:17" x14ac:dyDescent="0.25">
      <c r="A692" s="55" t="s">
        <v>2056</v>
      </c>
      <c r="B692" s="56" t="s">
        <v>2199</v>
      </c>
      <c r="C692" s="57" t="s">
        <v>28</v>
      </c>
      <c r="D692" s="56" t="s">
        <v>2057</v>
      </c>
      <c r="E692" s="57" t="s">
        <v>2062</v>
      </c>
      <c r="F692" s="56">
        <v>5</v>
      </c>
      <c r="G692" s="57" t="s">
        <v>1642</v>
      </c>
      <c r="H692" s="58">
        <v>46174</v>
      </c>
      <c r="I692" s="57" t="s">
        <v>1643</v>
      </c>
      <c r="J692" s="56">
        <v>1</v>
      </c>
      <c r="K692" s="60">
        <v>46204</v>
      </c>
      <c r="L692" s="59">
        <v>175014</v>
      </c>
      <c r="M692" s="57" t="s">
        <v>2253</v>
      </c>
      <c r="N692" s="57" t="s">
        <v>2234</v>
      </c>
      <c r="O692" s="57" t="s">
        <v>2258</v>
      </c>
      <c r="P692" s="57" t="s">
        <v>2284</v>
      </c>
      <c r="Q692" s="57" t="s">
        <v>1642</v>
      </c>
    </row>
    <row r="693" spans="1:17" x14ac:dyDescent="0.25">
      <c r="A693" s="55" t="s">
        <v>2056</v>
      </c>
      <c r="B693" s="56" t="s">
        <v>2199</v>
      </c>
      <c r="C693" s="57" t="s">
        <v>28</v>
      </c>
      <c r="D693" s="56" t="s">
        <v>2057</v>
      </c>
      <c r="E693" s="57" t="s">
        <v>2061</v>
      </c>
      <c r="F693" s="56">
        <v>5</v>
      </c>
      <c r="G693" s="57" t="s">
        <v>1642</v>
      </c>
      <c r="H693" s="58">
        <v>46082</v>
      </c>
      <c r="I693" s="57" t="s">
        <v>1643</v>
      </c>
      <c r="J693" s="56">
        <v>1</v>
      </c>
      <c r="K693" s="60">
        <v>46113</v>
      </c>
      <c r="L693" s="59">
        <v>123000</v>
      </c>
      <c r="M693" s="57" t="s">
        <v>2253</v>
      </c>
      <c r="N693" s="57" t="s">
        <v>2234</v>
      </c>
      <c r="O693" s="57" t="s">
        <v>2258</v>
      </c>
      <c r="P693" s="57" t="s">
        <v>2284</v>
      </c>
      <c r="Q693" s="57" t="s">
        <v>1642</v>
      </c>
    </row>
    <row r="694" spans="1:17" x14ac:dyDescent="0.25">
      <c r="A694" s="55" t="s">
        <v>2056</v>
      </c>
      <c r="B694" s="56" t="s">
        <v>2199</v>
      </c>
      <c r="C694" s="57" t="s">
        <v>28</v>
      </c>
      <c r="D694" s="56" t="s">
        <v>2057</v>
      </c>
      <c r="E694" s="57" t="s">
        <v>1137</v>
      </c>
      <c r="F694" s="56">
        <v>5</v>
      </c>
      <c r="G694" s="57" t="s">
        <v>1642</v>
      </c>
      <c r="H694" s="58">
        <v>46082</v>
      </c>
      <c r="I694" s="57" t="s">
        <v>1643</v>
      </c>
      <c r="J694" s="56">
        <v>1</v>
      </c>
      <c r="K694" s="60">
        <v>46113</v>
      </c>
      <c r="L694" s="59">
        <v>40000</v>
      </c>
      <c r="M694" s="57" t="s">
        <v>2253</v>
      </c>
      <c r="N694" s="57" t="s">
        <v>2234</v>
      </c>
      <c r="O694" s="57" t="s">
        <v>2258</v>
      </c>
      <c r="P694" s="57" t="s">
        <v>2284</v>
      </c>
      <c r="Q694" s="57" t="s">
        <v>1642</v>
      </c>
    </row>
    <row r="695" spans="1:17" x14ac:dyDescent="0.25">
      <c r="A695" s="55" t="s">
        <v>2056</v>
      </c>
      <c r="B695" s="56" t="s">
        <v>2199</v>
      </c>
      <c r="C695" s="57" t="s">
        <v>28</v>
      </c>
      <c r="D695" s="56" t="s">
        <v>2057</v>
      </c>
      <c r="E695" s="57" t="s">
        <v>1973</v>
      </c>
      <c r="F695" s="56">
        <v>5</v>
      </c>
      <c r="G695" s="57" t="s">
        <v>1642</v>
      </c>
      <c r="H695" s="58">
        <v>46082</v>
      </c>
      <c r="I695" s="57" t="s">
        <v>1643</v>
      </c>
      <c r="J695" s="56">
        <v>1</v>
      </c>
      <c r="K695" s="60">
        <v>46113</v>
      </c>
      <c r="L695" s="59">
        <v>500024</v>
      </c>
      <c r="M695" s="57" t="s">
        <v>2253</v>
      </c>
      <c r="N695" s="57" t="s">
        <v>2234</v>
      </c>
      <c r="O695" s="57" t="s">
        <v>2258</v>
      </c>
      <c r="P695" s="57" t="s">
        <v>2284</v>
      </c>
      <c r="Q695" s="57" t="s">
        <v>1642</v>
      </c>
    </row>
    <row r="696" spans="1:17" x14ac:dyDescent="0.25">
      <c r="A696" s="55" t="s">
        <v>2070</v>
      </c>
      <c r="B696" s="56" t="s">
        <v>2199</v>
      </c>
      <c r="C696" s="57" t="s">
        <v>28</v>
      </c>
      <c r="D696" s="56" t="s">
        <v>2071</v>
      </c>
      <c r="E696" s="57" t="s">
        <v>2073</v>
      </c>
      <c r="F696" s="56">
        <v>1</v>
      </c>
      <c r="G696" s="57" t="s">
        <v>1642</v>
      </c>
      <c r="H696" s="58">
        <v>46113</v>
      </c>
      <c r="I696" s="57" t="s">
        <v>1643</v>
      </c>
      <c r="J696" s="56">
        <v>1</v>
      </c>
      <c r="K696" s="60">
        <v>46143</v>
      </c>
      <c r="L696" s="59">
        <v>70000</v>
      </c>
      <c r="M696" s="57" t="s">
        <v>2253</v>
      </c>
      <c r="N696" s="57" t="s">
        <v>2234</v>
      </c>
      <c r="O696" s="57" t="s">
        <v>2258</v>
      </c>
      <c r="P696" s="57" t="s">
        <v>2284</v>
      </c>
      <c r="Q696" s="57" t="s">
        <v>1642</v>
      </c>
    </row>
    <row r="697" spans="1:17" x14ac:dyDescent="0.25">
      <c r="A697" s="55" t="s">
        <v>399</v>
      </c>
      <c r="B697" s="56" t="s">
        <v>2196</v>
      </c>
      <c r="C697" s="57" t="s">
        <v>28</v>
      </c>
      <c r="D697" s="56" t="s">
        <v>400</v>
      </c>
      <c r="E697" s="57" t="s">
        <v>326</v>
      </c>
      <c r="F697" s="56">
        <v>1</v>
      </c>
      <c r="G697" s="57" t="s">
        <v>402</v>
      </c>
      <c r="H697" s="58">
        <v>45870</v>
      </c>
      <c r="I697" s="57" t="s">
        <v>320</v>
      </c>
      <c r="J697" s="56">
        <v>12</v>
      </c>
      <c r="K697" s="57" t="s">
        <v>318</v>
      </c>
      <c r="L697" s="59">
        <v>28875000</v>
      </c>
      <c r="M697" s="57" t="s">
        <v>2253</v>
      </c>
      <c r="N697" s="57" t="s">
        <v>2234</v>
      </c>
      <c r="O697" s="57" t="s">
        <v>2258</v>
      </c>
      <c r="P697" s="57" t="s">
        <v>2284</v>
      </c>
      <c r="Q697" s="57" t="s">
        <v>1642</v>
      </c>
    </row>
    <row r="698" spans="1:17" x14ac:dyDescent="0.25">
      <c r="A698" s="55" t="s">
        <v>860</v>
      </c>
      <c r="B698" s="56" t="s">
        <v>2199</v>
      </c>
      <c r="C698" s="57" t="s">
        <v>28</v>
      </c>
      <c r="D698" s="56" t="s">
        <v>861</v>
      </c>
      <c r="E698" s="57" t="s">
        <v>863</v>
      </c>
      <c r="F698" s="56">
        <v>1</v>
      </c>
      <c r="G698" s="57" t="s">
        <v>864</v>
      </c>
      <c r="H698" s="58">
        <v>46023</v>
      </c>
      <c r="I698" s="57" t="s">
        <v>865</v>
      </c>
      <c r="J698" s="56">
        <v>1</v>
      </c>
      <c r="K698" s="60">
        <v>46023</v>
      </c>
      <c r="L698" s="59">
        <v>370107</v>
      </c>
      <c r="M698" s="57" t="s">
        <v>2246</v>
      </c>
      <c r="N698" s="57" t="s">
        <v>2256</v>
      </c>
      <c r="O698" s="57" t="s">
        <v>2270</v>
      </c>
      <c r="P698" s="57" t="s">
        <v>2284</v>
      </c>
      <c r="Q698" s="57" t="s">
        <v>864</v>
      </c>
    </row>
    <row r="699" spans="1:17" x14ac:dyDescent="0.25">
      <c r="A699" s="55" t="s">
        <v>1604</v>
      </c>
      <c r="B699" s="56" t="s">
        <v>2199</v>
      </c>
      <c r="C699" s="57" t="s">
        <v>28</v>
      </c>
      <c r="D699" s="56" t="s">
        <v>1605</v>
      </c>
      <c r="E699" s="57" t="s">
        <v>1607</v>
      </c>
      <c r="F699" s="56">
        <v>2</v>
      </c>
      <c r="G699" s="57" t="s">
        <v>1608</v>
      </c>
      <c r="H699" s="58">
        <v>46023</v>
      </c>
      <c r="I699" s="57" t="s">
        <v>361</v>
      </c>
      <c r="J699" s="56">
        <v>1</v>
      </c>
      <c r="K699" s="60">
        <v>46023</v>
      </c>
      <c r="L699" s="59">
        <v>360000</v>
      </c>
      <c r="M699" s="57" t="s">
        <v>2254</v>
      </c>
      <c r="N699" s="57" t="s">
        <v>2234</v>
      </c>
      <c r="O699" s="57" t="s">
        <v>2258</v>
      </c>
      <c r="P699" s="57" t="s">
        <v>2284</v>
      </c>
      <c r="Q699" s="57" t="s">
        <v>1608</v>
      </c>
    </row>
    <row r="700" spans="1:17" x14ac:dyDescent="0.25">
      <c r="A700" s="55" t="s">
        <v>1604</v>
      </c>
      <c r="B700" s="56" t="s">
        <v>2199</v>
      </c>
      <c r="C700" s="57" t="s">
        <v>28</v>
      </c>
      <c r="D700" s="56" t="s">
        <v>1605</v>
      </c>
      <c r="E700" s="57" t="s">
        <v>1609</v>
      </c>
      <c r="F700" s="56">
        <v>2</v>
      </c>
      <c r="G700" s="57" t="s">
        <v>1608</v>
      </c>
      <c r="H700" s="58">
        <v>46023</v>
      </c>
      <c r="I700" s="57" t="s">
        <v>361</v>
      </c>
      <c r="J700" s="56">
        <v>1</v>
      </c>
      <c r="K700" s="60">
        <v>46023</v>
      </c>
      <c r="L700" s="59">
        <v>800000</v>
      </c>
      <c r="M700" s="57" t="s">
        <v>2254</v>
      </c>
      <c r="N700" s="57" t="s">
        <v>2234</v>
      </c>
      <c r="O700" s="57" t="s">
        <v>2258</v>
      </c>
      <c r="P700" s="57" t="s">
        <v>2284</v>
      </c>
      <c r="Q700" s="57" t="s">
        <v>1608</v>
      </c>
    </row>
    <row r="701" spans="1:17" x14ac:dyDescent="0.25">
      <c r="A701" s="55" t="s">
        <v>1620</v>
      </c>
      <c r="B701" s="56" t="s">
        <v>2199</v>
      </c>
      <c r="C701" s="57" t="s">
        <v>28</v>
      </c>
      <c r="D701" s="56" t="s">
        <v>1621</v>
      </c>
      <c r="E701" s="57" t="s">
        <v>1623</v>
      </c>
      <c r="F701" s="56">
        <v>1</v>
      </c>
      <c r="G701" s="57" t="s">
        <v>1608</v>
      </c>
      <c r="H701" s="58">
        <v>46023</v>
      </c>
      <c r="I701" s="57" t="s">
        <v>361</v>
      </c>
      <c r="J701" s="56">
        <v>1</v>
      </c>
      <c r="K701" s="60">
        <v>46023</v>
      </c>
      <c r="L701" s="59">
        <v>600000</v>
      </c>
      <c r="M701" s="57" t="s">
        <v>2254</v>
      </c>
      <c r="N701" s="57" t="s">
        <v>2234</v>
      </c>
      <c r="O701" s="57" t="s">
        <v>2258</v>
      </c>
      <c r="P701" s="57" t="s">
        <v>2284</v>
      </c>
      <c r="Q701" s="57" t="s">
        <v>1608</v>
      </c>
    </row>
    <row r="702" spans="1:17" x14ac:dyDescent="0.25">
      <c r="A702" s="55" t="s">
        <v>1624</v>
      </c>
      <c r="B702" s="56" t="s">
        <v>2199</v>
      </c>
      <c r="C702" s="57" t="s">
        <v>1238</v>
      </c>
      <c r="D702" s="56" t="s">
        <v>1621</v>
      </c>
      <c r="E702" s="57" t="s">
        <v>1625</v>
      </c>
      <c r="F702" s="56">
        <v>1</v>
      </c>
      <c r="G702" s="57" t="s">
        <v>1608</v>
      </c>
      <c r="H702" s="58">
        <v>46023</v>
      </c>
      <c r="I702" s="57" t="s">
        <v>361</v>
      </c>
      <c r="J702" s="56">
        <v>1</v>
      </c>
      <c r="K702" s="60">
        <v>46023</v>
      </c>
      <c r="L702" s="59">
        <v>780000</v>
      </c>
      <c r="M702" s="57" t="s">
        <v>2254</v>
      </c>
      <c r="N702" s="57" t="s">
        <v>2234</v>
      </c>
      <c r="O702" s="57" t="s">
        <v>2258</v>
      </c>
      <c r="P702" s="57" t="s">
        <v>2284</v>
      </c>
      <c r="Q702" s="57" t="s">
        <v>1608</v>
      </c>
    </row>
    <row r="703" spans="1:17" x14ac:dyDescent="0.25">
      <c r="A703" s="55" t="s">
        <v>389</v>
      </c>
      <c r="B703" s="56" t="s">
        <v>2196</v>
      </c>
      <c r="C703" s="57" t="s">
        <v>28</v>
      </c>
      <c r="D703" s="56" t="s">
        <v>390</v>
      </c>
      <c r="E703" s="57" t="s">
        <v>326</v>
      </c>
      <c r="F703" s="56">
        <v>1</v>
      </c>
      <c r="G703" s="57" t="s">
        <v>378</v>
      </c>
      <c r="H703" s="58">
        <v>45870</v>
      </c>
      <c r="I703" s="57" t="s">
        <v>361</v>
      </c>
      <c r="J703" s="56">
        <v>12</v>
      </c>
      <c r="K703" s="57" t="s">
        <v>318</v>
      </c>
      <c r="L703" s="59">
        <v>16500000</v>
      </c>
      <c r="M703" s="57" t="s">
        <v>2254</v>
      </c>
      <c r="N703" s="57" t="s">
        <v>2234</v>
      </c>
      <c r="O703" s="57" t="s">
        <v>2258</v>
      </c>
      <c r="P703" s="57" t="s">
        <v>2284</v>
      </c>
      <c r="Q703" s="57" t="s">
        <v>1608</v>
      </c>
    </row>
    <row r="704" spans="1:17" x14ac:dyDescent="0.25">
      <c r="A704" s="55" t="s">
        <v>375</v>
      </c>
      <c r="B704" s="56" t="s">
        <v>2196</v>
      </c>
      <c r="C704" s="57" t="s">
        <v>374</v>
      </c>
      <c r="D704" s="56" t="s">
        <v>376</v>
      </c>
      <c r="E704" s="57" t="s">
        <v>326</v>
      </c>
      <c r="F704" s="56">
        <v>1</v>
      </c>
      <c r="G704" s="57" t="s">
        <v>378</v>
      </c>
      <c r="H704" s="58">
        <v>45839</v>
      </c>
      <c r="I704" s="57" t="s">
        <v>361</v>
      </c>
      <c r="J704" s="56">
        <v>12</v>
      </c>
      <c r="K704" s="57" t="s">
        <v>318</v>
      </c>
      <c r="L704" s="59">
        <v>17416663</v>
      </c>
      <c r="M704" s="57" t="s">
        <v>2254</v>
      </c>
      <c r="N704" s="57" t="s">
        <v>2234</v>
      </c>
      <c r="O704" s="57" t="s">
        <v>2258</v>
      </c>
      <c r="P704" s="57" t="s">
        <v>2284</v>
      </c>
      <c r="Q704" s="57" t="s">
        <v>1608</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17EB99-4BA3-47DA-9FBA-89E6F68D4753}">
  <dimension ref="A1:AD1360"/>
  <sheetViews>
    <sheetView showGridLines="0" topLeftCell="J1" workbookViewId="0">
      <selection activeCell="D14" sqref="D14"/>
    </sheetView>
  </sheetViews>
  <sheetFormatPr baseColWidth="10" defaultRowHeight="15" x14ac:dyDescent="0.25"/>
  <cols>
    <col min="1" max="1" width="26.42578125" bestFit="1" customWidth="1"/>
    <col min="2" max="2" width="16.85546875" bestFit="1" customWidth="1"/>
    <col min="3" max="3" width="23.7109375" customWidth="1"/>
    <col min="4" max="4" width="16.85546875" bestFit="1" customWidth="1"/>
    <col min="5" max="5" width="19.85546875" customWidth="1"/>
    <col min="6" max="6" width="15.5703125" customWidth="1"/>
    <col min="7" max="7" width="21.85546875" style="3" customWidth="1"/>
    <col min="8" max="9" width="45.7109375" bestFit="1" customWidth="1"/>
    <col min="10" max="10" width="17.5703125" bestFit="1" customWidth="1"/>
    <col min="11" max="11" width="21" customWidth="1"/>
    <col min="12" max="12" width="12" bestFit="1" customWidth="1"/>
    <col min="13" max="13" width="18.85546875" bestFit="1" customWidth="1"/>
    <col min="14" max="14" width="19" style="2" bestFit="1" customWidth="1"/>
    <col min="15" max="15" width="27.7109375" style="2" customWidth="1"/>
    <col min="16" max="16" width="12.42578125" bestFit="1" customWidth="1"/>
    <col min="17" max="17" width="45.7109375" bestFit="1" customWidth="1"/>
    <col min="18" max="18" width="28.85546875" bestFit="1" customWidth="1"/>
    <col min="19" max="19" width="45.7109375" bestFit="1" customWidth="1"/>
    <col min="20" max="20" width="20.7109375" bestFit="1" customWidth="1"/>
    <col min="21" max="21" width="37.140625" bestFit="1" customWidth="1"/>
    <col min="22" max="22" width="22.28515625" bestFit="1" customWidth="1"/>
    <col min="23" max="23" width="26" bestFit="1" customWidth="1"/>
    <col min="24" max="24" width="31.28515625" bestFit="1" customWidth="1"/>
    <col min="25" max="25" width="21.5703125" bestFit="1" customWidth="1"/>
    <col min="26" max="26" width="15" bestFit="1" customWidth="1"/>
    <col min="27" max="27" width="17.42578125" bestFit="1" customWidth="1"/>
    <col min="28" max="28" width="25.42578125" bestFit="1" customWidth="1"/>
    <col min="29" max="29" width="8" bestFit="1" customWidth="1"/>
  </cols>
  <sheetData>
    <row r="1" spans="1:30" x14ac:dyDescent="0.25">
      <c r="A1" s="34" t="s">
        <v>0</v>
      </c>
      <c r="B1" s="34" t="s">
        <v>2</v>
      </c>
      <c r="C1" s="34" t="s">
        <v>1</v>
      </c>
      <c r="D1" s="34" t="s">
        <v>2</v>
      </c>
      <c r="E1" s="34" t="s">
        <v>3</v>
      </c>
      <c r="F1" s="34" t="s">
        <v>4</v>
      </c>
      <c r="G1" s="34" t="s">
        <v>5</v>
      </c>
      <c r="H1" s="34" t="s">
        <v>6</v>
      </c>
      <c r="I1" s="34" t="s">
        <v>7</v>
      </c>
      <c r="J1" s="34" t="s">
        <v>8</v>
      </c>
      <c r="K1" s="34" t="s">
        <v>9</v>
      </c>
      <c r="L1" s="34" t="s">
        <v>10</v>
      </c>
      <c r="M1" s="34" t="s">
        <v>11</v>
      </c>
      <c r="N1" s="35" t="s">
        <v>12</v>
      </c>
      <c r="O1" s="35" t="s">
        <v>13</v>
      </c>
      <c r="P1" s="34" t="s">
        <v>14</v>
      </c>
      <c r="Q1" s="34" t="s">
        <v>15</v>
      </c>
      <c r="R1" s="34" t="s">
        <v>16</v>
      </c>
      <c r="S1" s="34" t="s">
        <v>17</v>
      </c>
      <c r="T1" s="34" t="s">
        <v>18</v>
      </c>
      <c r="U1" s="34" t="s">
        <v>19</v>
      </c>
      <c r="V1" s="34" t="s">
        <v>20</v>
      </c>
      <c r="W1" s="34" t="s">
        <v>21</v>
      </c>
      <c r="X1" s="34" t="s">
        <v>22</v>
      </c>
      <c r="Y1" s="34" t="s">
        <v>23</v>
      </c>
      <c r="Z1" s="34" t="s">
        <v>24</v>
      </c>
      <c r="AA1" s="34" t="s">
        <v>25</v>
      </c>
      <c r="AB1" s="34" t="s">
        <v>26</v>
      </c>
      <c r="AC1" s="34" t="s">
        <v>2197</v>
      </c>
      <c r="AD1" s="34" t="s">
        <v>2213</v>
      </c>
    </row>
    <row r="2" spans="1:30" x14ac:dyDescent="0.25">
      <c r="A2" s="36" t="s">
        <v>27</v>
      </c>
      <c r="B2" s="36" t="s">
        <v>29</v>
      </c>
      <c r="C2" s="36" t="s">
        <v>28</v>
      </c>
      <c r="D2" s="36" t="s">
        <v>29</v>
      </c>
      <c r="E2" s="36" t="s">
        <v>30</v>
      </c>
      <c r="F2" s="36" t="s">
        <v>31</v>
      </c>
      <c r="G2" s="37" t="s">
        <v>32</v>
      </c>
      <c r="H2" s="36" t="s">
        <v>33</v>
      </c>
      <c r="I2" s="36" t="s">
        <v>34</v>
      </c>
      <c r="J2" s="36">
        <v>2</v>
      </c>
      <c r="K2" s="36" t="s">
        <v>35</v>
      </c>
      <c r="L2" s="36">
        <v>1</v>
      </c>
      <c r="M2" s="36">
        <v>1</v>
      </c>
      <c r="N2" s="38">
        <v>90000000</v>
      </c>
      <c r="O2" s="39">
        <v>2500000</v>
      </c>
      <c r="P2" s="36">
        <v>36</v>
      </c>
      <c r="Q2" s="36" t="s">
        <v>36</v>
      </c>
      <c r="R2" s="36" t="s">
        <v>37</v>
      </c>
      <c r="S2" s="36" t="s">
        <v>38</v>
      </c>
      <c r="T2" s="36" t="s">
        <v>39</v>
      </c>
      <c r="U2" s="36" t="s">
        <v>40</v>
      </c>
      <c r="V2" s="40">
        <v>45292</v>
      </c>
      <c r="W2" s="40">
        <v>45478</v>
      </c>
      <c r="X2" s="36">
        <v>54</v>
      </c>
      <c r="Y2" s="36" t="s">
        <v>41</v>
      </c>
      <c r="Z2" s="36">
        <v>1</v>
      </c>
      <c r="AA2" s="36">
        <v>2500000</v>
      </c>
      <c r="AB2" s="40">
        <v>46054</v>
      </c>
      <c r="AC2" s="36" t="s">
        <v>2196</v>
      </c>
      <c r="AD2" s="36" t="str">
        <f>VLOOKUP(D2,Oficial!A:C,3,0)</f>
        <v>Arrastre</v>
      </c>
    </row>
    <row r="3" spans="1:30" x14ac:dyDescent="0.25">
      <c r="A3" s="36" t="s">
        <v>27</v>
      </c>
      <c r="B3" s="36" t="s">
        <v>29</v>
      </c>
      <c r="C3" s="36" t="s">
        <v>28</v>
      </c>
      <c r="D3" s="36" t="s">
        <v>29</v>
      </c>
      <c r="E3" s="36" t="s">
        <v>30</v>
      </c>
      <c r="F3" s="36" t="s">
        <v>31</v>
      </c>
      <c r="G3" s="37" t="s">
        <v>32</v>
      </c>
      <c r="H3" s="36" t="s">
        <v>33</v>
      </c>
      <c r="I3" s="36" t="s">
        <v>34</v>
      </c>
      <c r="J3" s="36">
        <v>2</v>
      </c>
      <c r="K3" s="36" t="s">
        <v>35</v>
      </c>
      <c r="L3" s="36">
        <v>1</v>
      </c>
      <c r="M3" s="36">
        <v>1</v>
      </c>
      <c r="N3" s="38">
        <v>90000000</v>
      </c>
      <c r="O3" s="39">
        <v>2500000</v>
      </c>
      <c r="P3" s="36">
        <v>36</v>
      </c>
      <c r="Q3" s="36" t="s">
        <v>36</v>
      </c>
      <c r="R3" s="36" t="s">
        <v>37</v>
      </c>
      <c r="S3" s="36" t="s">
        <v>38</v>
      </c>
      <c r="T3" s="36" t="s">
        <v>39</v>
      </c>
      <c r="U3" s="36" t="s">
        <v>40</v>
      </c>
      <c r="V3" s="40">
        <v>45292</v>
      </c>
      <c r="W3" s="40">
        <v>45478</v>
      </c>
      <c r="X3" s="36">
        <v>54</v>
      </c>
      <c r="Y3" s="36" t="s">
        <v>41</v>
      </c>
      <c r="Z3" s="36">
        <v>1</v>
      </c>
      <c r="AA3" s="36">
        <v>2500000</v>
      </c>
      <c r="AB3" s="40">
        <v>46113</v>
      </c>
      <c r="AC3" s="36" t="s">
        <v>2196</v>
      </c>
      <c r="AD3" s="36" t="str">
        <f>VLOOKUP(D3,Oficial!A:C,3,0)</f>
        <v>Arrastre</v>
      </c>
    </row>
    <row r="4" spans="1:30" x14ac:dyDescent="0.25">
      <c r="A4" s="36" t="s">
        <v>27</v>
      </c>
      <c r="B4" s="36" t="s">
        <v>29</v>
      </c>
      <c r="C4" s="36" t="s">
        <v>28</v>
      </c>
      <c r="D4" s="36" t="s">
        <v>29</v>
      </c>
      <c r="E4" s="36" t="s">
        <v>30</v>
      </c>
      <c r="F4" s="36" t="s">
        <v>31</v>
      </c>
      <c r="G4" s="37" t="s">
        <v>32</v>
      </c>
      <c r="H4" s="36" t="s">
        <v>33</v>
      </c>
      <c r="I4" s="36" t="s">
        <v>34</v>
      </c>
      <c r="J4" s="36">
        <v>2</v>
      </c>
      <c r="K4" s="36" t="s">
        <v>35</v>
      </c>
      <c r="L4" s="36">
        <v>1</v>
      </c>
      <c r="M4" s="36">
        <v>1</v>
      </c>
      <c r="N4" s="38">
        <v>90000000</v>
      </c>
      <c r="O4" s="39">
        <v>2500000</v>
      </c>
      <c r="P4" s="36">
        <v>36</v>
      </c>
      <c r="Q4" s="36" t="s">
        <v>36</v>
      </c>
      <c r="R4" s="36" t="s">
        <v>37</v>
      </c>
      <c r="S4" s="36" t="s">
        <v>38</v>
      </c>
      <c r="T4" s="36" t="s">
        <v>39</v>
      </c>
      <c r="U4" s="36" t="s">
        <v>40</v>
      </c>
      <c r="V4" s="40">
        <v>45292</v>
      </c>
      <c r="W4" s="40">
        <v>45478</v>
      </c>
      <c r="X4" s="36">
        <v>54</v>
      </c>
      <c r="Y4" s="36" t="s">
        <v>42</v>
      </c>
      <c r="Z4" s="36">
        <v>1</v>
      </c>
      <c r="AA4" s="36">
        <v>2500000</v>
      </c>
      <c r="AB4" s="40">
        <v>46054</v>
      </c>
      <c r="AC4" s="36" t="s">
        <v>2196</v>
      </c>
      <c r="AD4" s="36" t="str">
        <f>VLOOKUP(D4,Oficial!A:C,3,0)</f>
        <v>Arrastre</v>
      </c>
    </row>
    <row r="5" spans="1:30" x14ac:dyDescent="0.25">
      <c r="A5" s="36" t="s">
        <v>27</v>
      </c>
      <c r="B5" s="36" t="s">
        <v>29</v>
      </c>
      <c r="C5" s="36" t="s">
        <v>28</v>
      </c>
      <c r="D5" s="36" t="s">
        <v>29</v>
      </c>
      <c r="E5" s="36" t="s">
        <v>30</v>
      </c>
      <c r="F5" s="36" t="s">
        <v>31</v>
      </c>
      <c r="G5" s="37" t="s">
        <v>32</v>
      </c>
      <c r="H5" s="36" t="s">
        <v>33</v>
      </c>
      <c r="I5" s="36" t="s">
        <v>34</v>
      </c>
      <c r="J5" s="36">
        <v>2</v>
      </c>
      <c r="K5" s="36" t="s">
        <v>35</v>
      </c>
      <c r="L5" s="36">
        <v>1</v>
      </c>
      <c r="M5" s="36">
        <v>1</v>
      </c>
      <c r="N5" s="38">
        <v>90000000</v>
      </c>
      <c r="O5" s="39">
        <v>2500000</v>
      </c>
      <c r="P5" s="36">
        <v>36</v>
      </c>
      <c r="Q5" s="36" t="s">
        <v>36</v>
      </c>
      <c r="R5" s="36" t="s">
        <v>37</v>
      </c>
      <c r="S5" s="36" t="s">
        <v>38</v>
      </c>
      <c r="T5" s="36" t="s">
        <v>39</v>
      </c>
      <c r="U5" s="36" t="s">
        <v>40</v>
      </c>
      <c r="V5" s="40">
        <v>45292</v>
      </c>
      <c r="W5" s="40">
        <v>45478</v>
      </c>
      <c r="X5" s="36">
        <v>54</v>
      </c>
      <c r="Y5" s="36" t="s">
        <v>42</v>
      </c>
      <c r="Z5" s="36">
        <v>1</v>
      </c>
      <c r="AA5" s="36">
        <v>2500000</v>
      </c>
      <c r="AB5" s="40">
        <v>46357</v>
      </c>
      <c r="AC5" s="36" t="s">
        <v>2196</v>
      </c>
      <c r="AD5" s="36" t="str">
        <f>VLOOKUP(D5,Oficial!A:C,3,0)</f>
        <v>Arrastre</v>
      </c>
    </row>
    <row r="6" spans="1:30" x14ac:dyDescent="0.25">
      <c r="A6" s="36" t="s">
        <v>27</v>
      </c>
      <c r="B6" s="36" t="s">
        <v>29</v>
      </c>
      <c r="C6" s="36" t="s">
        <v>28</v>
      </c>
      <c r="D6" s="36" t="s">
        <v>29</v>
      </c>
      <c r="E6" s="36" t="s">
        <v>30</v>
      </c>
      <c r="F6" s="36" t="s">
        <v>31</v>
      </c>
      <c r="G6" s="37" t="s">
        <v>32</v>
      </c>
      <c r="H6" s="36" t="s">
        <v>33</v>
      </c>
      <c r="I6" s="36" t="s">
        <v>34</v>
      </c>
      <c r="J6" s="36">
        <v>2</v>
      </c>
      <c r="K6" s="36" t="s">
        <v>35</v>
      </c>
      <c r="L6" s="36">
        <v>1</v>
      </c>
      <c r="M6" s="36">
        <v>1</v>
      </c>
      <c r="N6" s="38">
        <v>90000000</v>
      </c>
      <c r="O6" s="39">
        <v>2500000</v>
      </c>
      <c r="P6" s="36">
        <v>36</v>
      </c>
      <c r="Q6" s="36" t="s">
        <v>36</v>
      </c>
      <c r="R6" s="36" t="s">
        <v>37</v>
      </c>
      <c r="S6" s="36" t="s">
        <v>38</v>
      </c>
      <c r="T6" s="36" t="s">
        <v>39</v>
      </c>
      <c r="U6" s="36" t="s">
        <v>40</v>
      </c>
      <c r="V6" s="40">
        <v>45292</v>
      </c>
      <c r="W6" s="40">
        <v>45478</v>
      </c>
      <c r="X6" s="36">
        <v>54</v>
      </c>
      <c r="Y6" s="36" t="s">
        <v>43</v>
      </c>
      <c r="Z6" s="36">
        <v>1</v>
      </c>
      <c r="AA6" s="36">
        <v>2500000</v>
      </c>
      <c r="AB6" s="40">
        <v>46327</v>
      </c>
      <c r="AC6" s="36" t="s">
        <v>2196</v>
      </c>
      <c r="AD6" s="36" t="str">
        <f>VLOOKUP(D6,Oficial!A:C,3,0)</f>
        <v>Arrastre</v>
      </c>
    </row>
    <row r="7" spans="1:30" x14ac:dyDescent="0.25">
      <c r="A7" s="36" t="s">
        <v>27</v>
      </c>
      <c r="B7" s="36" t="s">
        <v>29</v>
      </c>
      <c r="C7" s="36" t="s">
        <v>28</v>
      </c>
      <c r="D7" s="36" t="s">
        <v>29</v>
      </c>
      <c r="E7" s="36" t="s">
        <v>30</v>
      </c>
      <c r="F7" s="36" t="s">
        <v>31</v>
      </c>
      <c r="G7" s="37" t="s">
        <v>32</v>
      </c>
      <c r="H7" s="36" t="s">
        <v>33</v>
      </c>
      <c r="I7" s="36" t="s">
        <v>34</v>
      </c>
      <c r="J7" s="36">
        <v>2</v>
      </c>
      <c r="K7" s="36" t="s">
        <v>35</v>
      </c>
      <c r="L7" s="36">
        <v>1</v>
      </c>
      <c r="M7" s="36">
        <v>1</v>
      </c>
      <c r="N7" s="38">
        <v>90000000</v>
      </c>
      <c r="O7" s="39">
        <v>2500000</v>
      </c>
      <c r="P7" s="36">
        <v>36</v>
      </c>
      <c r="Q7" s="36" t="s">
        <v>36</v>
      </c>
      <c r="R7" s="36" t="s">
        <v>37</v>
      </c>
      <c r="S7" s="36" t="s">
        <v>38</v>
      </c>
      <c r="T7" s="36" t="s">
        <v>39</v>
      </c>
      <c r="U7" s="36" t="s">
        <v>40</v>
      </c>
      <c r="V7" s="40">
        <v>45292</v>
      </c>
      <c r="W7" s="40">
        <v>45478</v>
      </c>
      <c r="X7" s="36">
        <v>54</v>
      </c>
      <c r="Y7" s="36" t="s">
        <v>41</v>
      </c>
      <c r="Z7" s="36">
        <v>1</v>
      </c>
      <c r="AA7" s="36">
        <v>2500000</v>
      </c>
      <c r="AB7" s="40">
        <v>46174</v>
      </c>
      <c r="AC7" s="36" t="s">
        <v>2196</v>
      </c>
      <c r="AD7" s="36" t="str">
        <f>VLOOKUP(D7,Oficial!A:C,3,0)</f>
        <v>Arrastre</v>
      </c>
    </row>
    <row r="8" spans="1:30" x14ac:dyDescent="0.25">
      <c r="A8" s="36" t="s">
        <v>27</v>
      </c>
      <c r="B8" s="36" t="s">
        <v>29</v>
      </c>
      <c r="C8" s="36" t="s">
        <v>28</v>
      </c>
      <c r="D8" s="36" t="s">
        <v>29</v>
      </c>
      <c r="E8" s="36" t="s">
        <v>30</v>
      </c>
      <c r="F8" s="36" t="s">
        <v>31</v>
      </c>
      <c r="G8" s="37" t="s">
        <v>32</v>
      </c>
      <c r="H8" s="36" t="s">
        <v>33</v>
      </c>
      <c r="I8" s="36" t="s">
        <v>34</v>
      </c>
      <c r="J8" s="36">
        <v>2</v>
      </c>
      <c r="K8" s="36" t="s">
        <v>35</v>
      </c>
      <c r="L8" s="36">
        <v>1</v>
      </c>
      <c r="M8" s="36">
        <v>1</v>
      </c>
      <c r="N8" s="38">
        <v>90000000</v>
      </c>
      <c r="O8" s="39">
        <v>2500000</v>
      </c>
      <c r="P8" s="36">
        <v>36</v>
      </c>
      <c r="Q8" s="36" t="s">
        <v>36</v>
      </c>
      <c r="R8" s="36" t="s">
        <v>37</v>
      </c>
      <c r="S8" s="36" t="s">
        <v>38</v>
      </c>
      <c r="T8" s="36" t="s">
        <v>39</v>
      </c>
      <c r="U8" s="36" t="s">
        <v>40</v>
      </c>
      <c r="V8" s="40">
        <v>45292</v>
      </c>
      <c r="W8" s="40">
        <v>45478</v>
      </c>
      <c r="X8" s="36">
        <v>54</v>
      </c>
      <c r="Y8" s="36" t="s">
        <v>41</v>
      </c>
      <c r="Z8" s="36">
        <v>1</v>
      </c>
      <c r="AA8" s="36">
        <v>2500000</v>
      </c>
      <c r="AB8" s="40">
        <v>46327</v>
      </c>
      <c r="AC8" s="36" t="s">
        <v>2196</v>
      </c>
      <c r="AD8" s="36" t="str">
        <f>VLOOKUP(D8,Oficial!A:C,3,0)</f>
        <v>Arrastre</v>
      </c>
    </row>
    <row r="9" spans="1:30" x14ac:dyDescent="0.25">
      <c r="A9" s="36" t="s">
        <v>27</v>
      </c>
      <c r="B9" s="36" t="s">
        <v>29</v>
      </c>
      <c r="C9" s="36" t="s">
        <v>28</v>
      </c>
      <c r="D9" s="36" t="s">
        <v>29</v>
      </c>
      <c r="E9" s="36" t="s">
        <v>30</v>
      </c>
      <c r="F9" s="36" t="s">
        <v>31</v>
      </c>
      <c r="G9" s="37" t="s">
        <v>32</v>
      </c>
      <c r="H9" s="36" t="s">
        <v>33</v>
      </c>
      <c r="I9" s="36" t="s">
        <v>34</v>
      </c>
      <c r="J9" s="36">
        <v>2</v>
      </c>
      <c r="K9" s="36" t="s">
        <v>35</v>
      </c>
      <c r="L9" s="36">
        <v>1</v>
      </c>
      <c r="M9" s="36">
        <v>1</v>
      </c>
      <c r="N9" s="38">
        <v>90000000</v>
      </c>
      <c r="O9" s="39">
        <v>2500000</v>
      </c>
      <c r="P9" s="36">
        <v>36</v>
      </c>
      <c r="Q9" s="36" t="s">
        <v>36</v>
      </c>
      <c r="R9" s="36" t="s">
        <v>37</v>
      </c>
      <c r="S9" s="36" t="s">
        <v>38</v>
      </c>
      <c r="T9" s="36" t="s">
        <v>39</v>
      </c>
      <c r="U9" s="36" t="s">
        <v>40</v>
      </c>
      <c r="V9" s="40">
        <v>45292</v>
      </c>
      <c r="W9" s="40">
        <v>45478</v>
      </c>
      <c r="X9" s="36">
        <v>54</v>
      </c>
      <c r="Y9" s="36" t="s">
        <v>42</v>
      </c>
      <c r="Z9" s="36">
        <v>1</v>
      </c>
      <c r="AA9" s="36">
        <v>2500000</v>
      </c>
      <c r="AB9" s="40">
        <v>46204</v>
      </c>
      <c r="AC9" s="36" t="s">
        <v>2196</v>
      </c>
      <c r="AD9" s="36" t="str">
        <f>VLOOKUP(D9,Oficial!A:C,3,0)</f>
        <v>Arrastre</v>
      </c>
    </row>
    <row r="10" spans="1:30" x14ac:dyDescent="0.25">
      <c r="A10" s="36" t="s">
        <v>27</v>
      </c>
      <c r="B10" s="36" t="s">
        <v>29</v>
      </c>
      <c r="C10" s="36" t="s">
        <v>28</v>
      </c>
      <c r="D10" s="36" t="s">
        <v>29</v>
      </c>
      <c r="E10" s="36" t="s">
        <v>30</v>
      </c>
      <c r="F10" s="36" t="s">
        <v>31</v>
      </c>
      <c r="G10" s="37" t="s">
        <v>32</v>
      </c>
      <c r="H10" s="36" t="s">
        <v>33</v>
      </c>
      <c r="I10" s="36" t="s">
        <v>34</v>
      </c>
      <c r="J10" s="36">
        <v>2</v>
      </c>
      <c r="K10" s="36" t="s">
        <v>35</v>
      </c>
      <c r="L10" s="36">
        <v>1</v>
      </c>
      <c r="M10" s="36">
        <v>1</v>
      </c>
      <c r="N10" s="38">
        <v>90000000</v>
      </c>
      <c r="O10" s="39">
        <v>2500000</v>
      </c>
      <c r="P10" s="36">
        <v>36</v>
      </c>
      <c r="Q10" s="36" t="s">
        <v>36</v>
      </c>
      <c r="R10" s="36" t="s">
        <v>37</v>
      </c>
      <c r="S10" s="36" t="s">
        <v>38</v>
      </c>
      <c r="T10" s="36" t="s">
        <v>39</v>
      </c>
      <c r="U10" s="36" t="s">
        <v>40</v>
      </c>
      <c r="V10" s="40">
        <v>45292</v>
      </c>
      <c r="W10" s="40">
        <v>45478</v>
      </c>
      <c r="X10" s="36">
        <v>54</v>
      </c>
      <c r="Y10" s="36" t="s">
        <v>42</v>
      </c>
      <c r="Z10" s="36">
        <v>1</v>
      </c>
      <c r="AA10" s="36">
        <v>2500000</v>
      </c>
      <c r="AB10" s="40">
        <v>46023</v>
      </c>
      <c r="AC10" s="36" t="s">
        <v>2196</v>
      </c>
      <c r="AD10" s="36" t="str">
        <f>VLOOKUP(D10,Oficial!A:C,3,0)</f>
        <v>Arrastre</v>
      </c>
    </row>
    <row r="11" spans="1:30" x14ac:dyDescent="0.25">
      <c r="A11" s="36" t="s">
        <v>27</v>
      </c>
      <c r="B11" s="36" t="s">
        <v>29</v>
      </c>
      <c r="C11" s="36" t="s">
        <v>28</v>
      </c>
      <c r="D11" s="36" t="s">
        <v>29</v>
      </c>
      <c r="E11" s="36" t="s">
        <v>30</v>
      </c>
      <c r="F11" s="36" t="s">
        <v>31</v>
      </c>
      <c r="G11" s="37" t="s">
        <v>32</v>
      </c>
      <c r="H11" s="36" t="s">
        <v>33</v>
      </c>
      <c r="I11" s="36" t="s">
        <v>34</v>
      </c>
      <c r="J11" s="36">
        <v>2</v>
      </c>
      <c r="K11" s="36" t="s">
        <v>35</v>
      </c>
      <c r="L11" s="36">
        <v>1</v>
      </c>
      <c r="M11" s="36">
        <v>1</v>
      </c>
      <c r="N11" s="38">
        <v>90000000</v>
      </c>
      <c r="O11" s="39">
        <v>2500000</v>
      </c>
      <c r="P11" s="36">
        <v>36</v>
      </c>
      <c r="Q11" s="36" t="s">
        <v>36</v>
      </c>
      <c r="R11" s="36" t="s">
        <v>37</v>
      </c>
      <c r="S11" s="36" t="s">
        <v>38</v>
      </c>
      <c r="T11" s="36" t="s">
        <v>39</v>
      </c>
      <c r="U11" s="36" t="s">
        <v>40</v>
      </c>
      <c r="V11" s="40">
        <v>45292</v>
      </c>
      <c r="W11" s="40">
        <v>45478</v>
      </c>
      <c r="X11" s="36">
        <v>54</v>
      </c>
      <c r="Y11" s="36" t="s">
        <v>42</v>
      </c>
      <c r="Z11" s="36">
        <v>1</v>
      </c>
      <c r="AA11" s="36">
        <v>2500000</v>
      </c>
      <c r="AB11" s="40">
        <v>46174</v>
      </c>
      <c r="AC11" s="36" t="s">
        <v>2196</v>
      </c>
      <c r="AD11" s="36" t="str">
        <f>VLOOKUP(D11,Oficial!A:C,3,0)</f>
        <v>Arrastre</v>
      </c>
    </row>
    <row r="12" spans="1:30" x14ac:dyDescent="0.25">
      <c r="A12" s="36" t="s">
        <v>27</v>
      </c>
      <c r="B12" s="36" t="s">
        <v>29</v>
      </c>
      <c r="C12" s="36" t="s">
        <v>28</v>
      </c>
      <c r="D12" s="36" t="s">
        <v>29</v>
      </c>
      <c r="E12" s="36" t="s">
        <v>30</v>
      </c>
      <c r="F12" s="36" t="s">
        <v>31</v>
      </c>
      <c r="G12" s="37" t="s">
        <v>32</v>
      </c>
      <c r="H12" s="36" t="s">
        <v>33</v>
      </c>
      <c r="I12" s="36" t="s">
        <v>34</v>
      </c>
      <c r="J12" s="36">
        <v>2</v>
      </c>
      <c r="K12" s="36" t="s">
        <v>35</v>
      </c>
      <c r="L12" s="36">
        <v>1</v>
      </c>
      <c r="M12" s="36">
        <v>1</v>
      </c>
      <c r="N12" s="38">
        <v>90000000</v>
      </c>
      <c r="O12" s="39">
        <v>2500000</v>
      </c>
      <c r="P12" s="36">
        <v>36</v>
      </c>
      <c r="Q12" s="36" t="s">
        <v>36</v>
      </c>
      <c r="R12" s="36" t="s">
        <v>37</v>
      </c>
      <c r="S12" s="36" t="s">
        <v>38</v>
      </c>
      <c r="T12" s="36" t="s">
        <v>39</v>
      </c>
      <c r="U12" s="36" t="s">
        <v>40</v>
      </c>
      <c r="V12" s="40">
        <v>45292</v>
      </c>
      <c r="W12" s="40">
        <v>45478</v>
      </c>
      <c r="X12" s="36">
        <v>54</v>
      </c>
      <c r="Y12" s="36" t="s">
        <v>43</v>
      </c>
      <c r="Z12" s="36">
        <v>1</v>
      </c>
      <c r="AA12" s="36">
        <v>2500000</v>
      </c>
      <c r="AB12" s="40">
        <v>46113</v>
      </c>
      <c r="AC12" s="36" t="s">
        <v>2196</v>
      </c>
      <c r="AD12" s="36" t="str">
        <f>VLOOKUP(D12,Oficial!A:C,3,0)</f>
        <v>Arrastre</v>
      </c>
    </row>
    <row r="13" spans="1:30" x14ac:dyDescent="0.25">
      <c r="A13" s="36" t="s">
        <v>27</v>
      </c>
      <c r="B13" s="36" t="s">
        <v>29</v>
      </c>
      <c r="C13" s="36" t="s">
        <v>28</v>
      </c>
      <c r="D13" s="36" t="s">
        <v>29</v>
      </c>
      <c r="E13" s="36" t="s">
        <v>30</v>
      </c>
      <c r="F13" s="36" t="s">
        <v>31</v>
      </c>
      <c r="G13" s="37" t="s">
        <v>32</v>
      </c>
      <c r="H13" s="36" t="s">
        <v>33</v>
      </c>
      <c r="I13" s="36" t="s">
        <v>34</v>
      </c>
      <c r="J13" s="36">
        <v>2</v>
      </c>
      <c r="K13" s="36" t="s">
        <v>35</v>
      </c>
      <c r="L13" s="36">
        <v>1</v>
      </c>
      <c r="M13" s="36">
        <v>1</v>
      </c>
      <c r="N13" s="38">
        <v>90000000</v>
      </c>
      <c r="O13" s="39">
        <v>2500000</v>
      </c>
      <c r="P13" s="36">
        <v>36</v>
      </c>
      <c r="Q13" s="36" t="s">
        <v>36</v>
      </c>
      <c r="R13" s="36" t="s">
        <v>37</v>
      </c>
      <c r="S13" s="36" t="s">
        <v>38</v>
      </c>
      <c r="T13" s="36" t="s">
        <v>39</v>
      </c>
      <c r="U13" s="36" t="s">
        <v>40</v>
      </c>
      <c r="V13" s="40">
        <v>45292</v>
      </c>
      <c r="W13" s="40">
        <v>45478</v>
      </c>
      <c r="X13" s="36">
        <v>54</v>
      </c>
      <c r="Y13" s="36" t="s">
        <v>42</v>
      </c>
      <c r="Z13" s="36">
        <v>1</v>
      </c>
      <c r="AA13" s="36">
        <v>2500000</v>
      </c>
      <c r="AB13" s="40">
        <v>46082</v>
      </c>
      <c r="AC13" s="36" t="s">
        <v>2196</v>
      </c>
      <c r="AD13" s="36" t="str">
        <f>VLOOKUP(D13,Oficial!A:C,3,0)</f>
        <v>Arrastre</v>
      </c>
    </row>
    <row r="14" spans="1:30" x14ac:dyDescent="0.25">
      <c r="A14" s="36" t="s">
        <v>27</v>
      </c>
      <c r="B14" s="36" t="s">
        <v>44</v>
      </c>
      <c r="C14" s="36" t="s">
        <v>28</v>
      </c>
      <c r="D14" s="36" t="s">
        <v>44</v>
      </c>
      <c r="E14" s="36" t="s">
        <v>45</v>
      </c>
      <c r="F14" s="36" t="s">
        <v>31</v>
      </c>
      <c r="G14" s="37" t="s">
        <v>32</v>
      </c>
      <c r="H14" s="36" t="s">
        <v>46</v>
      </c>
      <c r="I14" s="36" t="s">
        <v>47</v>
      </c>
      <c r="J14" s="36">
        <v>2</v>
      </c>
      <c r="K14" s="36" t="s">
        <v>48</v>
      </c>
      <c r="L14" s="36">
        <v>1</v>
      </c>
      <c r="M14" s="36">
        <v>1</v>
      </c>
      <c r="N14" s="38">
        <v>20136000</v>
      </c>
      <c r="O14" s="41">
        <v>559333</v>
      </c>
      <c r="P14" s="36">
        <v>36</v>
      </c>
      <c r="Q14" s="36" t="s">
        <v>36</v>
      </c>
      <c r="R14" s="36" t="s">
        <v>37</v>
      </c>
      <c r="S14" s="36" t="s">
        <v>49</v>
      </c>
      <c r="T14" s="36" t="s">
        <v>39</v>
      </c>
      <c r="U14" s="36" t="s">
        <v>40</v>
      </c>
      <c r="V14" s="40">
        <v>45200</v>
      </c>
      <c r="W14" s="40">
        <v>45478</v>
      </c>
      <c r="X14" s="36">
        <v>1</v>
      </c>
      <c r="Y14" s="36" t="s">
        <v>50</v>
      </c>
      <c r="Z14" s="36">
        <v>1</v>
      </c>
      <c r="AA14" s="36">
        <v>559333</v>
      </c>
      <c r="AB14" s="40">
        <v>46023</v>
      </c>
      <c r="AC14" s="36" t="s">
        <v>2196</v>
      </c>
      <c r="AD14" s="36" t="str">
        <f>VLOOKUP(D14,Oficial!A:C,3,0)</f>
        <v>Arrastre</v>
      </c>
    </row>
    <row r="15" spans="1:30" x14ac:dyDescent="0.25">
      <c r="A15" s="36" t="s">
        <v>27</v>
      </c>
      <c r="B15" s="36" t="s">
        <v>44</v>
      </c>
      <c r="C15" s="36" t="s">
        <v>28</v>
      </c>
      <c r="D15" s="36" t="s">
        <v>44</v>
      </c>
      <c r="E15" s="36" t="s">
        <v>45</v>
      </c>
      <c r="F15" s="36" t="s">
        <v>31</v>
      </c>
      <c r="G15" s="37" t="s">
        <v>32</v>
      </c>
      <c r="H15" s="36" t="s">
        <v>46</v>
      </c>
      <c r="I15" s="36" t="s">
        <v>47</v>
      </c>
      <c r="J15" s="36">
        <v>2</v>
      </c>
      <c r="K15" s="36" t="s">
        <v>48</v>
      </c>
      <c r="L15" s="36">
        <v>1</v>
      </c>
      <c r="M15" s="36">
        <v>1</v>
      </c>
      <c r="N15" s="38">
        <v>20136000</v>
      </c>
      <c r="O15" s="41">
        <v>559333</v>
      </c>
      <c r="P15" s="36">
        <v>36</v>
      </c>
      <c r="Q15" s="36" t="s">
        <v>36</v>
      </c>
      <c r="R15" s="36" t="s">
        <v>37</v>
      </c>
      <c r="S15" s="36" t="s">
        <v>49</v>
      </c>
      <c r="T15" s="36" t="s">
        <v>39</v>
      </c>
      <c r="U15" s="36" t="s">
        <v>40</v>
      </c>
      <c r="V15" s="40">
        <v>45200</v>
      </c>
      <c r="W15" s="40">
        <v>45478</v>
      </c>
      <c r="X15" s="36">
        <v>1</v>
      </c>
      <c r="Y15" s="36" t="s">
        <v>50</v>
      </c>
      <c r="Z15" s="36">
        <v>1</v>
      </c>
      <c r="AA15" s="36">
        <v>559333</v>
      </c>
      <c r="AB15" s="40">
        <v>46204</v>
      </c>
      <c r="AC15" s="36" t="s">
        <v>2196</v>
      </c>
      <c r="AD15" s="36" t="str">
        <f>VLOOKUP(D15,Oficial!A:C,3,0)</f>
        <v>Arrastre</v>
      </c>
    </row>
    <row r="16" spans="1:30" x14ac:dyDescent="0.25">
      <c r="A16" s="36" t="s">
        <v>27</v>
      </c>
      <c r="B16" s="36" t="s">
        <v>44</v>
      </c>
      <c r="C16" s="36" t="s">
        <v>28</v>
      </c>
      <c r="D16" s="36" t="s">
        <v>44</v>
      </c>
      <c r="E16" s="36" t="s">
        <v>45</v>
      </c>
      <c r="F16" s="36" t="s">
        <v>31</v>
      </c>
      <c r="G16" s="37" t="s">
        <v>32</v>
      </c>
      <c r="H16" s="36" t="s">
        <v>46</v>
      </c>
      <c r="I16" s="36" t="s">
        <v>47</v>
      </c>
      <c r="J16" s="36">
        <v>2</v>
      </c>
      <c r="K16" s="36" t="s">
        <v>48</v>
      </c>
      <c r="L16" s="36">
        <v>1</v>
      </c>
      <c r="M16" s="36">
        <v>1</v>
      </c>
      <c r="N16" s="38">
        <v>20136000</v>
      </c>
      <c r="O16" s="41">
        <v>559333</v>
      </c>
      <c r="P16" s="36">
        <v>36</v>
      </c>
      <c r="Q16" s="36" t="s">
        <v>36</v>
      </c>
      <c r="R16" s="36" t="s">
        <v>37</v>
      </c>
      <c r="S16" s="36" t="s">
        <v>49</v>
      </c>
      <c r="T16" s="36" t="s">
        <v>39</v>
      </c>
      <c r="U16" s="36" t="s">
        <v>40</v>
      </c>
      <c r="V16" s="40">
        <v>45200</v>
      </c>
      <c r="W16" s="40">
        <v>45478</v>
      </c>
      <c r="X16" s="36">
        <v>1</v>
      </c>
      <c r="Y16" s="36" t="s">
        <v>50</v>
      </c>
      <c r="Z16" s="36">
        <v>1</v>
      </c>
      <c r="AA16" s="36">
        <v>559333</v>
      </c>
      <c r="AB16" s="40">
        <v>46143</v>
      </c>
      <c r="AC16" s="36" t="s">
        <v>2196</v>
      </c>
      <c r="AD16" s="36" t="str">
        <f>VLOOKUP(D16,Oficial!A:C,3,0)</f>
        <v>Arrastre</v>
      </c>
    </row>
    <row r="17" spans="1:30" x14ac:dyDescent="0.25">
      <c r="A17" s="36" t="s">
        <v>27</v>
      </c>
      <c r="B17" s="36" t="s">
        <v>44</v>
      </c>
      <c r="C17" s="36" t="s">
        <v>28</v>
      </c>
      <c r="D17" s="36" t="s">
        <v>44</v>
      </c>
      <c r="E17" s="36" t="s">
        <v>45</v>
      </c>
      <c r="F17" s="36" t="s">
        <v>31</v>
      </c>
      <c r="G17" s="37" t="s">
        <v>32</v>
      </c>
      <c r="H17" s="36" t="s">
        <v>46</v>
      </c>
      <c r="I17" s="36" t="s">
        <v>47</v>
      </c>
      <c r="J17" s="36">
        <v>2</v>
      </c>
      <c r="K17" s="36" t="s">
        <v>48</v>
      </c>
      <c r="L17" s="36">
        <v>1</v>
      </c>
      <c r="M17" s="36">
        <v>1</v>
      </c>
      <c r="N17" s="38">
        <v>20136000</v>
      </c>
      <c r="O17" s="41">
        <v>559333</v>
      </c>
      <c r="P17" s="36">
        <v>36</v>
      </c>
      <c r="Q17" s="36" t="s">
        <v>36</v>
      </c>
      <c r="R17" s="36" t="s">
        <v>37</v>
      </c>
      <c r="S17" s="36" t="s">
        <v>49</v>
      </c>
      <c r="T17" s="36" t="s">
        <v>39</v>
      </c>
      <c r="U17" s="36" t="s">
        <v>40</v>
      </c>
      <c r="V17" s="40">
        <v>45200</v>
      </c>
      <c r="W17" s="40">
        <v>45478</v>
      </c>
      <c r="X17" s="36">
        <v>1</v>
      </c>
      <c r="Y17" s="36" t="s">
        <v>50</v>
      </c>
      <c r="Z17" s="36">
        <v>1</v>
      </c>
      <c r="AA17" s="36">
        <v>559333</v>
      </c>
      <c r="AB17" s="40">
        <v>46054</v>
      </c>
      <c r="AC17" s="36" t="s">
        <v>2196</v>
      </c>
      <c r="AD17" s="36" t="str">
        <f>VLOOKUP(D17,Oficial!A:C,3,0)</f>
        <v>Arrastre</v>
      </c>
    </row>
    <row r="18" spans="1:30" x14ac:dyDescent="0.25">
      <c r="A18" s="36" t="s">
        <v>27</v>
      </c>
      <c r="B18" s="36" t="s">
        <v>44</v>
      </c>
      <c r="C18" s="36" t="s">
        <v>28</v>
      </c>
      <c r="D18" s="36" t="s">
        <v>44</v>
      </c>
      <c r="E18" s="36" t="s">
        <v>45</v>
      </c>
      <c r="F18" s="36" t="s">
        <v>31</v>
      </c>
      <c r="G18" s="37" t="s">
        <v>32</v>
      </c>
      <c r="H18" s="36" t="s">
        <v>46</v>
      </c>
      <c r="I18" s="36" t="s">
        <v>47</v>
      </c>
      <c r="J18" s="36">
        <v>2</v>
      </c>
      <c r="K18" s="36" t="s">
        <v>48</v>
      </c>
      <c r="L18" s="36">
        <v>1</v>
      </c>
      <c r="M18" s="36">
        <v>1</v>
      </c>
      <c r="N18" s="38">
        <v>20136000</v>
      </c>
      <c r="O18" s="41">
        <v>559333</v>
      </c>
      <c r="P18" s="36">
        <v>36</v>
      </c>
      <c r="Q18" s="36" t="s">
        <v>36</v>
      </c>
      <c r="R18" s="36" t="s">
        <v>37</v>
      </c>
      <c r="S18" s="36" t="s">
        <v>49</v>
      </c>
      <c r="T18" s="36" t="s">
        <v>39</v>
      </c>
      <c r="U18" s="36" t="s">
        <v>40</v>
      </c>
      <c r="V18" s="40">
        <v>45200</v>
      </c>
      <c r="W18" s="40">
        <v>45478</v>
      </c>
      <c r="X18" s="36">
        <v>1</v>
      </c>
      <c r="Y18" s="36" t="s">
        <v>50</v>
      </c>
      <c r="Z18" s="36">
        <v>1</v>
      </c>
      <c r="AA18" s="36">
        <v>559333</v>
      </c>
      <c r="AB18" s="40">
        <v>46235</v>
      </c>
      <c r="AC18" s="36" t="s">
        <v>2196</v>
      </c>
      <c r="AD18" s="36" t="str">
        <f>VLOOKUP(D18,Oficial!A:C,3,0)</f>
        <v>Arrastre</v>
      </c>
    </row>
    <row r="19" spans="1:30" x14ac:dyDescent="0.25">
      <c r="A19" s="36" t="s">
        <v>27</v>
      </c>
      <c r="B19" s="36" t="s">
        <v>44</v>
      </c>
      <c r="C19" s="36" t="s">
        <v>28</v>
      </c>
      <c r="D19" s="36" t="s">
        <v>44</v>
      </c>
      <c r="E19" s="36" t="s">
        <v>45</v>
      </c>
      <c r="F19" s="36" t="s">
        <v>31</v>
      </c>
      <c r="G19" s="37" t="s">
        <v>32</v>
      </c>
      <c r="H19" s="36" t="s">
        <v>46</v>
      </c>
      <c r="I19" s="36" t="s">
        <v>47</v>
      </c>
      <c r="J19" s="36">
        <v>2</v>
      </c>
      <c r="K19" s="36" t="s">
        <v>48</v>
      </c>
      <c r="L19" s="36">
        <v>1</v>
      </c>
      <c r="M19" s="36">
        <v>1</v>
      </c>
      <c r="N19" s="38">
        <v>20136000</v>
      </c>
      <c r="O19" s="41">
        <v>559333</v>
      </c>
      <c r="P19" s="36">
        <v>36</v>
      </c>
      <c r="Q19" s="36" t="s">
        <v>36</v>
      </c>
      <c r="R19" s="36" t="s">
        <v>37</v>
      </c>
      <c r="S19" s="36" t="s">
        <v>49</v>
      </c>
      <c r="T19" s="36" t="s">
        <v>39</v>
      </c>
      <c r="U19" s="36" t="s">
        <v>40</v>
      </c>
      <c r="V19" s="40">
        <v>45200</v>
      </c>
      <c r="W19" s="40">
        <v>45478</v>
      </c>
      <c r="X19" s="36">
        <v>1</v>
      </c>
      <c r="Y19" s="36" t="s">
        <v>50</v>
      </c>
      <c r="Z19" s="36">
        <v>1</v>
      </c>
      <c r="AA19" s="36">
        <v>559333</v>
      </c>
      <c r="AB19" s="40">
        <v>46082</v>
      </c>
      <c r="AC19" s="36" t="s">
        <v>2196</v>
      </c>
      <c r="AD19" s="36" t="str">
        <f>VLOOKUP(D19,Oficial!A:C,3,0)</f>
        <v>Arrastre</v>
      </c>
    </row>
    <row r="20" spans="1:30" x14ac:dyDescent="0.25">
      <c r="A20" s="36" t="s">
        <v>27</v>
      </c>
      <c r="B20" s="36" t="s">
        <v>44</v>
      </c>
      <c r="C20" s="36" t="s">
        <v>28</v>
      </c>
      <c r="D20" s="36" t="s">
        <v>44</v>
      </c>
      <c r="E20" s="36" t="s">
        <v>45</v>
      </c>
      <c r="F20" s="36" t="s">
        <v>31</v>
      </c>
      <c r="G20" s="37" t="s">
        <v>32</v>
      </c>
      <c r="H20" s="36" t="s">
        <v>46</v>
      </c>
      <c r="I20" s="36" t="s">
        <v>47</v>
      </c>
      <c r="J20" s="36">
        <v>2</v>
      </c>
      <c r="K20" s="36" t="s">
        <v>48</v>
      </c>
      <c r="L20" s="36">
        <v>1</v>
      </c>
      <c r="M20" s="36">
        <v>1</v>
      </c>
      <c r="N20" s="38">
        <v>20136000</v>
      </c>
      <c r="O20" s="41">
        <v>559333</v>
      </c>
      <c r="P20" s="36">
        <v>36</v>
      </c>
      <c r="Q20" s="36" t="s">
        <v>36</v>
      </c>
      <c r="R20" s="36" t="s">
        <v>37</v>
      </c>
      <c r="S20" s="36" t="s">
        <v>49</v>
      </c>
      <c r="T20" s="36" t="s">
        <v>39</v>
      </c>
      <c r="U20" s="36" t="s">
        <v>40</v>
      </c>
      <c r="V20" s="40">
        <v>45200</v>
      </c>
      <c r="W20" s="40">
        <v>45478</v>
      </c>
      <c r="X20" s="36">
        <v>1</v>
      </c>
      <c r="Y20" s="36" t="s">
        <v>50</v>
      </c>
      <c r="Z20" s="36">
        <v>1</v>
      </c>
      <c r="AA20" s="36">
        <v>559333</v>
      </c>
      <c r="AB20" s="40">
        <v>46174</v>
      </c>
      <c r="AC20" s="36" t="s">
        <v>2196</v>
      </c>
      <c r="AD20" s="36" t="str">
        <f>VLOOKUP(D20,Oficial!A:C,3,0)</f>
        <v>Arrastre</v>
      </c>
    </row>
    <row r="21" spans="1:30" x14ac:dyDescent="0.25">
      <c r="A21" s="36" t="s">
        <v>27</v>
      </c>
      <c r="B21" s="36" t="s">
        <v>44</v>
      </c>
      <c r="C21" s="36" t="s">
        <v>28</v>
      </c>
      <c r="D21" s="36" t="s">
        <v>44</v>
      </c>
      <c r="E21" s="36" t="s">
        <v>45</v>
      </c>
      <c r="F21" s="36" t="s">
        <v>31</v>
      </c>
      <c r="G21" s="37" t="s">
        <v>32</v>
      </c>
      <c r="H21" s="36" t="s">
        <v>46</v>
      </c>
      <c r="I21" s="36" t="s">
        <v>47</v>
      </c>
      <c r="J21" s="36">
        <v>2</v>
      </c>
      <c r="K21" s="36" t="s">
        <v>48</v>
      </c>
      <c r="L21" s="36">
        <v>1</v>
      </c>
      <c r="M21" s="36">
        <v>1</v>
      </c>
      <c r="N21" s="38">
        <v>20136000</v>
      </c>
      <c r="O21" s="41">
        <v>559333</v>
      </c>
      <c r="P21" s="36">
        <v>36</v>
      </c>
      <c r="Q21" s="36" t="s">
        <v>36</v>
      </c>
      <c r="R21" s="36" t="s">
        <v>37</v>
      </c>
      <c r="S21" s="36" t="s">
        <v>49</v>
      </c>
      <c r="T21" s="36" t="s">
        <v>39</v>
      </c>
      <c r="U21" s="36" t="s">
        <v>40</v>
      </c>
      <c r="V21" s="40">
        <v>45200</v>
      </c>
      <c r="W21" s="40">
        <v>45478</v>
      </c>
      <c r="X21" s="36">
        <v>1</v>
      </c>
      <c r="Y21" s="36" t="s">
        <v>50</v>
      </c>
      <c r="Z21" s="36">
        <v>1</v>
      </c>
      <c r="AA21" s="36">
        <v>559333</v>
      </c>
      <c r="AB21" s="40">
        <v>46113</v>
      </c>
      <c r="AC21" s="36" t="s">
        <v>2196</v>
      </c>
      <c r="AD21" s="36" t="str">
        <f>VLOOKUP(D21,Oficial!A:C,3,0)</f>
        <v>Arrastre</v>
      </c>
    </row>
    <row r="22" spans="1:30" x14ac:dyDescent="0.25">
      <c r="A22" s="36" t="s">
        <v>27</v>
      </c>
      <c r="B22" s="36" t="s">
        <v>44</v>
      </c>
      <c r="C22" s="36" t="s">
        <v>28</v>
      </c>
      <c r="D22" s="36" t="s">
        <v>44</v>
      </c>
      <c r="E22" s="36" t="s">
        <v>45</v>
      </c>
      <c r="F22" s="36" t="s">
        <v>31</v>
      </c>
      <c r="G22" s="37" t="s">
        <v>32</v>
      </c>
      <c r="H22" s="36" t="s">
        <v>46</v>
      </c>
      <c r="I22" s="36" t="s">
        <v>47</v>
      </c>
      <c r="J22" s="36">
        <v>2</v>
      </c>
      <c r="K22" s="36" t="s">
        <v>48</v>
      </c>
      <c r="L22" s="36">
        <v>1</v>
      </c>
      <c r="M22" s="36">
        <v>1</v>
      </c>
      <c r="N22" s="38">
        <v>20136000</v>
      </c>
      <c r="O22" s="41">
        <v>559333</v>
      </c>
      <c r="P22" s="36">
        <v>36</v>
      </c>
      <c r="Q22" s="36" t="s">
        <v>36</v>
      </c>
      <c r="R22" s="36" t="s">
        <v>37</v>
      </c>
      <c r="S22" s="36" t="s">
        <v>49</v>
      </c>
      <c r="T22" s="36" t="s">
        <v>39</v>
      </c>
      <c r="U22" s="36" t="s">
        <v>40</v>
      </c>
      <c r="V22" s="40">
        <v>45200</v>
      </c>
      <c r="W22" s="40">
        <v>45478</v>
      </c>
      <c r="X22" s="36">
        <v>1</v>
      </c>
      <c r="Y22" s="36" t="s">
        <v>50</v>
      </c>
      <c r="Z22" s="36">
        <v>1</v>
      </c>
      <c r="AA22" s="36">
        <v>559333</v>
      </c>
      <c r="AB22" s="40">
        <v>46266</v>
      </c>
      <c r="AC22" s="36" t="s">
        <v>2196</v>
      </c>
      <c r="AD22" s="36" t="str">
        <f>VLOOKUP(D22,Oficial!A:C,3,0)</f>
        <v>Arrastre</v>
      </c>
    </row>
    <row r="23" spans="1:30" x14ac:dyDescent="0.25">
      <c r="A23" s="36" t="s">
        <v>27</v>
      </c>
      <c r="B23" s="36" t="s">
        <v>44</v>
      </c>
      <c r="C23" s="36" t="s">
        <v>28</v>
      </c>
      <c r="D23" s="36" t="s">
        <v>44</v>
      </c>
      <c r="E23" s="36" t="s">
        <v>45</v>
      </c>
      <c r="F23" s="36" t="s">
        <v>31</v>
      </c>
      <c r="G23" s="37" t="s">
        <v>32</v>
      </c>
      <c r="H23" s="36" t="s">
        <v>46</v>
      </c>
      <c r="I23" s="36" t="s">
        <v>47</v>
      </c>
      <c r="J23" s="36">
        <v>2</v>
      </c>
      <c r="K23" s="36" t="s">
        <v>48</v>
      </c>
      <c r="L23" s="36">
        <v>1</v>
      </c>
      <c r="M23" s="36">
        <v>1</v>
      </c>
      <c r="N23" s="38">
        <v>20136000</v>
      </c>
      <c r="O23" s="41">
        <v>559333</v>
      </c>
      <c r="P23" s="36">
        <v>36</v>
      </c>
      <c r="Q23" s="36" t="s">
        <v>36</v>
      </c>
      <c r="R23" s="36" t="s">
        <v>37</v>
      </c>
      <c r="S23" s="36" t="s">
        <v>49</v>
      </c>
      <c r="T23" s="36" t="s">
        <v>39</v>
      </c>
      <c r="U23" s="36" t="s">
        <v>40</v>
      </c>
      <c r="V23" s="40">
        <v>45200</v>
      </c>
      <c r="W23" s="40">
        <v>45478</v>
      </c>
      <c r="X23" s="36">
        <v>1</v>
      </c>
      <c r="Y23" s="36" t="s">
        <v>50</v>
      </c>
      <c r="Z23" s="36">
        <v>1</v>
      </c>
      <c r="AA23" s="36">
        <v>559333</v>
      </c>
      <c r="AB23" s="40">
        <v>46296</v>
      </c>
      <c r="AC23" s="36" t="s">
        <v>2196</v>
      </c>
      <c r="AD23" s="36" t="str">
        <f>VLOOKUP(D23,Oficial!A:C,3,0)</f>
        <v>Arrastre</v>
      </c>
    </row>
    <row r="24" spans="1:30" x14ac:dyDescent="0.25">
      <c r="A24" s="36" t="s">
        <v>27</v>
      </c>
      <c r="B24" s="36" t="s">
        <v>44</v>
      </c>
      <c r="C24" s="36" t="s">
        <v>28</v>
      </c>
      <c r="D24" s="36" t="s">
        <v>44</v>
      </c>
      <c r="E24" s="36" t="s">
        <v>45</v>
      </c>
      <c r="F24" s="36" t="s">
        <v>31</v>
      </c>
      <c r="G24" s="37" t="s">
        <v>32</v>
      </c>
      <c r="H24" s="36" t="s">
        <v>46</v>
      </c>
      <c r="I24" s="36" t="s">
        <v>47</v>
      </c>
      <c r="J24" s="36">
        <v>2</v>
      </c>
      <c r="K24" s="36" t="s">
        <v>48</v>
      </c>
      <c r="L24" s="36">
        <v>1</v>
      </c>
      <c r="M24" s="36">
        <v>1</v>
      </c>
      <c r="N24" s="38">
        <v>20136000</v>
      </c>
      <c r="O24" s="41">
        <v>559333</v>
      </c>
      <c r="P24" s="36">
        <v>36</v>
      </c>
      <c r="Q24" s="36" t="s">
        <v>36</v>
      </c>
      <c r="R24" s="36" t="s">
        <v>37</v>
      </c>
      <c r="S24" s="36" t="s">
        <v>49</v>
      </c>
      <c r="T24" s="36" t="s">
        <v>39</v>
      </c>
      <c r="U24" s="36" t="s">
        <v>40</v>
      </c>
      <c r="V24" s="40">
        <v>45200</v>
      </c>
      <c r="W24" s="40">
        <v>45478</v>
      </c>
      <c r="X24" s="36">
        <v>1</v>
      </c>
      <c r="Y24" s="36" t="s">
        <v>50</v>
      </c>
      <c r="Z24" s="36">
        <v>1</v>
      </c>
      <c r="AA24" s="36">
        <v>559333</v>
      </c>
      <c r="AB24" s="40">
        <v>46327</v>
      </c>
      <c r="AC24" s="36" t="s">
        <v>2196</v>
      </c>
      <c r="AD24" s="36" t="str">
        <f>VLOOKUP(D24,Oficial!A:C,3,0)</f>
        <v>Arrastre</v>
      </c>
    </row>
    <row r="25" spans="1:30" x14ac:dyDescent="0.25">
      <c r="A25" s="36" t="s">
        <v>27</v>
      </c>
      <c r="B25" s="36" t="s">
        <v>44</v>
      </c>
      <c r="C25" s="36" t="s">
        <v>28</v>
      </c>
      <c r="D25" s="36" t="s">
        <v>44</v>
      </c>
      <c r="E25" s="36" t="s">
        <v>45</v>
      </c>
      <c r="F25" s="36" t="s">
        <v>31</v>
      </c>
      <c r="G25" s="37" t="s">
        <v>32</v>
      </c>
      <c r="H25" s="36" t="s">
        <v>46</v>
      </c>
      <c r="I25" s="36" t="s">
        <v>47</v>
      </c>
      <c r="J25" s="36">
        <v>2</v>
      </c>
      <c r="K25" s="36" t="s">
        <v>48</v>
      </c>
      <c r="L25" s="36">
        <v>1</v>
      </c>
      <c r="M25" s="36">
        <v>1</v>
      </c>
      <c r="N25" s="38">
        <v>20136000</v>
      </c>
      <c r="O25" s="41">
        <v>559333</v>
      </c>
      <c r="P25" s="36">
        <v>36</v>
      </c>
      <c r="Q25" s="36" t="s">
        <v>36</v>
      </c>
      <c r="R25" s="36" t="s">
        <v>37</v>
      </c>
      <c r="S25" s="36" t="s">
        <v>49</v>
      </c>
      <c r="T25" s="36" t="s">
        <v>39</v>
      </c>
      <c r="U25" s="36" t="s">
        <v>40</v>
      </c>
      <c r="V25" s="40">
        <v>45200</v>
      </c>
      <c r="W25" s="40">
        <v>45478</v>
      </c>
      <c r="X25" s="36">
        <v>1</v>
      </c>
      <c r="Y25" s="36" t="s">
        <v>50</v>
      </c>
      <c r="Z25" s="36">
        <v>1</v>
      </c>
      <c r="AA25" s="36">
        <v>559333</v>
      </c>
      <c r="AB25" s="40">
        <v>46357</v>
      </c>
      <c r="AC25" s="36" t="s">
        <v>2196</v>
      </c>
      <c r="AD25" s="36" t="str">
        <f>VLOOKUP(D25,Oficial!A:C,3,0)</f>
        <v>Arrastre</v>
      </c>
    </row>
    <row r="26" spans="1:30" x14ac:dyDescent="0.25">
      <c r="A26" s="36" t="s">
        <v>27</v>
      </c>
      <c r="B26" s="36" t="s">
        <v>51</v>
      </c>
      <c r="C26" s="36" t="s">
        <v>28</v>
      </c>
      <c r="D26" s="36" t="s">
        <v>51</v>
      </c>
      <c r="E26" s="36" t="s">
        <v>30</v>
      </c>
      <c r="F26" s="36" t="s">
        <v>31</v>
      </c>
      <c r="G26" s="37" t="s">
        <v>32</v>
      </c>
      <c r="H26" s="36" t="s">
        <v>52</v>
      </c>
      <c r="I26" s="36" t="s">
        <v>53</v>
      </c>
      <c r="J26" s="36">
        <v>1</v>
      </c>
      <c r="K26" s="36" t="s">
        <v>54</v>
      </c>
      <c r="L26" s="36">
        <v>1</v>
      </c>
      <c r="M26" s="36">
        <v>1</v>
      </c>
      <c r="N26" s="38">
        <v>20136000</v>
      </c>
      <c r="O26" s="42">
        <v>559345</v>
      </c>
      <c r="P26" s="36">
        <v>36</v>
      </c>
      <c r="Q26" s="36" t="s">
        <v>36</v>
      </c>
      <c r="R26" s="36" t="s">
        <v>55</v>
      </c>
      <c r="S26" s="36" t="s">
        <v>56</v>
      </c>
      <c r="T26" s="36" t="s">
        <v>57</v>
      </c>
      <c r="U26" s="36" t="s">
        <v>58</v>
      </c>
      <c r="V26" s="40">
        <v>45292</v>
      </c>
      <c r="W26" s="40">
        <v>45478</v>
      </c>
      <c r="X26" s="36">
        <v>0</v>
      </c>
      <c r="Y26" s="36"/>
      <c r="Z26" s="36">
        <v>1</v>
      </c>
      <c r="AA26" s="36">
        <v>559345</v>
      </c>
      <c r="AB26" s="40">
        <v>46357</v>
      </c>
      <c r="AC26" s="36" t="s">
        <v>2196</v>
      </c>
      <c r="AD26" s="36" t="str">
        <f>VLOOKUP(D26,Oficial!A:C,3,0)</f>
        <v>Arrastre</v>
      </c>
    </row>
    <row r="27" spans="1:30" x14ac:dyDescent="0.25">
      <c r="A27" s="36" t="s">
        <v>27</v>
      </c>
      <c r="B27" s="36" t="s">
        <v>51</v>
      </c>
      <c r="C27" s="36" t="s">
        <v>28</v>
      </c>
      <c r="D27" s="36" t="s">
        <v>51</v>
      </c>
      <c r="E27" s="36" t="s">
        <v>30</v>
      </c>
      <c r="F27" s="36" t="s">
        <v>31</v>
      </c>
      <c r="G27" s="37" t="s">
        <v>32</v>
      </c>
      <c r="H27" s="36" t="s">
        <v>52</v>
      </c>
      <c r="I27" s="36" t="s">
        <v>53</v>
      </c>
      <c r="J27" s="36">
        <v>1</v>
      </c>
      <c r="K27" s="36" t="s">
        <v>54</v>
      </c>
      <c r="L27" s="36">
        <v>1</v>
      </c>
      <c r="M27" s="36">
        <v>1</v>
      </c>
      <c r="N27" s="38">
        <v>20136000</v>
      </c>
      <c r="O27" s="42">
        <v>559333</v>
      </c>
      <c r="P27" s="36">
        <v>36</v>
      </c>
      <c r="Q27" s="36" t="s">
        <v>36</v>
      </c>
      <c r="R27" s="36" t="s">
        <v>55</v>
      </c>
      <c r="S27" s="36" t="s">
        <v>56</v>
      </c>
      <c r="T27" s="36" t="s">
        <v>57</v>
      </c>
      <c r="U27" s="36" t="s">
        <v>58</v>
      </c>
      <c r="V27" s="40">
        <v>45292</v>
      </c>
      <c r="W27" s="40">
        <v>45478</v>
      </c>
      <c r="X27" s="36">
        <v>0</v>
      </c>
      <c r="Y27" s="36"/>
      <c r="Z27" s="36">
        <v>1</v>
      </c>
      <c r="AA27" s="36">
        <v>559333</v>
      </c>
      <c r="AB27" s="40">
        <v>46143</v>
      </c>
      <c r="AC27" s="36" t="s">
        <v>2196</v>
      </c>
      <c r="AD27" s="36" t="str">
        <f>VLOOKUP(D27,Oficial!A:C,3,0)</f>
        <v>Arrastre</v>
      </c>
    </row>
    <row r="28" spans="1:30" x14ac:dyDescent="0.25">
      <c r="A28" s="36" t="s">
        <v>27</v>
      </c>
      <c r="B28" s="36" t="s">
        <v>51</v>
      </c>
      <c r="C28" s="36" t="s">
        <v>28</v>
      </c>
      <c r="D28" s="36" t="s">
        <v>51</v>
      </c>
      <c r="E28" s="36" t="s">
        <v>30</v>
      </c>
      <c r="F28" s="36" t="s">
        <v>31</v>
      </c>
      <c r="G28" s="37" t="s">
        <v>32</v>
      </c>
      <c r="H28" s="36" t="s">
        <v>52</v>
      </c>
      <c r="I28" s="36" t="s">
        <v>53</v>
      </c>
      <c r="J28" s="36">
        <v>1</v>
      </c>
      <c r="K28" s="36" t="s">
        <v>54</v>
      </c>
      <c r="L28" s="36">
        <v>1</v>
      </c>
      <c r="M28" s="36">
        <v>1</v>
      </c>
      <c r="N28" s="38">
        <v>20136000</v>
      </c>
      <c r="O28" s="42">
        <v>559333</v>
      </c>
      <c r="P28" s="36">
        <v>36</v>
      </c>
      <c r="Q28" s="36" t="s">
        <v>36</v>
      </c>
      <c r="R28" s="36" t="s">
        <v>55</v>
      </c>
      <c r="S28" s="36" t="s">
        <v>56</v>
      </c>
      <c r="T28" s="36" t="s">
        <v>57</v>
      </c>
      <c r="U28" s="36" t="s">
        <v>58</v>
      </c>
      <c r="V28" s="40">
        <v>45292</v>
      </c>
      <c r="W28" s="40">
        <v>45478</v>
      </c>
      <c r="X28" s="36">
        <v>0</v>
      </c>
      <c r="Y28" s="36"/>
      <c r="Z28" s="36">
        <v>1</v>
      </c>
      <c r="AA28" s="36">
        <v>559333</v>
      </c>
      <c r="AB28" s="40">
        <v>46082</v>
      </c>
      <c r="AC28" s="36" t="s">
        <v>2196</v>
      </c>
      <c r="AD28" s="36" t="str">
        <f>VLOOKUP(D28,Oficial!A:C,3,0)</f>
        <v>Arrastre</v>
      </c>
    </row>
    <row r="29" spans="1:30" x14ac:dyDescent="0.25">
      <c r="A29" s="36" t="s">
        <v>27</v>
      </c>
      <c r="B29" s="36" t="s">
        <v>51</v>
      </c>
      <c r="C29" s="36" t="s">
        <v>28</v>
      </c>
      <c r="D29" s="36" t="s">
        <v>51</v>
      </c>
      <c r="E29" s="36" t="s">
        <v>30</v>
      </c>
      <c r="F29" s="36" t="s">
        <v>31</v>
      </c>
      <c r="G29" s="37" t="s">
        <v>32</v>
      </c>
      <c r="H29" s="36" t="s">
        <v>52</v>
      </c>
      <c r="I29" s="36" t="s">
        <v>53</v>
      </c>
      <c r="J29" s="36">
        <v>1</v>
      </c>
      <c r="K29" s="36" t="s">
        <v>54</v>
      </c>
      <c r="L29" s="36">
        <v>1</v>
      </c>
      <c r="M29" s="36">
        <v>1</v>
      </c>
      <c r="N29" s="38">
        <v>20136000</v>
      </c>
      <c r="O29" s="42">
        <v>559333</v>
      </c>
      <c r="P29" s="36">
        <v>36</v>
      </c>
      <c r="Q29" s="36" t="s">
        <v>36</v>
      </c>
      <c r="R29" s="36" t="s">
        <v>55</v>
      </c>
      <c r="S29" s="36" t="s">
        <v>56</v>
      </c>
      <c r="T29" s="36" t="s">
        <v>57</v>
      </c>
      <c r="U29" s="36" t="s">
        <v>58</v>
      </c>
      <c r="V29" s="40">
        <v>45292</v>
      </c>
      <c r="W29" s="40">
        <v>45478</v>
      </c>
      <c r="X29" s="36">
        <v>0</v>
      </c>
      <c r="Y29" s="36"/>
      <c r="Z29" s="36">
        <v>1</v>
      </c>
      <c r="AA29" s="36">
        <v>559333</v>
      </c>
      <c r="AB29" s="40">
        <v>46054</v>
      </c>
      <c r="AC29" s="36" t="s">
        <v>2196</v>
      </c>
      <c r="AD29" s="36" t="str">
        <f>VLOOKUP(D29,Oficial!A:C,3,0)</f>
        <v>Arrastre</v>
      </c>
    </row>
    <row r="30" spans="1:30" x14ac:dyDescent="0.25">
      <c r="A30" s="36" t="s">
        <v>27</v>
      </c>
      <c r="B30" s="36" t="s">
        <v>51</v>
      </c>
      <c r="C30" s="36" t="s">
        <v>28</v>
      </c>
      <c r="D30" s="36" t="s">
        <v>51</v>
      </c>
      <c r="E30" s="36" t="s">
        <v>30</v>
      </c>
      <c r="F30" s="36" t="s">
        <v>31</v>
      </c>
      <c r="G30" s="37" t="s">
        <v>32</v>
      </c>
      <c r="H30" s="36" t="s">
        <v>52</v>
      </c>
      <c r="I30" s="36" t="s">
        <v>53</v>
      </c>
      <c r="J30" s="36">
        <v>1</v>
      </c>
      <c r="K30" s="36" t="s">
        <v>54</v>
      </c>
      <c r="L30" s="36">
        <v>1</v>
      </c>
      <c r="M30" s="36">
        <v>1</v>
      </c>
      <c r="N30" s="38">
        <v>20136000</v>
      </c>
      <c r="O30" s="42">
        <v>559333</v>
      </c>
      <c r="P30" s="36">
        <v>36</v>
      </c>
      <c r="Q30" s="36" t="s">
        <v>36</v>
      </c>
      <c r="R30" s="36" t="s">
        <v>55</v>
      </c>
      <c r="S30" s="36" t="s">
        <v>56</v>
      </c>
      <c r="T30" s="36" t="s">
        <v>57</v>
      </c>
      <c r="U30" s="36" t="s">
        <v>58</v>
      </c>
      <c r="V30" s="40">
        <v>45292</v>
      </c>
      <c r="W30" s="40">
        <v>45478</v>
      </c>
      <c r="X30" s="36">
        <v>0</v>
      </c>
      <c r="Y30" s="36"/>
      <c r="Z30" s="36">
        <v>1</v>
      </c>
      <c r="AA30" s="36">
        <v>559333</v>
      </c>
      <c r="AB30" s="40">
        <v>46174</v>
      </c>
      <c r="AC30" s="36" t="s">
        <v>2196</v>
      </c>
      <c r="AD30" s="36" t="str">
        <f>VLOOKUP(D30,Oficial!A:C,3,0)</f>
        <v>Arrastre</v>
      </c>
    </row>
    <row r="31" spans="1:30" x14ac:dyDescent="0.25">
      <c r="A31" s="36" t="s">
        <v>27</v>
      </c>
      <c r="B31" s="36" t="s">
        <v>51</v>
      </c>
      <c r="C31" s="36" t="s">
        <v>28</v>
      </c>
      <c r="D31" s="36" t="s">
        <v>51</v>
      </c>
      <c r="E31" s="36" t="s">
        <v>30</v>
      </c>
      <c r="F31" s="36" t="s">
        <v>31</v>
      </c>
      <c r="G31" s="37" t="s">
        <v>32</v>
      </c>
      <c r="H31" s="36" t="s">
        <v>52</v>
      </c>
      <c r="I31" s="36" t="s">
        <v>53</v>
      </c>
      <c r="J31" s="36">
        <v>1</v>
      </c>
      <c r="K31" s="36" t="s">
        <v>54</v>
      </c>
      <c r="L31" s="36">
        <v>1</v>
      </c>
      <c r="M31" s="36">
        <v>1</v>
      </c>
      <c r="N31" s="38">
        <v>20136000</v>
      </c>
      <c r="O31" s="42">
        <v>559333</v>
      </c>
      <c r="P31" s="36">
        <v>36</v>
      </c>
      <c r="Q31" s="36" t="s">
        <v>36</v>
      </c>
      <c r="R31" s="36" t="s">
        <v>55</v>
      </c>
      <c r="S31" s="36" t="s">
        <v>56</v>
      </c>
      <c r="T31" s="36" t="s">
        <v>57</v>
      </c>
      <c r="U31" s="36" t="s">
        <v>58</v>
      </c>
      <c r="V31" s="40">
        <v>45292</v>
      </c>
      <c r="W31" s="40">
        <v>45478</v>
      </c>
      <c r="X31" s="36">
        <v>0</v>
      </c>
      <c r="Y31" s="36"/>
      <c r="Z31" s="36">
        <v>1</v>
      </c>
      <c r="AA31" s="36">
        <v>559333</v>
      </c>
      <c r="AB31" s="40">
        <v>46023</v>
      </c>
      <c r="AC31" s="36" t="s">
        <v>2196</v>
      </c>
      <c r="AD31" s="36" t="str">
        <f>VLOOKUP(D31,Oficial!A:C,3,0)</f>
        <v>Arrastre</v>
      </c>
    </row>
    <row r="32" spans="1:30" x14ac:dyDescent="0.25">
      <c r="A32" s="36" t="s">
        <v>27</v>
      </c>
      <c r="B32" s="36" t="s">
        <v>51</v>
      </c>
      <c r="C32" s="36" t="s">
        <v>28</v>
      </c>
      <c r="D32" s="36" t="s">
        <v>51</v>
      </c>
      <c r="E32" s="36" t="s">
        <v>30</v>
      </c>
      <c r="F32" s="36" t="s">
        <v>31</v>
      </c>
      <c r="G32" s="37" t="s">
        <v>32</v>
      </c>
      <c r="H32" s="36" t="s">
        <v>52</v>
      </c>
      <c r="I32" s="36" t="s">
        <v>53</v>
      </c>
      <c r="J32" s="36">
        <v>1</v>
      </c>
      <c r="K32" s="36" t="s">
        <v>54</v>
      </c>
      <c r="L32" s="36">
        <v>1</v>
      </c>
      <c r="M32" s="36">
        <v>1</v>
      </c>
      <c r="N32" s="38">
        <v>20136000</v>
      </c>
      <c r="O32" s="42">
        <v>559333</v>
      </c>
      <c r="P32" s="36">
        <v>36</v>
      </c>
      <c r="Q32" s="36" t="s">
        <v>36</v>
      </c>
      <c r="R32" s="36" t="s">
        <v>55</v>
      </c>
      <c r="S32" s="36" t="s">
        <v>56</v>
      </c>
      <c r="T32" s="36" t="s">
        <v>57</v>
      </c>
      <c r="U32" s="36" t="s">
        <v>58</v>
      </c>
      <c r="V32" s="40">
        <v>45292</v>
      </c>
      <c r="W32" s="40">
        <v>45478</v>
      </c>
      <c r="X32" s="36">
        <v>0</v>
      </c>
      <c r="Y32" s="36"/>
      <c r="Z32" s="36">
        <v>1</v>
      </c>
      <c r="AA32" s="36">
        <v>559333</v>
      </c>
      <c r="AB32" s="40">
        <v>46204</v>
      </c>
      <c r="AC32" s="36" t="s">
        <v>2196</v>
      </c>
      <c r="AD32" s="36" t="str">
        <f>VLOOKUP(D32,Oficial!A:C,3,0)</f>
        <v>Arrastre</v>
      </c>
    </row>
    <row r="33" spans="1:30" x14ac:dyDescent="0.25">
      <c r="A33" s="36" t="s">
        <v>27</v>
      </c>
      <c r="B33" s="36" t="s">
        <v>51</v>
      </c>
      <c r="C33" s="36" t="s">
        <v>28</v>
      </c>
      <c r="D33" s="36" t="s">
        <v>51</v>
      </c>
      <c r="E33" s="36" t="s">
        <v>30</v>
      </c>
      <c r="F33" s="36" t="s">
        <v>31</v>
      </c>
      <c r="G33" s="37" t="s">
        <v>32</v>
      </c>
      <c r="H33" s="36" t="s">
        <v>52</v>
      </c>
      <c r="I33" s="36" t="s">
        <v>53</v>
      </c>
      <c r="J33" s="36">
        <v>1</v>
      </c>
      <c r="K33" s="36" t="s">
        <v>54</v>
      </c>
      <c r="L33" s="36">
        <v>1</v>
      </c>
      <c r="M33" s="36">
        <v>1</v>
      </c>
      <c r="N33" s="38">
        <v>20136000</v>
      </c>
      <c r="O33" s="42">
        <v>559333</v>
      </c>
      <c r="P33" s="36">
        <v>36</v>
      </c>
      <c r="Q33" s="36" t="s">
        <v>36</v>
      </c>
      <c r="R33" s="36" t="s">
        <v>55</v>
      </c>
      <c r="S33" s="36" t="s">
        <v>56</v>
      </c>
      <c r="T33" s="36" t="s">
        <v>57</v>
      </c>
      <c r="U33" s="36" t="s">
        <v>58</v>
      </c>
      <c r="V33" s="40">
        <v>45292</v>
      </c>
      <c r="W33" s="40">
        <v>45478</v>
      </c>
      <c r="X33" s="36">
        <v>0</v>
      </c>
      <c r="Y33" s="36"/>
      <c r="Z33" s="36">
        <v>1</v>
      </c>
      <c r="AA33" s="36">
        <v>559333</v>
      </c>
      <c r="AB33" s="40">
        <v>46113</v>
      </c>
      <c r="AC33" s="36" t="s">
        <v>2196</v>
      </c>
      <c r="AD33" s="36" t="str">
        <f>VLOOKUP(D33,Oficial!A:C,3,0)</f>
        <v>Arrastre</v>
      </c>
    </row>
    <row r="34" spans="1:30" x14ac:dyDescent="0.25">
      <c r="A34" s="36" t="s">
        <v>27</v>
      </c>
      <c r="B34" s="36" t="s">
        <v>51</v>
      </c>
      <c r="C34" s="36" t="s">
        <v>28</v>
      </c>
      <c r="D34" s="36" t="s">
        <v>51</v>
      </c>
      <c r="E34" s="36" t="s">
        <v>30</v>
      </c>
      <c r="F34" s="36" t="s">
        <v>31</v>
      </c>
      <c r="G34" s="37" t="s">
        <v>32</v>
      </c>
      <c r="H34" s="36" t="s">
        <v>52</v>
      </c>
      <c r="I34" s="36" t="s">
        <v>53</v>
      </c>
      <c r="J34" s="36">
        <v>1</v>
      </c>
      <c r="K34" s="36" t="s">
        <v>54</v>
      </c>
      <c r="L34" s="36">
        <v>1</v>
      </c>
      <c r="M34" s="36">
        <v>1</v>
      </c>
      <c r="N34" s="38">
        <v>20136000</v>
      </c>
      <c r="O34" s="42">
        <v>559333</v>
      </c>
      <c r="P34" s="36">
        <v>36</v>
      </c>
      <c r="Q34" s="36" t="s">
        <v>36</v>
      </c>
      <c r="R34" s="36" t="s">
        <v>55</v>
      </c>
      <c r="S34" s="36" t="s">
        <v>56</v>
      </c>
      <c r="T34" s="36" t="s">
        <v>57</v>
      </c>
      <c r="U34" s="36" t="s">
        <v>58</v>
      </c>
      <c r="V34" s="40">
        <v>45292</v>
      </c>
      <c r="W34" s="40">
        <v>45478</v>
      </c>
      <c r="X34" s="36">
        <v>0</v>
      </c>
      <c r="Y34" s="36"/>
      <c r="Z34" s="36">
        <v>1</v>
      </c>
      <c r="AA34" s="36">
        <v>559333</v>
      </c>
      <c r="AB34" s="40">
        <v>46235</v>
      </c>
      <c r="AC34" s="36" t="s">
        <v>2196</v>
      </c>
      <c r="AD34" s="36" t="str">
        <f>VLOOKUP(D34,Oficial!A:C,3,0)</f>
        <v>Arrastre</v>
      </c>
    </row>
    <row r="35" spans="1:30" x14ac:dyDescent="0.25">
      <c r="A35" s="36" t="s">
        <v>27</v>
      </c>
      <c r="B35" s="36" t="s">
        <v>51</v>
      </c>
      <c r="C35" s="36" t="s">
        <v>28</v>
      </c>
      <c r="D35" s="36" t="s">
        <v>51</v>
      </c>
      <c r="E35" s="36" t="s">
        <v>30</v>
      </c>
      <c r="F35" s="36" t="s">
        <v>31</v>
      </c>
      <c r="G35" s="37" t="s">
        <v>32</v>
      </c>
      <c r="H35" s="36" t="s">
        <v>52</v>
      </c>
      <c r="I35" s="36" t="s">
        <v>53</v>
      </c>
      <c r="J35" s="36">
        <v>1</v>
      </c>
      <c r="K35" s="36" t="s">
        <v>54</v>
      </c>
      <c r="L35" s="36">
        <v>1</v>
      </c>
      <c r="M35" s="36">
        <v>1</v>
      </c>
      <c r="N35" s="38">
        <v>20136000</v>
      </c>
      <c r="O35" s="42">
        <v>559333</v>
      </c>
      <c r="P35" s="36">
        <v>36</v>
      </c>
      <c r="Q35" s="36" t="s">
        <v>36</v>
      </c>
      <c r="R35" s="36" t="s">
        <v>55</v>
      </c>
      <c r="S35" s="36" t="s">
        <v>56</v>
      </c>
      <c r="T35" s="36" t="s">
        <v>57</v>
      </c>
      <c r="U35" s="36" t="s">
        <v>58</v>
      </c>
      <c r="V35" s="40">
        <v>45292</v>
      </c>
      <c r="W35" s="40">
        <v>45478</v>
      </c>
      <c r="X35" s="36">
        <v>0</v>
      </c>
      <c r="Y35" s="36"/>
      <c r="Z35" s="36">
        <v>1</v>
      </c>
      <c r="AA35" s="36">
        <v>559333</v>
      </c>
      <c r="AB35" s="40">
        <v>46296</v>
      </c>
      <c r="AC35" s="36" t="s">
        <v>2196</v>
      </c>
      <c r="AD35" s="36" t="str">
        <f>VLOOKUP(D35,Oficial!A:C,3,0)</f>
        <v>Arrastre</v>
      </c>
    </row>
    <row r="36" spans="1:30" x14ac:dyDescent="0.25">
      <c r="A36" s="36" t="s">
        <v>27</v>
      </c>
      <c r="B36" s="36" t="s">
        <v>51</v>
      </c>
      <c r="C36" s="36" t="s">
        <v>28</v>
      </c>
      <c r="D36" s="36" t="s">
        <v>51</v>
      </c>
      <c r="E36" s="36" t="s">
        <v>30</v>
      </c>
      <c r="F36" s="36" t="s">
        <v>31</v>
      </c>
      <c r="G36" s="37" t="s">
        <v>32</v>
      </c>
      <c r="H36" s="36" t="s">
        <v>52</v>
      </c>
      <c r="I36" s="36" t="s">
        <v>53</v>
      </c>
      <c r="J36" s="36">
        <v>1</v>
      </c>
      <c r="K36" s="36" t="s">
        <v>54</v>
      </c>
      <c r="L36" s="36">
        <v>1</v>
      </c>
      <c r="M36" s="36">
        <v>1</v>
      </c>
      <c r="N36" s="38">
        <v>20136000</v>
      </c>
      <c r="O36" s="42">
        <v>559333</v>
      </c>
      <c r="P36" s="36">
        <v>36</v>
      </c>
      <c r="Q36" s="36" t="s">
        <v>36</v>
      </c>
      <c r="R36" s="36" t="s">
        <v>55</v>
      </c>
      <c r="S36" s="36" t="s">
        <v>56</v>
      </c>
      <c r="T36" s="36" t="s">
        <v>57</v>
      </c>
      <c r="U36" s="36" t="s">
        <v>58</v>
      </c>
      <c r="V36" s="40">
        <v>45292</v>
      </c>
      <c r="W36" s="40">
        <v>45478</v>
      </c>
      <c r="X36" s="36">
        <v>0</v>
      </c>
      <c r="Y36" s="36"/>
      <c r="Z36" s="36">
        <v>1</v>
      </c>
      <c r="AA36" s="36">
        <v>559333</v>
      </c>
      <c r="AB36" s="40">
        <v>46266</v>
      </c>
      <c r="AC36" s="36" t="s">
        <v>2196</v>
      </c>
      <c r="AD36" s="36" t="str">
        <f>VLOOKUP(D36,Oficial!A:C,3,0)</f>
        <v>Arrastre</v>
      </c>
    </row>
    <row r="37" spans="1:30" x14ac:dyDescent="0.25">
      <c r="A37" s="36" t="s">
        <v>27</v>
      </c>
      <c r="B37" s="36" t="s">
        <v>51</v>
      </c>
      <c r="C37" s="36" t="s">
        <v>28</v>
      </c>
      <c r="D37" s="36" t="s">
        <v>51</v>
      </c>
      <c r="E37" s="36" t="s">
        <v>30</v>
      </c>
      <c r="F37" s="36" t="s">
        <v>31</v>
      </c>
      <c r="G37" s="37" t="s">
        <v>32</v>
      </c>
      <c r="H37" s="36" t="s">
        <v>52</v>
      </c>
      <c r="I37" s="36" t="s">
        <v>53</v>
      </c>
      <c r="J37" s="36">
        <v>1</v>
      </c>
      <c r="K37" s="36" t="s">
        <v>54</v>
      </c>
      <c r="L37" s="36">
        <v>1</v>
      </c>
      <c r="M37" s="36">
        <v>1</v>
      </c>
      <c r="N37" s="38">
        <v>20136000</v>
      </c>
      <c r="O37" s="42">
        <v>559333</v>
      </c>
      <c r="P37" s="36">
        <v>36</v>
      </c>
      <c r="Q37" s="36" t="s">
        <v>36</v>
      </c>
      <c r="R37" s="36" t="s">
        <v>55</v>
      </c>
      <c r="S37" s="36" t="s">
        <v>56</v>
      </c>
      <c r="T37" s="36" t="s">
        <v>57</v>
      </c>
      <c r="U37" s="36" t="s">
        <v>58</v>
      </c>
      <c r="V37" s="40">
        <v>45292</v>
      </c>
      <c r="W37" s="40">
        <v>45478</v>
      </c>
      <c r="X37" s="36">
        <v>0</v>
      </c>
      <c r="Y37" s="36"/>
      <c r="Z37" s="36">
        <v>1</v>
      </c>
      <c r="AA37" s="36">
        <v>559333</v>
      </c>
      <c r="AB37" s="40">
        <v>46327</v>
      </c>
      <c r="AC37" s="36" t="s">
        <v>2196</v>
      </c>
      <c r="AD37" s="36" t="str">
        <f>VLOOKUP(D37,Oficial!A:C,3,0)</f>
        <v>Arrastre</v>
      </c>
    </row>
    <row r="38" spans="1:30" x14ac:dyDescent="0.25">
      <c r="A38" s="36" t="s">
        <v>27</v>
      </c>
      <c r="B38" s="36" t="s">
        <v>59</v>
      </c>
      <c r="C38" s="36" t="s">
        <v>28</v>
      </c>
      <c r="D38" s="36" t="s">
        <v>59</v>
      </c>
      <c r="E38" s="36" t="s">
        <v>45</v>
      </c>
      <c r="F38" s="36" t="s">
        <v>31</v>
      </c>
      <c r="G38" s="37" t="s">
        <v>32</v>
      </c>
      <c r="H38" s="36" t="s">
        <v>60</v>
      </c>
      <c r="I38" s="36" t="s">
        <v>61</v>
      </c>
      <c r="J38" s="36">
        <v>1</v>
      </c>
      <c r="K38" s="36" t="s">
        <v>62</v>
      </c>
      <c r="L38" s="36">
        <v>1</v>
      </c>
      <c r="M38" s="36">
        <v>1</v>
      </c>
      <c r="N38" s="38">
        <v>130000000</v>
      </c>
      <c r="O38" s="42">
        <v>3611111</v>
      </c>
      <c r="P38" s="36">
        <v>36</v>
      </c>
      <c r="Q38" s="36" t="s">
        <v>63</v>
      </c>
      <c r="R38" s="36" t="s">
        <v>64</v>
      </c>
      <c r="S38" s="36" t="s">
        <v>65</v>
      </c>
      <c r="T38" s="36" t="s">
        <v>66</v>
      </c>
      <c r="U38" s="36" t="s">
        <v>67</v>
      </c>
      <c r="V38" s="40">
        <v>45413</v>
      </c>
      <c r="W38" s="40">
        <v>45478</v>
      </c>
      <c r="X38" s="36">
        <v>0</v>
      </c>
      <c r="Y38" s="36"/>
      <c r="Z38" s="36">
        <v>1</v>
      </c>
      <c r="AA38" s="36">
        <v>3611111</v>
      </c>
      <c r="AB38" s="40">
        <v>46204</v>
      </c>
      <c r="AC38" s="36" t="s">
        <v>2196</v>
      </c>
      <c r="AD38" s="36" t="str">
        <f>VLOOKUP(D38,Oficial!A:C,3,0)</f>
        <v>Arrastre</v>
      </c>
    </row>
    <row r="39" spans="1:30" x14ac:dyDescent="0.25">
      <c r="A39" s="36" t="s">
        <v>27</v>
      </c>
      <c r="B39" s="36" t="s">
        <v>59</v>
      </c>
      <c r="C39" s="36" t="s">
        <v>28</v>
      </c>
      <c r="D39" s="36" t="s">
        <v>59</v>
      </c>
      <c r="E39" s="36" t="s">
        <v>45</v>
      </c>
      <c r="F39" s="36" t="s">
        <v>31</v>
      </c>
      <c r="G39" s="37" t="s">
        <v>32</v>
      </c>
      <c r="H39" s="36" t="s">
        <v>60</v>
      </c>
      <c r="I39" s="36" t="s">
        <v>61</v>
      </c>
      <c r="J39" s="36">
        <v>1</v>
      </c>
      <c r="K39" s="36" t="s">
        <v>62</v>
      </c>
      <c r="L39" s="36">
        <v>1</v>
      </c>
      <c r="M39" s="36">
        <v>1</v>
      </c>
      <c r="N39" s="38">
        <v>130000000</v>
      </c>
      <c r="O39" s="42">
        <v>3611111</v>
      </c>
      <c r="P39" s="36">
        <v>36</v>
      </c>
      <c r="Q39" s="36" t="s">
        <v>63</v>
      </c>
      <c r="R39" s="36" t="s">
        <v>64</v>
      </c>
      <c r="S39" s="36" t="s">
        <v>65</v>
      </c>
      <c r="T39" s="36" t="s">
        <v>66</v>
      </c>
      <c r="U39" s="36" t="s">
        <v>67</v>
      </c>
      <c r="V39" s="40">
        <v>45413</v>
      </c>
      <c r="W39" s="40">
        <v>45478</v>
      </c>
      <c r="X39" s="36">
        <v>0</v>
      </c>
      <c r="Y39" s="36"/>
      <c r="Z39" s="36">
        <v>1</v>
      </c>
      <c r="AA39" s="36">
        <v>3611111</v>
      </c>
      <c r="AB39" s="40">
        <v>46023</v>
      </c>
      <c r="AC39" s="36" t="s">
        <v>2196</v>
      </c>
      <c r="AD39" s="36" t="str">
        <f>VLOOKUP(D39,Oficial!A:C,3,0)</f>
        <v>Arrastre</v>
      </c>
    </row>
    <row r="40" spans="1:30" x14ac:dyDescent="0.25">
      <c r="A40" s="36" t="s">
        <v>27</v>
      </c>
      <c r="B40" s="36" t="s">
        <v>59</v>
      </c>
      <c r="C40" s="36" t="s">
        <v>28</v>
      </c>
      <c r="D40" s="36" t="s">
        <v>59</v>
      </c>
      <c r="E40" s="36" t="s">
        <v>45</v>
      </c>
      <c r="F40" s="36" t="s">
        <v>31</v>
      </c>
      <c r="G40" s="37" t="s">
        <v>32</v>
      </c>
      <c r="H40" s="36" t="s">
        <v>60</v>
      </c>
      <c r="I40" s="36" t="s">
        <v>61</v>
      </c>
      <c r="J40" s="36">
        <v>1</v>
      </c>
      <c r="K40" s="36" t="s">
        <v>62</v>
      </c>
      <c r="L40" s="36">
        <v>1</v>
      </c>
      <c r="M40" s="36">
        <v>1</v>
      </c>
      <c r="N40" s="38">
        <v>130000000</v>
      </c>
      <c r="O40" s="42">
        <v>3611111</v>
      </c>
      <c r="P40" s="36">
        <v>36</v>
      </c>
      <c r="Q40" s="36" t="s">
        <v>63</v>
      </c>
      <c r="R40" s="36" t="s">
        <v>64</v>
      </c>
      <c r="S40" s="36" t="s">
        <v>65</v>
      </c>
      <c r="T40" s="36" t="s">
        <v>66</v>
      </c>
      <c r="U40" s="36" t="s">
        <v>67</v>
      </c>
      <c r="V40" s="40">
        <v>45413</v>
      </c>
      <c r="W40" s="40">
        <v>45478</v>
      </c>
      <c r="X40" s="36">
        <v>0</v>
      </c>
      <c r="Y40" s="36"/>
      <c r="Z40" s="36">
        <v>1</v>
      </c>
      <c r="AA40" s="36">
        <v>3611111</v>
      </c>
      <c r="AB40" s="40">
        <v>46357</v>
      </c>
      <c r="AC40" s="36" t="s">
        <v>2196</v>
      </c>
      <c r="AD40" s="36" t="str">
        <f>VLOOKUP(D40,Oficial!A:C,3,0)</f>
        <v>Arrastre</v>
      </c>
    </row>
    <row r="41" spans="1:30" x14ac:dyDescent="0.25">
      <c r="A41" s="36" t="s">
        <v>27</v>
      </c>
      <c r="B41" s="36" t="s">
        <v>59</v>
      </c>
      <c r="C41" s="36" t="s">
        <v>28</v>
      </c>
      <c r="D41" s="36" t="s">
        <v>59</v>
      </c>
      <c r="E41" s="36" t="s">
        <v>45</v>
      </c>
      <c r="F41" s="36" t="s">
        <v>31</v>
      </c>
      <c r="G41" s="37" t="s">
        <v>32</v>
      </c>
      <c r="H41" s="36" t="s">
        <v>60</v>
      </c>
      <c r="I41" s="36" t="s">
        <v>61</v>
      </c>
      <c r="J41" s="36">
        <v>1</v>
      </c>
      <c r="K41" s="36" t="s">
        <v>62</v>
      </c>
      <c r="L41" s="36">
        <v>1</v>
      </c>
      <c r="M41" s="36">
        <v>1</v>
      </c>
      <c r="N41" s="38">
        <v>130000000</v>
      </c>
      <c r="O41" s="42">
        <v>3611111</v>
      </c>
      <c r="P41" s="36">
        <v>36</v>
      </c>
      <c r="Q41" s="36" t="s">
        <v>63</v>
      </c>
      <c r="R41" s="36" t="s">
        <v>64</v>
      </c>
      <c r="S41" s="36" t="s">
        <v>65</v>
      </c>
      <c r="T41" s="36" t="s">
        <v>66</v>
      </c>
      <c r="U41" s="36" t="s">
        <v>67</v>
      </c>
      <c r="V41" s="40">
        <v>45413</v>
      </c>
      <c r="W41" s="40">
        <v>45478</v>
      </c>
      <c r="X41" s="36">
        <v>0</v>
      </c>
      <c r="Y41" s="36"/>
      <c r="Z41" s="36">
        <v>1</v>
      </c>
      <c r="AA41" s="36">
        <v>3611111</v>
      </c>
      <c r="AB41" s="40">
        <v>46174</v>
      </c>
      <c r="AC41" s="36" t="s">
        <v>2196</v>
      </c>
      <c r="AD41" s="36" t="str">
        <f>VLOOKUP(D41,Oficial!A:C,3,0)</f>
        <v>Arrastre</v>
      </c>
    </row>
    <row r="42" spans="1:30" x14ac:dyDescent="0.25">
      <c r="A42" s="36" t="s">
        <v>27</v>
      </c>
      <c r="B42" s="36" t="s">
        <v>59</v>
      </c>
      <c r="C42" s="36" t="s">
        <v>28</v>
      </c>
      <c r="D42" s="36" t="s">
        <v>59</v>
      </c>
      <c r="E42" s="36" t="s">
        <v>45</v>
      </c>
      <c r="F42" s="36" t="s">
        <v>31</v>
      </c>
      <c r="G42" s="37" t="s">
        <v>32</v>
      </c>
      <c r="H42" s="36" t="s">
        <v>60</v>
      </c>
      <c r="I42" s="36" t="s">
        <v>61</v>
      </c>
      <c r="J42" s="36">
        <v>1</v>
      </c>
      <c r="K42" s="36" t="s">
        <v>62</v>
      </c>
      <c r="L42" s="36">
        <v>1</v>
      </c>
      <c r="M42" s="36">
        <v>1</v>
      </c>
      <c r="N42" s="38">
        <v>130000000</v>
      </c>
      <c r="O42" s="42">
        <v>3611111</v>
      </c>
      <c r="P42" s="36">
        <v>36</v>
      </c>
      <c r="Q42" s="36" t="s">
        <v>63</v>
      </c>
      <c r="R42" s="36" t="s">
        <v>64</v>
      </c>
      <c r="S42" s="36" t="s">
        <v>65</v>
      </c>
      <c r="T42" s="36" t="s">
        <v>66</v>
      </c>
      <c r="U42" s="36" t="s">
        <v>67</v>
      </c>
      <c r="V42" s="40">
        <v>45413</v>
      </c>
      <c r="W42" s="40">
        <v>45478</v>
      </c>
      <c r="X42" s="36">
        <v>0</v>
      </c>
      <c r="Y42" s="36"/>
      <c r="Z42" s="36">
        <v>1</v>
      </c>
      <c r="AA42" s="36">
        <v>3611111</v>
      </c>
      <c r="AB42" s="40">
        <v>46266</v>
      </c>
      <c r="AC42" s="36" t="s">
        <v>2196</v>
      </c>
      <c r="AD42" s="36" t="str">
        <f>VLOOKUP(D42,Oficial!A:C,3,0)</f>
        <v>Arrastre</v>
      </c>
    </row>
    <row r="43" spans="1:30" x14ac:dyDescent="0.25">
      <c r="A43" s="36" t="s">
        <v>27</v>
      </c>
      <c r="B43" s="36" t="s">
        <v>59</v>
      </c>
      <c r="C43" s="36" t="s">
        <v>28</v>
      </c>
      <c r="D43" s="36" t="s">
        <v>59</v>
      </c>
      <c r="E43" s="36" t="s">
        <v>45</v>
      </c>
      <c r="F43" s="36" t="s">
        <v>31</v>
      </c>
      <c r="G43" s="37" t="s">
        <v>32</v>
      </c>
      <c r="H43" s="36" t="s">
        <v>60</v>
      </c>
      <c r="I43" s="36" t="s">
        <v>61</v>
      </c>
      <c r="J43" s="36">
        <v>1</v>
      </c>
      <c r="K43" s="36" t="s">
        <v>62</v>
      </c>
      <c r="L43" s="36">
        <v>1</v>
      </c>
      <c r="M43" s="36">
        <v>1</v>
      </c>
      <c r="N43" s="38">
        <v>130000000</v>
      </c>
      <c r="O43" s="42">
        <v>3611111</v>
      </c>
      <c r="P43" s="36">
        <v>36</v>
      </c>
      <c r="Q43" s="36" t="s">
        <v>63</v>
      </c>
      <c r="R43" s="36" t="s">
        <v>64</v>
      </c>
      <c r="S43" s="36" t="s">
        <v>65</v>
      </c>
      <c r="T43" s="36" t="s">
        <v>66</v>
      </c>
      <c r="U43" s="36" t="s">
        <v>67</v>
      </c>
      <c r="V43" s="40">
        <v>45413</v>
      </c>
      <c r="W43" s="40">
        <v>45478</v>
      </c>
      <c r="X43" s="36">
        <v>0</v>
      </c>
      <c r="Y43" s="36"/>
      <c r="Z43" s="36">
        <v>1</v>
      </c>
      <c r="AA43" s="36">
        <v>3611111</v>
      </c>
      <c r="AB43" s="40">
        <v>46235</v>
      </c>
      <c r="AC43" s="36" t="s">
        <v>2196</v>
      </c>
      <c r="AD43" s="36" t="str">
        <f>VLOOKUP(D43,Oficial!A:C,3,0)</f>
        <v>Arrastre</v>
      </c>
    </row>
    <row r="44" spans="1:30" x14ac:dyDescent="0.25">
      <c r="A44" s="36" t="s">
        <v>27</v>
      </c>
      <c r="B44" s="36" t="s">
        <v>59</v>
      </c>
      <c r="C44" s="36" t="s">
        <v>28</v>
      </c>
      <c r="D44" s="36" t="s">
        <v>59</v>
      </c>
      <c r="E44" s="36" t="s">
        <v>45</v>
      </c>
      <c r="F44" s="36" t="s">
        <v>31</v>
      </c>
      <c r="G44" s="37" t="s">
        <v>32</v>
      </c>
      <c r="H44" s="36" t="s">
        <v>60</v>
      </c>
      <c r="I44" s="36" t="s">
        <v>61</v>
      </c>
      <c r="J44" s="36">
        <v>1</v>
      </c>
      <c r="K44" s="36" t="s">
        <v>62</v>
      </c>
      <c r="L44" s="36">
        <v>1</v>
      </c>
      <c r="M44" s="36">
        <v>1</v>
      </c>
      <c r="N44" s="38">
        <v>130000000</v>
      </c>
      <c r="O44" s="42">
        <v>3611111</v>
      </c>
      <c r="P44" s="36">
        <v>36</v>
      </c>
      <c r="Q44" s="36" t="s">
        <v>63</v>
      </c>
      <c r="R44" s="36" t="s">
        <v>64</v>
      </c>
      <c r="S44" s="36" t="s">
        <v>65</v>
      </c>
      <c r="T44" s="36" t="s">
        <v>66</v>
      </c>
      <c r="U44" s="36" t="s">
        <v>67</v>
      </c>
      <c r="V44" s="40">
        <v>45413</v>
      </c>
      <c r="W44" s="40">
        <v>45478</v>
      </c>
      <c r="X44" s="36">
        <v>0</v>
      </c>
      <c r="Y44" s="36"/>
      <c r="Z44" s="36">
        <v>1</v>
      </c>
      <c r="AA44" s="36">
        <v>3611111</v>
      </c>
      <c r="AB44" s="40">
        <v>46054</v>
      </c>
      <c r="AC44" s="36" t="s">
        <v>2196</v>
      </c>
      <c r="AD44" s="36" t="str">
        <f>VLOOKUP(D44,Oficial!A:C,3,0)</f>
        <v>Arrastre</v>
      </c>
    </row>
    <row r="45" spans="1:30" x14ac:dyDescent="0.25">
      <c r="A45" s="36" t="s">
        <v>27</v>
      </c>
      <c r="B45" s="36" t="s">
        <v>59</v>
      </c>
      <c r="C45" s="36" t="s">
        <v>28</v>
      </c>
      <c r="D45" s="36" t="s">
        <v>59</v>
      </c>
      <c r="E45" s="36" t="s">
        <v>45</v>
      </c>
      <c r="F45" s="36" t="s">
        <v>31</v>
      </c>
      <c r="G45" s="37" t="s">
        <v>32</v>
      </c>
      <c r="H45" s="36" t="s">
        <v>60</v>
      </c>
      <c r="I45" s="36" t="s">
        <v>61</v>
      </c>
      <c r="J45" s="36">
        <v>1</v>
      </c>
      <c r="K45" s="36" t="s">
        <v>62</v>
      </c>
      <c r="L45" s="36">
        <v>1</v>
      </c>
      <c r="M45" s="36">
        <v>1</v>
      </c>
      <c r="N45" s="38">
        <v>130000000</v>
      </c>
      <c r="O45" s="42">
        <v>3611111</v>
      </c>
      <c r="P45" s="36">
        <v>36</v>
      </c>
      <c r="Q45" s="36" t="s">
        <v>63</v>
      </c>
      <c r="R45" s="36" t="s">
        <v>64</v>
      </c>
      <c r="S45" s="36" t="s">
        <v>65</v>
      </c>
      <c r="T45" s="36" t="s">
        <v>66</v>
      </c>
      <c r="U45" s="36" t="s">
        <v>67</v>
      </c>
      <c r="V45" s="40">
        <v>45413</v>
      </c>
      <c r="W45" s="40">
        <v>45478</v>
      </c>
      <c r="X45" s="36">
        <v>0</v>
      </c>
      <c r="Y45" s="36"/>
      <c r="Z45" s="36">
        <v>1</v>
      </c>
      <c r="AA45" s="36">
        <v>3611111</v>
      </c>
      <c r="AB45" s="40">
        <v>46327</v>
      </c>
      <c r="AC45" s="36" t="s">
        <v>2196</v>
      </c>
      <c r="AD45" s="36" t="str">
        <f>VLOOKUP(D45,Oficial!A:C,3,0)</f>
        <v>Arrastre</v>
      </c>
    </row>
    <row r="46" spans="1:30" x14ac:dyDescent="0.25">
      <c r="A46" s="36" t="s">
        <v>27</v>
      </c>
      <c r="B46" s="36" t="s">
        <v>59</v>
      </c>
      <c r="C46" s="36" t="s">
        <v>28</v>
      </c>
      <c r="D46" s="36" t="s">
        <v>59</v>
      </c>
      <c r="E46" s="36" t="s">
        <v>45</v>
      </c>
      <c r="F46" s="36" t="s">
        <v>31</v>
      </c>
      <c r="G46" s="37" t="s">
        <v>32</v>
      </c>
      <c r="H46" s="36" t="s">
        <v>60</v>
      </c>
      <c r="I46" s="36" t="s">
        <v>61</v>
      </c>
      <c r="J46" s="36">
        <v>1</v>
      </c>
      <c r="K46" s="36" t="s">
        <v>62</v>
      </c>
      <c r="L46" s="36">
        <v>1</v>
      </c>
      <c r="M46" s="36">
        <v>1</v>
      </c>
      <c r="N46" s="38">
        <v>130000000</v>
      </c>
      <c r="O46" s="42">
        <v>3611111</v>
      </c>
      <c r="P46" s="36">
        <v>36</v>
      </c>
      <c r="Q46" s="36" t="s">
        <v>63</v>
      </c>
      <c r="R46" s="36" t="s">
        <v>64</v>
      </c>
      <c r="S46" s="36" t="s">
        <v>65</v>
      </c>
      <c r="T46" s="36" t="s">
        <v>66</v>
      </c>
      <c r="U46" s="36" t="s">
        <v>67</v>
      </c>
      <c r="V46" s="40">
        <v>45413</v>
      </c>
      <c r="W46" s="40">
        <v>45478</v>
      </c>
      <c r="X46" s="36">
        <v>0</v>
      </c>
      <c r="Y46" s="36"/>
      <c r="Z46" s="36">
        <v>1</v>
      </c>
      <c r="AA46" s="36">
        <v>3611111</v>
      </c>
      <c r="AB46" s="40">
        <v>46113</v>
      </c>
      <c r="AC46" s="36" t="s">
        <v>2196</v>
      </c>
      <c r="AD46" s="36" t="str">
        <f>VLOOKUP(D46,Oficial!A:C,3,0)</f>
        <v>Arrastre</v>
      </c>
    </row>
    <row r="47" spans="1:30" x14ac:dyDescent="0.25">
      <c r="A47" s="36" t="s">
        <v>27</v>
      </c>
      <c r="B47" s="36" t="s">
        <v>59</v>
      </c>
      <c r="C47" s="36" t="s">
        <v>28</v>
      </c>
      <c r="D47" s="36" t="s">
        <v>59</v>
      </c>
      <c r="E47" s="36" t="s">
        <v>45</v>
      </c>
      <c r="F47" s="36" t="s">
        <v>31</v>
      </c>
      <c r="G47" s="37" t="s">
        <v>32</v>
      </c>
      <c r="H47" s="36" t="s">
        <v>60</v>
      </c>
      <c r="I47" s="36" t="s">
        <v>61</v>
      </c>
      <c r="J47" s="36">
        <v>1</v>
      </c>
      <c r="K47" s="36" t="s">
        <v>62</v>
      </c>
      <c r="L47" s="36">
        <v>1</v>
      </c>
      <c r="M47" s="36">
        <v>1</v>
      </c>
      <c r="N47" s="38">
        <v>130000000</v>
      </c>
      <c r="O47" s="42">
        <v>3611111</v>
      </c>
      <c r="P47" s="36">
        <v>36</v>
      </c>
      <c r="Q47" s="36" t="s">
        <v>63</v>
      </c>
      <c r="R47" s="36" t="s">
        <v>64</v>
      </c>
      <c r="S47" s="36" t="s">
        <v>65</v>
      </c>
      <c r="T47" s="36" t="s">
        <v>66</v>
      </c>
      <c r="U47" s="36" t="s">
        <v>67</v>
      </c>
      <c r="V47" s="40">
        <v>45413</v>
      </c>
      <c r="W47" s="40">
        <v>45478</v>
      </c>
      <c r="X47" s="36">
        <v>0</v>
      </c>
      <c r="Y47" s="36"/>
      <c r="Z47" s="36">
        <v>1</v>
      </c>
      <c r="AA47" s="36">
        <v>3611111</v>
      </c>
      <c r="AB47" s="40">
        <v>46143</v>
      </c>
      <c r="AC47" s="36" t="s">
        <v>2196</v>
      </c>
      <c r="AD47" s="36" t="str">
        <f>VLOOKUP(D47,Oficial!A:C,3,0)</f>
        <v>Arrastre</v>
      </c>
    </row>
    <row r="48" spans="1:30" x14ac:dyDescent="0.25">
      <c r="A48" s="36" t="s">
        <v>27</v>
      </c>
      <c r="B48" s="36" t="s">
        <v>59</v>
      </c>
      <c r="C48" s="36" t="s">
        <v>28</v>
      </c>
      <c r="D48" s="36" t="s">
        <v>59</v>
      </c>
      <c r="E48" s="36" t="s">
        <v>45</v>
      </c>
      <c r="F48" s="36" t="s">
        <v>31</v>
      </c>
      <c r="G48" s="37" t="s">
        <v>32</v>
      </c>
      <c r="H48" s="36" t="s">
        <v>60</v>
      </c>
      <c r="I48" s="36" t="s">
        <v>61</v>
      </c>
      <c r="J48" s="36">
        <v>1</v>
      </c>
      <c r="K48" s="36" t="s">
        <v>62</v>
      </c>
      <c r="L48" s="36">
        <v>1</v>
      </c>
      <c r="M48" s="36">
        <v>1</v>
      </c>
      <c r="N48" s="38">
        <v>130000000</v>
      </c>
      <c r="O48" s="42">
        <v>3611111</v>
      </c>
      <c r="P48" s="36">
        <v>36</v>
      </c>
      <c r="Q48" s="36" t="s">
        <v>63</v>
      </c>
      <c r="R48" s="36" t="s">
        <v>64</v>
      </c>
      <c r="S48" s="36" t="s">
        <v>65</v>
      </c>
      <c r="T48" s="36" t="s">
        <v>66</v>
      </c>
      <c r="U48" s="36" t="s">
        <v>67</v>
      </c>
      <c r="V48" s="40">
        <v>45413</v>
      </c>
      <c r="W48" s="40">
        <v>45478</v>
      </c>
      <c r="X48" s="36">
        <v>0</v>
      </c>
      <c r="Y48" s="36"/>
      <c r="Z48" s="36">
        <v>1</v>
      </c>
      <c r="AA48" s="36">
        <v>3611111</v>
      </c>
      <c r="AB48" s="40">
        <v>46082</v>
      </c>
      <c r="AC48" s="36" t="s">
        <v>2196</v>
      </c>
      <c r="AD48" s="36" t="str">
        <f>VLOOKUP(D48,Oficial!A:C,3,0)</f>
        <v>Arrastre</v>
      </c>
    </row>
    <row r="49" spans="1:30" x14ac:dyDescent="0.25">
      <c r="A49" s="36" t="s">
        <v>27</v>
      </c>
      <c r="B49" s="36" t="s">
        <v>59</v>
      </c>
      <c r="C49" s="36" t="s">
        <v>28</v>
      </c>
      <c r="D49" s="36" t="s">
        <v>59</v>
      </c>
      <c r="E49" s="36" t="s">
        <v>45</v>
      </c>
      <c r="F49" s="36" t="s">
        <v>31</v>
      </c>
      <c r="G49" s="37" t="s">
        <v>32</v>
      </c>
      <c r="H49" s="36" t="s">
        <v>60</v>
      </c>
      <c r="I49" s="36" t="s">
        <v>61</v>
      </c>
      <c r="J49" s="36">
        <v>1</v>
      </c>
      <c r="K49" s="36" t="s">
        <v>62</v>
      </c>
      <c r="L49" s="36">
        <v>1</v>
      </c>
      <c r="M49" s="36">
        <v>1</v>
      </c>
      <c r="N49" s="38">
        <v>130000000</v>
      </c>
      <c r="O49" s="42">
        <v>3611111</v>
      </c>
      <c r="P49" s="36">
        <v>36</v>
      </c>
      <c r="Q49" s="36" t="s">
        <v>63</v>
      </c>
      <c r="R49" s="36" t="s">
        <v>64</v>
      </c>
      <c r="S49" s="36" t="s">
        <v>65</v>
      </c>
      <c r="T49" s="36" t="s">
        <v>66</v>
      </c>
      <c r="U49" s="36" t="s">
        <v>67</v>
      </c>
      <c r="V49" s="40">
        <v>45413</v>
      </c>
      <c r="W49" s="40">
        <v>45478</v>
      </c>
      <c r="X49" s="36">
        <v>0</v>
      </c>
      <c r="Y49" s="36"/>
      <c r="Z49" s="36">
        <v>1</v>
      </c>
      <c r="AA49" s="36">
        <v>3611111</v>
      </c>
      <c r="AB49" s="40">
        <v>46296</v>
      </c>
      <c r="AC49" s="36" t="s">
        <v>2196</v>
      </c>
      <c r="AD49" s="36" t="str">
        <f>VLOOKUP(D49,Oficial!A:C,3,0)</f>
        <v>Arrastre</v>
      </c>
    </row>
    <row r="50" spans="1:30" x14ac:dyDescent="0.25">
      <c r="A50" s="36" t="s">
        <v>27</v>
      </c>
      <c r="B50" s="36" t="s">
        <v>68</v>
      </c>
      <c r="C50" s="36" t="s">
        <v>28</v>
      </c>
      <c r="D50" s="36" t="s">
        <v>68</v>
      </c>
      <c r="E50" s="36" t="s">
        <v>30</v>
      </c>
      <c r="F50" s="36" t="s">
        <v>31</v>
      </c>
      <c r="G50" s="37" t="s">
        <v>69</v>
      </c>
      <c r="H50" s="36" t="s">
        <v>70</v>
      </c>
      <c r="I50" s="36" t="s">
        <v>71</v>
      </c>
      <c r="J50" s="36">
        <v>1</v>
      </c>
      <c r="K50" s="36" t="s">
        <v>72</v>
      </c>
      <c r="L50" s="36">
        <v>1</v>
      </c>
      <c r="M50" s="36">
        <v>1</v>
      </c>
      <c r="N50" s="38">
        <v>80865750</v>
      </c>
      <c r="O50" s="43">
        <v>3369406</v>
      </c>
      <c r="P50" s="36">
        <v>24</v>
      </c>
      <c r="Q50" s="36" t="s">
        <v>73</v>
      </c>
      <c r="R50" s="36" t="s">
        <v>74</v>
      </c>
      <c r="S50" s="36" t="s">
        <v>75</v>
      </c>
      <c r="T50" s="36" t="s">
        <v>76</v>
      </c>
      <c r="U50" s="36" t="s">
        <v>77</v>
      </c>
      <c r="V50" s="40">
        <v>45474</v>
      </c>
      <c r="W50" s="40">
        <v>45478</v>
      </c>
      <c r="X50" s="36">
        <v>12</v>
      </c>
      <c r="Y50" s="36" t="s">
        <v>78</v>
      </c>
      <c r="Z50" s="36">
        <v>1</v>
      </c>
      <c r="AA50" s="36">
        <v>3369406</v>
      </c>
      <c r="AB50" s="40">
        <v>46054</v>
      </c>
      <c r="AC50" s="36" t="s">
        <v>2196</v>
      </c>
      <c r="AD50" s="36" t="str">
        <f>VLOOKUP(D50,Oficial!A:C,3,0)</f>
        <v>Arrastre</v>
      </c>
    </row>
    <row r="51" spans="1:30" x14ac:dyDescent="0.25">
      <c r="A51" s="36" t="s">
        <v>27</v>
      </c>
      <c r="B51" s="36" t="s">
        <v>68</v>
      </c>
      <c r="C51" s="36" t="s">
        <v>28</v>
      </c>
      <c r="D51" s="36" t="s">
        <v>68</v>
      </c>
      <c r="E51" s="36" t="s">
        <v>30</v>
      </c>
      <c r="F51" s="36" t="s">
        <v>31</v>
      </c>
      <c r="G51" s="37" t="s">
        <v>69</v>
      </c>
      <c r="H51" s="36" t="s">
        <v>70</v>
      </c>
      <c r="I51" s="36" t="s">
        <v>71</v>
      </c>
      <c r="J51" s="36">
        <v>1</v>
      </c>
      <c r="K51" s="36" t="s">
        <v>72</v>
      </c>
      <c r="L51" s="36">
        <v>1</v>
      </c>
      <c r="M51" s="36">
        <v>1</v>
      </c>
      <c r="N51" s="38">
        <v>80865750</v>
      </c>
      <c r="O51" s="43">
        <v>3369406</v>
      </c>
      <c r="P51" s="36">
        <v>24</v>
      </c>
      <c r="Q51" s="36" t="s">
        <v>73</v>
      </c>
      <c r="R51" s="36" t="s">
        <v>74</v>
      </c>
      <c r="S51" s="36" t="s">
        <v>75</v>
      </c>
      <c r="T51" s="36" t="s">
        <v>76</v>
      </c>
      <c r="U51" s="36" t="s">
        <v>77</v>
      </c>
      <c r="V51" s="40">
        <v>45474</v>
      </c>
      <c r="W51" s="40">
        <v>45478</v>
      </c>
      <c r="X51" s="36">
        <v>12</v>
      </c>
      <c r="Y51" s="36" t="s">
        <v>79</v>
      </c>
      <c r="Z51" s="36">
        <v>1</v>
      </c>
      <c r="AA51" s="36">
        <v>3369406</v>
      </c>
      <c r="AB51" s="40">
        <v>46082</v>
      </c>
      <c r="AC51" s="36" t="s">
        <v>2196</v>
      </c>
      <c r="AD51" s="36" t="str">
        <f>VLOOKUP(D51,Oficial!A:C,3,0)</f>
        <v>Arrastre</v>
      </c>
    </row>
    <row r="52" spans="1:30" x14ac:dyDescent="0.25">
      <c r="A52" s="36" t="s">
        <v>27</v>
      </c>
      <c r="B52" s="36" t="s">
        <v>68</v>
      </c>
      <c r="C52" s="36" t="s">
        <v>28</v>
      </c>
      <c r="D52" s="36" t="s">
        <v>68</v>
      </c>
      <c r="E52" s="36" t="s">
        <v>30</v>
      </c>
      <c r="F52" s="36" t="s">
        <v>31</v>
      </c>
      <c r="G52" s="37" t="s">
        <v>69</v>
      </c>
      <c r="H52" s="36" t="s">
        <v>70</v>
      </c>
      <c r="I52" s="36" t="s">
        <v>71</v>
      </c>
      <c r="J52" s="36">
        <v>1</v>
      </c>
      <c r="K52" s="36" t="s">
        <v>72</v>
      </c>
      <c r="L52" s="36">
        <v>1</v>
      </c>
      <c r="M52" s="36">
        <v>1</v>
      </c>
      <c r="N52" s="38">
        <v>80865750</v>
      </c>
      <c r="O52" s="43">
        <v>3369406</v>
      </c>
      <c r="P52" s="36">
        <v>24</v>
      </c>
      <c r="Q52" s="36" t="s">
        <v>73</v>
      </c>
      <c r="R52" s="36" t="s">
        <v>74</v>
      </c>
      <c r="S52" s="36" t="s">
        <v>75</v>
      </c>
      <c r="T52" s="36" t="s">
        <v>76</v>
      </c>
      <c r="U52" s="36" t="s">
        <v>77</v>
      </c>
      <c r="V52" s="40">
        <v>45474</v>
      </c>
      <c r="W52" s="40">
        <v>45478</v>
      </c>
      <c r="X52" s="36">
        <v>12</v>
      </c>
      <c r="Y52" s="36" t="s">
        <v>78</v>
      </c>
      <c r="Z52" s="36">
        <v>1</v>
      </c>
      <c r="AA52" s="36">
        <v>3369406</v>
      </c>
      <c r="AB52" s="40">
        <v>46204</v>
      </c>
      <c r="AC52" s="36" t="s">
        <v>2196</v>
      </c>
      <c r="AD52" s="36" t="str">
        <f>VLOOKUP(D52,Oficial!A:C,3,0)</f>
        <v>Arrastre</v>
      </c>
    </row>
    <row r="53" spans="1:30" x14ac:dyDescent="0.25">
      <c r="A53" s="36" t="s">
        <v>27</v>
      </c>
      <c r="B53" s="36" t="s">
        <v>68</v>
      </c>
      <c r="C53" s="36" t="s">
        <v>28</v>
      </c>
      <c r="D53" s="36" t="s">
        <v>68</v>
      </c>
      <c r="E53" s="36" t="s">
        <v>30</v>
      </c>
      <c r="F53" s="36" t="s">
        <v>31</v>
      </c>
      <c r="G53" s="37" t="s">
        <v>69</v>
      </c>
      <c r="H53" s="36" t="s">
        <v>70</v>
      </c>
      <c r="I53" s="36" t="s">
        <v>71</v>
      </c>
      <c r="J53" s="36">
        <v>1</v>
      </c>
      <c r="K53" s="36" t="s">
        <v>72</v>
      </c>
      <c r="L53" s="36">
        <v>1</v>
      </c>
      <c r="M53" s="36">
        <v>1</v>
      </c>
      <c r="N53" s="38">
        <v>80865750</v>
      </c>
      <c r="O53" s="43">
        <v>3369406</v>
      </c>
      <c r="P53" s="36">
        <v>24</v>
      </c>
      <c r="Q53" s="36" t="s">
        <v>73</v>
      </c>
      <c r="R53" s="36" t="s">
        <v>74</v>
      </c>
      <c r="S53" s="36" t="s">
        <v>75</v>
      </c>
      <c r="T53" s="36" t="s">
        <v>76</v>
      </c>
      <c r="U53" s="36" t="s">
        <v>77</v>
      </c>
      <c r="V53" s="40">
        <v>45474</v>
      </c>
      <c r="W53" s="40">
        <v>45478</v>
      </c>
      <c r="X53" s="36">
        <v>12</v>
      </c>
      <c r="Y53" s="36" t="s">
        <v>79</v>
      </c>
      <c r="Z53" s="36">
        <v>1</v>
      </c>
      <c r="AA53" s="36">
        <v>3369406</v>
      </c>
      <c r="AB53" s="40">
        <v>46174</v>
      </c>
      <c r="AC53" s="36" t="s">
        <v>2196</v>
      </c>
      <c r="AD53" s="36" t="str">
        <f>VLOOKUP(D53,Oficial!A:C,3,0)</f>
        <v>Arrastre</v>
      </c>
    </row>
    <row r="54" spans="1:30" x14ac:dyDescent="0.25">
      <c r="A54" s="36" t="s">
        <v>27</v>
      </c>
      <c r="B54" s="36" t="s">
        <v>68</v>
      </c>
      <c r="C54" s="36" t="s">
        <v>28</v>
      </c>
      <c r="D54" s="36" t="s">
        <v>68</v>
      </c>
      <c r="E54" s="36" t="s">
        <v>30</v>
      </c>
      <c r="F54" s="36" t="s">
        <v>31</v>
      </c>
      <c r="G54" s="37" t="s">
        <v>69</v>
      </c>
      <c r="H54" s="36" t="s">
        <v>70</v>
      </c>
      <c r="I54" s="36" t="s">
        <v>71</v>
      </c>
      <c r="J54" s="36">
        <v>1</v>
      </c>
      <c r="K54" s="36" t="s">
        <v>72</v>
      </c>
      <c r="L54" s="36">
        <v>1</v>
      </c>
      <c r="M54" s="36">
        <v>1</v>
      </c>
      <c r="N54" s="38">
        <v>80865750</v>
      </c>
      <c r="O54" s="43">
        <v>3369406</v>
      </c>
      <c r="P54" s="36">
        <v>24</v>
      </c>
      <c r="Q54" s="36" t="s">
        <v>73</v>
      </c>
      <c r="R54" s="36" t="s">
        <v>74</v>
      </c>
      <c r="S54" s="36" t="s">
        <v>75</v>
      </c>
      <c r="T54" s="36" t="s">
        <v>76</v>
      </c>
      <c r="U54" s="36" t="s">
        <v>77</v>
      </c>
      <c r="V54" s="40">
        <v>45474</v>
      </c>
      <c r="W54" s="40">
        <v>45478</v>
      </c>
      <c r="X54" s="36">
        <v>12</v>
      </c>
      <c r="Y54" s="36" t="s">
        <v>80</v>
      </c>
      <c r="Z54" s="36">
        <v>1</v>
      </c>
      <c r="AA54" s="36">
        <v>3369406</v>
      </c>
      <c r="AB54" s="40">
        <v>46174</v>
      </c>
      <c r="AC54" s="36" t="s">
        <v>2196</v>
      </c>
      <c r="AD54" s="36" t="str">
        <f>VLOOKUP(D54,Oficial!A:C,3,0)</f>
        <v>Arrastre</v>
      </c>
    </row>
    <row r="55" spans="1:30" x14ac:dyDescent="0.25">
      <c r="A55" s="36" t="s">
        <v>27</v>
      </c>
      <c r="B55" s="36" t="s">
        <v>68</v>
      </c>
      <c r="C55" s="36" t="s">
        <v>28</v>
      </c>
      <c r="D55" s="36" t="s">
        <v>68</v>
      </c>
      <c r="E55" s="36" t="s">
        <v>30</v>
      </c>
      <c r="F55" s="36" t="s">
        <v>31</v>
      </c>
      <c r="G55" s="37" t="s">
        <v>69</v>
      </c>
      <c r="H55" s="36" t="s">
        <v>70</v>
      </c>
      <c r="I55" s="36" t="s">
        <v>71</v>
      </c>
      <c r="J55" s="36">
        <v>1</v>
      </c>
      <c r="K55" s="36" t="s">
        <v>72</v>
      </c>
      <c r="L55" s="36">
        <v>1</v>
      </c>
      <c r="M55" s="36">
        <v>1</v>
      </c>
      <c r="N55" s="38">
        <v>80865750</v>
      </c>
      <c r="O55" s="43">
        <v>3369406</v>
      </c>
      <c r="P55" s="36">
        <v>24</v>
      </c>
      <c r="Q55" s="36" t="s">
        <v>73</v>
      </c>
      <c r="R55" s="36" t="s">
        <v>74</v>
      </c>
      <c r="S55" s="36" t="s">
        <v>75</v>
      </c>
      <c r="T55" s="36" t="s">
        <v>76</v>
      </c>
      <c r="U55" s="36" t="s">
        <v>77</v>
      </c>
      <c r="V55" s="40">
        <v>45474</v>
      </c>
      <c r="W55" s="40">
        <v>45478</v>
      </c>
      <c r="X55" s="36">
        <v>12</v>
      </c>
      <c r="Y55" s="36" t="s">
        <v>78</v>
      </c>
      <c r="Z55" s="36">
        <v>1</v>
      </c>
      <c r="AA55" s="36">
        <v>3369406</v>
      </c>
      <c r="AB55" s="40">
        <v>46327</v>
      </c>
      <c r="AC55" s="36" t="s">
        <v>2196</v>
      </c>
      <c r="AD55" s="36" t="str">
        <f>VLOOKUP(D55,Oficial!A:C,3,0)</f>
        <v>Arrastre</v>
      </c>
    </row>
    <row r="56" spans="1:30" x14ac:dyDescent="0.25">
      <c r="A56" s="36" t="s">
        <v>27</v>
      </c>
      <c r="B56" s="36" t="s">
        <v>68</v>
      </c>
      <c r="C56" s="36" t="s">
        <v>28</v>
      </c>
      <c r="D56" s="36" t="s">
        <v>68</v>
      </c>
      <c r="E56" s="36" t="s">
        <v>30</v>
      </c>
      <c r="F56" s="36" t="s">
        <v>31</v>
      </c>
      <c r="G56" s="37" t="s">
        <v>69</v>
      </c>
      <c r="H56" s="36" t="s">
        <v>70</v>
      </c>
      <c r="I56" s="36" t="s">
        <v>71</v>
      </c>
      <c r="J56" s="36">
        <v>1</v>
      </c>
      <c r="K56" s="36" t="s">
        <v>72</v>
      </c>
      <c r="L56" s="36">
        <v>1</v>
      </c>
      <c r="M56" s="36">
        <v>1</v>
      </c>
      <c r="N56" s="38">
        <v>80865750</v>
      </c>
      <c r="O56" s="43">
        <v>3369406</v>
      </c>
      <c r="P56" s="36">
        <v>24</v>
      </c>
      <c r="Q56" s="36" t="s">
        <v>73</v>
      </c>
      <c r="R56" s="36" t="s">
        <v>74</v>
      </c>
      <c r="S56" s="36" t="s">
        <v>75</v>
      </c>
      <c r="T56" s="36" t="s">
        <v>76</v>
      </c>
      <c r="U56" s="36" t="s">
        <v>77</v>
      </c>
      <c r="V56" s="40">
        <v>45474</v>
      </c>
      <c r="W56" s="40">
        <v>45478</v>
      </c>
      <c r="X56" s="36">
        <v>12</v>
      </c>
      <c r="Y56" s="36" t="s">
        <v>80</v>
      </c>
      <c r="Z56" s="36">
        <v>1</v>
      </c>
      <c r="AA56" s="36">
        <v>3369406</v>
      </c>
      <c r="AB56" s="40">
        <v>46204</v>
      </c>
      <c r="AC56" s="36" t="s">
        <v>2196</v>
      </c>
      <c r="AD56" s="36" t="str">
        <f>VLOOKUP(D56,Oficial!A:C,3,0)</f>
        <v>Arrastre</v>
      </c>
    </row>
    <row r="57" spans="1:30" x14ac:dyDescent="0.25">
      <c r="A57" s="36" t="s">
        <v>27</v>
      </c>
      <c r="B57" s="36" t="s">
        <v>68</v>
      </c>
      <c r="C57" s="36" t="s">
        <v>28</v>
      </c>
      <c r="D57" s="36" t="s">
        <v>68</v>
      </c>
      <c r="E57" s="36" t="s">
        <v>30</v>
      </c>
      <c r="F57" s="36" t="s">
        <v>31</v>
      </c>
      <c r="G57" s="37" t="s">
        <v>69</v>
      </c>
      <c r="H57" s="36" t="s">
        <v>70</v>
      </c>
      <c r="I57" s="36" t="s">
        <v>71</v>
      </c>
      <c r="J57" s="36">
        <v>1</v>
      </c>
      <c r="K57" s="36" t="s">
        <v>72</v>
      </c>
      <c r="L57" s="36">
        <v>1</v>
      </c>
      <c r="M57" s="36">
        <v>1</v>
      </c>
      <c r="N57" s="38">
        <v>80865750</v>
      </c>
      <c r="O57" s="43">
        <v>3369406</v>
      </c>
      <c r="P57" s="36">
        <v>24</v>
      </c>
      <c r="Q57" s="36" t="s">
        <v>73</v>
      </c>
      <c r="R57" s="36" t="s">
        <v>74</v>
      </c>
      <c r="S57" s="36" t="s">
        <v>75</v>
      </c>
      <c r="T57" s="36" t="s">
        <v>76</v>
      </c>
      <c r="U57" s="36" t="s">
        <v>77</v>
      </c>
      <c r="V57" s="40">
        <v>45474</v>
      </c>
      <c r="W57" s="40">
        <v>45478</v>
      </c>
      <c r="X57" s="36">
        <v>12</v>
      </c>
      <c r="Y57" s="36" t="s">
        <v>81</v>
      </c>
      <c r="Z57" s="36">
        <v>1</v>
      </c>
      <c r="AA57" s="36">
        <v>3369406</v>
      </c>
      <c r="AB57" s="40">
        <v>46054</v>
      </c>
      <c r="AC57" s="36" t="s">
        <v>2196</v>
      </c>
      <c r="AD57" s="36" t="str">
        <f>VLOOKUP(D57,Oficial!A:C,3,0)</f>
        <v>Arrastre</v>
      </c>
    </row>
    <row r="58" spans="1:30" x14ac:dyDescent="0.25">
      <c r="A58" s="36" t="s">
        <v>27</v>
      </c>
      <c r="B58" s="36" t="s">
        <v>68</v>
      </c>
      <c r="C58" s="36" t="s">
        <v>28</v>
      </c>
      <c r="D58" s="36" t="s">
        <v>68</v>
      </c>
      <c r="E58" s="36" t="s">
        <v>30</v>
      </c>
      <c r="F58" s="36" t="s">
        <v>31</v>
      </c>
      <c r="G58" s="37" t="s">
        <v>69</v>
      </c>
      <c r="H58" s="36" t="s">
        <v>70</v>
      </c>
      <c r="I58" s="36" t="s">
        <v>71</v>
      </c>
      <c r="J58" s="36">
        <v>1</v>
      </c>
      <c r="K58" s="36" t="s">
        <v>72</v>
      </c>
      <c r="L58" s="36">
        <v>1</v>
      </c>
      <c r="M58" s="36">
        <v>1</v>
      </c>
      <c r="N58" s="38">
        <v>80865750</v>
      </c>
      <c r="O58" s="43">
        <v>3369406</v>
      </c>
      <c r="P58" s="36">
        <v>24</v>
      </c>
      <c r="Q58" s="36" t="s">
        <v>73</v>
      </c>
      <c r="R58" s="36" t="s">
        <v>74</v>
      </c>
      <c r="S58" s="36" t="s">
        <v>75</v>
      </c>
      <c r="T58" s="36" t="s">
        <v>76</v>
      </c>
      <c r="U58" s="36" t="s">
        <v>77</v>
      </c>
      <c r="V58" s="40">
        <v>45474</v>
      </c>
      <c r="W58" s="40">
        <v>45478</v>
      </c>
      <c r="X58" s="36">
        <v>12</v>
      </c>
      <c r="Y58" s="36" t="s">
        <v>79</v>
      </c>
      <c r="Z58" s="36">
        <v>1</v>
      </c>
      <c r="AA58" s="36">
        <v>3369406</v>
      </c>
      <c r="AB58" s="40">
        <v>46054</v>
      </c>
      <c r="AC58" s="36" t="s">
        <v>2196</v>
      </c>
      <c r="AD58" s="36" t="str">
        <f>VLOOKUP(D58,Oficial!A:C,3,0)</f>
        <v>Arrastre</v>
      </c>
    </row>
    <row r="59" spans="1:30" x14ac:dyDescent="0.25">
      <c r="A59" s="36" t="s">
        <v>27</v>
      </c>
      <c r="B59" s="36" t="s">
        <v>68</v>
      </c>
      <c r="C59" s="36" t="s">
        <v>28</v>
      </c>
      <c r="D59" s="36" t="s">
        <v>68</v>
      </c>
      <c r="E59" s="36" t="s">
        <v>30</v>
      </c>
      <c r="F59" s="36" t="s">
        <v>31</v>
      </c>
      <c r="G59" s="37" t="s">
        <v>69</v>
      </c>
      <c r="H59" s="36" t="s">
        <v>70</v>
      </c>
      <c r="I59" s="36" t="s">
        <v>71</v>
      </c>
      <c r="J59" s="36">
        <v>1</v>
      </c>
      <c r="K59" s="36" t="s">
        <v>72</v>
      </c>
      <c r="L59" s="36">
        <v>1</v>
      </c>
      <c r="M59" s="36">
        <v>1</v>
      </c>
      <c r="N59" s="38">
        <v>80865750</v>
      </c>
      <c r="O59" s="43">
        <v>3369408</v>
      </c>
      <c r="P59" s="36">
        <v>24</v>
      </c>
      <c r="Q59" s="36" t="s">
        <v>73</v>
      </c>
      <c r="R59" s="36" t="s">
        <v>74</v>
      </c>
      <c r="S59" s="36" t="s">
        <v>75</v>
      </c>
      <c r="T59" s="36" t="s">
        <v>76</v>
      </c>
      <c r="U59" s="36" t="s">
        <v>77</v>
      </c>
      <c r="V59" s="40">
        <v>45474</v>
      </c>
      <c r="W59" s="40">
        <v>45478</v>
      </c>
      <c r="X59" s="36">
        <v>12</v>
      </c>
      <c r="Y59" s="36" t="s">
        <v>80</v>
      </c>
      <c r="Z59" s="36">
        <v>1</v>
      </c>
      <c r="AA59" s="36">
        <v>3369406</v>
      </c>
      <c r="AB59" s="40">
        <v>46235</v>
      </c>
      <c r="AC59" s="36" t="s">
        <v>2196</v>
      </c>
      <c r="AD59" s="36" t="str">
        <f>VLOOKUP(D59,Oficial!A:C,3,0)</f>
        <v>Arrastre</v>
      </c>
    </row>
    <row r="60" spans="1:30" x14ac:dyDescent="0.25">
      <c r="A60" s="36" t="s">
        <v>27</v>
      </c>
      <c r="B60" s="36" t="s">
        <v>68</v>
      </c>
      <c r="C60" s="36" t="s">
        <v>28</v>
      </c>
      <c r="D60" s="36" t="s">
        <v>68</v>
      </c>
      <c r="E60" s="36" t="s">
        <v>30</v>
      </c>
      <c r="F60" s="36" t="s">
        <v>31</v>
      </c>
      <c r="G60" s="37" t="s">
        <v>69</v>
      </c>
      <c r="H60" s="36" t="s">
        <v>70</v>
      </c>
      <c r="I60" s="36" t="s">
        <v>71</v>
      </c>
      <c r="J60" s="36">
        <v>1</v>
      </c>
      <c r="K60" s="36" t="s">
        <v>72</v>
      </c>
      <c r="L60" s="36">
        <v>1</v>
      </c>
      <c r="M60" s="36">
        <v>1</v>
      </c>
      <c r="N60" s="38">
        <v>80865750</v>
      </c>
      <c r="O60" s="43">
        <v>3369408</v>
      </c>
      <c r="P60" s="36">
        <v>24</v>
      </c>
      <c r="Q60" s="36" t="s">
        <v>73</v>
      </c>
      <c r="R60" s="36" t="s">
        <v>74</v>
      </c>
      <c r="S60" s="36" t="s">
        <v>75</v>
      </c>
      <c r="T60" s="36" t="s">
        <v>76</v>
      </c>
      <c r="U60" s="36" t="s">
        <v>77</v>
      </c>
      <c r="V60" s="40">
        <v>45474</v>
      </c>
      <c r="W60" s="40">
        <v>45478</v>
      </c>
      <c r="X60" s="36">
        <v>12</v>
      </c>
      <c r="Y60" s="36" t="s">
        <v>79</v>
      </c>
      <c r="Z60" s="36">
        <v>1</v>
      </c>
      <c r="AA60" s="36">
        <v>3369406</v>
      </c>
      <c r="AB60" s="40">
        <v>46327</v>
      </c>
      <c r="AC60" s="36" t="s">
        <v>2196</v>
      </c>
      <c r="AD60" s="36" t="str">
        <f>VLOOKUP(D60,Oficial!A:C,3,0)</f>
        <v>Arrastre</v>
      </c>
    </row>
    <row r="61" spans="1:30" x14ac:dyDescent="0.25">
      <c r="A61" s="36" t="s">
        <v>27</v>
      </c>
      <c r="B61" s="36" t="s">
        <v>68</v>
      </c>
      <c r="C61" s="36" t="s">
        <v>28</v>
      </c>
      <c r="D61" s="36" t="s">
        <v>68</v>
      </c>
      <c r="E61" s="36" t="s">
        <v>30</v>
      </c>
      <c r="F61" s="36" t="s">
        <v>31</v>
      </c>
      <c r="G61" s="37" t="s">
        <v>69</v>
      </c>
      <c r="H61" s="36" t="s">
        <v>70</v>
      </c>
      <c r="I61" s="36" t="s">
        <v>71</v>
      </c>
      <c r="J61" s="36">
        <v>1</v>
      </c>
      <c r="K61" s="36" t="s">
        <v>72</v>
      </c>
      <c r="L61" s="36">
        <v>1</v>
      </c>
      <c r="M61" s="36">
        <v>1</v>
      </c>
      <c r="N61" s="38">
        <v>80865750</v>
      </c>
      <c r="O61" s="43">
        <v>3369408</v>
      </c>
      <c r="P61" s="36">
        <v>24</v>
      </c>
      <c r="Q61" s="36" t="s">
        <v>73</v>
      </c>
      <c r="R61" s="36" t="s">
        <v>74</v>
      </c>
      <c r="S61" s="36" t="s">
        <v>75</v>
      </c>
      <c r="T61" s="36" t="s">
        <v>76</v>
      </c>
      <c r="U61" s="36" t="s">
        <v>77</v>
      </c>
      <c r="V61" s="40">
        <v>45474</v>
      </c>
      <c r="W61" s="40">
        <v>45478</v>
      </c>
      <c r="X61" s="36">
        <v>12</v>
      </c>
      <c r="Y61" s="36" t="s">
        <v>79</v>
      </c>
      <c r="Z61" s="36">
        <v>1</v>
      </c>
      <c r="AA61" s="36">
        <v>3369406</v>
      </c>
      <c r="AB61" s="40">
        <v>46143</v>
      </c>
      <c r="AC61" s="36" t="s">
        <v>2196</v>
      </c>
      <c r="AD61" s="36" t="str">
        <f>VLOOKUP(D61,Oficial!A:C,3,0)</f>
        <v>Arrastre</v>
      </c>
    </row>
    <row r="62" spans="1:30" x14ac:dyDescent="0.25">
      <c r="A62" s="36" t="s">
        <v>27</v>
      </c>
      <c r="B62" s="36" t="s">
        <v>82</v>
      </c>
      <c r="C62" s="36" t="s">
        <v>28</v>
      </c>
      <c r="D62" s="36" t="s">
        <v>82</v>
      </c>
      <c r="E62" s="36" t="s">
        <v>45</v>
      </c>
      <c r="F62" s="36" t="s">
        <v>31</v>
      </c>
      <c r="G62" s="37" t="s">
        <v>69</v>
      </c>
      <c r="H62" s="36" t="s">
        <v>83</v>
      </c>
      <c r="I62" s="36" t="s">
        <v>84</v>
      </c>
      <c r="J62" s="36">
        <v>1</v>
      </c>
      <c r="K62" s="36" t="s">
        <v>72</v>
      </c>
      <c r="L62" s="36">
        <v>1</v>
      </c>
      <c r="M62" s="36">
        <v>1</v>
      </c>
      <c r="N62" s="38">
        <v>156722240</v>
      </c>
      <c r="O62" s="42">
        <v>6530093</v>
      </c>
      <c r="P62" s="36">
        <v>24</v>
      </c>
      <c r="Q62" s="36" t="s">
        <v>73</v>
      </c>
      <c r="R62" s="36" t="s">
        <v>74</v>
      </c>
      <c r="S62" s="36" t="s">
        <v>85</v>
      </c>
      <c r="T62" s="36" t="s">
        <v>76</v>
      </c>
      <c r="U62" s="36" t="s">
        <v>86</v>
      </c>
      <c r="V62" s="40">
        <v>45444</v>
      </c>
      <c r="W62" s="40">
        <v>45478</v>
      </c>
      <c r="X62" s="36">
        <v>5</v>
      </c>
      <c r="Y62" s="36" t="s">
        <v>87</v>
      </c>
      <c r="Z62" s="36">
        <v>1</v>
      </c>
      <c r="AA62" s="36">
        <v>6530093</v>
      </c>
      <c r="AB62" s="40">
        <v>46054</v>
      </c>
      <c r="AC62" s="36" t="s">
        <v>2196</v>
      </c>
      <c r="AD62" s="36" t="str">
        <f>VLOOKUP(D62,Oficial!A:C,3,0)</f>
        <v>Arrastre</v>
      </c>
    </row>
    <row r="63" spans="1:30" x14ac:dyDescent="0.25">
      <c r="A63" s="36" t="s">
        <v>27</v>
      </c>
      <c r="B63" s="36" t="s">
        <v>82</v>
      </c>
      <c r="C63" s="36" t="s">
        <v>28</v>
      </c>
      <c r="D63" s="36" t="s">
        <v>82</v>
      </c>
      <c r="E63" s="36" t="s">
        <v>45</v>
      </c>
      <c r="F63" s="36" t="s">
        <v>31</v>
      </c>
      <c r="G63" s="37" t="s">
        <v>69</v>
      </c>
      <c r="H63" s="36" t="s">
        <v>83</v>
      </c>
      <c r="I63" s="36" t="s">
        <v>84</v>
      </c>
      <c r="J63" s="36">
        <v>1</v>
      </c>
      <c r="K63" s="36" t="s">
        <v>72</v>
      </c>
      <c r="L63" s="36">
        <v>1</v>
      </c>
      <c r="M63" s="36">
        <v>1</v>
      </c>
      <c r="N63" s="38">
        <v>156722240</v>
      </c>
      <c r="O63" s="42">
        <v>6530093</v>
      </c>
      <c r="P63" s="36">
        <v>24</v>
      </c>
      <c r="Q63" s="36" t="s">
        <v>73</v>
      </c>
      <c r="R63" s="36" t="s">
        <v>74</v>
      </c>
      <c r="S63" s="36" t="s">
        <v>85</v>
      </c>
      <c r="T63" s="36" t="s">
        <v>76</v>
      </c>
      <c r="U63" s="36" t="s">
        <v>86</v>
      </c>
      <c r="V63" s="40">
        <v>45444</v>
      </c>
      <c r="W63" s="40">
        <v>45478</v>
      </c>
      <c r="X63" s="36">
        <v>5</v>
      </c>
      <c r="Y63" s="36" t="s">
        <v>87</v>
      </c>
      <c r="Z63" s="36">
        <v>1</v>
      </c>
      <c r="AA63" s="36">
        <v>6530093</v>
      </c>
      <c r="AB63" s="40">
        <v>46023</v>
      </c>
      <c r="AC63" s="36" t="s">
        <v>2196</v>
      </c>
      <c r="AD63" s="36" t="str">
        <f>VLOOKUP(D63,Oficial!A:C,3,0)</f>
        <v>Arrastre</v>
      </c>
    </row>
    <row r="64" spans="1:30" x14ac:dyDescent="0.25">
      <c r="A64" s="36" t="s">
        <v>27</v>
      </c>
      <c r="B64" s="36" t="s">
        <v>82</v>
      </c>
      <c r="C64" s="36" t="s">
        <v>28</v>
      </c>
      <c r="D64" s="36" t="s">
        <v>82</v>
      </c>
      <c r="E64" s="36" t="s">
        <v>45</v>
      </c>
      <c r="F64" s="36" t="s">
        <v>31</v>
      </c>
      <c r="G64" s="37" t="s">
        <v>69</v>
      </c>
      <c r="H64" s="36" t="s">
        <v>83</v>
      </c>
      <c r="I64" s="36" t="s">
        <v>84</v>
      </c>
      <c r="J64" s="36">
        <v>1</v>
      </c>
      <c r="K64" s="36" t="s">
        <v>72</v>
      </c>
      <c r="L64" s="36">
        <v>1</v>
      </c>
      <c r="M64" s="36">
        <v>1</v>
      </c>
      <c r="N64" s="38">
        <v>156722240</v>
      </c>
      <c r="O64" s="42">
        <v>6530093</v>
      </c>
      <c r="P64" s="36">
        <v>24</v>
      </c>
      <c r="Q64" s="36" t="s">
        <v>73</v>
      </c>
      <c r="R64" s="36" t="s">
        <v>74</v>
      </c>
      <c r="S64" s="36" t="s">
        <v>85</v>
      </c>
      <c r="T64" s="36" t="s">
        <v>76</v>
      </c>
      <c r="U64" s="36" t="s">
        <v>86</v>
      </c>
      <c r="V64" s="40">
        <v>45444</v>
      </c>
      <c r="W64" s="40">
        <v>45478</v>
      </c>
      <c r="X64" s="36">
        <v>5</v>
      </c>
      <c r="Y64" s="36" t="s">
        <v>88</v>
      </c>
      <c r="Z64" s="36">
        <v>1</v>
      </c>
      <c r="AA64" s="36">
        <v>6530093</v>
      </c>
      <c r="AB64" s="40">
        <v>46023</v>
      </c>
      <c r="AC64" s="36" t="s">
        <v>2196</v>
      </c>
      <c r="AD64" s="36" t="str">
        <f>VLOOKUP(D64,Oficial!A:C,3,0)</f>
        <v>Arrastre</v>
      </c>
    </row>
    <row r="65" spans="1:30" x14ac:dyDescent="0.25">
      <c r="A65" s="36" t="s">
        <v>27</v>
      </c>
      <c r="B65" s="36" t="s">
        <v>82</v>
      </c>
      <c r="C65" s="36" t="s">
        <v>28</v>
      </c>
      <c r="D65" s="36" t="s">
        <v>82</v>
      </c>
      <c r="E65" s="36" t="s">
        <v>45</v>
      </c>
      <c r="F65" s="36" t="s">
        <v>31</v>
      </c>
      <c r="G65" s="37" t="s">
        <v>69</v>
      </c>
      <c r="H65" s="36" t="s">
        <v>83</v>
      </c>
      <c r="I65" s="36" t="s">
        <v>84</v>
      </c>
      <c r="J65" s="36">
        <v>1</v>
      </c>
      <c r="K65" s="36" t="s">
        <v>72</v>
      </c>
      <c r="L65" s="36">
        <v>1</v>
      </c>
      <c r="M65" s="36">
        <v>1</v>
      </c>
      <c r="N65" s="38">
        <v>156722240</v>
      </c>
      <c r="O65" s="42">
        <v>6530093</v>
      </c>
      <c r="P65" s="36">
        <v>24</v>
      </c>
      <c r="Q65" s="36" t="s">
        <v>73</v>
      </c>
      <c r="R65" s="36" t="s">
        <v>74</v>
      </c>
      <c r="S65" s="36" t="s">
        <v>85</v>
      </c>
      <c r="T65" s="36" t="s">
        <v>76</v>
      </c>
      <c r="U65" s="36" t="s">
        <v>86</v>
      </c>
      <c r="V65" s="40">
        <v>45444</v>
      </c>
      <c r="W65" s="40">
        <v>45478</v>
      </c>
      <c r="X65" s="36">
        <v>5</v>
      </c>
      <c r="Y65" s="36" t="s">
        <v>89</v>
      </c>
      <c r="Z65" s="36">
        <v>1</v>
      </c>
      <c r="AA65" s="36">
        <v>6530093</v>
      </c>
      <c r="AB65" s="40">
        <v>46143</v>
      </c>
      <c r="AC65" s="36" t="s">
        <v>2196</v>
      </c>
      <c r="AD65" s="36" t="str">
        <f>VLOOKUP(D65,Oficial!A:C,3,0)</f>
        <v>Arrastre</v>
      </c>
    </row>
    <row r="66" spans="1:30" x14ac:dyDescent="0.25">
      <c r="A66" s="36" t="s">
        <v>27</v>
      </c>
      <c r="B66" s="36" t="s">
        <v>82</v>
      </c>
      <c r="C66" s="36" t="s">
        <v>28</v>
      </c>
      <c r="D66" s="36" t="s">
        <v>82</v>
      </c>
      <c r="E66" s="36" t="s">
        <v>45</v>
      </c>
      <c r="F66" s="36" t="s">
        <v>31</v>
      </c>
      <c r="G66" s="37" t="s">
        <v>69</v>
      </c>
      <c r="H66" s="36" t="s">
        <v>83</v>
      </c>
      <c r="I66" s="36" t="s">
        <v>84</v>
      </c>
      <c r="J66" s="36">
        <v>1</v>
      </c>
      <c r="K66" s="36" t="s">
        <v>72</v>
      </c>
      <c r="L66" s="36">
        <v>1</v>
      </c>
      <c r="M66" s="36">
        <v>1</v>
      </c>
      <c r="N66" s="38">
        <v>156722240</v>
      </c>
      <c r="O66" s="42">
        <v>6530093</v>
      </c>
      <c r="P66" s="36">
        <v>24</v>
      </c>
      <c r="Q66" s="36" t="s">
        <v>73</v>
      </c>
      <c r="R66" s="36" t="s">
        <v>74</v>
      </c>
      <c r="S66" s="36" t="s">
        <v>85</v>
      </c>
      <c r="T66" s="36" t="s">
        <v>76</v>
      </c>
      <c r="U66" s="36" t="s">
        <v>86</v>
      </c>
      <c r="V66" s="40">
        <v>45444</v>
      </c>
      <c r="W66" s="40">
        <v>45478</v>
      </c>
      <c r="X66" s="36">
        <v>5</v>
      </c>
      <c r="Y66" s="36" t="s">
        <v>90</v>
      </c>
      <c r="Z66" s="36">
        <v>1</v>
      </c>
      <c r="AA66" s="36">
        <v>6530093</v>
      </c>
      <c r="AB66" s="40">
        <v>46235</v>
      </c>
      <c r="AC66" s="36" t="s">
        <v>2196</v>
      </c>
      <c r="AD66" s="36" t="str">
        <f>VLOOKUP(D66,Oficial!A:C,3,0)</f>
        <v>Arrastre</v>
      </c>
    </row>
    <row r="67" spans="1:30" x14ac:dyDescent="0.25">
      <c r="A67" s="36" t="s">
        <v>27</v>
      </c>
      <c r="B67" s="36" t="s">
        <v>82</v>
      </c>
      <c r="C67" s="36" t="s">
        <v>28</v>
      </c>
      <c r="D67" s="36" t="s">
        <v>82</v>
      </c>
      <c r="E67" s="36" t="s">
        <v>45</v>
      </c>
      <c r="F67" s="36" t="s">
        <v>31</v>
      </c>
      <c r="G67" s="37" t="s">
        <v>69</v>
      </c>
      <c r="H67" s="36" t="s">
        <v>83</v>
      </c>
      <c r="I67" s="36" t="s">
        <v>84</v>
      </c>
      <c r="J67" s="36">
        <v>1</v>
      </c>
      <c r="K67" s="36" t="s">
        <v>72</v>
      </c>
      <c r="L67" s="36">
        <v>1</v>
      </c>
      <c r="M67" s="36">
        <v>1</v>
      </c>
      <c r="N67" s="38">
        <v>156722240</v>
      </c>
      <c r="O67" s="42">
        <v>6530093</v>
      </c>
      <c r="P67" s="36">
        <v>24</v>
      </c>
      <c r="Q67" s="36" t="s">
        <v>73</v>
      </c>
      <c r="R67" s="36" t="s">
        <v>74</v>
      </c>
      <c r="S67" s="36" t="s">
        <v>85</v>
      </c>
      <c r="T67" s="36" t="s">
        <v>76</v>
      </c>
      <c r="U67" s="36" t="s">
        <v>86</v>
      </c>
      <c r="V67" s="40">
        <v>45444</v>
      </c>
      <c r="W67" s="40">
        <v>45478</v>
      </c>
      <c r="X67" s="36">
        <v>5</v>
      </c>
      <c r="Y67" s="36" t="s">
        <v>88</v>
      </c>
      <c r="Z67" s="36">
        <v>1</v>
      </c>
      <c r="AA67" s="36">
        <v>6530093</v>
      </c>
      <c r="AB67" s="40">
        <v>46143</v>
      </c>
      <c r="AC67" s="36" t="s">
        <v>2196</v>
      </c>
      <c r="AD67" s="36" t="str">
        <f>VLOOKUP(D67,Oficial!A:C,3,0)</f>
        <v>Arrastre</v>
      </c>
    </row>
    <row r="68" spans="1:30" x14ac:dyDescent="0.25">
      <c r="A68" s="36" t="s">
        <v>27</v>
      </c>
      <c r="B68" s="36" t="s">
        <v>82</v>
      </c>
      <c r="C68" s="36" t="s">
        <v>28</v>
      </c>
      <c r="D68" s="36" t="s">
        <v>82</v>
      </c>
      <c r="E68" s="36" t="s">
        <v>45</v>
      </c>
      <c r="F68" s="36" t="s">
        <v>31</v>
      </c>
      <c r="G68" s="37" t="s">
        <v>69</v>
      </c>
      <c r="H68" s="36" t="s">
        <v>83</v>
      </c>
      <c r="I68" s="36" t="s">
        <v>84</v>
      </c>
      <c r="J68" s="36">
        <v>1</v>
      </c>
      <c r="K68" s="36" t="s">
        <v>72</v>
      </c>
      <c r="L68" s="36">
        <v>1</v>
      </c>
      <c r="M68" s="36">
        <v>1</v>
      </c>
      <c r="N68" s="38">
        <v>156722240</v>
      </c>
      <c r="O68" s="42">
        <v>6530093</v>
      </c>
      <c r="P68" s="36">
        <v>24</v>
      </c>
      <c r="Q68" s="36" t="s">
        <v>73</v>
      </c>
      <c r="R68" s="36" t="s">
        <v>74</v>
      </c>
      <c r="S68" s="36" t="s">
        <v>85</v>
      </c>
      <c r="T68" s="36" t="s">
        <v>76</v>
      </c>
      <c r="U68" s="36" t="s">
        <v>86</v>
      </c>
      <c r="V68" s="40">
        <v>45444</v>
      </c>
      <c r="W68" s="40">
        <v>45478</v>
      </c>
      <c r="X68" s="36">
        <v>5</v>
      </c>
      <c r="Y68" s="36" t="s">
        <v>87</v>
      </c>
      <c r="Z68" s="36">
        <v>1</v>
      </c>
      <c r="AA68" s="36">
        <v>6530093</v>
      </c>
      <c r="AB68" s="40">
        <v>46143</v>
      </c>
      <c r="AC68" s="36" t="s">
        <v>2196</v>
      </c>
      <c r="AD68" s="36" t="str">
        <f>VLOOKUP(D68,Oficial!A:C,3,0)</f>
        <v>Arrastre</v>
      </c>
    </row>
    <row r="69" spans="1:30" x14ac:dyDescent="0.25">
      <c r="A69" s="36" t="s">
        <v>27</v>
      </c>
      <c r="B69" s="36" t="s">
        <v>82</v>
      </c>
      <c r="C69" s="36" t="s">
        <v>28</v>
      </c>
      <c r="D69" s="36" t="s">
        <v>82</v>
      </c>
      <c r="E69" s="36" t="s">
        <v>45</v>
      </c>
      <c r="F69" s="36" t="s">
        <v>31</v>
      </c>
      <c r="G69" s="37" t="s">
        <v>69</v>
      </c>
      <c r="H69" s="36" t="s">
        <v>83</v>
      </c>
      <c r="I69" s="36" t="s">
        <v>84</v>
      </c>
      <c r="J69" s="36">
        <v>1</v>
      </c>
      <c r="K69" s="36" t="s">
        <v>72</v>
      </c>
      <c r="L69" s="36">
        <v>1</v>
      </c>
      <c r="M69" s="36">
        <v>1</v>
      </c>
      <c r="N69" s="38">
        <v>156722240</v>
      </c>
      <c r="O69" s="42">
        <v>6530093</v>
      </c>
      <c r="P69" s="36">
        <v>24</v>
      </c>
      <c r="Q69" s="36" t="s">
        <v>73</v>
      </c>
      <c r="R69" s="36" t="s">
        <v>74</v>
      </c>
      <c r="S69" s="36" t="s">
        <v>85</v>
      </c>
      <c r="T69" s="36" t="s">
        <v>76</v>
      </c>
      <c r="U69" s="36" t="s">
        <v>86</v>
      </c>
      <c r="V69" s="40">
        <v>45444</v>
      </c>
      <c r="W69" s="40">
        <v>45478</v>
      </c>
      <c r="X69" s="36">
        <v>5</v>
      </c>
      <c r="Y69" s="36" t="s">
        <v>90</v>
      </c>
      <c r="Z69" s="36">
        <v>1</v>
      </c>
      <c r="AA69" s="36">
        <v>6530093</v>
      </c>
      <c r="AB69" s="40">
        <v>46023</v>
      </c>
      <c r="AC69" s="36" t="s">
        <v>2196</v>
      </c>
      <c r="AD69" s="36" t="str">
        <f>VLOOKUP(D69,Oficial!A:C,3,0)</f>
        <v>Arrastre</v>
      </c>
    </row>
    <row r="70" spans="1:30" x14ac:dyDescent="0.25">
      <c r="A70" s="36" t="s">
        <v>27</v>
      </c>
      <c r="B70" s="36" t="s">
        <v>82</v>
      </c>
      <c r="C70" s="36" t="s">
        <v>28</v>
      </c>
      <c r="D70" s="36" t="s">
        <v>82</v>
      </c>
      <c r="E70" s="36" t="s">
        <v>45</v>
      </c>
      <c r="F70" s="36" t="s">
        <v>31</v>
      </c>
      <c r="G70" s="37" t="s">
        <v>69</v>
      </c>
      <c r="H70" s="36" t="s">
        <v>83</v>
      </c>
      <c r="I70" s="36" t="s">
        <v>84</v>
      </c>
      <c r="J70" s="36">
        <v>1</v>
      </c>
      <c r="K70" s="36" t="s">
        <v>72</v>
      </c>
      <c r="L70" s="36">
        <v>1</v>
      </c>
      <c r="M70" s="36">
        <v>1</v>
      </c>
      <c r="N70" s="38">
        <v>156722240</v>
      </c>
      <c r="O70" s="42">
        <v>6530093</v>
      </c>
      <c r="P70" s="36">
        <v>24</v>
      </c>
      <c r="Q70" s="36" t="s">
        <v>73</v>
      </c>
      <c r="R70" s="36" t="s">
        <v>74</v>
      </c>
      <c r="S70" s="36" t="s">
        <v>85</v>
      </c>
      <c r="T70" s="36" t="s">
        <v>76</v>
      </c>
      <c r="U70" s="36" t="s">
        <v>86</v>
      </c>
      <c r="V70" s="40">
        <v>45444</v>
      </c>
      <c r="W70" s="40">
        <v>45478</v>
      </c>
      <c r="X70" s="36">
        <v>5</v>
      </c>
      <c r="Y70" s="36" t="s">
        <v>88</v>
      </c>
      <c r="Z70" s="36">
        <v>1</v>
      </c>
      <c r="AA70" s="36">
        <v>6530093</v>
      </c>
      <c r="AB70" s="40">
        <v>46082</v>
      </c>
      <c r="AC70" s="36" t="s">
        <v>2196</v>
      </c>
      <c r="AD70" s="36" t="str">
        <f>VLOOKUP(D70,Oficial!A:C,3,0)</f>
        <v>Arrastre</v>
      </c>
    </row>
    <row r="71" spans="1:30" x14ac:dyDescent="0.25">
      <c r="A71" s="36" t="s">
        <v>27</v>
      </c>
      <c r="B71" s="36" t="s">
        <v>82</v>
      </c>
      <c r="C71" s="36" t="s">
        <v>28</v>
      </c>
      <c r="D71" s="36" t="s">
        <v>82</v>
      </c>
      <c r="E71" s="36" t="s">
        <v>45</v>
      </c>
      <c r="F71" s="36" t="s">
        <v>31</v>
      </c>
      <c r="G71" s="37" t="s">
        <v>69</v>
      </c>
      <c r="H71" s="36" t="s">
        <v>83</v>
      </c>
      <c r="I71" s="36" t="s">
        <v>84</v>
      </c>
      <c r="J71" s="36">
        <v>1</v>
      </c>
      <c r="K71" s="36" t="s">
        <v>72</v>
      </c>
      <c r="L71" s="36">
        <v>1</v>
      </c>
      <c r="M71" s="36">
        <v>1</v>
      </c>
      <c r="N71" s="38">
        <v>156722240</v>
      </c>
      <c r="O71" s="42">
        <v>6530099</v>
      </c>
      <c r="P71" s="36">
        <v>24</v>
      </c>
      <c r="Q71" s="36" t="s">
        <v>73</v>
      </c>
      <c r="R71" s="36" t="s">
        <v>74</v>
      </c>
      <c r="S71" s="36" t="s">
        <v>85</v>
      </c>
      <c r="T71" s="36" t="s">
        <v>76</v>
      </c>
      <c r="U71" s="36" t="s">
        <v>86</v>
      </c>
      <c r="V71" s="40">
        <v>45444</v>
      </c>
      <c r="W71" s="40">
        <v>45478</v>
      </c>
      <c r="X71" s="36">
        <v>5</v>
      </c>
      <c r="Y71" s="36" t="s">
        <v>89</v>
      </c>
      <c r="Z71" s="36">
        <v>1</v>
      </c>
      <c r="AA71" s="36">
        <v>6530099</v>
      </c>
      <c r="AB71" s="40">
        <v>46357</v>
      </c>
      <c r="AC71" s="36" t="s">
        <v>2196</v>
      </c>
      <c r="AD71" s="36" t="str">
        <f>VLOOKUP(D71,Oficial!A:C,3,0)</f>
        <v>Arrastre</v>
      </c>
    </row>
    <row r="72" spans="1:30" x14ac:dyDescent="0.25">
      <c r="A72" s="36" t="s">
        <v>27</v>
      </c>
      <c r="B72" s="36" t="s">
        <v>82</v>
      </c>
      <c r="C72" s="36" t="s">
        <v>28</v>
      </c>
      <c r="D72" s="36" t="s">
        <v>82</v>
      </c>
      <c r="E72" s="36" t="s">
        <v>45</v>
      </c>
      <c r="F72" s="36" t="s">
        <v>31</v>
      </c>
      <c r="G72" s="37" t="s">
        <v>69</v>
      </c>
      <c r="H72" s="36" t="s">
        <v>83</v>
      </c>
      <c r="I72" s="36" t="s">
        <v>84</v>
      </c>
      <c r="J72" s="36">
        <v>1</v>
      </c>
      <c r="K72" s="36" t="s">
        <v>72</v>
      </c>
      <c r="L72" s="36">
        <v>1</v>
      </c>
      <c r="M72" s="36">
        <v>1</v>
      </c>
      <c r="N72" s="38">
        <v>156722240</v>
      </c>
      <c r="O72" s="42">
        <v>6530093</v>
      </c>
      <c r="P72" s="36">
        <v>24</v>
      </c>
      <c r="Q72" s="36" t="s">
        <v>73</v>
      </c>
      <c r="R72" s="36" t="s">
        <v>74</v>
      </c>
      <c r="S72" s="36" t="s">
        <v>85</v>
      </c>
      <c r="T72" s="36" t="s">
        <v>76</v>
      </c>
      <c r="U72" s="36" t="s">
        <v>86</v>
      </c>
      <c r="V72" s="40">
        <v>45444</v>
      </c>
      <c r="W72" s="40">
        <v>45478</v>
      </c>
      <c r="X72" s="36">
        <v>5</v>
      </c>
      <c r="Y72" s="36" t="s">
        <v>88</v>
      </c>
      <c r="Z72" s="36">
        <v>1</v>
      </c>
      <c r="AA72" s="36">
        <v>6530093</v>
      </c>
      <c r="AB72" s="40">
        <v>46204</v>
      </c>
      <c r="AC72" s="36" t="s">
        <v>2196</v>
      </c>
      <c r="AD72" s="36" t="str">
        <f>VLOOKUP(D72,Oficial!A:C,3,0)</f>
        <v>Arrastre</v>
      </c>
    </row>
    <row r="73" spans="1:30" x14ac:dyDescent="0.25">
      <c r="A73" s="36" t="s">
        <v>27</v>
      </c>
      <c r="B73" s="36" t="s">
        <v>82</v>
      </c>
      <c r="C73" s="36" t="s">
        <v>28</v>
      </c>
      <c r="D73" s="36" t="s">
        <v>82</v>
      </c>
      <c r="E73" s="36" t="s">
        <v>45</v>
      </c>
      <c r="F73" s="36" t="s">
        <v>31</v>
      </c>
      <c r="G73" s="37" t="s">
        <v>69</v>
      </c>
      <c r="H73" s="36" t="s">
        <v>83</v>
      </c>
      <c r="I73" s="36" t="s">
        <v>84</v>
      </c>
      <c r="J73" s="36">
        <v>1</v>
      </c>
      <c r="K73" s="36" t="s">
        <v>72</v>
      </c>
      <c r="L73" s="36">
        <v>1</v>
      </c>
      <c r="M73" s="36">
        <v>1</v>
      </c>
      <c r="N73" s="38">
        <v>156722240</v>
      </c>
      <c r="O73" s="42">
        <v>6530095</v>
      </c>
      <c r="P73" s="36">
        <v>24</v>
      </c>
      <c r="Q73" s="36" t="s">
        <v>73</v>
      </c>
      <c r="R73" s="36" t="s">
        <v>74</v>
      </c>
      <c r="S73" s="36" t="s">
        <v>85</v>
      </c>
      <c r="T73" s="36" t="s">
        <v>76</v>
      </c>
      <c r="U73" s="36" t="s">
        <v>86</v>
      </c>
      <c r="V73" s="40">
        <v>45444</v>
      </c>
      <c r="W73" s="40">
        <v>45478</v>
      </c>
      <c r="X73" s="36">
        <v>5</v>
      </c>
      <c r="Y73" s="36" t="s">
        <v>88</v>
      </c>
      <c r="Z73" s="36">
        <v>1</v>
      </c>
      <c r="AA73" s="36">
        <v>6530093</v>
      </c>
      <c r="AB73" s="40">
        <v>46235</v>
      </c>
      <c r="AC73" s="36" t="s">
        <v>2196</v>
      </c>
      <c r="AD73" s="36" t="str">
        <f>VLOOKUP(D73,Oficial!A:C,3,0)</f>
        <v>Arrastre</v>
      </c>
    </row>
    <row r="74" spans="1:30" x14ac:dyDescent="0.25">
      <c r="A74" s="36" t="s">
        <v>27</v>
      </c>
      <c r="B74" s="36" t="s">
        <v>91</v>
      </c>
      <c r="C74" s="36" t="s">
        <v>28</v>
      </c>
      <c r="D74" s="36" t="s">
        <v>91</v>
      </c>
      <c r="E74" s="36" t="s">
        <v>30</v>
      </c>
      <c r="F74" s="36" t="s">
        <v>31</v>
      </c>
      <c r="G74" s="37" t="s">
        <v>69</v>
      </c>
      <c r="H74" s="36" t="s">
        <v>92</v>
      </c>
      <c r="I74" s="36" t="s">
        <v>93</v>
      </c>
      <c r="J74" s="36">
        <v>1</v>
      </c>
      <c r="K74" s="36" t="s">
        <v>72</v>
      </c>
      <c r="L74" s="36">
        <v>1</v>
      </c>
      <c r="M74" s="36">
        <v>1</v>
      </c>
      <c r="N74" s="38">
        <v>156722240</v>
      </c>
      <c r="O74" s="41">
        <v>6530093</v>
      </c>
      <c r="P74" s="36">
        <v>24</v>
      </c>
      <c r="Q74" s="36" t="s">
        <v>73</v>
      </c>
      <c r="R74" s="36" t="s">
        <v>74</v>
      </c>
      <c r="S74" s="36" t="s">
        <v>85</v>
      </c>
      <c r="T74" s="36" t="s">
        <v>94</v>
      </c>
      <c r="U74" s="36" t="s">
        <v>77</v>
      </c>
      <c r="V74" s="40">
        <v>45444</v>
      </c>
      <c r="W74" s="40">
        <v>45478</v>
      </c>
      <c r="X74" s="36">
        <v>11</v>
      </c>
      <c r="Y74" s="36" t="s">
        <v>96</v>
      </c>
      <c r="Z74" s="36">
        <v>1</v>
      </c>
      <c r="AA74" s="36">
        <v>6530093</v>
      </c>
      <c r="AB74" s="40">
        <v>46113</v>
      </c>
      <c r="AC74" s="36" t="s">
        <v>2196</v>
      </c>
      <c r="AD74" s="36" t="str">
        <f>VLOOKUP(D74,Oficial!A:C,3,0)</f>
        <v>Arrastre</v>
      </c>
    </row>
    <row r="75" spans="1:30" x14ac:dyDescent="0.25">
      <c r="A75" s="36" t="s">
        <v>27</v>
      </c>
      <c r="B75" s="36" t="s">
        <v>91</v>
      </c>
      <c r="C75" s="36" t="s">
        <v>28</v>
      </c>
      <c r="D75" s="36" t="s">
        <v>91</v>
      </c>
      <c r="E75" s="36" t="s">
        <v>30</v>
      </c>
      <c r="F75" s="36" t="s">
        <v>31</v>
      </c>
      <c r="G75" s="37" t="s">
        <v>69</v>
      </c>
      <c r="H75" s="36" t="s">
        <v>92</v>
      </c>
      <c r="I75" s="36" t="s">
        <v>93</v>
      </c>
      <c r="J75" s="36">
        <v>1</v>
      </c>
      <c r="K75" s="36" t="s">
        <v>72</v>
      </c>
      <c r="L75" s="36">
        <v>1</v>
      </c>
      <c r="M75" s="36">
        <v>1</v>
      </c>
      <c r="N75" s="38">
        <v>156722240</v>
      </c>
      <c r="O75" s="41">
        <v>6530093</v>
      </c>
      <c r="P75" s="36">
        <v>24</v>
      </c>
      <c r="Q75" s="36" t="s">
        <v>73</v>
      </c>
      <c r="R75" s="36" t="s">
        <v>74</v>
      </c>
      <c r="S75" s="36" t="s">
        <v>85</v>
      </c>
      <c r="T75" s="36" t="s">
        <v>94</v>
      </c>
      <c r="U75" s="36" t="s">
        <v>77</v>
      </c>
      <c r="V75" s="40">
        <v>45444</v>
      </c>
      <c r="W75" s="40">
        <v>45478</v>
      </c>
      <c r="X75" s="36">
        <v>11</v>
      </c>
      <c r="Y75" s="36" t="s">
        <v>97</v>
      </c>
      <c r="Z75" s="36">
        <v>1</v>
      </c>
      <c r="AA75" s="36">
        <v>6530093</v>
      </c>
      <c r="AB75" s="40">
        <v>46174</v>
      </c>
      <c r="AC75" s="36" t="s">
        <v>2196</v>
      </c>
      <c r="AD75" s="36" t="str">
        <f>VLOOKUP(D75,Oficial!A:C,3,0)</f>
        <v>Arrastre</v>
      </c>
    </row>
    <row r="76" spans="1:30" x14ac:dyDescent="0.25">
      <c r="A76" s="36" t="s">
        <v>27</v>
      </c>
      <c r="B76" s="36" t="s">
        <v>91</v>
      </c>
      <c r="C76" s="36" t="s">
        <v>28</v>
      </c>
      <c r="D76" s="36" t="s">
        <v>91</v>
      </c>
      <c r="E76" s="36" t="s">
        <v>30</v>
      </c>
      <c r="F76" s="36" t="s">
        <v>31</v>
      </c>
      <c r="G76" s="37" t="s">
        <v>69</v>
      </c>
      <c r="H76" s="36" t="s">
        <v>92</v>
      </c>
      <c r="I76" s="36" t="s">
        <v>93</v>
      </c>
      <c r="J76" s="36">
        <v>1</v>
      </c>
      <c r="K76" s="36" t="s">
        <v>72</v>
      </c>
      <c r="L76" s="36">
        <v>1</v>
      </c>
      <c r="M76" s="36">
        <v>1</v>
      </c>
      <c r="N76" s="38">
        <v>156722240</v>
      </c>
      <c r="O76" s="41">
        <v>6530093</v>
      </c>
      <c r="P76" s="36">
        <v>24</v>
      </c>
      <c r="Q76" s="36" t="s">
        <v>73</v>
      </c>
      <c r="R76" s="36" t="s">
        <v>74</v>
      </c>
      <c r="S76" s="36" t="s">
        <v>85</v>
      </c>
      <c r="T76" s="36" t="s">
        <v>94</v>
      </c>
      <c r="U76" s="36" t="s">
        <v>77</v>
      </c>
      <c r="V76" s="40">
        <v>45444</v>
      </c>
      <c r="W76" s="40">
        <v>45478</v>
      </c>
      <c r="X76" s="36">
        <v>11</v>
      </c>
      <c r="Y76" s="36" t="s">
        <v>100</v>
      </c>
      <c r="Z76" s="36">
        <v>1</v>
      </c>
      <c r="AA76" s="36">
        <v>6530093</v>
      </c>
      <c r="AB76" s="40">
        <v>46296</v>
      </c>
      <c r="AC76" s="36" t="s">
        <v>2196</v>
      </c>
      <c r="AD76" s="36" t="str">
        <f>VLOOKUP(D76,Oficial!A:C,3,0)</f>
        <v>Arrastre</v>
      </c>
    </row>
    <row r="77" spans="1:30" x14ac:dyDescent="0.25">
      <c r="A77" s="36" t="s">
        <v>27</v>
      </c>
      <c r="B77" s="36" t="s">
        <v>91</v>
      </c>
      <c r="C77" s="36" t="s">
        <v>28</v>
      </c>
      <c r="D77" s="36" t="s">
        <v>91</v>
      </c>
      <c r="E77" s="36" t="s">
        <v>30</v>
      </c>
      <c r="F77" s="36" t="s">
        <v>31</v>
      </c>
      <c r="G77" s="37" t="s">
        <v>69</v>
      </c>
      <c r="H77" s="36" t="s">
        <v>92</v>
      </c>
      <c r="I77" s="36" t="s">
        <v>93</v>
      </c>
      <c r="J77" s="36">
        <v>1</v>
      </c>
      <c r="K77" s="36" t="s">
        <v>72</v>
      </c>
      <c r="L77" s="36">
        <v>1</v>
      </c>
      <c r="M77" s="36">
        <v>1</v>
      </c>
      <c r="N77" s="38">
        <v>156722240</v>
      </c>
      <c r="O77" s="41">
        <v>6530093</v>
      </c>
      <c r="P77" s="36">
        <v>24</v>
      </c>
      <c r="Q77" s="36" t="s">
        <v>73</v>
      </c>
      <c r="R77" s="36" t="s">
        <v>74</v>
      </c>
      <c r="S77" s="36" t="s">
        <v>85</v>
      </c>
      <c r="T77" s="36" t="s">
        <v>94</v>
      </c>
      <c r="U77" s="36" t="s">
        <v>77</v>
      </c>
      <c r="V77" s="40">
        <v>45444</v>
      </c>
      <c r="W77" s="40">
        <v>45478</v>
      </c>
      <c r="X77" s="36">
        <v>11</v>
      </c>
      <c r="Y77" s="36" t="s">
        <v>98</v>
      </c>
      <c r="Z77" s="36">
        <v>1</v>
      </c>
      <c r="AA77" s="36">
        <v>6530093</v>
      </c>
      <c r="AB77" s="40">
        <v>46023</v>
      </c>
      <c r="AC77" s="36" t="s">
        <v>2196</v>
      </c>
      <c r="AD77" s="36" t="str">
        <f>VLOOKUP(D77,Oficial!A:C,3,0)</f>
        <v>Arrastre</v>
      </c>
    </row>
    <row r="78" spans="1:30" x14ac:dyDescent="0.25">
      <c r="A78" s="36" t="s">
        <v>27</v>
      </c>
      <c r="B78" s="36" t="s">
        <v>91</v>
      </c>
      <c r="C78" s="36" t="s">
        <v>28</v>
      </c>
      <c r="D78" s="36" t="s">
        <v>91</v>
      </c>
      <c r="E78" s="36" t="s">
        <v>30</v>
      </c>
      <c r="F78" s="36" t="s">
        <v>31</v>
      </c>
      <c r="G78" s="37" t="s">
        <v>69</v>
      </c>
      <c r="H78" s="36" t="s">
        <v>92</v>
      </c>
      <c r="I78" s="36" t="s">
        <v>93</v>
      </c>
      <c r="J78" s="36">
        <v>1</v>
      </c>
      <c r="K78" s="36" t="s">
        <v>72</v>
      </c>
      <c r="L78" s="36">
        <v>1</v>
      </c>
      <c r="M78" s="36">
        <v>1</v>
      </c>
      <c r="N78" s="38">
        <v>156722240</v>
      </c>
      <c r="O78" s="41">
        <v>6530093</v>
      </c>
      <c r="P78" s="36">
        <v>24</v>
      </c>
      <c r="Q78" s="36" t="s">
        <v>73</v>
      </c>
      <c r="R78" s="36" t="s">
        <v>74</v>
      </c>
      <c r="S78" s="36" t="s">
        <v>85</v>
      </c>
      <c r="T78" s="36" t="s">
        <v>94</v>
      </c>
      <c r="U78" s="36" t="s">
        <v>77</v>
      </c>
      <c r="V78" s="40">
        <v>45444</v>
      </c>
      <c r="W78" s="40">
        <v>45478</v>
      </c>
      <c r="X78" s="36">
        <v>11</v>
      </c>
      <c r="Y78" s="36" t="s">
        <v>98</v>
      </c>
      <c r="Z78" s="36">
        <v>1</v>
      </c>
      <c r="AA78" s="36">
        <v>6530093</v>
      </c>
      <c r="AB78" s="40">
        <v>46204</v>
      </c>
      <c r="AC78" s="36" t="s">
        <v>2196</v>
      </c>
      <c r="AD78" s="36" t="str">
        <f>VLOOKUP(D78,Oficial!A:C,3,0)</f>
        <v>Arrastre</v>
      </c>
    </row>
    <row r="79" spans="1:30" x14ac:dyDescent="0.25">
      <c r="A79" s="36" t="s">
        <v>27</v>
      </c>
      <c r="B79" s="36" t="s">
        <v>91</v>
      </c>
      <c r="C79" s="36" t="s">
        <v>28</v>
      </c>
      <c r="D79" s="36" t="s">
        <v>91</v>
      </c>
      <c r="E79" s="36" t="s">
        <v>30</v>
      </c>
      <c r="F79" s="36" t="s">
        <v>31</v>
      </c>
      <c r="G79" s="37" t="s">
        <v>69</v>
      </c>
      <c r="H79" s="36" t="s">
        <v>92</v>
      </c>
      <c r="I79" s="36" t="s">
        <v>93</v>
      </c>
      <c r="J79" s="36">
        <v>1</v>
      </c>
      <c r="K79" s="36" t="s">
        <v>72</v>
      </c>
      <c r="L79" s="36">
        <v>1</v>
      </c>
      <c r="M79" s="36">
        <v>1</v>
      </c>
      <c r="N79" s="38">
        <v>156722240</v>
      </c>
      <c r="O79" s="41">
        <v>6530095</v>
      </c>
      <c r="P79" s="36">
        <v>24</v>
      </c>
      <c r="Q79" s="36" t="s">
        <v>73</v>
      </c>
      <c r="R79" s="36" t="s">
        <v>74</v>
      </c>
      <c r="S79" s="36" t="s">
        <v>85</v>
      </c>
      <c r="T79" s="36" t="s">
        <v>94</v>
      </c>
      <c r="U79" s="36" t="s">
        <v>77</v>
      </c>
      <c r="V79" s="40">
        <v>45444</v>
      </c>
      <c r="W79" s="40">
        <v>45478</v>
      </c>
      <c r="X79" s="36">
        <v>11</v>
      </c>
      <c r="Y79" s="36" t="s">
        <v>99</v>
      </c>
      <c r="Z79" s="36">
        <v>1</v>
      </c>
      <c r="AA79" s="36">
        <v>6530095</v>
      </c>
      <c r="AB79" s="40">
        <v>46327</v>
      </c>
      <c r="AC79" s="36" t="s">
        <v>2196</v>
      </c>
      <c r="AD79" s="36" t="str">
        <f>VLOOKUP(D79,Oficial!A:C,3,0)</f>
        <v>Arrastre</v>
      </c>
    </row>
    <row r="80" spans="1:30" x14ac:dyDescent="0.25">
      <c r="A80" s="36" t="s">
        <v>27</v>
      </c>
      <c r="B80" s="36" t="s">
        <v>91</v>
      </c>
      <c r="C80" s="36" t="s">
        <v>28</v>
      </c>
      <c r="D80" s="36" t="s">
        <v>91</v>
      </c>
      <c r="E80" s="36" t="s">
        <v>30</v>
      </c>
      <c r="F80" s="36" t="s">
        <v>31</v>
      </c>
      <c r="G80" s="37" t="s">
        <v>69</v>
      </c>
      <c r="H80" s="36" t="s">
        <v>92</v>
      </c>
      <c r="I80" s="36" t="s">
        <v>93</v>
      </c>
      <c r="J80" s="36">
        <v>1</v>
      </c>
      <c r="K80" s="36" t="s">
        <v>72</v>
      </c>
      <c r="L80" s="36">
        <v>1</v>
      </c>
      <c r="M80" s="36">
        <v>1</v>
      </c>
      <c r="N80" s="38">
        <v>156722240</v>
      </c>
      <c r="O80" s="41">
        <v>6530093</v>
      </c>
      <c r="P80" s="36">
        <v>24</v>
      </c>
      <c r="Q80" s="36" t="s">
        <v>73</v>
      </c>
      <c r="R80" s="36" t="s">
        <v>74</v>
      </c>
      <c r="S80" s="36" t="s">
        <v>85</v>
      </c>
      <c r="T80" s="36" t="s">
        <v>94</v>
      </c>
      <c r="U80" s="36" t="s">
        <v>77</v>
      </c>
      <c r="V80" s="40">
        <v>45444</v>
      </c>
      <c r="W80" s="40">
        <v>45478</v>
      </c>
      <c r="X80" s="36">
        <v>11</v>
      </c>
      <c r="Y80" s="36" t="s">
        <v>101</v>
      </c>
      <c r="Z80" s="36">
        <v>1</v>
      </c>
      <c r="AA80" s="36">
        <v>6530093</v>
      </c>
      <c r="AB80" s="40">
        <v>46235</v>
      </c>
      <c r="AC80" s="36" t="s">
        <v>2196</v>
      </c>
      <c r="AD80" s="36" t="str">
        <f>VLOOKUP(D80,Oficial!A:C,3,0)</f>
        <v>Arrastre</v>
      </c>
    </row>
    <row r="81" spans="1:30" x14ac:dyDescent="0.25">
      <c r="A81" s="36" t="s">
        <v>27</v>
      </c>
      <c r="B81" s="36" t="s">
        <v>91</v>
      </c>
      <c r="C81" s="36" t="s">
        <v>28</v>
      </c>
      <c r="D81" s="36" t="s">
        <v>91</v>
      </c>
      <c r="E81" s="36" t="s">
        <v>30</v>
      </c>
      <c r="F81" s="36" t="s">
        <v>31</v>
      </c>
      <c r="G81" s="37" t="s">
        <v>69</v>
      </c>
      <c r="H81" s="36" t="s">
        <v>92</v>
      </c>
      <c r="I81" s="36" t="s">
        <v>93</v>
      </c>
      <c r="J81" s="36">
        <v>1</v>
      </c>
      <c r="K81" s="36" t="s">
        <v>72</v>
      </c>
      <c r="L81" s="36">
        <v>1</v>
      </c>
      <c r="M81" s="36">
        <v>1</v>
      </c>
      <c r="N81" s="38">
        <v>156722240</v>
      </c>
      <c r="O81" s="41">
        <v>6530093</v>
      </c>
      <c r="P81" s="36">
        <v>24</v>
      </c>
      <c r="Q81" s="36" t="s">
        <v>73</v>
      </c>
      <c r="R81" s="36" t="s">
        <v>74</v>
      </c>
      <c r="S81" s="36" t="s">
        <v>85</v>
      </c>
      <c r="T81" s="36" t="s">
        <v>94</v>
      </c>
      <c r="U81" s="36" t="s">
        <v>77</v>
      </c>
      <c r="V81" s="40">
        <v>45444</v>
      </c>
      <c r="W81" s="40">
        <v>45478</v>
      </c>
      <c r="X81" s="36">
        <v>11</v>
      </c>
      <c r="Y81" s="36" t="s">
        <v>101</v>
      </c>
      <c r="Z81" s="36">
        <v>1</v>
      </c>
      <c r="AA81" s="36">
        <v>6530093</v>
      </c>
      <c r="AB81" s="40">
        <v>46113</v>
      </c>
      <c r="AC81" s="36" t="s">
        <v>2196</v>
      </c>
      <c r="AD81" s="36" t="str">
        <f>VLOOKUP(D81,Oficial!A:C,3,0)</f>
        <v>Arrastre</v>
      </c>
    </row>
    <row r="82" spans="1:30" x14ac:dyDescent="0.25">
      <c r="A82" s="36" t="s">
        <v>27</v>
      </c>
      <c r="B82" s="36" t="s">
        <v>91</v>
      </c>
      <c r="C82" s="36" t="s">
        <v>28</v>
      </c>
      <c r="D82" s="36" t="s">
        <v>91</v>
      </c>
      <c r="E82" s="36" t="s">
        <v>30</v>
      </c>
      <c r="F82" s="36" t="s">
        <v>31</v>
      </c>
      <c r="G82" s="37" t="s">
        <v>69</v>
      </c>
      <c r="H82" s="36" t="s">
        <v>92</v>
      </c>
      <c r="I82" s="36" t="s">
        <v>93</v>
      </c>
      <c r="J82" s="36">
        <v>1</v>
      </c>
      <c r="K82" s="36" t="s">
        <v>72</v>
      </c>
      <c r="L82" s="36">
        <v>1</v>
      </c>
      <c r="M82" s="36">
        <v>1</v>
      </c>
      <c r="N82" s="38">
        <v>156722240</v>
      </c>
      <c r="O82" s="41">
        <v>6530095</v>
      </c>
      <c r="P82" s="36">
        <v>24</v>
      </c>
      <c r="Q82" s="36" t="s">
        <v>73</v>
      </c>
      <c r="R82" s="36" t="s">
        <v>74</v>
      </c>
      <c r="S82" s="36" t="s">
        <v>85</v>
      </c>
      <c r="T82" s="36" t="s">
        <v>94</v>
      </c>
      <c r="U82" s="36" t="s">
        <v>77</v>
      </c>
      <c r="V82" s="40">
        <v>45444</v>
      </c>
      <c r="W82" s="40">
        <v>45478</v>
      </c>
      <c r="X82" s="36">
        <v>11</v>
      </c>
      <c r="Y82" s="36" t="s">
        <v>95</v>
      </c>
      <c r="Z82" s="36">
        <v>1</v>
      </c>
      <c r="AA82" s="36">
        <v>6530095</v>
      </c>
      <c r="AB82" s="40">
        <v>46327</v>
      </c>
      <c r="AC82" s="36" t="s">
        <v>2196</v>
      </c>
      <c r="AD82" s="36" t="str">
        <f>VLOOKUP(D82,Oficial!A:C,3,0)</f>
        <v>Arrastre</v>
      </c>
    </row>
    <row r="83" spans="1:30" x14ac:dyDescent="0.25">
      <c r="A83" s="36" t="s">
        <v>27</v>
      </c>
      <c r="B83" s="36" t="s">
        <v>91</v>
      </c>
      <c r="C83" s="36" t="s">
        <v>28</v>
      </c>
      <c r="D83" s="36" t="s">
        <v>91</v>
      </c>
      <c r="E83" s="36" t="s">
        <v>30</v>
      </c>
      <c r="F83" s="36" t="s">
        <v>31</v>
      </c>
      <c r="G83" s="37" t="s">
        <v>69</v>
      </c>
      <c r="H83" s="36" t="s">
        <v>92</v>
      </c>
      <c r="I83" s="36" t="s">
        <v>93</v>
      </c>
      <c r="J83" s="36">
        <v>1</v>
      </c>
      <c r="K83" s="36" t="s">
        <v>72</v>
      </c>
      <c r="L83" s="36">
        <v>1</v>
      </c>
      <c r="M83" s="36">
        <v>1</v>
      </c>
      <c r="N83" s="38">
        <v>156722240</v>
      </c>
      <c r="O83" s="41">
        <v>6530093</v>
      </c>
      <c r="P83" s="36">
        <v>24</v>
      </c>
      <c r="Q83" s="36" t="s">
        <v>73</v>
      </c>
      <c r="R83" s="36" t="s">
        <v>74</v>
      </c>
      <c r="S83" s="36" t="s">
        <v>85</v>
      </c>
      <c r="T83" s="36" t="s">
        <v>94</v>
      </c>
      <c r="U83" s="36" t="s">
        <v>77</v>
      </c>
      <c r="V83" s="40">
        <v>45444</v>
      </c>
      <c r="W83" s="40">
        <v>45478</v>
      </c>
      <c r="X83" s="36">
        <v>11</v>
      </c>
      <c r="Y83" s="36" t="s">
        <v>102</v>
      </c>
      <c r="Z83" s="36">
        <v>1</v>
      </c>
      <c r="AA83" s="36">
        <v>6530093</v>
      </c>
      <c r="AB83" s="40">
        <v>46266</v>
      </c>
      <c r="AC83" s="36" t="s">
        <v>2196</v>
      </c>
      <c r="AD83" s="36" t="str">
        <f>VLOOKUP(D83,Oficial!A:C,3,0)</f>
        <v>Arrastre</v>
      </c>
    </row>
    <row r="84" spans="1:30" x14ac:dyDescent="0.25">
      <c r="A84" s="36" t="s">
        <v>27</v>
      </c>
      <c r="B84" s="36" t="s">
        <v>91</v>
      </c>
      <c r="C84" s="36" t="s">
        <v>28</v>
      </c>
      <c r="D84" s="36" t="s">
        <v>91</v>
      </c>
      <c r="E84" s="36" t="s">
        <v>30</v>
      </c>
      <c r="F84" s="36" t="s">
        <v>31</v>
      </c>
      <c r="G84" s="37" t="s">
        <v>69</v>
      </c>
      <c r="H84" s="36" t="s">
        <v>92</v>
      </c>
      <c r="I84" s="36" t="s">
        <v>93</v>
      </c>
      <c r="J84" s="36">
        <v>1</v>
      </c>
      <c r="K84" s="36" t="s">
        <v>72</v>
      </c>
      <c r="L84" s="36">
        <v>1</v>
      </c>
      <c r="M84" s="36">
        <v>1</v>
      </c>
      <c r="N84" s="38">
        <v>156722240</v>
      </c>
      <c r="O84" s="41">
        <v>6530093</v>
      </c>
      <c r="P84" s="36">
        <v>24</v>
      </c>
      <c r="Q84" s="36" t="s">
        <v>73</v>
      </c>
      <c r="R84" s="36" t="s">
        <v>74</v>
      </c>
      <c r="S84" s="36" t="s">
        <v>85</v>
      </c>
      <c r="T84" s="36" t="s">
        <v>94</v>
      </c>
      <c r="U84" s="36" t="s">
        <v>77</v>
      </c>
      <c r="V84" s="40">
        <v>45444</v>
      </c>
      <c r="W84" s="40">
        <v>45478</v>
      </c>
      <c r="X84" s="36">
        <v>11</v>
      </c>
      <c r="Y84" s="36" t="s">
        <v>100</v>
      </c>
      <c r="Z84" s="36">
        <v>1</v>
      </c>
      <c r="AA84" s="36">
        <v>6530093</v>
      </c>
      <c r="AB84" s="40">
        <v>46113</v>
      </c>
      <c r="AC84" s="36" t="s">
        <v>2196</v>
      </c>
      <c r="AD84" s="36" t="str">
        <f>VLOOKUP(D84,Oficial!A:C,3,0)</f>
        <v>Arrastre</v>
      </c>
    </row>
    <row r="85" spans="1:30" x14ac:dyDescent="0.25">
      <c r="A85" s="36" t="s">
        <v>27</v>
      </c>
      <c r="B85" s="36" t="s">
        <v>91</v>
      </c>
      <c r="C85" s="36" t="s">
        <v>28</v>
      </c>
      <c r="D85" s="36" t="s">
        <v>91</v>
      </c>
      <c r="E85" s="36" t="s">
        <v>30</v>
      </c>
      <c r="F85" s="36" t="s">
        <v>31</v>
      </c>
      <c r="G85" s="37" t="s">
        <v>69</v>
      </c>
      <c r="H85" s="36" t="s">
        <v>92</v>
      </c>
      <c r="I85" s="36" t="s">
        <v>93</v>
      </c>
      <c r="J85" s="36">
        <v>1</v>
      </c>
      <c r="K85" s="36" t="s">
        <v>72</v>
      </c>
      <c r="L85" s="36">
        <v>1</v>
      </c>
      <c r="M85" s="36">
        <v>1</v>
      </c>
      <c r="N85" s="38">
        <v>156722240</v>
      </c>
      <c r="O85" s="41">
        <v>6530097</v>
      </c>
      <c r="P85" s="36">
        <v>24</v>
      </c>
      <c r="Q85" s="36" t="s">
        <v>73</v>
      </c>
      <c r="R85" s="36" t="s">
        <v>74</v>
      </c>
      <c r="S85" s="36" t="s">
        <v>85</v>
      </c>
      <c r="T85" s="36" t="s">
        <v>94</v>
      </c>
      <c r="U85" s="36" t="s">
        <v>77</v>
      </c>
      <c r="V85" s="40">
        <v>45444</v>
      </c>
      <c r="W85" s="40">
        <v>45478</v>
      </c>
      <c r="X85" s="36">
        <v>11</v>
      </c>
      <c r="Y85" s="36" t="s">
        <v>99</v>
      </c>
      <c r="Z85" s="36">
        <v>1</v>
      </c>
      <c r="AA85" s="36">
        <v>6530093</v>
      </c>
      <c r="AB85" s="40">
        <v>46082</v>
      </c>
      <c r="AC85" s="36" t="s">
        <v>2196</v>
      </c>
      <c r="AD85" s="36" t="str">
        <f>VLOOKUP(D85,Oficial!A:C,3,0)</f>
        <v>Arrastre</v>
      </c>
    </row>
    <row r="86" spans="1:30" x14ac:dyDescent="0.25">
      <c r="A86" s="36" t="s">
        <v>27</v>
      </c>
      <c r="B86" s="36" t="s">
        <v>103</v>
      </c>
      <c r="C86" s="36" t="s">
        <v>28</v>
      </c>
      <c r="D86" s="36" t="s">
        <v>103</v>
      </c>
      <c r="E86" s="36" t="s">
        <v>30</v>
      </c>
      <c r="F86" s="36" t="s">
        <v>31</v>
      </c>
      <c r="G86" s="37" t="s">
        <v>104</v>
      </c>
      <c r="H86" s="36" t="s">
        <v>105</v>
      </c>
      <c r="I86" s="36" t="s">
        <v>106</v>
      </c>
      <c r="J86" s="36">
        <v>1</v>
      </c>
      <c r="K86" s="36" t="s">
        <v>107</v>
      </c>
      <c r="L86" s="36">
        <v>1</v>
      </c>
      <c r="M86" s="36">
        <v>1</v>
      </c>
      <c r="N86" s="38">
        <v>45150000</v>
      </c>
      <c r="O86" s="42">
        <v>1505000</v>
      </c>
      <c r="P86" s="36">
        <v>30</v>
      </c>
      <c r="Q86" s="36" t="s">
        <v>108</v>
      </c>
      <c r="R86" s="36" t="s">
        <v>109</v>
      </c>
      <c r="S86" s="36" t="s">
        <v>110</v>
      </c>
      <c r="T86" s="36" t="s">
        <v>111</v>
      </c>
      <c r="U86" s="36" t="s">
        <v>112</v>
      </c>
      <c r="V86" s="40">
        <v>45444</v>
      </c>
      <c r="W86" s="40">
        <v>45478</v>
      </c>
      <c r="X86" s="36">
        <v>35</v>
      </c>
      <c r="Y86" s="36" t="s">
        <v>113</v>
      </c>
      <c r="Z86" s="36">
        <v>1</v>
      </c>
      <c r="AA86" s="36">
        <v>1505000</v>
      </c>
      <c r="AB86" s="40">
        <v>46174</v>
      </c>
      <c r="AC86" s="36" t="s">
        <v>2196</v>
      </c>
      <c r="AD86" s="36" t="str">
        <f>VLOOKUP(D86,Oficial!A:C,3,0)</f>
        <v>Arrastre</v>
      </c>
    </row>
    <row r="87" spans="1:30" x14ac:dyDescent="0.25">
      <c r="A87" s="36" t="s">
        <v>27</v>
      </c>
      <c r="B87" s="36" t="s">
        <v>103</v>
      </c>
      <c r="C87" s="36" t="s">
        <v>28</v>
      </c>
      <c r="D87" s="36" t="s">
        <v>103</v>
      </c>
      <c r="E87" s="36" t="s">
        <v>30</v>
      </c>
      <c r="F87" s="36" t="s">
        <v>31</v>
      </c>
      <c r="G87" s="37" t="s">
        <v>104</v>
      </c>
      <c r="H87" s="36" t="s">
        <v>105</v>
      </c>
      <c r="I87" s="36" t="s">
        <v>106</v>
      </c>
      <c r="J87" s="36">
        <v>1</v>
      </c>
      <c r="K87" s="36" t="s">
        <v>107</v>
      </c>
      <c r="L87" s="36">
        <v>1</v>
      </c>
      <c r="M87" s="36">
        <v>1</v>
      </c>
      <c r="N87" s="38">
        <v>45150000</v>
      </c>
      <c r="O87" s="42">
        <v>1505000</v>
      </c>
      <c r="P87" s="36">
        <v>30</v>
      </c>
      <c r="Q87" s="36" t="s">
        <v>108</v>
      </c>
      <c r="R87" s="36" t="s">
        <v>109</v>
      </c>
      <c r="S87" s="36" t="s">
        <v>110</v>
      </c>
      <c r="T87" s="36" t="s">
        <v>111</v>
      </c>
      <c r="U87" s="36" t="s">
        <v>112</v>
      </c>
      <c r="V87" s="40">
        <v>45444</v>
      </c>
      <c r="W87" s="40">
        <v>45478</v>
      </c>
      <c r="X87" s="36">
        <v>35</v>
      </c>
      <c r="Y87" s="36" t="s">
        <v>113</v>
      </c>
      <c r="Z87" s="36">
        <v>1</v>
      </c>
      <c r="AA87" s="36">
        <v>1505000</v>
      </c>
      <c r="AB87" s="40">
        <v>46357</v>
      </c>
      <c r="AC87" s="36" t="s">
        <v>2196</v>
      </c>
      <c r="AD87" s="36" t="str">
        <f>VLOOKUP(D87,Oficial!A:C,3,0)</f>
        <v>Arrastre</v>
      </c>
    </row>
    <row r="88" spans="1:30" x14ac:dyDescent="0.25">
      <c r="A88" s="36" t="s">
        <v>27</v>
      </c>
      <c r="B88" s="36" t="s">
        <v>103</v>
      </c>
      <c r="C88" s="36" t="s">
        <v>28</v>
      </c>
      <c r="D88" s="36" t="s">
        <v>103</v>
      </c>
      <c r="E88" s="36" t="s">
        <v>30</v>
      </c>
      <c r="F88" s="36" t="s">
        <v>31</v>
      </c>
      <c r="G88" s="37" t="s">
        <v>104</v>
      </c>
      <c r="H88" s="36" t="s">
        <v>105</v>
      </c>
      <c r="I88" s="36" t="s">
        <v>106</v>
      </c>
      <c r="J88" s="36">
        <v>1</v>
      </c>
      <c r="K88" s="36" t="s">
        <v>107</v>
      </c>
      <c r="L88" s="36">
        <v>1</v>
      </c>
      <c r="M88" s="36">
        <v>1</v>
      </c>
      <c r="N88" s="38">
        <v>45150000</v>
      </c>
      <c r="O88" s="42">
        <v>1505000</v>
      </c>
      <c r="P88" s="36">
        <v>30</v>
      </c>
      <c r="Q88" s="36" t="s">
        <v>108</v>
      </c>
      <c r="R88" s="36" t="s">
        <v>109</v>
      </c>
      <c r="S88" s="36" t="s">
        <v>110</v>
      </c>
      <c r="T88" s="36" t="s">
        <v>111</v>
      </c>
      <c r="U88" s="36" t="s">
        <v>112</v>
      </c>
      <c r="V88" s="40">
        <v>45444</v>
      </c>
      <c r="W88" s="40">
        <v>45478</v>
      </c>
      <c r="X88" s="36">
        <v>35</v>
      </c>
      <c r="Y88" s="36" t="s">
        <v>113</v>
      </c>
      <c r="Z88" s="36">
        <v>1</v>
      </c>
      <c r="AA88" s="36">
        <v>1505000</v>
      </c>
      <c r="AB88" s="40">
        <v>46204</v>
      </c>
      <c r="AC88" s="36" t="s">
        <v>2196</v>
      </c>
      <c r="AD88" s="36" t="str">
        <f>VLOOKUP(D88,Oficial!A:C,3,0)</f>
        <v>Arrastre</v>
      </c>
    </row>
    <row r="89" spans="1:30" x14ac:dyDescent="0.25">
      <c r="A89" s="36" t="s">
        <v>27</v>
      </c>
      <c r="B89" s="36" t="s">
        <v>103</v>
      </c>
      <c r="C89" s="36" t="s">
        <v>28</v>
      </c>
      <c r="D89" s="36" t="s">
        <v>103</v>
      </c>
      <c r="E89" s="36" t="s">
        <v>30</v>
      </c>
      <c r="F89" s="36" t="s">
        <v>31</v>
      </c>
      <c r="G89" s="37" t="s">
        <v>104</v>
      </c>
      <c r="H89" s="36" t="s">
        <v>105</v>
      </c>
      <c r="I89" s="36" t="s">
        <v>106</v>
      </c>
      <c r="J89" s="36">
        <v>1</v>
      </c>
      <c r="K89" s="36" t="s">
        <v>107</v>
      </c>
      <c r="L89" s="36">
        <v>1</v>
      </c>
      <c r="M89" s="36">
        <v>1</v>
      </c>
      <c r="N89" s="38">
        <v>45150000</v>
      </c>
      <c r="O89" s="42">
        <v>1505000</v>
      </c>
      <c r="P89" s="36">
        <v>30</v>
      </c>
      <c r="Q89" s="36" t="s">
        <v>108</v>
      </c>
      <c r="R89" s="36" t="s">
        <v>109</v>
      </c>
      <c r="S89" s="36" t="s">
        <v>110</v>
      </c>
      <c r="T89" s="36" t="s">
        <v>111</v>
      </c>
      <c r="U89" s="36" t="s">
        <v>112</v>
      </c>
      <c r="V89" s="40">
        <v>45444</v>
      </c>
      <c r="W89" s="40">
        <v>45478</v>
      </c>
      <c r="X89" s="36">
        <v>35</v>
      </c>
      <c r="Y89" s="36" t="s">
        <v>113</v>
      </c>
      <c r="Z89" s="36">
        <v>1</v>
      </c>
      <c r="AA89" s="36">
        <v>1505000</v>
      </c>
      <c r="AB89" s="40">
        <v>46054</v>
      </c>
      <c r="AC89" s="36" t="s">
        <v>2196</v>
      </c>
      <c r="AD89" s="36" t="str">
        <f>VLOOKUP(D89,Oficial!A:C,3,0)</f>
        <v>Arrastre</v>
      </c>
    </row>
    <row r="90" spans="1:30" x14ac:dyDescent="0.25">
      <c r="A90" s="36" t="s">
        <v>27</v>
      </c>
      <c r="B90" s="36" t="s">
        <v>103</v>
      </c>
      <c r="C90" s="36" t="s">
        <v>28</v>
      </c>
      <c r="D90" s="36" t="s">
        <v>103</v>
      </c>
      <c r="E90" s="36" t="s">
        <v>30</v>
      </c>
      <c r="F90" s="36" t="s">
        <v>31</v>
      </c>
      <c r="G90" s="37" t="s">
        <v>104</v>
      </c>
      <c r="H90" s="36" t="s">
        <v>105</v>
      </c>
      <c r="I90" s="36" t="s">
        <v>106</v>
      </c>
      <c r="J90" s="36">
        <v>1</v>
      </c>
      <c r="K90" s="36" t="s">
        <v>107</v>
      </c>
      <c r="L90" s="36">
        <v>1</v>
      </c>
      <c r="M90" s="36">
        <v>1</v>
      </c>
      <c r="N90" s="38">
        <v>45150000</v>
      </c>
      <c r="O90" s="42">
        <v>1505000</v>
      </c>
      <c r="P90" s="36">
        <v>30</v>
      </c>
      <c r="Q90" s="36" t="s">
        <v>108</v>
      </c>
      <c r="R90" s="36" t="s">
        <v>109</v>
      </c>
      <c r="S90" s="36" t="s">
        <v>110</v>
      </c>
      <c r="T90" s="36" t="s">
        <v>111</v>
      </c>
      <c r="U90" s="36" t="s">
        <v>112</v>
      </c>
      <c r="V90" s="40">
        <v>45444</v>
      </c>
      <c r="W90" s="40">
        <v>45478</v>
      </c>
      <c r="X90" s="36">
        <v>35</v>
      </c>
      <c r="Y90" s="36" t="s">
        <v>113</v>
      </c>
      <c r="Z90" s="36">
        <v>1</v>
      </c>
      <c r="AA90" s="36">
        <v>1505000</v>
      </c>
      <c r="AB90" s="40">
        <v>46082</v>
      </c>
      <c r="AC90" s="36" t="s">
        <v>2196</v>
      </c>
      <c r="AD90" s="36" t="str">
        <f>VLOOKUP(D90,Oficial!A:C,3,0)</f>
        <v>Arrastre</v>
      </c>
    </row>
    <row r="91" spans="1:30" x14ac:dyDescent="0.25">
      <c r="A91" s="36" t="s">
        <v>27</v>
      </c>
      <c r="B91" s="36" t="s">
        <v>103</v>
      </c>
      <c r="C91" s="36" t="s">
        <v>28</v>
      </c>
      <c r="D91" s="36" t="s">
        <v>103</v>
      </c>
      <c r="E91" s="36" t="s">
        <v>30</v>
      </c>
      <c r="F91" s="36" t="s">
        <v>31</v>
      </c>
      <c r="G91" s="37" t="s">
        <v>104</v>
      </c>
      <c r="H91" s="36" t="s">
        <v>105</v>
      </c>
      <c r="I91" s="36" t="s">
        <v>106</v>
      </c>
      <c r="J91" s="36">
        <v>1</v>
      </c>
      <c r="K91" s="36" t="s">
        <v>107</v>
      </c>
      <c r="L91" s="36">
        <v>1</v>
      </c>
      <c r="M91" s="36">
        <v>1</v>
      </c>
      <c r="N91" s="38">
        <v>45150000</v>
      </c>
      <c r="O91" s="42">
        <v>1505000</v>
      </c>
      <c r="P91" s="36">
        <v>30</v>
      </c>
      <c r="Q91" s="36" t="s">
        <v>108</v>
      </c>
      <c r="R91" s="36" t="s">
        <v>109</v>
      </c>
      <c r="S91" s="36" t="s">
        <v>110</v>
      </c>
      <c r="T91" s="36" t="s">
        <v>111</v>
      </c>
      <c r="U91" s="36" t="s">
        <v>112</v>
      </c>
      <c r="V91" s="40">
        <v>45444</v>
      </c>
      <c r="W91" s="40">
        <v>45478</v>
      </c>
      <c r="X91" s="36">
        <v>35</v>
      </c>
      <c r="Y91" s="36" t="s">
        <v>113</v>
      </c>
      <c r="Z91" s="36">
        <v>1</v>
      </c>
      <c r="AA91" s="36">
        <v>1505000</v>
      </c>
      <c r="AB91" s="40">
        <v>46143</v>
      </c>
      <c r="AC91" s="36" t="s">
        <v>2196</v>
      </c>
      <c r="AD91" s="36" t="str">
        <f>VLOOKUP(D91,Oficial!A:C,3,0)</f>
        <v>Arrastre</v>
      </c>
    </row>
    <row r="92" spans="1:30" x14ac:dyDescent="0.25">
      <c r="A92" s="36" t="s">
        <v>27</v>
      </c>
      <c r="B92" s="36" t="s">
        <v>103</v>
      </c>
      <c r="C92" s="36" t="s">
        <v>28</v>
      </c>
      <c r="D92" s="36" t="s">
        <v>103</v>
      </c>
      <c r="E92" s="36" t="s">
        <v>30</v>
      </c>
      <c r="F92" s="36" t="s">
        <v>31</v>
      </c>
      <c r="G92" s="37" t="s">
        <v>104</v>
      </c>
      <c r="H92" s="36" t="s">
        <v>105</v>
      </c>
      <c r="I92" s="36" t="s">
        <v>106</v>
      </c>
      <c r="J92" s="36">
        <v>1</v>
      </c>
      <c r="K92" s="36" t="s">
        <v>107</v>
      </c>
      <c r="L92" s="36">
        <v>1</v>
      </c>
      <c r="M92" s="36">
        <v>1</v>
      </c>
      <c r="N92" s="38">
        <v>45150000</v>
      </c>
      <c r="O92" s="42">
        <v>1505000</v>
      </c>
      <c r="P92" s="36">
        <v>30</v>
      </c>
      <c r="Q92" s="36" t="s">
        <v>108</v>
      </c>
      <c r="R92" s="36" t="s">
        <v>109</v>
      </c>
      <c r="S92" s="36" t="s">
        <v>110</v>
      </c>
      <c r="T92" s="36" t="s">
        <v>111</v>
      </c>
      <c r="U92" s="36" t="s">
        <v>112</v>
      </c>
      <c r="V92" s="40">
        <v>45444</v>
      </c>
      <c r="W92" s="40">
        <v>45478</v>
      </c>
      <c r="X92" s="36">
        <v>35</v>
      </c>
      <c r="Y92" s="36" t="s">
        <v>114</v>
      </c>
      <c r="Z92" s="36">
        <v>1</v>
      </c>
      <c r="AA92" s="36">
        <v>1505000</v>
      </c>
      <c r="AB92" s="40">
        <v>46054</v>
      </c>
      <c r="AC92" s="36" t="s">
        <v>2196</v>
      </c>
      <c r="AD92" s="36" t="str">
        <f>VLOOKUP(D92,Oficial!A:C,3,0)</f>
        <v>Arrastre</v>
      </c>
    </row>
    <row r="93" spans="1:30" x14ac:dyDescent="0.25">
      <c r="A93" s="36" t="s">
        <v>27</v>
      </c>
      <c r="B93" s="36" t="s">
        <v>103</v>
      </c>
      <c r="C93" s="36" t="s">
        <v>28</v>
      </c>
      <c r="D93" s="36" t="s">
        <v>103</v>
      </c>
      <c r="E93" s="36" t="s">
        <v>30</v>
      </c>
      <c r="F93" s="36" t="s">
        <v>31</v>
      </c>
      <c r="G93" s="37" t="s">
        <v>104</v>
      </c>
      <c r="H93" s="36" t="s">
        <v>105</v>
      </c>
      <c r="I93" s="36" t="s">
        <v>106</v>
      </c>
      <c r="J93" s="36">
        <v>1</v>
      </c>
      <c r="K93" s="36" t="s">
        <v>107</v>
      </c>
      <c r="L93" s="36">
        <v>1</v>
      </c>
      <c r="M93" s="36">
        <v>1</v>
      </c>
      <c r="N93" s="38">
        <v>45150000</v>
      </c>
      <c r="O93" s="42">
        <v>1505000</v>
      </c>
      <c r="P93" s="36">
        <v>30</v>
      </c>
      <c r="Q93" s="36" t="s">
        <v>108</v>
      </c>
      <c r="R93" s="36" t="s">
        <v>109</v>
      </c>
      <c r="S93" s="36" t="s">
        <v>110</v>
      </c>
      <c r="T93" s="36" t="s">
        <v>111</v>
      </c>
      <c r="U93" s="36" t="s">
        <v>112</v>
      </c>
      <c r="V93" s="40">
        <v>45444</v>
      </c>
      <c r="W93" s="40">
        <v>45478</v>
      </c>
      <c r="X93" s="36">
        <v>35</v>
      </c>
      <c r="Y93" s="36" t="s">
        <v>113</v>
      </c>
      <c r="Z93" s="36">
        <v>1</v>
      </c>
      <c r="AA93" s="36">
        <v>1505000</v>
      </c>
      <c r="AB93" s="40">
        <v>46113</v>
      </c>
      <c r="AC93" s="36" t="s">
        <v>2196</v>
      </c>
      <c r="AD93" s="36" t="str">
        <f>VLOOKUP(D93,Oficial!A:C,3,0)</f>
        <v>Arrastre</v>
      </c>
    </row>
    <row r="94" spans="1:30" x14ac:dyDescent="0.25">
      <c r="A94" s="36" t="s">
        <v>27</v>
      </c>
      <c r="B94" s="36" t="s">
        <v>103</v>
      </c>
      <c r="C94" s="36" t="s">
        <v>28</v>
      </c>
      <c r="D94" s="36" t="s">
        <v>103</v>
      </c>
      <c r="E94" s="36" t="s">
        <v>30</v>
      </c>
      <c r="F94" s="36" t="s">
        <v>31</v>
      </c>
      <c r="G94" s="37" t="s">
        <v>104</v>
      </c>
      <c r="H94" s="36" t="s">
        <v>105</v>
      </c>
      <c r="I94" s="36" t="s">
        <v>106</v>
      </c>
      <c r="J94" s="36">
        <v>1</v>
      </c>
      <c r="K94" s="36" t="s">
        <v>107</v>
      </c>
      <c r="L94" s="36">
        <v>1</v>
      </c>
      <c r="M94" s="36">
        <v>1</v>
      </c>
      <c r="N94" s="38">
        <v>45150000</v>
      </c>
      <c r="O94" s="42">
        <v>1505000</v>
      </c>
      <c r="P94" s="36">
        <v>30</v>
      </c>
      <c r="Q94" s="36" t="s">
        <v>108</v>
      </c>
      <c r="R94" s="36" t="s">
        <v>109</v>
      </c>
      <c r="S94" s="36" t="s">
        <v>110</v>
      </c>
      <c r="T94" s="36" t="s">
        <v>111</v>
      </c>
      <c r="U94" s="36" t="s">
        <v>112</v>
      </c>
      <c r="V94" s="40">
        <v>45444</v>
      </c>
      <c r="W94" s="40">
        <v>45478</v>
      </c>
      <c r="X94" s="36">
        <v>35</v>
      </c>
      <c r="Y94" s="36" t="s">
        <v>115</v>
      </c>
      <c r="Z94" s="36">
        <v>1</v>
      </c>
      <c r="AA94" s="36">
        <v>1505000</v>
      </c>
      <c r="AB94" s="40">
        <v>46174</v>
      </c>
      <c r="AC94" s="36" t="s">
        <v>2196</v>
      </c>
      <c r="AD94" s="36" t="str">
        <f>VLOOKUP(D94,Oficial!A:C,3,0)</f>
        <v>Arrastre</v>
      </c>
    </row>
    <row r="95" spans="1:30" x14ac:dyDescent="0.25">
      <c r="A95" s="36" t="s">
        <v>27</v>
      </c>
      <c r="B95" s="36" t="s">
        <v>103</v>
      </c>
      <c r="C95" s="36" t="s">
        <v>28</v>
      </c>
      <c r="D95" s="36" t="s">
        <v>103</v>
      </c>
      <c r="E95" s="36" t="s">
        <v>30</v>
      </c>
      <c r="F95" s="36" t="s">
        <v>31</v>
      </c>
      <c r="G95" s="37" t="s">
        <v>104</v>
      </c>
      <c r="H95" s="36" t="s">
        <v>105</v>
      </c>
      <c r="I95" s="36" t="s">
        <v>106</v>
      </c>
      <c r="J95" s="36">
        <v>1</v>
      </c>
      <c r="K95" s="36" t="s">
        <v>107</v>
      </c>
      <c r="L95" s="36">
        <v>1</v>
      </c>
      <c r="M95" s="36">
        <v>1</v>
      </c>
      <c r="N95" s="38">
        <v>45150000</v>
      </c>
      <c r="O95" s="42">
        <v>1505000</v>
      </c>
      <c r="P95" s="36">
        <v>30</v>
      </c>
      <c r="Q95" s="36" t="s">
        <v>108</v>
      </c>
      <c r="R95" s="36" t="s">
        <v>109</v>
      </c>
      <c r="S95" s="36" t="s">
        <v>110</v>
      </c>
      <c r="T95" s="36" t="s">
        <v>111</v>
      </c>
      <c r="U95" s="36" t="s">
        <v>112</v>
      </c>
      <c r="V95" s="40">
        <v>45444</v>
      </c>
      <c r="W95" s="40">
        <v>45478</v>
      </c>
      <c r="X95" s="36">
        <v>35</v>
      </c>
      <c r="Y95" s="36" t="s">
        <v>114</v>
      </c>
      <c r="Z95" s="36">
        <v>1</v>
      </c>
      <c r="AA95" s="36">
        <v>1505000</v>
      </c>
      <c r="AB95" s="40">
        <v>46143</v>
      </c>
      <c r="AC95" s="36" t="s">
        <v>2196</v>
      </c>
      <c r="AD95" s="36" t="str">
        <f>VLOOKUP(D95,Oficial!A:C,3,0)</f>
        <v>Arrastre</v>
      </c>
    </row>
    <row r="96" spans="1:30" x14ac:dyDescent="0.25">
      <c r="A96" s="36" t="s">
        <v>27</v>
      </c>
      <c r="B96" s="36" t="s">
        <v>103</v>
      </c>
      <c r="C96" s="36" t="s">
        <v>28</v>
      </c>
      <c r="D96" s="36" t="s">
        <v>103</v>
      </c>
      <c r="E96" s="36" t="s">
        <v>30</v>
      </c>
      <c r="F96" s="36" t="s">
        <v>31</v>
      </c>
      <c r="G96" s="37" t="s">
        <v>104</v>
      </c>
      <c r="H96" s="36" t="s">
        <v>105</v>
      </c>
      <c r="I96" s="36" t="s">
        <v>106</v>
      </c>
      <c r="J96" s="36">
        <v>1</v>
      </c>
      <c r="K96" s="36" t="s">
        <v>107</v>
      </c>
      <c r="L96" s="36">
        <v>1</v>
      </c>
      <c r="M96" s="36">
        <v>1</v>
      </c>
      <c r="N96" s="38">
        <v>45150000</v>
      </c>
      <c r="O96" s="42">
        <v>1505000</v>
      </c>
      <c r="P96" s="36">
        <v>30</v>
      </c>
      <c r="Q96" s="36" t="s">
        <v>108</v>
      </c>
      <c r="R96" s="36" t="s">
        <v>109</v>
      </c>
      <c r="S96" s="36" t="s">
        <v>110</v>
      </c>
      <c r="T96" s="36" t="s">
        <v>111</v>
      </c>
      <c r="U96" s="36" t="s">
        <v>112</v>
      </c>
      <c r="V96" s="40">
        <v>45444</v>
      </c>
      <c r="W96" s="40">
        <v>45478</v>
      </c>
      <c r="X96" s="36">
        <v>35</v>
      </c>
      <c r="Y96" s="36" t="s">
        <v>116</v>
      </c>
      <c r="Z96" s="36">
        <v>1</v>
      </c>
      <c r="AA96" s="36">
        <v>1505000</v>
      </c>
      <c r="AB96" s="40">
        <v>46023</v>
      </c>
      <c r="AC96" s="36" t="s">
        <v>2196</v>
      </c>
      <c r="AD96" s="36" t="str">
        <f>VLOOKUP(D96,Oficial!A:C,3,0)</f>
        <v>Arrastre</v>
      </c>
    </row>
    <row r="97" spans="1:30" x14ac:dyDescent="0.25">
      <c r="A97" s="36" t="s">
        <v>27</v>
      </c>
      <c r="B97" s="36" t="s">
        <v>103</v>
      </c>
      <c r="C97" s="36" t="s">
        <v>28</v>
      </c>
      <c r="D97" s="36" t="s">
        <v>103</v>
      </c>
      <c r="E97" s="36" t="s">
        <v>30</v>
      </c>
      <c r="F97" s="36" t="s">
        <v>31</v>
      </c>
      <c r="G97" s="37" t="s">
        <v>104</v>
      </c>
      <c r="H97" s="36" t="s">
        <v>105</v>
      </c>
      <c r="I97" s="36" t="s">
        <v>106</v>
      </c>
      <c r="J97" s="36">
        <v>1</v>
      </c>
      <c r="K97" s="36" t="s">
        <v>107</v>
      </c>
      <c r="L97" s="36">
        <v>1</v>
      </c>
      <c r="M97" s="36">
        <v>1</v>
      </c>
      <c r="N97" s="38">
        <v>45150000</v>
      </c>
      <c r="O97" s="42">
        <v>1505000</v>
      </c>
      <c r="P97" s="36">
        <v>30</v>
      </c>
      <c r="Q97" s="36" t="s">
        <v>108</v>
      </c>
      <c r="R97" s="36" t="s">
        <v>109</v>
      </c>
      <c r="S97" s="36" t="s">
        <v>110</v>
      </c>
      <c r="T97" s="36" t="s">
        <v>111</v>
      </c>
      <c r="U97" s="36" t="s">
        <v>112</v>
      </c>
      <c r="V97" s="40">
        <v>45444</v>
      </c>
      <c r="W97" s="40">
        <v>45478</v>
      </c>
      <c r="X97" s="36">
        <v>35</v>
      </c>
      <c r="Y97" s="36" t="s">
        <v>116</v>
      </c>
      <c r="Z97" s="36">
        <v>1</v>
      </c>
      <c r="AA97" s="36">
        <v>1505000</v>
      </c>
      <c r="AB97" s="40">
        <v>46054</v>
      </c>
      <c r="AC97" s="36" t="s">
        <v>2196</v>
      </c>
      <c r="AD97" s="36" t="str">
        <f>VLOOKUP(D97,Oficial!A:C,3,0)</f>
        <v>Arrastre</v>
      </c>
    </row>
    <row r="98" spans="1:30" x14ac:dyDescent="0.25">
      <c r="A98" s="36" t="s">
        <v>27</v>
      </c>
      <c r="B98" s="36" t="s">
        <v>117</v>
      </c>
      <c r="C98" s="36" t="s">
        <v>28</v>
      </c>
      <c r="D98" s="36" t="s">
        <v>117</v>
      </c>
      <c r="E98" s="36" t="s">
        <v>30</v>
      </c>
      <c r="F98" s="36" t="s">
        <v>31</v>
      </c>
      <c r="G98" s="37" t="s">
        <v>118</v>
      </c>
      <c r="H98" s="36" t="s">
        <v>119</v>
      </c>
      <c r="I98" s="36" t="s">
        <v>120</v>
      </c>
      <c r="J98" s="36">
        <v>1</v>
      </c>
      <c r="K98" s="36" t="s">
        <v>121</v>
      </c>
      <c r="L98" s="36">
        <v>1</v>
      </c>
      <c r="M98" s="36">
        <v>1</v>
      </c>
      <c r="N98" s="38">
        <v>300000000</v>
      </c>
      <c r="O98" s="44">
        <v>12500000</v>
      </c>
      <c r="P98" s="36">
        <v>24</v>
      </c>
      <c r="Q98" s="36" t="s">
        <v>73</v>
      </c>
      <c r="R98" s="36" t="s">
        <v>122</v>
      </c>
      <c r="S98" s="36" t="s">
        <v>123</v>
      </c>
      <c r="T98" s="36" t="s">
        <v>124</v>
      </c>
      <c r="U98" s="36" t="s">
        <v>58</v>
      </c>
      <c r="V98" s="40">
        <v>45474</v>
      </c>
      <c r="W98" s="40">
        <v>45478</v>
      </c>
      <c r="X98" s="36">
        <v>46</v>
      </c>
      <c r="Y98" s="36" t="s">
        <v>125</v>
      </c>
      <c r="Z98" s="36">
        <v>1</v>
      </c>
      <c r="AA98" s="36">
        <v>12500000</v>
      </c>
      <c r="AB98" s="40">
        <v>46235</v>
      </c>
      <c r="AC98" s="36" t="s">
        <v>2196</v>
      </c>
      <c r="AD98" s="36" t="str">
        <f>VLOOKUP(D98,Oficial!A:C,3,0)</f>
        <v>Arrastre</v>
      </c>
    </row>
    <row r="99" spans="1:30" x14ac:dyDescent="0.25">
      <c r="A99" s="36" t="s">
        <v>27</v>
      </c>
      <c r="B99" s="36" t="s">
        <v>117</v>
      </c>
      <c r="C99" s="36" t="s">
        <v>28</v>
      </c>
      <c r="D99" s="36" t="s">
        <v>117</v>
      </c>
      <c r="E99" s="36" t="s">
        <v>30</v>
      </c>
      <c r="F99" s="36" t="s">
        <v>31</v>
      </c>
      <c r="G99" s="37" t="s">
        <v>118</v>
      </c>
      <c r="H99" s="36" t="s">
        <v>119</v>
      </c>
      <c r="I99" s="36" t="s">
        <v>120</v>
      </c>
      <c r="J99" s="36">
        <v>1</v>
      </c>
      <c r="K99" s="36" t="s">
        <v>121</v>
      </c>
      <c r="L99" s="36">
        <v>1</v>
      </c>
      <c r="M99" s="36">
        <v>1</v>
      </c>
      <c r="N99" s="38">
        <v>300000000</v>
      </c>
      <c r="O99" s="44">
        <v>12500000</v>
      </c>
      <c r="P99" s="36">
        <v>24</v>
      </c>
      <c r="Q99" s="36" t="s">
        <v>73</v>
      </c>
      <c r="R99" s="36" t="s">
        <v>122</v>
      </c>
      <c r="S99" s="36" t="s">
        <v>123</v>
      </c>
      <c r="T99" s="36" t="s">
        <v>124</v>
      </c>
      <c r="U99" s="36" t="s">
        <v>58</v>
      </c>
      <c r="V99" s="40">
        <v>45474</v>
      </c>
      <c r="W99" s="40">
        <v>45478</v>
      </c>
      <c r="X99" s="36">
        <v>46</v>
      </c>
      <c r="Y99" s="36" t="s">
        <v>126</v>
      </c>
      <c r="Z99" s="36">
        <v>1</v>
      </c>
      <c r="AA99" s="36">
        <v>12500000</v>
      </c>
      <c r="AB99" s="40">
        <v>46327</v>
      </c>
      <c r="AC99" s="36" t="s">
        <v>2196</v>
      </c>
      <c r="AD99" s="36" t="str">
        <f>VLOOKUP(D99,Oficial!A:C,3,0)</f>
        <v>Arrastre</v>
      </c>
    </row>
    <row r="100" spans="1:30" x14ac:dyDescent="0.25">
      <c r="A100" s="36" t="s">
        <v>27</v>
      </c>
      <c r="B100" s="36" t="s">
        <v>117</v>
      </c>
      <c r="C100" s="36" t="s">
        <v>28</v>
      </c>
      <c r="D100" s="36" t="s">
        <v>117</v>
      </c>
      <c r="E100" s="36" t="s">
        <v>30</v>
      </c>
      <c r="F100" s="36" t="s">
        <v>31</v>
      </c>
      <c r="G100" s="37" t="s">
        <v>118</v>
      </c>
      <c r="H100" s="36" t="s">
        <v>119</v>
      </c>
      <c r="I100" s="36" t="s">
        <v>120</v>
      </c>
      <c r="J100" s="36">
        <v>1</v>
      </c>
      <c r="K100" s="36" t="s">
        <v>121</v>
      </c>
      <c r="L100" s="36">
        <v>1</v>
      </c>
      <c r="M100" s="36">
        <v>1</v>
      </c>
      <c r="N100" s="38">
        <v>300000000</v>
      </c>
      <c r="O100" s="44">
        <v>12500000</v>
      </c>
      <c r="P100" s="36">
        <v>24</v>
      </c>
      <c r="Q100" s="36" t="s">
        <v>73</v>
      </c>
      <c r="R100" s="36" t="s">
        <v>122</v>
      </c>
      <c r="S100" s="36" t="s">
        <v>123</v>
      </c>
      <c r="T100" s="36" t="s">
        <v>124</v>
      </c>
      <c r="U100" s="36" t="s">
        <v>58</v>
      </c>
      <c r="V100" s="40">
        <v>45474</v>
      </c>
      <c r="W100" s="40">
        <v>45478</v>
      </c>
      <c r="X100" s="36">
        <v>46</v>
      </c>
      <c r="Y100" s="36" t="s">
        <v>125</v>
      </c>
      <c r="Z100" s="36">
        <v>1</v>
      </c>
      <c r="AA100" s="36">
        <v>12500000</v>
      </c>
      <c r="AB100" s="40">
        <v>46113</v>
      </c>
      <c r="AC100" s="36" t="s">
        <v>2196</v>
      </c>
      <c r="AD100" s="36" t="str">
        <f>VLOOKUP(D100,Oficial!A:C,3,0)</f>
        <v>Arrastre</v>
      </c>
    </row>
    <row r="101" spans="1:30" x14ac:dyDescent="0.25">
      <c r="A101" s="36" t="s">
        <v>27</v>
      </c>
      <c r="B101" s="36" t="s">
        <v>117</v>
      </c>
      <c r="C101" s="36" t="s">
        <v>28</v>
      </c>
      <c r="D101" s="36" t="s">
        <v>117</v>
      </c>
      <c r="E101" s="36" t="s">
        <v>30</v>
      </c>
      <c r="F101" s="36" t="s">
        <v>31</v>
      </c>
      <c r="G101" s="37" t="s">
        <v>118</v>
      </c>
      <c r="H101" s="36" t="s">
        <v>119</v>
      </c>
      <c r="I101" s="36" t="s">
        <v>120</v>
      </c>
      <c r="J101" s="36">
        <v>1</v>
      </c>
      <c r="K101" s="36" t="s">
        <v>121</v>
      </c>
      <c r="L101" s="36">
        <v>1</v>
      </c>
      <c r="M101" s="36">
        <v>1</v>
      </c>
      <c r="N101" s="38">
        <v>300000000</v>
      </c>
      <c r="O101" s="44">
        <v>12500000</v>
      </c>
      <c r="P101" s="36">
        <v>24</v>
      </c>
      <c r="Q101" s="36" t="s">
        <v>73</v>
      </c>
      <c r="R101" s="36" t="s">
        <v>122</v>
      </c>
      <c r="S101" s="36" t="s">
        <v>123</v>
      </c>
      <c r="T101" s="36" t="s">
        <v>124</v>
      </c>
      <c r="U101" s="36" t="s">
        <v>58</v>
      </c>
      <c r="V101" s="40">
        <v>45474</v>
      </c>
      <c r="W101" s="40">
        <v>45478</v>
      </c>
      <c r="X101" s="36">
        <v>46</v>
      </c>
      <c r="Y101" s="36" t="s">
        <v>125</v>
      </c>
      <c r="Z101" s="36">
        <v>1</v>
      </c>
      <c r="AA101" s="36">
        <v>12500000</v>
      </c>
      <c r="AB101" s="40">
        <v>46023</v>
      </c>
      <c r="AC101" s="36" t="s">
        <v>2196</v>
      </c>
      <c r="AD101" s="36" t="str">
        <f>VLOOKUP(D101,Oficial!A:C,3,0)</f>
        <v>Arrastre</v>
      </c>
    </row>
    <row r="102" spans="1:30" x14ac:dyDescent="0.25">
      <c r="A102" s="36" t="s">
        <v>27</v>
      </c>
      <c r="B102" s="36" t="s">
        <v>117</v>
      </c>
      <c r="C102" s="36" t="s">
        <v>28</v>
      </c>
      <c r="D102" s="36" t="s">
        <v>117</v>
      </c>
      <c r="E102" s="36" t="s">
        <v>30</v>
      </c>
      <c r="F102" s="36" t="s">
        <v>31</v>
      </c>
      <c r="G102" s="37" t="s">
        <v>118</v>
      </c>
      <c r="H102" s="36" t="s">
        <v>119</v>
      </c>
      <c r="I102" s="36" t="s">
        <v>120</v>
      </c>
      <c r="J102" s="36">
        <v>1</v>
      </c>
      <c r="K102" s="36" t="s">
        <v>121</v>
      </c>
      <c r="L102" s="36">
        <v>1</v>
      </c>
      <c r="M102" s="36">
        <v>1</v>
      </c>
      <c r="N102" s="38">
        <v>300000000</v>
      </c>
      <c r="O102" s="44">
        <v>12500000</v>
      </c>
      <c r="P102" s="36">
        <v>24</v>
      </c>
      <c r="Q102" s="36" t="s">
        <v>73</v>
      </c>
      <c r="R102" s="36" t="s">
        <v>122</v>
      </c>
      <c r="S102" s="36" t="s">
        <v>123</v>
      </c>
      <c r="T102" s="36" t="s">
        <v>124</v>
      </c>
      <c r="U102" s="36" t="s">
        <v>58</v>
      </c>
      <c r="V102" s="40">
        <v>45474</v>
      </c>
      <c r="W102" s="40">
        <v>45478</v>
      </c>
      <c r="X102" s="36">
        <v>46</v>
      </c>
      <c r="Y102" s="36" t="s">
        <v>125</v>
      </c>
      <c r="Z102" s="36">
        <v>1</v>
      </c>
      <c r="AA102" s="36">
        <v>12500000</v>
      </c>
      <c r="AB102" s="40">
        <v>46054</v>
      </c>
      <c r="AC102" s="36" t="s">
        <v>2196</v>
      </c>
      <c r="AD102" s="36" t="str">
        <f>VLOOKUP(D102,Oficial!A:C,3,0)</f>
        <v>Arrastre</v>
      </c>
    </row>
    <row r="103" spans="1:30" x14ac:dyDescent="0.25">
      <c r="A103" s="36" t="s">
        <v>27</v>
      </c>
      <c r="B103" s="36" t="s">
        <v>117</v>
      </c>
      <c r="C103" s="36" t="s">
        <v>28</v>
      </c>
      <c r="D103" s="36" t="s">
        <v>117</v>
      </c>
      <c r="E103" s="36" t="s">
        <v>30</v>
      </c>
      <c r="F103" s="36" t="s">
        <v>31</v>
      </c>
      <c r="G103" s="37" t="s">
        <v>118</v>
      </c>
      <c r="H103" s="36" t="s">
        <v>119</v>
      </c>
      <c r="I103" s="36" t="s">
        <v>120</v>
      </c>
      <c r="J103" s="36">
        <v>1</v>
      </c>
      <c r="K103" s="36" t="s">
        <v>121</v>
      </c>
      <c r="L103" s="36">
        <v>1</v>
      </c>
      <c r="M103" s="36">
        <v>1</v>
      </c>
      <c r="N103" s="38">
        <v>300000000</v>
      </c>
      <c r="O103" s="44">
        <v>12500000</v>
      </c>
      <c r="P103" s="36">
        <v>24</v>
      </c>
      <c r="Q103" s="36" t="s">
        <v>73</v>
      </c>
      <c r="R103" s="36" t="s">
        <v>122</v>
      </c>
      <c r="S103" s="36" t="s">
        <v>123</v>
      </c>
      <c r="T103" s="36" t="s">
        <v>124</v>
      </c>
      <c r="U103" s="36" t="s">
        <v>58</v>
      </c>
      <c r="V103" s="40">
        <v>45474</v>
      </c>
      <c r="W103" s="40">
        <v>45478</v>
      </c>
      <c r="X103" s="36">
        <v>46</v>
      </c>
      <c r="Y103" s="36" t="s">
        <v>125</v>
      </c>
      <c r="Z103" s="36">
        <v>1</v>
      </c>
      <c r="AA103" s="36">
        <v>12500000</v>
      </c>
      <c r="AB103" s="40">
        <v>46204</v>
      </c>
      <c r="AC103" s="36" t="s">
        <v>2196</v>
      </c>
      <c r="AD103" s="36" t="str">
        <f>VLOOKUP(D103,Oficial!A:C,3,0)</f>
        <v>Arrastre</v>
      </c>
    </row>
    <row r="104" spans="1:30" x14ac:dyDescent="0.25">
      <c r="A104" s="36" t="s">
        <v>27</v>
      </c>
      <c r="B104" s="36" t="s">
        <v>117</v>
      </c>
      <c r="C104" s="36" t="s">
        <v>28</v>
      </c>
      <c r="D104" s="36" t="s">
        <v>117</v>
      </c>
      <c r="E104" s="36" t="s">
        <v>30</v>
      </c>
      <c r="F104" s="36" t="s">
        <v>31</v>
      </c>
      <c r="G104" s="37" t="s">
        <v>118</v>
      </c>
      <c r="H104" s="36" t="s">
        <v>119</v>
      </c>
      <c r="I104" s="36" t="s">
        <v>120</v>
      </c>
      <c r="J104" s="36">
        <v>1</v>
      </c>
      <c r="K104" s="36" t="s">
        <v>121</v>
      </c>
      <c r="L104" s="36">
        <v>1</v>
      </c>
      <c r="M104" s="36">
        <v>1</v>
      </c>
      <c r="N104" s="38">
        <v>300000000</v>
      </c>
      <c r="O104" s="44">
        <v>12500000</v>
      </c>
      <c r="P104" s="36">
        <v>24</v>
      </c>
      <c r="Q104" s="36" t="s">
        <v>73</v>
      </c>
      <c r="R104" s="36" t="s">
        <v>122</v>
      </c>
      <c r="S104" s="36" t="s">
        <v>123</v>
      </c>
      <c r="T104" s="36" t="s">
        <v>124</v>
      </c>
      <c r="U104" s="36" t="s">
        <v>58</v>
      </c>
      <c r="V104" s="40">
        <v>45474</v>
      </c>
      <c r="W104" s="40">
        <v>45478</v>
      </c>
      <c r="X104" s="36">
        <v>46</v>
      </c>
      <c r="Y104" s="36" t="s">
        <v>127</v>
      </c>
      <c r="Z104" s="36">
        <v>1</v>
      </c>
      <c r="AA104" s="36">
        <v>12500000</v>
      </c>
      <c r="AB104" s="40">
        <v>46204</v>
      </c>
      <c r="AC104" s="36" t="s">
        <v>2196</v>
      </c>
      <c r="AD104" s="36" t="str">
        <f>VLOOKUP(D104,Oficial!A:C,3,0)</f>
        <v>Arrastre</v>
      </c>
    </row>
    <row r="105" spans="1:30" x14ac:dyDescent="0.25">
      <c r="A105" s="36" t="s">
        <v>27</v>
      </c>
      <c r="B105" s="36" t="s">
        <v>117</v>
      </c>
      <c r="C105" s="36" t="s">
        <v>28</v>
      </c>
      <c r="D105" s="36" t="s">
        <v>117</v>
      </c>
      <c r="E105" s="36" t="s">
        <v>30</v>
      </c>
      <c r="F105" s="36" t="s">
        <v>31</v>
      </c>
      <c r="G105" s="37" t="s">
        <v>118</v>
      </c>
      <c r="H105" s="36" t="s">
        <v>119</v>
      </c>
      <c r="I105" s="36" t="s">
        <v>120</v>
      </c>
      <c r="J105" s="36">
        <v>1</v>
      </c>
      <c r="K105" s="36" t="s">
        <v>121</v>
      </c>
      <c r="L105" s="36">
        <v>1</v>
      </c>
      <c r="M105" s="36">
        <v>1</v>
      </c>
      <c r="N105" s="38">
        <v>300000000</v>
      </c>
      <c r="O105" s="44">
        <v>12500000</v>
      </c>
      <c r="P105" s="36">
        <v>24</v>
      </c>
      <c r="Q105" s="36" t="s">
        <v>73</v>
      </c>
      <c r="R105" s="36" t="s">
        <v>122</v>
      </c>
      <c r="S105" s="36" t="s">
        <v>123</v>
      </c>
      <c r="T105" s="36" t="s">
        <v>124</v>
      </c>
      <c r="U105" s="36" t="s">
        <v>58</v>
      </c>
      <c r="V105" s="40">
        <v>45474</v>
      </c>
      <c r="W105" s="40">
        <v>45478</v>
      </c>
      <c r="X105" s="36">
        <v>46</v>
      </c>
      <c r="Y105" s="36" t="s">
        <v>127</v>
      </c>
      <c r="Z105" s="36">
        <v>1</v>
      </c>
      <c r="AA105" s="36">
        <v>12500000</v>
      </c>
      <c r="AB105" s="40">
        <v>46113</v>
      </c>
      <c r="AC105" s="36" t="s">
        <v>2196</v>
      </c>
      <c r="AD105" s="36" t="str">
        <f>VLOOKUP(D105,Oficial!A:C,3,0)</f>
        <v>Arrastre</v>
      </c>
    </row>
    <row r="106" spans="1:30" x14ac:dyDescent="0.25">
      <c r="A106" s="36" t="s">
        <v>27</v>
      </c>
      <c r="B106" s="36" t="s">
        <v>117</v>
      </c>
      <c r="C106" s="36" t="s">
        <v>28</v>
      </c>
      <c r="D106" s="36" t="s">
        <v>117</v>
      </c>
      <c r="E106" s="36" t="s">
        <v>30</v>
      </c>
      <c r="F106" s="36" t="s">
        <v>31</v>
      </c>
      <c r="G106" s="37" t="s">
        <v>118</v>
      </c>
      <c r="H106" s="36" t="s">
        <v>119</v>
      </c>
      <c r="I106" s="36" t="s">
        <v>120</v>
      </c>
      <c r="J106" s="36">
        <v>1</v>
      </c>
      <c r="K106" s="36" t="s">
        <v>121</v>
      </c>
      <c r="L106" s="36">
        <v>1</v>
      </c>
      <c r="M106" s="36">
        <v>1</v>
      </c>
      <c r="N106" s="38">
        <v>300000000</v>
      </c>
      <c r="O106" s="44">
        <v>12500000</v>
      </c>
      <c r="P106" s="36">
        <v>24</v>
      </c>
      <c r="Q106" s="36" t="s">
        <v>73</v>
      </c>
      <c r="R106" s="36" t="s">
        <v>122</v>
      </c>
      <c r="S106" s="36" t="s">
        <v>123</v>
      </c>
      <c r="T106" s="36" t="s">
        <v>124</v>
      </c>
      <c r="U106" s="36" t="s">
        <v>58</v>
      </c>
      <c r="V106" s="40">
        <v>45474</v>
      </c>
      <c r="W106" s="40">
        <v>45478</v>
      </c>
      <c r="X106" s="36">
        <v>46</v>
      </c>
      <c r="Y106" s="36" t="s">
        <v>125</v>
      </c>
      <c r="Z106" s="36">
        <v>1</v>
      </c>
      <c r="AA106" s="36">
        <v>12500000</v>
      </c>
      <c r="AB106" s="40">
        <v>46357</v>
      </c>
      <c r="AC106" s="36" t="s">
        <v>2196</v>
      </c>
      <c r="AD106" s="36" t="str">
        <f>VLOOKUP(D106,Oficial!A:C,3,0)</f>
        <v>Arrastre</v>
      </c>
    </row>
    <row r="107" spans="1:30" x14ac:dyDescent="0.25">
      <c r="A107" s="36" t="s">
        <v>27</v>
      </c>
      <c r="B107" s="36" t="s">
        <v>117</v>
      </c>
      <c r="C107" s="36" t="s">
        <v>28</v>
      </c>
      <c r="D107" s="36" t="s">
        <v>117</v>
      </c>
      <c r="E107" s="36" t="s">
        <v>30</v>
      </c>
      <c r="F107" s="36" t="s">
        <v>31</v>
      </c>
      <c r="G107" s="37" t="s">
        <v>118</v>
      </c>
      <c r="H107" s="36" t="s">
        <v>119</v>
      </c>
      <c r="I107" s="36" t="s">
        <v>120</v>
      </c>
      <c r="J107" s="36">
        <v>1</v>
      </c>
      <c r="K107" s="36" t="s">
        <v>121</v>
      </c>
      <c r="L107" s="36">
        <v>1</v>
      </c>
      <c r="M107" s="36">
        <v>1</v>
      </c>
      <c r="N107" s="38">
        <v>300000000</v>
      </c>
      <c r="O107" s="44">
        <v>12500000</v>
      </c>
      <c r="P107" s="36">
        <v>24</v>
      </c>
      <c r="Q107" s="36" t="s">
        <v>73</v>
      </c>
      <c r="R107" s="36" t="s">
        <v>122</v>
      </c>
      <c r="S107" s="36" t="s">
        <v>123</v>
      </c>
      <c r="T107" s="36" t="s">
        <v>124</v>
      </c>
      <c r="U107" s="36" t="s">
        <v>58</v>
      </c>
      <c r="V107" s="40">
        <v>45474</v>
      </c>
      <c r="W107" s="40">
        <v>45478</v>
      </c>
      <c r="X107" s="36">
        <v>46</v>
      </c>
      <c r="Y107" s="36" t="s">
        <v>125</v>
      </c>
      <c r="Z107" s="36">
        <v>1</v>
      </c>
      <c r="AA107" s="36">
        <v>12500000</v>
      </c>
      <c r="AB107" s="40">
        <v>46266</v>
      </c>
      <c r="AC107" s="36" t="s">
        <v>2196</v>
      </c>
      <c r="AD107" s="36" t="str">
        <f>VLOOKUP(D107,Oficial!A:C,3,0)</f>
        <v>Arrastre</v>
      </c>
    </row>
    <row r="108" spans="1:30" x14ac:dyDescent="0.25">
      <c r="A108" s="36" t="s">
        <v>27</v>
      </c>
      <c r="B108" s="36" t="s">
        <v>117</v>
      </c>
      <c r="C108" s="36" t="s">
        <v>28</v>
      </c>
      <c r="D108" s="36" t="s">
        <v>117</v>
      </c>
      <c r="E108" s="36" t="s">
        <v>30</v>
      </c>
      <c r="F108" s="36" t="s">
        <v>31</v>
      </c>
      <c r="G108" s="37" t="s">
        <v>118</v>
      </c>
      <c r="H108" s="36" t="s">
        <v>119</v>
      </c>
      <c r="I108" s="36" t="s">
        <v>120</v>
      </c>
      <c r="J108" s="36">
        <v>1</v>
      </c>
      <c r="K108" s="36" t="s">
        <v>121</v>
      </c>
      <c r="L108" s="36">
        <v>1</v>
      </c>
      <c r="M108" s="36">
        <v>1</v>
      </c>
      <c r="N108" s="38">
        <v>300000000</v>
      </c>
      <c r="O108" s="44">
        <v>12500000</v>
      </c>
      <c r="P108" s="36">
        <v>24</v>
      </c>
      <c r="Q108" s="36" t="s">
        <v>73</v>
      </c>
      <c r="R108" s="36" t="s">
        <v>122</v>
      </c>
      <c r="S108" s="36" t="s">
        <v>123</v>
      </c>
      <c r="T108" s="36" t="s">
        <v>124</v>
      </c>
      <c r="U108" s="36" t="s">
        <v>58</v>
      </c>
      <c r="V108" s="40">
        <v>45474</v>
      </c>
      <c r="W108" s="40">
        <v>45478</v>
      </c>
      <c r="X108" s="36">
        <v>46</v>
      </c>
      <c r="Y108" s="36" t="s">
        <v>125</v>
      </c>
      <c r="Z108" s="36">
        <v>1</v>
      </c>
      <c r="AA108" s="36">
        <v>12500000</v>
      </c>
      <c r="AB108" s="40">
        <v>46082</v>
      </c>
      <c r="AC108" s="36" t="s">
        <v>2196</v>
      </c>
      <c r="AD108" s="36" t="str">
        <f>VLOOKUP(D108,Oficial!A:C,3,0)</f>
        <v>Arrastre</v>
      </c>
    </row>
    <row r="109" spans="1:30" x14ac:dyDescent="0.25">
      <c r="A109" s="36" t="s">
        <v>27</v>
      </c>
      <c r="B109" s="36" t="s">
        <v>117</v>
      </c>
      <c r="C109" s="36" t="s">
        <v>28</v>
      </c>
      <c r="D109" s="36" t="s">
        <v>117</v>
      </c>
      <c r="E109" s="36" t="s">
        <v>30</v>
      </c>
      <c r="F109" s="36" t="s">
        <v>31</v>
      </c>
      <c r="G109" s="37" t="s">
        <v>118</v>
      </c>
      <c r="H109" s="36" t="s">
        <v>119</v>
      </c>
      <c r="I109" s="36" t="s">
        <v>120</v>
      </c>
      <c r="J109" s="36">
        <v>1</v>
      </c>
      <c r="K109" s="36" t="s">
        <v>121</v>
      </c>
      <c r="L109" s="36">
        <v>1</v>
      </c>
      <c r="M109" s="36">
        <v>1</v>
      </c>
      <c r="N109" s="38">
        <v>300000000</v>
      </c>
      <c r="O109" s="44">
        <v>12500000</v>
      </c>
      <c r="P109" s="36">
        <v>24</v>
      </c>
      <c r="Q109" s="36" t="s">
        <v>73</v>
      </c>
      <c r="R109" s="36" t="s">
        <v>122</v>
      </c>
      <c r="S109" s="36" t="s">
        <v>123</v>
      </c>
      <c r="T109" s="36" t="s">
        <v>124</v>
      </c>
      <c r="U109" s="36" t="s">
        <v>58</v>
      </c>
      <c r="V109" s="40">
        <v>45474</v>
      </c>
      <c r="W109" s="40">
        <v>45478</v>
      </c>
      <c r="X109" s="36">
        <v>46</v>
      </c>
      <c r="Y109" s="36" t="s">
        <v>125</v>
      </c>
      <c r="Z109" s="36">
        <v>1</v>
      </c>
      <c r="AA109" s="36">
        <v>12500000</v>
      </c>
      <c r="AB109" s="40">
        <v>46143</v>
      </c>
      <c r="AC109" s="36" t="s">
        <v>2196</v>
      </c>
      <c r="AD109" s="36" t="str">
        <f>VLOOKUP(D109,Oficial!A:C,3,0)</f>
        <v>Arrastre</v>
      </c>
    </row>
    <row r="110" spans="1:30" x14ac:dyDescent="0.25">
      <c r="A110" s="36" t="s">
        <v>27</v>
      </c>
      <c r="B110" s="36" t="s">
        <v>128</v>
      </c>
      <c r="C110" s="36" t="s">
        <v>28</v>
      </c>
      <c r="D110" s="36" t="s">
        <v>128</v>
      </c>
      <c r="E110" s="36" t="s">
        <v>30</v>
      </c>
      <c r="F110" s="36" t="s">
        <v>31</v>
      </c>
      <c r="G110" s="37" t="s">
        <v>129</v>
      </c>
      <c r="H110" s="36" t="s">
        <v>130</v>
      </c>
      <c r="I110" s="36" t="s">
        <v>131</v>
      </c>
      <c r="J110" s="36">
        <v>1</v>
      </c>
      <c r="K110" s="36" t="s">
        <v>132</v>
      </c>
      <c r="L110" s="36">
        <v>1</v>
      </c>
      <c r="M110" s="36">
        <v>1</v>
      </c>
      <c r="N110" s="38">
        <v>794718407</v>
      </c>
      <c r="O110" s="41">
        <v>33113266</v>
      </c>
      <c r="P110" s="36">
        <v>24</v>
      </c>
      <c r="Q110" s="36" t="s">
        <v>73</v>
      </c>
      <c r="R110" s="36" t="s">
        <v>109</v>
      </c>
      <c r="S110" s="36" t="s">
        <v>133</v>
      </c>
      <c r="T110" s="36" t="s">
        <v>111</v>
      </c>
      <c r="U110" s="36" t="s">
        <v>112</v>
      </c>
      <c r="V110" s="40">
        <v>45505</v>
      </c>
      <c r="W110" s="40">
        <v>45478</v>
      </c>
      <c r="X110" s="36">
        <v>2</v>
      </c>
      <c r="Y110" s="36" t="s">
        <v>134</v>
      </c>
      <c r="Z110" s="36">
        <v>1</v>
      </c>
      <c r="AA110" s="36">
        <v>33113266</v>
      </c>
      <c r="AB110" s="40">
        <v>46023</v>
      </c>
      <c r="AC110" s="36" t="s">
        <v>2196</v>
      </c>
      <c r="AD110" s="36" t="str">
        <f>VLOOKUP(D110,Oficial!A:C,3,0)</f>
        <v>Arrastre</v>
      </c>
    </row>
    <row r="111" spans="1:30" x14ac:dyDescent="0.25">
      <c r="A111" s="36" t="s">
        <v>27</v>
      </c>
      <c r="B111" s="36" t="s">
        <v>128</v>
      </c>
      <c r="C111" s="36" t="s">
        <v>28</v>
      </c>
      <c r="D111" s="36" t="s">
        <v>128</v>
      </c>
      <c r="E111" s="36" t="s">
        <v>30</v>
      </c>
      <c r="F111" s="36" t="s">
        <v>31</v>
      </c>
      <c r="G111" s="37" t="s">
        <v>129</v>
      </c>
      <c r="H111" s="36" t="s">
        <v>130</v>
      </c>
      <c r="I111" s="36" t="s">
        <v>131</v>
      </c>
      <c r="J111" s="36">
        <v>1</v>
      </c>
      <c r="K111" s="36" t="s">
        <v>132</v>
      </c>
      <c r="L111" s="36">
        <v>1</v>
      </c>
      <c r="M111" s="36">
        <v>1</v>
      </c>
      <c r="N111" s="38">
        <v>794718407</v>
      </c>
      <c r="O111" s="41">
        <v>33113266</v>
      </c>
      <c r="P111" s="36">
        <v>24</v>
      </c>
      <c r="Q111" s="36" t="s">
        <v>73</v>
      </c>
      <c r="R111" s="36" t="s">
        <v>109</v>
      </c>
      <c r="S111" s="36" t="s">
        <v>133</v>
      </c>
      <c r="T111" s="36" t="s">
        <v>111</v>
      </c>
      <c r="U111" s="36" t="s">
        <v>112</v>
      </c>
      <c r="V111" s="40">
        <v>45505</v>
      </c>
      <c r="W111" s="40">
        <v>45478</v>
      </c>
      <c r="X111" s="36">
        <v>2</v>
      </c>
      <c r="Y111" s="36" t="s">
        <v>135</v>
      </c>
      <c r="Z111" s="36">
        <v>1</v>
      </c>
      <c r="AA111" s="36">
        <v>33113266</v>
      </c>
      <c r="AB111" s="40">
        <v>46082</v>
      </c>
      <c r="AC111" s="36" t="s">
        <v>2196</v>
      </c>
      <c r="AD111" s="36" t="str">
        <f>VLOOKUP(D111,Oficial!A:C,3,0)</f>
        <v>Arrastre</v>
      </c>
    </row>
    <row r="112" spans="1:30" x14ac:dyDescent="0.25">
      <c r="A112" s="36" t="s">
        <v>27</v>
      </c>
      <c r="B112" s="36" t="s">
        <v>128</v>
      </c>
      <c r="C112" s="36" t="s">
        <v>28</v>
      </c>
      <c r="D112" s="36" t="s">
        <v>128</v>
      </c>
      <c r="E112" s="36" t="s">
        <v>30</v>
      </c>
      <c r="F112" s="36" t="s">
        <v>31</v>
      </c>
      <c r="G112" s="37" t="s">
        <v>129</v>
      </c>
      <c r="H112" s="36" t="s">
        <v>130</v>
      </c>
      <c r="I112" s="36" t="s">
        <v>131</v>
      </c>
      <c r="J112" s="36">
        <v>1</v>
      </c>
      <c r="K112" s="36" t="s">
        <v>132</v>
      </c>
      <c r="L112" s="36">
        <v>1</v>
      </c>
      <c r="M112" s="36">
        <v>1</v>
      </c>
      <c r="N112" s="38">
        <v>794718407</v>
      </c>
      <c r="O112" s="41">
        <v>33113266</v>
      </c>
      <c r="P112" s="36">
        <v>24</v>
      </c>
      <c r="Q112" s="36" t="s">
        <v>73</v>
      </c>
      <c r="R112" s="36" t="s">
        <v>109</v>
      </c>
      <c r="S112" s="36" t="s">
        <v>133</v>
      </c>
      <c r="T112" s="36" t="s">
        <v>111</v>
      </c>
      <c r="U112" s="36" t="s">
        <v>112</v>
      </c>
      <c r="V112" s="40">
        <v>45505</v>
      </c>
      <c r="W112" s="40">
        <v>45478</v>
      </c>
      <c r="X112" s="36">
        <v>2</v>
      </c>
      <c r="Y112" s="36" t="s">
        <v>135</v>
      </c>
      <c r="Z112" s="36">
        <v>1</v>
      </c>
      <c r="AA112" s="36">
        <v>33113266</v>
      </c>
      <c r="AB112" s="40">
        <v>46023</v>
      </c>
      <c r="AC112" s="36" t="s">
        <v>2196</v>
      </c>
      <c r="AD112" s="36" t="str">
        <f>VLOOKUP(D112,Oficial!A:C,3,0)</f>
        <v>Arrastre</v>
      </c>
    </row>
    <row r="113" spans="1:30" x14ac:dyDescent="0.25">
      <c r="A113" s="36" t="s">
        <v>27</v>
      </c>
      <c r="B113" s="36" t="s">
        <v>128</v>
      </c>
      <c r="C113" s="36" t="s">
        <v>28</v>
      </c>
      <c r="D113" s="36" t="s">
        <v>128</v>
      </c>
      <c r="E113" s="36" t="s">
        <v>30</v>
      </c>
      <c r="F113" s="36" t="s">
        <v>31</v>
      </c>
      <c r="G113" s="37" t="s">
        <v>129</v>
      </c>
      <c r="H113" s="36" t="s">
        <v>130</v>
      </c>
      <c r="I113" s="36" t="s">
        <v>131</v>
      </c>
      <c r="J113" s="36">
        <v>1</v>
      </c>
      <c r="K113" s="36" t="s">
        <v>132</v>
      </c>
      <c r="L113" s="36">
        <v>1</v>
      </c>
      <c r="M113" s="36">
        <v>1</v>
      </c>
      <c r="N113" s="38">
        <v>794718407</v>
      </c>
      <c r="O113" s="41">
        <v>33113266</v>
      </c>
      <c r="P113" s="36">
        <v>24</v>
      </c>
      <c r="Q113" s="36" t="s">
        <v>73</v>
      </c>
      <c r="R113" s="36" t="s">
        <v>109</v>
      </c>
      <c r="S113" s="36" t="s">
        <v>133</v>
      </c>
      <c r="T113" s="36" t="s">
        <v>111</v>
      </c>
      <c r="U113" s="36" t="s">
        <v>112</v>
      </c>
      <c r="V113" s="40">
        <v>45505</v>
      </c>
      <c r="W113" s="40">
        <v>45478</v>
      </c>
      <c r="X113" s="36">
        <v>2</v>
      </c>
      <c r="Y113" s="36" t="s">
        <v>135</v>
      </c>
      <c r="Z113" s="36">
        <v>1</v>
      </c>
      <c r="AA113" s="36">
        <v>33113266</v>
      </c>
      <c r="AB113" s="40">
        <v>46054</v>
      </c>
      <c r="AC113" s="36" t="s">
        <v>2196</v>
      </c>
      <c r="AD113" s="36" t="str">
        <f>VLOOKUP(D113,Oficial!A:C,3,0)</f>
        <v>Arrastre</v>
      </c>
    </row>
    <row r="114" spans="1:30" x14ac:dyDescent="0.25">
      <c r="A114" s="36" t="s">
        <v>27</v>
      </c>
      <c r="B114" s="36" t="s">
        <v>128</v>
      </c>
      <c r="C114" s="36" t="s">
        <v>28</v>
      </c>
      <c r="D114" s="36" t="s">
        <v>128</v>
      </c>
      <c r="E114" s="36" t="s">
        <v>30</v>
      </c>
      <c r="F114" s="36" t="s">
        <v>31</v>
      </c>
      <c r="G114" s="37" t="s">
        <v>129</v>
      </c>
      <c r="H114" s="36" t="s">
        <v>130</v>
      </c>
      <c r="I114" s="36" t="s">
        <v>131</v>
      </c>
      <c r="J114" s="36">
        <v>1</v>
      </c>
      <c r="K114" s="36" t="s">
        <v>132</v>
      </c>
      <c r="L114" s="36">
        <v>1</v>
      </c>
      <c r="M114" s="36">
        <v>1</v>
      </c>
      <c r="N114" s="38">
        <v>794718407</v>
      </c>
      <c r="O114" s="41">
        <v>33113266</v>
      </c>
      <c r="P114" s="36">
        <v>24</v>
      </c>
      <c r="Q114" s="36" t="s">
        <v>73</v>
      </c>
      <c r="R114" s="36" t="s">
        <v>109</v>
      </c>
      <c r="S114" s="36" t="s">
        <v>133</v>
      </c>
      <c r="T114" s="36" t="s">
        <v>111</v>
      </c>
      <c r="U114" s="36" t="s">
        <v>112</v>
      </c>
      <c r="V114" s="40">
        <v>45505</v>
      </c>
      <c r="W114" s="40">
        <v>45478</v>
      </c>
      <c r="X114" s="36">
        <v>2</v>
      </c>
      <c r="Y114" s="36" t="s">
        <v>135</v>
      </c>
      <c r="Z114" s="36">
        <v>1</v>
      </c>
      <c r="AA114" s="36">
        <v>33113266</v>
      </c>
      <c r="AB114" s="40">
        <v>46113</v>
      </c>
      <c r="AC114" s="36" t="s">
        <v>2196</v>
      </c>
      <c r="AD114" s="36" t="str">
        <f>VLOOKUP(D114,Oficial!A:C,3,0)</f>
        <v>Arrastre</v>
      </c>
    </row>
    <row r="115" spans="1:30" x14ac:dyDescent="0.25">
      <c r="A115" s="36" t="s">
        <v>27</v>
      </c>
      <c r="B115" s="36" t="s">
        <v>128</v>
      </c>
      <c r="C115" s="36" t="s">
        <v>28</v>
      </c>
      <c r="D115" s="36" t="s">
        <v>128</v>
      </c>
      <c r="E115" s="36" t="s">
        <v>30</v>
      </c>
      <c r="F115" s="36" t="s">
        <v>31</v>
      </c>
      <c r="G115" s="37" t="s">
        <v>129</v>
      </c>
      <c r="H115" s="36" t="s">
        <v>130</v>
      </c>
      <c r="I115" s="36" t="s">
        <v>131</v>
      </c>
      <c r="J115" s="36">
        <v>1</v>
      </c>
      <c r="K115" s="36" t="s">
        <v>132</v>
      </c>
      <c r="L115" s="36">
        <v>1</v>
      </c>
      <c r="M115" s="36">
        <v>1</v>
      </c>
      <c r="N115" s="38">
        <v>794718407</v>
      </c>
      <c r="O115" s="41">
        <v>33113266</v>
      </c>
      <c r="P115" s="36">
        <v>24</v>
      </c>
      <c r="Q115" s="36" t="s">
        <v>73</v>
      </c>
      <c r="R115" s="36" t="s">
        <v>109</v>
      </c>
      <c r="S115" s="36" t="s">
        <v>133</v>
      </c>
      <c r="T115" s="36" t="s">
        <v>111</v>
      </c>
      <c r="U115" s="36" t="s">
        <v>112</v>
      </c>
      <c r="V115" s="40">
        <v>45505</v>
      </c>
      <c r="W115" s="40">
        <v>45478</v>
      </c>
      <c r="X115" s="36">
        <v>2</v>
      </c>
      <c r="Y115" s="36" t="s">
        <v>135</v>
      </c>
      <c r="Z115" s="36">
        <v>1</v>
      </c>
      <c r="AA115" s="36">
        <v>33113266</v>
      </c>
      <c r="AB115" s="40">
        <v>46204</v>
      </c>
      <c r="AC115" s="36" t="s">
        <v>2196</v>
      </c>
      <c r="AD115" s="36" t="str">
        <f>VLOOKUP(D115,Oficial!A:C,3,0)</f>
        <v>Arrastre</v>
      </c>
    </row>
    <row r="116" spans="1:30" x14ac:dyDescent="0.25">
      <c r="A116" s="36" t="s">
        <v>27</v>
      </c>
      <c r="B116" s="36" t="s">
        <v>128</v>
      </c>
      <c r="C116" s="36" t="s">
        <v>28</v>
      </c>
      <c r="D116" s="36" t="s">
        <v>128</v>
      </c>
      <c r="E116" s="36" t="s">
        <v>30</v>
      </c>
      <c r="F116" s="36" t="s">
        <v>31</v>
      </c>
      <c r="G116" s="37" t="s">
        <v>129</v>
      </c>
      <c r="H116" s="36" t="s">
        <v>130</v>
      </c>
      <c r="I116" s="36" t="s">
        <v>131</v>
      </c>
      <c r="J116" s="36">
        <v>1</v>
      </c>
      <c r="K116" s="36" t="s">
        <v>132</v>
      </c>
      <c r="L116" s="36">
        <v>1</v>
      </c>
      <c r="M116" s="36">
        <v>1</v>
      </c>
      <c r="N116" s="38">
        <v>794718407</v>
      </c>
      <c r="O116" s="41">
        <v>33113266</v>
      </c>
      <c r="P116" s="36">
        <v>24</v>
      </c>
      <c r="Q116" s="36" t="s">
        <v>73</v>
      </c>
      <c r="R116" s="36" t="s">
        <v>109</v>
      </c>
      <c r="S116" s="36" t="s">
        <v>133</v>
      </c>
      <c r="T116" s="36" t="s">
        <v>111</v>
      </c>
      <c r="U116" s="36" t="s">
        <v>112</v>
      </c>
      <c r="V116" s="40">
        <v>45505</v>
      </c>
      <c r="W116" s="40">
        <v>45478</v>
      </c>
      <c r="X116" s="36">
        <v>2</v>
      </c>
      <c r="Y116" s="36" t="s">
        <v>135</v>
      </c>
      <c r="Z116" s="36">
        <v>1</v>
      </c>
      <c r="AA116" s="36">
        <v>33113266</v>
      </c>
      <c r="AB116" s="40">
        <v>46174</v>
      </c>
      <c r="AC116" s="36" t="s">
        <v>2196</v>
      </c>
      <c r="AD116" s="36" t="str">
        <f>VLOOKUP(D116,Oficial!A:C,3,0)</f>
        <v>Arrastre</v>
      </c>
    </row>
    <row r="117" spans="1:30" x14ac:dyDescent="0.25">
      <c r="A117" s="36" t="s">
        <v>27</v>
      </c>
      <c r="B117" s="36" t="s">
        <v>128</v>
      </c>
      <c r="C117" s="36" t="s">
        <v>28</v>
      </c>
      <c r="D117" s="36" t="s">
        <v>128</v>
      </c>
      <c r="E117" s="36" t="s">
        <v>30</v>
      </c>
      <c r="F117" s="36" t="s">
        <v>31</v>
      </c>
      <c r="G117" s="37" t="s">
        <v>129</v>
      </c>
      <c r="H117" s="36" t="s">
        <v>130</v>
      </c>
      <c r="I117" s="36" t="s">
        <v>131</v>
      </c>
      <c r="J117" s="36">
        <v>1</v>
      </c>
      <c r="K117" s="36" t="s">
        <v>132</v>
      </c>
      <c r="L117" s="36">
        <v>1</v>
      </c>
      <c r="M117" s="36">
        <v>1</v>
      </c>
      <c r="N117" s="38">
        <v>794718407</v>
      </c>
      <c r="O117" s="41">
        <v>33113266</v>
      </c>
      <c r="P117" s="36">
        <v>24</v>
      </c>
      <c r="Q117" s="36" t="s">
        <v>73</v>
      </c>
      <c r="R117" s="36" t="s">
        <v>109</v>
      </c>
      <c r="S117" s="36" t="s">
        <v>133</v>
      </c>
      <c r="T117" s="36" t="s">
        <v>111</v>
      </c>
      <c r="U117" s="36" t="s">
        <v>112</v>
      </c>
      <c r="V117" s="40">
        <v>45505</v>
      </c>
      <c r="W117" s="40">
        <v>45478</v>
      </c>
      <c r="X117" s="36">
        <v>2</v>
      </c>
      <c r="Y117" s="36" t="s">
        <v>135</v>
      </c>
      <c r="Z117" s="36">
        <v>1</v>
      </c>
      <c r="AA117" s="36">
        <v>33113266</v>
      </c>
      <c r="AB117" s="40">
        <v>46327</v>
      </c>
      <c r="AC117" s="36" t="s">
        <v>2196</v>
      </c>
      <c r="AD117" s="36" t="str">
        <f>VLOOKUP(D117,Oficial!A:C,3,0)</f>
        <v>Arrastre</v>
      </c>
    </row>
    <row r="118" spans="1:30" x14ac:dyDescent="0.25">
      <c r="A118" s="36" t="s">
        <v>27</v>
      </c>
      <c r="B118" s="36" t="s">
        <v>128</v>
      </c>
      <c r="C118" s="36" t="s">
        <v>28</v>
      </c>
      <c r="D118" s="36" t="s">
        <v>128</v>
      </c>
      <c r="E118" s="36" t="s">
        <v>30</v>
      </c>
      <c r="F118" s="36" t="s">
        <v>31</v>
      </c>
      <c r="G118" s="37" t="s">
        <v>129</v>
      </c>
      <c r="H118" s="36" t="s">
        <v>130</v>
      </c>
      <c r="I118" s="36" t="s">
        <v>131</v>
      </c>
      <c r="J118" s="36">
        <v>1</v>
      </c>
      <c r="K118" s="36" t="s">
        <v>132</v>
      </c>
      <c r="L118" s="36">
        <v>1</v>
      </c>
      <c r="M118" s="36">
        <v>1</v>
      </c>
      <c r="N118" s="38">
        <v>794718407</v>
      </c>
      <c r="O118" s="41">
        <v>33113266</v>
      </c>
      <c r="P118" s="36">
        <v>24</v>
      </c>
      <c r="Q118" s="36" t="s">
        <v>73</v>
      </c>
      <c r="R118" s="36" t="s">
        <v>109</v>
      </c>
      <c r="S118" s="36" t="s">
        <v>133</v>
      </c>
      <c r="T118" s="36" t="s">
        <v>111</v>
      </c>
      <c r="U118" s="36" t="s">
        <v>112</v>
      </c>
      <c r="V118" s="40">
        <v>45505</v>
      </c>
      <c r="W118" s="40">
        <v>45478</v>
      </c>
      <c r="X118" s="36">
        <v>2</v>
      </c>
      <c r="Y118" s="36" t="s">
        <v>134</v>
      </c>
      <c r="Z118" s="36">
        <v>1</v>
      </c>
      <c r="AA118" s="36">
        <v>33113266</v>
      </c>
      <c r="AB118" s="40">
        <v>46235</v>
      </c>
      <c r="AC118" s="36" t="s">
        <v>2196</v>
      </c>
      <c r="AD118" s="36" t="str">
        <f>VLOOKUP(D118,Oficial!A:C,3,0)</f>
        <v>Arrastre</v>
      </c>
    </row>
    <row r="119" spans="1:30" x14ac:dyDescent="0.25">
      <c r="A119" s="36" t="s">
        <v>27</v>
      </c>
      <c r="B119" s="36" t="s">
        <v>128</v>
      </c>
      <c r="C119" s="36" t="s">
        <v>28</v>
      </c>
      <c r="D119" s="36" t="s">
        <v>128</v>
      </c>
      <c r="E119" s="36" t="s">
        <v>30</v>
      </c>
      <c r="F119" s="36" t="s">
        <v>31</v>
      </c>
      <c r="G119" s="37" t="s">
        <v>129</v>
      </c>
      <c r="H119" s="36" t="s">
        <v>130</v>
      </c>
      <c r="I119" s="36" t="s">
        <v>131</v>
      </c>
      <c r="J119" s="36">
        <v>1</v>
      </c>
      <c r="K119" s="36" t="s">
        <v>132</v>
      </c>
      <c r="L119" s="36">
        <v>1</v>
      </c>
      <c r="M119" s="36">
        <v>1</v>
      </c>
      <c r="N119" s="38">
        <v>794718407</v>
      </c>
      <c r="O119" s="41">
        <v>33113266</v>
      </c>
      <c r="P119" s="36">
        <v>24</v>
      </c>
      <c r="Q119" s="36" t="s">
        <v>73</v>
      </c>
      <c r="R119" s="36" t="s">
        <v>109</v>
      </c>
      <c r="S119" s="36" t="s">
        <v>133</v>
      </c>
      <c r="T119" s="36" t="s">
        <v>111</v>
      </c>
      <c r="U119" s="36" t="s">
        <v>112</v>
      </c>
      <c r="V119" s="40">
        <v>45505</v>
      </c>
      <c r="W119" s="40">
        <v>45478</v>
      </c>
      <c r="X119" s="36">
        <v>2</v>
      </c>
      <c r="Y119" s="36" t="s">
        <v>135</v>
      </c>
      <c r="Z119" s="36">
        <v>1</v>
      </c>
      <c r="AA119" s="36">
        <v>33113266</v>
      </c>
      <c r="AB119" s="40">
        <v>46357</v>
      </c>
      <c r="AC119" s="36" t="s">
        <v>2196</v>
      </c>
      <c r="AD119" s="36" t="str">
        <f>VLOOKUP(D119,Oficial!A:C,3,0)</f>
        <v>Arrastre</v>
      </c>
    </row>
    <row r="120" spans="1:30" x14ac:dyDescent="0.25">
      <c r="A120" s="36" t="s">
        <v>27</v>
      </c>
      <c r="B120" s="36" t="s">
        <v>128</v>
      </c>
      <c r="C120" s="36" t="s">
        <v>28</v>
      </c>
      <c r="D120" s="36" t="s">
        <v>128</v>
      </c>
      <c r="E120" s="36" t="s">
        <v>30</v>
      </c>
      <c r="F120" s="36" t="s">
        <v>31</v>
      </c>
      <c r="G120" s="37" t="s">
        <v>129</v>
      </c>
      <c r="H120" s="36" t="s">
        <v>130</v>
      </c>
      <c r="I120" s="36" t="s">
        <v>131</v>
      </c>
      <c r="J120" s="36">
        <v>1</v>
      </c>
      <c r="K120" s="36" t="s">
        <v>132</v>
      </c>
      <c r="L120" s="36">
        <v>1</v>
      </c>
      <c r="M120" s="36">
        <v>1</v>
      </c>
      <c r="N120" s="38">
        <v>794718407</v>
      </c>
      <c r="O120" s="41">
        <v>33113266</v>
      </c>
      <c r="P120" s="36">
        <v>24</v>
      </c>
      <c r="Q120" s="36" t="s">
        <v>73</v>
      </c>
      <c r="R120" s="36" t="s">
        <v>109</v>
      </c>
      <c r="S120" s="36" t="s">
        <v>133</v>
      </c>
      <c r="T120" s="36" t="s">
        <v>111</v>
      </c>
      <c r="U120" s="36" t="s">
        <v>112</v>
      </c>
      <c r="V120" s="40">
        <v>45505</v>
      </c>
      <c r="W120" s="40">
        <v>45478</v>
      </c>
      <c r="X120" s="36">
        <v>2</v>
      </c>
      <c r="Y120" s="36" t="s">
        <v>134</v>
      </c>
      <c r="Z120" s="36">
        <v>1</v>
      </c>
      <c r="AA120" s="36">
        <v>33113266</v>
      </c>
      <c r="AB120" s="40">
        <v>46113</v>
      </c>
      <c r="AC120" s="36" t="s">
        <v>2196</v>
      </c>
      <c r="AD120" s="36" t="str">
        <f>VLOOKUP(D120,Oficial!A:C,3,0)</f>
        <v>Arrastre</v>
      </c>
    </row>
    <row r="121" spans="1:30" x14ac:dyDescent="0.25">
      <c r="A121" s="36" t="s">
        <v>27</v>
      </c>
      <c r="B121" s="36" t="s">
        <v>128</v>
      </c>
      <c r="C121" s="36" t="s">
        <v>28</v>
      </c>
      <c r="D121" s="36" t="s">
        <v>128</v>
      </c>
      <c r="E121" s="36" t="s">
        <v>30</v>
      </c>
      <c r="F121" s="36" t="s">
        <v>31</v>
      </c>
      <c r="G121" s="37" t="s">
        <v>129</v>
      </c>
      <c r="H121" s="36" t="s">
        <v>130</v>
      </c>
      <c r="I121" s="36" t="s">
        <v>131</v>
      </c>
      <c r="J121" s="36">
        <v>1</v>
      </c>
      <c r="K121" s="36" t="s">
        <v>132</v>
      </c>
      <c r="L121" s="36">
        <v>1</v>
      </c>
      <c r="M121" s="36">
        <v>1</v>
      </c>
      <c r="N121" s="38">
        <v>794718407</v>
      </c>
      <c r="O121" s="41">
        <v>33113289</v>
      </c>
      <c r="P121" s="36">
        <v>24</v>
      </c>
      <c r="Q121" s="36" t="s">
        <v>73</v>
      </c>
      <c r="R121" s="36" t="s">
        <v>109</v>
      </c>
      <c r="S121" s="36" t="s">
        <v>133</v>
      </c>
      <c r="T121" s="36" t="s">
        <v>111</v>
      </c>
      <c r="U121" s="36" t="s">
        <v>112</v>
      </c>
      <c r="V121" s="40">
        <v>45505</v>
      </c>
      <c r="W121" s="40">
        <v>45478</v>
      </c>
      <c r="X121" s="36">
        <v>2</v>
      </c>
      <c r="Y121" s="36" t="s">
        <v>135</v>
      </c>
      <c r="Z121" s="36">
        <v>1</v>
      </c>
      <c r="AA121" s="36">
        <v>33113289</v>
      </c>
      <c r="AB121" s="40">
        <v>46143</v>
      </c>
      <c r="AC121" s="36" t="s">
        <v>2196</v>
      </c>
      <c r="AD121" s="36" t="str">
        <f>VLOOKUP(D121,Oficial!A:C,3,0)</f>
        <v>Arrastre</v>
      </c>
    </row>
    <row r="122" spans="1:30" x14ac:dyDescent="0.25">
      <c r="A122" s="36" t="s">
        <v>27</v>
      </c>
      <c r="B122" s="36" t="s">
        <v>136</v>
      </c>
      <c r="C122" s="36" t="s">
        <v>28</v>
      </c>
      <c r="D122" s="36" t="s">
        <v>136</v>
      </c>
      <c r="E122" s="36" t="s">
        <v>30</v>
      </c>
      <c r="F122" s="36" t="s">
        <v>31</v>
      </c>
      <c r="G122" s="37" t="s">
        <v>137</v>
      </c>
      <c r="H122" s="36" t="s">
        <v>138</v>
      </c>
      <c r="I122" s="36" t="s">
        <v>139</v>
      </c>
      <c r="J122" s="36">
        <v>1</v>
      </c>
      <c r="K122" s="36" t="s">
        <v>140</v>
      </c>
      <c r="L122" s="36">
        <v>1</v>
      </c>
      <c r="M122" s="36">
        <v>1</v>
      </c>
      <c r="N122" s="38">
        <v>1491521358</v>
      </c>
      <c r="O122" s="38">
        <v>41414809</v>
      </c>
      <c r="P122" s="36">
        <v>30</v>
      </c>
      <c r="Q122" s="36" t="s">
        <v>108</v>
      </c>
      <c r="R122" s="36" t="s">
        <v>141</v>
      </c>
      <c r="S122" s="36" t="s">
        <v>142</v>
      </c>
      <c r="T122" s="36" t="s">
        <v>143</v>
      </c>
      <c r="U122" s="36" t="s">
        <v>144</v>
      </c>
      <c r="V122" s="40">
        <v>45444</v>
      </c>
      <c r="W122" s="40">
        <v>45478</v>
      </c>
      <c r="X122" s="36">
        <v>14</v>
      </c>
      <c r="Y122" s="36" t="s">
        <v>145</v>
      </c>
      <c r="Z122" s="36">
        <v>1</v>
      </c>
      <c r="AA122" s="36">
        <v>41414809</v>
      </c>
      <c r="AB122" s="40">
        <v>46082</v>
      </c>
      <c r="AC122" s="36" t="s">
        <v>2196</v>
      </c>
      <c r="AD122" s="36" t="str">
        <f>VLOOKUP(D122,Oficial!A:C,3,0)</f>
        <v>Arrastre</v>
      </c>
    </row>
    <row r="123" spans="1:30" x14ac:dyDescent="0.25">
      <c r="A123" s="36" t="s">
        <v>27</v>
      </c>
      <c r="B123" s="36" t="s">
        <v>136</v>
      </c>
      <c r="C123" s="36" t="s">
        <v>28</v>
      </c>
      <c r="D123" s="36" t="s">
        <v>136</v>
      </c>
      <c r="E123" s="36" t="s">
        <v>30</v>
      </c>
      <c r="F123" s="36" t="s">
        <v>31</v>
      </c>
      <c r="G123" s="37" t="s">
        <v>137</v>
      </c>
      <c r="H123" s="36" t="s">
        <v>138</v>
      </c>
      <c r="I123" s="36" t="s">
        <v>139</v>
      </c>
      <c r="J123" s="36">
        <v>1</v>
      </c>
      <c r="K123" s="36" t="s">
        <v>140</v>
      </c>
      <c r="L123" s="36">
        <v>1</v>
      </c>
      <c r="M123" s="36">
        <v>1</v>
      </c>
      <c r="N123" s="38">
        <v>1491521358</v>
      </c>
      <c r="O123" s="38">
        <v>41414809</v>
      </c>
      <c r="P123" s="36">
        <v>30</v>
      </c>
      <c r="Q123" s="36" t="s">
        <v>108</v>
      </c>
      <c r="R123" s="36" t="s">
        <v>141</v>
      </c>
      <c r="S123" s="36" t="s">
        <v>142</v>
      </c>
      <c r="T123" s="36" t="s">
        <v>143</v>
      </c>
      <c r="U123" s="36" t="s">
        <v>144</v>
      </c>
      <c r="V123" s="40">
        <v>45444</v>
      </c>
      <c r="W123" s="40">
        <v>45478</v>
      </c>
      <c r="X123" s="36">
        <v>14</v>
      </c>
      <c r="Y123" s="36" t="s">
        <v>146</v>
      </c>
      <c r="Z123" s="36">
        <v>1</v>
      </c>
      <c r="AA123" s="36">
        <v>41414809</v>
      </c>
      <c r="AB123" s="40">
        <v>46082</v>
      </c>
      <c r="AC123" s="36" t="s">
        <v>2196</v>
      </c>
      <c r="AD123" s="36" t="str">
        <f>VLOOKUP(D123,Oficial!A:C,3,0)</f>
        <v>Arrastre</v>
      </c>
    </row>
    <row r="124" spans="1:30" x14ac:dyDescent="0.25">
      <c r="A124" s="36" t="s">
        <v>27</v>
      </c>
      <c r="B124" s="36" t="s">
        <v>136</v>
      </c>
      <c r="C124" s="36" t="s">
        <v>28</v>
      </c>
      <c r="D124" s="36" t="s">
        <v>136</v>
      </c>
      <c r="E124" s="36" t="s">
        <v>30</v>
      </c>
      <c r="F124" s="36" t="s">
        <v>31</v>
      </c>
      <c r="G124" s="37" t="s">
        <v>137</v>
      </c>
      <c r="H124" s="36" t="s">
        <v>138</v>
      </c>
      <c r="I124" s="36" t="s">
        <v>139</v>
      </c>
      <c r="J124" s="36">
        <v>1</v>
      </c>
      <c r="K124" s="36" t="s">
        <v>140</v>
      </c>
      <c r="L124" s="36">
        <v>1</v>
      </c>
      <c r="M124" s="36">
        <v>1</v>
      </c>
      <c r="N124" s="38">
        <v>1491521358</v>
      </c>
      <c r="O124" s="38">
        <v>41414809</v>
      </c>
      <c r="P124" s="36">
        <v>30</v>
      </c>
      <c r="Q124" s="36" t="s">
        <v>108</v>
      </c>
      <c r="R124" s="36" t="s">
        <v>141</v>
      </c>
      <c r="S124" s="36" t="s">
        <v>142</v>
      </c>
      <c r="T124" s="36" t="s">
        <v>143</v>
      </c>
      <c r="U124" s="36" t="s">
        <v>144</v>
      </c>
      <c r="V124" s="40">
        <v>45444</v>
      </c>
      <c r="W124" s="40">
        <v>45478</v>
      </c>
      <c r="X124" s="36">
        <v>14</v>
      </c>
      <c r="Y124" s="36" t="s">
        <v>146</v>
      </c>
      <c r="Z124" s="36">
        <v>1</v>
      </c>
      <c r="AA124" s="36">
        <v>41414809</v>
      </c>
      <c r="AB124" s="40">
        <v>46327</v>
      </c>
      <c r="AC124" s="36" t="s">
        <v>2196</v>
      </c>
      <c r="AD124" s="36" t="str">
        <f>VLOOKUP(D124,Oficial!A:C,3,0)</f>
        <v>Arrastre</v>
      </c>
    </row>
    <row r="125" spans="1:30" x14ac:dyDescent="0.25">
      <c r="A125" s="36" t="s">
        <v>27</v>
      </c>
      <c r="B125" s="36" t="s">
        <v>136</v>
      </c>
      <c r="C125" s="36" t="s">
        <v>28</v>
      </c>
      <c r="D125" s="36" t="s">
        <v>136</v>
      </c>
      <c r="E125" s="36" t="s">
        <v>30</v>
      </c>
      <c r="F125" s="36" t="s">
        <v>31</v>
      </c>
      <c r="G125" s="37" t="s">
        <v>137</v>
      </c>
      <c r="H125" s="36" t="s">
        <v>138</v>
      </c>
      <c r="I125" s="36" t="s">
        <v>139</v>
      </c>
      <c r="J125" s="36">
        <v>1</v>
      </c>
      <c r="K125" s="36" t="s">
        <v>140</v>
      </c>
      <c r="L125" s="36">
        <v>1</v>
      </c>
      <c r="M125" s="36">
        <v>1</v>
      </c>
      <c r="N125" s="38">
        <v>1491521358</v>
      </c>
      <c r="O125" s="38">
        <v>41414809</v>
      </c>
      <c r="P125" s="36">
        <v>30</v>
      </c>
      <c r="Q125" s="36" t="s">
        <v>108</v>
      </c>
      <c r="R125" s="36" t="s">
        <v>141</v>
      </c>
      <c r="S125" s="36" t="s">
        <v>142</v>
      </c>
      <c r="T125" s="36" t="s">
        <v>143</v>
      </c>
      <c r="U125" s="36" t="s">
        <v>144</v>
      </c>
      <c r="V125" s="40">
        <v>45444</v>
      </c>
      <c r="W125" s="40">
        <v>45478</v>
      </c>
      <c r="X125" s="36">
        <v>14</v>
      </c>
      <c r="Y125" s="36" t="s">
        <v>147</v>
      </c>
      <c r="Z125" s="36">
        <v>1</v>
      </c>
      <c r="AA125" s="36">
        <v>41414809</v>
      </c>
      <c r="AB125" s="40">
        <v>46023</v>
      </c>
      <c r="AC125" s="36" t="s">
        <v>2196</v>
      </c>
      <c r="AD125" s="36" t="str">
        <f>VLOOKUP(D125,Oficial!A:C,3,0)</f>
        <v>Arrastre</v>
      </c>
    </row>
    <row r="126" spans="1:30" x14ac:dyDescent="0.25">
      <c r="A126" s="36" t="s">
        <v>27</v>
      </c>
      <c r="B126" s="36" t="s">
        <v>136</v>
      </c>
      <c r="C126" s="36" t="s">
        <v>28</v>
      </c>
      <c r="D126" s="36" t="s">
        <v>136</v>
      </c>
      <c r="E126" s="36" t="s">
        <v>30</v>
      </c>
      <c r="F126" s="36" t="s">
        <v>31</v>
      </c>
      <c r="G126" s="37" t="s">
        <v>137</v>
      </c>
      <c r="H126" s="36" t="s">
        <v>138</v>
      </c>
      <c r="I126" s="36" t="s">
        <v>139</v>
      </c>
      <c r="J126" s="36">
        <v>1</v>
      </c>
      <c r="K126" s="36" t="s">
        <v>140</v>
      </c>
      <c r="L126" s="36">
        <v>1</v>
      </c>
      <c r="M126" s="36">
        <v>1</v>
      </c>
      <c r="N126" s="38">
        <v>1491521358</v>
      </c>
      <c r="O126" s="38">
        <v>41414809</v>
      </c>
      <c r="P126" s="36">
        <v>30</v>
      </c>
      <c r="Q126" s="36" t="s">
        <v>108</v>
      </c>
      <c r="R126" s="36" t="s">
        <v>141</v>
      </c>
      <c r="S126" s="36" t="s">
        <v>142</v>
      </c>
      <c r="T126" s="36" t="s">
        <v>143</v>
      </c>
      <c r="U126" s="36" t="s">
        <v>144</v>
      </c>
      <c r="V126" s="40">
        <v>45444</v>
      </c>
      <c r="W126" s="40">
        <v>45478</v>
      </c>
      <c r="X126" s="36">
        <v>14</v>
      </c>
      <c r="Y126" s="36" t="s">
        <v>145</v>
      </c>
      <c r="Z126" s="36">
        <v>1</v>
      </c>
      <c r="AA126" s="36">
        <v>41414809</v>
      </c>
      <c r="AB126" s="40">
        <v>46204</v>
      </c>
      <c r="AC126" s="36" t="s">
        <v>2196</v>
      </c>
      <c r="AD126" s="36" t="str">
        <f>VLOOKUP(D126,Oficial!A:C,3,0)</f>
        <v>Arrastre</v>
      </c>
    </row>
    <row r="127" spans="1:30" x14ac:dyDescent="0.25">
      <c r="A127" s="36" t="s">
        <v>27</v>
      </c>
      <c r="B127" s="36" t="s">
        <v>136</v>
      </c>
      <c r="C127" s="36" t="s">
        <v>28</v>
      </c>
      <c r="D127" s="36" t="s">
        <v>136</v>
      </c>
      <c r="E127" s="36" t="s">
        <v>30</v>
      </c>
      <c r="F127" s="36" t="s">
        <v>31</v>
      </c>
      <c r="G127" s="37" t="s">
        <v>137</v>
      </c>
      <c r="H127" s="36" t="s">
        <v>138</v>
      </c>
      <c r="I127" s="36" t="s">
        <v>139</v>
      </c>
      <c r="J127" s="36">
        <v>1</v>
      </c>
      <c r="K127" s="36" t="s">
        <v>140</v>
      </c>
      <c r="L127" s="36">
        <v>1</v>
      </c>
      <c r="M127" s="36">
        <v>1</v>
      </c>
      <c r="N127" s="38">
        <v>1491521358</v>
      </c>
      <c r="O127" s="38">
        <v>41414809</v>
      </c>
      <c r="P127" s="36">
        <v>30</v>
      </c>
      <c r="Q127" s="36" t="s">
        <v>108</v>
      </c>
      <c r="R127" s="36" t="s">
        <v>141</v>
      </c>
      <c r="S127" s="36" t="s">
        <v>142</v>
      </c>
      <c r="T127" s="36" t="s">
        <v>143</v>
      </c>
      <c r="U127" s="36" t="s">
        <v>144</v>
      </c>
      <c r="V127" s="40">
        <v>45444</v>
      </c>
      <c r="W127" s="40">
        <v>45478</v>
      </c>
      <c r="X127" s="36">
        <v>14</v>
      </c>
      <c r="Y127" s="36" t="s">
        <v>146</v>
      </c>
      <c r="Z127" s="36">
        <v>1</v>
      </c>
      <c r="AA127" s="36">
        <v>41414809</v>
      </c>
      <c r="AB127" s="40">
        <v>46204</v>
      </c>
      <c r="AC127" s="36" t="s">
        <v>2196</v>
      </c>
      <c r="AD127" s="36" t="str">
        <f>VLOOKUP(D127,Oficial!A:C,3,0)</f>
        <v>Arrastre</v>
      </c>
    </row>
    <row r="128" spans="1:30" x14ac:dyDescent="0.25">
      <c r="A128" s="36" t="s">
        <v>27</v>
      </c>
      <c r="B128" s="36" t="s">
        <v>136</v>
      </c>
      <c r="C128" s="36" t="s">
        <v>28</v>
      </c>
      <c r="D128" s="36" t="s">
        <v>136</v>
      </c>
      <c r="E128" s="36" t="s">
        <v>30</v>
      </c>
      <c r="F128" s="36" t="s">
        <v>31</v>
      </c>
      <c r="G128" s="37" t="s">
        <v>137</v>
      </c>
      <c r="H128" s="36" t="s">
        <v>138</v>
      </c>
      <c r="I128" s="36" t="s">
        <v>139</v>
      </c>
      <c r="J128" s="36">
        <v>1</v>
      </c>
      <c r="K128" s="36" t="s">
        <v>140</v>
      </c>
      <c r="L128" s="36">
        <v>1</v>
      </c>
      <c r="M128" s="36">
        <v>1</v>
      </c>
      <c r="N128" s="38">
        <v>1491521358</v>
      </c>
      <c r="O128" s="38">
        <v>41414809</v>
      </c>
      <c r="P128" s="36">
        <v>30</v>
      </c>
      <c r="Q128" s="36" t="s">
        <v>108</v>
      </c>
      <c r="R128" s="36" t="s">
        <v>141</v>
      </c>
      <c r="S128" s="36" t="s">
        <v>142</v>
      </c>
      <c r="T128" s="36" t="s">
        <v>143</v>
      </c>
      <c r="U128" s="36" t="s">
        <v>144</v>
      </c>
      <c r="V128" s="40">
        <v>45444</v>
      </c>
      <c r="W128" s="40">
        <v>45478</v>
      </c>
      <c r="X128" s="36">
        <v>14</v>
      </c>
      <c r="Y128" s="36" t="s">
        <v>147</v>
      </c>
      <c r="Z128" s="36">
        <v>1</v>
      </c>
      <c r="AA128" s="36">
        <v>41414809</v>
      </c>
      <c r="AB128" s="40">
        <v>46143</v>
      </c>
      <c r="AC128" s="36" t="s">
        <v>2196</v>
      </c>
      <c r="AD128" s="36" t="str">
        <f>VLOOKUP(D128,Oficial!A:C,3,0)</f>
        <v>Arrastre</v>
      </c>
    </row>
    <row r="129" spans="1:30" x14ac:dyDescent="0.25">
      <c r="A129" s="36" t="s">
        <v>27</v>
      </c>
      <c r="B129" s="36" t="s">
        <v>136</v>
      </c>
      <c r="C129" s="36" t="s">
        <v>28</v>
      </c>
      <c r="D129" s="36" t="s">
        <v>136</v>
      </c>
      <c r="E129" s="36" t="s">
        <v>30</v>
      </c>
      <c r="F129" s="36" t="s">
        <v>31</v>
      </c>
      <c r="G129" s="37" t="s">
        <v>137</v>
      </c>
      <c r="H129" s="36" t="s">
        <v>138</v>
      </c>
      <c r="I129" s="36" t="s">
        <v>139</v>
      </c>
      <c r="J129" s="36">
        <v>1</v>
      </c>
      <c r="K129" s="36" t="s">
        <v>140</v>
      </c>
      <c r="L129" s="36">
        <v>1</v>
      </c>
      <c r="M129" s="36">
        <v>1</v>
      </c>
      <c r="N129" s="38">
        <v>1491521358</v>
      </c>
      <c r="O129" s="38">
        <v>41414809</v>
      </c>
      <c r="P129" s="36">
        <v>30</v>
      </c>
      <c r="Q129" s="36" t="s">
        <v>108</v>
      </c>
      <c r="R129" s="36" t="s">
        <v>141</v>
      </c>
      <c r="S129" s="36" t="s">
        <v>142</v>
      </c>
      <c r="T129" s="36" t="s">
        <v>143</v>
      </c>
      <c r="U129" s="36" t="s">
        <v>144</v>
      </c>
      <c r="V129" s="40">
        <v>45444</v>
      </c>
      <c r="W129" s="40">
        <v>45478</v>
      </c>
      <c r="X129" s="36">
        <v>14</v>
      </c>
      <c r="Y129" s="36" t="s">
        <v>145</v>
      </c>
      <c r="Z129" s="36">
        <v>1</v>
      </c>
      <c r="AA129" s="36">
        <v>41414809</v>
      </c>
      <c r="AB129" s="40">
        <v>46113</v>
      </c>
      <c r="AC129" s="36" t="s">
        <v>2196</v>
      </c>
      <c r="AD129" s="36" t="str">
        <f>VLOOKUP(D129,Oficial!A:C,3,0)</f>
        <v>Arrastre</v>
      </c>
    </row>
    <row r="130" spans="1:30" x14ac:dyDescent="0.25">
      <c r="A130" s="36" t="s">
        <v>27</v>
      </c>
      <c r="B130" s="36" t="s">
        <v>136</v>
      </c>
      <c r="C130" s="36" t="s">
        <v>28</v>
      </c>
      <c r="D130" s="36" t="s">
        <v>136</v>
      </c>
      <c r="E130" s="36" t="s">
        <v>30</v>
      </c>
      <c r="F130" s="36" t="s">
        <v>31</v>
      </c>
      <c r="G130" s="37" t="s">
        <v>137</v>
      </c>
      <c r="H130" s="36" t="s">
        <v>138</v>
      </c>
      <c r="I130" s="36" t="s">
        <v>139</v>
      </c>
      <c r="J130" s="36">
        <v>1</v>
      </c>
      <c r="K130" s="36" t="s">
        <v>140</v>
      </c>
      <c r="L130" s="36">
        <v>1</v>
      </c>
      <c r="M130" s="36">
        <v>1</v>
      </c>
      <c r="N130" s="38">
        <v>1491521358</v>
      </c>
      <c r="O130" s="38">
        <v>41414809</v>
      </c>
      <c r="P130" s="36">
        <v>30</v>
      </c>
      <c r="Q130" s="36" t="s">
        <v>108</v>
      </c>
      <c r="R130" s="36" t="s">
        <v>141</v>
      </c>
      <c r="S130" s="36" t="s">
        <v>142</v>
      </c>
      <c r="T130" s="36" t="s">
        <v>143</v>
      </c>
      <c r="U130" s="36" t="s">
        <v>144</v>
      </c>
      <c r="V130" s="40">
        <v>45444</v>
      </c>
      <c r="W130" s="40">
        <v>45478</v>
      </c>
      <c r="X130" s="36">
        <v>14</v>
      </c>
      <c r="Y130" s="36" t="s">
        <v>146</v>
      </c>
      <c r="Z130" s="36">
        <v>1</v>
      </c>
      <c r="AA130" s="36">
        <v>41414809</v>
      </c>
      <c r="AB130" s="40">
        <v>46143</v>
      </c>
      <c r="AC130" s="36" t="s">
        <v>2196</v>
      </c>
      <c r="AD130" s="36" t="str">
        <f>VLOOKUP(D130,Oficial!A:C,3,0)</f>
        <v>Arrastre</v>
      </c>
    </row>
    <row r="131" spans="1:30" x14ac:dyDescent="0.25">
      <c r="A131" s="36" t="s">
        <v>27</v>
      </c>
      <c r="B131" s="36" t="s">
        <v>136</v>
      </c>
      <c r="C131" s="36" t="s">
        <v>28</v>
      </c>
      <c r="D131" s="36" t="s">
        <v>136</v>
      </c>
      <c r="E131" s="36" t="s">
        <v>30</v>
      </c>
      <c r="F131" s="36" t="s">
        <v>31</v>
      </c>
      <c r="G131" s="37" t="s">
        <v>137</v>
      </c>
      <c r="H131" s="36" t="s">
        <v>138</v>
      </c>
      <c r="I131" s="36" t="s">
        <v>139</v>
      </c>
      <c r="J131" s="36">
        <v>1</v>
      </c>
      <c r="K131" s="36" t="s">
        <v>140</v>
      </c>
      <c r="L131" s="36">
        <v>1</v>
      </c>
      <c r="M131" s="36">
        <v>1</v>
      </c>
      <c r="N131" s="38">
        <v>1491521358</v>
      </c>
      <c r="O131" s="38">
        <v>41414809</v>
      </c>
      <c r="P131" s="36">
        <v>30</v>
      </c>
      <c r="Q131" s="36" t="s">
        <v>108</v>
      </c>
      <c r="R131" s="36" t="s">
        <v>141</v>
      </c>
      <c r="S131" s="36" t="s">
        <v>142</v>
      </c>
      <c r="T131" s="36" t="s">
        <v>143</v>
      </c>
      <c r="U131" s="36" t="s">
        <v>144</v>
      </c>
      <c r="V131" s="40">
        <v>45444</v>
      </c>
      <c r="W131" s="40">
        <v>45478</v>
      </c>
      <c r="X131" s="36">
        <v>14</v>
      </c>
      <c r="Y131" s="36" t="s">
        <v>146</v>
      </c>
      <c r="Z131" s="36">
        <v>1</v>
      </c>
      <c r="AA131" s="36">
        <v>41414809</v>
      </c>
      <c r="AB131" s="40">
        <v>46113</v>
      </c>
      <c r="AC131" s="36" t="s">
        <v>2196</v>
      </c>
      <c r="AD131" s="36" t="str">
        <f>VLOOKUP(D131,Oficial!A:C,3,0)</f>
        <v>Arrastre</v>
      </c>
    </row>
    <row r="132" spans="1:30" x14ac:dyDescent="0.25">
      <c r="A132" s="36" t="s">
        <v>27</v>
      </c>
      <c r="B132" s="36" t="s">
        <v>136</v>
      </c>
      <c r="C132" s="36" t="s">
        <v>28</v>
      </c>
      <c r="D132" s="36" t="s">
        <v>136</v>
      </c>
      <c r="E132" s="36" t="s">
        <v>30</v>
      </c>
      <c r="F132" s="36" t="s">
        <v>31</v>
      </c>
      <c r="G132" s="37" t="s">
        <v>137</v>
      </c>
      <c r="H132" s="36" t="s">
        <v>138</v>
      </c>
      <c r="I132" s="36" t="s">
        <v>139</v>
      </c>
      <c r="J132" s="36">
        <v>1</v>
      </c>
      <c r="K132" s="36" t="s">
        <v>140</v>
      </c>
      <c r="L132" s="36">
        <v>1</v>
      </c>
      <c r="M132" s="36">
        <v>1</v>
      </c>
      <c r="N132" s="38">
        <v>1491521358</v>
      </c>
      <c r="O132" s="38">
        <v>41414809</v>
      </c>
      <c r="P132" s="36">
        <v>30</v>
      </c>
      <c r="Q132" s="36" t="s">
        <v>108</v>
      </c>
      <c r="R132" s="36" t="s">
        <v>141</v>
      </c>
      <c r="S132" s="36" t="s">
        <v>142</v>
      </c>
      <c r="T132" s="36" t="s">
        <v>143</v>
      </c>
      <c r="U132" s="36" t="s">
        <v>144</v>
      </c>
      <c r="V132" s="40">
        <v>45444</v>
      </c>
      <c r="W132" s="40">
        <v>45478</v>
      </c>
      <c r="X132" s="36">
        <v>14</v>
      </c>
      <c r="Y132" s="36" t="s">
        <v>145</v>
      </c>
      <c r="Z132" s="36">
        <v>1</v>
      </c>
      <c r="AA132" s="36">
        <v>41414809</v>
      </c>
      <c r="AB132" s="40">
        <v>46023</v>
      </c>
      <c r="AC132" s="36" t="s">
        <v>2196</v>
      </c>
      <c r="AD132" s="36" t="str">
        <f>VLOOKUP(D132,Oficial!A:C,3,0)</f>
        <v>Arrastre</v>
      </c>
    </row>
    <row r="133" spans="1:30" x14ac:dyDescent="0.25">
      <c r="A133" s="36" t="s">
        <v>27</v>
      </c>
      <c r="B133" s="36" t="s">
        <v>136</v>
      </c>
      <c r="C133" s="36" t="s">
        <v>28</v>
      </c>
      <c r="D133" s="36" t="s">
        <v>136</v>
      </c>
      <c r="E133" s="36" t="s">
        <v>30</v>
      </c>
      <c r="F133" s="36" t="s">
        <v>31</v>
      </c>
      <c r="G133" s="37" t="s">
        <v>137</v>
      </c>
      <c r="H133" s="36" t="s">
        <v>138</v>
      </c>
      <c r="I133" s="36" t="s">
        <v>139</v>
      </c>
      <c r="J133" s="36">
        <v>1</v>
      </c>
      <c r="K133" s="36" t="s">
        <v>140</v>
      </c>
      <c r="L133" s="36">
        <v>1</v>
      </c>
      <c r="M133" s="36">
        <v>1</v>
      </c>
      <c r="N133" s="38">
        <v>1491521358</v>
      </c>
      <c r="O133" s="38">
        <v>41414809</v>
      </c>
      <c r="P133" s="36">
        <v>30</v>
      </c>
      <c r="Q133" s="36" t="s">
        <v>108</v>
      </c>
      <c r="R133" s="36" t="s">
        <v>141</v>
      </c>
      <c r="S133" s="36" t="s">
        <v>142</v>
      </c>
      <c r="T133" s="36" t="s">
        <v>143</v>
      </c>
      <c r="U133" s="36" t="s">
        <v>144</v>
      </c>
      <c r="V133" s="40">
        <v>45444</v>
      </c>
      <c r="W133" s="40">
        <v>45478</v>
      </c>
      <c r="X133" s="36">
        <v>14</v>
      </c>
      <c r="Y133" s="36" t="s">
        <v>146</v>
      </c>
      <c r="Z133" s="36">
        <v>1</v>
      </c>
      <c r="AA133" s="36">
        <v>41414809</v>
      </c>
      <c r="AB133" s="40">
        <v>46054</v>
      </c>
      <c r="AC133" s="36" t="s">
        <v>2196</v>
      </c>
      <c r="AD133" s="36" t="str">
        <f>VLOOKUP(D133,Oficial!A:C,3,0)</f>
        <v>Arrastre</v>
      </c>
    </row>
    <row r="134" spans="1:30" x14ac:dyDescent="0.25">
      <c r="A134" s="36" t="s">
        <v>27</v>
      </c>
      <c r="B134" s="36" t="s">
        <v>148</v>
      </c>
      <c r="C134" s="36" t="s">
        <v>28</v>
      </c>
      <c r="D134" s="36" t="s">
        <v>148</v>
      </c>
      <c r="E134" s="36" t="s">
        <v>30</v>
      </c>
      <c r="F134" s="36" t="s">
        <v>31</v>
      </c>
      <c r="G134" s="37" t="s">
        <v>149</v>
      </c>
      <c r="H134" s="36" t="s">
        <v>150</v>
      </c>
      <c r="I134" s="36" t="s">
        <v>151</v>
      </c>
      <c r="J134" s="36">
        <v>1</v>
      </c>
      <c r="K134" s="36" t="s">
        <v>152</v>
      </c>
      <c r="L134" s="36">
        <v>1</v>
      </c>
      <c r="M134" s="36">
        <v>1</v>
      </c>
      <c r="N134" s="38">
        <v>236000000</v>
      </c>
      <c r="O134" s="41">
        <v>9833333</v>
      </c>
      <c r="P134" s="36">
        <v>24</v>
      </c>
      <c r="Q134" s="36" t="s">
        <v>73</v>
      </c>
      <c r="R134" s="36" t="s">
        <v>153</v>
      </c>
      <c r="S134" s="36" t="s">
        <v>154</v>
      </c>
      <c r="T134" s="36" t="s">
        <v>155</v>
      </c>
      <c r="U134" s="36" t="s">
        <v>156</v>
      </c>
      <c r="V134" s="40">
        <v>45474</v>
      </c>
      <c r="W134" s="40">
        <v>45478</v>
      </c>
      <c r="X134" s="36">
        <v>23</v>
      </c>
      <c r="Y134" s="36" t="s">
        <v>164</v>
      </c>
      <c r="Z134" s="36">
        <v>1</v>
      </c>
      <c r="AA134" s="36">
        <v>9833333</v>
      </c>
      <c r="AB134" s="40">
        <v>46174</v>
      </c>
      <c r="AC134" s="36" t="s">
        <v>2196</v>
      </c>
      <c r="AD134" s="36" t="str">
        <f>VLOOKUP(D134,Oficial!A:C,3,0)</f>
        <v>Arrastre</v>
      </c>
    </row>
    <row r="135" spans="1:30" x14ac:dyDescent="0.25">
      <c r="A135" s="36" t="s">
        <v>27</v>
      </c>
      <c r="B135" s="36" t="s">
        <v>148</v>
      </c>
      <c r="C135" s="36" t="s">
        <v>28</v>
      </c>
      <c r="D135" s="36" t="s">
        <v>148</v>
      </c>
      <c r="E135" s="36" t="s">
        <v>30</v>
      </c>
      <c r="F135" s="36" t="s">
        <v>31</v>
      </c>
      <c r="G135" s="37" t="s">
        <v>149</v>
      </c>
      <c r="H135" s="36" t="s">
        <v>150</v>
      </c>
      <c r="I135" s="36" t="s">
        <v>151</v>
      </c>
      <c r="J135" s="36">
        <v>1</v>
      </c>
      <c r="K135" s="36" t="s">
        <v>152</v>
      </c>
      <c r="L135" s="36">
        <v>1</v>
      </c>
      <c r="M135" s="36">
        <v>1</v>
      </c>
      <c r="N135" s="38">
        <v>236000000</v>
      </c>
      <c r="O135" s="41">
        <v>9833333</v>
      </c>
      <c r="P135" s="36">
        <v>24</v>
      </c>
      <c r="Q135" s="36" t="s">
        <v>73</v>
      </c>
      <c r="R135" s="36" t="s">
        <v>153</v>
      </c>
      <c r="S135" s="36" t="s">
        <v>154</v>
      </c>
      <c r="T135" s="36" t="s">
        <v>155</v>
      </c>
      <c r="U135" s="36" t="s">
        <v>156</v>
      </c>
      <c r="V135" s="40">
        <v>45474</v>
      </c>
      <c r="W135" s="40">
        <v>45478</v>
      </c>
      <c r="X135" s="36">
        <v>23</v>
      </c>
      <c r="Y135" s="36" t="s">
        <v>157</v>
      </c>
      <c r="Z135" s="36">
        <v>1</v>
      </c>
      <c r="AA135" s="36">
        <v>9833333</v>
      </c>
      <c r="AB135" s="40">
        <v>46143</v>
      </c>
      <c r="AC135" s="36" t="s">
        <v>2196</v>
      </c>
      <c r="AD135" s="36" t="str">
        <f>VLOOKUP(D135,Oficial!A:C,3,0)</f>
        <v>Arrastre</v>
      </c>
    </row>
    <row r="136" spans="1:30" x14ac:dyDescent="0.25">
      <c r="A136" s="36" t="s">
        <v>27</v>
      </c>
      <c r="B136" s="36" t="s">
        <v>148</v>
      </c>
      <c r="C136" s="36" t="s">
        <v>28</v>
      </c>
      <c r="D136" s="36" t="s">
        <v>148</v>
      </c>
      <c r="E136" s="36" t="s">
        <v>30</v>
      </c>
      <c r="F136" s="36" t="s">
        <v>31</v>
      </c>
      <c r="G136" s="37" t="s">
        <v>149</v>
      </c>
      <c r="H136" s="36" t="s">
        <v>150</v>
      </c>
      <c r="I136" s="36" t="s">
        <v>151</v>
      </c>
      <c r="J136" s="36">
        <v>1</v>
      </c>
      <c r="K136" s="36" t="s">
        <v>152</v>
      </c>
      <c r="L136" s="36">
        <v>1</v>
      </c>
      <c r="M136" s="36">
        <v>1</v>
      </c>
      <c r="N136" s="38">
        <v>236000000</v>
      </c>
      <c r="O136" s="41">
        <v>9833333</v>
      </c>
      <c r="P136" s="36">
        <v>24</v>
      </c>
      <c r="Q136" s="36" t="s">
        <v>73</v>
      </c>
      <c r="R136" s="36" t="s">
        <v>153</v>
      </c>
      <c r="S136" s="36" t="s">
        <v>154</v>
      </c>
      <c r="T136" s="36" t="s">
        <v>155</v>
      </c>
      <c r="U136" s="36" t="s">
        <v>156</v>
      </c>
      <c r="V136" s="40">
        <v>45474</v>
      </c>
      <c r="W136" s="40">
        <v>45478</v>
      </c>
      <c r="X136" s="36">
        <v>23</v>
      </c>
      <c r="Y136" s="36" t="s">
        <v>160</v>
      </c>
      <c r="Z136" s="36">
        <v>1</v>
      </c>
      <c r="AA136" s="36">
        <v>9833333</v>
      </c>
      <c r="AB136" s="40">
        <v>46327</v>
      </c>
      <c r="AC136" s="36" t="s">
        <v>2196</v>
      </c>
      <c r="AD136" s="36" t="str">
        <f>VLOOKUP(D136,Oficial!A:C,3,0)</f>
        <v>Arrastre</v>
      </c>
    </row>
    <row r="137" spans="1:30" x14ac:dyDescent="0.25">
      <c r="A137" s="36" t="s">
        <v>27</v>
      </c>
      <c r="B137" s="36" t="s">
        <v>148</v>
      </c>
      <c r="C137" s="36" t="s">
        <v>28</v>
      </c>
      <c r="D137" s="36" t="s">
        <v>148</v>
      </c>
      <c r="E137" s="36" t="s">
        <v>30</v>
      </c>
      <c r="F137" s="36" t="s">
        <v>31</v>
      </c>
      <c r="G137" s="37" t="s">
        <v>149</v>
      </c>
      <c r="H137" s="36" t="s">
        <v>150</v>
      </c>
      <c r="I137" s="36" t="s">
        <v>151</v>
      </c>
      <c r="J137" s="36">
        <v>1</v>
      </c>
      <c r="K137" s="36" t="s">
        <v>152</v>
      </c>
      <c r="L137" s="36">
        <v>1</v>
      </c>
      <c r="M137" s="36">
        <v>1</v>
      </c>
      <c r="N137" s="38">
        <v>236000000</v>
      </c>
      <c r="O137" s="41">
        <v>9833334</v>
      </c>
      <c r="P137" s="36">
        <v>24</v>
      </c>
      <c r="Q137" s="36" t="s">
        <v>73</v>
      </c>
      <c r="R137" s="36" t="s">
        <v>153</v>
      </c>
      <c r="S137" s="36" t="s">
        <v>154</v>
      </c>
      <c r="T137" s="36" t="s">
        <v>155</v>
      </c>
      <c r="U137" s="36" t="s">
        <v>156</v>
      </c>
      <c r="V137" s="40">
        <v>45474</v>
      </c>
      <c r="W137" s="40">
        <v>45478</v>
      </c>
      <c r="X137" s="36">
        <v>23</v>
      </c>
      <c r="Y137" s="36" t="s">
        <v>158</v>
      </c>
      <c r="Z137" s="36">
        <v>1</v>
      </c>
      <c r="AA137" s="36">
        <v>9833341</v>
      </c>
      <c r="AB137" s="40">
        <v>46357</v>
      </c>
      <c r="AC137" s="36" t="s">
        <v>2196</v>
      </c>
      <c r="AD137" s="36" t="str">
        <f>VLOOKUP(D137,Oficial!A:C,3,0)</f>
        <v>Arrastre</v>
      </c>
    </row>
    <row r="138" spans="1:30" x14ac:dyDescent="0.25">
      <c r="A138" s="36" t="s">
        <v>27</v>
      </c>
      <c r="B138" s="36" t="s">
        <v>148</v>
      </c>
      <c r="C138" s="36" t="s">
        <v>28</v>
      </c>
      <c r="D138" s="36" t="s">
        <v>148</v>
      </c>
      <c r="E138" s="36" t="s">
        <v>30</v>
      </c>
      <c r="F138" s="36" t="s">
        <v>31</v>
      </c>
      <c r="G138" s="37" t="s">
        <v>149</v>
      </c>
      <c r="H138" s="36" t="s">
        <v>150</v>
      </c>
      <c r="I138" s="36" t="s">
        <v>151</v>
      </c>
      <c r="J138" s="36">
        <v>1</v>
      </c>
      <c r="K138" s="36" t="s">
        <v>152</v>
      </c>
      <c r="L138" s="36">
        <v>1</v>
      </c>
      <c r="M138" s="36">
        <v>1</v>
      </c>
      <c r="N138" s="38">
        <v>236000000</v>
      </c>
      <c r="O138" s="41">
        <v>9833333</v>
      </c>
      <c r="P138" s="36">
        <v>24</v>
      </c>
      <c r="Q138" s="36" t="s">
        <v>73</v>
      </c>
      <c r="R138" s="36" t="s">
        <v>153</v>
      </c>
      <c r="S138" s="36" t="s">
        <v>154</v>
      </c>
      <c r="T138" s="36" t="s">
        <v>155</v>
      </c>
      <c r="U138" s="36" t="s">
        <v>156</v>
      </c>
      <c r="V138" s="40">
        <v>45474</v>
      </c>
      <c r="W138" s="40">
        <v>45478</v>
      </c>
      <c r="X138" s="36">
        <v>23</v>
      </c>
      <c r="Y138" s="36" t="s">
        <v>158</v>
      </c>
      <c r="Z138" s="36">
        <v>1</v>
      </c>
      <c r="AA138" s="36">
        <v>9833333</v>
      </c>
      <c r="AB138" s="40">
        <v>46235</v>
      </c>
      <c r="AC138" s="36" t="s">
        <v>2196</v>
      </c>
      <c r="AD138" s="36" t="str">
        <f>VLOOKUP(D138,Oficial!A:C,3,0)</f>
        <v>Arrastre</v>
      </c>
    </row>
    <row r="139" spans="1:30" x14ac:dyDescent="0.25">
      <c r="A139" s="36" t="s">
        <v>27</v>
      </c>
      <c r="B139" s="36" t="s">
        <v>148</v>
      </c>
      <c r="C139" s="36" t="s">
        <v>28</v>
      </c>
      <c r="D139" s="36" t="s">
        <v>148</v>
      </c>
      <c r="E139" s="36" t="s">
        <v>30</v>
      </c>
      <c r="F139" s="36" t="s">
        <v>31</v>
      </c>
      <c r="G139" s="37" t="s">
        <v>149</v>
      </c>
      <c r="H139" s="36" t="s">
        <v>150</v>
      </c>
      <c r="I139" s="36" t="s">
        <v>151</v>
      </c>
      <c r="J139" s="36">
        <v>1</v>
      </c>
      <c r="K139" s="36" t="s">
        <v>152</v>
      </c>
      <c r="L139" s="36">
        <v>1</v>
      </c>
      <c r="M139" s="36">
        <v>1</v>
      </c>
      <c r="N139" s="38">
        <v>236000000</v>
      </c>
      <c r="O139" s="41">
        <v>9833333</v>
      </c>
      <c r="P139" s="36">
        <v>24</v>
      </c>
      <c r="Q139" s="36" t="s">
        <v>73</v>
      </c>
      <c r="R139" s="36" t="s">
        <v>153</v>
      </c>
      <c r="S139" s="36" t="s">
        <v>154</v>
      </c>
      <c r="T139" s="36" t="s">
        <v>155</v>
      </c>
      <c r="U139" s="36" t="s">
        <v>156</v>
      </c>
      <c r="V139" s="40">
        <v>45474</v>
      </c>
      <c r="W139" s="40">
        <v>45478</v>
      </c>
      <c r="X139" s="36">
        <v>23</v>
      </c>
      <c r="Y139" s="36" t="s">
        <v>162</v>
      </c>
      <c r="Z139" s="36">
        <v>1</v>
      </c>
      <c r="AA139" s="36">
        <v>9833333</v>
      </c>
      <c r="AB139" s="40">
        <v>46266</v>
      </c>
      <c r="AC139" s="36" t="s">
        <v>2196</v>
      </c>
      <c r="AD139" s="36" t="str">
        <f>VLOOKUP(D139,Oficial!A:C,3,0)</f>
        <v>Arrastre</v>
      </c>
    </row>
    <row r="140" spans="1:30" x14ac:dyDescent="0.25">
      <c r="A140" s="36" t="s">
        <v>27</v>
      </c>
      <c r="B140" s="36" t="s">
        <v>148</v>
      </c>
      <c r="C140" s="36" t="s">
        <v>28</v>
      </c>
      <c r="D140" s="36" t="s">
        <v>148</v>
      </c>
      <c r="E140" s="36" t="s">
        <v>30</v>
      </c>
      <c r="F140" s="36" t="s">
        <v>31</v>
      </c>
      <c r="G140" s="37" t="s">
        <v>149</v>
      </c>
      <c r="H140" s="36" t="s">
        <v>150</v>
      </c>
      <c r="I140" s="36" t="s">
        <v>151</v>
      </c>
      <c r="J140" s="36">
        <v>1</v>
      </c>
      <c r="K140" s="36" t="s">
        <v>152</v>
      </c>
      <c r="L140" s="36">
        <v>1</v>
      </c>
      <c r="M140" s="36">
        <v>1</v>
      </c>
      <c r="N140" s="38">
        <v>236000000</v>
      </c>
      <c r="O140" s="41">
        <v>9833333</v>
      </c>
      <c r="P140" s="36">
        <v>24</v>
      </c>
      <c r="Q140" s="36" t="s">
        <v>73</v>
      </c>
      <c r="R140" s="36" t="s">
        <v>153</v>
      </c>
      <c r="S140" s="36" t="s">
        <v>154</v>
      </c>
      <c r="T140" s="36" t="s">
        <v>155</v>
      </c>
      <c r="U140" s="36" t="s">
        <v>156</v>
      </c>
      <c r="V140" s="40">
        <v>45474</v>
      </c>
      <c r="W140" s="40">
        <v>45478</v>
      </c>
      <c r="X140" s="36">
        <v>23</v>
      </c>
      <c r="Y140" s="36" t="s">
        <v>159</v>
      </c>
      <c r="Z140" s="36">
        <v>1</v>
      </c>
      <c r="AA140" s="36">
        <v>9833333</v>
      </c>
      <c r="AB140" s="40">
        <v>46023</v>
      </c>
      <c r="AC140" s="36" t="s">
        <v>2196</v>
      </c>
      <c r="AD140" s="36" t="str">
        <f>VLOOKUP(D140,Oficial!A:C,3,0)</f>
        <v>Arrastre</v>
      </c>
    </row>
    <row r="141" spans="1:30" x14ac:dyDescent="0.25">
      <c r="A141" s="36" t="s">
        <v>27</v>
      </c>
      <c r="B141" s="36" t="s">
        <v>148</v>
      </c>
      <c r="C141" s="36" t="s">
        <v>28</v>
      </c>
      <c r="D141" s="36" t="s">
        <v>148</v>
      </c>
      <c r="E141" s="36" t="s">
        <v>30</v>
      </c>
      <c r="F141" s="36" t="s">
        <v>31</v>
      </c>
      <c r="G141" s="37" t="s">
        <v>149</v>
      </c>
      <c r="H141" s="36" t="s">
        <v>150</v>
      </c>
      <c r="I141" s="36" t="s">
        <v>151</v>
      </c>
      <c r="J141" s="36">
        <v>1</v>
      </c>
      <c r="K141" s="36" t="s">
        <v>152</v>
      </c>
      <c r="L141" s="36">
        <v>1</v>
      </c>
      <c r="M141" s="36">
        <v>1</v>
      </c>
      <c r="N141" s="38">
        <v>236000000</v>
      </c>
      <c r="O141" s="41">
        <v>9833333</v>
      </c>
      <c r="P141" s="36">
        <v>24</v>
      </c>
      <c r="Q141" s="36" t="s">
        <v>73</v>
      </c>
      <c r="R141" s="36" t="s">
        <v>153</v>
      </c>
      <c r="S141" s="36" t="s">
        <v>154</v>
      </c>
      <c r="T141" s="36" t="s">
        <v>155</v>
      </c>
      <c r="U141" s="36" t="s">
        <v>156</v>
      </c>
      <c r="V141" s="40">
        <v>45474</v>
      </c>
      <c r="W141" s="40">
        <v>45478</v>
      </c>
      <c r="X141" s="36">
        <v>23</v>
      </c>
      <c r="Y141" s="36" t="s">
        <v>161</v>
      </c>
      <c r="Z141" s="36">
        <v>1</v>
      </c>
      <c r="AA141" s="36">
        <v>9833333</v>
      </c>
      <c r="AB141" s="40">
        <v>46143</v>
      </c>
      <c r="AC141" s="36" t="s">
        <v>2196</v>
      </c>
      <c r="AD141" s="36" t="str">
        <f>VLOOKUP(D141,Oficial!A:C,3,0)</f>
        <v>Arrastre</v>
      </c>
    </row>
    <row r="142" spans="1:30" x14ac:dyDescent="0.25">
      <c r="A142" s="36" t="s">
        <v>27</v>
      </c>
      <c r="B142" s="36" t="s">
        <v>148</v>
      </c>
      <c r="C142" s="36" t="s">
        <v>28</v>
      </c>
      <c r="D142" s="36" t="s">
        <v>148</v>
      </c>
      <c r="E142" s="36" t="s">
        <v>30</v>
      </c>
      <c r="F142" s="36" t="s">
        <v>31</v>
      </c>
      <c r="G142" s="37" t="s">
        <v>149</v>
      </c>
      <c r="H142" s="36" t="s">
        <v>150</v>
      </c>
      <c r="I142" s="36" t="s">
        <v>151</v>
      </c>
      <c r="J142" s="36">
        <v>1</v>
      </c>
      <c r="K142" s="36" t="s">
        <v>152</v>
      </c>
      <c r="L142" s="36">
        <v>1</v>
      </c>
      <c r="M142" s="36">
        <v>1</v>
      </c>
      <c r="N142" s="38">
        <v>236000000</v>
      </c>
      <c r="O142" s="41">
        <v>9833333</v>
      </c>
      <c r="P142" s="36">
        <v>24</v>
      </c>
      <c r="Q142" s="36" t="s">
        <v>73</v>
      </c>
      <c r="R142" s="36" t="s">
        <v>153</v>
      </c>
      <c r="S142" s="36" t="s">
        <v>154</v>
      </c>
      <c r="T142" s="36" t="s">
        <v>155</v>
      </c>
      <c r="U142" s="36" t="s">
        <v>156</v>
      </c>
      <c r="V142" s="40">
        <v>45474</v>
      </c>
      <c r="W142" s="40">
        <v>45478</v>
      </c>
      <c r="X142" s="36">
        <v>23</v>
      </c>
      <c r="Y142" s="36" t="s">
        <v>164</v>
      </c>
      <c r="Z142" s="36">
        <v>1</v>
      </c>
      <c r="AA142" s="36">
        <v>9833333</v>
      </c>
      <c r="AB142" s="40">
        <v>46204</v>
      </c>
      <c r="AC142" s="36" t="s">
        <v>2196</v>
      </c>
      <c r="AD142" s="36" t="str">
        <f>VLOOKUP(D142,Oficial!A:C,3,0)</f>
        <v>Arrastre</v>
      </c>
    </row>
    <row r="143" spans="1:30" x14ac:dyDescent="0.25">
      <c r="A143" s="36" t="s">
        <v>27</v>
      </c>
      <c r="B143" s="36" t="s">
        <v>148</v>
      </c>
      <c r="C143" s="36" t="s">
        <v>28</v>
      </c>
      <c r="D143" s="36" t="s">
        <v>148</v>
      </c>
      <c r="E143" s="36" t="s">
        <v>30</v>
      </c>
      <c r="F143" s="36" t="s">
        <v>31</v>
      </c>
      <c r="G143" s="37" t="s">
        <v>149</v>
      </c>
      <c r="H143" s="36" t="s">
        <v>150</v>
      </c>
      <c r="I143" s="36" t="s">
        <v>151</v>
      </c>
      <c r="J143" s="36">
        <v>1</v>
      </c>
      <c r="K143" s="36" t="s">
        <v>152</v>
      </c>
      <c r="L143" s="36">
        <v>1</v>
      </c>
      <c r="M143" s="36">
        <v>1</v>
      </c>
      <c r="N143" s="38">
        <v>236000000</v>
      </c>
      <c r="O143" s="41">
        <v>9833333</v>
      </c>
      <c r="P143" s="36">
        <v>24</v>
      </c>
      <c r="Q143" s="36" t="s">
        <v>73</v>
      </c>
      <c r="R143" s="36" t="s">
        <v>153</v>
      </c>
      <c r="S143" s="36" t="s">
        <v>154</v>
      </c>
      <c r="T143" s="36" t="s">
        <v>155</v>
      </c>
      <c r="U143" s="36" t="s">
        <v>156</v>
      </c>
      <c r="V143" s="40">
        <v>45474</v>
      </c>
      <c r="W143" s="40">
        <v>45478</v>
      </c>
      <c r="X143" s="36">
        <v>23</v>
      </c>
      <c r="Y143" s="36" t="s">
        <v>162</v>
      </c>
      <c r="Z143" s="36">
        <v>1</v>
      </c>
      <c r="AA143" s="36">
        <v>9833333</v>
      </c>
      <c r="AB143" s="40">
        <v>46296</v>
      </c>
      <c r="AC143" s="36" t="s">
        <v>2196</v>
      </c>
      <c r="AD143" s="36" t="str">
        <f>VLOOKUP(D143,Oficial!A:C,3,0)</f>
        <v>Arrastre</v>
      </c>
    </row>
    <row r="144" spans="1:30" x14ac:dyDescent="0.25">
      <c r="A144" s="36" t="s">
        <v>27</v>
      </c>
      <c r="B144" s="36" t="s">
        <v>148</v>
      </c>
      <c r="C144" s="36" t="s">
        <v>28</v>
      </c>
      <c r="D144" s="36" t="s">
        <v>148</v>
      </c>
      <c r="E144" s="36" t="s">
        <v>30</v>
      </c>
      <c r="F144" s="36" t="s">
        <v>31</v>
      </c>
      <c r="G144" s="37" t="s">
        <v>149</v>
      </c>
      <c r="H144" s="36" t="s">
        <v>150</v>
      </c>
      <c r="I144" s="36" t="s">
        <v>151</v>
      </c>
      <c r="J144" s="36">
        <v>1</v>
      </c>
      <c r="K144" s="36" t="s">
        <v>152</v>
      </c>
      <c r="L144" s="36">
        <v>1</v>
      </c>
      <c r="M144" s="36">
        <v>1</v>
      </c>
      <c r="N144" s="38">
        <v>236000000</v>
      </c>
      <c r="O144" s="41">
        <v>9833333</v>
      </c>
      <c r="P144" s="36">
        <v>24</v>
      </c>
      <c r="Q144" s="36" t="s">
        <v>73</v>
      </c>
      <c r="R144" s="36" t="s">
        <v>153</v>
      </c>
      <c r="S144" s="36" t="s">
        <v>154</v>
      </c>
      <c r="T144" s="36" t="s">
        <v>155</v>
      </c>
      <c r="U144" s="36" t="s">
        <v>156</v>
      </c>
      <c r="V144" s="40">
        <v>45474</v>
      </c>
      <c r="W144" s="40">
        <v>45478</v>
      </c>
      <c r="X144" s="36">
        <v>23</v>
      </c>
      <c r="Y144" s="36" t="s">
        <v>162</v>
      </c>
      <c r="Z144" s="36">
        <v>1</v>
      </c>
      <c r="AA144" s="36">
        <v>9833333</v>
      </c>
      <c r="AB144" s="40">
        <v>46054</v>
      </c>
      <c r="AC144" s="36" t="s">
        <v>2196</v>
      </c>
      <c r="AD144" s="36" t="str">
        <f>VLOOKUP(D144,Oficial!A:C,3,0)</f>
        <v>Arrastre</v>
      </c>
    </row>
    <row r="145" spans="1:30" x14ac:dyDescent="0.25">
      <c r="A145" s="36" t="s">
        <v>27</v>
      </c>
      <c r="B145" s="36" t="s">
        <v>148</v>
      </c>
      <c r="C145" s="36" t="s">
        <v>28</v>
      </c>
      <c r="D145" s="36" t="s">
        <v>148</v>
      </c>
      <c r="E145" s="36" t="s">
        <v>30</v>
      </c>
      <c r="F145" s="36" t="s">
        <v>31</v>
      </c>
      <c r="G145" s="37" t="s">
        <v>149</v>
      </c>
      <c r="H145" s="36" t="s">
        <v>150</v>
      </c>
      <c r="I145" s="36" t="s">
        <v>151</v>
      </c>
      <c r="J145" s="36">
        <v>1</v>
      </c>
      <c r="K145" s="36" t="s">
        <v>152</v>
      </c>
      <c r="L145" s="36">
        <v>1</v>
      </c>
      <c r="M145" s="36">
        <v>1</v>
      </c>
      <c r="N145" s="38">
        <v>236000000</v>
      </c>
      <c r="O145" s="41">
        <v>9833340</v>
      </c>
      <c r="P145" s="36">
        <v>24</v>
      </c>
      <c r="Q145" s="36" t="s">
        <v>73</v>
      </c>
      <c r="R145" s="36" t="s">
        <v>153</v>
      </c>
      <c r="S145" s="36" t="s">
        <v>154</v>
      </c>
      <c r="T145" s="36" t="s">
        <v>155</v>
      </c>
      <c r="U145" s="36" t="s">
        <v>156</v>
      </c>
      <c r="V145" s="40">
        <v>45474</v>
      </c>
      <c r="W145" s="40">
        <v>45478</v>
      </c>
      <c r="X145" s="36">
        <v>23</v>
      </c>
      <c r="Y145" s="36" t="s">
        <v>163</v>
      </c>
      <c r="Z145" s="36">
        <v>1</v>
      </c>
      <c r="AA145" s="36">
        <v>9833341</v>
      </c>
      <c r="AB145" s="40">
        <v>46357</v>
      </c>
      <c r="AC145" s="36" t="s">
        <v>2196</v>
      </c>
      <c r="AD145" s="36" t="str">
        <f>VLOOKUP(D145,Oficial!A:C,3,0)</f>
        <v>Arrastre</v>
      </c>
    </row>
    <row r="146" spans="1:30" x14ac:dyDescent="0.25">
      <c r="A146" s="36" t="s">
        <v>27</v>
      </c>
      <c r="B146" s="36" t="s">
        <v>165</v>
      </c>
      <c r="C146" s="36" t="s">
        <v>28</v>
      </c>
      <c r="D146" s="36" t="s">
        <v>165</v>
      </c>
      <c r="E146" s="36" t="s">
        <v>30</v>
      </c>
      <c r="F146" s="36" t="s">
        <v>31</v>
      </c>
      <c r="G146" s="37" t="s">
        <v>166</v>
      </c>
      <c r="H146" s="36" t="s">
        <v>167</v>
      </c>
      <c r="I146" s="36" t="s">
        <v>168</v>
      </c>
      <c r="J146" s="36">
        <v>1</v>
      </c>
      <c r="K146" s="36" t="s">
        <v>62</v>
      </c>
      <c r="L146" s="36">
        <v>1</v>
      </c>
      <c r="M146" s="36">
        <v>1</v>
      </c>
      <c r="N146" s="38">
        <v>20000000</v>
      </c>
      <c r="O146" s="42">
        <v>833333</v>
      </c>
      <c r="P146" s="36">
        <v>24</v>
      </c>
      <c r="Q146" s="36" t="s">
        <v>73</v>
      </c>
      <c r="R146" s="36" t="s">
        <v>169</v>
      </c>
      <c r="S146" s="36" t="s">
        <v>65</v>
      </c>
      <c r="T146" s="36" t="s">
        <v>66</v>
      </c>
      <c r="U146" s="36" t="s">
        <v>67</v>
      </c>
      <c r="V146" s="40">
        <v>45444</v>
      </c>
      <c r="W146" s="40">
        <v>45478</v>
      </c>
      <c r="X146" s="36">
        <v>16</v>
      </c>
      <c r="Y146" s="36" t="s">
        <v>175</v>
      </c>
      <c r="Z146" s="36">
        <v>1</v>
      </c>
      <c r="AA146" s="36">
        <v>833333</v>
      </c>
      <c r="AB146" s="40">
        <v>46204</v>
      </c>
      <c r="AC146" s="36" t="s">
        <v>2196</v>
      </c>
      <c r="AD146" s="36" t="str">
        <f>VLOOKUP(D146,Oficial!A:C,3,0)</f>
        <v>Arrastre</v>
      </c>
    </row>
    <row r="147" spans="1:30" x14ac:dyDescent="0.25">
      <c r="A147" s="36" t="s">
        <v>27</v>
      </c>
      <c r="B147" s="36" t="s">
        <v>165</v>
      </c>
      <c r="C147" s="36" t="s">
        <v>28</v>
      </c>
      <c r="D147" s="36" t="s">
        <v>165</v>
      </c>
      <c r="E147" s="36" t="s">
        <v>30</v>
      </c>
      <c r="F147" s="36" t="s">
        <v>31</v>
      </c>
      <c r="G147" s="37" t="s">
        <v>166</v>
      </c>
      <c r="H147" s="36" t="s">
        <v>167</v>
      </c>
      <c r="I147" s="36" t="s">
        <v>168</v>
      </c>
      <c r="J147" s="36">
        <v>1</v>
      </c>
      <c r="K147" s="36" t="s">
        <v>62</v>
      </c>
      <c r="L147" s="36">
        <v>1</v>
      </c>
      <c r="M147" s="36">
        <v>1</v>
      </c>
      <c r="N147" s="38">
        <v>20000000</v>
      </c>
      <c r="O147" s="42">
        <v>833333</v>
      </c>
      <c r="P147" s="36">
        <v>24</v>
      </c>
      <c r="Q147" s="36" t="s">
        <v>73</v>
      </c>
      <c r="R147" s="36" t="s">
        <v>169</v>
      </c>
      <c r="S147" s="36" t="s">
        <v>65</v>
      </c>
      <c r="T147" s="36" t="s">
        <v>66</v>
      </c>
      <c r="U147" s="36" t="s">
        <v>67</v>
      </c>
      <c r="V147" s="40">
        <v>45444</v>
      </c>
      <c r="W147" s="40">
        <v>45478</v>
      </c>
      <c r="X147" s="36">
        <v>16</v>
      </c>
      <c r="Y147" s="36" t="s">
        <v>174</v>
      </c>
      <c r="Z147" s="36">
        <v>1</v>
      </c>
      <c r="AA147" s="36">
        <v>833333</v>
      </c>
      <c r="AB147" s="40">
        <v>46174</v>
      </c>
      <c r="AC147" s="36" t="s">
        <v>2196</v>
      </c>
      <c r="AD147" s="36" t="str">
        <f>VLOOKUP(D147,Oficial!A:C,3,0)</f>
        <v>Arrastre</v>
      </c>
    </row>
    <row r="148" spans="1:30" x14ac:dyDescent="0.25">
      <c r="A148" s="36" t="s">
        <v>27</v>
      </c>
      <c r="B148" s="36" t="s">
        <v>165</v>
      </c>
      <c r="C148" s="36" t="s">
        <v>28</v>
      </c>
      <c r="D148" s="36" t="s">
        <v>165</v>
      </c>
      <c r="E148" s="36" t="s">
        <v>30</v>
      </c>
      <c r="F148" s="36" t="s">
        <v>31</v>
      </c>
      <c r="G148" s="37" t="s">
        <v>166</v>
      </c>
      <c r="H148" s="36" t="s">
        <v>167</v>
      </c>
      <c r="I148" s="36" t="s">
        <v>168</v>
      </c>
      <c r="J148" s="36">
        <v>1</v>
      </c>
      <c r="K148" s="36" t="s">
        <v>62</v>
      </c>
      <c r="L148" s="36">
        <v>1</v>
      </c>
      <c r="M148" s="36">
        <v>1</v>
      </c>
      <c r="N148" s="38">
        <v>20000000</v>
      </c>
      <c r="O148" s="42">
        <v>833333</v>
      </c>
      <c r="P148" s="36">
        <v>24</v>
      </c>
      <c r="Q148" s="36" t="s">
        <v>73</v>
      </c>
      <c r="R148" s="36" t="s">
        <v>169</v>
      </c>
      <c r="S148" s="36" t="s">
        <v>65</v>
      </c>
      <c r="T148" s="36" t="s">
        <v>66</v>
      </c>
      <c r="U148" s="36" t="s">
        <v>67</v>
      </c>
      <c r="V148" s="40">
        <v>45444</v>
      </c>
      <c r="W148" s="40">
        <v>45478</v>
      </c>
      <c r="X148" s="36">
        <v>16</v>
      </c>
      <c r="Y148" s="36" t="s">
        <v>171</v>
      </c>
      <c r="Z148" s="36">
        <v>1</v>
      </c>
      <c r="AA148" s="36">
        <v>833333</v>
      </c>
      <c r="AB148" s="40">
        <v>46082</v>
      </c>
      <c r="AC148" s="36" t="s">
        <v>2196</v>
      </c>
      <c r="AD148" s="36" t="str">
        <f>VLOOKUP(D148,Oficial!A:C,3,0)</f>
        <v>Arrastre</v>
      </c>
    </row>
    <row r="149" spans="1:30" x14ac:dyDescent="0.25">
      <c r="A149" s="36" t="s">
        <v>27</v>
      </c>
      <c r="B149" s="36" t="s">
        <v>165</v>
      </c>
      <c r="C149" s="36" t="s">
        <v>28</v>
      </c>
      <c r="D149" s="36" t="s">
        <v>165</v>
      </c>
      <c r="E149" s="36" t="s">
        <v>30</v>
      </c>
      <c r="F149" s="36" t="s">
        <v>31</v>
      </c>
      <c r="G149" s="37" t="s">
        <v>166</v>
      </c>
      <c r="H149" s="36" t="s">
        <v>167</v>
      </c>
      <c r="I149" s="36" t="s">
        <v>168</v>
      </c>
      <c r="J149" s="36">
        <v>1</v>
      </c>
      <c r="K149" s="36" t="s">
        <v>62</v>
      </c>
      <c r="L149" s="36">
        <v>1</v>
      </c>
      <c r="M149" s="36">
        <v>1</v>
      </c>
      <c r="N149" s="38">
        <v>20000000</v>
      </c>
      <c r="O149" s="42">
        <v>833333</v>
      </c>
      <c r="P149" s="36">
        <v>24</v>
      </c>
      <c r="Q149" s="36" t="s">
        <v>73</v>
      </c>
      <c r="R149" s="36" t="s">
        <v>169</v>
      </c>
      <c r="S149" s="36" t="s">
        <v>65</v>
      </c>
      <c r="T149" s="36" t="s">
        <v>66</v>
      </c>
      <c r="U149" s="36" t="s">
        <v>67</v>
      </c>
      <c r="V149" s="40">
        <v>45444</v>
      </c>
      <c r="W149" s="40">
        <v>45478</v>
      </c>
      <c r="X149" s="36">
        <v>16</v>
      </c>
      <c r="Y149" s="36" t="s">
        <v>170</v>
      </c>
      <c r="Z149" s="36">
        <v>1</v>
      </c>
      <c r="AA149" s="36">
        <v>833333</v>
      </c>
      <c r="AB149" s="40">
        <v>46174</v>
      </c>
      <c r="AC149" s="36" t="s">
        <v>2196</v>
      </c>
      <c r="AD149" s="36" t="str">
        <f>VLOOKUP(D149,Oficial!A:C,3,0)</f>
        <v>Arrastre</v>
      </c>
    </row>
    <row r="150" spans="1:30" x14ac:dyDescent="0.25">
      <c r="A150" s="36" t="s">
        <v>27</v>
      </c>
      <c r="B150" s="36" t="s">
        <v>165</v>
      </c>
      <c r="C150" s="36" t="s">
        <v>28</v>
      </c>
      <c r="D150" s="36" t="s">
        <v>165</v>
      </c>
      <c r="E150" s="36" t="s">
        <v>30</v>
      </c>
      <c r="F150" s="36" t="s">
        <v>31</v>
      </c>
      <c r="G150" s="37" t="s">
        <v>166</v>
      </c>
      <c r="H150" s="36" t="s">
        <v>167</v>
      </c>
      <c r="I150" s="36" t="s">
        <v>168</v>
      </c>
      <c r="J150" s="36">
        <v>1</v>
      </c>
      <c r="K150" s="36" t="s">
        <v>62</v>
      </c>
      <c r="L150" s="36">
        <v>1</v>
      </c>
      <c r="M150" s="36">
        <v>1</v>
      </c>
      <c r="N150" s="38">
        <v>20000000</v>
      </c>
      <c r="O150" s="42">
        <v>833333</v>
      </c>
      <c r="P150" s="36">
        <v>24</v>
      </c>
      <c r="Q150" s="36" t="s">
        <v>73</v>
      </c>
      <c r="R150" s="36" t="s">
        <v>169</v>
      </c>
      <c r="S150" s="36" t="s">
        <v>65</v>
      </c>
      <c r="T150" s="36" t="s">
        <v>66</v>
      </c>
      <c r="U150" s="36" t="s">
        <v>67</v>
      </c>
      <c r="V150" s="40">
        <v>45444</v>
      </c>
      <c r="W150" s="40">
        <v>45478</v>
      </c>
      <c r="X150" s="36">
        <v>16</v>
      </c>
      <c r="Y150" s="36" t="s">
        <v>176</v>
      </c>
      <c r="Z150" s="36">
        <v>1</v>
      </c>
      <c r="AA150" s="36">
        <v>833333</v>
      </c>
      <c r="AB150" s="40">
        <v>46266</v>
      </c>
      <c r="AC150" s="36" t="s">
        <v>2196</v>
      </c>
      <c r="AD150" s="36" t="str">
        <f>VLOOKUP(D150,Oficial!A:C,3,0)</f>
        <v>Arrastre</v>
      </c>
    </row>
    <row r="151" spans="1:30" x14ac:dyDescent="0.25">
      <c r="A151" s="36" t="s">
        <v>27</v>
      </c>
      <c r="B151" s="36" t="s">
        <v>165</v>
      </c>
      <c r="C151" s="36" t="s">
        <v>28</v>
      </c>
      <c r="D151" s="36" t="s">
        <v>165</v>
      </c>
      <c r="E151" s="36" t="s">
        <v>30</v>
      </c>
      <c r="F151" s="36" t="s">
        <v>31</v>
      </c>
      <c r="G151" s="37" t="s">
        <v>166</v>
      </c>
      <c r="H151" s="36" t="s">
        <v>167</v>
      </c>
      <c r="I151" s="36" t="s">
        <v>168</v>
      </c>
      <c r="J151" s="36">
        <v>1</v>
      </c>
      <c r="K151" s="36" t="s">
        <v>62</v>
      </c>
      <c r="L151" s="36">
        <v>1</v>
      </c>
      <c r="M151" s="36">
        <v>1</v>
      </c>
      <c r="N151" s="38">
        <v>20000000</v>
      </c>
      <c r="O151" s="42">
        <v>833334</v>
      </c>
      <c r="P151" s="36">
        <v>24</v>
      </c>
      <c r="Q151" s="36" t="s">
        <v>73</v>
      </c>
      <c r="R151" s="36" t="s">
        <v>169</v>
      </c>
      <c r="S151" s="36" t="s">
        <v>65</v>
      </c>
      <c r="T151" s="36" t="s">
        <v>66</v>
      </c>
      <c r="U151" s="36" t="s">
        <v>67</v>
      </c>
      <c r="V151" s="40">
        <v>45444</v>
      </c>
      <c r="W151" s="40">
        <v>45478</v>
      </c>
      <c r="X151" s="36">
        <v>16</v>
      </c>
      <c r="Y151" s="36" t="s">
        <v>174</v>
      </c>
      <c r="Z151" s="36">
        <v>1</v>
      </c>
      <c r="AA151" s="36">
        <v>833341</v>
      </c>
      <c r="AB151" s="40">
        <v>46357</v>
      </c>
      <c r="AC151" s="36" t="s">
        <v>2196</v>
      </c>
      <c r="AD151" s="36" t="str">
        <f>VLOOKUP(D151,Oficial!A:C,3,0)</f>
        <v>Arrastre</v>
      </c>
    </row>
    <row r="152" spans="1:30" x14ac:dyDescent="0.25">
      <c r="A152" s="36" t="s">
        <v>27</v>
      </c>
      <c r="B152" s="36" t="s">
        <v>165</v>
      </c>
      <c r="C152" s="36" t="s">
        <v>28</v>
      </c>
      <c r="D152" s="36" t="s">
        <v>165</v>
      </c>
      <c r="E152" s="36" t="s">
        <v>30</v>
      </c>
      <c r="F152" s="36" t="s">
        <v>31</v>
      </c>
      <c r="G152" s="37" t="s">
        <v>166</v>
      </c>
      <c r="H152" s="36" t="s">
        <v>167</v>
      </c>
      <c r="I152" s="36" t="s">
        <v>168</v>
      </c>
      <c r="J152" s="36">
        <v>1</v>
      </c>
      <c r="K152" s="36" t="s">
        <v>62</v>
      </c>
      <c r="L152" s="36">
        <v>1</v>
      </c>
      <c r="M152" s="36">
        <v>1</v>
      </c>
      <c r="N152" s="38">
        <v>20000000</v>
      </c>
      <c r="O152" s="42">
        <v>833333</v>
      </c>
      <c r="P152" s="36">
        <v>24</v>
      </c>
      <c r="Q152" s="36" t="s">
        <v>73</v>
      </c>
      <c r="R152" s="36" t="s">
        <v>169</v>
      </c>
      <c r="S152" s="36" t="s">
        <v>65</v>
      </c>
      <c r="T152" s="36" t="s">
        <v>66</v>
      </c>
      <c r="U152" s="36" t="s">
        <v>67</v>
      </c>
      <c r="V152" s="40">
        <v>45444</v>
      </c>
      <c r="W152" s="40">
        <v>45478</v>
      </c>
      <c r="X152" s="36">
        <v>16</v>
      </c>
      <c r="Y152" s="36" t="s">
        <v>172</v>
      </c>
      <c r="Z152" s="36">
        <v>1</v>
      </c>
      <c r="AA152" s="36">
        <v>833333</v>
      </c>
      <c r="AB152" s="40">
        <v>46023</v>
      </c>
      <c r="AC152" s="36" t="s">
        <v>2196</v>
      </c>
      <c r="AD152" s="36" t="str">
        <f>VLOOKUP(D152,Oficial!A:C,3,0)</f>
        <v>Arrastre</v>
      </c>
    </row>
    <row r="153" spans="1:30" x14ac:dyDescent="0.25">
      <c r="A153" s="36" t="s">
        <v>27</v>
      </c>
      <c r="B153" s="36" t="s">
        <v>165</v>
      </c>
      <c r="C153" s="36" t="s">
        <v>28</v>
      </c>
      <c r="D153" s="36" t="s">
        <v>165</v>
      </c>
      <c r="E153" s="36" t="s">
        <v>30</v>
      </c>
      <c r="F153" s="36" t="s">
        <v>31</v>
      </c>
      <c r="G153" s="37" t="s">
        <v>166</v>
      </c>
      <c r="H153" s="36" t="s">
        <v>167</v>
      </c>
      <c r="I153" s="36" t="s">
        <v>168</v>
      </c>
      <c r="J153" s="36">
        <v>1</v>
      </c>
      <c r="K153" s="36" t="s">
        <v>62</v>
      </c>
      <c r="L153" s="36">
        <v>1</v>
      </c>
      <c r="M153" s="36">
        <v>1</v>
      </c>
      <c r="N153" s="38">
        <v>20000000</v>
      </c>
      <c r="O153" s="42">
        <v>833333</v>
      </c>
      <c r="P153" s="36">
        <v>24</v>
      </c>
      <c r="Q153" s="36" t="s">
        <v>73</v>
      </c>
      <c r="R153" s="36" t="s">
        <v>169</v>
      </c>
      <c r="S153" s="36" t="s">
        <v>65</v>
      </c>
      <c r="T153" s="36" t="s">
        <v>66</v>
      </c>
      <c r="U153" s="36" t="s">
        <v>67</v>
      </c>
      <c r="V153" s="40">
        <v>45444</v>
      </c>
      <c r="W153" s="40">
        <v>45478</v>
      </c>
      <c r="X153" s="36">
        <v>16</v>
      </c>
      <c r="Y153" s="36" t="s">
        <v>172</v>
      </c>
      <c r="Z153" s="36">
        <v>1</v>
      </c>
      <c r="AA153" s="36">
        <v>833333</v>
      </c>
      <c r="AB153" s="40">
        <v>46327</v>
      </c>
      <c r="AC153" s="36" t="s">
        <v>2196</v>
      </c>
      <c r="AD153" s="36" t="str">
        <f>VLOOKUP(D153,Oficial!A:C,3,0)</f>
        <v>Arrastre</v>
      </c>
    </row>
    <row r="154" spans="1:30" x14ac:dyDescent="0.25">
      <c r="A154" s="36" t="s">
        <v>27</v>
      </c>
      <c r="B154" s="36" t="s">
        <v>165</v>
      </c>
      <c r="C154" s="36" t="s">
        <v>28</v>
      </c>
      <c r="D154" s="36" t="s">
        <v>165</v>
      </c>
      <c r="E154" s="36" t="s">
        <v>30</v>
      </c>
      <c r="F154" s="36" t="s">
        <v>31</v>
      </c>
      <c r="G154" s="37" t="s">
        <v>166</v>
      </c>
      <c r="H154" s="36" t="s">
        <v>167</v>
      </c>
      <c r="I154" s="36" t="s">
        <v>168</v>
      </c>
      <c r="J154" s="36">
        <v>1</v>
      </c>
      <c r="K154" s="36" t="s">
        <v>62</v>
      </c>
      <c r="L154" s="36">
        <v>1</v>
      </c>
      <c r="M154" s="36">
        <v>1</v>
      </c>
      <c r="N154" s="38">
        <v>20000000</v>
      </c>
      <c r="O154" s="42">
        <v>833340</v>
      </c>
      <c r="P154" s="36">
        <v>24</v>
      </c>
      <c r="Q154" s="36" t="s">
        <v>73</v>
      </c>
      <c r="R154" s="36" t="s">
        <v>169</v>
      </c>
      <c r="S154" s="36" t="s">
        <v>65</v>
      </c>
      <c r="T154" s="36" t="s">
        <v>66</v>
      </c>
      <c r="U154" s="36" t="s">
        <v>67</v>
      </c>
      <c r="V154" s="40">
        <v>45444</v>
      </c>
      <c r="W154" s="40">
        <v>45478</v>
      </c>
      <c r="X154" s="36">
        <v>16</v>
      </c>
      <c r="Y154" s="36" t="s">
        <v>170</v>
      </c>
      <c r="Z154" s="36">
        <v>1</v>
      </c>
      <c r="AA154" s="36">
        <v>833341</v>
      </c>
      <c r="AB154" s="40">
        <v>46357</v>
      </c>
      <c r="AC154" s="36" t="s">
        <v>2196</v>
      </c>
      <c r="AD154" s="36" t="str">
        <f>VLOOKUP(D154,Oficial!A:C,3,0)</f>
        <v>Arrastre</v>
      </c>
    </row>
    <row r="155" spans="1:30" x14ac:dyDescent="0.25">
      <c r="A155" s="36" t="s">
        <v>27</v>
      </c>
      <c r="B155" s="36" t="s">
        <v>165</v>
      </c>
      <c r="C155" s="36" t="s">
        <v>28</v>
      </c>
      <c r="D155" s="36" t="s">
        <v>165</v>
      </c>
      <c r="E155" s="36" t="s">
        <v>30</v>
      </c>
      <c r="F155" s="36" t="s">
        <v>31</v>
      </c>
      <c r="G155" s="37" t="s">
        <v>166</v>
      </c>
      <c r="H155" s="36" t="s">
        <v>167</v>
      </c>
      <c r="I155" s="36" t="s">
        <v>168</v>
      </c>
      <c r="J155" s="36">
        <v>1</v>
      </c>
      <c r="K155" s="36" t="s">
        <v>62</v>
      </c>
      <c r="L155" s="36">
        <v>1</v>
      </c>
      <c r="M155" s="36">
        <v>1</v>
      </c>
      <c r="N155" s="38">
        <v>20000000</v>
      </c>
      <c r="O155" s="42">
        <v>833333</v>
      </c>
      <c r="P155" s="36">
        <v>24</v>
      </c>
      <c r="Q155" s="36" t="s">
        <v>73</v>
      </c>
      <c r="R155" s="36" t="s">
        <v>169</v>
      </c>
      <c r="S155" s="36" t="s">
        <v>65</v>
      </c>
      <c r="T155" s="36" t="s">
        <v>66</v>
      </c>
      <c r="U155" s="36" t="s">
        <v>67</v>
      </c>
      <c r="V155" s="40">
        <v>45444</v>
      </c>
      <c r="W155" s="40">
        <v>45478</v>
      </c>
      <c r="X155" s="36">
        <v>16</v>
      </c>
      <c r="Y155" s="36" t="s">
        <v>173</v>
      </c>
      <c r="Z155" s="36">
        <v>1</v>
      </c>
      <c r="AA155" s="36">
        <v>833333</v>
      </c>
      <c r="AB155" s="40">
        <v>46296</v>
      </c>
      <c r="AC155" s="36" t="s">
        <v>2196</v>
      </c>
      <c r="AD155" s="36" t="str">
        <f>VLOOKUP(D155,Oficial!A:C,3,0)</f>
        <v>Arrastre</v>
      </c>
    </row>
    <row r="156" spans="1:30" x14ac:dyDescent="0.25">
      <c r="A156" s="36" t="s">
        <v>27</v>
      </c>
      <c r="B156" s="36" t="s">
        <v>165</v>
      </c>
      <c r="C156" s="36" t="s">
        <v>28</v>
      </c>
      <c r="D156" s="36" t="s">
        <v>165</v>
      </c>
      <c r="E156" s="36" t="s">
        <v>30</v>
      </c>
      <c r="F156" s="36" t="s">
        <v>31</v>
      </c>
      <c r="G156" s="37" t="s">
        <v>166</v>
      </c>
      <c r="H156" s="36" t="s">
        <v>167</v>
      </c>
      <c r="I156" s="36" t="s">
        <v>168</v>
      </c>
      <c r="J156" s="36">
        <v>1</v>
      </c>
      <c r="K156" s="36" t="s">
        <v>62</v>
      </c>
      <c r="L156" s="36">
        <v>1</v>
      </c>
      <c r="M156" s="36">
        <v>1</v>
      </c>
      <c r="N156" s="38">
        <v>20000000</v>
      </c>
      <c r="O156" s="42">
        <v>833333</v>
      </c>
      <c r="P156" s="36">
        <v>24</v>
      </c>
      <c r="Q156" s="36" t="s">
        <v>73</v>
      </c>
      <c r="R156" s="36" t="s">
        <v>169</v>
      </c>
      <c r="S156" s="36" t="s">
        <v>65</v>
      </c>
      <c r="T156" s="36" t="s">
        <v>66</v>
      </c>
      <c r="U156" s="36" t="s">
        <v>67</v>
      </c>
      <c r="V156" s="40">
        <v>45444</v>
      </c>
      <c r="W156" s="40">
        <v>45478</v>
      </c>
      <c r="X156" s="36">
        <v>16</v>
      </c>
      <c r="Y156" s="36" t="s">
        <v>173</v>
      </c>
      <c r="Z156" s="36">
        <v>1</v>
      </c>
      <c r="AA156" s="36">
        <v>833333</v>
      </c>
      <c r="AB156" s="40">
        <v>46143</v>
      </c>
      <c r="AC156" s="36" t="s">
        <v>2196</v>
      </c>
      <c r="AD156" s="36" t="str">
        <f>VLOOKUP(D156,Oficial!A:C,3,0)</f>
        <v>Arrastre</v>
      </c>
    </row>
    <row r="157" spans="1:30" x14ac:dyDescent="0.25">
      <c r="A157" s="36" t="s">
        <v>27</v>
      </c>
      <c r="B157" s="36" t="s">
        <v>165</v>
      </c>
      <c r="C157" s="36" t="s">
        <v>28</v>
      </c>
      <c r="D157" s="36" t="s">
        <v>165</v>
      </c>
      <c r="E157" s="36" t="s">
        <v>30</v>
      </c>
      <c r="F157" s="36" t="s">
        <v>31</v>
      </c>
      <c r="G157" s="37" t="s">
        <v>166</v>
      </c>
      <c r="H157" s="36" t="s">
        <v>167</v>
      </c>
      <c r="I157" s="36" t="s">
        <v>168</v>
      </c>
      <c r="J157" s="36">
        <v>1</v>
      </c>
      <c r="K157" s="36" t="s">
        <v>62</v>
      </c>
      <c r="L157" s="36">
        <v>1</v>
      </c>
      <c r="M157" s="36">
        <v>1</v>
      </c>
      <c r="N157" s="38">
        <v>20000000</v>
      </c>
      <c r="O157" s="42">
        <v>833333</v>
      </c>
      <c r="P157" s="36">
        <v>24</v>
      </c>
      <c r="Q157" s="36" t="s">
        <v>73</v>
      </c>
      <c r="R157" s="36" t="s">
        <v>169</v>
      </c>
      <c r="S157" s="36" t="s">
        <v>65</v>
      </c>
      <c r="T157" s="36" t="s">
        <v>66</v>
      </c>
      <c r="U157" s="36" t="s">
        <v>67</v>
      </c>
      <c r="V157" s="40">
        <v>45444</v>
      </c>
      <c r="W157" s="40">
        <v>45478</v>
      </c>
      <c r="X157" s="36">
        <v>16</v>
      </c>
      <c r="Y157" s="36" t="s">
        <v>175</v>
      </c>
      <c r="Z157" s="36">
        <v>1</v>
      </c>
      <c r="AA157" s="36">
        <v>833333</v>
      </c>
      <c r="AB157" s="40">
        <v>46082</v>
      </c>
      <c r="AC157" s="36" t="s">
        <v>2196</v>
      </c>
      <c r="AD157" s="36" t="str">
        <f>VLOOKUP(D157,Oficial!A:C,3,0)</f>
        <v>Arrastre</v>
      </c>
    </row>
    <row r="158" spans="1:30" x14ac:dyDescent="0.25">
      <c r="A158" s="36" t="s">
        <v>27</v>
      </c>
      <c r="B158" s="36" t="s">
        <v>177</v>
      </c>
      <c r="C158" s="36" t="s">
        <v>28</v>
      </c>
      <c r="D158" s="36" t="s">
        <v>177</v>
      </c>
      <c r="E158" s="36" t="s">
        <v>30</v>
      </c>
      <c r="F158" s="36" t="s">
        <v>31</v>
      </c>
      <c r="G158" s="37" t="s">
        <v>178</v>
      </c>
      <c r="H158" s="36" t="s">
        <v>179</v>
      </c>
      <c r="I158" s="36" t="s">
        <v>180</v>
      </c>
      <c r="J158" s="36">
        <v>1</v>
      </c>
      <c r="K158" s="36" t="s">
        <v>181</v>
      </c>
      <c r="L158" s="36">
        <v>1</v>
      </c>
      <c r="M158" s="36">
        <v>1</v>
      </c>
      <c r="N158" s="38">
        <v>1810393810</v>
      </c>
      <c r="O158" s="44">
        <v>75433075</v>
      </c>
      <c r="P158" s="36">
        <v>24</v>
      </c>
      <c r="Q158" s="36" t="s">
        <v>73</v>
      </c>
      <c r="R158" s="36" t="s">
        <v>182</v>
      </c>
      <c r="S158" s="36" t="s">
        <v>183</v>
      </c>
      <c r="T158" s="36" t="s">
        <v>184</v>
      </c>
      <c r="U158" s="36" t="s">
        <v>185</v>
      </c>
      <c r="V158" s="40">
        <v>45444</v>
      </c>
      <c r="W158" s="40">
        <v>45478</v>
      </c>
      <c r="X158" s="36">
        <v>46</v>
      </c>
      <c r="Y158" s="36" t="s">
        <v>186</v>
      </c>
      <c r="Z158" s="36">
        <v>1</v>
      </c>
      <c r="AA158" s="36">
        <v>75433075</v>
      </c>
      <c r="AB158" s="40">
        <v>46235</v>
      </c>
      <c r="AC158" s="36" t="s">
        <v>2196</v>
      </c>
      <c r="AD158" s="36" t="str">
        <f>VLOOKUP(D158,Oficial!A:C,3,0)</f>
        <v>Arrastre</v>
      </c>
    </row>
    <row r="159" spans="1:30" x14ac:dyDescent="0.25">
      <c r="A159" s="36" t="s">
        <v>27</v>
      </c>
      <c r="B159" s="36" t="s">
        <v>177</v>
      </c>
      <c r="C159" s="36" t="s">
        <v>28</v>
      </c>
      <c r="D159" s="36" t="s">
        <v>177</v>
      </c>
      <c r="E159" s="36" t="s">
        <v>30</v>
      </c>
      <c r="F159" s="36" t="s">
        <v>31</v>
      </c>
      <c r="G159" s="37" t="s">
        <v>178</v>
      </c>
      <c r="H159" s="36" t="s">
        <v>179</v>
      </c>
      <c r="I159" s="36" t="s">
        <v>180</v>
      </c>
      <c r="J159" s="36">
        <v>1</v>
      </c>
      <c r="K159" s="36" t="s">
        <v>181</v>
      </c>
      <c r="L159" s="36">
        <v>1</v>
      </c>
      <c r="M159" s="36">
        <v>1</v>
      </c>
      <c r="N159" s="38">
        <v>1810393810</v>
      </c>
      <c r="O159" s="44">
        <v>75433075</v>
      </c>
      <c r="P159" s="36">
        <v>24</v>
      </c>
      <c r="Q159" s="36" t="s">
        <v>73</v>
      </c>
      <c r="R159" s="36" t="s">
        <v>182</v>
      </c>
      <c r="S159" s="36" t="s">
        <v>183</v>
      </c>
      <c r="T159" s="36" t="s">
        <v>184</v>
      </c>
      <c r="U159" s="36" t="s">
        <v>185</v>
      </c>
      <c r="V159" s="40">
        <v>45444</v>
      </c>
      <c r="W159" s="40">
        <v>45478</v>
      </c>
      <c r="X159" s="36">
        <v>46</v>
      </c>
      <c r="Y159" s="36" t="s">
        <v>186</v>
      </c>
      <c r="Z159" s="36">
        <v>1</v>
      </c>
      <c r="AA159" s="36">
        <v>75433075</v>
      </c>
      <c r="AB159" s="40">
        <v>46327</v>
      </c>
      <c r="AC159" s="36" t="s">
        <v>2196</v>
      </c>
      <c r="AD159" s="36" t="str">
        <f>VLOOKUP(D159,Oficial!A:C,3,0)</f>
        <v>Arrastre</v>
      </c>
    </row>
    <row r="160" spans="1:30" x14ac:dyDescent="0.25">
      <c r="A160" s="36" t="s">
        <v>27</v>
      </c>
      <c r="B160" s="36" t="s">
        <v>177</v>
      </c>
      <c r="C160" s="36" t="s">
        <v>28</v>
      </c>
      <c r="D160" s="36" t="s">
        <v>177</v>
      </c>
      <c r="E160" s="36" t="s">
        <v>30</v>
      </c>
      <c r="F160" s="36" t="s">
        <v>31</v>
      </c>
      <c r="G160" s="37" t="s">
        <v>178</v>
      </c>
      <c r="H160" s="36" t="s">
        <v>179</v>
      </c>
      <c r="I160" s="36" t="s">
        <v>180</v>
      </c>
      <c r="J160" s="36">
        <v>1</v>
      </c>
      <c r="K160" s="36" t="s">
        <v>181</v>
      </c>
      <c r="L160" s="36">
        <v>1</v>
      </c>
      <c r="M160" s="36">
        <v>1</v>
      </c>
      <c r="N160" s="38">
        <v>1810393810</v>
      </c>
      <c r="O160" s="44">
        <v>75433075</v>
      </c>
      <c r="P160" s="36">
        <v>24</v>
      </c>
      <c r="Q160" s="36" t="s">
        <v>73</v>
      </c>
      <c r="R160" s="36" t="s">
        <v>182</v>
      </c>
      <c r="S160" s="36" t="s">
        <v>183</v>
      </c>
      <c r="T160" s="36" t="s">
        <v>184</v>
      </c>
      <c r="U160" s="36" t="s">
        <v>185</v>
      </c>
      <c r="V160" s="40">
        <v>45444</v>
      </c>
      <c r="W160" s="40">
        <v>45478</v>
      </c>
      <c r="X160" s="36">
        <v>46</v>
      </c>
      <c r="Y160" s="36" t="s">
        <v>186</v>
      </c>
      <c r="Z160" s="36">
        <v>1</v>
      </c>
      <c r="AA160" s="36">
        <v>75433075</v>
      </c>
      <c r="AB160" s="40">
        <v>46082</v>
      </c>
      <c r="AC160" s="36" t="s">
        <v>2196</v>
      </c>
      <c r="AD160" s="36" t="str">
        <f>VLOOKUP(D160,Oficial!A:C,3,0)</f>
        <v>Arrastre</v>
      </c>
    </row>
    <row r="161" spans="1:30" x14ac:dyDescent="0.25">
      <c r="A161" s="36" t="s">
        <v>27</v>
      </c>
      <c r="B161" s="36" t="s">
        <v>177</v>
      </c>
      <c r="C161" s="36" t="s">
        <v>28</v>
      </c>
      <c r="D161" s="36" t="s">
        <v>177</v>
      </c>
      <c r="E161" s="36" t="s">
        <v>30</v>
      </c>
      <c r="F161" s="36" t="s">
        <v>31</v>
      </c>
      <c r="G161" s="37" t="s">
        <v>178</v>
      </c>
      <c r="H161" s="36" t="s">
        <v>179</v>
      </c>
      <c r="I161" s="36" t="s">
        <v>180</v>
      </c>
      <c r="J161" s="36">
        <v>1</v>
      </c>
      <c r="K161" s="36" t="s">
        <v>181</v>
      </c>
      <c r="L161" s="36">
        <v>1</v>
      </c>
      <c r="M161" s="36">
        <v>1</v>
      </c>
      <c r="N161" s="38">
        <v>1810393810</v>
      </c>
      <c r="O161" s="44">
        <v>75433075</v>
      </c>
      <c r="P161" s="36">
        <v>24</v>
      </c>
      <c r="Q161" s="36" t="s">
        <v>73</v>
      </c>
      <c r="R161" s="36" t="s">
        <v>182</v>
      </c>
      <c r="S161" s="36" t="s">
        <v>183</v>
      </c>
      <c r="T161" s="36" t="s">
        <v>184</v>
      </c>
      <c r="U161" s="36" t="s">
        <v>185</v>
      </c>
      <c r="V161" s="40">
        <v>45444</v>
      </c>
      <c r="W161" s="40">
        <v>45478</v>
      </c>
      <c r="X161" s="36">
        <v>46</v>
      </c>
      <c r="Y161" s="36" t="s">
        <v>186</v>
      </c>
      <c r="Z161" s="36">
        <v>1</v>
      </c>
      <c r="AA161" s="36">
        <v>75433075</v>
      </c>
      <c r="AB161" s="40">
        <v>46023</v>
      </c>
      <c r="AC161" s="36" t="s">
        <v>2196</v>
      </c>
      <c r="AD161" s="36" t="str">
        <f>VLOOKUP(D161,Oficial!A:C,3,0)</f>
        <v>Arrastre</v>
      </c>
    </row>
    <row r="162" spans="1:30" x14ac:dyDescent="0.25">
      <c r="A162" s="36" t="s">
        <v>27</v>
      </c>
      <c r="B162" s="36" t="s">
        <v>177</v>
      </c>
      <c r="C162" s="36" t="s">
        <v>28</v>
      </c>
      <c r="D162" s="36" t="s">
        <v>177</v>
      </c>
      <c r="E162" s="36" t="s">
        <v>30</v>
      </c>
      <c r="F162" s="36" t="s">
        <v>31</v>
      </c>
      <c r="G162" s="37" t="s">
        <v>178</v>
      </c>
      <c r="H162" s="36" t="s">
        <v>179</v>
      </c>
      <c r="I162" s="36" t="s">
        <v>180</v>
      </c>
      <c r="J162" s="36">
        <v>1</v>
      </c>
      <c r="K162" s="36" t="s">
        <v>181</v>
      </c>
      <c r="L162" s="36">
        <v>1</v>
      </c>
      <c r="M162" s="36">
        <v>1</v>
      </c>
      <c r="N162" s="38">
        <v>1810393810</v>
      </c>
      <c r="O162" s="44">
        <v>75433075</v>
      </c>
      <c r="P162" s="36">
        <v>24</v>
      </c>
      <c r="Q162" s="36" t="s">
        <v>73</v>
      </c>
      <c r="R162" s="36" t="s">
        <v>182</v>
      </c>
      <c r="S162" s="36" t="s">
        <v>183</v>
      </c>
      <c r="T162" s="36" t="s">
        <v>184</v>
      </c>
      <c r="U162" s="36" t="s">
        <v>185</v>
      </c>
      <c r="V162" s="40">
        <v>45444</v>
      </c>
      <c r="W162" s="40">
        <v>45478</v>
      </c>
      <c r="X162" s="36">
        <v>46</v>
      </c>
      <c r="Y162" s="36" t="s">
        <v>187</v>
      </c>
      <c r="Z162" s="36">
        <v>1</v>
      </c>
      <c r="AA162" s="36">
        <v>75433075</v>
      </c>
      <c r="AB162" s="40">
        <v>46023</v>
      </c>
      <c r="AC162" s="36" t="s">
        <v>2196</v>
      </c>
      <c r="AD162" s="36" t="str">
        <f>VLOOKUP(D162,Oficial!A:C,3,0)</f>
        <v>Arrastre</v>
      </c>
    </row>
    <row r="163" spans="1:30" x14ac:dyDescent="0.25">
      <c r="A163" s="36" t="s">
        <v>27</v>
      </c>
      <c r="B163" s="36" t="s">
        <v>177</v>
      </c>
      <c r="C163" s="36" t="s">
        <v>28</v>
      </c>
      <c r="D163" s="36" t="s">
        <v>177</v>
      </c>
      <c r="E163" s="36" t="s">
        <v>30</v>
      </c>
      <c r="F163" s="36" t="s">
        <v>31</v>
      </c>
      <c r="G163" s="37" t="s">
        <v>178</v>
      </c>
      <c r="H163" s="36" t="s">
        <v>179</v>
      </c>
      <c r="I163" s="36" t="s">
        <v>180</v>
      </c>
      <c r="J163" s="36">
        <v>1</v>
      </c>
      <c r="K163" s="36" t="s">
        <v>181</v>
      </c>
      <c r="L163" s="36">
        <v>1</v>
      </c>
      <c r="M163" s="36">
        <v>1</v>
      </c>
      <c r="N163" s="38">
        <v>1810393810</v>
      </c>
      <c r="O163" s="44">
        <v>75433075</v>
      </c>
      <c r="P163" s="36">
        <v>24</v>
      </c>
      <c r="Q163" s="36" t="s">
        <v>73</v>
      </c>
      <c r="R163" s="36" t="s">
        <v>182</v>
      </c>
      <c r="S163" s="36" t="s">
        <v>183</v>
      </c>
      <c r="T163" s="36" t="s">
        <v>184</v>
      </c>
      <c r="U163" s="36" t="s">
        <v>185</v>
      </c>
      <c r="V163" s="40">
        <v>45444</v>
      </c>
      <c r="W163" s="40">
        <v>45478</v>
      </c>
      <c r="X163" s="36">
        <v>46</v>
      </c>
      <c r="Y163" s="36" t="s">
        <v>188</v>
      </c>
      <c r="Z163" s="36">
        <v>1</v>
      </c>
      <c r="AA163" s="36">
        <v>75433075</v>
      </c>
      <c r="AB163" s="40">
        <v>46143</v>
      </c>
      <c r="AC163" s="36" t="s">
        <v>2196</v>
      </c>
      <c r="AD163" s="36" t="str">
        <f>VLOOKUP(D163,Oficial!A:C,3,0)</f>
        <v>Arrastre</v>
      </c>
    </row>
    <row r="164" spans="1:30" x14ac:dyDescent="0.25">
      <c r="A164" s="36" t="s">
        <v>27</v>
      </c>
      <c r="B164" s="36" t="s">
        <v>177</v>
      </c>
      <c r="C164" s="36" t="s">
        <v>28</v>
      </c>
      <c r="D164" s="36" t="s">
        <v>177</v>
      </c>
      <c r="E164" s="36" t="s">
        <v>30</v>
      </c>
      <c r="F164" s="36" t="s">
        <v>31</v>
      </c>
      <c r="G164" s="37" t="s">
        <v>178</v>
      </c>
      <c r="H164" s="36" t="s">
        <v>179</v>
      </c>
      <c r="I164" s="36" t="s">
        <v>180</v>
      </c>
      <c r="J164" s="36">
        <v>1</v>
      </c>
      <c r="K164" s="36" t="s">
        <v>181</v>
      </c>
      <c r="L164" s="36">
        <v>1</v>
      </c>
      <c r="M164" s="36">
        <v>1</v>
      </c>
      <c r="N164" s="38">
        <v>1810393810</v>
      </c>
      <c r="O164" s="44">
        <v>75433075</v>
      </c>
      <c r="P164" s="36">
        <v>24</v>
      </c>
      <c r="Q164" s="36" t="s">
        <v>73</v>
      </c>
      <c r="R164" s="36" t="s">
        <v>182</v>
      </c>
      <c r="S164" s="36" t="s">
        <v>183</v>
      </c>
      <c r="T164" s="36" t="s">
        <v>184</v>
      </c>
      <c r="U164" s="36" t="s">
        <v>185</v>
      </c>
      <c r="V164" s="40">
        <v>45444</v>
      </c>
      <c r="W164" s="40">
        <v>45478</v>
      </c>
      <c r="X164" s="36">
        <v>46</v>
      </c>
      <c r="Y164" s="36" t="s">
        <v>186</v>
      </c>
      <c r="Z164" s="36">
        <v>1</v>
      </c>
      <c r="AA164" s="36">
        <v>75433075</v>
      </c>
      <c r="AB164" s="40">
        <v>46204</v>
      </c>
      <c r="AC164" s="36" t="s">
        <v>2196</v>
      </c>
      <c r="AD164" s="36" t="str">
        <f>VLOOKUP(D164,Oficial!A:C,3,0)</f>
        <v>Arrastre</v>
      </c>
    </row>
    <row r="165" spans="1:30" x14ac:dyDescent="0.25">
      <c r="A165" s="36" t="s">
        <v>27</v>
      </c>
      <c r="B165" s="36" t="s">
        <v>177</v>
      </c>
      <c r="C165" s="36" t="s">
        <v>28</v>
      </c>
      <c r="D165" s="36" t="s">
        <v>177</v>
      </c>
      <c r="E165" s="36" t="s">
        <v>30</v>
      </c>
      <c r="F165" s="36" t="s">
        <v>31</v>
      </c>
      <c r="G165" s="37" t="s">
        <v>178</v>
      </c>
      <c r="H165" s="36" t="s">
        <v>179</v>
      </c>
      <c r="I165" s="36" t="s">
        <v>180</v>
      </c>
      <c r="J165" s="36">
        <v>1</v>
      </c>
      <c r="K165" s="36" t="s">
        <v>181</v>
      </c>
      <c r="L165" s="36">
        <v>1</v>
      </c>
      <c r="M165" s="36">
        <v>1</v>
      </c>
      <c r="N165" s="38">
        <v>1810393810</v>
      </c>
      <c r="O165" s="44">
        <v>75433075</v>
      </c>
      <c r="P165" s="36">
        <v>24</v>
      </c>
      <c r="Q165" s="36" t="s">
        <v>73</v>
      </c>
      <c r="R165" s="36" t="s">
        <v>182</v>
      </c>
      <c r="S165" s="36" t="s">
        <v>183</v>
      </c>
      <c r="T165" s="36" t="s">
        <v>184</v>
      </c>
      <c r="U165" s="36" t="s">
        <v>185</v>
      </c>
      <c r="V165" s="40">
        <v>45444</v>
      </c>
      <c r="W165" s="40">
        <v>45478</v>
      </c>
      <c r="X165" s="36">
        <v>46</v>
      </c>
      <c r="Y165" s="36" t="s">
        <v>188</v>
      </c>
      <c r="Z165" s="36">
        <v>1</v>
      </c>
      <c r="AA165" s="36">
        <v>75433075</v>
      </c>
      <c r="AB165" s="40">
        <v>46327</v>
      </c>
      <c r="AC165" s="36" t="s">
        <v>2196</v>
      </c>
      <c r="AD165" s="36" t="str">
        <f>VLOOKUP(D165,Oficial!A:C,3,0)</f>
        <v>Arrastre</v>
      </c>
    </row>
    <row r="166" spans="1:30" x14ac:dyDescent="0.25">
      <c r="A166" s="36" t="s">
        <v>27</v>
      </c>
      <c r="B166" s="36" t="s">
        <v>177</v>
      </c>
      <c r="C166" s="36" t="s">
        <v>28</v>
      </c>
      <c r="D166" s="36" t="s">
        <v>177</v>
      </c>
      <c r="E166" s="36" t="s">
        <v>30</v>
      </c>
      <c r="F166" s="36" t="s">
        <v>31</v>
      </c>
      <c r="G166" s="37" t="s">
        <v>178</v>
      </c>
      <c r="H166" s="36" t="s">
        <v>179</v>
      </c>
      <c r="I166" s="36" t="s">
        <v>180</v>
      </c>
      <c r="J166" s="36">
        <v>1</v>
      </c>
      <c r="K166" s="36" t="s">
        <v>181</v>
      </c>
      <c r="L166" s="36">
        <v>1</v>
      </c>
      <c r="M166" s="36">
        <v>1</v>
      </c>
      <c r="N166" s="38">
        <v>1810393810</v>
      </c>
      <c r="O166" s="44">
        <v>75433075</v>
      </c>
      <c r="P166" s="36">
        <v>24</v>
      </c>
      <c r="Q166" s="36" t="s">
        <v>73</v>
      </c>
      <c r="R166" s="36" t="s">
        <v>182</v>
      </c>
      <c r="S166" s="36" t="s">
        <v>183</v>
      </c>
      <c r="T166" s="36" t="s">
        <v>184</v>
      </c>
      <c r="U166" s="36" t="s">
        <v>185</v>
      </c>
      <c r="V166" s="40">
        <v>45444</v>
      </c>
      <c r="W166" s="40">
        <v>45478</v>
      </c>
      <c r="X166" s="36">
        <v>46</v>
      </c>
      <c r="Y166" s="36" t="s">
        <v>188</v>
      </c>
      <c r="Z166" s="36">
        <v>1</v>
      </c>
      <c r="AA166" s="36">
        <v>75433075</v>
      </c>
      <c r="AB166" s="40">
        <v>46174</v>
      </c>
      <c r="AC166" s="36" t="s">
        <v>2196</v>
      </c>
      <c r="AD166" s="36" t="str">
        <f>VLOOKUP(D166,Oficial!A:C,3,0)</f>
        <v>Arrastre</v>
      </c>
    </row>
    <row r="167" spans="1:30" x14ac:dyDescent="0.25">
      <c r="A167" s="36" t="s">
        <v>27</v>
      </c>
      <c r="B167" s="36" t="s">
        <v>177</v>
      </c>
      <c r="C167" s="36" t="s">
        <v>28</v>
      </c>
      <c r="D167" s="36" t="s">
        <v>177</v>
      </c>
      <c r="E167" s="36" t="s">
        <v>30</v>
      </c>
      <c r="F167" s="36" t="s">
        <v>31</v>
      </c>
      <c r="G167" s="37" t="s">
        <v>178</v>
      </c>
      <c r="H167" s="36" t="s">
        <v>179</v>
      </c>
      <c r="I167" s="36" t="s">
        <v>180</v>
      </c>
      <c r="J167" s="36">
        <v>1</v>
      </c>
      <c r="K167" s="36" t="s">
        <v>181</v>
      </c>
      <c r="L167" s="36">
        <v>1</v>
      </c>
      <c r="M167" s="36">
        <v>1</v>
      </c>
      <c r="N167" s="38">
        <v>1810393810</v>
      </c>
      <c r="O167" s="44">
        <v>75433075</v>
      </c>
      <c r="P167" s="36">
        <v>24</v>
      </c>
      <c r="Q167" s="36" t="s">
        <v>73</v>
      </c>
      <c r="R167" s="36" t="s">
        <v>182</v>
      </c>
      <c r="S167" s="36" t="s">
        <v>183</v>
      </c>
      <c r="T167" s="36" t="s">
        <v>184</v>
      </c>
      <c r="U167" s="36" t="s">
        <v>185</v>
      </c>
      <c r="V167" s="40">
        <v>45444</v>
      </c>
      <c r="W167" s="40">
        <v>45478</v>
      </c>
      <c r="X167" s="36">
        <v>46</v>
      </c>
      <c r="Y167" s="36" t="s">
        <v>189</v>
      </c>
      <c r="Z167" s="36">
        <v>1</v>
      </c>
      <c r="AA167" s="36">
        <v>75433075</v>
      </c>
      <c r="AB167" s="40">
        <v>46174</v>
      </c>
      <c r="AC167" s="36" t="s">
        <v>2196</v>
      </c>
      <c r="AD167" s="36" t="str">
        <f>VLOOKUP(D167,Oficial!A:C,3,0)</f>
        <v>Arrastre</v>
      </c>
    </row>
    <row r="168" spans="1:30" x14ac:dyDescent="0.25">
      <c r="A168" s="36" t="s">
        <v>27</v>
      </c>
      <c r="B168" s="36" t="s">
        <v>177</v>
      </c>
      <c r="C168" s="36" t="s">
        <v>28</v>
      </c>
      <c r="D168" s="36" t="s">
        <v>177</v>
      </c>
      <c r="E168" s="36" t="s">
        <v>30</v>
      </c>
      <c r="F168" s="36" t="s">
        <v>31</v>
      </c>
      <c r="G168" s="37" t="s">
        <v>178</v>
      </c>
      <c r="H168" s="36" t="s">
        <v>179</v>
      </c>
      <c r="I168" s="36" t="s">
        <v>180</v>
      </c>
      <c r="J168" s="36">
        <v>1</v>
      </c>
      <c r="K168" s="36" t="s">
        <v>181</v>
      </c>
      <c r="L168" s="36">
        <v>1</v>
      </c>
      <c r="M168" s="36">
        <v>1</v>
      </c>
      <c r="N168" s="38">
        <v>1810393810</v>
      </c>
      <c r="O168" s="44">
        <v>75433075</v>
      </c>
      <c r="P168" s="36">
        <v>24</v>
      </c>
      <c r="Q168" s="36" t="s">
        <v>73</v>
      </c>
      <c r="R168" s="36" t="s">
        <v>182</v>
      </c>
      <c r="S168" s="36" t="s">
        <v>183</v>
      </c>
      <c r="T168" s="36" t="s">
        <v>184</v>
      </c>
      <c r="U168" s="36" t="s">
        <v>185</v>
      </c>
      <c r="V168" s="40">
        <v>45444</v>
      </c>
      <c r="W168" s="40">
        <v>45478</v>
      </c>
      <c r="X168" s="36">
        <v>46</v>
      </c>
      <c r="Y168" s="36" t="s">
        <v>186</v>
      </c>
      <c r="Z168" s="36">
        <v>1</v>
      </c>
      <c r="AA168" s="36">
        <v>75433075</v>
      </c>
      <c r="AB168" s="40">
        <v>46113</v>
      </c>
      <c r="AC168" s="36" t="s">
        <v>2196</v>
      </c>
      <c r="AD168" s="36" t="str">
        <f>VLOOKUP(D168,Oficial!A:C,3,0)</f>
        <v>Arrastre</v>
      </c>
    </row>
    <row r="169" spans="1:30" x14ac:dyDescent="0.25">
      <c r="A169" s="36" t="s">
        <v>27</v>
      </c>
      <c r="B169" s="36" t="s">
        <v>177</v>
      </c>
      <c r="C169" s="36" t="s">
        <v>28</v>
      </c>
      <c r="D169" s="36" t="s">
        <v>177</v>
      </c>
      <c r="E169" s="36" t="s">
        <v>30</v>
      </c>
      <c r="F169" s="36" t="s">
        <v>31</v>
      </c>
      <c r="G169" s="37" t="s">
        <v>178</v>
      </c>
      <c r="H169" s="36" t="s">
        <v>179</v>
      </c>
      <c r="I169" s="36" t="s">
        <v>180</v>
      </c>
      <c r="J169" s="36">
        <v>1</v>
      </c>
      <c r="K169" s="36" t="s">
        <v>181</v>
      </c>
      <c r="L169" s="36">
        <v>1</v>
      </c>
      <c r="M169" s="36">
        <v>1</v>
      </c>
      <c r="N169" s="38">
        <v>1810393810</v>
      </c>
      <c r="O169" s="44">
        <v>75433085</v>
      </c>
      <c r="P169" s="36">
        <v>24</v>
      </c>
      <c r="Q169" s="36" t="s">
        <v>73</v>
      </c>
      <c r="R169" s="36" t="s">
        <v>182</v>
      </c>
      <c r="S169" s="36" t="s">
        <v>183</v>
      </c>
      <c r="T169" s="36" t="s">
        <v>184</v>
      </c>
      <c r="U169" s="36" t="s">
        <v>185</v>
      </c>
      <c r="V169" s="40">
        <v>45444</v>
      </c>
      <c r="W169" s="40">
        <v>45478</v>
      </c>
      <c r="X169" s="36">
        <v>46</v>
      </c>
      <c r="Y169" s="36" t="s">
        <v>190</v>
      </c>
      <c r="Z169" s="36">
        <v>1</v>
      </c>
      <c r="AA169" s="36">
        <v>75433075</v>
      </c>
      <c r="AB169" s="40">
        <v>46204</v>
      </c>
      <c r="AC169" s="36" t="s">
        <v>2196</v>
      </c>
      <c r="AD169" s="36" t="str">
        <f>VLOOKUP(D169,Oficial!A:C,3,0)</f>
        <v>Arrastre</v>
      </c>
    </row>
    <row r="170" spans="1:30" x14ac:dyDescent="0.25">
      <c r="A170" s="36" t="s">
        <v>27</v>
      </c>
      <c r="B170" s="36" t="s">
        <v>191</v>
      </c>
      <c r="C170" s="36" t="s">
        <v>28</v>
      </c>
      <c r="D170" s="36" t="s">
        <v>191</v>
      </c>
      <c r="E170" s="36" t="s">
        <v>30</v>
      </c>
      <c r="F170" s="36" t="s">
        <v>31</v>
      </c>
      <c r="G170" s="37" t="s">
        <v>192</v>
      </c>
      <c r="H170" s="36" t="s">
        <v>193</v>
      </c>
      <c r="I170" s="36" t="s">
        <v>194</v>
      </c>
      <c r="J170" s="36">
        <v>2</v>
      </c>
      <c r="K170" s="36" t="s">
        <v>195</v>
      </c>
      <c r="L170" s="36">
        <v>4</v>
      </c>
      <c r="M170" s="36">
        <v>159</v>
      </c>
      <c r="N170" s="38">
        <v>2096280</v>
      </c>
      <c r="O170" s="45">
        <v>9258570</v>
      </c>
      <c r="P170" s="36">
        <v>32</v>
      </c>
      <c r="Q170" s="36" t="s">
        <v>196</v>
      </c>
      <c r="R170" s="36" t="s">
        <v>197</v>
      </c>
      <c r="S170" s="36" t="s">
        <v>198</v>
      </c>
      <c r="T170" s="36" t="s">
        <v>199</v>
      </c>
      <c r="U170" s="36" t="s">
        <v>200</v>
      </c>
      <c r="V170" s="40">
        <v>45992</v>
      </c>
      <c r="W170" s="40">
        <v>45889</v>
      </c>
      <c r="X170" s="36">
        <v>0</v>
      </c>
      <c r="Y170" s="36"/>
      <c r="Z170" s="36">
        <v>1</v>
      </c>
      <c r="AA170" s="36">
        <v>9258570</v>
      </c>
      <c r="AB170" s="40">
        <v>46235</v>
      </c>
      <c r="AC170" s="36" t="s">
        <v>2196</v>
      </c>
      <c r="AD170" s="36" t="str">
        <f>VLOOKUP(D170,Oficial!A:C,3,0)</f>
        <v>Arrastre</v>
      </c>
    </row>
    <row r="171" spans="1:30" x14ac:dyDescent="0.25">
      <c r="A171" s="36" t="s">
        <v>27</v>
      </c>
      <c r="B171" s="36" t="s">
        <v>191</v>
      </c>
      <c r="C171" s="36" t="s">
        <v>28</v>
      </c>
      <c r="D171" s="36" t="s">
        <v>191</v>
      </c>
      <c r="E171" s="36" t="s">
        <v>30</v>
      </c>
      <c r="F171" s="36" t="s">
        <v>31</v>
      </c>
      <c r="G171" s="37" t="s">
        <v>192</v>
      </c>
      <c r="H171" s="36" t="s">
        <v>201</v>
      </c>
      <c r="I171" s="36" t="s">
        <v>194</v>
      </c>
      <c r="J171" s="36">
        <v>2</v>
      </c>
      <c r="K171" s="36" t="s">
        <v>195</v>
      </c>
      <c r="L171" s="36">
        <v>4</v>
      </c>
      <c r="M171" s="36">
        <v>159</v>
      </c>
      <c r="N171" s="38">
        <v>2096280</v>
      </c>
      <c r="O171" s="45">
        <v>9258570</v>
      </c>
      <c r="P171" s="36">
        <v>1</v>
      </c>
      <c r="Q171" s="36" t="s">
        <v>196</v>
      </c>
      <c r="R171" s="36" t="s">
        <v>197</v>
      </c>
      <c r="S171" s="36" t="s">
        <v>198</v>
      </c>
      <c r="T171" s="36" t="s">
        <v>199</v>
      </c>
      <c r="U171" s="36" t="s">
        <v>200</v>
      </c>
      <c r="V171" s="40">
        <v>45870</v>
      </c>
      <c r="W171" s="40">
        <v>45889</v>
      </c>
      <c r="X171" s="36">
        <v>0</v>
      </c>
      <c r="Y171" s="36"/>
      <c r="Z171" s="36">
        <v>1</v>
      </c>
      <c r="AA171" s="36">
        <v>9258570</v>
      </c>
      <c r="AB171" s="40">
        <v>46174</v>
      </c>
      <c r="AC171" s="36" t="s">
        <v>2196</v>
      </c>
      <c r="AD171" s="36" t="str">
        <f>VLOOKUP(D171,Oficial!A:C,3,0)</f>
        <v>Arrastre</v>
      </c>
    </row>
    <row r="172" spans="1:30" x14ac:dyDescent="0.25">
      <c r="A172" s="36" t="s">
        <v>27</v>
      </c>
      <c r="B172" s="36" t="s">
        <v>191</v>
      </c>
      <c r="C172" s="36" t="s">
        <v>28</v>
      </c>
      <c r="D172" s="36" t="s">
        <v>191</v>
      </c>
      <c r="E172" s="36" t="s">
        <v>30</v>
      </c>
      <c r="F172" s="36" t="s">
        <v>31</v>
      </c>
      <c r="G172" s="37" t="s">
        <v>192</v>
      </c>
      <c r="H172" s="36" t="s">
        <v>193</v>
      </c>
      <c r="I172" s="36" t="s">
        <v>194</v>
      </c>
      <c r="J172" s="36">
        <v>2</v>
      </c>
      <c r="K172" s="36" t="s">
        <v>195</v>
      </c>
      <c r="L172" s="36">
        <v>4</v>
      </c>
      <c r="M172" s="36">
        <v>159</v>
      </c>
      <c r="N172" s="38">
        <v>2096280</v>
      </c>
      <c r="O172" s="45">
        <v>9258570</v>
      </c>
      <c r="P172" s="36">
        <v>32</v>
      </c>
      <c r="Q172" s="36" t="s">
        <v>196</v>
      </c>
      <c r="R172" s="36" t="s">
        <v>197</v>
      </c>
      <c r="S172" s="36" t="s">
        <v>198</v>
      </c>
      <c r="T172" s="36" t="s">
        <v>199</v>
      </c>
      <c r="U172" s="36" t="s">
        <v>200</v>
      </c>
      <c r="V172" s="40">
        <v>45992</v>
      </c>
      <c r="W172" s="40">
        <v>45889</v>
      </c>
      <c r="X172" s="36">
        <v>0</v>
      </c>
      <c r="Y172" s="36"/>
      <c r="Z172" s="36">
        <v>1</v>
      </c>
      <c r="AA172" s="36">
        <v>9258570</v>
      </c>
      <c r="AB172" s="40">
        <v>46204</v>
      </c>
      <c r="AC172" s="36" t="s">
        <v>2196</v>
      </c>
      <c r="AD172" s="36" t="str">
        <f>VLOOKUP(D172,Oficial!A:C,3,0)</f>
        <v>Arrastre</v>
      </c>
    </row>
    <row r="173" spans="1:30" x14ac:dyDescent="0.25">
      <c r="A173" s="36" t="s">
        <v>27</v>
      </c>
      <c r="B173" s="36" t="s">
        <v>191</v>
      </c>
      <c r="C173" s="36" t="s">
        <v>28</v>
      </c>
      <c r="D173" s="36" t="s">
        <v>191</v>
      </c>
      <c r="E173" s="36" t="s">
        <v>30</v>
      </c>
      <c r="F173" s="36" t="s">
        <v>31</v>
      </c>
      <c r="G173" s="37" t="s">
        <v>192</v>
      </c>
      <c r="H173" s="36" t="s">
        <v>193</v>
      </c>
      <c r="I173" s="36" t="s">
        <v>194</v>
      </c>
      <c r="J173" s="36">
        <v>2</v>
      </c>
      <c r="K173" s="36" t="s">
        <v>195</v>
      </c>
      <c r="L173" s="36">
        <v>4</v>
      </c>
      <c r="M173" s="36">
        <v>159</v>
      </c>
      <c r="N173" s="38">
        <v>2096280</v>
      </c>
      <c r="O173" s="45">
        <v>9258570</v>
      </c>
      <c r="P173" s="36">
        <v>32</v>
      </c>
      <c r="Q173" s="36" t="s">
        <v>196</v>
      </c>
      <c r="R173" s="36" t="s">
        <v>197</v>
      </c>
      <c r="S173" s="36" t="s">
        <v>198</v>
      </c>
      <c r="T173" s="36" t="s">
        <v>199</v>
      </c>
      <c r="U173" s="36" t="s">
        <v>200</v>
      </c>
      <c r="V173" s="40">
        <v>45992</v>
      </c>
      <c r="W173" s="40">
        <v>45889</v>
      </c>
      <c r="X173" s="36">
        <v>0</v>
      </c>
      <c r="Y173" s="36"/>
      <c r="Z173" s="36">
        <v>1</v>
      </c>
      <c r="AA173" s="36">
        <v>9258570</v>
      </c>
      <c r="AB173" s="40">
        <v>46023</v>
      </c>
      <c r="AC173" s="36" t="s">
        <v>2196</v>
      </c>
      <c r="AD173" s="36" t="str">
        <f>VLOOKUP(D173,Oficial!A:C,3,0)</f>
        <v>Arrastre</v>
      </c>
    </row>
    <row r="174" spans="1:30" x14ac:dyDescent="0.25">
      <c r="A174" s="36" t="s">
        <v>27</v>
      </c>
      <c r="B174" s="36" t="s">
        <v>191</v>
      </c>
      <c r="C174" s="36" t="s">
        <v>28</v>
      </c>
      <c r="D174" s="36" t="s">
        <v>191</v>
      </c>
      <c r="E174" s="36" t="s">
        <v>30</v>
      </c>
      <c r="F174" s="36" t="s">
        <v>31</v>
      </c>
      <c r="G174" s="37" t="s">
        <v>192</v>
      </c>
      <c r="H174" s="36" t="s">
        <v>201</v>
      </c>
      <c r="I174" s="36" t="s">
        <v>194</v>
      </c>
      <c r="J174" s="36">
        <v>2</v>
      </c>
      <c r="K174" s="36" t="s">
        <v>195</v>
      </c>
      <c r="L174" s="36">
        <v>4</v>
      </c>
      <c r="M174" s="36">
        <v>159</v>
      </c>
      <c r="N174" s="38">
        <v>2096280</v>
      </c>
      <c r="O174" s="45">
        <v>9258570</v>
      </c>
      <c r="P174" s="36">
        <v>1</v>
      </c>
      <c r="Q174" s="36" t="s">
        <v>196</v>
      </c>
      <c r="R174" s="36" t="s">
        <v>197</v>
      </c>
      <c r="S174" s="36" t="s">
        <v>198</v>
      </c>
      <c r="T174" s="36" t="s">
        <v>199</v>
      </c>
      <c r="U174" s="36" t="s">
        <v>200</v>
      </c>
      <c r="V174" s="40">
        <v>45870</v>
      </c>
      <c r="W174" s="40">
        <v>45889</v>
      </c>
      <c r="X174" s="36">
        <v>0</v>
      </c>
      <c r="Y174" s="36"/>
      <c r="Z174" s="36">
        <v>1</v>
      </c>
      <c r="AA174" s="36">
        <v>9258570</v>
      </c>
      <c r="AB174" s="40">
        <v>46023</v>
      </c>
      <c r="AC174" s="36" t="s">
        <v>2196</v>
      </c>
      <c r="AD174" s="36" t="str">
        <f>VLOOKUP(D174,Oficial!A:C,3,0)</f>
        <v>Arrastre</v>
      </c>
    </row>
    <row r="175" spans="1:30" x14ac:dyDescent="0.25">
      <c r="A175" s="36" t="s">
        <v>27</v>
      </c>
      <c r="B175" s="36" t="s">
        <v>191</v>
      </c>
      <c r="C175" s="36" t="s">
        <v>28</v>
      </c>
      <c r="D175" s="36" t="s">
        <v>191</v>
      </c>
      <c r="E175" s="36" t="s">
        <v>30</v>
      </c>
      <c r="F175" s="36" t="s">
        <v>31</v>
      </c>
      <c r="G175" s="37" t="s">
        <v>192</v>
      </c>
      <c r="H175" s="36" t="s">
        <v>201</v>
      </c>
      <c r="I175" s="36" t="s">
        <v>194</v>
      </c>
      <c r="J175" s="36">
        <v>2</v>
      </c>
      <c r="K175" s="36" t="s">
        <v>195</v>
      </c>
      <c r="L175" s="36">
        <v>4</v>
      </c>
      <c r="M175" s="36">
        <v>159</v>
      </c>
      <c r="N175" s="38">
        <v>2096280</v>
      </c>
      <c r="O175" s="45">
        <v>9258570</v>
      </c>
      <c r="P175" s="36">
        <v>1</v>
      </c>
      <c r="Q175" s="36" t="s">
        <v>196</v>
      </c>
      <c r="R175" s="36" t="s">
        <v>197</v>
      </c>
      <c r="S175" s="36" t="s">
        <v>198</v>
      </c>
      <c r="T175" s="36" t="s">
        <v>199</v>
      </c>
      <c r="U175" s="36" t="s">
        <v>200</v>
      </c>
      <c r="V175" s="40">
        <v>45870</v>
      </c>
      <c r="W175" s="40">
        <v>45889</v>
      </c>
      <c r="X175" s="36">
        <v>0</v>
      </c>
      <c r="Y175" s="36"/>
      <c r="Z175" s="36">
        <v>1</v>
      </c>
      <c r="AA175" s="36">
        <v>9258570</v>
      </c>
      <c r="AB175" s="40">
        <v>46143</v>
      </c>
      <c r="AC175" s="36" t="s">
        <v>2196</v>
      </c>
      <c r="AD175" s="36" t="str">
        <f>VLOOKUP(D175,Oficial!A:C,3,0)</f>
        <v>Arrastre</v>
      </c>
    </row>
    <row r="176" spans="1:30" x14ac:dyDescent="0.25">
      <c r="A176" s="36" t="s">
        <v>27</v>
      </c>
      <c r="B176" s="36" t="s">
        <v>191</v>
      </c>
      <c r="C176" s="36" t="s">
        <v>28</v>
      </c>
      <c r="D176" s="36" t="s">
        <v>191</v>
      </c>
      <c r="E176" s="36" t="s">
        <v>30</v>
      </c>
      <c r="F176" s="36" t="s">
        <v>31</v>
      </c>
      <c r="G176" s="37" t="s">
        <v>192</v>
      </c>
      <c r="H176" s="36" t="s">
        <v>201</v>
      </c>
      <c r="I176" s="36" t="s">
        <v>194</v>
      </c>
      <c r="J176" s="36">
        <v>2</v>
      </c>
      <c r="K176" s="36" t="s">
        <v>195</v>
      </c>
      <c r="L176" s="36">
        <v>4</v>
      </c>
      <c r="M176" s="36">
        <v>159</v>
      </c>
      <c r="N176" s="38">
        <v>2096280</v>
      </c>
      <c r="O176" s="45">
        <v>9258570</v>
      </c>
      <c r="P176" s="36">
        <v>1</v>
      </c>
      <c r="Q176" s="36" t="s">
        <v>196</v>
      </c>
      <c r="R176" s="36" t="s">
        <v>197</v>
      </c>
      <c r="S176" s="36" t="s">
        <v>198</v>
      </c>
      <c r="T176" s="36" t="s">
        <v>199</v>
      </c>
      <c r="U176" s="36" t="s">
        <v>200</v>
      </c>
      <c r="V176" s="40">
        <v>45870</v>
      </c>
      <c r="W176" s="40">
        <v>45889</v>
      </c>
      <c r="X176" s="36">
        <v>0</v>
      </c>
      <c r="Y176" s="36"/>
      <c r="Z176" s="36">
        <v>1</v>
      </c>
      <c r="AA176" s="36">
        <v>9258570</v>
      </c>
      <c r="AB176" s="40">
        <v>46113</v>
      </c>
      <c r="AC176" s="36" t="s">
        <v>2196</v>
      </c>
      <c r="AD176" s="36" t="str">
        <f>VLOOKUP(D176,Oficial!A:C,3,0)</f>
        <v>Arrastre</v>
      </c>
    </row>
    <row r="177" spans="1:30" x14ac:dyDescent="0.25">
      <c r="A177" s="36" t="s">
        <v>27</v>
      </c>
      <c r="B177" s="36" t="s">
        <v>191</v>
      </c>
      <c r="C177" s="36" t="s">
        <v>28</v>
      </c>
      <c r="D177" s="36" t="s">
        <v>191</v>
      </c>
      <c r="E177" s="36" t="s">
        <v>30</v>
      </c>
      <c r="F177" s="36" t="s">
        <v>31</v>
      </c>
      <c r="G177" s="37" t="s">
        <v>192</v>
      </c>
      <c r="H177" s="36" t="s">
        <v>201</v>
      </c>
      <c r="I177" s="36" t="s">
        <v>194</v>
      </c>
      <c r="J177" s="36">
        <v>2</v>
      </c>
      <c r="K177" s="36" t="s">
        <v>195</v>
      </c>
      <c r="L177" s="36">
        <v>4</v>
      </c>
      <c r="M177" s="36">
        <v>159</v>
      </c>
      <c r="N177" s="38">
        <v>2096280</v>
      </c>
      <c r="O177" s="45">
        <v>9258570</v>
      </c>
      <c r="P177" s="36">
        <v>1</v>
      </c>
      <c r="Q177" s="36" t="s">
        <v>196</v>
      </c>
      <c r="R177" s="36" t="s">
        <v>197</v>
      </c>
      <c r="S177" s="36" t="s">
        <v>198</v>
      </c>
      <c r="T177" s="36" t="s">
        <v>199</v>
      </c>
      <c r="U177" s="36" t="s">
        <v>200</v>
      </c>
      <c r="V177" s="40">
        <v>45870</v>
      </c>
      <c r="W177" s="40">
        <v>45889</v>
      </c>
      <c r="X177" s="36">
        <v>0</v>
      </c>
      <c r="Y177" s="36"/>
      <c r="Z177" s="36">
        <v>1</v>
      </c>
      <c r="AA177" s="36">
        <v>9258570</v>
      </c>
      <c r="AB177" s="40">
        <v>46357</v>
      </c>
      <c r="AC177" s="36" t="s">
        <v>2196</v>
      </c>
      <c r="AD177" s="36" t="str">
        <f>VLOOKUP(D177,Oficial!A:C,3,0)</f>
        <v>Arrastre</v>
      </c>
    </row>
    <row r="178" spans="1:30" x14ac:dyDescent="0.25">
      <c r="A178" s="36" t="s">
        <v>27</v>
      </c>
      <c r="B178" s="36" t="s">
        <v>191</v>
      </c>
      <c r="C178" s="36" t="s">
        <v>28</v>
      </c>
      <c r="D178" s="36" t="s">
        <v>191</v>
      </c>
      <c r="E178" s="36" t="s">
        <v>30</v>
      </c>
      <c r="F178" s="36" t="s">
        <v>31</v>
      </c>
      <c r="G178" s="37" t="s">
        <v>192</v>
      </c>
      <c r="H178" s="36" t="s">
        <v>201</v>
      </c>
      <c r="I178" s="36" t="s">
        <v>194</v>
      </c>
      <c r="J178" s="36">
        <v>2</v>
      </c>
      <c r="K178" s="36" t="s">
        <v>195</v>
      </c>
      <c r="L178" s="36">
        <v>4</v>
      </c>
      <c r="M178" s="36">
        <v>159</v>
      </c>
      <c r="N178" s="38">
        <v>2096280</v>
      </c>
      <c r="O178" s="45">
        <v>9258570</v>
      </c>
      <c r="P178" s="36">
        <v>1</v>
      </c>
      <c r="Q178" s="36" t="s">
        <v>196</v>
      </c>
      <c r="R178" s="36" t="s">
        <v>197</v>
      </c>
      <c r="S178" s="36" t="s">
        <v>198</v>
      </c>
      <c r="T178" s="36" t="s">
        <v>199</v>
      </c>
      <c r="U178" s="36" t="s">
        <v>200</v>
      </c>
      <c r="V178" s="40">
        <v>45870</v>
      </c>
      <c r="W178" s="40">
        <v>45889</v>
      </c>
      <c r="X178" s="36">
        <v>0</v>
      </c>
      <c r="Y178" s="36"/>
      <c r="Z178" s="36">
        <v>1</v>
      </c>
      <c r="AA178" s="36">
        <v>9258570</v>
      </c>
      <c r="AB178" s="40">
        <v>46082</v>
      </c>
      <c r="AC178" s="36" t="s">
        <v>2196</v>
      </c>
      <c r="AD178" s="36" t="str">
        <f>VLOOKUP(D178,Oficial!A:C,3,0)</f>
        <v>Arrastre</v>
      </c>
    </row>
    <row r="179" spans="1:30" x14ac:dyDescent="0.25">
      <c r="A179" s="36" t="s">
        <v>27</v>
      </c>
      <c r="B179" s="36" t="s">
        <v>191</v>
      </c>
      <c r="C179" s="36" t="s">
        <v>28</v>
      </c>
      <c r="D179" s="36" t="s">
        <v>191</v>
      </c>
      <c r="E179" s="36" t="s">
        <v>30</v>
      </c>
      <c r="F179" s="36" t="s">
        <v>31</v>
      </c>
      <c r="G179" s="37" t="s">
        <v>192</v>
      </c>
      <c r="H179" s="36" t="s">
        <v>201</v>
      </c>
      <c r="I179" s="36" t="s">
        <v>194</v>
      </c>
      <c r="J179" s="36">
        <v>2</v>
      </c>
      <c r="K179" s="36" t="s">
        <v>195</v>
      </c>
      <c r="L179" s="36">
        <v>4</v>
      </c>
      <c r="M179" s="36">
        <v>159</v>
      </c>
      <c r="N179" s="38">
        <v>2096280</v>
      </c>
      <c r="O179" s="45">
        <v>9258570</v>
      </c>
      <c r="P179" s="36">
        <v>1</v>
      </c>
      <c r="Q179" s="36" t="s">
        <v>196</v>
      </c>
      <c r="R179" s="36" t="s">
        <v>197</v>
      </c>
      <c r="S179" s="36" t="s">
        <v>198</v>
      </c>
      <c r="T179" s="36" t="s">
        <v>199</v>
      </c>
      <c r="U179" s="36" t="s">
        <v>200</v>
      </c>
      <c r="V179" s="40">
        <v>45870</v>
      </c>
      <c r="W179" s="40">
        <v>45889</v>
      </c>
      <c r="X179" s="36">
        <v>0</v>
      </c>
      <c r="Y179" s="36"/>
      <c r="Z179" s="36">
        <v>1</v>
      </c>
      <c r="AA179" s="36">
        <v>9258570</v>
      </c>
      <c r="AB179" s="40">
        <v>46054</v>
      </c>
      <c r="AC179" s="36" t="s">
        <v>2196</v>
      </c>
      <c r="AD179" s="36" t="str">
        <f>VLOOKUP(D179,Oficial!A:C,3,0)</f>
        <v>Arrastre</v>
      </c>
    </row>
    <row r="180" spans="1:30" x14ac:dyDescent="0.25">
      <c r="A180" s="36" t="s">
        <v>27</v>
      </c>
      <c r="B180" s="36" t="s">
        <v>191</v>
      </c>
      <c r="C180" s="36" t="s">
        <v>28</v>
      </c>
      <c r="D180" s="36" t="s">
        <v>191</v>
      </c>
      <c r="E180" s="36" t="s">
        <v>30</v>
      </c>
      <c r="F180" s="36" t="s">
        <v>31</v>
      </c>
      <c r="G180" s="37" t="s">
        <v>192</v>
      </c>
      <c r="H180" s="36" t="s">
        <v>193</v>
      </c>
      <c r="I180" s="36" t="s">
        <v>194</v>
      </c>
      <c r="J180" s="36">
        <v>2</v>
      </c>
      <c r="K180" s="36" t="s">
        <v>195</v>
      </c>
      <c r="L180" s="36">
        <v>4</v>
      </c>
      <c r="M180" s="36">
        <v>159</v>
      </c>
      <c r="N180" s="38">
        <v>2096280</v>
      </c>
      <c r="O180" s="45">
        <v>9258570</v>
      </c>
      <c r="P180" s="36">
        <v>32</v>
      </c>
      <c r="Q180" s="36" t="s">
        <v>196</v>
      </c>
      <c r="R180" s="36" t="s">
        <v>197</v>
      </c>
      <c r="S180" s="36" t="s">
        <v>198</v>
      </c>
      <c r="T180" s="36" t="s">
        <v>199</v>
      </c>
      <c r="U180" s="36" t="s">
        <v>200</v>
      </c>
      <c r="V180" s="40">
        <v>45992</v>
      </c>
      <c r="W180" s="40">
        <v>45889</v>
      </c>
      <c r="X180" s="36">
        <v>0</v>
      </c>
      <c r="Y180" s="36"/>
      <c r="Z180" s="36">
        <v>1</v>
      </c>
      <c r="AA180" s="36">
        <v>9258570</v>
      </c>
      <c r="AB180" s="40">
        <v>46266</v>
      </c>
      <c r="AC180" s="36" t="s">
        <v>2196</v>
      </c>
      <c r="AD180" s="36" t="str">
        <f>VLOOKUP(D180,Oficial!A:C,3,0)</f>
        <v>Arrastre</v>
      </c>
    </row>
    <row r="181" spans="1:30" x14ac:dyDescent="0.25">
      <c r="A181" s="36" t="s">
        <v>27</v>
      </c>
      <c r="B181" s="36" t="s">
        <v>191</v>
      </c>
      <c r="C181" s="36" t="s">
        <v>28</v>
      </c>
      <c r="D181" s="36" t="s">
        <v>191</v>
      </c>
      <c r="E181" s="36" t="s">
        <v>30</v>
      </c>
      <c r="F181" s="36" t="s">
        <v>31</v>
      </c>
      <c r="G181" s="37" t="s">
        <v>192</v>
      </c>
      <c r="H181" s="36" t="s">
        <v>201</v>
      </c>
      <c r="I181" s="36" t="s">
        <v>194</v>
      </c>
      <c r="J181" s="36">
        <v>2</v>
      </c>
      <c r="K181" s="36" t="s">
        <v>195</v>
      </c>
      <c r="L181" s="36">
        <v>4</v>
      </c>
      <c r="M181" s="36">
        <v>159</v>
      </c>
      <c r="N181" s="38">
        <v>2096280</v>
      </c>
      <c r="O181" s="45">
        <v>9258570</v>
      </c>
      <c r="P181" s="36">
        <v>1</v>
      </c>
      <c r="Q181" s="36" t="s">
        <v>196</v>
      </c>
      <c r="R181" s="36" t="s">
        <v>197</v>
      </c>
      <c r="S181" s="36" t="s">
        <v>198</v>
      </c>
      <c r="T181" s="36" t="s">
        <v>199</v>
      </c>
      <c r="U181" s="36" t="s">
        <v>200</v>
      </c>
      <c r="V181" s="40">
        <v>45870</v>
      </c>
      <c r="W181" s="40">
        <v>45889</v>
      </c>
      <c r="X181" s="36">
        <v>0</v>
      </c>
      <c r="Y181" s="36"/>
      <c r="Z181" s="36">
        <v>1</v>
      </c>
      <c r="AA181" s="36">
        <v>9258570</v>
      </c>
      <c r="AB181" s="40">
        <v>46327</v>
      </c>
      <c r="AC181" s="36" t="s">
        <v>2196</v>
      </c>
      <c r="AD181" s="36" t="str">
        <f>VLOOKUP(D181,Oficial!A:C,3,0)</f>
        <v>Arrastre</v>
      </c>
    </row>
    <row r="182" spans="1:30" x14ac:dyDescent="0.25">
      <c r="A182" s="36" t="s">
        <v>27</v>
      </c>
      <c r="B182" s="36" t="s">
        <v>202</v>
      </c>
      <c r="C182" s="36" t="s">
        <v>28</v>
      </c>
      <c r="D182" s="36" t="s">
        <v>202</v>
      </c>
      <c r="E182" s="36" t="s">
        <v>30</v>
      </c>
      <c r="F182" s="36" t="s">
        <v>31</v>
      </c>
      <c r="G182" s="37" t="s">
        <v>129</v>
      </c>
      <c r="H182" s="36" t="s">
        <v>203</v>
      </c>
      <c r="I182" s="36" t="s">
        <v>204</v>
      </c>
      <c r="J182" s="36">
        <v>2</v>
      </c>
      <c r="K182" s="36" t="s">
        <v>205</v>
      </c>
      <c r="L182" s="36">
        <v>4</v>
      </c>
      <c r="M182" s="36">
        <v>54</v>
      </c>
      <c r="N182" s="38">
        <v>1953705</v>
      </c>
      <c r="O182" s="44">
        <v>5861115</v>
      </c>
      <c r="P182" s="36">
        <v>18</v>
      </c>
      <c r="Q182" s="36" t="s">
        <v>206</v>
      </c>
      <c r="R182" s="36" t="s">
        <v>182</v>
      </c>
      <c r="S182" s="36" t="s">
        <v>207</v>
      </c>
      <c r="T182" s="36" t="s">
        <v>208</v>
      </c>
      <c r="U182" s="36" t="s">
        <v>185</v>
      </c>
      <c r="V182" s="40">
        <v>45658</v>
      </c>
      <c r="W182" s="40">
        <v>45889</v>
      </c>
      <c r="X182" s="36">
        <v>16</v>
      </c>
      <c r="Y182" s="36" t="s">
        <v>209</v>
      </c>
      <c r="Z182" s="36">
        <v>1</v>
      </c>
      <c r="AA182" s="36">
        <v>5861115</v>
      </c>
      <c r="AB182" s="40">
        <v>46023</v>
      </c>
      <c r="AC182" s="36" t="s">
        <v>2196</v>
      </c>
      <c r="AD182" s="36" t="str">
        <f>VLOOKUP(D182,Oficial!A:C,3,0)</f>
        <v>Arrastre</v>
      </c>
    </row>
    <row r="183" spans="1:30" x14ac:dyDescent="0.25">
      <c r="A183" s="36" t="s">
        <v>27</v>
      </c>
      <c r="B183" s="36" t="s">
        <v>202</v>
      </c>
      <c r="C183" s="36" t="s">
        <v>28</v>
      </c>
      <c r="D183" s="36" t="s">
        <v>202</v>
      </c>
      <c r="E183" s="36" t="s">
        <v>30</v>
      </c>
      <c r="F183" s="36" t="s">
        <v>31</v>
      </c>
      <c r="G183" s="37" t="s">
        <v>129</v>
      </c>
      <c r="H183" s="36" t="s">
        <v>203</v>
      </c>
      <c r="I183" s="36" t="s">
        <v>204</v>
      </c>
      <c r="J183" s="36">
        <v>2</v>
      </c>
      <c r="K183" s="36" t="s">
        <v>205</v>
      </c>
      <c r="L183" s="36">
        <v>4</v>
      </c>
      <c r="M183" s="36">
        <v>54</v>
      </c>
      <c r="N183" s="38">
        <v>1953705</v>
      </c>
      <c r="O183" s="44">
        <v>5861115</v>
      </c>
      <c r="P183" s="36">
        <v>18</v>
      </c>
      <c r="Q183" s="36" t="s">
        <v>206</v>
      </c>
      <c r="R183" s="36" t="s">
        <v>182</v>
      </c>
      <c r="S183" s="36" t="s">
        <v>207</v>
      </c>
      <c r="T183" s="36" t="s">
        <v>208</v>
      </c>
      <c r="U183" s="36" t="s">
        <v>185</v>
      </c>
      <c r="V183" s="40">
        <v>45658</v>
      </c>
      <c r="W183" s="40">
        <v>45889</v>
      </c>
      <c r="X183" s="36">
        <v>16</v>
      </c>
      <c r="Y183" s="36" t="s">
        <v>210</v>
      </c>
      <c r="Z183" s="36">
        <v>1</v>
      </c>
      <c r="AA183" s="36">
        <v>5861115</v>
      </c>
      <c r="AB183" s="40">
        <v>46023</v>
      </c>
      <c r="AC183" s="36" t="s">
        <v>2196</v>
      </c>
      <c r="AD183" s="36" t="str">
        <f>VLOOKUP(D183,Oficial!A:C,3,0)</f>
        <v>Arrastre</v>
      </c>
    </row>
    <row r="184" spans="1:30" x14ac:dyDescent="0.25">
      <c r="A184" s="36" t="s">
        <v>27</v>
      </c>
      <c r="B184" s="36" t="s">
        <v>202</v>
      </c>
      <c r="C184" s="36" t="s">
        <v>28</v>
      </c>
      <c r="D184" s="36" t="s">
        <v>202</v>
      </c>
      <c r="E184" s="36" t="s">
        <v>30</v>
      </c>
      <c r="F184" s="36" t="s">
        <v>31</v>
      </c>
      <c r="G184" s="37" t="s">
        <v>129</v>
      </c>
      <c r="H184" s="36" t="s">
        <v>203</v>
      </c>
      <c r="I184" s="36" t="s">
        <v>204</v>
      </c>
      <c r="J184" s="36">
        <v>2</v>
      </c>
      <c r="K184" s="36" t="s">
        <v>205</v>
      </c>
      <c r="L184" s="36">
        <v>4</v>
      </c>
      <c r="M184" s="36">
        <v>54</v>
      </c>
      <c r="N184" s="38">
        <v>1953705</v>
      </c>
      <c r="O184" s="44">
        <v>5861115</v>
      </c>
      <c r="P184" s="36">
        <v>18</v>
      </c>
      <c r="Q184" s="36" t="s">
        <v>206</v>
      </c>
      <c r="R184" s="36" t="s">
        <v>182</v>
      </c>
      <c r="S184" s="36" t="s">
        <v>207</v>
      </c>
      <c r="T184" s="36" t="s">
        <v>208</v>
      </c>
      <c r="U184" s="36" t="s">
        <v>185</v>
      </c>
      <c r="V184" s="40">
        <v>45658</v>
      </c>
      <c r="W184" s="40">
        <v>45889</v>
      </c>
      <c r="X184" s="36">
        <v>16</v>
      </c>
      <c r="Y184" s="36" t="s">
        <v>211</v>
      </c>
      <c r="Z184" s="36">
        <v>1</v>
      </c>
      <c r="AA184" s="36">
        <v>5861115</v>
      </c>
      <c r="AB184" s="40">
        <v>46023</v>
      </c>
      <c r="AC184" s="36" t="s">
        <v>2196</v>
      </c>
      <c r="AD184" s="36" t="str">
        <f>VLOOKUP(D184,Oficial!A:C,3,0)</f>
        <v>Arrastre</v>
      </c>
    </row>
    <row r="185" spans="1:30" x14ac:dyDescent="0.25">
      <c r="A185" s="36" t="s">
        <v>27</v>
      </c>
      <c r="B185" s="36" t="s">
        <v>202</v>
      </c>
      <c r="C185" s="36" t="s">
        <v>28</v>
      </c>
      <c r="D185" s="36" t="s">
        <v>202</v>
      </c>
      <c r="E185" s="36" t="s">
        <v>30</v>
      </c>
      <c r="F185" s="36" t="s">
        <v>31</v>
      </c>
      <c r="G185" s="37" t="s">
        <v>129</v>
      </c>
      <c r="H185" s="36" t="s">
        <v>203</v>
      </c>
      <c r="I185" s="36" t="s">
        <v>204</v>
      </c>
      <c r="J185" s="36">
        <v>2</v>
      </c>
      <c r="K185" s="36" t="s">
        <v>205</v>
      </c>
      <c r="L185" s="36">
        <v>4</v>
      </c>
      <c r="M185" s="36">
        <v>54</v>
      </c>
      <c r="N185" s="38">
        <v>1953705</v>
      </c>
      <c r="O185" s="44">
        <v>5861115</v>
      </c>
      <c r="P185" s="36">
        <v>18</v>
      </c>
      <c r="Q185" s="36" t="s">
        <v>206</v>
      </c>
      <c r="R185" s="36" t="s">
        <v>182</v>
      </c>
      <c r="S185" s="36" t="s">
        <v>207</v>
      </c>
      <c r="T185" s="36" t="s">
        <v>208</v>
      </c>
      <c r="U185" s="36" t="s">
        <v>185</v>
      </c>
      <c r="V185" s="40">
        <v>45658</v>
      </c>
      <c r="W185" s="40">
        <v>45889</v>
      </c>
      <c r="X185" s="36">
        <v>16</v>
      </c>
      <c r="Y185" s="36" t="s">
        <v>209</v>
      </c>
      <c r="Z185" s="36">
        <v>1</v>
      </c>
      <c r="AA185" s="36">
        <v>5861115</v>
      </c>
      <c r="AB185" s="40">
        <v>46143</v>
      </c>
      <c r="AC185" s="36" t="s">
        <v>2196</v>
      </c>
      <c r="AD185" s="36" t="str">
        <f>VLOOKUP(D185,Oficial!A:C,3,0)</f>
        <v>Arrastre</v>
      </c>
    </row>
    <row r="186" spans="1:30" x14ac:dyDescent="0.25">
      <c r="A186" s="36" t="s">
        <v>27</v>
      </c>
      <c r="B186" s="36" t="s">
        <v>202</v>
      </c>
      <c r="C186" s="36" t="s">
        <v>28</v>
      </c>
      <c r="D186" s="36" t="s">
        <v>202</v>
      </c>
      <c r="E186" s="36" t="s">
        <v>30</v>
      </c>
      <c r="F186" s="36" t="s">
        <v>31</v>
      </c>
      <c r="G186" s="37" t="s">
        <v>129</v>
      </c>
      <c r="H186" s="36" t="s">
        <v>203</v>
      </c>
      <c r="I186" s="36" t="s">
        <v>204</v>
      </c>
      <c r="J186" s="36">
        <v>2</v>
      </c>
      <c r="K186" s="36" t="s">
        <v>205</v>
      </c>
      <c r="L186" s="36">
        <v>4</v>
      </c>
      <c r="M186" s="36">
        <v>54</v>
      </c>
      <c r="N186" s="38">
        <v>1953705</v>
      </c>
      <c r="O186" s="44">
        <v>5861115</v>
      </c>
      <c r="P186" s="36">
        <v>18</v>
      </c>
      <c r="Q186" s="36" t="s">
        <v>206</v>
      </c>
      <c r="R186" s="36" t="s">
        <v>182</v>
      </c>
      <c r="S186" s="36" t="s">
        <v>207</v>
      </c>
      <c r="T186" s="36" t="s">
        <v>208</v>
      </c>
      <c r="U186" s="36" t="s">
        <v>185</v>
      </c>
      <c r="V186" s="40">
        <v>45658</v>
      </c>
      <c r="W186" s="40">
        <v>45889</v>
      </c>
      <c r="X186" s="36">
        <v>16</v>
      </c>
      <c r="Y186" s="36" t="s">
        <v>211</v>
      </c>
      <c r="Z186" s="36">
        <v>1</v>
      </c>
      <c r="AA186" s="36">
        <v>5861115</v>
      </c>
      <c r="AB186" s="40">
        <v>46054</v>
      </c>
      <c r="AC186" s="36" t="s">
        <v>2196</v>
      </c>
      <c r="AD186" s="36" t="str">
        <f>VLOOKUP(D186,Oficial!A:C,3,0)</f>
        <v>Arrastre</v>
      </c>
    </row>
    <row r="187" spans="1:30" x14ac:dyDescent="0.25">
      <c r="A187" s="36" t="s">
        <v>27</v>
      </c>
      <c r="B187" s="36" t="s">
        <v>202</v>
      </c>
      <c r="C187" s="36" t="s">
        <v>28</v>
      </c>
      <c r="D187" s="36" t="s">
        <v>202</v>
      </c>
      <c r="E187" s="36" t="s">
        <v>30</v>
      </c>
      <c r="F187" s="36" t="s">
        <v>31</v>
      </c>
      <c r="G187" s="37" t="s">
        <v>129</v>
      </c>
      <c r="H187" s="36" t="s">
        <v>203</v>
      </c>
      <c r="I187" s="36" t="s">
        <v>204</v>
      </c>
      <c r="J187" s="36">
        <v>2</v>
      </c>
      <c r="K187" s="36" t="s">
        <v>205</v>
      </c>
      <c r="L187" s="36">
        <v>4</v>
      </c>
      <c r="M187" s="36">
        <v>54</v>
      </c>
      <c r="N187" s="38">
        <v>1953705</v>
      </c>
      <c r="O187" s="44">
        <v>5861115</v>
      </c>
      <c r="P187" s="36">
        <v>18</v>
      </c>
      <c r="Q187" s="36" t="s">
        <v>206</v>
      </c>
      <c r="R187" s="36" t="s">
        <v>182</v>
      </c>
      <c r="S187" s="36" t="s">
        <v>207</v>
      </c>
      <c r="T187" s="36" t="s">
        <v>208</v>
      </c>
      <c r="U187" s="36" t="s">
        <v>185</v>
      </c>
      <c r="V187" s="40">
        <v>45658</v>
      </c>
      <c r="W187" s="40">
        <v>45889</v>
      </c>
      <c r="X187" s="36">
        <v>16</v>
      </c>
      <c r="Y187" s="36" t="s">
        <v>212</v>
      </c>
      <c r="Z187" s="36">
        <v>1</v>
      </c>
      <c r="AA187" s="36">
        <v>5861115</v>
      </c>
      <c r="AB187" s="40">
        <v>46357</v>
      </c>
      <c r="AC187" s="36" t="s">
        <v>2196</v>
      </c>
      <c r="AD187" s="36" t="str">
        <f>VLOOKUP(D187,Oficial!A:C,3,0)</f>
        <v>Arrastre</v>
      </c>
    </row>
    <row r="188" spans="1:30" x14ac:dyDescent="0.25">
      <c r="A188" s="36" t="s">
        <v>27</v>
      </c>
      <c r="B188" s="36" t="s">
        <v>202</v>
      </c>
      <c r="C188" s="36" t="s">
        <v>28</v>
      </c>
      <c r="D188" s="36" t="s">
        <v>202</v>
      </c>
      <c r="E188" s="36" t="s">
        <v>30</v>
      </c>
      <c r="F188" s="36" t="s">
        <v>31</v>
      </c>
      <c r="G188" s="37" t="s">
        <v>129</v>
      </c>
      <c r="H188" s="36" t="s">
        <v>203</v>
      </c>
      <c r="I188" s="36" t="s">
        <v>204</v>
      </c>
      <c r="J188" s="36">
        <v>2</v>
      </c>
      <c r="K188" s="36" t="s">
        <v>205</v>
      </c>
      <c r="L188" s="36">
        <v>4</v>
      </c>
      <c r="M188" s="36">
        <v>54</v>
      </c>
      <c r="N188" s="38">
        <v>1953705</v>
      </c>
      <c r="O188" s="44">
        <v>5861115</v>
      </c>
      <c r="P188" s="36">
        <v>18</v>
      </c>
      <c r="Q188" s="36" t="s">
        <v>206</v>
      </c>
      <c r="R188" s="36" t="s">
        <v>182</v>
      </c>
      <c r="S188" s="36" t="s">
        <v>207</v>
      </c>
      <c r="T188" s="36" t="s">
        <v>208</v>
      </c>
      <c r="U188" s="36" t="s">
        <v>185</v>
      </c>
      <c r="V188" s="40">
        <v>45658</v>
      </c>
      <c r="W188" s="40">
        <v>45889</v>
      </c>
      <c r="X188" s="36">
        <v>16</v>
      </c>
      <c r="Y188" s="36" t="s">
        <v>209</v>
      </c>
      <c r="Z188" s="36">
        <v>1</v>
      </c>
      <c r="AA188" s="36">
        <v>5861115</v>
      </c>
      <c r="AB188" s="40">
        <v>46113</v>
      </c>
      <c r="AC188" s="36" t="s">
        <v>2196</v>
      </c>
      <c r="AD188" s="36" t="str">
        <f>VLOOKUP(D188,Oficial!A:C,3,0)</f>
        <v>Arrastre</v>
      </c>
    </row>
    <row r="189" spans="1:30" x14ac:dyDescent="0.25">
      <c r="A189" s="36" t="s">
        <v>27</v>
      </c>
      <c r="B189" s="36" t="s">
        <v>202</v>
      </c>
      <c r="C189" s="36" t="s">
        <v>28</v>
      </c>
      <c r="D189" s="36" t="s">
        <v>202</v>
      </c>
      <c r="E189" s="36" t="s">
        <v>30</v>
      </c>
      <c r="F189" s="36" t="s">
        <v>31</v>
      </c>
      <c r="G189" s="37" t="s">
        <v>129</v>
      </c>
      <c r="H189" s="36" t="s">
        <v>203</v>
      </c>
      <c r="I189" s="36" t="s">
        <v>204</v>
      </c>
      <c r="J189" s="36">
        <v>2</v>
      </c>
      <c r="K189" s="36" t="s">
        <v>205</v>
      </c>
      <c r="L189" s="36">
        <v>4</v>
      </c>
      <c r="M189" s="36">
        <v>54</v>
      </c>
      <c r="N189" s="38">
        <v>1953705</v>
      </c>
      <c r="O189" s="44">
        <v>5861115</v>
      </c>
      <c r="P189" s="36">
        <v>18</v>
      </c>
      <c r="Q189" s="36" t="s">
        <v>206</v>
      </c>
      <c r="R189" s="36" t="s">
        <v>182</v>
      </c>
      <c r="S189" s="36" t="s">
        <v>207</v>
      </c>
      <c r="T189" s="36" t="s">
        <v>208</v>
      </c>
      <c r="U189" s="36" t="s">
        <v>185</v>
      </c>
      <c r="V189" s="40">
        <v>45658</v>
      </c>
      <c r="W189" s="40">
        <v>45889</v>
      </c>
      <c r="X189" s="36">
        <v>16</v>
      </c>
      <c r="Y189" s="36" t="s">
        <v>209</v>
      </c>
      <c r="Z189" s="36">
        <v>1</v>
      </c>
      <c r="AA189" s="36">
        <v>5861115</v>
      </c>
      <c r="AB189" s="40">
        <v>46054</v>
      </c>
      <c r="AC189" s="36" t="s">
        <v>2196</v>
      </c>
      <c r="AD189" s="36" t="str">
        <f>VLOOKUP(D189,Oficial!A:C,3,0)</f>
        <v>Arrastre</v>
      </c>
    </row>
    <row r="190" spans="1:30" x14ac:dyDescent="0.25">
      <c r="A190" s="36" t="s">
        <v>27</v>
      </c>
      <c r="B190" s="36" t="s">
        <v>202</v>
      </c>
      <c r="C190" s="36" t="s">
        <v>28</v>
      </c>
      <c r="D190" s="36" t="s">
        <v>202</v>
      </c>
      <c r="E190" s="36" t="s">
        <v>30</v>
      </c>
      <c r="F190" s="36" t="s">
        <v>31</v>
      </c>
      <c r="G190" s="37" t="s">
        <v>129</v>
      </c>
      <c r="H190" s="36" t="s">
        <v>203</v>
      </c>
      <c r="I190" s="36" t="s">
        <v>204</v>
      </c>
      <c r="J190" s="36">
        <v>2</v>
      </c>
      <c r="K190" s="36" t="s">
        <v>205</v>
      </c>
      <c r="L190" s="36">
        <v>4</v>
      </c>
      <c r="M190" s="36">
        <v>54</v>
      </c>
      <c r="N190" s="38">
        <v>1953705</v>
      </c>
      <c r="O190" s="44">
        <v>5861115</v>
      </c>
      <c r="P190" s="36">
        <v>18</v>
      </c>
      <c r="Q190" s="36" t="s">
        <v>206</v>
      </c>
      <c r="R190" s="36" t="s">
        <v>182</v>
      </c>
      <c r="S190" s="36" t="s">
        <v>207</v>
      </c>
      <c r="T190" s="36" t="s">
        <v>208</v>
      </c>
      <c r="U190" s="36" t="s">
        <v>185</v>
      </c>
      <c r="V190" s="40">
        <v>45658</v>
      </c>
      <c r="W190" s="40">
        <v>45889</v>
      </c>
      <c r="X190" s="36">
        <v>16</v>
      </c>
      <c r="Y190" s="36" t="s">
        <v>213</v>
      </c>
      <c r="Z190" s="36">
        <v>1</v>
      </c>
      <c r="AA190" s="36">
        <v>5861115</v>
      </c>
      <c r="AB190" s="40">
        <v>46054</v>
      </c>
      <c r="AC190" s="36" t="s">
        <v>2196</v>
      </c>
      <c r="AD190" s="36" t="str">
        <f>VLOOKUP(D190,Oficial!A:C,3,0)</f>
        <v>Arrastre</v>
      </c>
    </row>
    <row r="191" spans="1:30" x14ac:dyDescent="0.25">
      <c r="A191" s="36" t="s">
        <v>27</v>
      </c>
      <c r="B191" s="36" t="s">
        <v>202</v>
      </c>
      <c r="C191" s="36" t="s">
        <v>28</v>
      </c>
      <c r="D191" s="36" t="s">
        <v>202</v>
      </c>
      <c r="E191" s="36" t="s">
        <v>30</v>
      </c>
      <c r="F191" s="36" t="s">
        <v>31</v>
      </c>
      <c r="G191" s="37" t="s">
        <v>129</v>
      </c>
      <c r="H191" s="36" t="s">
        <v>203</v>
      </c>
      <c r="I191" s="36" t="s">
        <v>204</v>
      </c>
      <c r="J191" s="36">
        <v>2</v>
      </c>
      <c r="K191" s="36" t="s">
        <v>205</v>
      </c>
      <c r="L191" s="36">
        <v>4</v>
      </c>
      <c r="M191" s="36">
        <v>54</v>
      </c>
      <c r="N191" s="38">
        <v>1953705</v>
      </c>
      <c r="O191" s="44">
        <v>5861115</v>
      </c>
      <c r="P191" s="36">
        <v>18</v>
      </c>
      <c r="Q191" s="36" t="s">
        <v>206</v>
      </c>
      <c r="R191" s="36" t="s">
        <v>182</v>
      </c>
      <c r="S191" s="36" t="s">
        <v>207</v>
      </c>
      <c r="T191" s="36" t="s">
        <v>208</v>
      </c>
      <c r="U191" s="36" t="s">
        <v>185</v>
      </c>
      <c r="V191" s="40">
        <v>45658</v>
      </c>
      <c r="W191" s="40">
        <v>45889</v>
      </c>
      <c r="X191" s="36">
        <v>16</v>
      </c>
      <c r="Y191" s="36" t="s">
        <v>211</v>
      </c>
      <c r="Z191" s="36">
        <v>1</v>
      </c>
      <c r="AA191" s="36">
        <v>5861115</v>
      </c>
      <c r="AB191" s="40">
        <v>46143</v>
      </c>
      <c r="AC191" s="36" t="s">
        <v>2196</v>
      </c>
      <c r="AD191" s="36" t="str">
        <f>VLOOKUP(D191,Oficial!A:C,3,0)</f>
        <v>Arrastre</v>
      </c>
    </row>
    <row r="192" spans="1:30" x14ac:dyDescent="0.25">
      <c r="A192" s="36" t="s">
        <v>27</v>
      </c>
      <c r="B192" s="36" t="s">
        <v>202</v>
      </c>
      <c r="C192" s="36" t="s">
        <v>28</v>
      </c>
      <c r="D192" s="36" t="s">
        <v>202</v>
      </c>
      <c r="E192" s="36" t="s">
        <v>30</v>
      </c>
      <c r="F192" s="36" t="s">
        <v>31</v>
      </c>
      <c r="G192" s="37" t="s">
        <v>129</v>
      </c>
      <c r="H192" s="36" t="s">
        <v>203</v>
      </c>
      <c r="I192" s="36" t="s">
        <v>204</v>
      </c>
      <c r="J192" s="36">
        <v>2</v>
      </c>
      <c r="K192" s="36" t="s">
        <v>205</v>
      </c>
      <c r="L192" s="36">
        <v>4</v>
      </c>
      <c r="M192" s="36">
        <v>54</v>
      </c>
      <c r="N192" s="38">
        <v>1953705</v>
      </c>
      <c r="O192" s="44">
        <v>5861115</v>
      </c>
      <c r="P192" s="36">
        <v>18</v>
      </c>
      <c r="Q192" s="36" t="s">
        <v>206</v>
      </c>
      <c r="R192" s="36" t="s">
        <v>182</v>
      </c>
      <c r="S192" s="36" t="s">
        <v>207</v>
      </c>
      <c r="T192" s="36" t="s">
        <v>208</v>
      </c>
      <c r="U192" s="36" t="s">
        <v>185</v>
      </c>
      <c r="V192" s="40">
        <v>45658</v>
      </c>
      <c r="W192" s="40">
        <v>45889</v>
      </c>
      <c r="X192" s="36">
        <v>16</v>
      </c>
      <c r="Y192" s="36" t="s">
        <v>209</v>
      </c>
      <c r="Z192" s="36">
        <v>1</v>
      </c>
      <c r="AA192" s="36">
        <v>5861115</v>
      </c>
      <c r="AB192" s="40">
        <v>46174</v>
      </c>
      <c r="AC192" s="36" t="s">
        <v>2196</v>
      </c>
      <c r="AD192" s="36" t="str">
        <f>VLOOKUP(D192,Oficial!A:C,3,0)</f>
        <v>Arrastre</v>
      </c>
    </row>
    <row r="193" spans="1:30" x14ac:dyDescent="0.25">
      <c r="A193" s="36" t="s">
        <v>27</v>
      </c>
      <c r="B193" s="36" t="s">
        <v>202</v>
      </c>
      <c r="C193" s="36" t="s">
        <v>28</v>
      </c>
      <c r="D193" s="36" t="s">
        <v>202</v>
      </c>
      <c r="E193" s="36" t="s">
        <v>30</v>
      </c>
      <c r="F193" s="36" t="s">
        <v>31</v>
      </c>
      <c r="G193" s="37" t="s">
        <v>129</v>
      </c>
      <c r="H193" s="36" t="s">
        <v>203</v>
      </c>
      <c r="I193" s="36" t="s">
        <v>204</v>
      </c>
      <c r="J193" s="36">
        <v>2</v>
      </c>
      <c r="K193" s="36" t="s">
        <v>205</v>
      </c>
      <c r="L193" s="36">
        <v>4</v>
      </c>
      <c r="M193" s="36">
        <v>54</v>
      </c>
      <c r="N193" s="38">
        <v>1953705</v>
      </c>
      <c r="O193" s="44">
        <v>5861115</v>
      </c>
      <c r="P193" s="36">
        <v>18</v>
      </c>
      <c r="Q193" s="36" t="s">
        <v>206</v>
      </c>
      <c r="R193" s="36" t="s">
        <v>182</v>
      </c>
      <c r="S193" s="36" t="s">
        <v>207</v>
      </c>
      <c r="T193" s="36" t="s">
        <v>208</v>
      </c>
      <c r="U193" s="36" t="s">
        <v>185</v>
      </c>
      <c r="V193" s="40">
        <v>45658</v>
      </c>
      <c r="W193" s="40">
        <v>45889</v>
      </c>
      <c r="X193" s="36">
        <v>16</v>
      </c>
      <c r="Y193" s="36" t="s">
        <v>211</v>
      </c>
      <c r="Z193" s="36">
        <v>1</v>
      </c>
      <c r="AA193" s="36">
        <v>5861115</v>
      </c>
      <c r="AB193" s="40">
        <v>46357</v>
      </c>
      <c r="AC193" s="36" t="s">
        <v>2196</v>
      </c>
      <c r="AD193" s="36" t="str">
        <f>VLOOKUP(D193,Oficial!A:C,3,0)</f>
        <v>Arrastre</v>
      </c>
    </row>
    <row r="194" spans="1:30" x14ac:dyDescent="0.25">
      <c r="A194" s="36" t="s">
        <v>27</v>
      </c>
      <c r="B194" s="36" t="s">
        <v>214</v>
      </c>
      <c r="C194" s="36" t="s">
        <v>28</v>
      </c>
      <c r="D194" s="36" t="s">
        <v>214</v>
      </c>
      <c r="E194" s="36" t="s">
        <v>30</v>
      </c>
      <c r="F194" s="36" t="s">
        <v>31</v>
      </c>
      <c r="G194" s="37" t="s">
        <v>215</v>
      </c>
      <c r="H194" s="36" t="s">
        <v>216</v>
      </c>
      <c r="I194" s="36" t="s">
        <v>217</v>
      </c>
      <c r="J194" s="36">
        <v>2</v>
      </c>
      <c r="K194" s="36" t="s">
        <v>121</v>
      </c>
      <c r="L194" s="36">
        <v>4</v>
      </c>
      <c r="M194" s="36">
        <v>1</v>
      </c>
      <c r="N194" s="38">
        <v>12500000</v>
      </c>
      <c r="O194" s="42">
        <v>520341</v>
      </c>
      <c r="P194" s="36">
        <v>24</v>
      </c>
      <c r="Q194" s="36" t="s">
        <v>73</v>
      </c>
      <c r="R194" s="36" t="s">
        <v>218</v>
      </c>
      <c r="S194" s="36" t="s">
        <v>219</v>
      </c>
      <c r="T194" s="36" t="s">
        <v>220</v>
      </c>
      <c r="U194" s="36" t="s">
        <v>221</v>
      </c>
      <c r="V194" s="40">
        <v>45658</v>
      </c>
      <c r="W194" s="40">
        <v>45889</v>
      </c>
      <c r="X194" s="36">
        <v>0</v>
      </c>
      <c r="Y194" s="36"/>
      <c r="Z194" s="36">
        <v>1</v>
      </c>
      <c r="AA194" s="36">
        <v>520341</v>
      </c>
      <c r="AB194" s="40">
        <v>46235</v>
      </c>
      <c r="AC194" s="36" t="s">
        <v>2196</v>
      </c>
      <c r="AD194" s="36" t="str">
        <f>VLOOKUP(D194,Oficial!A:C,3,0)</f>
        <v>Arrastre</v>
      </c>
    </row>
    <row r="195" spans="1:30" x14ac:dyDescent="0.25">
      <c r="A195" s="36" t="s">
        <v>27</v>
      </c>
      <c r="B195" s="36" t="s">
        <v>214</v>
      </c>
      <c r="C195" s="36" t="s">
        <v>28</v>
      </c>
      <c r="D195" s="36" t="s">
        <v>214</v>
      </c>
      <c r="E195" s="36" t="s">
        <v>30</v>
      </c>
      <c r="F195" s="36" t="s">
        <v>31</v>
      </c>
      <c r="G195" s="37" t="s">
        <v>215</v>
      </c>
      <c r="H195" s="36" t="s">
        <v>216</v>
      </c>
      <c r="I195" s="36" t="s">
        <v>217</v>
      </c>
      <c r="J195" s="36">
        <v>2</v>
      </c>
      <c r="K195" s="36" t="s">
        <v>121</v>
      </c>
      <c r="L195" s="36">
        <v>4</v>
      </c>
      <c r="M195" s="36">
        <v>1</v>
      </c>
      <c r="N195" s="38">
        <v>12500000</v>
      </c>
      <c r="O195" s="42">
        <v>520333</v>
      </c>
      <c r="P195" s="36">
        <v>24</v>
      </c>
      <c r="Q195" s="36" t="s">
        <v>73</v>
      </c>
      <c r="R195" s="36" t="s">
        <v>218</v>
      </c>
      <c r="S195" s="36" t="s">
        <v>219</v>
      </c>
      <c r="T195" s="36" t="s">
        <v>220</v>
      </c>
      <c r="U195" s="36" t="s">
        <v>221</v>
      </c>
      <c r="V195" s="40">
        <v>45658</v>
      </c>
      <c r="W195" s="40">
        <v>45889</v>
      </c>
      <c r="X195" s="36">
        <v>0</v>
      </c>
      <c r="Y195" s="36"/>
      <c r="Z195" s="36">
        <v>1</v>
      </c>
      <c r="AA195" s="36">
        <v>520333</v>
      </c>
      <c r="AB195" s="40">
        <v>46143</v>
      </c>
      <c r="AC195" s="36" t="s">
        <v>2196</v>
      </c>
      <c r="AD195" s="36" t="str">
        <f>VLOOKUP(D195,Oficial!A:C,3,0)</f>
        <v>Arrastre</v>
      </c>
    </row>
    <row r="196" spans="1:30" x14ac:dyDescent="0.25">
      <c r="A196" s="36" t="s">
        <v>27</v>
      </c>
      <c r="B196" s="36" t="s">
        <v>214</v>
      </c>
      <c r="C196" s="36" t="s">
        <v>28</v>
      </c>
      <c r="D196" s="36" t="s">
        <v>214</v>
      </c>
      <c r="E196" s="36" t="s">
        <v>30</v>
      </c>
      <c r="F196" s="36" t="s">
        <v>31</v>
      </c>
      <c r="G196" s="37" t="s">
        <v>215</v>
      </c>
      <c r="H196" s="36" t="s">
        <v>216</v>
      </c>
      <c r="I196" s="36" t="s">
        <v>217</v>
      </c>
      <c r="J196" s="36">
        <v>2</v>
      </c>
      <c r="K196" s="36" t="s">
        <v>121</v>
      </c>
      <c r="L196" s="36">
        <v>4</v>
      </c>
      <c r="M196" s="36">
        <v>1</v>
      </c>
      <c r="N196" s="38">
        <v>12500000</v>
      </c>
      <c r="O196" s="42">
        <v>530333</v>
      </c>
      <c r="P196" s="36">
        <v>24</v>
      </c>
      <c r="Q196" s="36" t="s">
        <v>73</v>
      </c>
      <c r="R196" s="36" t="s">
        <v>218</v>
      </c>
      <c r="S196" s="36" t="s">
        <v>219</v>
      </c>
      <c r="T196" s="36" t="s">
        <v>220</v>
      </c>
      <c r="U196" s="36" t="s">
        <v>221</v>
      </c>
      <c r="V196" s="40">
        <v>45658</v>
      </c>
      <c r="W196" s="40">
        <v>45889</v>
      </c>
      <c r="X196" s="36">
        <v>0</v>
      </c>
      <c r="Y196" s="36"/>
      <c r="Z196" s="36">
        <v>1</v>
      </c>
      <c r="AA196" s="36">
        <v>530333</v>
      </c>
      <c r="AB196" s="40">
        <v>46357</v>
      </c>
      <c r="AC196" s="36" t="s">
        <v>2196</v>
      </c>
      <c r="AD196" s="36" t="str">
        <f>VLOOKUP(D196,Oficial!A:C,3,0)</f>
        <v>Arrastre</v>
      </c>
    </row>
    <row r="197" spans="1:30" x14ac:dyDescent="0.25">
      <c r="A197" s="36" t="s">
        <v>27</v>
      </c>
      <c r="B197" s="36" t="s">
        <v>214</v>
      </c>
      <c r="C197" s="36" t="s">
        <v>28</v>
      </c>
      <c r="D197" s="36" t="s">
        <v>214</v>
      </c>
      <c r="E197" s="36" t="s">
        <v>30</v>
      </c>
      <c r="F197" s="36" t="s">
        <v>31</v>
      </c>
      <c r="G197" s="37" t="s">
        <v>215</v>
      </c>
      <c r="H197" s="36" t="s">
        <v>216</v>
      </c>
      <c r="I197" s="36" t="s">
        <v>217</v>
      </c>
      <c r="J197" s="36">
        <v>2</v>
      </c>
      <c r="K197" s="36" t="s">
        <v>121</v>
      </c>
      <c r="L197" s="36">
        <v>4</v>
      </c>
      <c r="M197" s="36">
        <v>1</v>
      </c>
      <c r="N197" s="38">
        <v>12500000</v>
      </c>
      <c r="O197" s="42">
        <v>520333</v>
      </c>
      <c r="P197" s="36">
        <v>24</v>
      </c>
      <c r="Q197" s="36" t="s">
        <v>73</v>
      </c>
      <c r="R197" s="36" t="s">
        <v>218</v>
      </c>
      <c r="S197" s="36" t="s">
        <v>219</v>
      </c>
      <c r="T197" s="36" t="s">
        <v>220</v>
      </c>
      <c r="U197" s="36" t="s">
        <v>221</v>
      </c>
      <c r="V197" s="40">
        <v>45658</v>
      </c>
      <c r="W197" s="40">
        <v>45889</v>
      </c>
      <c r="X197" s="36">
        <v>0</v>
      </c>
      <c r="Y197" s="36"/>
      <c r="Z197" s="36">
        <v>1</v>
      </c>
      <c r="AA197" s="36">
        <v>520333</v>
      </c>
      <c r="AB197" s="40">
        <v>46082</v>
      </c>
      <c r="AC197" s="36" t="s">
        <v>2196</v>
      </c>
      <c r="AD197" s="36" t="str">
        <f>VLOOKUP(D197,Oficial!A:C,3,0)</f>
        <v>Arrastre</v>
      </c>
    </row>
    <row r="198" spans="1:30" x14ac:dyDescent="0.25">
      <c r="A198" s="36" t="s">
        <v>27</v>
      </c>
      <c r="B198" s="36" t="s">
        <v>214</v>
      </c>
      <c r="C198" s="36" t="s">
        <v>28</v>
      </c>
      <c r="D198" s="36" t="s">
        <v>214</v>
      </c>
      <c r="E198" s="36" t="s">
        <v>30</v>
      </c>
      <c r="F198" s="36" t="s">
        <v>31</v>
      </c>
      <c r="G198" s="37" t="s">
        <v>215</v>
      </c>
      <c r="H198" s="36" t="s">
        <v>216</v>
      </c>
      <c r="I198" s="36" t="s">
        <v>217</v>
      </c>
      <c r="J198" s="36">
        <v>2</v>
      </c>
      <c r="K198" s="36" t="s">
        <v>121</v>
      </c>
      <c r="L198" s="36">
        <v>4</v>
      </c>
      <c r="M198" s="36">
        <v>1</v>
      </c>
      <c r="N198" s="38">
        <v>12500000</v>
      </c>
      <c r="O198" s="42">
        <v>520333</v>
      </c>
      <c r="P198" s="36">
        <v>24</v>
      </c>
      <c r="Q198" s="36" t="s">
        <v>73</v>
      </c>
      <c r="R198" s="36" t="s">
        <v>218</v>
      </c>
      <c r="S198" s="36" t="s">
        <v>219</v>
      </c>
      <c r="T198" s="36" t="s">
        <v>220</v>
      </c>
      <c r="U198" s="36" t="s">
        <v>221</v>
      </c>
      <c r="V198" s="40">
        <v>45658</v>
      </c>
      <c r="W198" s="40">
        <v>45889</v>
      </c>
      <c r="X198" s="36">
        <v>0</v>
      </c>
      <c r="Y198" s="36"/>
      <c r="Z198" s="36">
        <v>1</v>
      </c>
      <c r="AA198" s="36">
        <v>520333</v>
      </c>
      <c r="AB198" s="40">
        <v>46054</v>
      </c>
      <c r="AC198" s="36" t="s">
        <v>2196</v>
      </c>
      <c r="AD198" s="36" t="str">
        <f>VLOOKUP(D198,Oficial!A:C,3,0)</f>
        <v>Arrastre</v>
      </c>
    </row>
    <row r="199" spans="1:30" x14ac:dyDescent="0.25">
      <c r="A199" s="36" t="s">
        <v>27</v>
      </c>
      <c r="B199" s="36" t="s">
        <v>214</v>
      </c>
      <c r="C199" s="36" t="s">
        <v>28</v>
      </c>
      <c r="D199" s="36" t="s">
        <v>214</v>
      </c>
      <c r="E199" s="36" t="s">
        <v>30</v>
      </c>
      <c r="F199" s="36" t="s">
        <v>31</v>
      </c>
      <c r="G199" s="37" t="s">
        <v>215</v>
      </c>
      <c r="H199" s="36" t="s">
        <v>216</v>
      </c>
      <c r="I199" s="36" t="s">
        <v>217</v>
      </c>
      <c r="J199" s="36">
        <v>2</v>
      </c>
      <c r="K199" s="36" t="s">
        <v>121</v>
      </c>
      <c r="L199" s="36">
        <v>4</v>
      </c>
      <c r="M199" s="36">
        <v>1</v>
      </c>
      <c r="N199" s="38">
        <v>12500000</v>
      </c>
      <c r="O199" s="42">
        <v>521333</v>
      </c>
      <c r="P199" s="36">
        <v>24</v>
      </c>
      <c r="Q199" s="36" t="s">
        <v>73</v>
      </c>
      <c r="R199" s="36" t="s">
        <v>218</v>
      </c>
      <c r="S199" s="36" t="s">
        <v>219</v>
      </c>
      <c r="T199" s="36" t="s">
        <v>220</v>
      </c>
      <c r="U199" s="36" t="s">
        <v>221</v>
      </c>
      <c r="V199" s="40">
        <v>45658</v>
      </c>
      <c r="W199" s="40">
        <v>45889</v>
      </c>
      <c r="X199" s="36">
        <v>0</v>
      </c>
      <c r="Y199" s="36"/>
      <c r="Z199" s="36">
        <v>1</v>
      </c>
      <c r="AA199" s="36">
        <v>521333</v>
      </c>
      <c r="AB199" s="40">
        <v>46327</v>
      </c>
      <c r="AC199" s="36" t="s">
        <v>2196</v>
      </c>
      <c r="AD199" s="36" t="str">
        <f>VLOOKUP(D199,Oficial!A:C,3,0)</f>
        <v>Arrastre</v>
      </c>
    </row>
    <row r="200" spans="1:30" x14ac:dyDescent="0.25">
      <c r="A200" s="36" t="s">
        <v>27</v>
      </c>
      <c r="B200" s="36" t="s">
        <v>214</v>
      </c>
      <c r="C200" s="36" t="s">
        <v>28</v>
      </c>
      <c r="D200" s="36" t="s">
        <v>214</v>
      </c>
      <c r="E200" s="36" t="s">
        <v>30</v>
      </c>
      <c r="F200" s="36" t="s">
        <v>31</v>
      </c>
      <c r="G200" s="37" t="s">
        <v>215</v>
      </c>
      <c r="H200" s="36" t="s">
        <v>216</v>
      </c>
      <c r="I200" s="36" t="s">
        <v>217</v>
      </c>
      <c r="J200" s="36">
        <v>2</v>
      </c>
      <c r="K200" s="36" t="s">
        <v>121</v>
      </c>
      <c r="L200" s="36">
        <v>4</v>
      </c>
      <c r="M200" s="36">
        <v>1</v>
      </c>
      <c r="N200" s="38">
        <v>12500000</v>
      </c>
      <c r="O200" s="42">
        <v>520333</v>
      </c>
      <c r="P200" s="36">
        <v>24</v>
      </c>
      <c r="Q200" s="36" t="s">
        <v>73</v>
      </c>
      <c r="R200" s="36" t="s">
        <v>218</v>
      </c>
      <c r="S200" s="36" t="s">
        <v>219</v>
      </c>
      <c r="T200" s="36" t="s">
        <v>220</v>
      </c>
      <c r="U200" s="36" t="s">
        <v>221</v>
      </c>
      <c r="V200" s="40">
        <v>45658</v>
      </c>
      <c r="W200" s="40">
        <v>45889</v>
      </c>
      <c r="X200" s="36">
        <v>0</v>
      </c>
      <c r="Y200" s="36"/>
      <c r="Z200" s="36">
        <v>1</v>
      </c>
      <c r="AA200" s="36">
        <v>520333</v>
      </c>
      <c r="AB200" s="40">
        <v>46023</v>
      </c>
      <c r="AC200" s="36" t="s">
        <v>2196</v>
      </c>
      <c r="AD200" s="36" t="str">
        <f>VLOOKUP(D200,Oficial!A:C,3,0)</f>
        <v>Arrastre</v>
      </c>
    </row>
    <row r="201" spans="1:30" x14ac:dyDescent="0.25">
      <c r="A201" s="36" t="s">
        <v>27</v>
      </c>
      <c r="B201" s="36" t="s">
        <v>214</v>
      </c>
      <c r="C201" s="36" t="s">
        <v>28</v>
      </c>
      <c r="D201" s="36" t="s">
        <v>214</v>
      </c>
      <c r="E201" s="36" t="s">
        <v>30</v>
      </c>
      <c r="F201" s="36" t="s">
        <v>31</v>
      </c>
      <c r="G201" s="37" t="s">
        <v>215</v>
      </c>
      <c r="H201" s="36" t="s">
        <v>216</v>
      </c>
      <c r="I201" s="36" t="s">
        <v>217</v>
      </c>
      <c r="J201" s="36">
        <v>2</v>
      </c>
      <c r="K201" s="36" t="s">
        <v>121</v>
      </c>
      <c r="L201" s="36">
        <v>4</v>
      </c>
      <c r="M201" s="36">
        <v>1</v>
      </c>
      <c r="N201" s="38">
        <v>12500000</v>
      </c>
      <c r="O201" s="42">
        <v>520333</v>
      </c>
      <c r="P201" s="36">
        <v>24</v>
      </c>
      <c r="Q201" s="36" t="s">
        <v>73</v>
      </c>
      <c r="R201" s="36" t="s">
        <v>218</v>
      </c>
      <c r="S201" s="36" t="s">
        <v>219</v>
      </c>
      <c r="T201" s="36" t="s">
        <v>220</v>
      </c>
      <c r="U201" s="36" t="s">
        <v>221</v>
      </c>
      <c r="V201" s="40">
        <v>45658</v>
      </c>
      <c r="W201" s="40">
        <v>45889</v>
      </c>
      <c r="X201" s="36">
        <v>0</v>
      </c>
      <c r="Y201" s="36"/>
      <c r="Z201" s="36">
        <v>1</v>
      </c>
      <c r="AA201" s="36">
        <v>520333</v>
      </c>
      <c r="AB201" s="40">
        <v>46174</v>
      </c>
      <c r="AC201" s="36" t="s">
        <v>2196</v>
      </c>
      <c r="AD201" s="36" t="str">
        <f>VLOOKUP(D201,Oficial!A:C,3,0)</f>
        <v>Arrastre</v>
      </c>
    </row>
    <row r="202" spans="1:30" x14ac:dyDescent="0.25">
      <c r="A202" s="36" t="s">
        <v>27</v>
      </c>
      <c r="B202" s="36" t="s">
        <v>214</v>
      </c>
      <c r="C202" s="36" t="s">
        <v>28</v>
      </c>
      <c r="D202" s="36" t="s">
        <v>214</v>
      </c>
      <c r="E202" s="36" t="s">
        <v>30</v>
      </c>
      <c r="F202" s="36" t="s">
        <v>31</v>
      </c>
      <c r="G202" s="37" t="s">
        <v>215</v>
      </c>
      <c r="H202" s="36" t="s">
        <v>216</v>
      </c>
      <c r="I202" s="36" t="s">
        <v>217</v>
      </c>
      <c r="J202" s="36">
        <v>2</v>
      </c>
      <c r="K202" s="36" t="s">
        <v>121</v>
      </c>
      <c r="L202" s="36">
        <v>4</v>
      </c>
      <c r="M202" s="36">
        <v>1</v>
      </c>
      <c r="N202" s="38">
        <v>12500000</v>
      </c>
      <c r="O202" s="42">
        <v>520333</v>
      </c>
      <c r="P202" s="36">
        <v>24</v>
      </c>
      <c r="Q202" s="36" t="s">
        <v>73</v>
      </c>
      <c r="R202" s="36" t="s">
        <v>218</v>
      </c>
      <c r="S202" s="36" t="s">
        <v>219</v>
      </c>
      <c r="T202" s="36" t="s">
        <v>220</v>
      </c>
      <c r="U202" s="36" t="s">
        <v>221</v>
      </c>
      <c r="V202" s="40">
        <v>45658</v>
      </c>
      <c r="W202" s="40">
        <v>45889</v>
      </c>
      <c r="X202" s="36">
        <v>0</v>
      </c>
      <c r="Y202" s="36"/>
      <c r="Z202" s="36">
        <v>1</v>
      </c>
      <c r="AA202" s="36">
        <v>520333</v>
      </c>
      <c r="AB202" s="40">
        <v>46113</v>
      </c>
      <c r="AC202" s="36" t="s">
        <v>2196</v>
      </c>
      <c r="AD202" s="36" t="str">
        <f>VLOOKUP(D202,Oficial!A:C,3,0)</f>
        <v>Arrastre</v>
      </c>
    </row>
    <row r="203" spans="1:30" x14ac:dyDescent="0.25">
      <c r="A203" s="36" t="s">
        <v>27</v>
      </c>
      <c r="B203" s="36" t="s">
        <v>214</v>
      </c>
      <c r="C203" s="36" t="s">
        <v>28</v>
      </c>
      <c r="D203" s="36" t="s">
        <v>214</v>
      </c>
      <c r="E203" s="36" t="s">
        <v>30</v>
      </c>
      <c r="F203" s="36" t="s">
        <v>31</v>
      </c>
      <c r="G203" s="37" t="s">
        <v>215</v>
      </c>
      <c r="H203" s="36" t="s">
        <v>216</v>
      </c>
      <c r="I203" s="36" t="s">
        <v>217</v>
      </c>
      <c r="J203" s="36">
        <v>2</v>
      </c>
      <c r="K203" s="36" t="s">
        <v>121</v>
      </c>
      <c r="L203" s="36">
        <v>4</v>
      </c>
      <c r="M203" s="36">
        <v>1</v>
      </c>
      <c r="N203" s="38">
        <v>12500000</v>
      </c>
      <c r="O203" s="42">
        <v>520333</v>
      </c>
      <c r="P203" s="36">
        <v>24</v>
      </c>
      <c r="Q203" s="36" t="s">
        <v>73</v>
      </c>
      <c r="R203" s="36" t="s">
        <v>218</v>
      </c>
      <c r="S203" s="36" t="s">
        <v>219</v>
      </c>
      <c r="T203" s="36" t="s">
        <v>220</v>
      </c>
      <c r="U203" s="36" t="s">
        <v>221</v>
      </c>
      <c r="V203" s="40">
        <v>45658</v>
      </c>
      <c r="W203" s="40">
        <v>45889</v>
      </c>
      <c r="X203" s="36">
        <v>0</v>
      </c>
      <c r="Y203" s="36"/>
      <c r="Z203" s="36">
        <v>1</v>
      </c>
      <c r="AA203" s="36">
        <v>520333</v>
      </c>
      <c r="AB203" s="40">
        <v>46204</v>
      </c>
      <c r="AC203" s="36" t="s">
        <v>2196</v>
      </c>
      <c r="AD203" s="36" t="str">
        <f>VLOOKUP(D203,Oficial!A:C,3,0)</f>
        <v>Arrastre</v>
      </c>
    </row>
    <row r="204" spans="1:30" x14ac:dyDescent="0.25">
      <c r="A204" s="36" t="s">
        <v>27</v>
      </c>
      <c r="B204" s="36" t="s">
        <v>214</v>
      </c>
      <c r="C204" s="36" t="s">
        <v>28</v>
      </c>
      <c r="D204" s="36" t="s">
        <v>214</v>
      </c>
      <c r="E204" s="36" t="s">
        <v>30</v>
      </c>
      <c r="F204" s="36" t="s">
        <v>31</v>
      </c>
      <c r="G204" s="37" t="s">
        <v>215</v>
      </c>
      <c r="H204" s="36" t="s">
        <v>216</v>
      </c>
      <c r="I204" s="36" t="s">
        <v>217</v>
      </c>
      <c r="J204" s="36">
        <v>2</v>
      </c>
      <c r="K204" s="36" t="s">
        <v>121</v>
      </c>
      <c r="L204" s="36">
        <v>4</v>
      </c>
      <c r="M204" s="36">
        <v>1</v>
      </c>
      <c r="N204" s="38">
        <v>12500000</v>
      </c>
      <c r="O204" s="42">
        <v>520833</v>
      </c>
      <c r="P204" s="36">
        <v>24</v>
      </c>
      <c r="Q204" s="36" t="s">
        <v>73</v>
      </c>
      <c r="R204" s="36" t="s">
        <v>218</v>
      </c>
      <c r="S204" s="36" t="s">
        <v>219</v>
      </c>
      <c r="T204" s="36" t="s">
        <v>220</v>
      </c>
      <c r="U204" s="36" t="s">
        <v>221</v>
      </c>
      <c r="V204" s="40">
        <v>45658</v>
      </c>
      <c r="W204" s="40">
        <v>45889</v>
      </c>
      <c r="X204" s="36">
        <v>0</v>
      </c>
      <c r="Y204" s="36"/>
      <c r="Z204" s="36">
        <v>1</v>
      </c>
      <c r="AA204" s="36">
        <v>520833</v>
      </c>
      <c r="AB204" s="40">
        <v>46266</v>
      </c>
      <c r="AC204" s="36" t="s">
        <v>2196</v>
      </c>
      <c r="AD204" s="36" t="str">
        <f>VLOOKUP(D204,Oficial!A:C,3,0)</f>
        <v>Arrastre</v>
      </c>
    </row>
    <row r="205" spans="1:30" x14ac:dyDescent="0.25">
      <c r="A205" s="36" t="s">
        <v>27</v>
      </c>
      <c r="B205" s="36" t="s">
        <v>214</v>
      </c>
      <c r="C205" s="36" t="s">
        <v>28</v>
      </c>
      <c r="D205" s="36" t="s">
        <v>214</v>
      </c>
      <c r="E205" s="36" t="s">
        <v>30</v>
      </c>
      <c r="F205" s="36" t="s">
        <v>31</v>
      </c>
      <c r="G205" s="37" t="s">
        <v>215</v>
      </c>
      <c r="H205" s="36" t="s">
        <v>216</v>
      </c>
      <c r="I205" s="36" t="s">
        <v>217</v>
      </c>
      <c r="J205" s="36">
        <v>2</v>
      </c>
      <c r="K205" s="36" t="s">
        <v>121</v>
      </c>
      <c r="L205" s="36">
        <v>4</v>
      </c>
      <c r="M205" s="36">
        <v>1</v>
      </c>
      <c r="N205" s="38">
        <v>12500000</v>
      </c>
      <c r="O205" s="42">
        <v>520333</v>
      </c>
      <c r="P205" s="36">
        <v>24</v>
      </c>
      <c r="Q205" s="36" t="s">
        <v>73</v>
      </c>
      <c r="R205" s="36" t="s">
        <v>218</v>
      </c>
      <c r="S205" s="36" t="s">
        <v>219</v>
      </c>
      <c r="T205" s="36" t="s">
        <v>220</v>
      </c>
      <c r="U205" s="36" t="s">
        <v>221</v>
      </c>
      <c r="V205" s="40">
        <v>45658</v>
      </c>
      <c r="W205" s="40">
        <v>45889</v>
      </c>
      <c r="X205" s="36">
        <v>0</v>
      </c>
      <c r="Y205" s="36"/>
      <c r="Z205" s="36">
        <v>1</v>
      </c>
      <c r="AA205" s="36">
        <v>520333</v>
      </c>
      <c r="AB205" s="40">
        <v>46296</v>
      </c>
      <c r="AC205" s="36" t="s">
        <v>2196</v>
      </c>
      <c r="AD205" s="36" t="str">
        <f>VLOOKUP(D205,Oficial!A:C,3,0)</f>
        <v>Arrastre</v>
      </c>
    </row>
    <row r="206" spans="1:30" x14ac:dyDescent="0.25">
      <c r="A206" s="36" t="s">
        <v>27</v>
      </c>
      <c r="B206" s="36" t="s">
        <v>222</v>
      </c>
      <c r="C206" s="36" t="s">
        <v>28</v>
      </c>
      <c r="D206" s="36" t="s">
        <v>222</v>
      </c>
      <c r="E206" s="36" t="s">
        <v>30</v>
      </c>
      <c r="F206" s="36" t="s">
        <v>31</v>
      </c>
      <c r="G206" s="37" t="s">
        <v>223</v>
      </c>
      <c r="H206" s="36" t="s">
        <v>224</v>
      </c>
      <c r="I206" s="36" t="s">
        <v>225</v>
      </c>
      <c r="J206" s="36">
        <v>2</v>
      </c>
      <c r="K206" s="36" t="s">
        <v>226</v>
      </c>
      <c r="L206" s="36">
        <v>4</v>
      </c>
      <c r="M206" s="36">
        <v>3</v>
      </c>
      <c r="N206" s="38">
        <v>32076748</v>
      </c>
      <c r="O206" s="41">
        <v>4009593</v>
      </c>
      <c r="P206" s="36">
        <v>24</v>
      </c>
      <c r="Q206" s="36" t="s">
        <v>73</v>
      </c>
      <c r="R206" s="36" t="s">
        <v>227</v>
      </c>
      <c r="S206" s="36" t="s">
        <v>228</v>
      </c>
      <c r="T206" s="36" t="s">
        <v>229</v>
      </c>
      <c r="U206" s="36" t="s">
        <v>230</v>
      </c>
      <c r="V206" s="40">
        <v>45658</v>
      </c>
      <c r="W206" s="40">
        <v>45889</v>
      </c>
      <c r="X206" s="36">
        <v>11</v>
      </c>
      <c r="Y206" s="36" t="s">
        <v>233</v>
      </c>
      <c r="Z206" s="36">
        <v>1</v>
      </c>
      <c r="AA206" s="36">
        <v>4009593</v>
      </c>
      <c r="AB206" s="40">
        <v>46054</v>
      </c>
      <c r="AC206" s="36" t="s">
        <v>2196</v>
      </c>
      <c r="AD206" s="36" t="str">
        <f>VLOOKUP(D206,Oficial!A:C,3,0)</f>
        <v>Arrastre</v>
      </c>
    </row>
    <row r="207" spans="1:30" x14ac:dyDescent="0.25">
      <c r="A207" s="36" t="s">
        <v>27</v>
      </c>
      <c r="B207" s="36" t="s">
        <v>222</v>
      </c>
      <c r="C207" s="36" t="s">
        <v>28</v>
      </c>
      <c r="D207" s="36" t="s">
        <v>222</v>
      </c>
      <c r="E207" s="36" t="s">
        <v>30</v>
      </c>
      <c r="F207" s="36" t="s">
        <v>31</v>
      </c>
      <c r="G207" s="37" t="s">
        <v>223</v>
      </c>
      <c r="H207" s="36" t="s">
        <v>224</v>
      </c>
      <c r="I207" s="36" t="s">
        <v>225</v>
      </c>
      <c r="J207" s="36">
        <v>2</v>
      </c>
      <c r="K207" s="36" t="s">
        <v>226</v>
      </c>
      <c r="L207" s="36">
        <v>4</v>
      </c>
      <c r="M207" s="36">
        <v>3</v>
      </c>
      <c r="N207" s="38">
        <v>32076748</v>
      </c>
      <c r="O207" s="41">
        <v>4009593</v>
      </c>
      <c r="P207" s="36">
        <v>24</v>
      </c>
      <c r="Q207" s="36" t="s">
        <v>73</v>
      </c>
      <c r="R207" s="36" t="s">
        <v>227</v>
      </c>
      <c r="S207" s="36" t="s">
        <v>228</v>
      </c>
      <c r="T207" s="36" t="s">
        <v>229</v>
      </c>
      <c r="U207" s="36" t="s">
        <v>230</v>
      </c>
      <c r="V207" s="40">
        <v>45658</v>
      </c>
      <c r="W207" s="40">
        <v>45889</v>
      </c>
      <c r="X207" s="36">
        <v>11</v>
      </c>
      <c r="Y207" s="36" t="s">
        <v>233</v>
      </c>
      <c r="Z207" s="36">
        <v>1</v>
      </c>
      <c r="AA207" s="36">
        <v>4009593</v>
      </c>
      <c r="AB207" s="40">
        <v>46204</v>
      </c>
      <c r="AC207" s="36" t="s">
        <v>2196</v>
      </c>
      <c r="AD207" s="36" t="str">
        <f>VLOOKUP(D207,Oficial!A:C,3,0)</f>
        <v>Arrastre</v>
      </c>
    </row>
    <row r="208" spans="1:30" x14ac:dyDescent="0.25">
      <c r="A208" s="36" t="s">
        <v>27</v>
      </c>
      <c r="B208" s="36" t="s">
        <v>222</v>
      </c>
      <c r="C208" s="36" t="s">
        <v>28</v>
      </c>
      <c r="D208" s="36" t="s">
        <v>222</v>
      </c>
      <c r="E208" s="36" t="s">
        <v>30</v>
      </c>
      <c r="F208" s="36" t="s">
        <v>31</v>
      </c>
      <c r="G208" s="37" t="s">
        <v>223</v>
      </c>
      <c r="H208" s="36" t="s">
        <v>224</v>
      </c>
      <c r="I208" s="36" t="s">
        <v>225</v>
      </c>
      <c r="J208" s="36">
        <v>2</v>
      </c>
      <c r="K208" s="36" t="s">
        <v>226</v>
      </c>
      <c r="L208" s="36">
        <v>4</v>
      </c>
      <c r="M208" s="36">
        <v>3</v>
      </c>
      <c r="N208" s="38">
        <v>32076748</v>
      </c>
      <c r="O208" s="41">
        <v>4009593</v>
      </c>
      <c r="P208" s="36">
        <v>24</v>
      </c>
      <c r="Q208" s="36" t="s">
        <v>73</v>
      </c>
      <c r="R208" s="36" t="s">
        <v>227</v>
      </c>
      <c r="S208" s="36" t="s">
        <v>228</v>
      </c>
      <c r="T208" s="36" t="s">
        <v>229</v>
      </c>
      <c r="U208" s="36" t="s">
        <v>230</v>
      </c>
      <c r="V208" s="40">
        <v>45658</v>
      </c>
      <c r="W208" s="40">
        <v>45889</v>
      </c>
      <c r="X208" s="36">
        <v>11</v>
      </c>
      <c r="Y208" s="36" t="s">
        <v>231</v>
      </c>
      <c r="Z208" s="36">
        <v>1</v>
      </c>
      <c r="AA208" s="36">
        <v>4009593</v>
      </c>
      <c r="AB208" s="40">
        <v>46204</v>
      </c>
      <c r="AC208" s="36" t="s">
        <v>2196</v>
      </c>
      <c r="AD208" s="36" t="str">
        <f>VLOOKUP(D208,Oficial!A:C,3,0)</f>
        <v>Arrastre</v>
      </c>
    </row>
    <row r="209" spans="1:30" x14ac:dyDescent="0.25">
      <c r="A209" s="36" t="s">
        <v>27</v>
      </c>
      <c r="B209" s="36" t="s">
        <v>222</v>
      </c>
      <c r="C209" s="36" t="s">
        <v>28</v>
      </c>
      <c r="D209" s="36" t="s">
        <v>222</v>
      </c>
      <c r="E209" s="36" t="s">
        <v>30</v>
      </c>
      <c r="F209" s="36" t="s">
        <v>31</v>
      </c>
      <c r="G209" s="37" t="s">
        <v>223</v>
      </c>
      <c r="H209" s="36" t="s">
        <v>224</v>
      </c>
      <c r="I209" s="36" t="s">
        <v>225</v>
      </c>
      <c r="J209" s="36">
        <v>2</v>
      </c>
      <c r="K209" s="36" t="s">
        <v>226</v>
      </c>
      <c r="L209" s="36">
        <v>4</v>
      </c>
      <c r="M209" s="36">
        <v>3</v>
      </c>
      <c r="N209" s="38">
        <v>32076748</v>
      </c>
      <c r="O209" s="41">
        <v>4009593</v>
      </c>
      <c r="P209" s="36">
        <v>24</v>
      </c>
      <c r="Q209" s="36" t="s">
        <v>73</v>
      </c>
      <c r="R209" s="36" t="s">
        <v>227</v>
      </c>
      <c r="S209" s="36" t="s">
        <v>228</v>
      </c>
      <c r="T209" s="36" t="s">
        <v>229</v>
      </c>
      <c r="U209" s="36" t="s">
        <v>230</v>
      </c>
      <c r="V209" s="40">
        <v>45658</v>
      </c>
      <c r="W209" s="40">
        <v>45889</v>
      </c>
      <c r="X209" s="36">
        <v>11</v>
      </c>
      <c r="Y209" s="36" t="s">
        <v>235</v>
      </c>
      <c r="Z209" s="36">
        <v>1</v>
      </c>
      <c r="AA209" s="36">
        <v>4009593</v>
      </c>
      <c r="AB209" s="40">
        <v>46143</v>
      </c>
      <c r="AC209" s="36" t="s">
        <v>2196</v>
      </c>
      <c r="AD209" s="36" t="str">
        <f>VLOOKUP(D209,Oficial!A:C,3,0)</f>
        <v>Arrastre</v>
      </c>
    </row>
    <row r="210" spans="1:30" x14ac:dyDescent="0.25">
      <c r="A210" s="36" t="s">
        <v>27</v>
      </c>
      <c r="B210" s="36" t="s">
        <v>222</v>
      </c>
      <c r="C210" s="36" t="s">
        <v>28</v>
      </c>
      <c r="D210" s="36" t="s">
        <v>222</v>
      </c>
      <c r="E210" s="36" t="s">
        <v>30</v>
      </c>
      <c r="F210" s="36" t="s">
        <v>31</v>
      </c>
      <c r="G210" s="37" t="s">
        <v>223</v>
      </c>
      <c r="H210" s="36" t="s">
        <v>224</v>
      </c>
      <c r="I210" s="36" t="s">
        <v>225</v>
      </c>
      <c r="J210" s="36">
        <v>2</v>
      </c>
      <c r="K210" s="36" t="s">
        <v>226</v>
      </c>
      <c r="L210" s="36">
        <v>4</v>
      </c>
      <c r="M210" s="36">
        <v>3</v>
      </c>
      <c r="N210" s="38">
        <v>32076748</v>
      </c>
      <c r="O210" s="41">
        <v>4009593</v>
      </c>
      <c r="P210" s="36">
        <v>24</v>
      </c>
      <c r="Q210" s="36" t="s">
        <v>73</v>
      </c>
      <c r="R210" s="36" t="s">
        <v>227</v>
      </c>
      <c r="S210" s="36" t="s">
        <v>228</v>
      </c>
      <c r="T210" s="36" t="s">
        <v>229</v>
      </c>
      <c r="U210" s="36" t="s">
        <v>230</v>
      </c>
      <c r="V210" s="40">
        <v>45658</v>
      </c>
      <c r="W210" s="40">
        <v>45889</v>
      </c>
      <c r="X210" s="36">
        <v>11</v>
      </c>
      <c r="Y210" s="36" t="s">
        <v>236</v>
      </c>
      <c r="Z210" s="36">
        <v>1</v>
      </c>
      <c r="AA210" s="36">
        <v>4009593</v>
      </c>
      <c r="AB210" s="40">
        <v>46296</v>
      </c>
      <c r="AC210" s="36" t="s">
        <v>2196</v>
      </c>
      <c r="AD210" s="36" t="str">
        <f>VLOOKUP(D210,Oficial!A:C,3,0)</f>
        <v>Arrastre</v>
      </c>
    </row>
    <row r="211" spans="1:30" x14ac:dyDescent="0.25">
      <c r="A211" s="36" t="s">
        <v>27</v>
      </c>
      <c r="B211" s="36" t="s">
        <v>222</v>
      </c>
      <c r="C211" s="36" t="s">
        <v>28</v>
      </c>
      <c r="D211" s="36" t="s">
        <v>222</v>
      </c>
      <c r="E211" s="36" t="s">
        <v>30</v>
      </c>
      <c r="F211" s="36" t="s">
        <v>31</v>
      </c>
      <c r="G211" s="37" t="s">
        <v>223</v>
      </c>
      <c r="H211" s="36" t="s">
        <v>224</v>
      </c>
      <c r="I211" s="36" t="s">
        <v>225</v>
      </c>
      <c r="J211" s="36">
        <v>2</v>
      </c>
      <c r="K211" s="36" t="s">
        <v>226</v>
      </c>
      <c r="L211" s="36">
        <v>4</v>
      </c>
      <c r="M211" s="36">
        <v>3</v>
      </c>
      <c r="N211" s="38">
        <v>32076748</v>
      </c>
      <c r="O211" s="41">
        <v>4009593</v>
      </c>
      <c r="P211" s="36">
        <v>24</v>
      </c>
      <c r="Q211" s="36" t="s">
        <v>73</v>
      </c>
      <c r="R211" s="36" t="s">
        <v>227</v>
      </c>
      <c r="S211" s="36" t="s">
        <v>228</v>
      </c>
      <c r="T211" s="36" t="s">
        <v>229</v>
      </c>
      <c r="U211" s="36" t="s">
        <v>230</v>
      </c>
      <c r="V211" s="40">
        <v>45658</v>
      </c>
      <c r="W211" s="40">
        <v>45889</v>
      </c>
      <c r="X211" s="36">
        <v>11</v>
      </c>
      <c r="Y211" s="36" t="s">
        <v>234</v>
      </c>
      <c r="Z211" s="36">
        <v>1</v>
      </c>
      <c r="AA211" s="36">
        <v>4009593</v>
      </c>
      <c r="AB211" s="40">
        <v>46266</v>
      </c>
      <c r="AC211" s="36" t="s">
        <v>2196</v>
      </c>
      <c r="AD211" s="36" t="str">
        <f>VLOOKUP(D211,Oficial!A:C,3,0)</f>
        <v>Arrastre</v>
      </c>
    </row>
    <row r="212" spans="1:30" x14ac:dyDescent="0.25">
      <c r="A212" s="36" t="s">
        <v>27</v>
      </c>
      <c r="B212" s="36" t="s">
        <v>222</v>
      </c>
      <c r="C212" s="36" t="s">
        <v>28</v>
      </c>
      <c r="D212" s="36" t="s">
        <v>222</v>
      </c>
      <c r="E212" s="36" t="s">
        <v>30</v>
      </c>
      <c r="F212" s="36" t="s">
        <v>31</v>
      </c>
      <c r="G212" s="37" t="s">
        <v>223</v>
      </c>
      <c r="H212" s="36" t="s">
        <v>224</v>
      </c>
      <c r="I212" s="36" t="s">
        <v>225</v>
      </c>
      <c r="J212" s="36">
        <v>2</v>
      </c>
      <c r="K212" s="36" t="s">
        <v>226</v>
      </c>
      <c r="L212" s="36">
        <v>4</v>
      </c>
      <c r="M212" s="36">
        <v>3</v>
      </c>
      <c r="N212" s="38">
        <v>32076748</v>
      </c>
      <c r="O212" s="41">
        <v>4009593</v>
      </c>
      <c r="P212" s="36">
        <v>24</v>
      </c>
      <c r="Q212" s="36" t="s">
        <v>73</v>
      </c>
      <c r="R212" s="36" t="s">
        <v>227</v>
      </c>
      <c r="S212" s="36" t="s">
        <v>228</v>
      </c>
      <c r="T212" s="36" t="s">
        <v>229</v>
      </c>
      <c r="U212" s="36" t="s">
        <v>230</v>
      </c>
      <c r="V212" s="40">
        <v>45658</v>
      </c>
      <c r="W212" s="40">
        <v>45889</v>
      </c>
      <c r="X212" s="36">
        <v>11</v>
      </c>
      <c r="Y212" s="36" t="s">
        <v>236</v>
      </c>
      <c r="Z212" s="36">
        <v>1</v>
      </c>
      <c r="AA212" s="36">
        <v>4009593</v>
      </c>
      <c r="AB212" s="40">
        <v>46143</v>
      </c>
      <c r="AC212" s="36" t="s">
        <v>2196</v>
      </c>
      <c r="AD212" s="36" t="str">
        <f>VLOOKUP(D212,Oficial!A:C,3,0)</f>
        <v>Arrastre</v>
      </c>
    </row>
    <row r="213" spans="1:30" x14ac:dyDescent="0.25">
      <c r="A213" s="36" t="s">
        <v>27</v>
      </c>
      <c r="B213" s="36" t="s">
        <v>222</v>
      </c>
      <c r="C213" s="36" t="s">
        <v>28</v>
      </c>
      <c r="D213" s="36" t="s">
        <v>222</v>
      </c>
      <c r="E213" s="36" t="s">
        <v>30</v>
      </c>
      <c r="F213" s="36" t="s">
        <v>31</v>
      </c>
      <c r="G213" s="37" t="s">
        <v>223</v>
      </c>
      <c r="H213" s="36" t="s">
        <v>224</v>
      </c>
      <c r="I213" s="36" t="s">
        <v>225</v>
      </c>
      <c r="J213" s="36">
        <v>2</v>
      </c>
      <c r="K213" s="36" t="s">
        <v>226</v>
      </c>
      <c r="L213" s="36">
        <v>4</v>
      </c>
      <c r="M213" s="36">
        <v>3</v>
      </c>
      <c r="N213" s="38">
        <v>32076748</v>
      </c>
      <c r="O213" s="41">
        <v>4009593</v>
      </c>
      <c r="P213" s="36">
        <v>24</v>
      </c>
      <c r="Q213" s="36" t="s">
        <v>73</v>
      </c>
      <c r="R213" s="36" t="s">
        <v>227</v>
      </c>
      <c r="S213" s="36" t="s">
        <v>228</v>
      </c>
      <c r="T213" s="36" t="s">
        <v>229</v>
      </c>
      <c r="U213" s="36" t="s">
        <v>230</v>
      </c>
      <c r="V213" s="40">
        <v>45658</v>
      </c>
      <c r="W213" s="40">
        <v>45889</v>
      </c>
      <c r="X213" s="36">
        <v>11</v>
      </c>
      <c r="Y213" s="36" t="s">
        <v>235</v>
      </c>
      <c r="Z213" s="36">
        <v>1</v>
      </c>
      <c r="AA213" s="36">
        <v>4009593</v>
      </c>
      <c r="AB213" s="40">
        <v>46204</v>
      </c>
      <c r="AC213" s="36" t="s">
        <v>2196</v>
      </c>
      <c r="AD213" s="36" t="str">
        <f>VLOOKUP(D213,Oficial!A:C,3,0)</f>
        <v>Arrastre</v>
      </c>
    </row>
    <row r="214" spans="1:30" x14ac:dyDescent="0.25">
      <c r="A214" s="36" t="s">
        <v>27</v>
      </c>
      <c r="B214" s="36" t="s">
        <v>222</v>
      </c>
      <c r="C214" s="36" t="s">
        <v>28</v>
      </c>
      <c r="D214" s="36" t="s">
        <v>222</v>
      </c>
      <c r="E214" s="36" t="s">
        <v>30</v>
      </c>
      <c r="F214" s="36" t="s">
        <v>31</v>
      </c>
      <c r="G214" s="37" t="s">
        <v>223</v>
      </c>
      <c r="H214" s="36" t="s">
        <v>224</v>
      </c>
      <c r="I214" s="36" t="s">
        <v>225</v>
      </c>
      <c r="J214" s="36">
        <v>2</v>
      </c>
      <c r="K214" s="36" t="s">
        <v>226</v>
      </c>
      <c r="L214" s="36">
        <v>4</v>
      </c>
      <c r="M214" s="36">
        <v>3</v>
      </c>
      <c r="N214" s="38">
        <v>32076748</v>
      </c>
      <c r="O214" s="41">
        <v>4009593</v>
      </c>
      <c r="P214" s="36">
        <v>24</v>
      </c>
      <c r="Q214" s="36" t="s">
        <v>73</v>
      </c>
      <c r="R214" s="36" t="s">
        <v>227</v>
      </c>
      <c r="S214" s="36" t="s">
        <v>228</v>
      </c>
      <c r="T214" s="36" t="s">
        <v>229</v>
      </c>
      <c r="U214" s="36" t="s">
        <v>230</v>
      </c>
      <c r="V214" s="40">
        <v>45658</v>
      </c>
      <c r="W214" s="40">
        <v>45889</v>
      </c>
      <c r="X214" s="36">
        <v>11</v>
      </c>
      <c r="Y214" s="36" t="s">
        <v>232</v>
      </c>
      <c r="Z214" s="36">
        <v>1</v>
      </c>
      <c r="AA214" s="36">
        <v>4009593</v>
      </c>
      <c r="AB214" s="40">
        <v>46327</v>
      </c>
      <c r="AC214" s="36" t="s">
        <v>2196</v>
      </c>
      <c r="AD214" s="36" t="str">
        <f>VLOOKUP(D214,Oficial!A:C,3,0)</f>
        <v>Arrastre</v>
      </c>
    </row>
    <row r="215" spans="1:30" x14ac:dyDescent="0.25">
      <c r="A215" s="36" t="s">
        <v>27</v>
      </c>
      <c r="B215" s="36" t="s">
        <v>222</v>
      </c>
      <c r="C215" s="36" t="s">
        <v>28</v>
      </c>
      <c r="D215" s="36" t="s">
        <v>222</v>
      </c>
      <c r="E215" s="36" t="s">
        <v>30</v>
      </c>
      <c r="F215" s="36" t="s">
        <v>31</v>
      </c>
      <c r="G215" s="37" t="s">
        <v>223</v>
      </c>
      <c r="H215" s="36" t="s">
        <v>224</v>
      </c>
      <c r="I215" s="36" t="s">
        <v>225</v>
      </c>
      <c r="J215" s="36">
        <v>2</v>
      </c>
      <c r="K215" s="36" t="s">
        <v>226</v>
      </c>
      <c r="L215" s="36">
        <v>4</v>
      </c>
      <c r="M215" s="36">
        <v>3</v>
      </c>
      <c r="N215" s="38">
        <v>32076748</v>
      </c>
      <c r="O215" s="41">
        <v>4009593</v>
      </c>
      <c r="P215" s="36">
        <v>24</v>
      </c>
      <c r="Q215" s="36" t="s">
        <v>73</v>
      </c>
      <c r="R215" s="36" t="s">
        <v>227</v>
      </c>
      <c r="S215" s="36" t="s">
        <v>228</v>
      </c>
      <c r="T215" s="36" t="s">
        <v>229</v>
      </c>
      <c r="U215" s="36" t="s">
        <v>230</v>
      </c>
      <c r="V215" s="40">
        <v>45658</v>
      </c>
      <c r="W215" s="40">
        <v>45889</v>
      </c>
      <c r="X215" s="36">
        <v>11</v>
      </c>
      <c r="Y215" s="36" t="s">
        <v>237</v>
      </c>
      <c r="Z215" s="36">
        <v>1</v>
      </c>
      <c r="AA215" s="36">
        <v>4009593</v>
      </c>
      <c r="AB215" s="40">
        <v>46174</v>
      </c>
      <c r="AC215" s="36" t="s">
        <v>2196</v>
      </c>
      <c r="AD215" s="36" t="str">
        <f>VLOOKUP(D215,Oficial!A:C,3,0)</f>
        <v>Arrastre</v>
      </c>
    </row>
    <row r="216" spans="1:30" x14ac:dyDescent="0.25">
      <c r="A216" s="36" t="s">
        <v>27</v>
      </c>
      <c r="B216" s="36" t="s">
        <v>222</v>
      </c>
      <c r="C216" s="36" t="s">
        <v>28</v>
      </c>
      <c r="D216" s="36" t="s">
        <v>222</v>
      </c>
      <c r="E216" s="36" t="s">
        <v>30</v>
      </c>
      <c r="F216" s="36" t="s">
        <v>31</v>
      </c>
      <c r="G216" s="37" t="s">
        <v>223</v>
      </c>
      <c r="H216" s="36" t="s">
        <v>224</v>
      </c>
      <c r="I216" s="36" t="s">
        <v>225</v>
      </c>
      <c r="J216" s="36">
        <v>2</v>
      </c>
      <c r="K216" s="36" t="s">
        <v>226</v>
      </c>
      <c r="L216" s="36">
        <v>4</v>
      </c>
      <c r="M216" s="36">
        <v>3</v>
      </c>
      <c r="N216" s="38">
        <v>32076748</v>
      </c>
      <c r="O216" s="41">
        <v>4009593</v>
      </c>
      <c r="P216" s="36">
        <v>24</v>
      </c>
      <c r="Q216" s="36" t="s">
        <v>73</v>
      </c>
      <c r="R216" s="36" t="s">
        <v>227</v>
      </c>
      <c r="S216" s="36" t="s">
        <v>228</v>
      </c>
      <c r="T216" s="36" t="s">
        <v>229</v>
      </c>
      <c r="U216" s="36" t="s">
        <v>230</v>
      </c>
      <c r="V216" s="40">
        <v>45658</v>
      </c>
      <c r="W216" s="40">
        <v>45889</v>
      </c>
      <c r="X216" s="36">
        <v>11</v>
      </c>
      <c r="Y216" s="36" t="s">
        <v>234</v>
      </c>
      <c r="Z216" s="36">
        <v>1</v>
      </c>
      <c r="AA216" s="36">
        <v>4009593</v>
      </c>
      <c r="AB216" s="40">
        <v>46023</v>
      </c>
      <c r="AC216" s="36" t="s">
        <v>2196</v>
      </c>
      <c r="AD216" s="36" t="str">
        <f>VLOOKUP(D216,Oficial!A:C,3,0)</f>
        <v>Arrastre</v>
      </c>
    </row>
    <row r="217" spans="1:30" x14ac:dyDescent="0.25">
      <c r="A217" s="36" t="s">
        <v>27</v>
      </c>
      <c r="B217" s="36" t="s">
        <v>222</v>
      </c>
      <c r="C217" s="36" t="s">
        <v>28</v>
      </c>
      <c r="D217" s="36" t="s">
        <v>222</v>
      </c>
      <c r="E217" s="36" t="s">
        <v>30</v>
      </c>
      <c r="F217" s="36" t="s">
        <v>31</v>
      </c>
      <c r="G217" s="37" t="s">
        <v>223</v>
      </c>
      <c r="H217" s="36" t="s">
        <v>224</v>
      </c>
      <c r="I217" s="36" t="s">
        <v>225</v>
      </c>
      <c r="J217" s="36">
        <v>2</v>
      </c>
      <c r="K217" s="36" t="s">
        <v>226</v>
      </c>
      <c r="L217" s="36">
        <v>4</v>
      </c>
      <c r="M217" s="36">
        <v>3</v>
      </c>
      <c r="N217" s="38">
        <v>32076748</v>
      </c>
      <c r="O217" s="41">
        <v>4009605</v>
      </c>
      <c r="P217" s="36">
        <v>24</v>
      </c>
      <c r="Q217" s="36" t="s">
        <v>73</v>
      </c>
      <c r="R217" s="36" t="s">
        <v>227</v>
      </c>
      <c r="S217" s="36" t="s">
        <v>228</v>
      </c>
      <c r="T217" s="36" t="s">
        <v>229</v>
      </c>
      <c r="U217" s="36" t="s">
        <v>230</v>
      </c>
      <c r="V217" s="40">
        <v>45658</v>
      </c>
      <c r="W217" s="40">
        <v>45889</v>
      </c>
      <c r="X217" s="36">
        <v>11</v>
      </c>
      <c r="Y217" s="36" t="s">
        <v>236</v>
      </c>
      <c r="Z217" s="36">
        <v>1</v>
      </c>
      <c r="AA217" s="36">
        <v>4009605</v>
      </c>
      <c r="AB217" s="40">
        <v>46357</v>
      </c>
      <c r="AC217" s="36" t="s">
        <v>2196</v>
      </c>
      <c r="AD217" s="36" t="str">
        <f>VLOOKUP(D217,Oficial!A:C,3,0)</f>
        <v>Arrastre</v>
      </c>
    </row>
    <row r="218" spans="1:30" x14ac:dyDescent="0.25">
      <c r="A218" s="36" t="s">
        <v>27</v>
      </c>
      <c r="B218" s="36" t="s">
        <v>238</v>
      </c>
      <c r="C218" s="36" t="s">
        <v>28</v>
      </c>
      <c r="D218" s="36" t="s">
        <v>238</v>
      </c>
      <c r="E218" s="36" t="s">
        <v>30</v>
      </c>
      <c r="F218" s="36" t="s">
        <v>31</v>
      </c>
      <c r="G218" s="37" t="s">
        <v>223</v>
      </c>
      <c r="H218" s="36" t="s">
        <v>239</v>
      </c>
      <c r="I218" s="36" t="s">
        <v>240</v>
      </c>
      <c r="J218" s="36">
        <v>2</v>
      </c>
      <c r="K218" s="36" t="s">
        <v>226</v>
      </c>
      <c r="L218" s="36">
        <v>4</v>
      </c>
      <c r="M218" s="36">
        <v>12</v>
      </c>
      <c r="N218" s="38">
        <v>39525850</v>
      </c>
      <c r="O218" s="44">
        <v>19762925</v>
      </c>
      <c r="P218" s="36">
        <v>24</v>
      </c>
      <c r="Q218" s="36" t="s">
        <v>73</v>
      </c>
      <c r="R218" s="36" t="s">
        <v>227</v>
      </c>
      <c r="S218" s="36" t="s">
        <v>228</v>
      </c>
      <c r="T218" s="36" t="s">
        <v>229</v>
      </c>
      <c r="U218" s="36" t="s">
        <v>230</v>
      </c>
      <c r="V218" s="40">
        <v>45658</v>
      </c>
      <c r="W218" s="40">
        <v>45889</v>
      </c>
      <c r="X218" s="36">
        <v>12</v>
      </c>
      <c r="Y218" s="36" t="s">
        <v>241</v>
      </c>
      <c r="Z218" s="36">
        <v>1</v>
      </c>
      <c r="AA218" s="36">
        <v>19762925</v>
      </c>
      <c r="AB218" s="40">
        <v>46143</v>
      </c>
      <c r="AC218" s="36" t="s">
        <v>2196</v>
      </c>
      <c r="AD218" s="36" t="str">
        <f>VLOOKUP(D218,Oficial!A:C,3,0)</f>
        <v>Arrastre</v>
      </c>
    </row>
    <row r="219" spans="1:30" x14ac:dyDescent="0.25">
      <c r="A219" s="36" t="s">
        <v>27</v>
      </c>
      <c r="B219" s="36" t="s">
        <v>238</v>
      </c>
      <c r="C219" s="36" t="s">
        <v>28</v>
      </c>
      <c r="D219" s="36" t="s">
        <v>238</v>
      </c>
      <c r="E219" s="36" t="s">
        <v>30</v>
      </c>
      <c r="F219" s="36" t="s">
        <v>31</v>
      </c>
      <c r="G219" s="37" t="s">
        <v>223</v>
      </c>
      <c r="H219" s="36" t="s">
        <v>239</v>
      </c>
      <c r="I219" s="36" t="s">
        <v>240</v>
      </c>
      <c r="J219" s="36">
        <v>2</v>
      </c>
      <c r="K219" s="36" t="s">
        <v>226</v>
      </c>
      <c r="L219" s="36">
        <v>4</v>
      </c>
      <c r="M219" s="36">
        <v>12</v>
      </c>
      <c r="N219" s="38">
        <v>39525850</v>
      </c>
      <c r="O219" s="44">
        <v>19762925</v>
      </c>
      <c r="P219" s="36">
        <v>24</v>
      </c>
      <c r="Q219" s="36" t="s">
        <v>73</v>
      </c>
      <c r="R219" s="36" t="s">
        <v>227</v>
      </c>
      <c r="S219" s="36" t="s">
        <v>228</v>
      </c>
      <c r="T219" s="36" t="s">
        <v>229</v>
      </c>
      <c r="U219" s="36" t="s">
        <v>230</v>
      </c>
      <c r="V219" s="40">
        <v>45658</v>
      </c>
      <c r="W219" s="40">
        <v>45889</v>
      </c>
      <c r="X219" s="36">
        <v>12</v>
      </c>
      <c r="Y219" s="36" t="s">
        <v>241</v>
      </c>
      <c r="Z219" s="36">
        <v>1</v>
      </c>
      <c r="AA219" s="36">
        <v>19762925</v>
      </c>
      <c r="AB219" s="40">
        <v>46113</v>
      </c>
      <c r="AC219" s="36" t="s">
        <v>2196</v>
      </c>
      <c r="AD219" s="36" t="str">
        <f>VLOOKUP(D219,Oficial!A:C,3,0)</f>
        <v>Arrastre</v>
      </c>
    </row>
    <row r="220" spans="1:30" x14ac:dyDescent="0.25">
      <c r="A220" s="36" t="s">
        <v>27</v>
      </c>
      <c r="B220" s="36" t="s">
        <v>238</v>
      </c>
      <c r="C220" s="36" t="s">
        <v>28</v>
      </c>
      <c r="D220" s="36" t="s">
        <v>238</v>
      </c>
      <c r="E220" s="36" t="s">
        <v>30</v>
      </c>
      <c r="F220" s="36" t="s">
        <v>31</v>
      </c>
      <c r="G220" s="37" t="s">
        <v>223</v>
      </c>
      <c r="H220" s="36" t="s">
        <v>239</v>
      </c>
      <c r="I220" s="36" t="s">
        <v>240</v>
      </c>
      <c r="J220" s="36">
        <v>2</v>
      </c>
      <c r="K220" s="36" t="s">
        <v>226</v>
      </c>
      <c r="L220" s="36">
        <v>4</v>
      </c>
      <c r="M220" s="36">
        <v>12</v>
      </c>
      <c r="N220" s="38">
        <v>39525850</v>
      </c>
      <c r="O220" s="44">
        <v>19762925</v>
      </c>
      <c r="P220" s="36">
        <v>24</v>
      </c>
      <c r="Q220" s="36" t="s">
        <v>73</v>
      </c>
      <c r="R220" s="36" t="s">
        <v>227</v>
      </c>
      <c r="S220" s="36" t="s">
        <v>228</v>
      </c>
      <c r="T220" s="36" t="s">
        <v>229</v>
      </c>
      <c r="U220" s="36" t="s">
        <v>230</v>
      </c>
      <c r="V220" s="40">
        <v>45658</v>
      </c>
      <c r="W220" s="40">
        <v>45889</v>
      </c>
      <c r="X220" s="36">
        <v>12</v>
      </c>
      <c r="Y220" s="36" t="s">
        <v>242</v>
      </c>
      <c r="Z220" s="36">
        <v>1</v>
      </c>
      <c r="AA220" s="36">
        <v>19762925</v>
      </c>
      <c r="AB220" s="40">
        <v>46266</v>
      </c>
      <c r="AC220" s="36" t="s">
        <v>2196</v>
      </c>
      <c r="AD220" s="36" t="str">
        <f>VLOOKUP(D220,Oficial!A:C,3,0)</f>
        <v>Arrastre</v>
      </c>
    </row>
    <row r="221" spans="1:30" x14ac:dyDescent="0.25">
      <c r="A221" s="36" t="s">
        <v>27</v>
      </c>
      <c r="B221" s="36" t="s">
        <v>238</v>
      </c>
      <c r="C221" s="36" t="s">
        <v>28</v>
      </c>
      <c r="D221" s="36" t="s">
        <v>238</v>
      </c>
      <c r="E221" s="36" t="s">
        <v>30</v>
      </c>
      <c r="F221" s="36" t="s">
        <v>31</v>
      </c>
      <c r="G221" s="37" t="s">
        <v>223</v>
      </c>
      <c r="H221" s="36" t="s">
        <v>239</v>
      </c>
      <c r="I221" s="36" t="s">
        <v>240</v>
      </c>
      <c r="J221" s="36">
        <v>2</v>
      </c>
      <c r="K221" s="36" t="s">
        <v>226</v>
      </c>
      <c r="L221" s="36">
        <v>4</v>
      </c>
      <c r="M221" s="36">
        <v>12</v>
      </c>
      <c r="N221" s="38">
        <v>39525850</v>
      </c>
      <c r="O221" s="44">
        <v>19762925</v>
      </c>
      <c r="P221" s="36">
        <v>24</v>
      </c>
      <c r="Q221" s="36" t="s">
        <v>73</v>
      </c>
      <c r="R221" s="36" t="s">
        <v>227</v>
      </c>
      <c r="S221" s="36" t="s">
        <v>228</v>
      </c>
      <c r="T221" s="36" t="s">
        <v>229</v>
      </c>
      <c r="U221" s="36" t="s">
        <v>230</v>
      </c>
      <c r="V221" s="40">
        <v>45658</v>
      </c>
      <c r="W221" s="40">
        <v>45889</v>
      </c>
      <c r="X221" s="36">
        <v>12</v>
      </c>
      <c r="Y221" s="36" t="s">
        <v>243</v>
      </c>
      <c r="Z221" s="36">
        <v>1</v>
      </c>
      <c r="AA221" s="36">
        <v>19762925</v>
      </c>
      <c r="AB221" s="40">
        <v>46113</v>
      </c>
      <c r="AC221" s="36" t="s">
        <v>2196</v>
      </c>
      <c r="AD221" s="36" t="str">
        <f>VLOOKUP(D221,Oficial!A:C,3,0)</f>
        <v>Arrastre</v>
      </c>
    </row>
    <row r="222" spans="1:30" x14ac:dyDescent="0.25">
      <c r="A222" s="36" t="s">
        <v>27</v>
      </c>
      <c r="B222" s="36" t="s">
        <v>238</v>
      </c>
      <c r="C222" s="36" t="s">
        <v>28</v>
      </c>
      <c r="D222" s="36" t="s">
        <v>238</v>
      </c>
      <c r="E222" s="36" t="s">
        <v>30</v>
      </c>
      <c r="F222" s="36" t="s">
        <v>31</v>
      </c>
      <c r="G222" s="37" t="s">
        <v>223</v>
      </c>
      <c r="H222" s="36" t="s">
        <v>239</v>
      </c>
      <c r="I222" s="36" t="s">
        <v>240</v>
      </c>
      <c r="J222" s="36">
        <v>2</v>
      </c>
      <c r="K222" s="36" t="s">
        <v>226</v>
      </c>
      <c r="L222" s="36">
        <v>4</v>
      </c>
      <c r="M222" s="36">
        <v>12</v>
      </c>
      <c r="N222" s="38">
        <v>39525850</v>
      </c>
      <c r="O222" s="44">
        <v>19762925</v>
      </c>
      <c r="P222" s="36">
        <v>24</v>
      </c>
      <c r="Q222" s="36" t="s">
        <v>73</v>
      </c>
      <c r="R222" s="36" t="s">
        <v>227</v>
      </c>
      <c r="S222" s="36" t="s">
        <v>228</v>
      </c>
      <c r="T222" s="36" t="s">
        <v>229</v>
      </c>
      <c r="U222" s="36" t="s">
        <v>230</v>
      </c>
      <c r="V222" s="40">
        <v>45658</v>
      </c>
      <c r="W222" s="40">
        <v>45889</v>
      </c>
      <c r="X222" s="36">
        <v>12</v>
      </c>
      <c r="Y222" s="36" t="s">
        <v>242</v>
      </c>
      <c r="Z222" s="36">
        <v>1</v>
      </c>
      <c r="AA222" s="36">
        <v>19762925</v>
      </c>
      <c r="AB222" s="40">
        <v>46174</v>
      </c>
      <c r="AC222" s="36" t="s">
        <v>2196</v>
      </c>
      <c r="AD222" s="36" t="str">
        <f>VLOOKUP(D222,Oficial!A:C,3,0)</f>
        <v>Arrastre</v>
      </c>
    </row>
    <row r="223" spans="1:30" x14ac:dyDescent="0.25">
      <c r="A223" s="36" t="s">
        <v>27</v>
      </c>
      <c r="B223" s="36" t="s">
        <v>238</v>
      </c>
      <c r="C223" s="36" t="s">
        <v>28</v>
      </c>
      <c r="D223" s="36" t="s">
        <v>238</v>
      </c>
      <c r="E223" s="36" t="s">
        <v>30</v>
      </c>
      <c r="F223" s="36" t="s">
        <v>31</v>
      </c>
      <c r="G223" s="37" t="s">
        <v>223</v>
      </c>
      <c r="H223" s="36" t="s">
        <v>239</v>
      </c>
      <c r="I223" s="36" t="s">
        <v>240</v>
      </c>
      <c r="J223" s="36">
        <v>2</v>
      </c>
      <c r="K223" s="36" t="s">
        <v>226</v>
      </c>
      <c r="L223" s="36">
        <v>4</v>
      </c>
      <c r="M223" s="36">
        <v>12</v>
      </c>
      <c r="N223" s="38">
        <v>39525850</v>
      </c>
      <c r="O223" s="44">
        <v>19762925</v>
      </c>
      <c r="P223" s="36">
        <v>24</v>
      </c>
      <c r="Q223" s="36" t="s">
        <v>73</v>
      </c>
      <c r="R223" s="36" t="s">
        <v>227</v>
      </c>
      <c r="S223" s="36" t="s">
        <v>228</v>
      </c>
      <c r="T223" s="36" t="s">
        <v>229</v>
      </c>
      <c r="U223" s="36" t="s">
        <v>230</v>
      </c>
      <c r="V223" s="40">
        <v>45658</v>
      </c>
      <c r="W223" s="40">
        <v>45889</v>
      </c>
      <c r="X223" s="36">
        <v>12</v>
      </c>
      <c r="Y223" s="36" t="s">
        <v>243</v>
      </c>
      <c r="Z223" s="36">
        <v>1</v>
      </c>
      <c r="AA223" s="36">
        <v>19762925</v>
      </c>
      <c r="AB223" s="40">
        <v>46357</v>
      </c>
      <c r="AC223" s="36" t="s">
        <v>2196</v>
      </c>
      <c r="AD223" s="36" t="str">
        <f>VLOOKUP(D223,Oficial!A:C,3,0)</f>
        <v>Arrastre</v>
      </c>
    </row>
    <row r="224" spans="1:30" x14ac:dyDescent="0.25">
      <c r="A224" s="36" t="s">
        <v>27</v>
      </c>
      <c r="B224" s="36" t="s">
        <v>238</v>
      </c>
      <c r="C224" s="36" t="s">
        <v>28</v>
      </c>
      <c r="D224" s="36" t="s">
        <v>238</v>
      </c>
      <c r="E224" s="36" t="s">
        <v>30</v>
      </c>
      <c r="F224" s="36" t="s">
        <v>31</v>
      </c>
      <c r="G224" s="37" t="s">
        <v>223</v>
      </c>
      <c r="H224" s="36" t="s">
        <v>239</v>
      </c>
      <c r="I224" s="36" t="s">
        <v>240</v>
      </c>
      <c r="J224" s="36">
        <v>2</v>
      </c>
      <c r="K224" s="36" t="s">
        <v>226</v>
      </c>
      <c r="L224" s="36">
        <v>4</v>
      </c>
      <c r="M224" s="36">
        <v>12</v>
      </c>
      <c r="N224" s="38">
        <v>39525850</v>
      </c>
      <c r="O224" s="44">
        <v>19762925</v>
      </c>
      <c r="P224" s="36">
        <v>24</v>
      </c>
      <c r="Q224" s="36" t="s">
        <v>73</v>
      </c>
      <c r="R224" s="36" t="s">
        <v>227</v>
      </c>
      <c r="S224" s="36" t="s">
        <v>228</v>
      </c>
      <c r="T224" s="36" t="s">
        <v>229</v>
      </c>
      <c r="U224" s="36" t="s">
        <v>230</v>
      </c>
      <c r="V224" s="40">
        <v>45658</v>
      </c>
      <c r="W224" s="40">
        <v>45889</v>
      </c>
      <c r="X224" s="36">
        <v>12</v>
      </c>
      <c r="Y224" s="36" t="s">
        <v>242</v>
      </c>
      <c r="Z224" s="36">
        <v>1</v>
      </c>
      <c r="AA224" s="36">
        <v>19762925</v>
      </c>
      <c r="AB224" s="40">
        <v>46082</v>
      </c>
      <c r="AC224" s="36" t="s">
        <v>2196</v>
      </c>
      <c r="AD224" s="36" t="str">
        <f>VLOOKUP(D224,Oficial!A:C,3,0)</f>
        <v>Arrastre</v>
      </c>
    </row>
    <row r="225" spans="1:30" x14ac:dyDescent="0.25">
      <c r="A225" s="36" t="s">
        <v>27</v>
      </c>
      <c r="B225" s="36" t="s">
        <v>238</v>
      </c>
      <c r="C225" s="36" t="s">
        <v>28</v>
      </c>
      <c r="D225" s="36" t="s">
        <v>238</v>
      </c>
      <c r="E225" s="36" t="s">
        <v>30</v>
      </c>
      <c r="F225" s="36" t="s">
        <v>31</v>
      </c>
      <c r="G225" s="37" t="s">
        <v>223</v>
      </c>
      <c r="H225" s="36" t="s">
        <v>239</v>
      </c>
      <c r="I225" s="36" t="s">
        <v>240</v>
      </c>
      <c r="J225" s="36">
        <v>2</v>
      </c>
      <c r="K225" s="36" t="s">
        <v>226</v>
      </c>
      <c r="L225" s="36">
        <v>4</v>
      </c>
      <c r="M225" s="36">
        <v>12</v>
      </c>
      <c r="N225" s="38">
        <v>39525850</v>
      </c>
      <c r="O225" s="44">
        <v>19762925</v>
      </c>
      <c r="P225" s="36">
        <v>24</v>
      </c>
      <c r="Q225" s="36" t="s">
        <v>73</v>
      </c>
      <c r="R225" s="36" t="s">
        <v>227</v>
      </c>
      <c r="S225" s="36" t="s">
        <v>228</v>
      </c>
      <c r="T225" s="36" t="s">
        <v>229</v>
      </c>
      <c r="U225" s="36" t="s">
        <v>230</v>
      </c>
      <c r="V225" s="40">
        <v>45658</v>
      </c>
      <c r="W225" s="40">
        <v>45889</v>
      </c>
      <c r="X225" s="36">
        <v>12</v>
      </c>
      <c r="Y225" s="36" t="s">
        <v>242</v>
      </c>
      <c r="Z225" s="36">
        <v>1</v>
      </c>
      <c r="AA225" s="36">
        <v>19762925</v>
      </c>
      <c r="AB225" s="40">
        <v>46357</v>
      </c>
      <c r="AC225" s="36" t="s">
        <v>2196</v>
      </c>
      <c r="AD225" s="36" t="str">
        <f>VLOOKUP(D225,Oficial!A:C,3,0)</f>
        <v>Arrastre</v>
      </c>
    </row>
    <row r="226" spans="1:30" x14ac:dyDescent="0.25">
      <c r="A226" s="36" t="s">
        <v>27</v>
      </c>
      <c r="B226" s="36" t="s">
        <v>238</v>
      </c>
      <c r="C226" s="36" t="s">
        <v>28</v>
      </c>
      <c r="D226" s="36" t="s">
        <v>238</v>
      </c>
      <c r="E226" s="36" t="s">
        <v>30</v>
      </c>
      <c r="F226" s="36" t="s">
        <v>31</v>
      </c>
      <c r="G226" s="37" t="s">
        <v>223</v>
      </c>
      <c r="H226" s="36" t="s">
        <v>239</v>
      </c>
      <c r="I226" s="36" t="s">
        <v>240</v>
      </c>
      <c r="J226" s="36">
        <v>2</v>
      </c>
      <c r="K226" s="36" t="s">
        <v>226</v>
      </c>
      <c r="L226" s="36">
        <v>4</v>
      </c>
      <c r="M226" s="36">
        <v>12</v>
      </c>
      <c r="N226" s="38">
        <v>39525850</v>
      </c>
      <c r="O226" s="44">
        <v>19762925</v>
      </c>
      <c r="P226" s="36">
        <v>24</v>
      </c>
      <c r="Q226" s="36" t="s">
        <v>73</v>
      </c>
      <c r="R226" s="36" t="s">
        <v>227</v>
      </c>
      <c r="S226" s="36" t="s">
        <v>228</v>
      </c>
      <c r="T226" s="36" t="s">
        <v>229</v>
      </c>
      <c r="U226" s="36" t="s">
        <v>230</v>
      </c>
      <c r="V226" s="40">
        <v>45658</v>
      </c>
      <c r="W226" s="40">
        <v>45889</v>
      </c>
      <c r="X226" s="36">
        <v>12</v>
      </c>
      <c r="Y226" s="36" t="s">
        <v>242</v>
      </c>
      <c r="Z226" s="36">
        <v>1</v>
      </c>
      <c r="AA226" s="36">
        <v>19762925</v>
      </c>
      <c r="AB226" s="40">
        <v>46143</v>
      </c>
      <c r="AC226" s="36" t="s">
        <v>2196</v>
      </c>
      <c r="AD226" s="36" t="str">
        <f>VLOOKUP(D226,Oficial!A:C,3,0)</f>
        <v>Arrastre</v>
      </c>
    </row>
    <row r="227" spans="1:30" x14ac:dyDescent="0.25">
      <c r="A227" s="36" t="s">
        <v>27</v>
      </c>
      <c r="B227" s="36" t="s">
        <v>238</v>
      </c>
      <c r="C227" s="36" t="s">
        <v>28</v>
      </c>
      <c r="D227" s="36" t="s">
        <v>238</v>
      </c>
      <c r="E227" s="36" t="s">
        <v>30</v>
      </c>
      <c r="F227" s="36" t="s">
        <v>31</v>
      </c>
      <c r="G227" s="37" t="s">
        <v>223</v>
      </c>
      <c r="H227" s="36" t="s">
        <v>239</v>
      </c>
      <c r="I227" s="36" t="s">
        <v>240</v>
      </c>
      <c r="J227" s="36">
        <v>2</v>
      </c>
      <c r="K227" s="36" t="s">
        <v>226</v>
      </c>
      <c r="L227" s="36">
        <v>4</v>
      </c>
      <c r="M227" s="36">
        <v>12</v>
      </c>
      <c r="N227" s="38">
        <v>39525850</v>
      </c>
      <c r="O227" s="44">
        <v>19762925</v>
      </c>
      <c r="P227" s="36">
        <v>24</v>
      </c>
      <c r="Q227" s="36" t="s">
        <v>73</v>
      </c>
      <c r="R227" s="36" t="s">
        <v>227</v>
      </c>
      <c r="S227" s="36" t="s">
        <v>228</v>
      </c>
      <c r="T227" s="36" t="s">
        <v>229</v>
      </c>
      <c r="U227" s="36" t="s">
        <v>230</v>
      </c>
      <c r="V227" s="40">
        <v>45658</v>
      </c>
      <c r="W227" s="40">
        <v>45889</v>
      </c>
      <c r="X227" s="36">
        <v>12</v>
      </c>
      <c r="Y227" s="36" t="s">
        <v>241</v>
      </c>
      <c r="Z227" s="36">
        <v>1</v>
      </c>
      <c r="AA227" s="36">
        <v>19762925</v>
      </c>
      <c r="AB227" s="40">
        <v>46082</v>
      </c>
      <c r="AC227" s="36" t="s">
        <v>2196</v>
      </c>
      <c r="AD227" s="36" t="str">
        <f>VLOOKUP(D227,Oficial!A:C,3,0)</f>
        <v>Arrastre</v>
      </c>
    </row>
    <row r="228" spans="1:30" x14ac:dyDescent="0.25">
      <c r="A228" s="36" t="s">
        <v>27</v>
      </c>
      <c r="B228" s="36" t="s">
        <v>238</v>
      </c>
      <c r="C228" s="36" t="s">
        <v>28</v>
      </c>
      <c r="D228" s="36" t="s">
        <v>238</v>
      </c>
      <c r="E228" s="36" t="s">
        <v>30</v>
      </c>
      <c r="F228" s="36" t="s">
        <v>31</v>
      </c>
      <c r="G228" s="37" t="s">
        <v>223</v>
      </c>
      <c r="H228" s="36" t="s">
        <v>239</v>
      </c>
      <c r="I228" s="36" t="s">
        <v>240</v>
      </c>
      <c r="J228" s="36">
        <v>2</v>
      </c>
      <c r="K228" s="36" t="s">
        <v>226</v>
      </c>
      <c r="L228" s="36">
        <v>4</v>
      </c>
      <c r="M228" s="36">
        <v>12</v>
      </c>
      <c r="N228" s="38">
        <v>39525850</v>
      </c>
      <c r="O228" s="44">
        <v>19762925</v>
      </c>
      <c r="P228" s="36">
        <v>24</v>
      </c>
      <c r="Q228" s="36" t="s">
        <v>73</v>
      </c>
      <c r="R228" s="36" t="s">
        <v>227</v>
      </c>
      <c r="S228" s="36" t="s">
        <v>228</v>
      </c>
      <c r="T228" s="36" t="s">
        <v>229</v>
      </c>
      <c r="U228" s="36" t="s">
        <v>230</v>
      </c>
      <c r="V228" s="40">
        <v>45658</v>
      </c>
      <c r="W228" s="40">
        <v>45889</v>
      </c>
      <c r="X228" s="36">
        <v>12</v>
      </c>
      <c r="Y228" s="36" t="s">
        <v>242</v>
      </c>
      <c r="Z228" s="36">
        <v>1</v>
      </c>
      <c r="AA228" s="36">
        <v>19762925</v>
      </c>
      <c r="AB228" s="40">
        <v>46113</v>
      </c>
      <c r="AC228" s="36" t="s">
        <v>2196</v>
      </c>
      <c r="AD228" s="36" t="str">
        <f>VLOOKUP(D228,Oficial!A:C,3,0)</f>
        <v>Arrastre</v>
      </c>
    </row>
    <row r="229" spans="1:30" x14ac:dyDescent="0.25">
      <c r="A229" s="36" t="s">
        <v>27</v>
      </c>
      <c r="B229" s="36" t="s">
        <v>238</v>
      </c>
      <c r="C229" s="36" t="s">
        <v>28</v>
      </c>
      <c r="D229" s="36" t="s">
        <v>238</v>
      </c>
      <c r="E229" s="36" t="s">
        <v>30</v>
      </c>
      <c r="F229" s="36" t="s">
        <v>31</v>
      </c>
      <c r="G229" s="37" t="s">
        <v>223</v>
      </c>
      <c r="H229" s="36" t="s">
        <v>239</v>
      </c>
      <c r="I229" s="36" t="s">
        <v>240</v>
      </c>
      <c r="J229" s="36">
        <v>2</v>
      </c>
      <c r="K229" s="36" t="s">
        <v>226</v>
      </c>
      <c r="L229" s="36">
        <v>4</v>
      </c>
      <c r="M229" s="36">
        <v>12</v>
      </c>
      <c r="N229" s="38">
        <v>39525850</v>
      </c>
      <c r="O229" s="44">
        <v>19762925</v>
      </c>
      <c r="P229" s="36">
        <v>24</v>
      </c>
      <c r="Q229" s="36" t="s">
        <v>73</v>
      </c>
      <c r="R229" s="36" t="s">
        <v>227</v>
      </c>
      <c r="S229" s="36" t="s">
        <v>228</v>
      </c>
      <c r="T229" s="36" t="s">
        <v>229</v>
      </c>
      <c r="U229" s="36" t="s">
        <v>230</v>
      </c>
      <c r="V229" s="40">
        <v>45658</v>
      </c>
      <c r="W229" s="40">
        <v>45889</v>
      </c>
      <c r="X229" s="36">
        <v>12</v>
      </c>
      <c r="Y229" s="36" t="s">
        <v>243</v>
      </c>
      <c r="Z229" s="36">
        <v>1</v>
      </c>
      <c r="AA229" s="36">
        <v>19762925</v>
      </c>
      <c r="AB229" s="40">
        <v>46204</v>
      </c>
      <c r="AC229" s="36" t="s">
        <v>2196</v>
      </c>
      <c r="AD229" s="36" t="str">
        <f>VLOOKUP(D229,Oficial!A:C,3,0)</f>
        <v>Arrastre</v>
      </c>
    </row>
    <row r="230" spans="1:30" x14ac:dyDescent="0.25">
      <c r="A230" s="36" t="s">
        <v>27</v>
      </c>
      <c r="B230" s="36" t="s">
        <v>244</v>
      </c>
      <c r="C230" s="36" t="s">
        <v>28</v>
      </c>
      <c r="D230" s="36" t="s">
        <v>244</v>
      </c>
      <c r="E230" s="36" t="s">
        <v>30</v>
      </c>
      <c r="F230" s="36" t="s">
        <v>31</v>
      </c>
      <c r="G230" s="37" t="s">
        <v>223</v>
      </c>
      <c r="H230" s="36" t="s">
        <v>245</v>
      </c>
      <c r="I230" s="36" t="s">
        <v>246</v>
      </c>
      <c r="J230" s="36">
        <v>2</v>
      </c>
      <c r="K230" s="36" t="s">
        <v>226</v>
      </c>
      <c r="L230" s="36">
        <v>4</v>
      </c>
      <c r="M230" s="36">
        <v>10</v>
      </c>
      <c r="N230" s="38">
        <v>56940000</v>
      </c>
      <c r="O230" s="46">
        <v>23725000</v>
      </c>
      <c r="P230" s="36">
        <v>24</v>
      </c>
      <c r="Q230" s="36" t="s">
        <v>73</v>
      </c>
      <c r="R230" s="36" t="s">
        <v>227</v>
      </c>
      <c r="S230" s="36" t="s">
        <v>228</v>
      </c>
      <c r="T230" s="36" t="s">
        <v>229</v>
      </c>
      <c r="U230" s="36" t="s">
        <v>230</v>
      </c>
      <c r="V230" s="40">
        <v>45658</v>
      </c>
      <c r="W230" s="40">
        <v>45889</v>
      </c>
      <c r="X230" s="36">
        <v>10</v>
      </c>
      <c r="Y230" s="36" t="s">
        <v>247</v>
      </c>
      <c r="Z230" s="36">
        <v>1</v>
      </c>
      <c r="AA230" s="36">
        <v>23725000</v>
      </c>
      <c r="AB230" s="40">
        <v>46082</v>
      </c>
      <c r="AC230" s="36" t="s">
        <v>2196</v>
      </c>
      <c r="AD230" s="36" t="str">
        <f>VLOOKUP(D230,Oficial!A:C,3,0)</f>
        <v>Arrastre</v>
      </c>
    </row>
    <row r="231" spans="1:30" x14ac:dyDescent="0.25">
      <c r="A231" s="36" t="s">
        <v>27</v>
      </c>
      <c r="B231" s="36" t="s">
        <v>244</v>
      </c>
      <c r="C231" s="36" t="s">
        <v>28</v>
      </c>
      <c r="D231" s="36" t="s">
        <v>244</v>
      </c>
      <c r="E231" s="36" t="s">
        <v>30</v>
      </c>
      <c r="F231" s="36" t="s">
        <v>31</v>
      </c>
      <c r="G231" s="37" t="s">
        <v>223</v>
      </c>
      <c r="H231" s="36" t="s">
        <v>245</v>
      </c>
      <c r="I231" s="36" t="s">
        <v>246</v>
      </c>
      <c r="J231" s="36">
        <v>2</v>
      </c>
      <c r="K231" s="36" t="s">
        <v>226</v>
      </c>
      <c r="L231" s="36">
        <v>4</v>
      </c>
      <c r="M231" s="36">
        <v>10</v>
      </c>
      <c r="N231" s="38">
        <v>56940000</v>
      </c>
      <c r="O231" s="46">
        <v>23725000</v>
      </c>
      <c r="P231" s="36">
        <v>24</v>
      </c>
      <c r="Q231" s="36" t="s">
        <v>73</v>
      </c>
      <c r="R231" s="36" t="s">
        <v>227</v>
      </c>
      <c r="S231" s="36" t="s">
        <v>228</v>
      </c>
      <c r="T231" s="36" t="s">
        <v>229</v>
      </c>
      <c r="U231" s="36" t="s">
        <v>230</v>
      </c>
      <c r="V231" s="40">
        <v>45658</v>
      </c>
      <c r="W231" s="40">
        <v>45889</v>
      </c>
      <c r="X231" s="36">
        <v>10</v>
      </c>
      <c r="Y231" s="36" t="s">
        <v>247</v>
      </c>
      <c r="Z231" s="36">
        <v>1</v>
      </c>
      <c r="AA231" s="36">
        <v>23725000</v>
      </c>
      <c r="AB231" s="40">
        <v>46327</v>
      </c>
      <c r="AC231" s="36" t="s">
        <v>2196</v>
      </c>
      <c r="AD231" s="36" t="str">
        <f>VLOOKUP(D231,Oficial!A:C,3,0)</f>
        <v>Arrastre</v>
      </c>
    </row>
    <row r="232" spans="1:30" x14ac:dyDescent="0.25">
      <c r="A232" s="36" t="s">
        <v>27</v>
      </c>
      <c r="B232" s="36" t="s">
        <v>244</v>
      </c>
      <c r="C232" s="36" t="s">
        <v>28</v>
      </c>
      <c r="D232" s="36" t="s">
        <v>244</v>
      </c>
      <c r="E232" s="36" t="s">
        <v>30</v>
      </c>
      <c r="F232" s="36" t="s">
        <v>31</v>
      </c>
      <c r="G232" s="37" t="s">
        <v>223</v>
      </c>
      <c r="H232" s="36" t="s">
        <v>245</v>
      </c>
      <c r="I232" s="36" t="s">
        <v>246</v>
      </c>
      <c r="J232" s="36">
        <v>2</v>
      </c>
      <c r="K232" s="36" t="s">
        <v>226</v>
      </c>
      <c r="L232" s="36">
        <v>4</v>
      </c>
      <c r="M232" s="36">
        <v>10</v>
      </c>
      <c r="N232" s="38">
        <v>56940000</v>
      </c>
      <c r="O232" s="46">
        <v>23725000</v>
      </c>
      <c r="P232" s="36">
        <v>24</v>
      </c>
      <c r="Q232" s="36" t="s">
        <v>73</v>
      </c>
      <c r="R232" s="36" t="s">
        <v>227</v>
      </c>
      <c r="S232" s="36" t="s">
        <v>228</v>
      </c>
      <c r="T232" s="36" t="s">
        <v>229</v>
      </c>
      <c r="U232" s="36" t="s">
        <v>230</v>
      </c>
      <c r="V232" s="40">
        <v>45658</v>
      </c>
      <c r="W232" s="40">
        <v>45889</v>
      </c>
      <c r="X232" s="36">
        <v>10</v>
      </c>
      <c r="Y232" s="36" t="s">
        <v>248</v>
      </c>
      <c r="Z232" s="36">
        <v>1</v>
      </c>
      <c r="AA232" s="36">
        <v>23725000</v>
      </c>
      <c r="AB232" s="40">
        <v>46082</v>
      </c>
      <c r="AC232" s="36" t="s">
        <v>2196</v>
      </c>
      <c r="AD232" s="36" t="str">
        <f>VLOOKUP(D232,Oficial!A:C,3,0)</f>
        <v>Arrastre</v>
      </c>
    </row>
    <row r="233" spans="1:30" x14ac:dyDescent="0.25">
      <c r="A233" s="36" t="s">
        <v>27</v>
      </c>
      <c r="B233" s="36" t="s">
        <v>244</v>
      </c>
      <c r="C233" s="36" t="s">
        <v>28</v>
      </c>
      <c r="D233" s="36" t="s">
        <v>244</v>
      </c>
      <c r="E233" s="36" t="s">
        <v>30</v>
      </c>
      <c r="F233" s="36" t="s">
        <v>31</v>
      </c>
      <c r="G233" s="37" t="s">
        <v>223</v>
      </c>
      <c r="H233" s="36" t="s">
        <v>245</v>
      </c>
      <c r="I233" s="36" t="s">
        <v>246</v>
      </c>
      <c r="J233" s="36">
        <v>2</v>
      </c>
      <c r="K233" s="36" t="s">
        <v>226</v>
      </c>
      <c r="L233" s="36">
        <v>4</v>
      </c>
      <c r="M233" s="36">
        <v>10</v>
      </c>
      <c r="N233" s="38">
        <v>56940000</v>
      </c>
      <c r="O233" s="46">
        <v>23725000</v>
      </c>
      <c r="P233" s="36">
        <v>24</v>
      </c>
      <c r="Q233" s="36" t="s">
        <v>73</v>
      </c>
      <c r="R233" s="36" t="s">
        <v>227</v>
      </c>
      <c r="S233" s="36" t="s">
        <v>228</v>
      </c>
      <c r="T233" s="36" t="s">
        <v>229</v>
      </c>
      <c r="U233" s="36" t="s">
        <v>230</v>
      </c>
      <c r="V233" s="40">
        <v>45658</v>
      </c>
      <c r="W233" s="40">
        <v>45889</v>
      </c>
      <c r="X233" s="36">
        <v>10</v>
      </c>
      <c r="Y233" s="36" t="s">
        <v>249</v>
      </c>
      <c r="Z233" s="36">
        <v>1</v>
      </c>
      <c r="AA233" s="36">
        <v>23725000</v>
      </c>
      <c r="AB233" s="40">
        <v>46113</v>
      </c>
      <c r="AC233" s="36" t="s">
        <v>2196</v>
      </c>
      <c r="AD233" s="36" t="str">
        <f>VLOOKUP(D233,Oficial!A:C,3,0)</f>
        <v>Arrastre</v>
      </c>
    </row>
    <row r="234" spans="1:30" x14ac:dyDescent="0.25">
      <c r="A234" s="36" t="s">
        <v>27</v>
      </c>
      <c r="B234" s="36" t="s">
        <v>244</v>
      </c>
      <c r="C234" s="36" t="s">
        <v>28</v>
      </c>
      <c r="D234" s="36" t="s">
        <v>244</v>
      </c>
      <c r="E234" s="36" t="s">
        <v>30</v>
      </c>
      <c r="F234" s="36" t="s">
        <v>31</v>
      </c>
      <c r="G234" s="37" t="s">
        <v>223</v>
      </c>
      <c r="H234" s="36" t="s">
        <v>245</v>
      </c>
      <c r="I234" s="36" t="s">
        <v>246</v>
      </c>
      <c r="J234" s="36">
        <v>2</v>
      </c>
      <c r="K234" s="36" t="s">
        <v>226</v>
      </c>
      <c r="L234" s="36">
        <v>4</v>
      </c>
      <c r="M234" s="36">
        <v>10</v>
      </c>
      <c r="N234" s="38">
        <v>56940000</v>
      </c>
      <c r="O234" s="46">
        <v>23725000</v>
      </c>
      <c r="P234" s="36">
        <v>24</v>
      </c>
      <c r="Q234" s="36" t="s">
        <v>73</v>
      </c>
      <c r="R234" s="36" t="s">
        <v>227</v>
      </c>
      <c r="S234" s="36" t="s">
        <v>228</v>
      </c>
      <c r="T234" s="36" t="s">
        <v>229</v>
      </c>
      <c r="U234" s="36" t="s">
        <v>230</v>
      </c>
      <c r="V234" s="40">
        <v>45658</v>
      </c>
      <c r="W234" s="40">
        <v>45889</v>
      </c>
      <c r="X234" s="36">
        <v>10</v>
      </c>
      <c r="Y234" s="36" t="s">
        <v>248</v>
      </c>
      <c r="Z234" s="36">
        <v>1</v>
      </c>
      <c r="AA234" s="36">
        <v>23725000</v>
      </c>
      <c r="AB234" s="40">
        <v>46113</v>
      </c>
      <c r="AC234" s="36" t="s">
        <v>2196</v>
      </c>
      <c r="AD234" s="36" t="str">
        <f>VLOOKUP(D234,Oficial!A:C,3,0)</f>
        <v>Arrastre</v>
      </c>
    </row>
    <row r="235" spans="1:30" x14ac:dyDescent="0.25">
      <c r="A235" s="36" t="s">
        <v>27</v>
      </c>
      <c r="B235" s="36" t="s">
        <v>244</v>
      </c>
      <c r="C235" s="36" t="s">
        <v>28</v>
      </c>
      <c r="D235" s="36" t="s">
        <v>244</v>
      </c>
      <c r="E235" s="36" t="s">
        <v>30</v>
      </c>
      <c r="F235" s="36" t="s">
        <v>31</v>
      </c>
      <c r="G235" s="37" t="s">
        <v>223</v>
      </c>
      <c r="H235" s="36" t="s">
        <v>245</v>
      </c>
      <c r="I235" s="36" t="s">
        <v>246</v>
      </c>
      <c r="J235" s="36">
        <v>2</v>
      </c>
      <c r="K235" s="36" t="s">
        <v>226</v>
      </c>
      <c r="L235" s="36">
        <v>4</v>
      </c>
      <c r="M235" s="36">
        <v>10</v>
      </c>
      <c r="N235" s="38">
        <v>56940000</v>
      </c>
      <c r="O235" s="46">
        <v>23725000</v>
      </c>
      <c r="P235" s="36">
        <v>24</v>
      </c>
      <c r="Q235" s="36" t="s">
        <v>73</v>
      </c>
      <c r="R235" s="36" t="s">
        <v>227</v>
      </c>
      <c r="S235" s="36" t="s">
        <v>228</v>
      </c>
      <c r="T235" s="36" t="s">
        <v>229</v>
      </c>
      <c r="U235" s="36" t="s">
        <v>230</v>
      </c>
      <c r="V235" s="40">
        <v>45658</v>
      </c>
      <c r="W235" s="40">
        <v>45889</v>
      </c>
      <c r="X235" s="36">
        <v>10</v>
      </c>
      <c r="Y235" s="36" t="s">
        <v>249</v>
      </c>
      <c r="Z235" s="36">
        <v>1</v>
      </c>
      <c r="AA235" s="36">
        <v>23725000</v>
      </c>
      <c r="AB235" s="40">
        <v>46023</v>
      </c>
      <c r="AC235" s="36" t="s">
        <v>2196</v>
      </c>
      <c r="AD235" s="36" t="str">
        <f>VLOOKUP(D235,Oficial!A:C,3,0)</f>
        <v>Arrastre</v>
      </c>
    </row>
    <row r="236" spans="1:30" x14ac:dyDescent="0.25">
      <c r="A236" s="36" t="s">
        <v>27</v>
      </c>
      <c r="B236" s="36" t="s">
        <v>244</v>
      </c>
      <c r="C236" s="36" t="s">
        <v>28</v>
      </c>
      <c r="D236" s="36" t="s">
        <v>244</v>
      </c>
      <c r="E236" s="36" t="s">
        <v>30</v>
      </c>
      <c r="F236" s="36" t="s">
        <v>31</v>
      </c>
      <c r="G236" s="37" t="s">
        <v>223</v>
      </c>
      <c r="H236" s="36" t="s">
        <v>245</v>
      </c>
      <c r="I236" s="36" t="s">
        <v>246</v>
      </c>
      <c r="J236" s="36">
        <v>2</v>
      </c>
      <c r="K236" s="36" t="s">
        <v>226</v>
      </c>
      <c r="L236" s="36">
        <v>4</v>
      </c>
      <c r="M236" s="36">
        <v>10</v>
      </c>
      <c r="N236" s="38">
        <v>56940000</v>
      </c>
      <c r="O236" s="46">
        <v>23725000</v>
      </c>
      <c r="P236" s="36">
        <v>24</v>
      </c>
      <c r="Q236" s="36" t="s">
        <v>73</v>
      </c>
      <c r="R236" s="36" t="s">
        <v>227</v>
      </c>
      <c r="S236" s="36" t="s">
        <v>228</v>
      </c>
      <c r="T236" s="36" t="s">
        <v>229</v>
      </c>
      <c r="U236" s="36" t="s">
        <v>230</v>
      </c>
      <c r="V236" s="40">
        <v>45658</v>
      </c>
      <c r="W236" s="40">
        <v>45889</v>
      </c>
      <c r="X236" s="36">
        <v>10</v>
      </c>
      <c r="Y236" s="36" t="s">
        <v>249</v>
      </c>
      <c r="Z236" s="36">
        <v>1</v>
      </c>
      <c r="AA236" s="36">
        <v>23725000</v>
      </c>
      <c r="AB236" s="40">
        <v>46204</v>
      </c>
      <c r="AC236" s="36" t="s">
        <v>2196</v>
      </c>
      <c r="AD236" s="36" t="str">
        <f>VLOOKUP(D236,Oficial!A:C,3,0)</f>
        <v>Arrastre</v>
      </c>
    </row>
    <row r="237" spans="1:30" x14ac:dyDescent="0.25">
      <c r="A237" s="36" t="s">
        <v>27</v>
      </c>
      <c r="B237" s="36" t="s">
        <v>244</v>
      </c>
      <c r="C237" s="36" t="s">
        <v>28</v>
      </c>
      <c r="D237" s="36" t="s">
        <v>244</v>
      </c>
      <c r="E237" s="36" t="s">
        <v>30</v>
      </c>
      <c r="F237" s="36" t="s">
        <v>31</v>
      </c>
      <c r="G237" s="37" t="s">
        <v>223</v>
      </c>
      <c r="H237" s="36" t="s">
        <v>245</v>
      </c>
      <c r="I237" s="36" t="s">
        <v>246</v>
      </c>
      <c r="J237" s="36">
        <v>2</v>
      </c>
      <c r="K237" s="36" t="s">
        <v>226</v>
      </c>
      <c r="L237" s="36">
        <v>4</v>
      </c>
      <c r="M237" s="36">
        <v>10</v>
      </c>
      <c r="N237" s="38">
        <v>56940000</v>
      </c>
      <c r="O237" s="46">
        <v>23725000</v>
      </c>
      <c r="P237" s="36">
        <v>24</v>
      </c>
      <c r="Q237" s="36" t="s">
        <v>73</v>
      </c>
      <c r="R237" s="36" t="s">
        <v>227</v>
      </c>
      <c r="S237" s="36" t="s">
        <v>228</v>
      </c>
      <c r="T237" s="36" t="s">
        <v>229</v>
      </c>
      <c r="U237" s="36" t="s">
        <v>230</v>
      </c>
      <c r="V237" s="40">
        <v>45658</v>
      </c>
      <c r="W237" s="40">
        <v>45889</v>
      </c>
      <c r="X237" s="36">
        <v>10</v>
      </c>
      <c r="Y237" s="36" t="s">
        <v>249</v>
      </c>
      <c r="Z237" s="36">
        <v>1</v>
      </c>
      <c r="AA237" s="36">
        <v>23725000</v>
      </c>
      <c r="AB237" s="40">
        <v>46054</v>
      </c>
      <c r="AC237" s="36" t="s">
        <v>2196</v>
      </c>
      <c r="AD237" s="36" t="str">
        <f>VLOOKUP(D237,Oficial!A:C,3,0)</f>
        <v>Arrastre</v>
      </c>
    </row>
    <row r="238" spans="1:30" x14ac:dyDescent="0.25">
      <c r="A238" s="36" t="s">
        <v>27</v>
      </c>
      <c r="B238" s="36" t="s">
        <v>244</v>
      </c>
      <c r="C238" s="36" t="s">
        <v>28</v>
      </c>
      <c r="D238" s="36" t="s">
        <v>244</v>
      </c>
      <c r="E238" s="36" t="s">
        <v>30</v>
      </c>
      <c r="F238" s="36" t="s">
        <v>31</v>
      </c>
      <c r="G238" s="37" t="s">
        <v>223</v>
      </c>
      <c r="H238" s="36" t="s">
        <v>245</v>
      </c>
      <c r="I238" s="36" t="s">
        <v>246</v>
      </c>
      <c r="J238" s="36">
        <v>2</v>
      </c>
      <c r="K238" s="36" t="s">
        <v>226</v>
      </c>
      <c r="L238" s="36">
        <v>4</v>
      </c>
      <c r="M238" s="36">
        <v>10</v>
      </c>
      <c r="N238" s="38">
        <v>56940000</v>
      </c>
      <c r="O238" s="46">
        <v>23725000</v>
      </c>
      <c r="P238" s="36">
        <v>24</v>
      </c>
      <c r="Q238" s="36" t="s">
        <v>73</v>
      </c>
      <c r="R238" s="36" t="s">
        <v>227</v>
      </c>
      <c r="S238" s="36" t="s">
        <v>228</v>
      </c>
      <c r="T238" s="36" t="s">
        <v>229</v>
      </c>
      <c r="U238" s="36" t="s">
        <v>230</v>
      </c>
      <c r="V238" s="40">
        <v>45658</v>
      </c>
      <c r="W238" s="40">
        <v>45889</v>
      </c>
      <c r="X238" s="36">
        <v>10</v>
      </c>
      <c r="Y238" s="36" t="s">
        <v>247</v>
      </c>
      <c r="Z238" s="36">
        <v>1</v>
      </c>
      <c r="AA238" s="36">
        <v>23725000</v>
      </c>
      <c r="AB238" s="40">
        <v>46204</v>
      </c>
      <c r="AC238" s="36" t="s">
        <v>2196</v>
      </c>
      <c r="AD238" s="36" t="str">
        <f>VLOOKUP(D238,Oficial!A:C,3,0)</f>
        <v>Arrastre</v>
      </c>
    </row>
    <row r="239" spans="1:30" x14ac:dyDescent="0.25">
      <c r="A239" s="36" t="s">
        <v>27</v>
      </c>
      <c r="B239" s="36" t="s">
        <v>244</v>
      </c>
      <c r="C239" s="36" t="s">
        <v>28</v>
      </c>
      <c r="D239" s="36" t="s">
        <v>244</v>
      </c>
      <c r="E239" s="36" t="s">
        <v>30</v>
      </c>
      <c r="F239" s="36" t="s">
        <v>31</v>
      </c>
      <c r="G239" s="37" t="s">
        <v>223</v>
      </c>
      <c r="H239" s="36" t="s">
        <v>245</v>
      </c>
      <c r="I239" s="36" t="s">
        <v>246</v>
      </c>
      <c r="J239" s="36">
        <v>2</v>
      </c>
      <c r="K239" s="36" t="s">
        <v>226</v>
      </c>
      <c r="L239" s="36">
        <v>4</v>
      </c>
      <c r="M239" s="36">
        <v>10</v>
      </c>
      <c r="N239" s="38">
        <v>56940000</v>
      </c>
      <c r="O239" s="46">
        <v>23725000</v>
      </c>
      <c r="P239" s="36">
        <v>24</v>
      </c>
      <c r="Q239" s="36" t="s">
        <v>73</v>
      </c>
      <c r="R239" s="36" t="s">
        <v>227</v>
      </c>
      <c r="S239" s="36" t="s">
        <v>228</v>
      </c>
      <c r="T239" s="36" t="s">
        <v>229</v>
      </c>
      <c r="U239" s="36" t="s">
        <v>230</v>
      </c>
      <c r="V239" s="40">
        <v>45658</v>
      </c>
      <c r="W239" s="40">
        <v>45889</v>
      </c>
      <c r="X239" s="36">
        <v>10</v>
      </c>
      <c r="Y239" s="36" t="s">
        <v>249</v>
      </c>
      <c r="Z239" s="36">
        <v>1</v>
      </c>
      <c r="AA239" s="36">
        <v>23725000</v>
      </c>
      <c r="AB239" s="40">
        <v>46143</v>
      </c>
      <c r="AC239" s="36" t="s">
        <v>2196</v>
      </c>
      <c r="AD239" s="36" t="str">
        <f>VLOOKUP(D239,Oficial!A:C,3,0)</f>
        <v>Arrastre</v>
      </c>
    </row>
    <row r="240" spans="1:30" x14ac:dyDescent="0.25">
      <c r="A240" s="36" t="s">
        <v>27</v>
      </c>
      <c r="B240" s="36" t="s">
        <v>244</v>
      </c>
      <c r="C240" s="36" t="s">
        <v>28</v>
      </c>
      <c r="D240" s="36" t="s">
        <v>244</v>
      </c>
      <c r="E240" s="36" t="s">
        <v>30</v>
      </c>
      <c r="F240" s="36" t="s">
        <v>31</v>
      </c>
      <c r="G240" s="37" t="s">
        <v>223</v>
      </c>
      <c r="H240" s="36" t="s">
        <v>245</v>
      </c>
      <c r="I240" s="36" t="s">
        <v>246</v>
      </c>
      <c r="J240" s="36">
        <v>2</v>
      </c>
      <c r="K240" s="36" t="s">
        <v>226</v>
      </c>
      <c r="L240" s="36">
        <v>4</v>
      </c>
      <c r="M240" s="36">
        <v>10</v>
      </c>
      <c r="N240" s="38">
        <v>56940000</v>
      </c>
      <c r="O240" s="46">
        <v>23725000</v>
      </c>
      <c r="P240" s="36">
        <v>24</v>
      </c>
      <c r="Q240" s="36" t="s">
        <v>73</v>
      </c>
      <c r="R240" s="36" t="s">
        <v>227</v>
      </c>
      <c r="S240" s="36" t="s">
        <v>228</v>
      </c>
      <c r="T240" s="36" t="s">
        <v>229</v>
      </c>
      <c r="U240" s="36" t="s">
        <v>230</v>
      </c>
      <c r="V240" s="40">
        <v>45658</v>
      </c>
      <c r="W240" s="40">
        <v>45889</v>
      </c>
      <c r="X240" s="36">
        <v>10</v>
      </c>
      <c r="Y240" s="36" t="s">
        <v>247</v>
      </c>
      <c r="Z240" s="36">
        <v>1</v>
      </c>
      <c r="AA240" s="36">
        <v>23725000</v>
      </c>
      <c r="AB240" s="40">
        <v>46113</v>
      </c>
      <c r="AC240" s="36" t="s">
        <v>2196</v>
      </c>
      <c r="AD240" s="36" t="str">
        <f>VLOOKUP(D240,Oficial!A:C,3,0)</f>
        <v>Arrastre</v>
      </c>
    </row>
    <row r="241" spans="1:30" x14ac:dyDescent="0.25">
      <c r="A241" s="36" t="s">
        <v>27</v>
      </c>
      <c r="B241" s="36" t="s">
        <v>244</v>
      </c>
      <c r="C241" s="36" t="s">
        <v>28</v>
      </c>
      <c r="D241" s="36" t="s">
        <v>244</v>
      </c>
      <c r="E241" s="36" t="s">
        <v>30</v>
      </c>
      <c r="F241" s="36" t="s">
        <v>31</v>
      </c>
      <c r="G241" s="37" t="s">
        <v>223</v>
      </c>
      <c r="H241" s="36" t="s">
        <v>245</v>
      </c>
      <c r="I241" s="36" t="s">
        <v>246</v>
      </c>
      <c r="J241" s="36">
        <v>2</v>
      </c>
      <c r="K241" s="36" t="s">
        <v>226</v>
      </c>
      <c r="L241" s="36">
        <v>4</v>
      </c>
      <c r="M241" s="36">
        <v>10</v>
      </c>
      <c r="N241" s="38">
        <v>56940000</v>
      </c>
      <c r="O241" s="46">
        <v>23725000</v>
      </c>
      <c r="P241" s="36">
        <v>24</v>
      </c>
      <c r="Q241" s="36" t="s">
        <v>73</v>
      </c>
      <c r="R241" s="36" t="s">
        <v>227</v>
      </c>
      <c r="S241" s="36" t="s">
        <v>228</v>
      </c>
      <c r="T241" s="36" t="s">
        <v>229</v>
      </c>
      <c r="U241" s="36" t="s">
        <v>230</v>
      </c>
      <c r="V241" s="40">
        <v>45658</v>
      </c>
      <c r="W241" s="40">
        <v>45889</v>
      </c>
      <c r="X241" s="36">
        <v>10</v>
      </c>
      <c r="Y241" s="36" t="s">
        <v>250</v>
      </c>
      <c r="Z241" s="36">
        <v>1</v>
      </c>
      <c r="AA241" s="36">
        <v>23725000</v>
      </c>
      <c r="AB241" s="40">
        <v>46054</v>
      </c>
      <c r="AC241" s="36" t="s">
        <v>2196</v>
      </c>
      <c r="AD241" s="36" t="str">
        <f>VLOOKUP(D241,Oficial!A:C,3,0)</f>
        <v>Arrastre</v>
      </c>
    </row>
    <row r="242" spans="1:30" x14ac:dyDescent="0.25">
      <c r="A242" s="36" t="s">
        <v>27</v>
      </c>
      <c r="B242" s="36" t="s">
        <v>251</v>
      </c>
      <c r="C242" s="36" t="s">
        <v>28</v>
      </c>
      <c r="D242" s="36" t="s">
        <v>251</v>
      </c>
      <c r="E242" s="36" t="s">
        <v>30</v>
      </c>
      <c r="F242" s="36" t="s">
        <v>31</v>
      </c>
      <c r="G242" s="37" t="s">
        <v>252</v>
      </c>
      <c r="H242" s="36" t="s">
        <v>253</v>
      </c>
      <c r="I242" s="36" t="s">
        <v>254</v>
      </c>
      <c r="J242" s="36">
        <v>14</v>
      </c>
      <c r="K242" s="36" t="s">
        <v>255</v>
      </c>
      <c r="L242" s="36">
        <v>4</v>
      </c>
      <c r="M242" s="36">
        <v>100</v>
      </c>
      <c r="N242" s="38">
        <v>416000</v>
      </c>
      <c r="O242" s="39">
        <v>10400000</v>
      </c>
      <c r="P242" s="36">
        <v>7</v>
      </c>
      <c r="Q242" s="36" t="s">
        <v>256</v>
      </c>
      <c r="R242" s="36" t="s">
        <v>257</v>
      </c>
      <c r="S242" s="36" t="s">
        <v>258</v>
      </c>
      <c r="T242" s="36" t="s">
        <v>259</v>
      </c>
      <c r="U242" s="36" t="s">
        <v>260</v>
      </c>
      <c r="V242" s="40">
        <v>45717</v>
      </c>
      <c r="W242" s="40">
        <v>45889</v>
      </c>
      <c r="X242" s="36">
        <v>0</v>
      </c>
      <c r="Y242" s="36"/>
      <c r="Z242" s="36">
        <v>1</v>
      </c>
      <c r="AA242" s="36">
        <v>10400000</v>
      </c>
      <c r="AB242" s="40">
        <v>46357</v>
      </c>
      <c r="AC242" s="36" t="s">
        <v>2196</v>
      </c>
      <c r="AD242" s="36" t="str">
        <f>VLOOKUP(D242,Oficial!A:C,3,0)</f>
        <v>Arrastre</v>
      </c>
    </row>
    <row r="243" spans="1:30" x14ac:dyDescent="0.25">
      <c r="A243" s="36" t="s">
        <v>27</v>
      </c>
      <c r="B243" s="36" t="s">
        <v>251</v>
      </c>
      <c r="C243" s="36" t="s">
        <v>28</v>
      </c>
      <c r="D243" s="36" t="s">
        <v>251</v>
      </c>
      <c r="E243" s="36" t="s">
        <v>30</v>
      </c>
      <c r="F243" s="36" t="s">
        <v>31</v>
      </c>
      <c r="G243" s="37" t="s">
        <v>252</v>
      </c>
      <c r="H243" s="36" t="s">
        <v>253</v>
      </c>
      <c r="I243" s="36" t="s">
        <v>254</v>
      </c>
      <c r="J243" s="36">
        <v>14</v>
      </c>
      <c r="K243" s="36" t="s">
        <v>255</v>
      </c>
      <c r="L243" s="36">
        <v>4</v>
      </c>
      <c r="M243" s="36">
        <v>100</v>
      </c>
      <c r="N243" s="38">
        <v>416000</v>
      </c>
      <c r="O243" s="39">
        <v>10400000</v>
      </c>
      <c r="P243" s="36">
        <v>7</v>
      </c>
      <c r="Q243" s="36" t="s">
        <v>256</v>
      </c>
      <c r="R243" s="36" t="s">
        <v>257</v>
      </c>
      <c r="S243" s="36" t="s">
        <v>258</v>
      </c>
      <c r="T243" s="36" t="s">
        <v>259</v>
      </c>
      <c r="U243" s="36" t="s">
        <v>260</v>
      </c>
      <c r="V243" s="40">
        <v>45717</v>
      </c>
      <c r="W243" s="40">
        <v>45889</v>
      </c>
      <c r="X243" s="36">
        <v>0</v>
      </c>
      <c r="Y243" s="36"/>
      <c r="Z243" s="36">
        <v>1</v>
      </c>
      <c r="AA243" s="36">
        <v>10400000</v>
      </c>
      <c r="AB243" s="40">
        <v>46174</v>
      </c>
      <c r="AC243" s="36" t="s">
        <v>2196</v>
      </c>
      <c r="AD243" s="36" t="str">
        <f>VLOOKUP(D243,Oficial!A:C,3,0)</f>
        <v>Arrastre</v>
      </c>
    </row>
    <row r="244" spans="1:30" x14ac:dyDescent="0.25">
      <c r="A244" s="36" t="s">
        <v>27</v>
      </c>
      <c r="B244" s="36" t="s">
        <v>251</v>
      </c>
      <c r="C244" s="36" t="s">
        <v>28</v>
      </c>
      <c r="D244" s="36" t="s">
        <v>251</v>
      </c>
      <c r="E244" s="36" t="s">
        <v>30</v>
      </c>
      <c r="F244" s="36" t="s">
        <v>31</v>
      </c>
      <c r="G244" s="37" t="s">
        <v>252</v>
      </c>
      <c r="H244" s="36" t="s">
        <v>253</v>
      </c>
      <c r="I244" s="36" t="s">
        <v>254</v>
      </c>
      <c r="J244" s="36">
        <v>14</v>
      </c>
      <c r="K244" s="36" t="s">
        <v>261</v>
      </c>
      <c r="L244" s="36">
        <v>4</v>
      </c>
      <c r="M244" s="36">
        <v>100</v>
      </c>
      <c r="N244" s="38">
        <v>1438000</v>
      </c>
      <c r="O244" s="39">
        <v>35950000</v>
      </c>
      <c r="P244" s="36">
        <v>4</v>
      </c>
      <c r="Q244" s="36" t="s">
        <v>262</v>
      </c>
      <c r="R244" s="36" t="s">
        <v>257</v>
      </c>
      <c r="S244" s="36" t="s">
        <v>258</v>
      </c>
      <c r="T244" s="36" t="s">
        <v>259</v>
      </c>
      <c r="U244" s="36" t="s">
        <v>260</v>
      </c>
      <c r="V244" s="40">
        <v>45717</v>
      </c>
      <c r="W244" s="40">
        <v>45889</v>
      </c>
      <c r="X244" s="36">
        <v>0</v>
      </c>
      <c r="Y244" s="36"/>
      <c r="Z244" s="36">
        <v>1</v>
      </c>
      <c r="AA244" s="36">
        <v>35950000</v>
      </c>
      <c r="AB244" s="40">
        <v>46082</v>
      </c>
      <c r="AC244" s="36" t="s">
        <v>2196</v>
      </c>
      <c r="AD244" s="36" t="str">
        <f>VLOOKUP(D244,Oficial!A:C,3,0)</f>
        <v>Arrastre</v>
      </c>
    </row>
    <row r="245" spans="1:30" x14ac:dyDescent="0.25">
      <c r="A245" s="36" t="s">
        <v>27</v>
      </c>
      <c r="B245" s="36" t="s">
        <v>251</v>
      </c>
      <c r="C245" s="36" t="s">
        <v>28</v>
      </c>
      <c r="D245" s="36" t="s">
        <v>251</v>
      </c>
      <c r="E245" s="36" t="s">
        <v>30</v>
      </c>
      <c r="F245" s="36" t="s">
        <v>31</v>
      </c>
      <c r="G245" s="37" t="s">
        <v>252</v>
      </c>
      <c r="H245" s="36" t="s">
        <v>253</v>
      </c>
      <c r="I245" s="36" t="s">
        <v>254</v>
      </c>
      <c r="J245" s="36">
        <v>14</v>
      </c>
      <c r="K245" s="36" t="s">
        <v>261</v>
      </c>
      <c r="L245" s="36">
        <v>4</v>
      </c>
      <c r="M245" s="36">
        <v>100</v>
      </c>
      <c r="N245" s="38">
        <v>1438000</v>
      </c>
      <c r="O245" s="39">
        <v>35950000</v>
      </c>
      <c r="P245" s="36">
        <v>4</v>
      </c>
      <c r="Q245" s="36" t="s">
        <v>262</v>
      </c>
      <c r="R245" s="36" t="s">
        <v>257</v>
      </c>
      <c r="S245" s="36" t="s">
        <v>258</v>
      </c>
      <c r="T245" s="36" t="s">
        <v>259</v>
      </c>
      <c r="U245" s="36" t="s">
        <v>260</v>
      </c>
      <c r="V245" s="40">
        <v>45717</v>
      </c>
      <c r="W245" s="40">
        <v>45889</v>
      </c>
      <c r="X245" s="36">
        <v>0</v>
      </c>
      <c r="Y245" s="36"/>
      <c r="Z245" s="36">
        <v>1</v>
      </c>
      <c r="AA245" s="36">
        <v>35950000</v>
      </c>
      <c r="AB245" s="40">
        <v>46357</v>
      </c>
      <c r="AC245" s="36" t="s">
        <v>2196</v>
      </c>
      <c r="AD245" s="36" t="str">
        <f>VLOOKUP(D245,Oficial!A:C,3,0)</f>
        <v>Arrastre</v>
      </c>
    </row>
    <row r="246" spans="1:30" x14ac:dyDescent="0.25">
      <c r="A246" s="36" t="s">
        <v>27</v>
      </c>
      <c r="B246" s="36" t="s">
        <v>251</v>
      </c>
      <c r="C246" s="36" t="s">
        <v>28</v>
      </c>
      <c r="D246" s="36" t="s">
        <v>251</v>
      </c>
      <c r="E246" s="36" t="s">
        <v>30</v>
      </c>
      <c r="F246" s="36" t="s">
        <v>31</v>
      </c>
      <c r="G246" s="37" t="s">
        <v>252</v>
      </c>
      <c r="H246" s="36" t="s">
        <v>253</v>
      </c>
      <c r="I246" s="36" t="s">
        <v>254</v>
      </c>
      <c r="J246" s="36">
        <v>14</v>
      </c>
      <c r="K246" s="36" t="s">
        <v>263</v>
      </c>
      <c r="L246" s="36">
        <v>4</v>
      </c>
      <c r="M246" s="36">
        <v>100</v>
      </c>
      <c r="N246" s="38">
        <v>140000</v>
      </c>
      <c r="O246" s="39">
        <v>7000000</v>
      </c>
      <c r="P246" s="36">
        <v>2</v>
      </c>
      <c r="Q246" s="36" t="s">
        <v>264</v>
      </c>
      <c r="R246" s="36" t="s">
        <v>257</v>
      </c>
      <c r="S246" s="36" t="s">
        <v>258</v>
      </c>
      <c r="T246" s="36" t="s">
        <v>259</v>
      </c>
      <c r="U246" s="36" t="s">
        <v>260</v>
      </c>
      <c r="V246" s="40">
        <v>45717</v>
      </c>
      <c r="W246" s="40">
        <v>45889</v>
      </c>
      <c r="X246" s="36">
        <v>0</v>
      </c>
      <c r="Y246" s="36"/>
      <c r="Z246" s="36">
        <v>1</v>
      </c>
      <c r="AA246" s="36">
        <v>7000000</v>
      </c>
      <c r="AB246" s="40">
        <v>46296</v>
      </c>
      <c r="AC246" s="36" t="s">
        <v>2196</v>
      </c>
      <c r="AD246" s="36" t="str">
        <f>VLOOKUP(D246,Oficial!A:C,3,0)</f>
        <v>Arrastre</v>
      </c>
    </row>
    <row r="247" spans="1:30" x14ac:dyDescent="0.25">
      <c r="A247" s="36" t="s">
        <v>27</v>
      </c>
      <c r="B247" s="36" t="s">
        <v>251</v>
      </c>
      <c r="C247" s="36" t="s">
        <v>28</v>
      </c>
      <c r="D247" s="36" t="s">
        <v>251</v>
      </c>
      <c r="E247" s="36" t="s">
        <v>30</v>
      </c>
      <c r="F247" s="36" t="s">
        <v>31</v>
      </c>
      <c r="G247" s="37" t="s">
        <v>252</v>
      </c>
      <c r="H247" s="36" t="s">
        <v>253</v>
      </c>
      <c r="I247" s="36" t="s">
        <v>254</v>
      </c>
      <c r="J247" s="36">
        <v>14</v>
      </c>
      <c r="K247" s="36" t="s">
        <v>265</v>
      </c>
      <c r="L247" s="36">
        <v>4</v>
      </c>
      <c r="M247" s="36">
        <v>100</v>
      </c>
      <c r="N247" s="38">
        <v>903000</v>
      </c>
      <c r="O247" s="39">
        <v>45150000</v>
      </c>
      <c r="P247" s="36">
        <v>2</v>
      </c>
      <c r="Q247" s="36" t="s">
        <v>266</v>
      </c>
      <c r="R247" s="36" t="s">
        <v>257</v>
      </c>
      <c r="S247" s="36" t="s">
        <v>258</v>
      </c>
      <c r="T247" s="36" t="s">
        <v>259</v>
      </c>
      <c r="U247" s="36" t="s">
        <v>260</v>
      </c>
      <c r="V247" s="40">
        <v>45717</v>
      </c>
      <c r="W247" s="40">
        <v>45889</v>
      </c>
      <c r="X247" s="36">
        <v>0</v>
      </c>
      <c r="Y247" s="36"/>
      <c r="Z247" s="36">
        <v>1</v>
      </c>
      <c r="AA247" s="36">
        <v>45150000</v>
      </c>
      <c r="AB247" s="40">
        <v>46204</v>
      </c>
      <c r="AC247" s="36" t="s">
        <v>2196</v>
      </c>
      <c r="AD247" s="36" t="str">
        <f>VLOOKUP(D247,Oficial!A:C,3,0)</f>
        <v>Arrastre</v>
      </c>
    </row>
    <row r="248" spans="1:30" x14ac:dyDescent="0.25">
      <c r="A248" s="36" t="s">
        <v>27</v>
      </c>
      <c r="B248" s="36" t="s">
        <v>251</v>
      </c>
      <c r="C248" s="36" t="s">
        <v>28</v>
      </c>
      <c r="D248" s="36" t="s">
        <v>251</v>
      </c>
      <c r="E248" s="36" t="s">
        <v>30</v>
      </c>
      <c r="F248" s="36" t="s">
        <v>31</v>
      </c>
      <c r="G248" s="37" t="s">
        <v>252</v>
      </c>
      <c r="H248" s="36" t="s">
        <v>253</v>
      </c>
      <c r="I248" s="36" t="s">
        <v>254</v>
      </c>
      <c r="J248" s="36">
        <v>14</v>
      </c>
      <c r="K248" s="36" t="s">
        <v>267</v>
      </c>
      <c r="L248" s="36">
        <v>4</v>
      </c>
      <c r="M248" s="36">
        <v>100</v>
      </c>
      <c r="N248" s="38">
        <v>496400</v>
      </c>
      <c r="O248" s="39">
        <v>12410000</v>
      </c>
      <c r="P248" s="36">
        <v>4</v>
      </c>
      <c r="Q248" s="36" t="s">
        <v>268</v>
      </c>
      <c r="R248" s="36" t="s">
        <v>257</v>
      </c>
      <c r="S248" s="36" t="s">
        <v>258</v>
      </c>
      <c r="T248" s="36" t="s">
        <v>259</v>
      </c>
      <c r="U248" s="36" t="s">
        <v>260</v>
      </c>
      <c r="V248" s="40">
        <v>45717</v>
      </c>
      <c r="W248" s="40">
        <v>45889</v>
      </c>
      <c r="X248" s="36">
        <v>0</v>
      </c>
      <c r="Y248" s="36"/>
      <c r="Z248" s="36">
        <v>1</v>
      </c>
      <c r="AA248" s="36">
        <v>12410000</v>
      </c>
      <c r="AB248" s="40">
        <v>46082</v>
      </c>
      <c r="AC248" s="36" t="s">
        <v>2196</v>
      </c>
      <c r="AD248" s="36" t="str">
        <f>VLOOKUP(D248,Oficial!A:C,3,0)</f>
        <v>Arrastre</v>
      </c>
    </row>
    <row r="249" spans="1:30" x14ac:dyDescent="0.25">
      <c r="A249" s="36" t="s">
        <v>27</v>
      </c>
      <c r="B249" s="36" t="s">
        <v>251</v>
      </c>
      <c r="C249" s="36" t="s">
        <v>28</v>
      </c>
      <c r="D249" s="36" t="s">
        <v>251</v>
      </c>
      <c r="E249" s="36" t="s">
        <v>30</v>
      </c>
      <c r="F249" s="36" t="s">
        <v>31</v>
      </c>
      <c r="G249" s="37" t="s">
        <v>252</v>
      </c>
      <c r="H249" s="36" t="s">
        <v>253</v>
      </c>
      <c r="I249" s="36" t="s">
        <v>254</v>
      </c>
      <c r="J249" s="36">
        <v>14</v>
      </c>
      <c r="K249" s="36" t="s">
        <v>267</v>
      </c>
      <c r="L249" s="36">
        <v>4</v>
      </c>
      <c r="M249" s="36">
        <v>100</v>
      </c>
      <c r="N249" s="38">
        <v>496400</v>
      </c>
      <c r="O249" s="39">
        <v>12410000</v>
      </c>
      <c r="P249" s="36">
        <v>4</v>
      </c>
      <c r="Q249" s="36" t="s">
        <v>268</v>
      </c>
      <c r="R249" s="36" t="s">
        <v>257</v>
      </c>
      <c r="S249" s="36" t="s">
        <v>258</v>
      </c>
      <c r="T249" s="36" t="s">
        <v>259</v>
      </c>
      <c r="U249" s="36" t="s">
        <v>260</v>
      </c>
      <c r="V249" s="40">
        <v>45717</v>
      </c>
      <c r="W249" s="40">
        <v>45889</v>
      </c>
      <c r="X249" s="36">
        <v>0</v>
      </c>
      <c r="Y249" s="36"/>
      <c r="Z249" s="36">
        <v>1</v>
      </c>
      <c r="AA249" s="36">
        <v>12410000</v>
      </c>
      <c r="AB249" s="40">
        <v>46266</v>
      </c>
      <c r="AC249" s="36" t="s">
        <v>2196</v>
      </c>
      <c r="AD249" s="36" t="str">
        <f>VLOOKUP(D249,Oficial!A:C,3,0)</f>
        <v>Arrastre</v>
      </c>
    </row>
    <row r="250" spans="1:30" x14ac:dyDescent="0.25">
      <c r="A250" s="36" t="s">
        <v>27</v>
      </c>
      <c r="B250" s="36" t="s">
        <v>251</v>
      </c>
      <c r="C250" s="36" t="s">
        <v>28</v>
      </c>
      <c r="D250" s="36" t="s">
        <v>251</v>
      </c>
      <c r="E250" s="36" t="s">
        <v>30</v>
      </c>
      <c r="F250" s="36" t="s">
        <v>31</v>
      </c>
      <c r="G250" s="37" t="s">
        <v>252</v>
      </c>
      <c r="H250" s="36" t="s">
        <v>253</v>
      </c>
      <c r="I250" s="36" t="s">
        <v>254</v>
      </c>
      <c r="J250" s="36">
        <v>14</v>
      </c>
      <c r="K250" s="36" t="s">
        <v>269</v>
      </c>
      <c r="L250" s="36">
        <v>4</v>
      </c>
      <c r="M250" s="36">
        <v>100</v>
      </c>
      <c r="N250" s="38">
        <v>464000</v>
      </c>
      <c r="O250" s="39">
        <v>7733333</v>
      </c>
      <c r="P250" s="36">
        <v>6</v>
      </c>
      <c r="Q250" s="36" t="s">
        <v>270</v>
      </c>
      <c r="R250" s="36" t="s">
        <v>257</v>
      </c>
      <c r="S250" s="36" t="s">
        <v>258</v>
      </c>
      <c r="T250" s="36" t="s">
        <v>259</v>
      </c>
      <c r="U250" s="36" t="s">
        <v>260</v>
      </c>
      <c r="V250" s="40">
        <v>45717</v>
      </c>
      <c r="W250" s="40">
        <v>45889</v>
      </c>
      <c r="X250" s="36">
        <v>0</v>
      </c>
      <c r="Y250" s="36"/>
      <c r="Z250" s="36">
        <v>1</v>
      </c>
      <c r="AA250" s="36">
        <v>7733333</v>
      </c>
      <c r="AB250" s="40">
        <v>46174</v>
      </c>
      <c r="AC250" s="36" t="s">
        <v>2196</v>
      </c>
      <c r="AD250" s="36" t="str">
        <f>VLOOKUP(D250,Oficial!A:C,3,0)</f>
        <v>Arrastre</v>
      </c>
    </row>
    <row r="251" spans="1:30" x14ac:dyDescent="0.25">
      <c r="A251" s="36" t="s">
        <v>27</v>
      </c>
      <c r="B251" s="36" t="s">
        <v>251</v>
      </c>
      <c r="C251" s="36" t="s">
        <v>28</v>
      </c>
      <c r="D251" s="36" t="s">
        <v>251</v>
      </c>
      <c r="E251" s="36" t="s">
        <v>30</v>
      </c>
      <c r="F251" s="36" t="s">
        <v>31</v>
      </c>
      <c r="G251" s="37" t="s">
        <v>252</v>
      </c>
      <c r="H251" s="36" t="s">
        <v>253</v>
      </c>
      <c r="I251" s="36" t="s">
        <v>254</v>
      </c>
      <c r="J251" s="36">
        <v>14</v>
      </c>
      <c r="K251" s="36" t="s">
        <v>269</v>
      </c>
      <c r="L251" s="36">
        <v>4</v>
      </c>
      <c r="M251" s="36">
        <v>100</v>
      </c>
      <c r="N251" s="38">
        <v>464000</v>
      </c>
      <c r="O251" s="39">
        <v>7733335</v>
      </c>
      <c r="P251" s="36">
        <v>6</v>
      </c>
      <c r="Q251" s="36" t="s">
        <v>270</v>
      </c>
      <c r="R251" s="36" t="s">
        <v>257</v>
      </c>
      <c r="S251" s="36" t="s">
        <v>258</v>
      </c>
      <c r="T251" s="36" t="s">
        <v>259</v>
      </c>
      <c r="U251" s="36" t="s">
        <v>260</v>
      </c>
      <c r="V251" s="40">
        <v>45717</v>
      </c>
      <c r="W251" s="40">
        <v>45889</v>
      </c>
      <c r="X251" s="36">
        <v>0</v>
      </c>
      <c r="Y251" s="36"/>
      <c r="Z251" s="36">
        <v>1</v>
      </c>
      <c r="AA251" s="36">
        <v>7733335</v>
      </c>
      <c r="AB251" s="40">
        <v>46357</v>
      </c>
      <c r="AC251" s="36" t="s">
        <v>2196</v>
      </c>
      <c r="AD251" s="36" t="str">
        <f>VLOOKUP(D251,Oficial!A:C,3,0)</f>
        <v>Arrastre</v>
      </c>
    </row>
    <row r="252" spans="1:30" x14ac:dyDescent="0.25">
      <c r="A252" s="36" t="s">
        <v>27</v>
      </c>
      <c r="B252" s="36" t="s">
        <v>251</v>
      </c>
      <c r="C252" s="36" t="s">
        <v>28</v>
      </c>
      <c r="D252" s="36" t="s">
        <v>251</v>
      </c>
      <c r="E252" s="36" t="s">
        <v>30</v>
      </c>
      <c r="F252" s="36" t="s">
        <v>31</v>
      </c>
      <c r="G252" s="37" t="s">
        <v>252</v>
      </c>
      <c r="H252" s="36" t="s">
        <v>253</v>
      </c>
      <c r="I252" s="36" t="s">
        <v>254</v>
      </c>
      <c r="J252" s="36">
        <v>14</v>
      </c>
      <c r="K252" s="36" t="s">
        <v>269</v>
      </c>
      <c r="L252" s="36">
        <v>4</v>
      </c>
      <c r="M252" s="36">
        <v>100</v>
      </c>
      <c r="N252" s="38">
        <v>464000</v>
      </c>
      <c r="O252" s="39">
        <v>7733333</v>
      </c>
      <c r="P252" s="36">
        <v>6</v>
      </c>
      <c r="Q252" s="36" t="s">
        <v>270</v>
      </c>
      <c r="R252" s="36" t="s">
        <v>257</v>
      </c>
      <c r="S252" s="36" t="s">
        <v>258</v>
      </c>
      <c r="T252" s="36" t="s">
        <v>259</v>
      </c>
      <c r="U252" s="36" t="s">
        <v>260</v>
      </c>
      <c r="V252" s="40">
        <v>45717</v>
      </c>
      <c r="W252" s="40">
        <v>45889</v>
      </c>
      <c r="X252" s="36">
        <v>0</v>
      </c>
      <c r="Y252" s="36"/>
      <c r="Z252" s="36">
        <v>1</v>
      </c>
      <c r="AA252" s="36">
        <v>7733333</v>
      </c>
      <c r="AB252" s="40">
        <v>46327</v>
      </c>
      <c r="AC252" s="36" t="s">
        <v>2196</v>
      </c>
      <c r="AD252" s="36" t="str">
        <f>VLOOKUP(D252,Oficial!A:C,3,0)</f>
        <v>Arrastre</v>
      </c>
    </row>
    <row r="253" spans="1:30" x14ac:dyDescent="0.25">
      <c r="A253" s="36" t="s">
        <v>27</v>
      </c>
      <c r="B253" s="36" t="s">
        <v>251</v>
      </c>
      <c r="C253" s="36" t="s">
        <v>28</v>
      </c>
      <c r="D253" s="36" t="s">
        <v>251</v>
      </c>
      <c r="E253" s="36" t="s">
        <v>30</v>
      </c>
      <c r="F253" s="36" t="s">
        <v>31</v>
      </c>
      <c r="G253" s="37" t="s">
        <v>252</v>
      </c>
      <c r="H253" s="36" t="s">
        <v>253</v>
      </c>
      <c r="I253" s="36" t="s">
        <v>254</v>
      </c>
      <c r="J253" s="36">
        <v>14</v>
      </c>
      <c r="K253" s="36" t="s">
        <v>271</v>
      </c>
      <c r="L253" s="36">
        <v>4</v>
      </c>
      <c r="M253" s="36">
        <v>100</v>
      </c>
      <c r="N253" s="38">
        <v>1630000</v>
      </c>
      <c r="O253" s="39">
        <v>40750000</v>
      </c>
      <c r="P253" s="36">
        <v>4</v>
      </c>
      <c r="Q253" s="36" t="s">
        <v>256</v>
      </c>
      <c r="R253" s="36" t="s">
        <v>257</v>
      </c>
      <c r="S253" s="36" t="s">
        <v>258</v>
      </c>
      <c r="T253" s="36" t="s">
        <v>259</v>
      </c>
      <c r="U253" s="36" t="s">
        <v>260</v>
      </c>
      <c r="V253" s="40">
        <v>45717</v>
      </c>
      <c r="W253" s="40">
        <v>45889</v>
      </c>
      <c r="X253" s="36">
        <v>0</v>
      </c>
      <c r="Y253" s="36"/>
      <c r="Z253" s="36">
        <v>1</v>
      </c>
      <c r="AA253" s="36">
        <v>40750000</v>
      </c>
      <c r="AB253" s="40">
        <v>46357</v>
      </c>
      <c r="AC253" s="36" t="s">
        <v>2196</v>
      </c>
      <c r="AD253" s="36" t="str">
        <f>VLOOKUP(D253,Oficial!A:C,3,0)</f>
        <v>Arrastre</v>
      </c>
    </row>
    <row r="254" spans="1:30" x14ac:dyDescent="0.25">
      <c r="A254" s="36" t="s">
        <v>27</v>
      </c>
      <c r="B254" s="36" t="s">
        <v>251</v>
      </c>
      <c r="C254" s="36" t="s">
        <v>28</v>
      </c>
      <c r="D254" s="36" t="s">
        <v>251</v>
      </c>
      <c r="E254" s="36" t="s">
        <v>30</v>
      </c>
      <c r="F254" s="36" t="s">
        <v>31</v>
      </c>
      <c r="G254" s="37" t="s">
        <v>252</v>
      </c>
      <c r="H254" s="36" t="s">
        <v>253</v>
      </c>
      <c r="I254" s="36" t="s">
        <v>254</v>
      </c>
      <c r="J254" s="36">
        <v>14</v>
      </c>
      <c r="K254" s="36" t="s">
        <v>271</v>
      </c>
      <c r="L254" s="36">
        <v>4</v>
      </c>
      <c r="M254" s="36">
        <v>100</v>
      </c>
      <c r="N254" s="38">
        <v>1630000</v>
      </c>
      <c r="O254" s="39">
        <v>40750000</v>
      </c>
      <c r="P254" s="36">
        <v>4</v>
      </c>
      <c r="Q254" s="36" t="s">
        <v>256</v>
      </c>
      <c r="R254" s="36" t="s">
        <v>257</v>
      </c>
      <c r="S254" s="36" t="s">
        <v>258</v>
      </c>
      <c r="T254" s="36" t="s">
        <v>259</v>
      </c>
      <c r="U254" s="36" t="s">
        <v>260</v>
      </c>
      <c r="V254" s="40">
        <v>45717</v>
      </c>
      <c r="W254" s="40">
        <v>45889</v>
      </c>
      <c r="X254" s="36">
        <v>0</v>
      </c>
      <c r="Y254" s="36"/>
      <c r="Z254" s="36">
        <v>1</v>
      </c>
      <c r="AA254" s="36">
        <v>40750000</v>
      </c>
      <c r="AB254" s="40">
        <v>46174</v>
      </c>
      <c r="AC254" s="36" t="s">
        <v>2196</v>
      </c>
      <c r="AD254" s="36" t="str">
        <f>VLOOKUP(D254,Oficial!A:C,3,0)</f>
        <v>Arrastre</v>
      </c>
    </row>
    <row r="255" spans="1:30" x14ac:dyDescent="0.25">
      <c r="A255" s="36" t="s">
        <v>27</v>
      </c>
      <c r="B255" s="36" t="s">
        <v>251</v>
      </c>
      <c r="C255" s="36" t="s">
        <v>28</v>
      </c>
      <c r="D255" s="36" t="s">
        <v>251</v>
      </c>
      <c r="E255" s="36" t="s">
        <v>30</v>
      </c>
      <c r="F255" s="36" t="s">
        <v>31</v>
      </c>
      <c r="G255" s="37" t="s">
        <v>252</v>
      </c>
      <c r="H255" s="36" t="s">
        <v>253</v>
      </c>
      <c r="I255" s="36" t="s">
        <v>254</v>
      </c>
      <c r="J255" s="36">
        <v>14</v>
      </c>
      <c r="K255" s="36" t="s">
        <v>272</v>
      </c>
      <c r="L255" s="36">
        <v>4</v>
      </c>
      <c r="M255" s="36">
        <v>100</v>
      </c>
      <c r="N255" s="38">
        <v>279000</v>
      </c>
      <c r="O255" s="39">
        <v>3487500</v>
      </c>
      <c r="P255" s="36">
        <v>8</v>
      </c>
      <c r="Q255" s="36" t="s">
        <v>273</v>
      </c>
      <c r="R255" s="36" t="s">
        <v>257</v>
      </c>
      <c r="S255" s="36" t="s">
        <v>258</v>
      </c>
      <c r="T255" s="36" t="s">
        <v>259</v>
      </c>
      <c r="U255" s="36" t="s">
        <v>260</v>
      </c>
      <c r="V255" s="40">
        <v>45717</v>
      </c>
      <c r="W255" s="40">
        <v>45889</v>
      </c>
      <c r="X255" s="36">
        <v>1</v>
      </c>
      <c r="Y255" s="36" t="s">
        <v>274</v>
      </c>
      <c r="Z255" s="36">
        <v>1</v>
      </c>
      <c r="AA255" s="36">
        <v>3487500</v>
      </c>
      <c r="AB255" s="40">
        <v>46235</v>
      </c>
      <c r="AC255" s="36" t="s">
        <v>2196</v>
      </c>
      <c r="AD255" s="36" t="str">
        <f>VLOOKUP(D255,Oficial!A:C,3,0)</f>
        <v>Arrastre</v>
      </c>
    </row>
    <row r="256" spans="1:30" x14ac:dyDescent="0.25">
      <c r="A256" s="36" t="s">
        <v>27</v>
      </c>
      <c r="B256" s="36" t="s">
        <v>251</v>
      </c>
      <c r="C256" s="36" t="s">
        <v>28</v>
      </c>
      <c r="D256" s="36" t="s">
        <v>251</v>
      </c>
      <c r="E256" s="36" t="s">
        <v>30</v>
      </c>
      <c r="F256" s="36" t="s">
        <v>31</v>
      </c>
      <c r="G256" s="37" t="s">
        <v>252</v>
      </c>
      <c r="H256" s="36" t="s">
        <v>253</v>
      </c>
      <c r="I256" s="36" t="s">
        <v>254</v>
      </c>
      <c r="J256" s="36">
        <v>14</v>
      </c>
      <c r="K256" s="36" t="s">
        <v>272</v>
      </c>
      <c r="L256" s="36">
        <v>4</v>
      </c>
      <c r="M256" s="36">
        <v>100</v>
      </c>
      <c r="N256" s="38">
        <v>279000</v>
      </c>
      <c r="O256" s="39">
        <v>3487500</v>
      </c>
      <c r="P256" s="36">
        <v>8</v>
      </c>
      <c r="Q256" s="36" t="s">
        <v>273</v>
      </c>
      <c r="R256" s="36" t="s">
        <v>257</v>
      </c>
      <c r="S256" s="36" t="s">
        <v>258</v>
      </c>
      <c r="T256" s="36" t="s">
        <v>259</v>
      </c>
      <c r="U256" s="36" t="s">
        <v>260</v>
      </c>
      <c r="V256" s="40">
        <v>45717</v>
      </c>
      <c r="W256" s="40">
        <v>45889</v>
      </c>
      <c r="X256" s="36">
        <v>1</v>
      </c>
      <c r="Y256" s="36" t="s">
        <v>274</v>
      </c>
      <c r="Z256" s="36">
        <v>1</v>
      </c>
      <c r="AA256" s="36">
        <v>3487500</v>
      </c>
      <c r="AB256" s="40">
        <v>46143</v>
      </c>
      <c r="AC256" s="36" t="s">
        <v>2196</v>
      </c>
      <c r="AD256" s="36" t="str">
        <f>VLOOKUP(D256,Oficial!A:C,3,0)</f>
        <v>Arrastre</v>
      </c>
    </row>
    <row r="257" spans="1:30" x14ac:dyDescent="0.25">
      <c r="A257" s="36" t="s">
        <v>27</v>
      </c>
      <c r="B257" s="36" t="s">
        <v>251</v>
      </c>
      <c r="C257" s="36" t="s">
        <v>28</v>
      </c>
      <c r="D257" s="36" t="s">
        <v>251</v>
      </c>
      <c r="E257" s="36" t="s">
        <v>30</v>
      </c>
      <c r="F257" s="36" t="s">
        <v>31</v>
      </c>
      <c r="G257" s="37" t="s">
        <v>252</v>
      </c>
      <c r="H257" s="36" t="s">
        <v>253</v>
      </c>
      <c r="I257" s="36" t="s">
        <v>254</v>
      </c>
      <c r="J257" s="36">
        <v>14</v>
      </c>
      <c r="K257" s="36" t="s">
        <v>272</v>
      </c>
      <c r="L257" s="36">
        <v>4</v>
      </c>
      <c r="M257" s="36">
        <v>100</v>
      </c>
      <c r="N257" s="38">
        <v>279000</v>
      </c>
      <c r="O257" s="39">
        <v>3487500</v>
      </c>
      <c r="P257" s="36">
        <v>8</v>
      </c>
      <c r="Q257" s="36" t="s">
        <v>273</v>
      </c>
      <c r="R257" s="36" t="s">
        <v>257</v>
      </c>
      <c r="S257" s="36" t="s">
        <v>258</v>
      </c>
      <c r="T257" s="36" t="s">
        <v>259</v>
      </c>
      <c r="U257" s="36" t="s">
        <v>260</v>
      </c>
      <c r="V257" s="40">
        <v>45717</v>
      </c>
      <c r="W257" s="40">
        <v>45889</v>
      </c>
      <c r="X257" s="36">
        <v>1</v>
      </c>
      <c r="Y257" s="36" t="s">
        <v>274</v>
      </c>
      <c r="Z257" s="36">
        <v>1</v>
      </c>
      <c r="AA257" s="36">
        <v>3487500</v>
      </c>
      <c r="AB257" s="40">
        <v>46113</v>
      </c>
      <c r="AC257" s="36" t="s">
        <v>2196</v>
      </c>
      <c r="AD257" s="36" t="str">
        <f>VLOOKUP(D257,Oficial!A:C,3,0)</f>
        <v>Arrastre</v>
      </c>
    </row>
    <row r="258" spans="1:30" x14ac:dyDescent="0.25">
      <c r="A258" s="36" t="s">
        <v>27</v>
      </c>
      <c r="B258" s="36" t="s">
        <v>251</v>
      </c>
      <c r="C258" s="36" t="s">
        <v>28</v>
      </c>
      <c r="D258" s="36" t="s">
        <v>251</v>
      </c>
      <c r="E258" s="36" t="s">
        <v>30</v>
      </c>
      <c r="F258" s="36" t="s">
        <v>31</v>
      </c>
      <c r="G258" s="37" t="s">
        <v>252</v>
      </c>
      <c r="H258" s="36" t="s">
        <v>253</v>
      </c>
      <c r="I258" s="36" t="s">
        <v>254</v>
      </c>
      <c r="J258" s="36">
        <v>14</v>
      </c>
      <c r="K258" s="36" t="s">
        <v>272</v>
      </c>
      <c r="L258" s="36">
        <v>4</v>
      </c>
      <c r="M258" s="36">
        <v>100</v>
      </c>
      <c r="N258" s="38">
        <v>279000</v>
      </c>
      <c r="O258" s="39">
        <v>3487500</v>
      </c>
      <c r="P258" s="36">
        <v>8</v>
      </c>
      <c r="Q258" s="36" t="s">
        <v>273</v>
      </c>
      <c r="R258" s="36" t="s">
        <v>257</v>
      </c>
      <c r="S258" s="36" t="s">
        <v>258</v>
      </c>
      <c r="T258" s="36" t="s">
        <v>259</v>
      </c>
      <c r="U258" s="36" t="s">
        <v>260</v>
      </c>
      <c r="V258" s="40">
        <v>45717</v>
      </c>
      <c r="W258" s="40">
        <v>45889</v>
      </c>
      <c r="X258" s="36">
        <v>1</v>
      </c>
      <c r="Y258" s="36" t="s">
        <v>274</v>
      </c>
      <c r="Z258" s="36">
        <v>1</v>
      </c>
      <c r="AA258" s="36">
        <v>3487500</v>
      </c>
      <c r="AB258" s="40">
        <v>46296</v>
      </c>
      <c r="AC258" s="36" t="s">
        <v>2196</v>
      </c>
      <c r="AD258" s="36" t="str">
        <f>VLOOKUP(D258,Oficial!A:C,3,0)</f>
        <v>Arrastre</v>
      </c>
    </row>
    <row r="259" spans="1:30" x14ac:dyDescent="0.25">
      <c r="A259" s="36" t="s">
        <v>27</v>
      </c>
      <c r="B259" s="36" t="s">
        <v>251</v>
      </c>
      <c r="C259" s="36" t="s">
        <v>28</v>
      </c>
      <c r="D259" s="36" t="s">
        <v>251</v>
      </c>
      <c r="E259" s="36" t="s">
        <v>30</v>
      </c>
      <c r="F259" s="36" t="s">
        <v>31</v>
      </c>
      <c r="G259" s="37" t="s">
        <v>252</v>
      </c>
      <c r="H259" s="36" t="s">
        <v>253</v>
      </c>
      <c r="I259" s="36" t="s">
        <v>254</v>
      </c>
      <c r="J259" s="36">
        <v>14</v>
      </c>
      <c r="K259" s="36" t="s">
        <v>275</v>
      </c>
      <c r="L259" s="36">
        <v>4</v>
      </c>
      <c r="M259" s="36">
        <v>100</v>
      </c>
      <c r="N259" s="38">
        <v>916000</v>
      </c>
      <c r="O259" s="39">
        <v>11450000</v>
      </c>
      <c r="P259" s="36">
        <v>8</v>
      </c>
      <c r="Q259" s="36" t="s">
        <v>276</v>
      </c>
      <c r="R259" s="36" t="s">
        <v>257</v>
      </c>
      <c r="S259" s="36" t="s">
        <v>258</v>
      </c>
      <c r="T259" s="36" t="s">
        <v>259</v>
      </c>
      <c r="U259" s="36" t="s">
        <v>260</v>
      </c>
      <c r="V259" s="40">
        <v>45717</v>
      </c>
      <c r="W259" s="40">
        <v>45889</v>
      </c>
      <c r="X259" s="36">
        <v>0</v>
      </c>
      <c r="Y259" s="36"/>
      <c r="Z259" s="36">
        <v>1</v>
      </c>
      <c r="AA259" s="36">
        <v>11450000</v>
      </c>
      <c r="AB259" s="40">
        <v>46235</v>
      </c>
      <c r="AC259" s="36" t="s">
        <v>2196</v>
      </c>
      <c r="AD259" s="36" t="str">
        <f>VLOOKUP(D259,Oficial!A:C,3,0)</f>
        <v>Arrastre</v>
      </c>
    </row>
    <row r="260" spans="1:30" x14ac:dyDescent="0.25">
      <c r="A260" s="36" t="s">
        <v>27</v>
      </c>
      <c r="B260" s="36" t="s">
        <v>251</v>
      </c>
      <c r="C260" s="36" t="s">
        <v>28</v>
      </c>
      <c r="D260" s="36" t="s">
        <v>251</v>
      </c>
      <c r="E260" s="36" t="s">
        <v>30</v>
      </c>
      <c r="F260" s="36" t="s">
        <v>31</v>
      </c>
      <c r="G260" s="37" t="s">
        <v>252</v>
      </c>
      <c r="H260" s="36" t="s">
        <v>253</v>
      </c>
      <c r="I260" s="36" t="s">
        <v>254</v>
      </c>
      <c r="J260" s="36">
        <v>14</v>
      </c>
      <c r="K260" s="36" t="s">
        <v>275</v>
      </c>
      <c r="L260" s="36">
        <v>4</v>
      </c>
      <c r="M260" s="36">
        <v>100</v>
      </c>
      <c r="N260" s="38">
        <v>916000</v>
      </c>
      <c r="O260" s="39">
        <v>11450000</v>
      </c>
      <c r="P260" s="36">
        <v>8</v>
      </c>
      <c r="Q260" s="36" t="s">
        <v>276</v>
      </c>
      <c r="R260" s="36" t="s">
        <v>257</v>
      </c>
      <c r="S260" s="36" t="s">
        <v>258</v>
      </c>
      <c r="T260" s="36" t="s">
        <v>259</v>
      </c>
      <c r="U260" s="36" t="s">
        <v>260</v>
      </c>
      <c r="V260" s="40">
        <v>45717</v>
      </c>
      <c r="W260" s="40">
        <v>45889</v>
      </c>
      <c r="X260" s="36">
        <v>0</v>
      </c>
      <c r="Y260" s="36"/>
      <c r="Z260" s="36">
        <v>1</v>
      </c>
      <c r="AA260" s="36">
        <v>11450000</v>
      </c>
      <c r="AB260" s="40">
        <v>46054</v>
      </c>
      <c r="AC260" s="36" t="s">
        <v>2196</v>
      </c>
      <c r="AD260" s="36" t="str">
        <f>VLOOKUP(D260,Oficial!A:C,3,0)</f>
        <v>Arrastre</v>
      </c>
    </row>
    <row r="261" spans="1:30" x14ac:dyDescent="0.25">
      <c r="A261" s="36" t="s">
        <v>27</v>
      </c>
      <c r="B261" s="36" t="s">
        <v>251</v>
      </c>
      <c r="C261" s="36" t="s">
        <v>28</v>
      </c>
      <c r="D261" s="36" t="s">
        <v>251</v>
      </c>
      <c r="E261" s="36" t="s">
        <v>30</v>
      </c>
      <c r="F261" s="36" t="s">
        <v>31</v>
      </c>
      <c r="G261" s="37" t="s">
        <v>252</v>
      </c>
      <c r="H261" s="36" t="s">
        <v>253</v>
      </c>
      <c r="I261" s="36" t="s">
        <v>254</v>
      </c>
      <c r="J261" s="36">
        <v>14</v>
      </c>
      <c r="K261" s="36" t="s">
        <v>275</v>
      </c>
      <c r="L261" s="36">
        <v>4</v>
      </c>
      <c r="M261" s="36">
        <v>100</v>
      </c>
      <c r="N261" s="38">
        <v>916000</v>
      </c>
      <c r="O261" s="39">
        <v>11450000</v>
      </c>
      <c r="P261" s="36">
        <v>8</v>
      </c>
      <c r="Q261" s="36" t="s">
        <v>276</v>
      </c>
      <c r="R261" s="36" t="s">
        <v>257</v>
      </c>
      <c r="S261" s="36" t="s">
        <v>258</v>
      </c>
      <c r="T261" s="36" t="s">
        <v>259</v>
      </c>
      <c r="U261" s="36" t="s">
        <v>260</v>
      </c>
      <c r="V261" s="40">
        <v>45717</v>
      </c>
      <c r="W261" s="40">
        <v>45889</v>
      </c>
      <c r="X261" s="36">
        <v>0</v>
      </c>
      <c r="Y261" s="36"/>
      <c r="Z261" s="36">
        <v>1</v>
      </c>
      <c r="AA261" s="36">
        <v>11450000</v>
      </c>
      <c r="AB261" s="40">
        <v>46143</v>
      </c>
      <c r="AC261" s="36" t="s">
        <v>2196</v>
      </c>
      <c r="AD261" s="36" t="str">
        <f>VLOOKUP(D261,Oficial!A:C,3,0)</f>
        <v>Arrastre</v>
      </c>
    </row>
    <row r="262" spans="1:30" x14ac:dyDescent="0.25">
      <c r="A262" s="36" t="s">
        <v>27</v>
      </c>
      <c r="B262" s="36" t="s">
        <v>251</v>
      </c>
      <c r="C262" s="36" t="s">
        <v>28</v>
      </c>
      <c r="D262" s="36" t="s">
        <v>251</v>
      </c>
      <c r="E262" s="36" t="s">
        <v>30</v>
      </c>
      <c r="F262" s="36" t="s">
        <v>31</v>
      </c>
      <c r="G262" s="37" t="s">
        <v>252</v>
      </c>
      <c r="H262" s="36" t="s">
        <v>253</v>
      </c>
      <c r="I262" s="36" t="s">
        <v>254</v>
      </c>
      <c r="J262" s="36">
        <v>14</v>
      </c>
      <c r="K262" s="36" t="s">
        <v>275</v>
      </c>
      <c r="L262" s="36">
        <v>4</v>
      </c>
      <c r="M262" s="36">
        <v>100</v>
      </c>
      <c r="N262" s="38">
        <v>916000</v>
      </c>
      <c r="O262" s="39">
        <v>11450000</v>
      </c>
      <c r="P262" s="36">
        <v>8</v>
      </c>
      <c r="Q262" s="36" t="s">
        <v>276</v>
      </c>
      <c r="R262" s="36" t="s">
        <v>257</v>
      </c>
      <c r="S262" s="36" t="s">
        <v>258</v>
      </c>
      <c r="T262" s="36" t="s">
        <v>259</v>
      </c>
      <c r="U262" s="36" t="s">
        <v>260</v>
      </c>
      <c r="V262" s="40">
        <v>45717</v>
      </c>
      <c r="W262" s="40">
        <v>45889</v>
      </c>
      <c r="X262" s="36">
        <v>0</v>
      </c>
      <c r="Y262" s="36"/>
      <c r="Z262" s="36">
        <v>1</v>
      </c>
      <c r="AA262" s="36">
        <v>11450000</v>
      </c>
      <c r="AB262" s="40">
        <v>46327</v>
      </c>
      <c r="AC262" s="36" t="s">
        <v>2196</v>
      </c>
      <c r="AD262" s="36" t="str">
        <f>VLOOKUP(D262,Oficial!A:C,3,0)</f>
        <v>Arrastre</v>
      </c>
    </row>
    <row r="263" spans="1:30" x14ac:dyDescent="0.25">
      <c r="A263" s="36" t="s">
        <v>27</v>
      </c>
      <c r="B263" s="36" t="s">
        <v>251</v>
      </c>
      <c r="C263" s="36" t="s">
        <v>28</v>
      </c>
      <c r="D263" s="36" t="s">
        <v>251</v>
      </c>
      <c r="E263" s="36" t="s">
        <v>30</v>
      </c>
      <c r="F263" s="36" t="s">
        <v>31</v>
      </c>
      <c r="G263" s="37" t="s">
        <v>252</v>
      </c>
      <c r="H263" s="36" t="s">
        <v>253</v>
      </c>
      <c r="I263" s="36" t="s">
        <v>254</v>
      </c>
      <c r="J263" s="36">
        <v>14</v>
      </c>
      <c r="K263" s="36" t="s">
        <v>277</v>
      </c>
      <c r="L263" s="36">
        <v>4</v>
      </c>
      <c r="M263" s="36">
        <v>100</v>
      </c>
      <c r="N263" s="38">
        <v>425600</v>
      </c>
      <c r="O263" s="39">
        <v>1773333</v>
      </c>
      <c r="P263" s="36">
        <v>24</v>
      </c>
      <c r="Q263" s="36" t="s">
        <v>278</v>
      </c>
      <c r="R263" s="36" t="s">
        <v>257</v>
      </c>
      <c r="S263" s="36" t="s">
        <v>258</v>
      </c>
      <c r="T263" s="36" t="s">
        <v>259</v>
      </c>
      <c r="U263" s="36" t="s">
        <v>260</v>
      </c>
      <c r="V263" s="40">
        <v>45717</v>
      </c>
      <c r="W263" s="40">
        <v>45889</v>
      </c>
      <c r="X263" s="36">
        <v>2</v>
      </c>
      <c r="Y263" s="36" t="s">
        <v>279</v>
      </c>
      <c r="Z263" s="36">
        <v>1</v>
      </c>
      <c r="AA263" s="36">
        <v>1773333</v>
      </c>
      <c r="AB263" s="40">
        <v>46235</v>
      </c>
      <c r="AC263" s="36" t="s">
        <v>2196</v>
      </c>
      <c r="AD263" s="36" t="str">
        <f>VLOOKUP(D263,Oficial!A:C,3,0)</f>
        <v>Arrastre</v>
      </c>
    </row>
    <row r="264" spans="1:30" x14ac:dyDescent="0.25">
      <c r="A264" s="36" t="s">
        <v>27</v>
      </c>
      <c r="B264" s="36" t="s">
        <v>251</v>
      </c>
      <c r="C264" s="36" t="s">
        <v>28</v>
      </c>
      <c r="D264" s="36" t="s">
        <v>251</v>
      </c>
      <c r="E264" s="36" t="s">
        <v>30</v>
      </c>
      <c r="F264" s="36" t="s">
        <v>31</v>
      </c>
      <c r="G264" s="37" t="s">
        <v>252</v>
      </c>
      <c r="H264" s="36" t="s">
        <v>253</v>
      </c>
      <c r="I264" s="36" t="s">
        <v>254</v>
      </c>
      <c r="J264" s="36">
        <v>14</v>
      </c>
      <c r="K264" s="36" t="s">
        <v>277</v>
      </c>
      <c r="L264" s="36">
        <v>4</v>
      </c>
      <c r="M264" s="36">
        <v>100</v>
      </c>
      <c r="N264" s="38">
        <v>425600</v>
      </c>
      <c r="O264" s="39">
        <v>1773333</v>
      </c>
      <c r="P264" s="36">
        <v>24</v>
      </c>
      <c r="Q264" s="36" t="s">
        <v>278</v>
      </c>
      <c r="R264" s="36" t="s">
        <v>257</v>
      </c>
      <c r="S264" s="36" t="s">
        <v>258</v>
      </c>
      <c r="T264" s="36" t="s">
        <v>259</v>
      </c>
      <c r="U264" s="36" t="s">
        <v>260</v>
      </c>
      <c r="V264" s="40">
        <v>45717</v>
      </c>
      <c r="W264" s="40">
        <v>45889</v>
      </c>
      <c r="X264" s="36">
        <v>2</v>
      </c>
      <c r="Y264" s="36" t="s">
        <v>280</v>
      </c>
      <c r="Z264" s="36">
        <v>1</v>
      </c>
      <c r="AA264" s="36">
        <v>1773333</v>
      </c>
      <c r="AB264" s="40">
        <v>46023</v>
      </c>
      <c r="AC264" s="36" t="s">
        <v>2196</v>
      </c>
      <c r="AD264" s="36" t="str">
        <f>VLOOKUP(D264,Oficial!A:C,3,0)</f>
        <v>Arrastre</v>
      </c>
    </row>
    <row r="265" spans="1:30" x14ac:dyDescent="0.25">
      <c r="A265" s="36" t="s">
        <v>27</v>
      </c>
      <c r="B265" s="36" t="s">
        <v>251</v>
      </c>
      <c r="C265" s="36" t="s">
        <v>28</v>
      </c>
      <c r="D265" s="36" t="s">
        <v>251</v>
      </c>
      <c r="E265" s="36" t="s">
        <v>30</v>
      </c>
      <c r="F265" s="36" t="s">
        <v>31</v>
      </c>
      <c r="G265" s="37" t="s">
        <v>252</v>
      </c>
      <c r="H265" s="36" t="s">
        <v>253</v>
      </c>
      <c r="I265" s="36" t="s">
        <v>254</v>
      </c>
      <c r="J265" s="36">
        <v>14</v>
      </c>
      <c r="K265" s="36" t="s">
        <v>277</v>
      </c>
      <c r="L265" s="36">
        <v>4</v>
      </c>
      <c r="M265" s="36">
        <v>100</v>
      </c>
      <c r="N265" s="38">
        <v>425600</v>
      </c>
      <c r="O265" s="39">
        <v>1773333</v>
      </c>
      <c r="P265" s="36">
        <v>24</v>
      </c>
      <c r="Q265" s="36" t="s">
        <v>278</v>
      </c>
      <c r="R265" s="36" t="s">
        <v>257</v>
      </c>
      <c r="S265" s="36" t="s">
        <v>258</v>
      </c>
      <c r="T265" s="36" t="s">
        <v>259</v>
      </c>
      <c r="U265" s="36" t="s">
        <v>260</v>
      </c>
      <c r="V265" s="40">
        <v>45717</v>
      </c>
      <c r="W265" s="40">
        <v>45889</v>
      </c>
      <c r="X265" s="36">
        <v>2</v>
      </c>
      <c r="Y265" s="36" t="s">
        <v>280</v>
      </c>
      <c r="Z265" s="36">
        <v>1</v>
      </c>
      <c r="AA265" s="36">
        <v>1773333</v>
      </c>
      <c r="AB265" s="40">
        <v>46113</v>
      </c>
      <c r="AC265" s="36" t="s">
        <v>2196</v>
      </c>
      <c r="AD265" s="36" t="str">
        <f>VLOOKUP(D265,Oficial!A:C,3,0)</f>
        <v>Arrastre</v>
      </c>
    </row>
    <row r="266" spans="1:30" x14ac:dyDescent="0.25">
      <c r="A266" s="36" t="s">
        <v>27</v>
      </c>
      <c r="B266" s="36" t="s">
        <v>251</v>
      </c>
      <c r="C266" s="36" t="s">
        <v>28</v>
      </c>
      <c r="D266" s="36" t="s">
        <v>251</v>
      </c>
      <c r="E266" s="36" t="s">
        <v>30</v>
      </c>
      <c r="F266" s="36" t="s">
        <v>31</v>
      </c>
      <c r="G266" s="37" t="s">
        <v>252</v>
      </c>
      <c r="H266" s="36" t="s">
        <v>253</v>
      </c>
      <c r="I266" s="36" t="s">
        <v>254</v>
      </c>
      <c r="J266" s="36">
        <v>14</v>
      </c>
      <c r="K266" s="36" t="s">
        <v>277</v>
      </c>
      <c r="L266" s="36">
        <v>4</v>
      </c>
      <c r="M266" s="36">
        <v>100</v>
      </c>
      <c r="N266" s="38">
        <v>425600</v>
      </c>
      <c r="O266" s="39">
        <v>1773333</v>
      </c>
      <c r="P266" s="36">
        <v>24</v>
      </c>
      <c r="Q266" s="36" t="s">
        <v>278</v>
      </c>
      <c r="R266" s="36" t="s">
        <v>257</v>
      </c>
      <c r="S266" s="36" t="s">
        <v>258</v>
      </c>
      <c r="T266" s="36" t="s">
        <v>259</v>
      </c>
      <c r="U266" s="36" t="s">
        <v>260</v>
      </c>
      <c r="V266" s="40">
        <v>45717</v>
      </c>
      <c r="W266" s="40">
        <v>45889</v>
      </c>
      <c r="X266" s="36">
        <v>2</v>
      </c>
      <c r="Y266" s="36" t="s">
        <v>280</v>
      </c>
      <c r="Z266" s="36">
        <v>1</v>
      </c>
      <c r="AA266" s="36">
        <v>1773333</v>
      </c>
      <c r="AB266" s="40">
        <v>46054</v>
      </c>
      <c r="AC266" s="36" t="s">
        <v>2196</v>
      </c>
      <c r="AD266" s="36" t="str">
        <f>VLOOKUP(D266,Oficial!A:C,3,0)</f>
        <v>Arrastre</v>
      </c>
    </row>
    <row r="267" spans="1:30" x14ac:dyDescent="0.25">
      <c r="A267" s="36" t="s">
        <v>27</v>
      </c>
      <c r="B267" s="36" t="s">
        <v>251</v>
      </c>
      <c r="C267" s="36" t="s">
        <v>28</v>
      </c>
      <c r="D267" s="36" t="s">
        <v>251</v>
      </c>
      <c r="E267" s="36" t="s">
        <v>30</v>
      </c>
      <c r="F267" s="36" t="s">
        <v>31</v>
      </c>
      <c r="G267" s="37" t="s">
        <v>252</v>
      </c>
      <c r="H267" s="36" t="s">
        <v>253</v>
      </c>
      <c r="I267" s="36" t="s">
        <v>254</v>
      </c>
      <c r="J267" s="36">
        <v>14</v>
      </c>
      <c r="K267" s="36" t="s">
        <v>277</v>
      </c>
      <c r="L267" s="36">
        <v>4</v>
      </c>
      <c r="M267" s="36">
        <v>100</v>
      </c>
      <c r="N267" s="38">
        <v>425600</v>
      </c>
      <c r="O267" s="39">
        <v>1773333</v>
      </c>
      <c r="P267" s="36">
        <v>24</v>
      </c>
      <c r="Q267" s="36" t="s">
        <v>278</v>
      </c>
      <c r="R267" s="36" t="s">
        <v>257</v>
      </c>
      <c r="S267" s="36" t="s">
        <v>258</v>
      </c>
      <c r="T267" s="36" t="s">
        <v>259</v>
      </c>
      <c r="U267" s="36" t="s">
        <v>260</v>
      </c>
      <c r="V267" s="40">
        <v>45717</v>
      </c>
      <c r="W267" s="40">
        <v>45889</v>
      </c>
      <c r="X267" s="36">
        <v>2</v>
      </c>
      <c r="Y267" s="36" t="s">
        <v>280</v>
      </c>
      <c r="Z267" s="36">
        <v>1</v>
      </c>
      <c r="AA267" s="36">
        <v>1773333</v>
      </c>
      <c r="AB267" s="40">
        <v>46174</v>
      </c>
      <c r="AC267" s="36" t="s">
        <v>2196</v>
      </c>
      <c r="AD267" s="36" t="str">
        <f>VLOOKUP(D267,Oficial!A:C,3,0)</f>
        <v>Arrastre</v>
      </c>
    </row>
    <row r="268" spans="1:30" x14ac:dyDescent="0.25">
      <c r="A268" s="36" t="s">
        <v>27</v>
      </c>
      <c r="B268" s="36" t="s">
        <v>251</v>
      </c>
      <c r="C268" s="36" t="s">
        <v>28</v>
      </c>
      <c r="D268" s="36" t="s">
        <v>251</v>
      </c>
      <c r="E268" s="36" t="s">
        <v>30</v>
      </c>
      <c r="F268" s="36" t="s">
        <v>31</v>
      </c>
      <c r="G268" s="37" t="s">
        <v>252</v>
      </c>
      <c r="H268" s="36" t="s">
        <v>253</v>
      </c>
      <c r="I268" s="36" t="s">
        <v>254</v>
      </c>
      <c r="J268" s="36">
        <v>14</v>
      </c>
      <c r="K268" s="36" t="s">
        <v>277</v>
      </c>
      <c r="L268" s="36">
        <v>4</v>
      </c>
      <c r="M268" s="36">
        <v>100</v>
      </c>
      <c r="N268" s="38">
        <v>425600</v>
      </c>
      <c r="O268" s="39">
        <v>1773333</v>
      </c>
      <c r="P268" s="36">
        <v>24</v>
      </c>
      <c r="Q268" s="36" t="s">
        <v>278</v>
      </c>
      <c r="R268" s="36" t="s">
        <v>257</v>
      </c>
      <c r="S268" s="36" t="s">
        <v>258</v>
      </c>
      <c r="T268" s="36" t="s">
        <v>259</v>
      </c>
      <c r="U268" s="36" t="s">
        <v>260</v>
      </c>
      <c r="V268" s="40">
        <v>45717</v>
      </c>
      <c r="W268" s="40">
        <v>45889</v>
      </c>
      <c r="X268" s="36">
        <v>2</v>
      </c>
      <c r="Y268" s="36" t="s">
        <v>279</v>
      </c>
      <c r="Z268" s="36">
        <v>1</v>
      </c>
      <c r="AA268" s="36">
        <v>1773333</v>
      </c>
      <c r="AB268" s="40">
        <v>46082</v>
      </c>
      <c r="AC268" s="36" t="s">
        <v>2196</v>
      </c>
      <c r="AD268" s="36" t="str">
        <f>VLOOKUP(D268,Oficial!A:C,3,0)</f>
        <v>Arrastre</v>
      </c>
    </row>
    <row r="269" spans="1:30" x14ac:dyDescent="0.25">
      <c r="A269" s="36" t="s">
        <v>27</v>
      </c>
      <c r="B269" s="36" t="s">
        <v>251</v>
      </c>
      <c r="C269" s="36" t="s">
        <v>28</v>
      </c>
      <c r="D269" s="36" t="s">
        <v>251</v>
      </c>
      <c r="E269" s="36" t="s">
        <v>30</v>
      </c>
      <c r="F269" s="36" t="s">
        <v>31</v>
      </c>
      <c r="G269" s="37" t="s">
        <v>252</v>
      </c>
      <c r="H269" s="36" t="s">
        <v>253</v>
      </c>
      <c r="I269" s="36" t="s">
        <v>254</v>
      </c>
      <c r="J269" s="36">
        <v>14</v>
      </c>
      <c r="K269" s="36" t="s">
        <v>277</v>
      </c>
      <c r="L269" s="36">
        <v>4</v>
      </c>
      <c r="M269" s="36">
        <v>100</v>
      </c>
      <c r="N269" s="38">
        <v>425600</v>
      </c>
      <c r="O269" s="39">
        <v>1773333</v>
      </c>
      <c r="P269" s="36">
        <v>24</v>
      </c>
      <c r="Q269" s="36" t="s">
        <v>278</v>
      </c>
      <c r="R269" s="36" t="s">
        <v>257</v>
      </c>
      <c r="S269" s="36" t="s">
        <v>258</v>
      </c>
      <c r="T269" s="36" t="s">
        <v>259</v>
      </c>
      <c r="U269" s="36" t="s">
        <v>260</v>
      </c>
      <c r="V269" s="40">
        <v>45717</v>
      </c>
      <c r="W269" s="40">
        <v>45889</v>
      </c>
      <c r="X269" s="36">
        <v>2</v>
      </c>
      <c r="Y269" s="36" t="s">
        <v>279</v>
      </c>
      <c r="Z269" s="36">
        <v>1</v>
      </c>
      <c r="AA269" s="36">
        <v>1773333</v>
      </c>
      <c r="AB269" s="40">
        <v>46204</v>
      </c>
      <c r="AC269" s="36" t="s">
        <v>2196</v>
      </c>
      <c r="AD269" s="36" t="str">
        <f>VLOOKUP(D269,Oficial!A:C,3,0)</f>
        <v>Arrastre</v>
      </c>
    </row>
    <row r="270" spans="1:30" x14ac:dyDescent="0.25">
      <c r="A270" s="36" t="s">
        <v>27</v>
      </c>
      <c r="B270" s="36" t="s">
        <v>251</v>
      </c>
      <c r="C270" s="36" t="s">
        <v>28</v>
      </c>
      <c r="D270" s="36" t="s">
        <v>251</v>
      </c>
      <c r="E270" s="36" t="s">
        <v>30</v>
      </c>
      <c r="F270" s="36" t="s">
        <v>31</v>
      </c>
      <c r="G270" s="37" t="s">
        <v>252</v>
      </c>
      <c r="H270" s="36" t="s">
        <v>253</v>
      </c>
      <c r="I270" s="36" t="s">
        <v>254</v>
      </c>
      <c r="J270" s="36">
        <v>14</v>
      </c>
      <c r="K270" s="36" t="s">
        <v>277</v>
      </c>
      <c r="L270" s="36">
        <v>4</v>
      </c>
      <c r="M270" s="36">
        <v>100</v>
      </c>
      <c r="N270" s="38">
        <v>425600</v>
      </c>
      <c r="O270" s="39">
        <v>1773333</v>
      </c>
      <c r="P270" s="36">
        <v>24</v>
      </c>
      <c r="Q270" s="36" t="s">
        <v>278</v>
      </c>
      <c r="R270" s="36" t="s">
        <v>257</v>
      </c>
      <c r="S270" s="36" t="s">
        <v>258</v>
      </c>
      <c r="T270" s="36" t="s">
        <v>259</v>
      </c>
      <c r="U270" s="36" t="s">
        <v>260</v>
      </c>
      <c r="V270" s="40">
        <v>45717</v>
      </c>
      <c r="W270" s="40">
        <v>45889</v>
      </c>
      <c r="X270" s="36">
        <v>2</v>
      </c>
      <c r="Y270" s="36" t="s">
        <v>279</v>
      </c>
      <c r="Z270" s="36">
        <v>1</v>
      </c>
      <c r="AA270" s="36">
        <v>1773333</v>
      </c>
      <c r="AB270" s="40">
        <v>46023</v>
      </c>
      <c r="AC270" s="36" t="s">
        <v>2196</v>
      </c>
      <c r="AD270" s="36" t="str">
        <f>VLOOKUP(D270,Oficial!A:C,3,0)</f>
        <v>Arrastre</v>
      </c>
    </row>
    <row r="271" spans="1:30" x14ac:dyDescent="0.25">
      <c r="A271" s="36" t="s">
        <v>27</v>
      </c>
      <c r="B271" s="36" t="s">
        <v>251</v>
      </c>
      <c r="C271" s="36" t="s">
        <v>28</v>
      </c>
      <c r="D271" s="36" t="s">
        <v>251</v>
      </c>
      <c r="E271" s="36" t="s">
        <v>30</v>
      </c>
      <c r="F271" s="36" t="s">
        <v>31</v>
      </c>
      <c r="G271" s="37" t="s">
        <v>252</v>
      </c>
      <c r="H271" s="36" t="s">
        <v>253</v>
      </c>
      <c r="I271" s="36" t="s">
        <v>254</v>
      </c>
      <c r="J271" s="36">
        <v>14</v>
      </c>
      <c r="K271" s="36" t="s">
        <v>277</v>
      </c>
      <c r="L271" s="36">
        <v>4</v>
      </c>
      <c r="M271" s="36">
        <v>100</v>
      </c>
      <c r="N271" s="38">
        <v>425600</v>
      </c>
      <c r="O271" s="39">
        <v>1773333</v>
      </c>
      <c r="P271" s="36">
        <v>24</v>
      </c>
      <c r="Q271" s="36" t="s">
        <v>278</v>
      </c>
      <c r="R271" s="36" t="s">
        <v>257</v>
      </c>
      <c r="S271" s="36" t="s">
        <v>258</v>
      </c>
      <c r="T271" s="36" t="s">
        <v>259</v>
      </c>
      <c r="U271" s="36" t="s">
        <v>260</v>
      </c>
      <c r="V271" s="40">
        <v>45717</v>
      </c>
      <c r="W271" s="40">
        <v>45889</v>
      </c>
      <c r="X271" s="36">
        <v>2</v>
      </c>
      <c r="Y271" s="36" t="s">
        <v>279</v>
      </c>
      <c r="Z271" s="36">
        <v>1</v>
      </c>
      <c r="AA271" s="36">
        <v>1773333</v>
      </c>
      <c r="AB271" s="40">
        <v>46143</v>
      </c>
      <c r="AC271" s="36" t="s">
        <v>2196</v>
      </c>
      <c r="AD271" s="36" t="str">
        <f>VLOOKUP(D271,Oficial!A:C,3,0)</f>
        <v>Arrastre</v>
      </c>
    </row>
    <row r="272" spans="1:30" x14ac:dyDescent="0.25">
      <c r="A272" s="36" t="s">
        <v>27</v>
      </c>
      <c r="B272" s="36" t="s">
        <v>251</v>
      </c>
      <c r="C272" s="36" t="s">
        <v>28</v>
      </c>
      <c r="D272" s="36" t="s">
        <v>251</v>
      </c>
      <c r="E272" s="36" t="s">
        <v>30</v>
      </c>
      <c r="F272" s="36" t="s">
        <v>31</v>
      </c>
      <c r="G272" s="37" t="s">
        <v>252</v>
      </c>
      <c r="H272" s="36" t="s">
        <v>253</v>
      </c>
      <c r="I272" s="36" t="s">
        <v>254</v>
      </c>
      <c r="J272" s="36">
        <v>14</v>
      </c>
      <c r="K272" s="36" t="s">
        <v>277</v>
      </c>
      <c r="L272" s="36">
        <v>4</v>
      </c>
      <c r="M272" s="36">
        <v>100</v>
      </c>
      <c r="N272" s="38">
        <v>425600</v>
      </c>
      <c r="O272" s="39">
        <v>1773333</v>
      </c>
      <c r="P272" s="36">
        <v>24</v>
      </c>
      <c r="Q272" s="36" t="s">
        <v>278</v>
      </c>
      <c r="R272" s="36" t="s">
        <v>257</v>
      </c>
      <c r="S272" s="36" t="s">
        <v>258</v>
      </c>
      <c r="T272" s="36" t="s">
        <v>259</v>
      </c>
      <c r="U272" s="36" t="s">
        <v>260</v>
      </c>
      <c r="V272" s="40">
        <v>45717</v>
      </c>
      <c r="W272" s="40">
        <v>45889</v>
      </c>
      <c r="X272" s="36">
        <v>2</v>
      </c>
      <c r="Y272" s="36" t="s">
        <v>279</v>
      </c>
      <c r="Z272" s="36">
        <v>1</v>
      </c>
      <c r="AA272" s="36">
        <v>1773333</v>
      </c>
      <c r="AB272" s="40">
        <v>46174</v>
      </c>
      <c r="AC272" s="36" t="s">
        <v>2196</v>
      </c>
      <c r="AD272" s="36" t="str">
        <f>VLOOKUP(D272,Oficial!A:C,3,0)</f>
        <v>Arrastre</v>
      </c>
    </row>
    <row r="273" spans="1:30" x14ac:dyDescent="0.25">
      <c r="A273" s="36" t="s">
        <v>27</v>
      </c>
      <c r="B273" s="36" t="s">
        <v>251</v>
      </c>
      <c r="C273" s="36" t="s">
        <v>28</v>
      </c>
      <c r="D273" s="36" t="s">
        <v>251</v>
      </c>
      <c r="E273" s="36" t="s">
        <v>30</v>
      </c>
      <c r="F273" s="36" t="s">
        <v>31</v>
      </c>
      <c r="G273" s="37" t="s">
        <v>252</v>
      </c>
      <c r="H273" s="36" t="s">
        <v>253</v>
      </c>
      <c r="I273" s="36" t="s">
        <v>254</v>
      </c>
      <c r="J273" s="36">
        <v>14</v>
      </c>
      <c r="K273" s="36" t="s">
        <v>277</v>
      </c>
      <c r="L273" s="36">
        <v>4</v>
      </c>
      <c r="M273" s="36">
        <v>100</v>
      </c>
      <c r="N273" s="38">
        <v>425600</v>
      </c>
      <c r="O273" s="39">
        <v>1773333</v>
      </c>
      <c r="P273" s="36">
        <v>24</v>
      </c>
      <c r="Q273" s="36" t="s">
        <v>278</v>
      </c>
      <c r="R273" s="36" t="s">
        <v>257</v>
      </c>
      <c r="S273" s="36" t="s">
        <v>258</v>
      </c>
      <c r="T273" s="36" t="s">
        <v>259</v>
      </c>
      <c r="U273" s="36" t="s">
        <v>260</v>
      </c>
      <c r="V273" s="40">
        <v>45717</v>
      </c>
      <c r="W273" s="40">
        <v>45889</v>
      </c>
      <c r="X273" s="36">
        <v>2</v>
      </c>
      <c r="Y273" s="36" t="s">
        <v>279</v>
      </c>
      <c r="Z273" s="36">
        <v>1</v>
      </c>
      <c r="AA273" s="36">
        <v>1773333</v>
      </c>
      <c r="AB273" s="40">
        <v>46357</v>
      </c>
      <c r="AC273" s="36" t="s">
        <v>2196</v>
      </c>
      <c r="AD273" s="36" t="str">
        <f>VLOOKUP(D273,Oficial!A:C,3,0)</f>
        <v>Arrastre</v>
      </c>
    </row>
    <row r="274" spans="1:30" x14ac:dyDescent="0.25">
      <c r="A274" s="36" t="s">
        <v>27</v>
      </c>
      <c r="B274" s="36" t="s">
        <v>251</v>
      </c>
      <c r="C274" s="36" t="s">
        <v>28</v>
      </c>
      <c r="D274" s="36" t="s">
        <v>251</v>
      </c>
      <c r="E274" s="36" t="s">
        <v>30</v>
      </c>
      <c r="F274" s="36" t="s">
        <v>31</v>
      </c>
      <c r="G274" s="37" t="s">
        <v>252</v>
      </c>
      <c r="H274" s="36" t="s">
        <v>253</v>
      </c>
      <c r="I274" s="36" t="s">
        <v>254</v>
      </c>
      <c r="J274" s="36">
        <v>14</v>
      </c>
      <c r="K274" s="36" t="s">
        <v>277</v>
      </c>
      <c r="L274" s="36">
        <v>4</v>
      </c>
      <c r="M274" s="36">
        <v>100</v>
      </c>
      <c r="N274" s="38">
        <v>425600</v>
      </c>
      <c r="O274" s="39">
        <v>1773333</v>
      </c>
      <c r="P274" s="36">
        <v>24</v>
      </c>
      <c r="Q274" s="36" t="s">
        <v>278</v>
      </c>
      <c r="R274" s="36" t="s">
        <v>257</v>
      </c>
      <c r="S274" s="36" t="s">
        <v>258</v>
      </c>
      <c r="T274" s="36" t="s">
        <v>259</v>
      </c>
      <c r="U274" s="36" t="s">
        <v>260</v>
      </c>
      <c r="V274" s="40">
        <v>45717</v>
      </c>
      <c r="W274" s="40">
        <v>45889</v>
      </c>
      <c r="X274" s="36">
        <v>2</v>
      </c>
      <c r="Y274" s="36" t="s">
        <v>279</v>
      </c>
      <c r="Z274" s="36">
        <v>1</v>
      </c>
      <c r="AA274" s="36">
        <v>1773333</v>
      </c>
      <c r="AB274" s="40">
        <v>46113</v>
      </c>
      <c r="AC274" s="36" t="s">
        <v>2196</v>
      </c>
      <c r="AD274" s="36" t="str">
        <f>VLOOKUP(D274,Oficial!A:C,3,0)</f>
        <v>Arrastre</v>
      </c>
    </row>
    <row r="275" spans="1:30" x14ac:dyDescent="0.25">
      <c r="A275" s="36" t="s">
        <v>27</v>
      </c>
      <c r="B275" s="36" t="s">
        <v>251</v>
      </c>
      <c r="C275" s="36" t="s">
        <v>28</v>
      </c>
      <c r="D275" s="36" t="s">
        <v>251</v>
      </c>
      <c r="E275" s="36" t="s">
        <v>30</v>
      </c>
      <c r="F275" s="36" t="s">
        <v>31</v>
      </c>
      <c r="G275" s="37" t="s">
        <v>252</v>
      </c>
      <c r="H275" s="36" t="s">
        <v>253</v>
      </c>
      <c r="I275" s="36" t="s">
        <v>254</v>
      </c>
      <c r="J275" s="36">
        <v>14</v>
      </c>
      <c r="K275" s="36" t="s">
        <v>281</v>
      </c>
      <c r="L275" s="36">
        <v>4</v>
      </c>
      <c r="M275" s="36">
        <v>100</v>
      </c>
      <c r="N275" s="38">
        <v>4500</v>
      </c>
      <c r="O275" s="39">
        <v>225000</v>
      </c>
      <c r="P275" s="36">
        <v>2</v>
      </c>
      <c r="Q275" s="36" t="s">
        <v>282</v>
      </c>
      <c r="R275" s="36" t="s">
        <v>257</v>
      </c>
      <c r="S275" s="36" t="s">
        <v>258</v>
      </c>
      <c r="T275" s="36" t="s">
        <v>259</v>
      </c>
      <c r="U275" s="36" t="s">
        <v>260</v>
      </c>
      <c r="V275" s="40">
        <v>45809</v>
      </c>
      <c r="W275" s="40">
        <v>45889</v>
      </c>
      <c r="X275" s="36">
        <v>1</v>
      </c>
      <c r="Y275" s="36" t="s">
        <v>283</v>
      </c>
      <c r="Z275" s="36">
        <v>1</v>
      </c>
      <c r="AA275" s="36">
        <v>225000</v>
      </c>
      <c r="AB275" s="40">
        <v>46082</v>
      </c>
      <c r="AC275" s="36" t="s">
        <v>2196</v>
      </c>
      <c r="AD275" s="36" t="str">
        <f>VLOOKUP(D275,Oficial!A:C,3,0)</f>
        <v>Arrastre</v>
      </c>
    </row>
    <row r="276" spans="1:30" x14ac:dyDescent="0.25">
      <c r="A276" s="36" t="s">
        <v>27</v>
      </c>
      <c r="B276" s="36" t="s">
        <v>284</v>
      </c>
      <c r="C276" s="36" t="s">
        <v>28</v>
      </c>
      <c r="D276" s="36" t="s">
        <v>284</v>
      </c>
      <c r="E276" s="36" t="s">
        <v>45</v>
      </c>
      <c r="F276" s="36" t="s">
        <v>31</v>
      </c>
      <c r="G276" s="37" t="s">
        <v>285</v>
      </c>
      <c r="H276" s="36" t="s">
        <v>286</v>
      </c>
      <c r="I276" s="36" t="s">
        <v>287</v>
      </c>
      <c r="J276" s="36">
        <v>1</v>
      </c>
      <c r="K276" s="36" t="s">
        <v>288</v>
      </c>
      <c r="L276" s="36">
        <v>4</v>
      </c>
      <c r="M276" s="36">
        <v>1</v>
      </c>
      <c r="N276" s="38">
        <v>150000000</v>
      </c>
      <c r="O276" s="44">
        <v>6250000</v>
      </c>
      <c r="P276" s="36">
        <v>24</v>
      </c>
      <c r="Q276" s="36" t="s">
        <v>289</v>
      </c>
      <c r="R276" s="36" t="s">
        <v>290</v>
      </c>
      <c r="S276" s="36" t="s">
        <v>291</v>
      </c>
      <c r="T276" s="36" t="s">
        <v>292</v>
      </c>
      <c r="U276" s="36" t="s">
        <v>293</v>
      </c>
      <c r="V276" s="40">
        <v>45748</v>
      </c>
      <c r="W276" s="40">
        <v>45889</v>
      </c>
      <c r="X276" s="36">
        <v>12</v>
      </c>
      <c r="Y276" s="36" t="s">
        <v>294</v>
      </c>
      <c r="Z276" s="36">
        <v>1</v>
      </c>
      <c r="AA276" s="36">
        <v>6250000</v>
      </c>
      <c r="AB276" s="40">
        <v>46266</v>
      </c>
      <c r="AC276" s="36" t="s">
        <v>2196</v>
      </c>
      <c r="AD276" s="36" t="str">
        <f>VLOOKUP(D276,Oficial!A:C,3,0)</f>
        <v>Arrastre</v>
      </c>
    </row>
    <row r="277" spans="1:30" x14ac:dyDescent="0.25">
      <c r="A277" s="36" t="s">
        <v>27</v>
      </c>
      <c r="B277" s="36" t="s">
        <v>284</v>
      </c>
      <c r="C277" s="36" t="s">
        <v>28</v>
      </c>
      <c r="D277" s="36" t="s">
        <v>284</v>
      </c>
      <c r="E277" s="36" t="s">
        <v>45</v>
      </c>
      <c r="F277" s="36" t="s">
        <v>31</v>
      </c>
      <c r="G277" s="37" t="s">
        <v>285</v>
      </c>
      <c r="H277" s="36" t="s">
        <v>286</v>
      </c>
      <c r="I277" s="36" t="s">
        <v>287</v>
      </c>
      <c r="J277" s="36">
        <v>1</v>
      </c>
      <c r="K277" s="36" t="s">
        <v>288</v>
      </c>
      <c r="L277" s="36">
        <v>4</v>
      </c>
      <c r="M277" s="36">
        <v>1</v>
      </c>
      <c r="N277" s="38">
        <v>150000000</v>
      </c>
      <c r="O277" s="44">
        <v>6250000</v>
      </c>
      <c r="P277" s="36">
        <v>24</v>
      </c>
      <c r="Q277" s="36" t="s">
        <v>289</v>
      </c>
      <c r="R277" s="36" t="s">
        <v>290</v>
      </c>
      <c r="S277" s="36" t="s">
        <v>291</v>
      </c>
      <c r="T277" s="36" t="s">
        <v>292</v>
      </c>
      <c r="U277" s="36" t="s">
        <v>293</v>
      </c>
      <c r="V277" s="40">
        <v>45748</v>
      </c>
      <c r="W277" s="40">
        <v>45889</v>
      </c>
      <c r="X277" s="36">
        <v>12</v>
      </c>
      <c r="Y277" s="36" t="s">
        <v>295</v>
      </c>
      <c r="Z277" s="36">
        <v>1</v>
      </c>
      <c r="AA277" s="36">
        <v>6250000</v>
      </c>
      <c r="AB277" s="40">
        <v>46023</v>
      </c>
      <c r="AC277" s="36" t="s">
        <v>2196</v>
      </c>
      <c r="AD277" s="36" t="str">
        <f>VLOOKUP(D277,Oficial!A:C,3,0)</f>
        <v>Arrastre</v>
      </c>
    </row>
    <row r="278" spans="1:30" x14ac:dyDescent="0.25">
      <c r="A278" s="36" t="s">
        <v>27</v>
      </c>
      <c r="B278" s="36" t="s">
        <v>284</v>
      </c>
      <c r="C278" s="36" t="s">
        <v>28</v>
      </c>
      <c r="D278" s="36" t="s">
        <v>284</v>
      </c>
      <c r="E278" s="36" t="s">
        <v>45</v>
      </c>
      <c r="F278" s="36" t="s">
        <v>31</v>
      </c>
      <c r="G278" s="37" t="s">
        <v>285</v>
      </c>
      <c r="H278" s="36" t="s">
        <v>286</v>
      </c>
      <c r="I278" s="36" t="s">
        <v>287</v>
      </c>
      <c r="J278" s="36">
        <v>1</v>
      </c>
      <c r="K278" s="36" t="s">
        <v>288</v>
      </c>
      <c r="L278" s="36">
        <v>4</v>
      </c>
      <c r="M278" s="36">
        <v>1</v>
      </c>
      <c r="N278" s="38">
        <v>150000000</v>
      </c>
      <c r="O278" s="44">
        <v>6250000</v>
      </c>
      <c r="P278" s="36">
        <v>24</v>
      </c>
      <c r="Q278" s="36" t="s">
        <v>289</v>
      </c>
      <c r="R278" s="36" t="s">
        <v>290</v>
      </c>
      <c r="S278" s="36" t="s">
        <v>291</v>
      </c>
      <c r="T278" s="36" t="s">
        <v>292</v>
      </c>
      <c r="U278" s="36" t="s">
        <v>293</v>
      </c>
      <c r="V278" s="40">
        <v>45748</v>
      </c>
      <c r="W278" s="40">
        <v>45889</v>
      </c>
      <c r="X278" s="36">
        <v>12</v>
      </c>
      <c r="Y278" s="36" t="s">
        <v>295</v>
      </c>
      <c r="Z278" s="36">
        <v>1</v>
      </c>
      <c r="AA278" s="36">
        <v>6250000</v>
      </c>
      <c r="AB278" s="40">
        <v>46235</v>
      </c>
      <c r="AC278" s="36" t="s">
        <v>2196</v>
      </c>
      <c r="AD278" s="36" t="str">
        <f>VLOOKUP(D278,Oficial!A:C,3,0)</f>
        <v>Arrastre</v>
      </c>
    </row>
    <row r="279" spans="1:30" x14ac:dyDescent="0.25">
      <c r="A279" s="36" t="s">
        <v>27</v>
      </c>
      <c r="B279" s="36" t="s">
        <v>284</v>
      </c>
      <c r="C279" s="36" t="s">
        <v>28</v>
      </c>
      <c r="D279" s="36" t="s">
        <v>284</v>
      </c>
      <c r="E279" s="36" t="s">
        <v>45</v>
      </c>
      <c r="F279" s="36" t="s">
        <v>31</v>
      </c>
      <c r="G279" s="37" t="s">
        <v>285</v>
      </c>
      <c r="H279" s="36" t="s">
        <v>286</v>
      </c>
      <c r="I279" s="36" t="s">
        <v>287</v>
      </c>
      <c r="J279" s="36">
        <v>1</v>
      </c>
      <c r="K279" s="36" t="s">
        <v>288</v>
      </c>
      <c r="L279" s="36">
        <v>4</v>
      </c>
      <c r="M279" s="36">
        <v>1</v>
      </c>
      <c r="N279" s="38">
        <v>150000000</v>
      </c>
      <c r="O279" s="44">
        <v>6250000</v>
      </c>
      <c r="P279" s="36">
        <v>24</v>
      </c>
      <c r="Q279" s="36" t="s">
        <v>289</v>
      </c>
      <c r="R279" s="36" t="s">
        <v>290</v>
      </c>
      <c r="S279" s="36" t="s">
        <v>291</v>
      </c>
      <c r="T279" s="36" t="s">
        <v>292</v>
      </c>
      <c r="U279" s="36" t="s">
        <v>293</v>
      </c>
      <c r="V279" s="40">
        <v>45748</v>
      </c>
      <c r="W279" s="40">
        <v>45889</v>
      </c>
      <c r="X279" s="36">
        <v>12</v>
      </c>
      <c r="Y279" s="36" t="s">
        <v>295</v>
      </c>
      <c r="Z279" s="36">
        <v>1</v>
      </c>
      <c r="AA279" s="36">
        <v>6250000</v>
      </c>
      <c r="AB279" s="40">
        <v>46204</v>
      </c>
      <c r="AC279" s="36" t="s">
        <v>2196</v>
      </c>
      <c r="AD279" s="36" t="str">
        <f>VLOOKUP(D279,Oficial!A:C,3,0)</f>
        <v>Arrastre</v>
      </c>
    </row>
    <row r="280" spans="1:30" x14ac:dyDescent="0.25">
      <c r="A280" s="36" t="s">
        <v>27</v>
      </c>
      <c r="B280" s="36" t="s">
        <v>284</v>
      </c>
      <c r="C280" s="36" t="s">
        <v>28</v>
      </c>
      <c r="D280" s="36" t="s">
        <v>284</v>
      </c>
      <c r="E280" s="36" t="s">
        <v>45</v>
      </c>
      <c r="F280" s="36" t="s">
        <v>31</v>
      </c>
      <c r="G280" s="37" t="s">
        <v>285</v>
      </c>
      <c r="H280" s="36" t="s">
        <v>286</v>
      </c>
      <c r="I280" s="36" t="s">
        <v>287</v>
      </c>
      <c r="J280" s="36">
        <v>1</v>
      </c>
      <c r="K280" s="36" t="s">
        <v>288</v>
      </c>
      <c r="L280" s="36">
        <v>4</v>
      </c>
      <c r="M280" s="36">
        <v>1</v>
      </c>
      <c r="N280" s="38">
        <v>150000000</v>
      </c>
      <c r="O280" s="44">
        <v>6250000</v>
      </c>
      <c r="P280" s="36">
        <v>24</v>
      </c>
      <c r="Q280" s="36" t="s">
        <v>289</v>
      </c>
      <c r="R280" s="36" t="s">
        <v>290</v>
      </c>
      <c r="S280" s="36" t="s">
        <v>291</v>
      </c>
      <c r="T280" s="36" t="s">
        <v>292</v>
      </c>
      <c r="U280" s="36" t="s">
        <v>293</v>
      </c>
      <c r="V280" s="40">
        <v>45748</v>
      </c>
      <c r="W280" s="40">
        <v>45889</v>
      </c>
      <c r="X280" s="36">
        <v>12</v>
      </c>
      <c r="Y280" s="36" t="s">
        <v>295</v>
      </c>
      <c r="Z280" s="36">
        <v>1</v>
      </c>
      <c r="AA280" s="36">
        <v>6250000</v>
      </c>
      <c r="AB280" s="40">
        <v>46054</v>
      </c>
      <c r="AC280" s="36" t="s">
        <v>2196</v>
      </c>
      <c r="AD280" s="36" t="str">
        <f>VLOOKUP(D280,Oficial!A:C,3,0)</f>
        <v>Arrastre</v>
      </c>
    </row>
    <row r="281" spans="1:30" x14ac:dyDescent="0.25">
      <c r="A281" s="36" t="s">
        <v>27</v>
      </c>
      <c r="B281" s="36" t="s">
        <v>284</v>
      </c>
      <c r="C281" s="36" t="s">
        <v>28</v>
      </c>
      <c r="D281" s="36" t="s">
        <v>284</v>
      </c>
      <c r="E281" s="36" t="s">
        <v>45</v>
      </c>
      <c r="F281" s="36" t="s">
        <v>31</v>
      </c>
      <c r="G281" s="37" t="s">
        <v>285</v>
      </c>
      <c r="H281" s="36" t="s">
        <v>286</v>
      </c>
      <c r="I281" s="36" t="s">
        <v>287</v>
      </c>
      <c r="J281" s="36">
        <v>1</v>
      </c>
      <c r="K281" s="36" t="s">
        <v>288</v>
      </c>
      <c r="L281" s="36">
        <v>4</v>
      </c>
      <c r="M281" s="36">
        <v>1</v>
      </c>
      <c r="N281" s="38">
        <v>150000000</v>
      </c>
      <c r="O281" s="44">
        <v>6250000</v>
      </c>
      <c r="P281" s="36">
        <v>24</v>
      </c>
      <c r="Q281" s="36" t="s">
        <v>289</v>
      </c>
      <c r="R281" s="36" t="s">
        <v>290</v>
      </c>
      <c r="S281" s="36" t="s">
        <v>291</v>
      </c>
      <c r="T281" s="36" t="s">
        <v>292</v>
      </c>
      <c r="U281" s="36" t="s">
        <v>293</v>
      </c>
      <c r="V281" s="40">
        <v>45748</v>
      </c>
      <c r="W281" s="40">
        <v>45889</v>
      </c>
      <c r="X281" s="36">
        <v>12</v>
      </c>
      <c r="Y281" s="36" t="s">
        <v>295</v>
      </c>
      <c r="Z281" s="36">
        <v>1</v>
      </c>
      <c r="AA281" s="36">
        <v>6250000</v>
      </c>
      <c r="AB281" s="40">
        <v>46143</v>
      </c>
      <c r="AC281" s="36" t="s">
        <v>2196</v>
      </c>
      <c r="AD281" s="36" t="str">
        <f>VLOOKUP(D281,Oficial!A:C,3,0)</f>
        <v>Arrastre</v>
      </c>
    </row>
    <row r="282" spans="1:30" x14ac:dyDescent="0.25">
      <c r="A282" s="36" t="s">
        <v>27</v>
      </c>
      <c r="B282" s="36" t="s">
        <v>284</v>
      </c>
      <c r="C282" s="36" t="s">
        <v>28</v>
      </c>
      <c r="D282" s="36" t="s">
        <v>284</v>
      </c>
      <c r="E282" s="36" t="s">
        <v>45</v>
      </c>
      <c r="F282" s="36" t="s">
        <v>31</v>
      </c>
      <c r="G282" s="37" t="s">
        <v>285</v>
      </c>
      <c r="H282" s="36" t="s">
        <v>286</v>
      </c>
      <c r="I282" s="36" t="s">
        <v>287</v>
      </c>
      <c r="J282" s="36">
        <v>1</v>
      </c>
      <c r="K282" s="36" t="s">
        <v>288</v>
      </c>
      <c r="L282" s="36">
        <v>4</v>
      </c>
      <c r="M282" s="36">
        <v>1</v>
      </c>
      <c r="N282" s="38">
        <v>150000000</v>
      </c>
      <c r="O282" s="44">
        <v>6250000</v>
      </c>
      <c r="P282" s="36">
        <v>24</v>
      </c>
      <c r="Q282" s="36" t="s">
        <v>289</v>
      </c>
      <c r="R282" s="36" t="s">
        <v>290</v>
      </c>
      <c r="S282" s="36" t="s">
        <v>291</v>
      </c>
      <c r="T282" s="36" t="s">
        <v>292</v>
      </c>
      <c r="U282" s="36" t="s">
        <v>293</v>
      </c>
      <c r="V282" s="40">
        <v>45748</v>
      </c>
      <c r="W282" s="40">
        <v>45889</v>
      </c>
      <c r="X282" s="36">
        <v>12</v>
      </c>
      <c r="Y282" s="36" t="s">
        <v>295</v>
      </c>
      <c r="Z282" s="36">
        <v>1</v>
      </c>
      <c r="AA282" s="36">
        <v>6250000</v>
      </c>
      <c r="AB282" s="40">
        <v>46082</v>
      </c>
      <c r="AC282" s="36" t="s">
        <v>2196</v>
      </c>
      <c r="AD282" s="36" t="str">
        <f>VLOOKUP(D282,Oficial!A:C,3,0)</f>
        <v>Arrastre</v>
      </c>
    </row>
    <row r="283" spans="1:30" x14ac:dyDescent="0.25">
      <c r="A283" s="36" t="s">
        <v>27</v>
      </c>
      <c r="B283" s="36" t="s">
        <v>284</v>
      </c>
      <c r="C283" s="36" t="s">
        <v>28</v>
      </c>
      <c r="D283" s="36" t="s">
        <v>284</v>
      </c>
      <c r="E283" s="36" t="s">
        <v>45</v>
      </c>
      <c r="F283" s="36" t="s">
        <v>31</v>
      </c>
      <c r="G283" s="37" t="s">
        <v>285</v>
      </c>
      <c r="H283" s="36" t="s">
        <v>286</v>
      </c>
      <c r="I283" s="36" t="s">
        <v>287</v>
      </c>
      <c r="J283" s="36">
        <v>1</v>
      </c>
      <c r="K283" s="36" t="s">
        <v>288</v>
      </c>
      <c r="L283" s="36">
        <v>4</v>
      </c>
      <c r="M283" s="36">
        <v>1</v>
      </c>
      <c r="N283" s="38">
        <v>150000000</v>
      </c>
      <c r="O283" s="44">
        <v>6250000</v>
      </c>
      <c r="P283" s="36">
        <v>24</v>
      </c>
      <c r="Q283" s="36" t="s">
        <v>289</v>
      </c>
      <c r="R283" s="36" t="s">
        <v>290</v>
      </c>
      <c r="S283" s="36" t="s">
        <v>291</v>
      </c>
      <c r="T283" s="36" t="s">
        <v>292</v>
      </c>
      <c r="U283" s="36" t="s">
        <v>293</v>
      </c>
      <c r="V283" s="40">
        <v>45748</v>
      </c>
      <c r="W283" s="40">
        <v>45889</v>
      </c>
      <c r="X283" s="36">
        <v>12</v>
      </c>
      <c r="Y283" s="36" t="s">
        <v>296</v>
      </c>
      <c r="Z283" s="36">
        <v>1</v>
      </c>
      <c r="AA283" s="36">
        <v>6250000</v>
      </c>
      <c r="AB283" s="40">
        <v>46143</v>
      </c>
      <c r="AC283" s="36" t="s">
        <v>2196</v>
      </c>
      <c r="AD283" s="36" t="str">
        <f>VLOOKUP(D283,Oficial!A:C,3,0)</f>
        <v>Arrastre</v>
      </c>
    </row>
    <row r="284" spans="1:30" x14ac:dyDescent="0.25">
      <c r="A284" s="36" t="s">
        <v>27</v>
      </c>
      <c r="B284" s="36" t="s">
        <v>284</v>
      </c>
      <c r="C284" s="36" t="s">
        <v>28</v>
      </c>
      <c r="D284" s="36" t="s">
        <v>284</v>
      </c>
      <c r="E284" s="36" t="s">
        <v>45</v>
      </c>
      <c r="F284" s="36" t="s">
        <v>31</v>
      </c>
      <c r="G284" s="37" t="s">
        <v>285</v>
      </c>
      <c r="H284" s="36" t="s">
        <v>286</v>
      </c>
      <c r="I284" s="36" t="s">
        <v>287</v>
      </c>
      <c r="J284" s="36">
        <v>1</v>
      </c>
      <c r="K284" s="36" t="s">
        <v>288</v>
      </c>
      <c r="L284" s="36">
        <v>4</v>
      </c>
      <c r="M284" s="36">
        <v>1</v>
      </c>
      <c r="N284" s="38">
        <v>150000000</v>
      </c>
      <c r="O284" s="44">
        <v>6250000</v>
      </c>
      <c r="P284" s="36">
        <v>24</v>
      </c>
      <c r="Q284" s="36" t="s">
        <v>289</v>
      </c>
      <c r="R284" s="36" t="s">
        <v>290</v>
      </c>
      <c r="S284" s="36" t="s">
        <v>291</v>
      </c>
      <c r="T284" s="36" t="s">
        <v>292</v>
      </c>
      <c r="U284" s="36" t="s">
        <v>293</v>
      </c>
      <c r="V284" s="40">
        <v>45748</v>
      </c>
      <c r="W284" s="40">
        <v>45889</v>
      </c>
      <c r="X284" s="36">
        <v>12</v>
      </c>
      <c r="Y284" s="36" t="s">
        <v>297</v>
      </c>
      <c r="Z284" s="36">
        <v>1</v>
      </c>
      <c r="AA284" s="36">
        <v>6250000</v>
      </c>
      <c r="AB284" s="40">
        <v>46082</v>
      </c>
      <c r="AC284" s="36" t="s">
        <v>2196</v>
      </c>
      <c r="AD284" s="36" t="str">
        <f>VLOOKUP(D284,Oficial!A:C,3,0)</f>
        <v>Arrastre</v>
      </c>
    </row>
    <row r="285" spans="1:30" x14ac:dyDescent="0.25">
      <c r="A285" s="36" t="s">
        <v>27</v>
      </c>
      <c r="B285" s="36" t="s">
        <v>284</v>
      </c>
      <c r="C285" s="36" t="s">
        <v>28</v>
      </c>
      <c r="D285" s="36" t="s">
        <v>284</v>
      </c>
      <c r="E285" s="36" t="s">
        <v>45</v>
      </c>
      <c r="F285" s="36" t="s">
        <v>31</v>
      </c>
      <c r="G285" s="37" t="s">
        <v>285</v>
      </c>
      <c r="H285" s="36" t="s">
        <v>286</v>
      </c>
      <c r="I285" s="36" t="s">
        <v>287</v>
      </c>
      <c r="J285" s="36">
        <v>1</v>
      </c>
      <c r="K285" s="36" t="s">
        <v>288</v>
      </c>
      <c r="L285" s="36">
        <v>4</v>
      </c>
      <c r="M285" s="36">
        <v>1</v>
      </c>
      <c r="N285" s="38">
        <v>150000000</v>
      </c>
      <c r="O285" s="44">
        <v>6250000</v>
      </c>
      <c r="P285" s="36">
        <v>24</v>
      </c>
      <c r="Q285" s="36" t="s">
        <v>289</v>
      </c>
      <c r="R285" s="36" t="s">
        <v>290</v>
      </c>
      <c r="S285" s="36" t="s">
        <v>291</v>
      </c>
      <c r="T285" s="36" t="s">
        <v>292</v>
      </c>
      <c r="U285" s="36" t="s">
        <v>293</v>
      </c>
      <c r="V285" s="40">
        <v>45748</v>
      </c>
      <c r="W285" s="40">
        <v>45889</v>
      </c>
      <c r="X285" s="36">
        <v>12</v>
      </c>
      <c r="Y285" s="36" t="s">
        <v>294</v>
      </c>
      <c r="Z285" s="36">
        <v>1</v>
      </c>
      <c r="AA285" s="36">
        <v>6250000</v>
      </c>
      <c r="AB285" s="40">
        <v>46235</v>
      </c>
      <c r="AC285" s="36" t="s">
        <v>2196</v>
      </c>
      <c r="AD285" s="36" t="str">
        <f>VLOOKUP(D285,Oficial!A:C,3,0)</f>
        <v>Arrastre</v>
      </c>
    </row>
    <row r="286" spans="1:30" x14ac:dyDescent="0.25">
      <c r="A286" s="36" t="s">
        <v>27</v>
      </c>
      <c r="B286" s="36" t="s">
        <v>284</v>
      </c>
      <c r="C286" s="36" t="s">
        <v>28</v>
      </c>
      <c r="D286" s="36" t="s">
        <v>284</v>
      </c>
      <c r="E286" s="36" t="s">
        <v>45</v>
      </c>
      <c r="F286" s="36" t="s">
        <v>31</v>
      </c>
      <c r="G286" s="37" t="s">
        <v>285</v>
      </c>
      <c r="H286" s="36" t="s">
        <v>286</v>
      </c>
      <c r="I286" s="36" t="s">
        <v>287</v>
      </c>
      <c r="J286" s="36">
        <v>1</v>
      </c>
      <c r="K286" s="36" t="s">
        <v>288</v>
      </c>
      <c r="L286" s="36">
        <v>4</v>
      </c>
      <c r="M286" s="36">
        <v>1</v>
      </c>
      <c r="N286" s="38">
        <v>150000000</v>
      </c>
      <c r="O286" s="44">
        <v>6250000</v>
      </c>
      <c r="P286" s="36">
        <v>24</v>
      </c>
      <c r="Q286" s="36" t="s">
        <v>289</v>
      </c>
      <c r="R286" s="36" t="s">
        <v>290</v>
      </c>
      <c r="S286" s="36" t="s">
        <v>291</v>
      </c>
      <c r="T286" s="36" t="s">
        <v>292</v>
      </c>
      <c r="U286" s="36" t="s">
        <v>293</v>
      </c>
      <c r="V286" s="40">
        <v>45748</v>
      </c>
      <c r="W286" s="40">
        <v>45889</v>
      </c>
      <c r="X286" s="36">
        <v>12</v>
      </c>
      <c r="Y286" s="36" t="s">
        <v>294</v>
      </c>
      <c r="Z286" s="36">
        <v>1</v>
      </c>
      <c r="AA286" s="36">
        <v>6250000</v>
      </c>
      <c r="AB286" s="40">
        <v>46174</v>
      </c>
      <c r="AC286" s="36" t="s">
        <v>2196</v>
      </c>
      <c r="AD286" s="36" t="str">
        <f>VLOOKUP(D286,Oficial!A:C,3,0)</f>
        <v>Arrastre</v>
      </c>
    </row>
    <row r="287" spans="1:30" x14ac:dyDescent="0.25">
      <c r="A287" s="36" t="s">
        <v>27</v>
      </c>
      <c r="B287" s="36" t="s">
        <v>284</v>
      </c>
      <c r="C287" s="36" t="s">
        <v>28</v>
      </c>
      <c r="D287" s="36" t="s">
        <v>284</v>
      </c>
      <c r="E287" s="36" t="s">
        <v>45</v>
      </c>
      <c r="F287" s="36" t="s">
        <v>31</v>
      </c>
      <c r="G287" s="37" t="s">
        <v>285</v>
      </c>
      <c r="H287" s="36" t="s">
        <v>286</v>
      </c>
      <c r="I287" s="36" t="s">
        <v>287</v>
      </c>
      <c r="J287" s="36">
        <v>1</v>
      </c>
      <c r="K287" s="36" t="s">
        <v>288</v>
      </c>
      <c r="L287" s="36">
        <v>4</v>
      </c>
      <c r="M287" s="36">
        <v>1</v>
      </c>
      <c r="N287" s="38">
        <v>150000000</v>
      </c>
      <c r="O287" s="44">
        <v>6250000</v>
      </c>
      <c r="P287" s="36">
        <v>24</v>
      </c>
      <c r="Q287" s="36" t="s">
        <v>289</v>
      </c>
      <c r="R287" s="36" t="s">
        <v>290</v>
      </c>
      <c r="S287" s="36" t="s">
        <v>291</v>
      </c>
      <c r="T287" s="36" t="s">
        <v>292</v>
      </c>
      <c r="U287" s="36" t="s">
        <v>293</v>
      </c>
      <c r="V287" s="40">
        <v>45748</v>
      </c>
      <c r="W287" s="40">
        <v>45889</v>
      </c>
      <c r="X287" s="36">
        <v>12</v>
      </c>
      <c r="Y287" s="36" t="s">
        <v>295</v>
      </c>
      <c r="Z287" s="36">
        <v>1</v>
      </c>
      <c r="AA287" s="36">
        <v>6250000</v>
      </c>
      <c r="AB287" s="40">
        <v>46113</v>
      </c>
      <c r="AC287" s="36" t="s">
        <v>2196</v>
      </c>
      <c r="AD287" s="36" t="str">
        <f>VLOOKUP(D287,Oficial!A:C,3,0)</f>
        <v>Arrastre</v>
      </c>
    </row>
    <row r="288" spans="1:30" x14ac:dyDescent="0.25">
      <c r="A288" s="36" t="s">
        <v>27</v>
      </c>
      <c r="B288" s="36" t="s">
        <v>298</v>
      </c>
      <c r="C288" s="36" t="s">
        <v>28</v>
      </c>
      <c r="D288" s="36" t="s">
        <v>298</v>
      </c>
      <c r="E288" s="36" t="s">
        <v>30</v>
      </c>
      <c r="F288" s="36" t="s">
        <v>31</v>
      </c>
      <c r="G288" s="37" t="s">
        <v>299</v>
      </c>
      <c r="H288" s="36" t="s">
        <v>300</v>
      </c>
      <c r="I288" s="36" t="s">
        <v>301</v>
      </c>
      <c r="J288" s="36">
        <v>1</v>
      </c>
      <c r="K288" s="36" t="s">
        <v>205</v>
      </c>
      <c r="L288" s="36">
        <v>4</v>
      </c>
      <c r="M288" s="36">
        <v>1</v>
      </c>
      <c r="N288" s="38">
        <v>216000000</v>
      </c>
      <c r="O288" s="43">
        <v>12000000</v>
      </c>
      <c r="P288" s="36">
        <v>18</v>
      </c>
      <c r="Q288" s="36" t="s">
        <v>206</v>
      </c>
      <c r="R288" s="36" t="s">
        <v>182</v>
      </c>
      <c r="S288" s="36" t="s">
        <v>302</v>
      </c>
      <c r="T288" s="36" t="s">
        <v>303</v>
      </c>
      <c r="U288" s="36" t="s">
        <v>185</v>
      </c>
      <c r="V288" s="40">
        <v>45839</v>
      </c>
      <c r="W288" s="40">
        <v>45889</v>
      </c>
      <c r="X288" s="36">
        <v>0</v>
      </c>
      <c r="Y288" s="36"/>
      <c r="Z288" s="36">
        <v>1</v>
      </c>
      <c r="AA288" s="36">
        <v>12000000</v>
      </c>
      <c r="AB288" s="40">
        <v>46357</v>
      </c>
      <c r="AC288" s="36" t="s">
        <v>2196</v>
      </c>
      <c r="AD288" s="36" t="str">
        <f>VLOOKUP(D288,Oficial!A:C,3,0)</f>
        <v>Arrastre</v>
      </c>
    </row>
    <row r="289" spans="1:30" x14ac:dyDescent="0.25">
      <c r="A289" s="36" t="s">
        <v>27</v>
      </c>
      <c r="B289" s="36" t="s">
        <v>298</v>
      </c>
      <c r="C289" s="36" t="s">
        <v>28</v>
      </c>
      <c r="D289" s="36" t="s">
        <v>298</v>
      </c>
      <c r="E289" s="36" t="s">
        <v>30</v>
      </c>
      <c r="F289" s="36" t="s">
        <v>31</v>
      </c>
      <c r="G289" s="37" t="s">
        <v>299</v>
      </c>
      <c r="H289" s="36" t="s">
        <v>300</v>
      </c>
      <c r="I289" s="36" t="s">
        <v>301</v>
      </c>
      <c r="J289" s="36">
        <v>1</v>
      </c>
      <c r="K289" s="36" t="s">
        <v>205</v>
      </c>
      <c r="L289" s="36">
        <v>4</v>
      </c>
      <c r="M289" s="36">
        <v>1</v>
      </c>
      <c r="N289" s="38">
        <v>216000000</v>
      </c>
      <c r="O289" s="43">
        <v>12000000</v>
      </c>
      <c r="P289" s="36">
        <v>18</v>
      </c>
      <c r="Q289" s="36" t="s">
        <v>206</v>
      </c>
      <c r="R289" s="36" t="s">
        <v>182</v>
      </c>
      <c r="S289" s="36" t="s">
        <v>302</v>
      </c>
      <c r="T289" s="36" t="s">
        <v>303</v>
      </c>
      <c r="U289" s="36" t="s">
        <v>185</v>
      </c>
      <c r="V289" s="40">
        <v>45839</v>
      </c>
      <c r="W289" s="40">
        <v>45889</v>
      </c>
      <c r="X289" s="36">
        <v>0</v>
      </c>
      <c r="Y289" s="36"/>
      <c r="Z289" s="36">
        <v>1</v>
      </c>
      <c r="AA289" s="36">
        <v>12000000</v>
      </c>
      <c r="AB289" s="40">
        <v>46174</v>
      </c>
      <c r="AC289" s="36" t="s">
        <v>2196</v>
      </c>
      <c r="AD289" s="36" t="str">
        <f>VLOOKUP(D289,Oficial!A:C,3,0)</f>
        <v>Arrastre</v>
      </c>
    </row>
    <row r="290" spans="1:30" x14ac:dyDescent="0.25">
      <c r="A290" s="36" t="s">
        <v>27</v>
      </c>
      <c r="B290" s="36" t="s">
        <v>298</v>
      </c>
      <c r="C290" s="36" t="s">
        <v>28</v>
      </c>
      <c r="D290" s="36" t="s">
        <v>298</v>
      </c>
      <c r="E290" s="36" t="s">
        <v>30</v>
      </c>
      <c r="F290" s="36" t="s">
        <v>31</v>
      </c>
      <c r="G290" s="37" t="s">
        <v>299</v>
      </c>
      <c r="H290" s="36" t="s">
        <v>300</v>
      </c>
      <c r="I290" s="36" t="s">
        <v>301</v>
      </c>
      <c r="J290" s="36">
        <v>1</v>
      </c>
      <c r="K290" s="36" t="s">
        <v>205</v>
      </c>
      <c r="L290" s="36">
        <v>4</v>
      </c>
      <c r="M290" s="36">
        <v>1</v>
      </c>
      <c r="N290" s="38">
        <v>216000000</v>
      </c>
      <c r="O290" s="43">
        <v>12000000</v>
      </c>
      <c r="P290" s="36">
        <v>18</v>
      </c>
      <c r="Q290" s="36" t="s">
        <v>206</v>
      </c>
      <c r="R290" s="36" t="s">
        <v>182</v>
      </c>
      <c r="S290" s="36" t="s">
        <v>302</v>
      </c>
      <c r="T290" s="36" t="s">
        <v>303</v>
      </c>
      <c r="U290" s="36" t="s">
        <v>185</v>
      </c>
      <c r="V290" s="40">
        <v>45839</v>
      </c>
      <c r="W290" s="40">
        <v>45889</v>
      </c>
      <c r="X290" s="36">
        <v>0</v>
      </c>
      <c r="Y290" s="36"/>
      <c r="Z290" s="36">
        <v>1</v>
      </c>
      <c r="AA290" s="36">
        <v>12000000</v>
      </c>
      <c r="AB290" s="40">
        <v>46054</v>
      </c>
      <c r="AC290" s="36" t="s">
        <v>2196</v>
      </c>
      <c r="AD290" s="36" t="str">
        <f>VLOOKUP(D290,Oficial!A:C,3,0)</f>
        <v>Arrastre</v>
      </c>
    </row>
    <row r="291" spans="1:30" x14ac:dyDescent="0.25">
      <c r="A291" s="36" t="s">
        <v>27</v>
      </c>
      <c r="B291" s="36" t="s">
        <v>298</v>
      </c>
      <c r="C291" s="36" t="s">
        <v>28</v>
      </c>
      <c r="D291" s="36" t="s">
        <v>298</v>
      </c>
      <c r="E291" s="36" t="s">
        <v>30</v>
      </c>
      <c r="F291" s="36" t="s">
        <v>31</v>
      </c>
      <c r="G291" s="37" t="s">
        <v>299</v>
      </c>
      <c r="H291" s="36" t="s">
        <v>300</v>
      </c>
      <c r="I291" s="36" t="s">
        <v>301</v>
      </c>
      <c r="J291" s="36">
        <v>1</v>
      </c>
      <c r="K291" s="36" t="s">
        <v>205</v>
      </c>
      <c r="L291" s="36">
        <v>4</v>
      </c>
      <c r="M291" s="36">
        <v>1</v>
      </c>
      <c r="N291" s="38">
        <v>216000000</v>
      </c>
      <c r="O291" s="43">
        <v>12000000</v>
      </c>
      <c r="P291" s="36">
        <v>18</v>
      </c>
      <c r="Q291" s="36" t="s">
        <v>206</v>
      </c>
      <c r="R291" s="36" t="s">
        <v>182</v>
      </c>
      <c r="S291" s="36" t="s">
        <v>302</v>
      </c>
      <c r="T291" s="36" t="s">
        <v>303</v>
      </c>
      <c r="U291" s="36" t="s">
        <v>185</v>
      </c>
      <c r="V291" s="40">
        <v>45839</v>
      </c>
      <c r="W291" s="40">
        <v>45889</v>
      </c>
      <c r="X291" s="36">
        <v>0</v>
      </c>
      <c r="Y291" s="36"/>
      <c r="Z291" s="36">
        <v>1</v>
      </c>
      <c r="AA291" s="36">
        <v>12000000</v>
      </c>
      <c r="AB291" s="40">
        <v>46023</v>
      </c>
      <c r="AC291" s="36" t="s">
        <v>2196</v>
      </c>
      <c r="AD291" s="36" t="str">
        <f>VLOOKUP(D291,Oficial!A:C,3,0)</f>
        <v>Arrastre</v>
      </c>
    </row>
    <row r="292" spans="1:30" x14ac:dyDescent="0.25">
      <c r="A292" s="36" t="s">
        <v>27</v>
      </c>
      <c r="B292" s="36" t="s">
        <v>298</v>
      </c>
      <c r="C292" s="36" t="s">
        <v>28</v>
      </c>
      <c r="D292" s="36" t="s">
        <v>298</v>
      </c>
      <c r="E292" s="36" t="s">
        <v>30</v>
      </c>
      <c r="F292" s="36" t="s">
        <v>31</v>
      </c>
      <c r="G292" s="37" t="s">
        <v>299</v>
      </c>
      <c r="H292" s="36" t="s">
        <v>300</v>
      </c>
      <c r="I292" s="36" t="s">
        <v>301</v>
      </c>
      <c r="J292" s="36">
        <v>1</v>
      </c>
      <c r="K292" s="36" t="s">
        <v>205</v>
      </c>
      <c r="L292" s="36">
        <v>4</v>
      </c>
      <c r="M292" s="36">
        <v>1</v>
      </c>
      <c r="N292" s="38">
        <v>216000000</v>
      </c>
      <c r="O292" s="43">
        <v>12000000</v>
      </c>
      <c r="P292" s="36">
        <v>18</v>
      </c>
      <c r="Q292" s="36" t="s">
        <v>206</v>
      </c>
      <c r="R292" s="36" t="s">
        <v>182</v>
      </c>
      <c r="S292" s="36" t="s">
        <v>302</v>
      </c>
      <c r="T292" s="36" t="s">
        <v>303</v>
      </c>
      <c r="U292" s="36" t="s">
        <v>185</v>
      </c>
      <c r="V292" s="40">
        <v>45839</v>
      </c>
      <c r="W292" s="40">
        <v>45889</v>
      </c>
      <c r="X292" s="36">
        <v>0</v>
      </c>
      <c r="Y292" s="36"/>
      <c r="Z292" s="36">
        <v>1</v>
      </c>
      <c r="AA292" s="36">
        <v>12000000</v>
      </c>
      <c r="AB292" s="40">
        <v>46204</v>
      </c>
      <c r="AC292" s="36" t="s">
        <v>2196</v>
      </c>
      <c r="AD292" s="36" t="str">
        <f>VLOOKUP(D292,Oficial!A:C,3,0)</f>
        <v>Arrastre</v>
      </c>
    </row>
    <row r="293" spans="1:30" x14ac:dyDescent="0.25">
      <c r="A293" s="36" t="s">
        <v>27</v>
      </c>
      <c r="B293" s="36" t="s">
        <v>298</v>
      </c>
      <c r="C293" s="36" t="s">
        <v>28</v>
      </c>
      <c r="D293" s="36" t="s">
        <v>298</v>
      </c>
      <c r="E293" s="36" t="s">
        <v>30</v>
      </c>
      <c r="F293" s="36" t="s">
        <v>31</v>
      </c>
      <c r="G293" s="37" t="s">
        <v>299</v>
      </c>
      <c r="H293" s="36" t="s">
        <v>300</v>
      </c>
      <c r="I293" s="36" t="s">
        <v>301</v>
      </c>
      <c r="J293" s="36">
        <v>1</v>
      </c>
      <c r="K293" s="36" t="s">
        <v>205</v>
      </c>
      <c r="L293" s="36">
        <v>4</v>
      </c>
      <c r="M293" s="36">
        <v>1</v>
      </c>
      <c r="N293" s="38">
        <v>216000000</v>
      </c>
      <c r="O293" s="43">
        <v>12000000</v>
      </c>
      <c r="P293" s="36">
        <v>18</v>
      </c>
      <c r="Q293" s="36" t="s">
        <v>206</v>
      </c>
      <c r="R293" s="36" t="s">
        <v>182</v>
      </c>
      <c r="S293" s="36" t="s">
        <v>302</v>
      </c>
      <c r="T293" s="36" t="s">
        <v>303</v>
      </c>
      <c r="U293" s="36" t="s">
        <v>185</v>
      </c>
      <c r="V293" s="40">
        <v>45839</v>
      </c>
      <c r="W293" s="40">
        <v>45889</v>
      </c>
      <c r="X293" s="36">
        <v>0</v>
      </c>
      <c r="Y293" s="36"/>
      <c r="Z293" s="36">
        <v>1</v>
      </c>
      <c r="AA293" s="36">
        <v>12000000</v>
      </c>
      <c r="AB293" s="40">
        <v>46082</v>
      </c>
      <c r="AC293" s="36" t="s">
        <v>2196</v>
      </c>
      <c r="AD293" s="36" t="str">
        <f>VLOOKUP(D293,Oficial!A:C,3,0)</f>
        <v>Arrastre</v>
      </c>
    </row>
    <row r="294" spans="1:30" x14ac:dyDescent="0.25">
      <c r="A294" s="36" t="s">
        <v>27</v>
      </c>
      <c r="B294" s="36" t="s">
        <v>298</v>
      </c>
      <c r="C294" s="36" t="s">
        <v>28</v>
      </c>
      <c r="D294" s="36" t="s">
        <v>298</v>
      </c>
      <c r="E294" s="36" t="s">
        <v>30</v>
      </c>
      <c r="F294" s="36" t="s">
        <v>31</v>
      </c>
      <c r="G294" s="37" t="s">
        <v>299</v>
      </c>
      <c r="H294" s="36" t="s">
        <v>300</v>
      </c>
      <c r="I294" s="36" t="s">
        <v>301</v>
      </c>
      <c r="J294" s="36">
        <v>1</v>
      </c>
      <c r="K294" s="36" t="s">
        <v>205</v>
      </c>
      <c r="L294" s="36">
        <v>4</v>
      </c>
      <c r="M294" s="36">
        <v>1</v>
      </c>
      <c r="N294" s="38">
        <v>216000000</v>
      </c>
      <c r="O294" s="43">
        <v>12000000</v>
      </c>
      <c r="P294" s="36">
        <v>18</v>
      </c>
      <c r="Q294" s="36" t="s">
        <v>206</v>
      </c>
      <c r="R294" s="36" t="s">
        <v>182</v>
      </c>
      <c r="S294" s="36" t="s">
        <v>302</v>
      </c>
      <c r="T294" s="36" t="s">
        <v>303</v>
      </c>
      <c r="U294" s="36" t="s">
        <v>185</v>
      </c>
      <c r="V294" s="40">
        <v>45839</v>
      </c>
      <c r="W294" s="40">
        <v>45889</v>
      </c>
      <c r="X294" s="36">
        <v>0</v>
      </c>
      <c r="Y294" s="36"/>
      <c r="Z294" s="36">
        <v>1</v>
      </c>
      <c r="AA294" s="36">
        <v>12000000</v>
      </c>
      <c r="AB294" s="40">
        <v>46327</v>
      </c>
      <c r="AC294" s="36" t="s">
        <v>2196</v>
      </c>
      <c r="AD294" s="36" t="str">
        <f>VLOOKUP(D294,Oficial!A:C,3,0)</f>
        <v>Arrastre</v>
      </c>
    </row>
    <row r="295" spans="1:30" x14ac:dyDescent="0.25">
      <c r="A295" s="36" t="s">
        <v>27</v>
      </c>
      <c r="B295" s="36" t="s">
        <v>298</v>
      </c>
      <c r="C295" s="36" t="s">
        <v>28</v>
      </c>
      <c r="D295" s="36" t="s">
        <v>298</v>
      </c>
      <c r="E295" s="36" t="s">
        <v>30</v>
      </c>
      <c r="F295" s="36" t="s">
        <v>31</v>
      </c>
      <c r="G295" s="37" t="s">
        <v>299</v>
      </c>
      <c r="H295" s="36" t="s">
        <v>300</v>
      </c>
      <c r="I295" s="36" t="s">
        <v>301</v>
      </c>
      <c r="J295" s="36">
        <v>1</v>
      </c>
      <c r="K295" s="36" t="s">
        <v>205</v>
      </c>
      <c r="L295" s="36">
        <v>4</v>
      </c>
      <c r="M295" s="36">
        <v>1</v>
      </c>
      <c r="N295" s="38">
        <v>216000000</v>
      </c>
      <c r="O295" s="43">
        <v>12000000</v>
      </c>
      <c r="P295" s="36">
        <v>18</v>
      </c>
      <c r="Q295" s="36" t="s">
        <v>206</v>
      </c>
      <c r="R295" s="36" t="s">
        <v>182</v>
      </c>
      <c r="S295" s="36" t="s">
        <v>302</v>
      </c>
      <c r="T295" s="36" t="s">
        <v>303</v>
      </c>
      <c r="U295" s="36" t="s">
        <v>185</v>
      </c>
      <c r="V295" s="40">
        <v>45839</v>
      </c>
      <c r="W295" s="40">
        <v>45889</v>
      </c>
      <c r="X295" s="36">
        <v>0</v>
      </c>
      <c r="Y295" s="36"/>
      <c r="Z295" s="36">
        <v>1</v>
      </c>
      <c r="AA295" s="36">
        <v>12000000</v>
      </c>
      <c r="AB295" s="40">
        <v>46113</v>
      </c>
      <c r="AC295" s="36" t="s">
        <v>2196</v>
      </c>
      <c r="AD295" s="36" t="str">
        <f>VLOOKUP(D295,Oficial!A:C,3,0)</f>
        <v>Arrastre</v>
      </c>
    </row>
    <row r="296" spans="1:30" x14ac:dyDescent="0.25">
      <c r="A296" s="36" t="s">
        <v>27</v>
      </c>
      <c r="B296" s="36" t="s">
        <v>298</v>
      </c>
      <c r="C296" s="36" t="s">
        <v>28</v>
      </c>
      <c r="D296" s="36" t="s">
        <v>298</v>
      </c>
      <c r="E296" s="36" t="s">
        <v>30</v>
      </c>
      <c r="F296" s="36" t="s">
        <v>31</v>
      </c>
      <c r="G296" s="37" t="s">
        <v>299</v>
      </c>
      <c r="H296" s="36" t="s">
        <v>300</v>
      </c>
      <c r="I296" s="36" t="s">
        <v>301</v>
      </c>
      <c r="J296" s="36">
        <v>1</v>
      </c>
      <c r="K296" s="36" t="s">
        <v>205</v>
      </c>
      <c r="L296" s="36">
        <v>4</v>
      </c>
      <c r="M296" s="36">
        <v>1</v>
      </c>
      <c r="N296" s="38">
        <v>216000000</v>
      </c>
      <c r="O296" s="43">
        <v>12000000</v>
      </c>
      <c r="P296" s="36">
        <v>18</v>
      </c>
      <c r="Q296" s="36" t="s">
        <v>206</v>
      </c>
      <c r="R296" s="36" t="s">
        <v>182</v>
      </c>
      <c r="S296" s="36" t="s">
        <v>302</v>
      </c>
      <c r="T296" s="36" t="s">
        <v>303</v>
      </c>
      <c r="U296" s="36" t="s">
        <v>185</v>
      </c>
      <c r="V296" s="40">
        <v>45839</v>
      </c>
      <c r="W296" s="40">
        <v>45889</v>
      </c>
      <c r="X296" s="36">
        <v>0</v>
      </c>
      <c r="Y296" s="36"/>
      <c r="Z296" s="36">
        <v>1</v>
      </c>
      <c r="AA296" s="36">
        <v>12000000</v>
      </c>
      <c r="AB296" s="40">
        <v>46266</v>
      </c>
      <c r="AC296" s="36" t="s">
        <v>2196</v>
      </c>
      <c r="AD296" s="36" t="str">
        <f>VLOOKUP(D296,Oficial!A:C,3,0)</f>
        <v>Arrastre</v>
      </c>
    </row>
    <row r="297" spans="1:30" x14ac:dyDescent="0.25">
      <c r="A297" s="36" t="s">
        <v>27</v>
      </c>
      <c r="B297" s="36" t="s">
        <v>298</v>
      </c>
      <c r="C297" s="36" t="s">
        <v>28</v>
      </c>
      <c r="D297" s="36" t="s">
        <v>298</v>
      </c>
      <c r="E297" s="36" t="s">
        <v>30</v>
      </c>
      <c r="F297" s="36" t="s">
        <v>31</v>
      </c>
      <c r="G297" s="37" t="s">
        <v>299</v>
      </c>
      <c r="H297" s="36" t="s">
        <v>300</v>
      </c>
      <c r="I297" s="36" t="s">
        <v>301</v>
      </c>
      <c r="J297" s="36">
        <v>1</v>
      </c>
      <c r="K297" s="36" t="s">
        <v>205</v>
      </c>
      <c r="L297" s="36">
        <v>4</v>
      </c>
      <c r="M297" s="36">
        <v>1</v>
      </c>
      <c r="N297" s="38">
        <v>216000000</v>
      </c>
      <c r="O297" s="43">
        <v>12000000</v>
      </c>
      <c r="P297" s="36">
        <v>18</v>
      </c>
      <c r="Q297" s="36" t="s">
        <v>206</v>
      </c>
      <c r="R297" s="36" t="s">
        <v>182</v>
      </c>
      <c r="S297" s="36" t="s">
        <v>302</v>
      </c>
      <c r="T297" s="36" t="s">
        <v>303</v>
      </c>
      <c r="U297" s="36" t="s">
        <v>185</v>
      </c>
      <c r="V297" s="40">
        <v>45839</v>
      </c>
      <c r="W297" s="40">
        <v>45889</v>
      </c>
      <c r="X297" s="36">
        <v>0</v>
      </c>
      <c r="Y297" s="36"/>
      <c r="Z297" s="36">
        <v>1</v>
      </c>
      <c r="AA297" s="36">
        <v>12000000</v>
      </c>
      <c r="AB297" s="40">
        <v>46296</v>
      </c>
      <c r="AC297" s="36" t="s">
        <v>2196</v>
      </c>
      <c r="AD297" s="36" t="str">
        <f>VLOOKUP(D297,Oficial!A:C,3,0)</f>
        <v>Arrastre</v>
      </c>
    </row>
    <row r="298" spans="1:30" x14ac:dyDescent="0.25">
      <c r="A298" s="36" t="s">
        <v>27</v>
      </c>
      <c r="B298" s="36" t="s">
        <v>298</v>
      </c>
      <c r="C298" s="36" t="s">
        <v>28</v>
      </c>
      <c r="D298" s="36" t="s">
        <v>298</v>
      </c>
      <c r="E298" s="36" t="s">
        <v>30</v>
      </c>
      <c r="F298" s="36" t="s">
        <v>31</v>
      </c>
      <c r="G298" s="37" t="s">
        <v>299</v>
      </c>
      <c r="H298" s="36" t="s">
        <v>300</v>
      </c>
      <c r="I298" s="36" t="s">
        <v>301</v>
      </c>
      <c r="J298" s="36">
        <v>1</v>
      </c>
      <c r="K298" s="36" t="s">
        <v>205</v>
      </c>
      <c r="L298" s="36">
        <v>4</v>
      </c>
      <c r="M298" s="36">
        <v>1</v>
      </c>
      <c r="N298" s="38">
        <v>216000000</v>
      </c>
      <c r="O298" s="43">
        <v>12000000</v>
      </c>
      <c r="P298" s="36">
        <v>18</v>
      </c>
      <c r="Q298" s="36" t="s">
        <v>206</v>
      </c>
      <c r="R298" s="36" t="s">
        <v>182</v>
      </c>
      <c r="S298" s="36" t="s">
        <v>302</v>
      </c>
      <c r="T298" s="36" t="s">
        <v>303</v>
      </c>
      <c r="U298" s="36" t="s">
        <v>185</v>
      </c>
      <c r="V298" s="40">
        <v>45839</v>
      </c>
      <c r="W298" s="40">
        <v>45889</v>
      </c>
      <c r="X298" s="36">
        <v>0</v>
      </c>
      <c r="Y298" s="36"/>
      <c r="Z298" s="36">
        <v>1</v>
      </c>
      <c r="AA298" s="36">
        <v>12000000</v>
      </c>
      <c r="AB298" s="40">
        <v>46235</v>
      </c>
      <c r="AC298" s="36" t="s">
        <v>2196</v>
      </c>
      <c r="AD298" s="36" t="str">
        <f>VLOOKUP(D298,Oficial!A:C,3,0)</f>
        <v>Arrastre</v>
      </c>
    </row>
    <row r="299" spans="1:30" x14ac:dyDescent="0.25">
      <c r="A299" s="36" t="s">
        <v>27</v>
      </c>
      <c r="B299" s="36" t="s">
        <v>298</v>
      </c>
      <c r="C299" s="36" t="s">
        <v>28</v>
      </c>
      <c r="D299" s="36" t="s">
        <v>298</v>
      </c>
      <c r="E299" s="36" t="s">
        <v>30</v>
      </c>
      <c r="F299" s="36" t="s">
        <v>31</v>
      </c>
      <c r="G299" s="37" t="s">
        <v>299</v>
      </c>
      <c r="H299" s="36" t="s">
        <v>300</v>
      </c>
      <c r="I299" s="36" t="s">
        <v>301</v>
      </c>
      <c r="J299" s="36">
        <v>1</v>
      </c>
      <c r="K299" s="36" t="s">
        <v>205</v>
      </c>
      <c r="L299" s="36">
        <v>4</v>
      </c>
      <c r="M299" s="36">
        <v>1</v>
      </c>
      <c r="N299" s="38">
        <v>216000000</v>
      </c>
      <c r="O299" s="43">
        <v>12000000</v>
      </c>
      <c r="P299" s="36">
        <v>18</v>
      </c>
      <c r="Q299" s="36" t="s">
        <v>206</v>
      </c>
      <c r="R299" s="36" t="s">
        <v>182</v>
      </c>
      <c r="S299" s="36" t="s">
        <v>302</v>
      </c>
      <c r="T299" s="36" t="s">
        <v>303</v>
      </c>
      <c r="U299" s="36" t="s">
        <v>185</v>
      </c>
      <c r="V299" s="40">
        <v>45839</v>
      </c>
      <c r="W299" s="40">
        <v>45889</v>
      </c>
      <c r="X299" s="36">
        <v>0</v>
      </c>
      <c r="Y299" s="36"/>
      <c r="Z299" s="36">
        <v>1</v>
      </c>
      <c r="AA299" s="36">
        <v>12000000</v>
      </c>
      <c r="AB299" s="40">
        <v>46143</v>
      </c>
      <c r="AC299" s="36" t="s">
        <v>2196</v>
      </c>
      <c r="AD299" s="36" t="str">
        <f>VLOOKUP(D299,Oficial!A:C,3,0)</f>
        <v>Arrastre</v>
      </c>
    </row>
    <row r="300" spans="1:30" x14ac:dyDescent="0.25">
      <c r="A300" s="36" t="s">
        <v>27</v>
      </c>
      <c r="B300" s="36" t="s">
        <v>304</v>
      </c>
      <c r="C300" s="36" t="s">
        <v>28</v>
      </c>
      <c r="D300" s="36" t="s">
        <v>304</v>
      </c>
      <c r="E300" s="36" t="s">
        <v>30</v>
      </c>
      <c r="F300" s="36" t="s">
        <v>31</v>
      </c>
      <c r="G300" s="37" t="s">
        <v>299</v>
      </c>
      <c r="H300" s="36" t="s">
        <v>305</v>
      </c>
      <c r="I300" s="36" t="s">
        <v>306</v>
      </c>
      <c r="J300" s="36">
        <v>1</v>
      </c>
      <c r="K300" s="36" t="s">
        <v>307</v>
      </c>
      <c r="L300" s="36">
        <v>4</v>
      </c>
      <c r="M300" s="36">
        <v>1</v>
      </c>
      <c r="N300" s="38">
        <v>70000000</v>
      </c>
      <c r="O300" s="44">
        <v>5833333</v>
      </c>
      <c r="P300" s="36">
        <v>12</v>
      </c>
      <c r="Q300" s="36" t="s">
        <v>308</v>
      </c>
      <c r="R300" s="36" t="s">
        <v>309</v>
      </c>
      <c r="S300" s="36" t="s">
        <v>310</v>
      </c>
      <c r="T300" s="36" t="s">
        <v>311</v>
      </c>
      <c r="U300" s="36" t="s">
        <v>312</v>
      </c>
      <c r="V300" s="40">
        <v>45839</v>
      </c>
      <c r="W300" s="40">
        <v>45889</v>
      </c>
      <c r="X300" s="36">
        <v>0</v>
      </c>
      <c r="Y300" s="36"/>
      <c r="Z300" s="36">
        <v>1</v>
      </c>
      <c r="AA300" s="36">
        <v>5833333</v>
      </c>
      <c r="AB300" s="40">
        <v>46143</v>
      </c>
      <c r="AC300" s="36" t="s">
        <v>2196</v>
      </c>
      <c r="AD300" s="36" t="str">
        <f>VLOOKUP(D300,Oficial!A:C,3,0)</f>
        <v>Arrastre</v>
      </c>
    </row>
    <row r="301" spans="1:30" x14ac:dyDescent="0.25">
      <c r="A301" s="36" t="s">
        <v>27</v>
      </c>
      <c r="B301" s="36" t="s">
        <v>304</v>
      </c>
      <c r="C301" s="36" t="s">
        <v>28</v>
      </c>
      <c r="D301" s="36" t="s">
        <v>304</v>
      </c>
      <c r="E301" s="36" t="s">
        <v>30</v>
      </c>
      <c r="F301" s="36" t="s">
        <v>31</v>
      </c>
      <c r="G301" s="37" t="s">
        <v>299</v>
      </c>
      <c r="H301" s="36" t="s">
        <v>305</v>
      </c>
      <c r="I301" s="36" t="s">
        <v>306</v>
      </c>
      <c r="J301" s="36">
        <v>1</v>
      </c>
      <c r="K301" s="36" t="s">
        <v>307</v>
      </c>
      <c r="L301" s="36">
        <v>4</v>
      </c>
      <c r="M301" s="36">
        <v>1</v>
      </c>
      <c r="N301" s="38">
        <v>70000000</v>
      </c>
      <c r="O301" s="44">
        <v>5833333</v>
      </c>
      <c r="P301" s="36">
        <v>12</v>
      </c>
      <c r="Q301" s="36" t="s">
        <v>308</v>
      </c>
      <c r="R301" s="36" t="s">
        <v>309</v>
      </c>
      <c r="S301" s="36" t="s">
        <v>310</v>
      </c>
      <c r="T301" s="36" t="s">
        <v>311</v>
      </c>
      <c r="U301" s="36" t="s">
        <v>312</v>
      </c>
      <c r="V301" s="40">
        <v>45839</v>
      </c>
      <c r="W301" s="40">
        <v>45889</v>
      </c>
      <c r="X301" s="36">
        <v>0</v>
      </c>
      <c r="Y301" s="36"/>
      <c r="Z301" s="36">
        <v>1</v>
      </c>
      <c r="AA301" s="36">
        <v>5833333</v>
      </c>
      <c r="AB301" s="40">
        <v>46054</v>
      </c>
      <c r="AC301" s="36" t="s">
        <v>2196</v>
      </c>
      <c r="AD301" s="36" t="str">
        <f>VLOOKUP(D301,Oficial!A:C,3,0)</f>
        <v>Arrastre</v>
      </c>
    </row>
    <row r="302" spans="1:30" x14ac:dyDescent="0.25">
      <c r="A302" s="36" t="s">
        <v>27</v>
      </c>
      <c r="B302" s="36" t="s">
        <v>304</v>
      </c>
      <c r="C302" s="36" t="s">
        <v>28</v>
      </c>
      <c r="D302" s="36" t="s">
        <v>304</v>
      </c>
      <c r="E302" s="36" t="s">
        <v>30</v>
      </c>
      <c r="F302" s="36" t="s">
        <v>31</v>
      </c>
      <c r="G302" s="37" t="s">
        <v>299</v>
      </c>
      <c r="H302" s="36" t="s">
        <v>305</v>
      </c>
      <c r="I302" s="36" t="s">
        <v>306</v>
      </c>
      <c r="J302" s="36">
        <v>1</v>
      </c>
      <c r="K302" s="36" t="s">
        <v>307</v>
      </c>
      <c r="L302" s="36">
        <v>4</v>
      </c>
      <c r="M302" s="36">
        <v>1</v>
      </c>
      <c r="N302" s="38">
        <v>70000000</v>
      </c>
      <c r="O302" s="44">
        <v>5833333</v>
      </c>
      <c r="P302" s="36">
        <v>12</v>
      </c>
      <c r="Q302" s="36" t="s">
        <v>308</v>
      </c>
      <c r="R302" s="36" t="s">
        <v>309</v>
      </c>
      <c r="S302" s="36" t="s">
        <v>310</v>
      </c>
      <c r="T302" s="36" t="s">
        <v>311</v>
      </c>
      <c r="U302" s="36" t="s">
        <v>312</v>
      </c>
      <c r="V302" s="40">
        <v>45839</v>
      </c>
      <c r="W302" s="40">
        <v>45889</v>
      </c>
      <c r="X302" s="36">
        <v>0</v>
      </c>
      <c r="Y302" s="36"/>
      <c r="Z302" s="36">
        <v>1</v>
      </c>
      <c r="AA302" s="36">
        <v>5833333</v>
      </c>
      <c r="AB302" s="40">
        <v>46023</v>
      </c>
      <c r="AC302" s="36" t="s">
        <v>2196</v>
      </c>
      <c r="AD302" s="36" t="str">
        <f>VLOOKUP(D302,Oficial!A:C,3,0)</f>
        <v>Arrastre</v>
      </c>
    </row>
    <row r="303" spans="1:30" x14ac:dyDescent="0.25">
      <c r="A303" s="36" t="s">
        <v>27</v>
      </c>
      <c r="B303" s="36" t="s">
        <v>304</v>
      </c>
      <c r="C303" s="36" t="s">
        <v>28</v>
      </c>
      <c r="D303" s="36" t="s">
        <v>304</v>
      </c>
      <c r="E303" s="36" t="s">
        <v>30</v>
      </c>
      <c r="F303" s="36" t="s">
        <v>31</v>
      </c>
      <c r="G303" s="37" t="s">
        <v>299</v>
      </c>
      <c r="H303" s="36" t="s">
        <v>305</v>
      </c>
      <c r="I303" s="36" t="s">
        <v>306</v>
      </c>
      <c r="J303" s="36">
        <v>1</v>
      </c>
      <c r="K303" s="36" t="s">
        <v>307</v>
      </c>
      <c r="L303" s="36">
        <v>4</v>
      </c>
      <c r="M303" s="36">
        <v>1</v>
      </c>
      <c r="N303" s="38">
        <v>70000000</v>
      </c>
      <c r="O303" s="44">
        <v>5833333</v>
      </c>
      <c r="P303" s="36">
        <v>12</v>
      </c>
      <c r="Q303" s="36" t="s">
        <v>308</v>
      </c>
      <c r="R303" s="36" t="s">
        <v>309</v>
      </c>
      <c r="S303" s="36" t="s">
        <v>310</v>
      </c>
      <c r="T303" s="36" t="s">
        <v>311</v>
      </c>
      <c r="U303" s="36" t="s">
        <v>312</v>
      </c>
      <c r="V303" s="40">
        <v>45839</v>
      </c>
      <c r="W303" s="40">
        <v>45889</v>
      </c>
      <c r="X303" s="36">
        <v>0</v>
      </c>
      <c r="Y303" s="36"/>
      <c r="Z303" s="36">
        <v>1</v>
      </c>
      <c r="AA303" s="36">
        <v>5833333</v>
      </c>
      <c r="AB303" s="40">
        <v>46113</v>
      </c>
      <c r="AC303" s="36" t="s">
        <v>2196</v>
      </c>
      <c r="AD303" s="36" t="str">
        <f>VLOOKUP(D303,Oficial!A:C,3,0)</f>
        <v>Arrastre</v>
      </c>
    </row>
    <row r="304" spans="1:30" x14ac:dyDescent="0.25">
      <c r="A304" s="36" t="s">
        <v>27</v>
      </c>
      <c r="B304" s="36" t="s">
        <v>304</v>
      </c>
      <c r="C304" s="36" t="s">
        <v>28</v>
      </c>
      <c r="D304" s="36" t="s">
        <v>304</v>
      </c>
      <c r="E304" s="36" t="s">
        <v>30</v>
      </c>
      <c r="F304" s="36" t="s">
        <v>31</v>
      </c>
      <c r="G304" s="37" t="s">
        <v>299</v>
      </c>
      <c r="H304" s="36" t="s">
        <v>305</v>
      </c>
      <c r="I304" s="36" t="s">
        <v>306</v>
      </c>
      <c r="J304" s="36">
        <v>1</v>
      </c>
      <c r="K304" s="36" t="s">
        <v>307</v>
      </c>
      <c r="L304" s="36">
        <v>4</v>
      </c>
      <c r="M304" s="36">
        <v>1</v>
      </c>
      <c r="N304" s="38">
        <v>70000000</v>
      </c>
      <c r="O304" s="44">
        <v>5833337</v>
      </c>
      <c r="P304" s="36">
        <v>12</v>
      </c>
      <c r="Q304" s="36" t="s">
        <v>308</v>
      </c>
      <c r="R304" s="36" t="s">
        <v>309</v>
      </c>
      <c r="S304" s="36" t="s">
        <v>310</v>
      </c>
      <c r="T304" s="36" t="s">
        <v>311</v>
      </c>
      <c r="U304" s="36" t="s">
        <v>312</v>
      </c>
      <c r="V304" s="40">
        <v>45839</v>
      </c>
      <c r="W304" s="40">
        <v>45889</v>
      </c>
      <c r="X304" s="36">
        <v>0</v>
      </c>
      <c r="Y304" s="36"/>
      <c r="Z304" s="36">
        <v>1</v>
      </c>
      <c r="AA304" s="36">
        <v>5833337</v>
      </c>
      <c r="AB304" s="40">
        <v>46204</v>
      </c>
      <c r="AC304" s="36" t="s">
        <v>2196</v>
      </c>
      <c r="AD304" s="36" t="str">
        <f>VLOOKUP(D304,Oficial!A:C,3,0)</f>
        <v>Arrastre</v>
      </c>
    </row>
    <row r="305" spans="1:30" x14ac:dyDescent="0.25">
      <c r="A305" s="36" t="s">
        <v>27</v>
      </c>
      <c r="B305" s="36" t="s">
        <v>304</v>
      </c>
      <c r="C305" s="36" t="s">
        <v>28</v>
      </c>
      <c r="D305" s="36" t="s">
        <v>304</v>
      </c>
      <c r="E305" s="36" t="s">
        <v>30</v>
      </c>
      <c r="F305" s="36" t="s">
        <v>31</v>
      </c>
      <c r="G305" s="37" t="s">
        <v>299</v>
      </c>
      <c r="H305" s="36" t="s">
        <v>305</v>
      </c>
      <c r="I305" s="36" t="s">
        <v>306</v>
      </c>
      <c r="J305" s="36">
        <v>1</v>
      </c>
      <c r="K305" s="36" t="s">
        <v>307</v>
      </c>
      <c r="L305" s="36">
        <v>4</v>
      </c>
      <c r="M305" s="36">
        <v>1</v>
      </c>
      <c r="N305" s="38">
        <v>70000000</v>
      </c>
      <c r="O305" s="44">
        <v>5833333</v>
      </c>
      <c r="P305" s="36">
        <v>12</v>
      </c>
      <c r="Q305" s="36" t="s">
        <v>308</v>
      </c>
      <c r="R305" s="36" t="s">
        <v>309</v>
      </c>
      <c r="S305" s="36" t="s">
        <v>310</v>
      </c>
      <c r="T305" s="36" t="s">
        <v>311</v>
      </c>
      <c r="U305" s="36" t="s">
        <v>312</v>
      </c>
      <c r="V305" s="40">
        <v>45839</v>
      </c>
      <c r="W305" s="40">
        <v>45889</v>
      </c>
      <c r="X305" s="36">
        <v>0</v>
      </c>
      <c r="Y305" s="36"/>
      <c r="Z305" s="36">
        <v>1</v>
      </c>
      <c r="AA305" s="36">
        <v>5833333</v>
      </c>
      <c r="AB305" s="40">
        <v>46082</v>
      </c>
      <c r="AC305" s="36" t="s">
        <v>2196</v>
      </c>
      <c r="AD305" s="36" t="str">
        <f>VLOOKUP(D305,Oficial!A:C,3,0)</f>
        <v>Arrastre</v>
      </c>
    </row>
    <row r="306" spans="1:30" x14ac:dyDescent="0.25">
      <c r="A306" s="36" t="s">
        <v>27</v>
      </c>
      <c r="B306" s="36" t="s">
        <v>304</v>
      </c>
      <c r="C306" s="36" t="s">
        <v>28</v>
      </c>
      <c r="D306" s="36" t="s">
        <v>304</v>
      </c>
      <c r="E306" s="36" t="s">
        <v>30</v>
      </c>
      <c r="F306" s="36" t="s">
        <v>31</v>
      </c>
      <c r="G306" s="37" t="s">
        <v>299</v>
      </c>
      <c r="H306" s="36" t="s">
        <v>305</v>
      </c>
      <c r="I306" s="36" t="s">
        <v>306</v>
      </c>
      <c r="J306" s="36">
        <v>1</v>
      </c>
      <c r="K306" s="36" t="s">
        <v>307</v>
      </c>
      <c r="L306" s="36">
        <v>4</v>
      </c>
      <c r="M306" s="36">
        <v>1</v>
      </c>
      <c r="N306" s="38">
        <v>70000000</v>
      </c>
      <c r="O306" s="44">
        <v>5833333</v>
      </c>
      <c r="P306" s="36">
        <v>12</v>
      </c>
      <c r="Q306" s="36" t="s">
        <v>308</v>
      </c>
      <c r="R306" s="36" t="s">
        <v>309</v>
      </c>
      <c r="S306" s="36" t="s">
        <v>310</v>
      </c>
      <c r="T306" s="36" t="s">
        <v>311</v>
      </c>
      <c r="U306" s="36" t="s">
        <v>312</v>
      </c>
      <c r="V306" s="40">
        <v>45839</v>
      </c>
      <c r="W306" s="40">
        <v>45889</v>
      </c>
      <c r="X306" s="36">
        <v>0</v>
      </c>
      <c r="Y306" s="36"/>
      <c r="Z306" s="36">
        <v>1</v>
      </c>
      <c r="AA306" s="36">
        <v>5833333</v>
      </c>
      <c r="AB306" s="40">
        <v>46174</v>
      </c>
      <c r="AC306" s="36" t="s">
        <v>2196</v>
      </c>
      <c r="AD306" s="36" t="str">
        <f>VLOOKUP(D306,Oficial!A:C,3,0)</f>
        <v>Arrastre</v>
      </c>
    </row>
    <row r="307" spans="1:30" x14ac:dyDescent="0.25">
      <c r="A307" s="36" t="s">
        <v>27</v>
      </c>
      <c r="B307" s="36" t="s">
        <v>313</v>
      </c>
      <c r="C307" s="36" t="s">
        <v>28</v>
      </c>
      <c r="D307" s="36" t="s">
        <v>313</v>
      </c>
      <c r="E307" s="36" t="s">
        <v>30</v>
      </c>
      <c r="F307" s="36" t="s">
        <v>31</v>
      </c>
      <c r="G307" s="37" t="s">
        <v>314</v>
      </c>
      <c r="H307" s="36" t="s">
        <v>315</v>
      </c>
      <c r="I307" s="36" t="s">
        <v>316</v>
      </c>
      <c r="J307" s="36">
        <v>1</v>
      </c>
      <c r="K307" s="36" t="s">
        <v>317</v>
      </c>
      <c r="L307" s="36">
        <v>4</v>
      </c>
      <c r="M307" s="36">
        <v>1</v>
      </c>
      <c r="N307" s="38">
        <v>39500000</v>
      </c>
      <c r="O307" s="46">
        <v>3291667</v>
      </c>
      <c r="P307" s="36">
        <v>12</v>
      </c>
      <c r="Q307" s="36" t="s">
        <v>318</v>
      </c>
      <c r="R307" s="36" t="s">
        <v>319</v>
      </c>
      <c r="S307" s="36" t="s">
        <v>320</v>
      </c>
      <c r="T307" s="36" t="s">
        <v>321</v>
      </c>
      <c r="U307" s="36" t="s">
        <v>322</v>
      </c>
      <c r="V307" s="40">
        <v>45839</v>
      </c>
      <c r="W307" s="40">
        <v>45889</v>
      </c>
      <c r="X307" s="36">
        <v>0</v>
      </c>
      <c r="Y307" s="36"/>
      <c r="Z307" s="36">
        <v>1</v>
      </c>
      <c r="AA307" s="36">
        <v>3291667</v>
      </c>
      <c r="AB307" s="40">
        <v>46235</v>
      </c>
      <c r="AC307" s="36" t="s">
        <v>2196</v>
      </c>
      <c r="AD307" s="36" t="str">
        <f>VLOOKUP(D307,Oficial!A:C,3,0)</f>
        <v>Arrastre</v>
      </c>
    </row>
    <row r="308" spans="1:30" x14ac:dyDescent="0.25">
      <c r="A308" s="36" t="s">
        <v>27</v>
      </c>
      <c r="B308" s="36" t="s">
        <v>313</v>
      </c>
      <c r="C308" s="36" t="s">
        <v>28</v>
      </c>
      <c r="D308" s="36" t="s">
        <v>313</v>
      </c>
      <c r="E308" s="36" t="s">
        <v>30</v>
      </c>
      <c r="F308" s="36" t="s">
        <v>31</v>
      </c>
      <c r="G308" s="37" t="s">
        <v>314</v>
      </c>
      <c r="H308" s="36" t="s">
        <v>315</v>
      </c>
      <c r="I308" s="36" t="s">
        <v>316</v>
      </c>
      <c r="J308" s="36">
        <v>1</v>
      </c>
      <c r="K308" s="36" t="s">
        <v>317</v>
      </c>
      <c r="L308" s="36">
        <v>4</v>
      </c>
      <c r="M308" s="36">
        <v>1</v>
      </c>
      <c r="N308" s="38">
        <v>39500000</v>
      </c>
      <c r="O308" s="46">
        <v>3291667</v>
      </c>
      <c r="P308" s="36">
        <v>12</v>
      </c>
      <c r="Q308" s="36" t="s">
        <v>318</v>
      </c>
      <c r="R308" s="36" t="s">
        <v>319</v>
      </c>
      <c r="S308" s="36" t="s">
        <v>320</v>
      </c>
      <c r="T308" s="36" t="s">
        <v>321</v>
      </c>
      <c r="U308" s="36" t="s">
        <v>322</v>
      </c>
      <c r="V308" s="40">
        <v>45839</v>
      </c>
      <c r="W308" s="40">
        <v>45889</v>
      </c>
      <c r="X308" s="36">
        <v>0</v>
      </c>
      <c r="Y308" s="36"/>
      <c r="Z308" s="36">
        <v>1</v>
      </c>
      <c r="AA308" s="36">
        <v>3291667</v>
      </c>
      <c r="AB308" s="40">
        <v>46174</v>
      </c>
      <c r="AC308" s="36" t="s">
        <v>2196</v>
      </c>
      <c r="AD308" s="36" t="str">
        <f>VLOOKUP(D308,Oficial!A:C,3,0)</f>
        <v>Arrastre</v>
      </c>
    </row>
    <row r="309" spans="1:30" x14ac:dyDescent="0.25">
      <c r="A309" s="36" t="s">
        <v>27</v>
      </c>
      <c r="B309" s="36" t="s">
        <v>313</v>
      </c>
      <c r="C309" s="36" t="s">
        <v>28</v>
      </c>
      <c r="D309" s="36" t="s">
        <v>313</v>
      </c>
      <c r="E309" s="36" t="s">
        <v>30</v>
      </c>
      <c r="F309" s="36" t="s">
        <v>31</v>
      </c>
      <c r="G309" s="37" t="s">
        <v>314</v>
      </c>
      <c r="H309" s="36" t="s">
        <v>315</v>
      </c>
      <c r="I309" s="36" t="s">
        <v>316</v>
      </c>
      <c r="J309" s="36">
        <v>1</v>
      </c>
      <c r="K309" s="36" t="s">
        <v>317</v>
      </c>
      <c r="L309" s="36">
        <v>4</v>
      </c>
      <c r="M309" s="36">
        <v>1</v>
      </c>
      <c r="N309" s="38">
        <v>39500000</v>
      </c>
      <c r="O309" s="46">
        <v>3291667</v>
      </c>
      <c r="P309" s="36">
        <v>12</v>
      </c>
      <c r="Q309" s="36" t="s">
        <v>318</v>
      </c>
      <c r="R309" s="36" t="s">
        <v>319</v>
      </c>
      <c r="S309" s="36" t="s">
        <v>320</v>
      </c>
      <c r="T309" s="36" t="s">
        <v>321</v>
      </c>
      <c r="U309" s="36" t="s">
        <v>322</v>
      </c>
      <c r="V309" s="40">
        <v>45839</v>
      </c>
      <c r="W309" s="40">
        <v>45889</v>
      </c>
      <c r="X309" s="36">
        <v>0</v>
      </c>
      <c r="Y309" s="36"/>
      <c r="Z309" s="36">
        <v>1</v>
      </c>
      <c r="AA309" s="36">
        <v>3291667</v>
      </c>
      <c r="AB309" s="40">
        <v>46082</v>
      </c>
      <c r="AC309" s="36" t="s">
        <v>2196</v>
      </c>
      <c r="AD309" s="36" t="str">
        <f>VLOOKUP(D309,Oficial!A:C,3,0)</f>
        <v>Arrastre</v>
      </c>
    </row>
    <row r="310" spans="1:30" x14ac:dyDescent="0.25">
      <c r="A310" s="36" t="s">
        <v>27</v>
      </c>
      <c r="B310" s="36" t="s">
        <v>313</v>
      </c>
      <c r="C310" s="36" t="s">
        <v>28</v>
      </c>
      <c r="D310" s="36" t="s">
        <v>313</v>
      </c>
      <c r="E310" s="36" t="s">
        <v>30</v>
      </c>
      <c r="F310" s="36" t="s">
        <v>31</v>
      </c>
      <c r="G310" s="37" t="s">
        <v>314</v>
      </c>
      <c r="H310" s="36" t="s">
        <v>315</v>
      </c>
      <c r="I310" s="36" t="s">
        <v>316</v>
      </c>
      <c r="J310" s="36">
        <v>1</v>
      </c>
      <c r="K310" s="36" t="s">
        <v>317</v>
      </c>
      <c r="L310" s="36">
        <v>4</v>
      </c>
      <c r="M310" s="36">
        <v>1</v>
      </c>
      <c r="N310" s="38">
        <v>39500000</v>
      </c>
      <c r="O310" s="46">
        <v>3291667</v>
      </c>
      <c r="P310" s="36">
        <v>12</v>
      </c>
      <c r="Q310" s="36" t="s">
        <v>318</v>
      </c>
      <c r="R310" s="36" t="s">
        <v>319</v>
      </c>
      <c r="S310" s="36" t="s">
        <v>320</v>
      </c>
      <c r="T310" s="36" t="s">
        <v>321</v>
      </c>
      <c r="U310" s="36" t="s">
        <v>322</v>
      </c>
      <c r="V310" s="40">
        <v>45839</v>
      </c>
      <c r="W310" s="40">
        <v>45889</v>
      </c>
      <c r="X310" s="36">
        <v>0</v>
      </c>
      <c r="Y310" s="36"/>
      <c r="Z310" s="36">
        <v>1</v>
      </c>
      <c r="AA310" s="36">
        <v>3291667</v>
      </c>
      <c r="AB310" s="40">
        <v>46296</v>
      </c>
      <c r="AC310" s="36" t="s">
        <v>2196</v>
      </c>
      <c r="AD310" s="36" t="str">
        <f>VLOOKUP(D310,Oficial!A:C,3,0)</f>
        <v>Arrastre</v>
      </c>
    </row>
    <row r="311" spans="1:30" x14ac:dyDescent="0.25">
      <c r="A311" s="36" t="s">
        <v>27</v>
      </c>
      <c r="B311" s="36" t="s">
        <v>313</v>
      </c>
      <c r="C311" s="36" t="s">
        <v>28</v>
      </c>
      <c r="D311" s="36" t="s">
        <v>313</v>
      </c>
      <c r="E311" s="36" t="s">
        <v>30</v>
      </c>
      <c r="F311" s="36" t="s">
        <v>31</v>
      </c>
      <c r="G311" s="37" t="s">
        <v>314</v>
      </c>
      <c r="H311" s="36" t="s">
        <v>315</v>
      </c>
      <c r="I311" s="36" t="s">
        <v>316</v>
      </c>
      <c r="J311" s="36">
        <v>1</v>
      </c>
      <c r="K311" s="36" t="s">
        <v>317</v>
      </c>
      <c r="L311" s="36">
        <v>4</v>
      </c>
      <c r="M311" s="36">
        <v>1</v>
      </c>
      <c r="N311" s="38">
        <v>39500000</v>
      </c>
      <c r="O311" s="46">
        <v>3291667</v>
      </c>
      <c r="P311" s="36">
        <v>12</v>
      </c>
      <c r="Q311" s="36" t="s">
        <v>318</v>
      </c>
      <c r="R311" s="36" t="s">
        <v>319</v>
      </c>
      <c r="S311" s="36" t="s">
        <v>320</v>
      </c>
      <c r="T311" s="36" t="s">
        <v>321</v>
      </c>
      <c r="U311" s="36" t="s">
        <v>322</v>
      </c>
      <c r="V311" s="40">
        <v>45839</v>
      </c>
      <c r="W311" s="40">
        <v>45889</v>
      </c>
      <c r="X311" s="36">
        <v>0</v>
      </c>
      <c r="Y311" s="36"/>
      <c r="Z311" s="36">
        <v>1</v>
      </c>
      <c r="AA311" s="36">
        <v>3291667</v>
      </c>
      <c r="AB311" s="40">
        <v>46327</v>
      </c>
      <c r="AC311" s="36" t="s">
        <v>2196</v>
      </c>
      <c r="AD311" s="36" t="str">
        <f>VLOOKUP(D311,Oficial!A:C,3,0)</f>
        <v>Arrastre</v>
      </c>
    </row>
    <row r="312" spans="1:30" x14ac:dyDescent="0.25">
      <c r="A312" s="36" t="s">
        <v>27</v>
      </c>
      <c r="B312" s="36" t="s">
        <v>313</v>
      </c>
      <c r="C312" s="36" t="s">
        <v>28</v>
      </c>
      <c r="D312" s="36" t="s">
        <v>313</v>
      </c>
      <c r="E312" s="36" t="s">
        <v>30</v>
      </c>
      <c r="F312" s="36" t="s">
        <v>31</v>
      </c>
      <c r="G312" s="37" t="s">
        <v>314</v>
      </c>
      <c r="H312" s="36" t="s">
        <v>315</v>
      </c>
      <c r="I312" s="36" t="s">
        <v>316</v>
      </c>
      <c r="J312" s="36">
        <v>1</v>
      </c>
      <c r="K312" s="36" t="s">
        <v>317</v>
      </c>
      <c r="L312" s="36">
        <v>4</v>
      </c>
      <c r="M312" s="36">
        <v>1</v>
      </c>
      <c r="N312" s="38">
        <v>39500000</v>
      </c>
      <c r="O312" s="46">
        <v>3291667</v>
      </c>
      <c r="P312" s="36">
        <v>12</v>
      </c>
      <c r="Q312" s="36" t="s">
        <v>318</v>
      </c>
      <c r="R312" s="36" t="s">
        <v>319</v>
      </c>
      <c r="S312" s="36" t="s">
        <v>320</v>
      </c>
      <c r="T312" s="36" t="s">
        <v>321</v>
      </c>
      <c r="U312" s="36" t="s">
        <v>322</v>
      </c>
      <c r="V312" s="40">
        <v>45839</v>
      </c>
      <c r="W312" s="40">
        <v>45889</v>
      </c>
      <c r="X312" s="36">
        <v>0</v>
      </c>
      <c r="Y312" s="36"/>
      <c r="Z312" s="36">
        <v>1</v>
      </c>
      <c r="AA312" s="36">
        <v>3291667</v>
      </c>
      <c r="AB312" s="40">
        <v>46143</v>
      </c>
      <c r="AC312" s="36" t="s">
        <v>2196</v>
      </c>
      <c r="AD312" s="36" t="str">
        <f>VLOOKUP(D312,Oficial!A:C,3,0)</f>
        <v>Arrastre</v>
      </c>
    </row>
    <row r="313" spans="1:30" x14ac:dyDescent="0.25">
      <c r="A313" s="36" t="s">
        <v>27</v>
      </c>
      <c r="B313" s="36" t="s">
        <v>313</v>
      </c>
      <c r="C313" s="36" t="s">
        <v>28</v>
      </c>
      <c r="D313" s="36" t="s">
        <v>313</v>
      </c>
      <c r="E313" s="36" t="s">
        <v>30</v>
      </c>
      <c r="F313" s="36" t="s">
        <v>31</v>
      </c>
      <c r="G313" s="37" t="s">
        <v>314</v>
      </c>
      <c r="H313" s="36" t="s">
        <v>315</v>
      </c>
      <c r="I313" s="36" t="s">
        <v>316</v>
      </c>
      <c r="J313" s="36">
        <v>1</v>
      </c>
      <c r="K313" s="36" t="s">
        <v>317</v>
      </c>
      <c r="L313" s="36">
        <v>4</v>
      </c>
      <c r="M313" s="36">
        <v>1</v>
      </c>
      <c r="N313" s="38">
        <v>39500000</v>
      </c>
      <c r="O313" s="46">
        <v>3291667</v>
      </c>
      <c r="P313" s="36">
        <v>12</v>
      </c>
      <c r="Q313" s="36" t="s">
        <v>318</v>
      </c>
      <c r="R313" s="36" t="s">
        <v>319</v>
      </c>
      <c r="S313" s="36" t="s">
        <v>320</v>
      </c>
      <c r="T313" s="36" t="s">
        <v>321</v>
      </c>
      <c r="U313" s="36" t="s">
        <v>322</v>
      </c>
      <c r="V313" s="40">
        <v>45839</v>
      </c>
      <c r="W313" s="40">
        <v>45889</v>
      </c>
      <c r="X313" s="36">
        <v>0</v>
      </c>
      <c r="Y313" s="36"/>
      <c r="Z313" s="36">
        <v>1</v>
      </c>
      <c r="AA313" s="36">
        <v>3291667</v>
      </c>
      <c r="AB313" s="40">
        <v>46113</v>
      </c>
      <c r="AC313" s="36" t="s">
        <v>2196</v>
      </c>
      <c r="AD313" s="36" t="str">
        <f>VLOOKUP(D313,Oficial!A:C,3,0)</f>
        <v>Arrastre</v>
      </c>
    </row>
    <row r="314" spans="1:30" x14ac:dyDescent="0.25">
      <c r="A314" s="36" t="s">
        <v>27</v>
      </c>
      <c r="B314" s="36" t="s">
        <v>313</v>
      </c>
      <c r="C314" s="36" t="s">
        <v>28</v>
      </c>
      <c r="D314" s="36" t="s">
        <v>313</v>
      </c>
      <c r="E314" s="36" t="s">
        <v>30</v>
      </c>
      <c r="F314" s="36" t="s">
        <v>31</v>
      </c>
      <c r="G314" s="37" t="s">
        <v>314</v>
      </c>
      <c r="H314" s="36" t="s">
        <v>315</v>
      </c>
      <c r="I314" s="36" t="s">
        <v>316</v>
      </c>
      <c r="J314" s="36">
        <v>1</v>
      </c>
      <c r="K314" s="36" t="s">
        <v>317</v>
      </c>
      <c r="L314" s="36">
        <v>4</v>
      </c>
      <c r="M314" s="36">
        <v>1</v>
      </c>
      <c r="N314" s="38">
        <v>39500000</v>
      </c>
      <c r="O314" s="46">
        <v>3291667</v>
      </c>
      <c r="P314" s="36">
        <v>12</v>
      </c>
      <c r="Q314" s="36" t="s">
        <v>318</v>
      </c>
      <c r="R314" s="36" t="s">
        <v>319</v>
      </c>
      <c r="S314" s="36" t="s">
        <v>320</v>
      </c>
      <c r="T314" s="36" t="s">
        <v>321</v>
      </c>
      <c r="U314" s="36" t="s">
        <v>322</v>
      </c>
      <c r="V314" s="40">
        <v>45839</v>
      </c>
      <c r="W314" s="40">
        <v>45889</v>
      </c>
      <c r="X314" s="36">
        <v>0</v>
      </c>
      <c r="Y314" s="36"/>
      <c r="Z314" s="36">
        <v>1</v>
      </c>
      <c r="AA314" s="36">
        <v>3291667</v>
      </c>
      <c r="AB314" s="40">
        <v>46204</v>
      </c>
      <c r="AC314" s="36" t="s">
        <v>2196</v>
      </c>
      <c r="AD314" s="36" t="str">
        <f>VLOOKUP(D314,Oficial!A:C,3,0)</f>
        <v>Arrastre</v>
      </c>
    </row>
    <row r="315" spans="1:30" x14ac:dyDescent="0.25">
      <c r="A315" s="36" t="s">
        <v>27</v>
      </c>
      <c r="B315" s="36" t="s">
        <v>313</v>
      </c>
      <c r="C315" s="36" t="s">
        <v>28</v>
      </c>
      <c r="D315" s="36" t="s">
        <v>313</v>
      </c>
      <c r="E315" s="36" t="s">
        <v>30</v>
      </c>
      <c r="F315" s="36" t="s">
        <v>31</v>
      </c>
      <c r="G315" s="37" t="s">
        <v>314</v>
      </c>
      <c r="H315" s="36" t="s">
        <v>315</v>
      </c>
      <c r="I315" s="36" t="s">
        <v>316</v>
      </c>
      <c r="J315" s="36">
        <v>1</v>
      </c>
      <c r="K315" s="36" t="s">
        <v>317</v>
      </c>
      <c r="L315" s="36">
        <v>4</v>
      </c>
      <c r="M315" s="36">
        <v>1</v>
      </c>
      <c r="N315" s="38">
        <v>39500000</v>
      </c>
      <c r="O315" s="46">
        <v>3291667</v>
      </c>
      <c r="P315" s="36">
        <v>12</v>
      </c>
      <c r="Q315" s="36" t="s">
        <v>318</v>
      </c>
      <c r="R315" s="36" t="s">
        <v>319</v>
      </c>
      <c r="S315" s="36" t="s">
        <v>320</v>
      </c>
      <c r="T315" s="36" t="s">
        <v>321</v>
      </c>
      <c r="U315" s="36" t="s">
        <v>322</v>
      </c>
      <c r="V315" s="40">
        <v>45839</v>
      </c>
      <c r="W315" s="40">
        <v>45889</v>
      </c>
      <c r="X315" s="36">
        <v>0</v>
      </c>
      <c r="Y315" s="36"/>
      <c r="Z315" s="36">
        <v>1</v>
      </c>
      <c r="AA315" s="36">
        <v>3291667</v>
      </c>
      <c r="AB315" s="40">
        <v>46357</v>
      </c>
      <c r="AC315" s="36" t="s">
        <v>2196</v>
      </c>
      <c r="AD315" s="36" t="str">
        <f>VLOOKUP(D315,Oficial!A:C,3,0)</f>
        <v>Arrastre</v>
      </c>
    </row>
    <row r="316" spans="1:30" x14ac:dyDescent="0.25">
      <c r="A316" s="36" t="s">
        <v>27</v>
      </c>
      <c r="B316" s="36" t="s">
        <v>313</v>
      </c>
      <c r="C316" s="36" t="s">
        <v>28</v>
      </c>
      <c r="D316" s="36" t="s">
        <v>313</v>
      </c>
      <c r="E316" s="36" t="s">
        <v>30</v>
      </c>
      <c r="F316" s="36" t="s">
        <v>31</v>
      </c>
      <c r="G316" s="37" t="s">
        <v>314</v>
      </c>
      <c r="H316" s="36" t="s">
        <v>315</v>
      </c>
      <c r="I316" s="36" t="s">
        <v>316</v>
      </c>
      <c r="J316" s="36">
        <v>1</v>
      </c>
      <c r="K316" s="36" t="s">
        <v>317</v>
      </c>
      <c r="L316" s="36">
        <v>4</v>
      </c>
      <c r="M316" s="36">
        <v>1</v>
      </c>
      <c r="N316" s="38">
        <v>39500000</v>
      </c>
      <c r="O316" s="46">
        <v>3291667</v>
      </c>
      <c r="P316" s="36">
        <v>12</v>
      </c>
      <c r="Q316" s="36" t="s">
        <v>318</v>
      </c>
      <c r="R316" s="36" t="s">
        <v>319</v>
      </c>
      <c r="S316" s="36" t="s">
        <v>320</v>
      </c>
      <c r="T316" s="36" t="s">
        <v>321</v>
      </c>
      <c r="U316" s="36" t="s">
        <v>322</v>
      </c>
      <c r="V316" s="40">
        <v>45839</v>
      </c>
      <c r="W316" s="40">
        <v>45889</v>
      </c>
      <c r="X316" s="36">
        <v>0</v>
      </c>
      <c r="Y316" s="36"/>
      <c r="Z316" s="36">
        <v>1</v>
      </c>
      <c r="AA316" s="36">
        <v>3291667</v>
      </c>
      <c r="AB316" s="40">
        <v>46266</v>
      </c>
      <c r="AC316" s="36" t="s">
        <v>2196</v>
      </c>
      <c r="AD316" s="36" t="str">
        <f>VLOOKUP(D316,Oficial!A:C,3,0)</f>
        <v>Arrastre</v>
      </c>
    </row>
    <row r="317" spans="1:30" x14ac:dyDescent="0.25">
      <c r="A317" s="36" t="s">
        <v>27</v>
      </c>
      <c r="B317" s="36" t="s">
        <v>313</v>
      </c>
      <c r="C317" s="36" t="s">
        <v>28</v>
      </c>
      <c r="D317" s="36" t="s">
        <v>313</v>
      </c>
      <c r="E317" s="36" t="s">
        <v>30</v>
      </c>
      <c r="F317" s="36" t="s">
        <v>31</v>
      </c>
      <c r="G317" s="37" t="s">
        <v>314</v>
      </c>
      <c r="H317" s="36" t="s">
        <v>315</v>
      </c>
      <c r="I317" s="36" t="s">
        <v>316</v>
      </c>
      <c r="J317" s="36">
        <v>1</v>
      </c>
      <c r="K317" s="36" t="s">
        <v>317</v>
      </c>
      <c r="L317" s="36">
        <v>4</v>
      </c>
      <c r="M317" s="36">
        <v>1</v>
      </c>
      <c r="N317" s="38">
        <v>39500000</v>
      </c>
      <c r="O317" s="46">
        <v>3291667</v>
      </c>
      <c r="P317" s="36">
        <v>12</v>
      </c>
      <c r="Q317" s="36" t="s">
        <v>318</v>
      </c>
      <c r="R317" s="36" t="s">
        <v>319</v>
      </c>
      <c r="S317" s="36" t="s">
        <v>320</v>
      </c>
      <c r="T317" s="36" t="s">
        <v>321</v>
      </c>
      <c r="U317" s="36" t="s">
        <v>322</v>
      </c>
      <c r="V317" s="40">
        <v>45839</v>
      </c>
      <c r="W317" s="40">
        <v>45889</v>
      </c>
      <c r="X317" s="36">
        <v>0</v>
      </c>
      <c r="Y317" s="36"/>
      <c r="Z317" s="36">
        <v>1</v>
      </c>
      <c r="AA317" s="36">
        <v>3291667</v>
      </c>
      <c r="AB317" s="40">
        <v>46054</v>
      </c>
      <c r="AC317" s="36" t="s">
        <v>2196</v>
      </c>
      <c r="AD317" s="36" t="str">
        <f>VLOOKUP(D317,Oficial!A:C,3,0)</f>
        <v>Arrastre</v>
      </c>
    </row>
    <row r="318" spans="1:30" x14ac:dyDescent="0.25">
      <c r="A318" s="36" t="s">
        <v>27</v>
      </c>
      <c r="B318" s="36" t="s">
        <v>323</v>
      </c>
      <c r="C318" s="36" t="s">
        <v>28</v>
      </c>
      <c r="D318" s="36" t="s">
        <v>323</v>
      </c>
      <c r="E318" s="36" t="s">
        <v>30</v>
      </c>
      <c r="F318" s="36" t="s">
        <v>31</v>
      </c>
      <c r="G318" s="37" t="s">
        <v>314</v>
      </c>
      <c r="H318" s="36" t="s">
        <v>324</v>
      </c>
      <c r="I318" s="36" t="s">
        <v>325</v>
      </c>
      <c r="J318" s="36">
        <v>1</v>
      </c>
      <c r="K318" s="36" t="s">
        <v>326</v>
      </c>
      <c r="L318" s="36">
        <v>4</v>
      </c>
      <c r="M318" s="36">
        <v>1</v>
      </c>
      <c r="N318" s="38">
        <v>31500000</v>
      </c>
      <c r="O318" s="47">
        <v>2625000</v>
      </c>
      <c r="P318" s="36">
        <v>12</v>
      </c>
      <c r="Q318" s="36" t="s">
        <v>318</v>
      </c>
      <c r="R318" s="36" t="s">
        <v>319</v>
      </c>
      <c r="S318" s="36" t="s">
        <v>320</v>
      </c>
      <c r="T318" s="36" t="s">
        <v>327</v>
      </c>
      <c r="U318" s="36" t="s">
        <v>322</v>
      </c>
      <c r="V318" s="40">
        <v>45870</v>
      </c>
      <c r="W318" s="40">
        <v>45889</v>
      </c>
      <c r="X318" s="36">
        <v>0</v>
      </c>
      <c r="Y318" s="36"/>
      <c r="Z318" s="36">
        <v>1</v>
      </c>
      <c r="AA318" s="36">
        <v>2625000</v>
      </c>
      <c r="AB318" s="40">
        <v>46327</v>
      </c>
      <c r="AC318" s="36" t="s">
        <v>2196</v>
      </c>
      <c r="AD318" s="36" t="str">
        <f>VLOOKUP(D318,Oficial!A:C,3,0)</f>
        <v>Arrastre</v>
      </c>
    </row>
    <row r="319" spans="1:30" x14ac:dyDescent="0.25">
      <c r="A319" s="36" t="s">
        <v>27</v>
      </c>
      <c r="B319" s="36" t="s">
        <v>323</v>
      </c>
      <c r="C319" s="36" t="s">
        <v>28</v>
      </c>
      <c r="D319" s="36" t="s">
        <v>323</v>
      </c>
      <c r="E319" s="36" t="s">
        <v>30</v>
      </c>
      <c r="F319" s="36" t="s">
        <v>31</v>
      </c>
      <c r="G319" s="37" t="s">
        <v>314</v>
      </c>
      <c r="H319" s="36" t="s">
        <v>324</v>
      </c>
      <c r="I319" s="36" t="s">
        <v>325</v>
      </c>
      <c r="J319" s="36">
        <v>1</v>
      </c>
      <c r="K319" s="36" t="s">
        <v>326</v>
      </c>
      <c r="L319" s="36">
        <v>4</v>
      </c>
      <c r="M319" s="36">
        <v>1</v>
      </c>
      <c r="N319" s="38">
        <v>31500000</v>
      </c>
      <c r="O319" s="47">
        <v>2625000</v>
      </c>
      <c r="P319" s="36">
        <v>12</v>
      </c>
      <c r="Q319" s="36" t="s">
        <v>318</v>
      </c>
      <c r="R319" s="36" t="s">
        <v>319</v>
      </c>
      <c r="S319" s="36" t="s">
        <v>320</v>
      </c>
      <c r="T319" s="36" t="s">
        <v>327</v>
      </c>
      <c r="U319" s="36" t="s">
        <v>322</v>
      </c>
      <c r="V319" s="40">
        <v>45870</v>
      </c>
      <c r="W319" s="40">
        <v>45889</v>
      </c>
      <c r="X319" s="36">
        <v>0</v>
      </c>
      <c r="Y319" s="36"/>
      <c r="Z319" s="36">
        <v>1</v>
      </c>
      <c r="AA319" s="36">
        <v>2625000</v>
      </c>
      <c r="AB319" s="40">
        <v>46082</v>
      </c>
      <c r="AC319" s="36" t="s">
        <v>2196</v>
      </c>
      <c r="AD319" s="36" t="str">
        <f>VLOOKUP(D319,Oficial!A:C,3,0)</f>
        <v>Arrastre</v>
      </c>
    </row>
    <row r="320" spans="1:30" x14ac:dyDescent="0.25">
      <c r="A320" s="36" t="s">
        <v>27</v>
      </c>
      <c r="B320" s="36" t="s">
        <v>323</v>
      </c>
      <c r="C320" s="36" t="s">
        <v>28</v>
      </c>
      <c r="D320" s="36" t="s">
        <v>323</v>
      </c>
      <c r="E320" s="36" t="s">
        <v>30</v>
      </c>
      <c r="F320" s="36" t="s">
        <v>31</v>
      </c>
      <c r="G320" s="37" t="s">
        <v>314</v>
      </c>
      <c r="H320" s="36" t="s">
        <v>324</v>
      </c>
      <c r="I320" s="36" t="s">
        <v>325</v>
      </c>
      <c r="J320" s="36">
        <v>1</v>
      </c>
      <c r="K320" s="36" t="s">
        <v>326</v>
      </c>
      <c r="L320" s="36">
        <v>4</v>
      </c>
      <c r="M320" s="36">
        <v>1</v>
      </c>
      <c r="N320" s="38">
        <v>31500000</v>
      </c>
      <c r="O320" s="47">
        <v>2625000</v>
      </c>
      <c r="P320" s="36">
        <v>12</v>
      </c>
      <c r="Q320" s="36" t="s">
        <v>318</v>
      </c>
      <c r="R320" s="36" t="s">
        <v>319</v>
      </c>
      <c r="S320" s="36" t="s">
        <v>320</v>
      </c>
      <c r="T320" s="36" t="s">
        <v>327</v>
      </c>
      <c r="U320" s="36" t="s">
        <v>322</v>
      </c>
      <c r="V320" s="40">
        <v>45870</v>
      </c>
      <c r="W320" s="40">
        <v>45889</v>
      </c>
      <c r="X320" s="36">
        <v>0</v>
      </c>
      <c r="Y320" s="36"/>
      <c r="Z320" s="36">
        <v>1</v>
      </c>
      <c r="AA320" s="36">
        <v>2625000</v>
      </c>
      <c r="AB320" s="40">
        <v>46054</v>
      </c>
      <c r="AC320" s="36" t="s">
        <v>2196</v>
      </c>
      <c r="AD320" s="36" t="str">
        <f>VLOOKUP(D320,Oficial!A:C,3,0)</f>
        <v>Arrastre</v>
      </c>
    </row>
    <row r="321" spans="1:30" x14ac:dyDescent="0.25">
      <c r="A321" s="36" t="s">
        <v>27</v>
      </c>
      <c r="B321" s="36" t="s">
        <v>323</v>
      </c>
      <c r="C321" s="36" t="s">
        <v>28</v>
      </c>
      <c r="D321" s="36" t="s">
        <v>323</v>
      </c>
      <c r="E321" s="36" t="s">
        <v>30</v>
      </c>
      <c r="F321" s="36" t="s">
        <v>31</v>
      </c>
      <c r="G321" s="37" t="s">
        <v>314</v>
      </c>
      <c r="H321" s="36" t="s">
        <v>324</v>
      </c>
      <c r="I321" s="36" t="s">
        <v>325</v>
      </c>
      <c r="J321" s="36">
        <v>1</v>
      </c>
      <c r="K321" s="36" t="s">
        <v>326</v>
      </c>
      <c r="L321" s="36">
        <v>4</v>
      </c>
      <c r="M321" s="36">
        <v>1</v>
      </c>
      <c r="N321" s="38">
        <v>31500000</v>
      </c>
      <c r="O321" s="47">
        <v>2625000</v>
      </c>
      <c r="P321" s="36">
        <v>12</v>
      </c>
      <c r="Q321" s="36" t="s">
        <v>318</v>
      </c>
      <c r="R321" s="36" t="s">
        <v>319</v>
      </c>
      <c r="S321" s="36" t="s">
        <v>320</v>
      </c>
      <c r="T321" s="36" t="s">
        <v>327</v>
      </c>
      <c r="U321" s="36" t="s">
        <v>322</v>
      </c>
      <c r="V321" s="40">
        <v>45870</v>
      </c>
      <c r="W321" s="40">
        <v>45889</v>
      </c>
      <c r="X321" s="36">
        <v>0</v>
      </c>
      <c r="Y321" s="36"/>
      <c r="Z321" s="36">
        <v>1</v>
      </c>
      <c r="AA321" s="36">
        <v>2625000</v>
      </c>
      <c r="AB321" s="40">
        <v>46357</v>
      </c>
      <c r="AC321" s="36" t="s">
        <v>2196</v>
      </c>
      <c r="AD321" s="36" t="str">
        <f>VLOOKUP(D321,Oficial!A:C,3,0)</f>
        <v>Arrastre</v>
      </c>
    </row>
    <row r="322" spans="1:30" x14ac:dyDescent="0.25">
      <c r="A322" s="36" t="s">
        <v>27</v>
      </c>
      <c r="B322" s="36" t="s">
        <v>323</v>
      </c>
      <c r="C322" s="36" t="s">
        <v>28</v>
      </c>
      <c r="D322" s="36" t="s">
        <v>323</v>
      </c>
      <c r="E322" s="36" t="s">
        <v>30</v>
      </c>
      <c r="F322" s="36" t="s">
        <v>31</v>
      </c>
      <c r="G322" s="37" t="s">
        <v>314</v>
      </c>
      <c r="H322" s="36" t="s">
        <v>324</v>
      </c>
      <c r="I322" s="36" t="s">
        <v>325</v>
      </c>
      <c r="J322" s="36">
        <v>1</v>
      </c>
      <c r="K322" s="36" t="s">
        <v>326</v>
      </c>
      <c r="L322" s="36">
        <v>4</v>
      </c>
      <c r="M322" s="36">
        <v>1</v>
      </c>
      <c r="N322" s="38">
        <v>31500000</v>
      </c>
      <c r="O322" s="47">
        <v>2625000</v>
      </c>
      <c r="P322" s="36">
        <v>12</v>
      </c>
      <c r="Q322" s="36" t="s">
        <v>318</v>
      </c>
      <c r="R322" s="36" t="s">
        <v>319</v>
      </c>
      <c r="S322" s="36" t="s">
        <v>320</v>
      </c>
      <c r="T322" s="36" t="s">
        <v>327</v>
      </c>
      <c r="U322" s="36" t="s">
        <v>322</v>
      </c>
      <c r="V322" s="40">
        <v>45870</v>
      </c>
      <c r="W322" s="40">
        <v>45889</v>
      </c>
      <c r="X322" s="36">
        <v>0</v>
      </c>
      <c r="Y322" s="36"/>
      <c r="Z322" s="36">
        <v>1</v>
      </c>
      <c r="AA322" s="36">
        <v>2625000</v>
      </c>
      <c r="AB322" s="40">
        <v>46143</v>
      </c>
      <c r="AC322" s="36" t="s">
        <v>2196</v>
      </c>
      <c r="AD322" s="36" t="str">
        <f>VLOOKUP(D322,Oficial!A:C,3,0)</f>
        <v>Arrastre</v>
      </c>
    </row>
    <row r="323" spans="1:30" x14ac:dyDescent="0.25">
      <c r="A323" s="36" t="s">
        <v>27</v>
      </c>
      <c r="B323" s="36" t="s">
        <v>323</v>
      </c>
      <c r="C323" s="36" t="s">
        <v>28</v>
      </c>
      <c r="D323" s="36" t="s">
        <v>323</v>
      </c>
      <c r="E323" s="36" t="s">
        <v>30</v>
      </c>
      <c r="F323" s="36" t="s">
        <v>31</v>
      </c>
      <c r="G323" s="37" t="s">
        <v>314</v>
      </c>
      <c r="H323" s="36" t="s">
        <v>324</v>
      </c>
      <c r="I323" s="36" t="s">
        <v>325</v>
      </c>
      <c r="J323" s="36">
        <v>1</v>
      </c>
      <c r="K323" s="36" t="s">
        <v>326</v>
      </c>
      <c r="L323" s="36">
        <v>4</v>
      </c>
      <c r="M323" s="36">
        <v>1</v>
      </c>
      <c r="N323" s="38">
        <v>31500000</v>
      </c>
      <c r="O323" s="47">
        <v>2625000</v>
      </c>
      <c r="P323" s="36">
        <v>12</v>
      </c>
      <c r="Q323" s="36" t="s">
        <v>318</v>
      </c>
      <c r="R323" s="36" t="s">
        <v>319</v>
      </c>
      <c r="S323" s="36" t="s">
        <v>320</v>
      </c>
      <c r="T323" s="36" t="s">
        <v>327</v>
      </c>
      <c r="U323" s="36" t="s">
        <v>322</v>
      </c>
      <c r="V323" s="40">
        <v>45870</v>
      </c>
      <c r="W323" s="40">
        <v>45889</v>
      </c>
      <c r="X323" s="36">
        <v>0</v>
      </c>
      <c r="Y323" s="36"/>
      <c r="Z323" s="36">
        <v>1</v>
      </c>
      <c r="AA323" s="36">
        <v>2625000</v>
      </c>
      <c r="AB323" s="40">
        <v>46174</v>
      </c>
      <c r="AC323" s="36" t="s">
        <v>2196</v>
      </c>
      <c r="AD323" s="36" t="str">
        <f>VLOOKUP(D323,Oficial!A:C,3,0)</f>
        <v>Arrastre</v>
      </c>
    </row>
    <row r="324" spans="1:30" x14ac:dyDescent="0.25">
      <c r="A324" s="36" t="s">
        <v>27</v>
      </c>
      <c r="B324" s="36" t="s">
        <v>323</v>
      </c>
      <c r="C324" s="36" t="s">
        <v>28</v>
      </c>
      <c r="D324" s="36" t="s">
        <v>323</v>
      </c>
      <c r="E324" s="36" t="s">
        <v>30</v>
      </c>
      <c r="F324" s="36" t="s">
        <v>31</v>
      </c>
      <c r="G324" s="37" t="s">
        <v>314</v>
      </c>
      <c r="H324" s="36" t="s">
        <v>324</v>
      </c>
      <c r="I324" s="36" t="s">
        <v>325</v>
      </c>
      <c r="J324" s="36">
        <v>1</v>
      </c>
      <c r="K324" s="36" t="s">
        <v>326</v>
      </c>
      <c r="L324" s="36">
        <v>4</v>
      </c>
      <c r="M324" s="36">
        <v>1</v>
      </c>
      <c r="N324" s="38">
        <v>31500000</v>
      </c>
      <c r="O324" s="47">
        <v>2625000</v>
      </c>
      <c r="P324" s="36">
        <v>12</v>
      </c>
      <c r="Q324" s="36" t="s">
        <v>318</v>
      </c>
      <c r="R324" s="36" t="s">
        <v>319</v>
      </c>
      <c r="S324" s="36" t="s">
        <v>320</v>
      </c>
      <c r="T324" s="36" t="s">
        <v>327</v>
      </c>
      <c r="U324" s="36" t="s">
        <v>322</v>
      </c>
      <c r="V324" s="40">
        <v>45870</v>
      </c>
      <c r="W324" s="40">
        <v>45889</v>
      </c>
      <c r="X324" s="36">
        <v>0</v>
      </c>
      <c r="Y324" s="36"/>
      <c r="Z324" s="36">
        <v>1</v>
      </c>
      <c r="AA324" s="36">
        <v>2625000</v>
      </c>
      <c r="AB324" s="40">
        <v>46235</v>
      </c>
      <c r="AC324" s="36" t="s">
        <v>2196</v>
      </c>
      <c r="AD324" s="36" t="str">
        <f>VLOOKUP(D324,Oficial!A:C,3,0)</f>
        <v>Arrastre</v>
      </c>
    </row>
    <row r="325" spans="1:30" x14ac:dyDescent="0.25">
      <c r="A325" s="36" t="s">
        <v>27</v>
      </c>
      <c r="B325" s="36" t="s">
        <v>323</v>
      </c>
      <c r="C325" s="36" t="s">
        <v>28</v>
      </c>
      <c r="D325" s="36" t="s">
        <v>323</v>
      </c>
      <c r="E325" s="36" t="s">
        <v>30</v>
      </c>
      <c r="F325" s="36" t="s">
        <v>31</v>
      </c>
      <c r="G325" s="37" t="s">
        <v>314</v>
      </c>
      <c r="H325" s="36" t="s">
        <v>324</v>
      </c>
      <c r="I325" s="36" t="s">
        <v>325</v>
      </c>
      <c r="J325" s="36">
        <v>1</v>
      </c>
      <c r="K325" s="36" t="s">
        <v>326</v>
      </c>
      <c r="L325" s="36">
        <v>4</v>
      </c>
      <c r="M325" s="36">
        <v>1</v>
      </c>
      <c r="N325" s="38">
        <v>31500000</v>
      </c>
      <c r="O325" s="47">
        <v>2625000</v>
      </c>
      <c r="P325" s="36">
        <v>12</v>
      </c>
      <c r="Q325" s="36" t="s">
        <v>318</v>
      </c>
      <c r="R325" s="36" t="s">
        <v>319</v>
      </c>
      <c r="S325" s="36" t="s">
        <v>320</v>
      </c>
      <c r="T325" s="36" t="s">
        <v>327</v>
      </c>
      <c r="U325" s="36" t="s">
        <v>322</v>
      </c>
      <c r="V325" s="40">
        <v>45870</v>
      </c>
      <c r="W325" s="40">
        <v>45889</v>
      </c>
      <c r="X325" s="36">
        <v>0</v>
      </c>
      <c r="Y325" s="36"/>
      <c r="Z325" s="36">
        <v>1</v>
      </c>
      <c r="AA325" s="36">
        <v>2625000</v>
      </c>
      <c r="AB325" s="40">
        <v>46204</v>
      </c>
      <c r="AC325" s="36" t="s">
        <v>2196</v>
      </c>
      <c r="AD325" s="36" t="str">
        <f>VLOOKUP(D325,Oficial!A:C,3,0)</f>
        <v>Arrastre</v>
      </c>
    </row>
    <row r="326" spans="1:30" x14ac:dyDescent="0.25">
      <c r="A326" s="36" t="s">
        <v>27</v>
      </c>
      <c r="B326" s="36" t="s">
        <v>323</v>
      </c>
      <c r="C326" s="36" t="s">
        <v>28</v>
      </c>
      <c r="D326" s="36" t="s">
        <v>323</v>
      </c>
      <c r="E326" s="36" t="s">
        <v>30</v>
      </c>
      <c r="F326" s="36" t="s">
        <v>31</v>
      </c>
      <c r="G326" s="37" t="s">
        <v>314</v>
      </c>
      <c r="H326" s="36" t="s">
        <v>324</v>
      </c>
      <c r="I326" s="36" t="s">
        <v>325</v>
      </c>
      <c r="J326" s="36">
        <v>1</v>
      </c>
      <c r="K326" s="36" t="s">
        <v>326</v>
      </c>
      <c r="L326" s="36">
        <v>4</v>
      </c>
      <c r="M326" s="36">
        <v>1</v>
      </c>
      <c r="N326" s="38">
        <v>31500000</v>
      </c>
      <c r="O326" s="47">
        <v>2625000</v>
      </c>
      <c r="P326" s="36">
        <v>12</v>
      </c>
      <c r="Q326" s="36" t="s">
        <v>318</v>
      </c>
      <c r="R326" s="36" t="s">
        <v>319</v>
      </c>
      <c r="S326" s="36" t="s">
        <v>320</v>
      </c>
      <c r="T326" s="36" t="s">
        <v>327</v>
      </c>
      <c r="U326" s="36" t="s">
        <v>322</v>
      </c>
      <c r="V326" s="40">
        <v>45870</v>
      </c>
      <c r="W326" s="40">
        <v>45889</v>
      </c>
      <c r="X326" s="36">
        <v>0</v>
      </c>
      <c r="Y326" s="36"/>
      <c r="Z326" s="36">
        <v>1</v>
      </c>
      <c r="AA326" s="36">
        <v>2625000</v>
      </c>
      <c r="AB326" s="40">
        <v>46113</v>
      </c>
      <c r="AC326" s="36" t="s">
        <v>2196</v>
      </c>
      <c r="AD326" s="36" t="str">
        <f>VLOOKUP(D326,Oficial!A:C,3,0)</f>
        <v>Arrastre</v>
      </c>
    </row>
    <row r="327" spans="1:30" x14ac:dyDescent="0.25">
      <c r="A327" s="36" t="s">
        <v>27</v>
      </c>
      <c r="B327" s="36" t="s">
        <v>323</v>
      </c>
      <c r="C327" s="36" t="s">
        <v>28</v>
      </c>
      <c r="D327" s="36" t="s">
        <v>323</v>
      </c>
      <c r="E327" s="36" t="s">
        <v>30</v>
      </c>
      <c r="F327" s="36" t="s">
        <v>31</v>
      </c>
      <c r="G327" s="37" t="s">
        <v>314</v>
      </c>
      <c r="H327" s="36" t="s">
        <v>324</v>
      </c>
      <c r="I327" s="36" t="s">
        <v>325</v>
      </c>
      <c r="J327" s="36">
        <v>1</v>
      </c>
      <c r="K327" s="36" t="s">
        <v>326</v>
      </c>
      <c r="L327" s="36">
        <v>4</v>
      </c>
      <c r="M327" s="36">
        <v>1</v>
      </c>
      <c r="N327" s="38">
        <v>31500000</v>
      </c>
      <c r="O327" s="47">
        <v>2625000</v>
      </c>
      <c r="P327" s="36">
        <v>12</v>
      </c>
      <c r="Q327" s="36" t="s">
        <v>318</v>
      </c>
      <c r="R327" s="36" t="s">
        <v>319</v>
      </c>
      <c r="S327" s="36" t="s">
        <v>320</v>
      </c>
      <c r="T327" s="36" t="s">
        <v>327</v>
      </c>
      <c r="U327" s="36" t="s">
        <v>322</v>
      </c>
      <c r="V327" s="40">
        <v>45870</v>
      </c>
      <c r="W327" s="40">
        <v>45889</v>
      </c>
      <c r="X327" s="36">
        <v>0</v>
      </c>
      <c r="Y327" s="36"/>
      <c r="Z327" s="36">
        <v>1</v>
      </c>
      <c r="AA327" s="36">
        <v>2625000</v>
      </c>
      <c r="AB327" s="40">
        <v>46266</v>
      </c>
      <c r="AC327" s="36" t="s">
        <v>2196</v>
      </c>
      <c r="AD327" s="36" t="str">
        <f>VLOOKUP(D327,Oficial!A:C,3,0)</f>
        <v>Arrastre</v>
      </c>
    </row>
    <row r="328" spans="1:30" x14ac:dyDescent="0.25">
      <c r="A328" s="36" t="s">
        <v>27</v>
      </c>
      <c r="B328" s="36" t="s">
        <v>323</v>
      </c>
      <c r="C328" s="36" t="s">
        <v>28</v>
      </c>
      <c r="D328" s="36" t="s">
        <v>323</v>
      </c>
      <c r="E328" s="36" t="s">
        <v>30</v>
      </c>
      <c r="F328" s="36" t="s">
        <v>31</v>
      </c>
      <c r="G328" s="37" t="s">
        <v>314</v>
      </c>
      <c r="H328" s="36" t="s">
        <v>324</v>
      </c>
      <c r="I328" s="36" t="s">
        <v>325</v>
      </c>
      <c r="J328" s="36">
        <v>1</v>
      </c>
      <c r="K328" s="36" t="s">
        <v>326</v>
      </c>
      <c r="L328" s="36">
        <v>4</v>
      </c>
      <c r="M328" s="36">
        <v>1</v>
      </c>
      <c r="N328" s="38">
        <v>31500000</v>
      </c>
      <c r="O328" s="47">
        <v>2625000</v>
      </c>
      <c r="P328" s="36">
        <v>12</v>
      </c>
      <c r="Q328" s="36" t="s">
        <v>318</v>
      </c>
      <c r="R328" s="36" t="s">
        <v>319</v>
      </c>
      <c r="S328" s="36" t="s">
        <v>320</v>
      </c>
      <c r="T328" s="36" t="s">
        <v>327</v>
      </c>
      <c r="U328" s="36" t="s">
        <v>322</v>
      </c>
      <c r="V328" s="40">
        <v>45870</v>
      </c>
      <c r="W328" s="40">
        <v>45889</v>
      </c>
      <c r="X328" s="36">
        <v>0</v>
      </c>
      <c r="Y328" s="36"/>
      <c r="Z328" s="36">
        <v>1</v>
      </c>
      <c r="AA328" s="36">
        <v>2625000</v>
      </c>
      <c r="AB328" s="40">
        <v>46296</v>
      </c>
      <c r="AC328" s="36" t="s">
        <v>2196</v>
      </c>
      <c r="AD328" s="36" t="str">
        <f>VLOOKUP(D328,Oficial!A:C,3,0)</f>
        <v>Arrastre</v>
      </c>
    </row>
    <row r="329" spans="1:30" x14ac:dyDescent="0.25">
      <c r="A329" s="36" t="s">
        <v>27</v>
      </c>
      <c r="B329" s="36" t="s">
        <v>328</v>
      </c>
      <c r="C329" s="36" t="s">
        <v>28</v>
      </c>
      <c r="D329" s="36" t="s">
        <v>328</v>
      </c>
      <c r="E329" s="36" t="s">
        <v>30</v>
      </c>
      <c r="F329" s="36" t="s">
        <v>31</v>
      </c>
      <c r="G329" s="37" t="s">
        <v>299</v>
      </c>
      <c r="H329" s="36" t="s">
        <v>329</v>
      </c>
      <c r="I329" s="36" t="s">
        <v>330</v>
      </c>
      <c r="J329" s="36">
        <v>1</v>
      </c>
      <c r="K329" s="36" t="s">
        <v>331</v>
      </c>
      <c r="L329" s="36">
        <v>4</v>
      </c>
      <c r="M329" s="36">
        <v>1</v>
      </c>
      <c r="N329" s="38">
        <v>90000000</v>
      </c>
      <c r="O329" s="46">
        <v>7500000</v>
      </c>
      <c r="P329" s="36">
        <v>12</v>
      </c>
      <c r="Q329" s="36" t="s">
        <v>308</v>
      </c>
      <c r="R329" s="36" t="s">
        <v>332</v>
      </c>
      <c r="S329" s="36" t="s">
        <v>333</v>
      </c>
      <c r="T329" s="36" t="s">
        <v>124</v>
      </c>
      <c r="U329" s="36" t="s">
        <v>334</v>
      </c>
      <c r="V329" s="40">
        <v>45839</v>
      </c>
      <c r="W329" s="40">
        <v>45889</v>
      </c>
      <c r="X329" s="36">
        <v>3</v>
      </c>
      <c r="Y329" s="36" t="s">
        <v>335</v>
      </c>
      <c r="Z329" s="36">
        <v>1</v>
      </c>
      <c r="AA329" s="36">
        <v>7500000</v>
      </c>
      <c r="AB329" s="40">
        <v>46174</v>
      </c>
      <c r="AC329" s="36" t="s">
        <v>2196</v>
      </c>
      <c r="AD329" s="36" t="str">
        <f>VLOOKUP(D329,Oficial!A:C,3,0)</f>
        <v>Arrastre</v>
      </c>
    </row>
    <row r="330" spans="1:30" x14ac:dyDescent="0.25">
      <c r="A330" s="36" t="s">
        <v>27</v>
      </c>
      <c r="B330" s="36" t="s">
        <v>328</v>
      </c>
      <c r="C330" s="36" t="s">
        <v>28</v>
      </c>
      <c r="D330" s="36" t="s">
        <v>328</v>
      </c>
      <c r="E330" s="36" t="s">
        <v>30</v>
      </c>
      <c r="F330" s="36" t="s">
        <v>31</v>
      </c>
      <c r="G330" s="37" t="s">
        <v>299</v>
      </c>
      <c r="H330" s="36" t="s">
        <v>329</v>
      </c>
      <c r="I330" s="36" t="s">
        <v>330</v>
      </c>
      <c r="J330" s="36">
        <v>1</v>
      </c>
      <c r="K330" s="36" t="s">
        <v>331</v>
      </c>
      <c r="L330" s="36">
        <v>4</v>
      </c>
      <c r="M330" s="36">
        <v>1</v>
      </c>
      <c r="N330" s="38">
        <v>90000000</v>
      </c>
      <c r="O330" s="46">
        <v>7500000</v>
      </c>
      <c r="P330" s="36">
        <v>12</v>
      </c>
      <c r="Q330" s="36" t="s">
        <v>308</v>
      </c>
      <c r="R330" s="36" t="s">
        <v>332</v>
      </c>
      <c r="S330" s="36" t="s">
        <v>333</v>
      </c>
      <c r="T330" s="36" t="s">
        <v>124</v>
      </c>
      <c r="U330" s="36" t="s">
        <v>334</v>
      </c>
      <c r="V330" s="40">
        <v>45839</v>
      </c>
      <c r="W330" s="40">
        <v>45889</v>
      </c>
      <c r="X330" s="36">
        <v>3</v>
      </c>
      <c r="Y330" s="36" t="s">
        <v>335</v>
      </c>
      <c r="Z330" s="36">
        <v>1</v>
      </c>
      <c r="AA330" s="36">
        <v>7500000</v>
      </c>
      <c r="AB330" s="40">
        <v>46082</v>
      </c>
      <c r="AC330" s="36" t="s">
        <v>2196</v>
      </c>
      <c r="AD330" s="36" t="str">
        <f>VLOOKUP(D330,Oficial!A:C,3,0)</f>
        <v>Arrastre</v>
      </c>
    </row>
    <row r="331" spans="1:30" x14ac:dyDescent="0.25">
      <c r="A331" s="36" t="s">
        <v>27</v>
      </c>
      <c r="B331" s="36" t="s">
        <v>328</v>
      </c>
      <c r="C331" s="36" t="s">
        <v>28</v>
      </c>
      <c r="D331" s="36" t="s">
        <v>328</v>
      </c>
      <c r="E331" s="36" t="s">
        <v>30</v>
      </c>
      <c r="F331" s="36" t="s">
        <v>31</v>
      </c>
      <c r="G331" s="37" t="s">
        <v>299</v>
      </c>
      <c r="H331" s="36" t="s">
        <v>329</v>
      </c>
      <c r="I331" s="36" t="s">
        <v>330</v>
      </c>
      <c r="J331" s="36">
        <v>1</v>
      </c>
      <c r="K331" s="36" t="s">
        <v>331</v>
      </c>
      <c r="L331" s="36">
        <v>4</v>
      </c>
      <c r="M331" s="36">
        <v>1</v>
      </c>
      <c r="N331" s="38">
        <v>90000000</v>
      </c>
      <c r="O331" s="46">
        <v>7500000</v>
      </c>
      <c r="P331" s="36">
        <v>12</v>
      </c>
      <c r="Q331" s="36" t="s">
        <v>308</v>
      </c>
      <c r="R331" s="36" t="s">
        <v>332</v>
      </c>
      <c r="S331" s="36" t="s">
        <v>333</v>
      </c>
      <c r="T331" s="36" t="s">
        <v>124</v>
      </c>
      <c r="U331" s="36" t="s">
        <v>334</v>
      </c>
      <c r="V331" s="40">
        <v>45839</v>
      </c>
      <c r="W331" s="40">
        <v>45889</v>
      </c>
      <c r="X331" s="36">
        <v>3</v>
      </c>
      <c r="Y331" s="36" t="s">
        <v>335</v>
      </c>
      <c r="Z331" s="36">
        <v>1</v>
      </c>
      <c r="AA331" s="36">
        <v>7500000</v>
      </c>
      <c r="AB331" s="40">
        <v>46204</v>
      </c>
      <c r="AC331" s="36" t="s">
        <v>2196</v>
      </c>
      <c r="AD331" s="36" t="str">
        <f>VLOOKUP(D331,Oficial!A:C,3,0)</f>
        <v>Arrastre</v>
      </c>
    </row>
    <row r="332" spans="1:30" x14ac:dyDescent="0.25">
      <c r="A332" s="36" t="s">
        <v>27</v>
      </c>
      <c r="B332" s="36" t="s">
        <v>328</v>
      </c>
      <c r="C332" s="36" t="s">
        <v>28</v>
      </c>
      <c r="D332" s="36" t="s">
        <v>328</v>
      </c>
      <c r="E332" s="36" t="s">
        <v>30</v>
      </c>
      <c r="F332" s="36" t="s">
        <v>31</v>
      </c>
      <c r="G332" s="37" t="s">
        <v>299</v>
      </c>
      <c r="H332" s="36" t="s">
        <v>329</v>
      </c>
      <c r="I332" s="36" t="s">
        <v>330</v>
      </c>
      <c r="J332" s="36">
        <v>1</v>
      </c>
      <c r="K332" s="36" t="s">
        <v>331</v>
      </c>
      <c r="L332" s="36">
        <v>4</v>
      </c>
      <c r="M332" s="36">
        <v>1</v>
      </c>
      <c r="N332" s="38">
        <v>90000000</v>
      </c>
      <c r="O332" s="46">
        <v>7500000</v>
      </c>
      <c r="P332" s="36">
        <v>12</v>
      </c>
      <c r="Q332" s="36" t="s">
        <v>308</v>
      </c>
      <c r="R332" s="36" t="s">
        <v>332</v>
      </c>
      <c r="S332" s="36" t="s">
        <v>333</v>
      </c>
      <c r="T332" s="36" t="s">
        <v>124</v>
      </c>
      <c r="U332" s="36" t="s">
        <v>334</v>
      </c>
      <c r="V332" s="40">
        <v>45839</v>
      </c>
      <c r="W332" s="40">
        <v>45889</v>
      </c>
      <c r="X332" s="36">
        <v>3</v>
      </c>
      <c r="Y332" s="36" t="s">
        <v>335</v>
      </c>
      <c r="Z332" s="36">
        <v>1</v>
      </c>
      <c r="AA332" s="36">
        <v>7500000</v>
      </c>
      <c r="AB332" s="40">
        <v>46054</v>
      </c>
      <c r="AC332" s="36" t="s">
        <v>2196</v>
      </c>
      <c r="AD332" s="36" t="str">
        <f>VLOOKUP(D332,Oficial!A:C,3,0)</f>
        <v>Arrastre</v>
      </c>
    </row>
    <row r="333" spans="1:30" x14ac:dyDescent="0.25">
      <c r="A333" s="36" t="s">
        <v>27</v>
      </c>
      <c r="B333" s="36" t="s">
        <v>328</v>
      </c>
      <c r="C333" s="36" t="s">
        <v>28</v>
      </c>
      <c r="D333" s="36" t="s">
        <v>328</v>
      </c>
      <c r="E333" s="36" t="s">
        <v>30</v>
      </c>
      <c r="F333" s="36" t="s">
        <v>31</v>
      </c>
      <c r="G333" s="37" t="s">
        <v>299</v>
      </c>
      <c r="H333" s="36" t="s">
        <v>329</v>
      </c>
      <c r="I333" s="36" t="s">
        <v>330</v>
      </c>
      <c r="J333" s="36">
        <v>1</v>
      </c>
      <c r="K333" s="36" t="s">
        <v>331</v>
      </c>
      <c r="L333" s="36">
        <v>4</v>
      </c>
      <c r="M333" s="36">
        <v>1</v>
      </c>
      <c r="N333" s="38">
        <v>90000000</v>
      </c>
      <c r="O333" s="46">
        <v>7500000</v>
      </c>
      <c r="P333" s="36">
        <v>12</v>
      </c>
      <c r="Q333" s="36" t="s">
        <v>308</v>
      </c>
      <c r="R333" s="36" t="s">
        <v>332</v>
      </c>
      <c r="S333" s="36" t="s">
        <v>333</v>
      </c>
      <c r="T333" s="36" t="s">
        <v>124</v>
      </c>
      <c r="U333" s="36" t="s">
        <v>334</v>
      </c>
      <c r="V333" s="40">
        <v>45839</v>
      </c>
      <c r="W333" s="40">
        <v>45889</v>
      </c>
      <c r="X333" s="36">
        <v>3</v>
      </c>
      <c r="Y333" s="36" t="s">
        <v>335</v>
      </c>
      <c r="Z333" s="36">
        <v>1</v>
      </c>
      <c r="AA333" s="36">
        <v>7500000</v>
      </c>
      <c r="AB333" s="40">
        <v>46023</v>
      </c>
      <c r="AC333" s="36" t="s">
        <v>2196</v>
      </c>
      <c r="AD333" s="36" t="str">
        <f>VLOOKUP(D333,Oficial!A:C,3,0)</f>
        <v>Arrastre</v>
      </c>
    </row>
    <row r="334" spans="1:30" x14ac:dyDescent="0.25">
      <c r="A334" s="36" t="s">
        <v>27</v>
      </c>
      <c r="B334" s="36" t="s">
        <v>328</v>
      </c>
      <c r="C334" s="36" t="s">
        <v>28</v>
      </c>
      <c r="D334" s="36" t="s">
        <v>328</v>
      </c>
      <c r="E334" s="36" t="s">
        <v>30</v>
      </c>
      <c r="F334" s="36" t="s">
        <v>31</v>
      </c>
      <c r="G334" s="37" t="s">
        <v>299</v>
      </c>
      <c r="H334" s="36" t="s">
        <v>329</v>
      </c>
      <c r="I334" s="36" t="s">
        <v>330</v>
      </c>
      <c r="J334" s="36">
        <v>1</v>
      </c>
      <c r="K334" s="36" t="s">
        <v>331</v>
      </c>
      <c r="L334" s="36">
        <v>4</v>
      </c>
      <c r="M334" s="36">
        <v>1</v>
      </c>
      <c r="N334" s="38">
        <v>90000000</v>
      </c>
      <c r="O334" s="46">
        <v>7500000</v>
      </c>
      <c r="P334" s="36">
        <v>12</v>
      </c>
      <c r="Q334" s="36" t="s">
        <v>308</v>
      </c>
      <c r="R334" s="36" t="s">
        <v>332</v>
      </c>
      <c r="S334" s="36" t="s">
        <v>333</v>
      </c>
      <c r="T334" s="36" t="s">
        <v>124</v>
      </c>
      <c r="U334" s="36" t="s">
        <v>334</v>
      </c>
      <c r="V334" s="40">
        <v>45839</v>
      </c>
      <c r="W334" s="40">
        <v>45889</v>
      </c>
      <c r="X334" s="36">
        <v>3</v>
      </c>
      <c r="Y334" s="36" t="s">
        <v>336</v>
      </c>
      <c r="Z334" s="36">
        <v>1</v>
      </c>
      <c r="AA334" s="36">
        <v>7500000</v>
      </c>
      <c r="AB334" s="40">
        <v>46023</v>
      </c>
      <c r="AC334" s="36" t="s">
        <v>2196</v>
      </c>
      <c r="AD334" s="36" t="str">
        <f>VLOOKUP(D334,Oficial!A:C,3,0)</f>
        <v>Arrastre</v>
      </c>
    </row>
    <row r="335" spans="1:30" x14ac:dyDescent="0.25">
      <c r="A335" s="36" t="s">
        <v>27</v>
      </c>
      <c r="B335" s="36" t="s">
        <v>328</v>
      </c>
      <c r="C335" s="36" t="s">
        <v>28</v>
      </c>
      <c r="D335" s="36" t="s">
        <v>328</v>
      </c>
      <c r="E335" s="36" t="s">
        <v>30</v>
      </c>
      <c r="F335" s="36" t="s">
        <v>31</v>
      </c>
      <c r="G335" s="37" t="s">
        <v>299</v>
      </c>
      <c r="H335" s="36" t="s">
        <v>329</v>
      </c>
      <c r="I335" s="36" t="s">
        <v>330</v>
      </c>
      <c r="J335" s="36">
        <v>1</v>
      </c>
      <c r="K335" s="36" t="s">
        <v>331</v>
      </c>
      <c r="L335" s="36">
        <v>4</v>
      </c>
      <c r="M335" s="36">
        <v>1</v>
      </c>
      <c r="N335" s="38">
        <v>90000000</v>
      </c>
      <c r="O335" s="46">
        <v>7500000</v>
      </c>
      <c r="P335" s="36">
        <v>12</v>
      </c>
      <c r="Q335" s="36" t="s">
        <v>308</v>
      </c>
      <c r="R335" s="36" t="s">
        <v>332</v>
      </c>
      <c r="S335" s="36" t="s">
        <v>333</v>
      </c>
      <c r="T335" s="36" t="s">
        <v>124</v>
      </c>
      <c r="U335" s="36" t="s">
        <v>334</v>
      </c>
      <c r="V335" s="40">
        <v>45839</v>
      </c>
      <c r="W335" s="40">
        <v>45889</v>
      </c>
      <c r="X335" s="36">
        <v>3</v>
      </c>
      <c r="Y335" s="36" t="s">
        <v>335</v>
      </c>
      <c r="Z335" s="36">
        <v>1</v>
      </c>
      <c r="AA335" s="36">
        <v>7500000</v>
      </c>
      <c r="AB335" s="40">
        <v>46113</v>
      </c>
      <c r="AC335" s="36" t="s">
        <v>2196</v>
      </c>
      <c r="AD335" s="36" t="str">
        <f>VLOOKUP(D335,Oficial!A:C,3,0)</f>
        <v>Arrastre</v>
      </c>
    </row>
    <row r="336" spans="1:30" x14ac:dyDescent="0.25">
      <c r="A336" s="36" t="s">
        <v>27</v>
      </c>
      <c r="B336" s="36" t="s">
        <v>337</v>
      </c>
      <c r="C336" s="36" t="s">
        <v>28</v>
      </c>
      <c r="D336" s="36" t="s">
        <v>337</v>
      </c>
      <c r="E336" s="36" t="s">
        <v>30</v>
      </c>
      <c r="F336" s="36" t="s">
        <v>31</v>
      </c>
      <c r="G336" s="37" t="s">
        <v>314</v>
      </c>
      <c r="H336" s="36" t="s">
        <v>338</v>
      </c>
      <c r="I336" s="36" t="s">
        <v>339</v>
      </c>
      <c r="J336" s="36">
        <v>1</v>
      </c>
      <c r="K336" s="36" t="s">
        <v>340</v>
      </c>
      <c r="L336" s="36">
        <v>5</v>
      </c>
      <c r="M336" s="36">
        <v>1</v>
      </c>
      <c r="N336" s="38">
        <v>16500000</v>
      </c>
      <c r="O336" s="44">
        <v>916666</v>
      </c>
      <c r="P336" s="36">
        <v>18</v>
      </c>
      <c r="Q336" s="36" t="s">
        <v>206</v>
      </c>
      <c r="R336" s="36" t="s">
        <v>341</v>
      </c>
      <c r="S336" s="36" t="s">
        <v>342</v>
      </c>
      <c r="T336" s="36" t="s">
        <v>343</v>
      </c>
      <c r="U336" s="36" t="s">
        <v>344</v>
      </c>
      <c r="V336" s="40">
        <v>45809</v>
      </c>
      <c r="W336" s="40">
        <v>45889</v>
      </c>
      <c r="X336" s="36">
        <v>27</v>
      </c>
      <c r="Y336" s="36" t="s">
        <v>347</v>
      </c>
      <c r="Z336" s="36">
        <v>1</v>
      </c>
      <c r="AA336" s="36">
        <v>916666</v>
      </c>
      <c r="AB336" s="40">
        <v>46327</v>
      </c>
      <c r="AC336" s="36" t="s">
        <v>2196</v>
      </c>
      <c r="AD336" s="36" t="str">
        <f>VLOOKUP(D336,Oficial!A:C,3,0)</f>
        <v>Arrastre</v>
      </c>
    </row>
    <row r="337" spans="1:30" x14ac:dyDescent="0.25">
      <c r="A337" s="36" t="s">
        <v>27</v>
      </c>
      <c r="B337" s="36" t="s">
        <v>337</v>
      </c>
      <c r="C337" s="36" t="s">
        <v>28</v>
      </c>
      <c r="D337" s="36" t="s">
        <v>337</v>
      </c>
      <c r="E337" s="36" t="s">
        <v>30</v>
      </c>
      <c r="F337" s="36" t="s">
        <v>31</v>
      </c>
      <c r="G337" s="37" t="s">
        <v>314</v>
      </c>
      <c r="H337" s="36" t="s">
        <v>338</v>
      </c>
      <c r="I337" s="36" t="s">
        <v>339</v>
      </c>
      <c r="J337" s="36">
        <v>1</v>
      </c>
      <c r="K337" s="36" t="s">
        <v>340</v>
      </c>
      <c r="L337" s="36">
        <v>5</v>
      </c>
      <c r="M337" s="36">
        <v>1</v>
      </c>
      <c r="N337" s="38">
        <v>16500000</v>
      </c>
      <c r="O337" s="44">
        <v>916666</v>
      </c>
      <c r="P337" s="36">
        <v>18</v>
      </c>
      <c r="Q337" s="36" t="s">
        <v>206</v>
      </c>
      <c r="R337" s="36" t="s">
        <v>341</v>
      </c>
      <c r="S337" s="36" t="s">
        <v>342</v>
      </c>
      <c r="T337" s="36" t="s">
        <v>343</v>
      </c>
      <c r="U337" s="36" t="s">
        <v>344</v>
      </c>
      <c r="V337" s="40">
        <v>45809</v>
      </c>
      <c r="W337" s="40">
        <v>45889</v>
      </c>
      <c r="X337" s="36">
        <v>27</v>
      </c>
      <c r="Y337" s="36" t="s">
        <v>352</v>
      </c>
      <c r="Z337" s="36">
        <v>1</v>
      </c>
      <c r="AA337" s="36">
        <v>916666</v>
      </c>
      <c r="AB337" s="40">
        <v>46327</v>
      </c>
      <c r="AC337" s="36" t="s">
        <v>2196</v>
      </c>
      <c r="AD337" s="36" t="str">
        <f>VLOOKUP(D337,Oficial!A:C,3,0)</f>
        <v>Arrastre</v>
      </c>
    </row>
    <row r="338" spans="1:30" x14ac:dyDescent="0.25">
      <c r="A338" s="36" t="s">
        <v>27</v>
      </c>
      <c r="B338" s="36" t="s">
        <v>337</v>
      </c>
      <c r="C338" s="36" t="s">
        <v>28</v>
      </c>
      <c r="D338" s="36" t="s">
        <v>337</v>
      </c>
      <c r="E338" s="36" t="s">
        <v>30</v>
      </c>
      <c r="F338" s="36" t="s">
        <v>31</v>
      </c>
      <c r="G338" s="37" t="s">
        <v>314</v>
      </c>
      <c r="H338" s="36" t="s">
        <v>338</v>
      </c>
      <c r="I338" s="36" t="s">
        <v>339</v>
      </c>
      <c r="J338" s="36">
        <v>1</v>
      </c>
      <c r="K338" s="36" t="s">
        <v>340</v>
      </c>
      <c r="L338" s="36">
        <v>5</v>
      </c>
      <c r="M338" s="36">
        <v>1</v>
      </c>
      <c r="N338" s="38">
        <v>16500000</v>
      </c>
      <c r="O338" s="44">
        <v>916666</v>
      </c>
      <c r="P338" s="36">
        <v>18</v>
      </c>
      <c r="Q338" s="36" t="s">
        <v>206</v>
      </c>
      <c r="R338" s="36" t="s">
        <v>341</v>
      </c>
      <c r="S338" s="36" t="s">
        <v>342</v>
      </c>
      <c r="T338" s="36" t="s">
        <v>343</v>
      </c>
      <c r="U338" s="36" t="s">
        <v>344</v>
      </c>
      <c r="V338" s="40">
        <v>45809</v>
      </c>
      <c r="W338" s="40">
        <v>45889</v>
      </c>
      <c r="X338" s="36">
        <v>27</v>
      </c>
      <c r="Y338" s="36" t="s">
        <v>350</v>
      </c>
      <c r="Z338" s="36">
        <v>1</v>
      </c>
      <c r="AA338" s="36">
        <v>916666</v>
      </c>
      <c r="AB338" s="40">
        <v>46082</v>
      </c>
      <c r="AC338" s="36" t="s">
        <v>2196</v>
      </c>
      <c r="AD338" s="36" t="str">
        <f>VLOOKUP(D338,Oficial!A:C,3,0)</f>
        <v>Arrastre</v>
      </c>
    </row>
    <row r="339" spans="1:30" x14ac:dyDescent="0.25">
      <c r="A339" s="36" t="s">
        <v>27</v>
      </c>
      <c r="B339" s="36" t="s">
        <v>337</v>
      </c>
      <c r="C339" s="36" t="s">
        <v>28</v>
      </c>
      <c r="D339" s="36" t="s">
        <v>337</v>
      </c>
      <c r="E339" s="36" t="s">
        <v>30</v>
      </c>
      <c r="F339" s="36" t="s">
        <v>31</v>
      </c>
      <c r="G339" s="37" t="s">
        <v>314</v>
      </c>
      <c r="H339" s="36" t="s">
        <v>338</v>
      </c>
      <c r="I339" s="36" t="s">
        <v>339</v>
      </c>
      <c r="J339" s="36">
        <v>1</v>
      </c>
      <c r="K339" s="36" t="s">
        <v>340</v>
      </c>
      <c r="L339" s="36">
        <v>5</v>
      </c>
      <c r="M339" s="36">
        <v>1</v>
      </c>
      <c r="N339" s="38">
        <v>16500000</v>
      </c>
      <c r="O339" s="44">
        <v>916666</v>
      </c>
      <c r="P339" s="36">
        <v>18</v>
      </c>
      <c r="Q339" s="36" t="s">
        <v>206</v>
      </c>
      <c r="R339" s="36" t="s">
        <v>341</v>
      </c>
      <c r="S339" s="36" t="s">
        <v>342</v>
      </c>
      <c r="T339" s="36" t="s">
        <v>343</v>
      </c>
      <c r="U339" s="36" t="s">
        <v>344</v>
      </c>
      <c r="V339" s="40">
        <v>45809</v>
      </c>
      <c r="W339" s="40">
        <v>45889</v>
      </c>
      <c r="X339" s="36">
        <v>27</v>
      </c>
      <c r="Y339" s="36" t="s">
        <v>346</v>
      </c>
      <c r="Z339" s="36">
        <v>1</v>
      </c>
      <c r="AA339" s="36">
        <v>916666</v>
      </c>
      <c r="AB339" s="40">
        <v>46082</v>
      </c>
      <c r="AC339" s="36" t="s">
        <v>2196</v>
      </c>
      <c r="AD339" s="36" t="str">
        <f>VLOOKUP(D339,Oficial!A:C,3,0)</f>
        <v>Arrastre</v>
      </c>
    </row>
    <row r="340" spans="1:30" x14ac:dyDescent="0.25">
      <c r="A340" s="36" t="s">
        <v>27</v>
      </c>
      <c r="B340" s="36" t="s">
        <v>337</v>
      </c>
      <c r="C340" s="36" t="s">
        <v>28</v>
      </c>
      <c r="D340" s="36" t="s">
        <v>337</v>
      </c>
      <c r="E340" s="36" t="s">
        <v>30</v>
      </c>
      <c r="F340" s="36" t="s">
        <v>31</v>
      </c>
      <c r="G340" s="37" t="s">
        <v>314</v>
      </c>
      <c r="H340" s="36" t="s">
        <v>338</v>
      </c>
      <c r="I340" s="36" t="s">
        <v>339</v>
      </c>
      <c r="J340" s="36">
        <v>1</v>
      </c>
      <c r="K340" s="36" t="s">
        <v>340</v>
      </c>
      <c r="L340" s="36">
        <v>5</v>
      </c>
      <c r="M340" s="36">
        <v>1</v>
      </c>
      <c r="N340" s="38">
        <v>16500000</v>
      </c>
      <c r="O340" s="44">
        <v>916666</v>
      </c>
      <c r="P340" s="36">
        <v>18</v>
      </c>
      <c r="Q340" s="36" t="s">
        <v>206</v>
      </c>
      <c r="R340" s="36" t="s">
        <v>341</v>
      </c>
      <c r="S340" s="36" t="s">
        <v>342</v>
      </c>
      <c r="T340" s="36" t="s">
        <v>343</v>
      </c>
      <c r="U340" s="36" t="s">
        <v>344</v>
      </c>
      <c r="V340" s="40">
        <v>45809</v>
      </c>
      <c r="W340" s="40">
        <v>45889</v>
      </c>
      <c r="X340" s="36">
        <v>27</v>
      </c>
      <c r="Y340" s="36" t="s">
        <v>351</v>
      </c>
      <c r="Z340" s="36">
        <v>1</v>
      </c>
      <c r="AA340" s="36">
        <v>916666</v>
      </c>
      <c r="AB340" s="40">
        <v>46327</v>
      </c>
      <c r="AC340" s="36" t="s">
        <v>2196</v>
      </c>
      <c r="AD340" s="36" t="str">
        <f>VLOOKUP(D340,Oficial!A:C,3,0)</f>
        <v>Arrastre</v>
      </c>
    </row>
    <row r="341" spans="1:30" x14ac:dyDescent="0.25">
      <c r="A341" s="36" t="s">
        <v>27</v>
      </c>
      <c r="B341" s="36" t="s">
        <v>337</v>
      </c>
      <c r="C341" s="36" t="s">
        <v>28</v>
      </c>
      <c r="D341" s="36" t="s">
        <v>337</v>
      </c>
      <c r="E341" s="36" t="s">
        <v>30</v>
      </c>
      <c r="F341" s="36" t="s">
        <v>31</v>
      </c>
      <c r="G341" s="37" t="s">
        <v>314</v>
      </c>
      <c r="H341" s="36" t="s">
        <v>338</v>
      </c>
      <c r="I341" s="36" t="s">
        <v>339</v>
      </c>
      <c r="J341" s="36">
        <v>1</v>
      </c>
      <c r="K341" s="36" t="s">
        <v>340</v>
      </c>
      <c r="L341" s="36">
        <v>5</v>
      </c>
      <c r="M341" s="36">
        <v>1</v>
      </c>
      <c r="N341" s="38">
        <v>16500000</v>
      </c>
      <c r="O341" s="44">
        <v>916666</v>
      </c>
      <c r="P341" s="36">
        <v>18</v>
      </c>
      <c r="Q341" s="36" t="s">
        <v>206</v>
      </c>
      <c r="R341" s="36" t="s">
        <v>341</v>
      </c>
      <c r="S341" s="36" t="s">
        <v>342</v>
      </c>
      <c r="T341" s="36" t="s">
        <v>343</v>
      </c>
      <c r="U341" s="36" t="s">
        <v>344</v>
      </c>
      <c r="V341" s="40">
        <v>45809</v>
      </c>
      <c r="W341" s="40">
        <v>45889</v>
      </c>
      <c r="X341" s="36">
        <v>27</v>
      </c>
      <c r="Y341" s="36" t="s">
        <v>354</v>
      </c>
      <c r="Z341" s="36">
        <v>1</v>
      </c>
      <c r="AA341" s="36">
        <v>916666</v>
      </c>
      <c r="AB341" s="40">
        <v>46235</v>
      </c>
      <c r="AC341" s="36" t="s">
        <v>2196</v>
      </c>
      <c r="AD341" s="36" t="str">
        <f>VLOOKUP(D341,Oficial!A:C,3,0)</f>
        <v>Arrastre</v>
      </c>
    </row>
    <row r="342" spans="1:30" x14ac:dyDescent="0.25">
      <c r="A342" s="36" t="s">
        <v>27</v>
      </c>
      <c r="B342" s="36" t="s">
        <v>337</v>
      </c>
      <c r="C342" s="36" t="s">
        <v>28</v>
      </c>
      <c r="D342" s="36" t="s">
        <v>337</v>
      </c>
      <c r="E342" s="36" t="s">
        <v>30</v>
      </c>
      <c r="F342" s="36" t="s">
        <v>31</v>
      </c>
      <c r="G342" s="37" t="s">
        <v>314</v>
      </c>
      <c r="H342" s="36" t="s">
        <v>338</v>
      </c>
      <c r="I342" s="36" t="s">
        <v>339</v>
      </c>
      <c r="J342" s="36">
        <v>1</v>
      </c>
      <c r="K342" s="36" t="s">
        <v>340</v>
      </c>
      <c r="L342" s="36">
        <v>5</v>
      </c>
      <c r="M342" s="36">
        <v>1</v>
      </c>
      <c r="N342" s="38">
        <v>16500000</v>
      </c>
      <c r="O342" s="44">
        <v>916666</v>
      </c>
      <c r="P342" s="36">
        <v>18</v>
      </c>
      <c r="Q342" s="36" t="s">
        <v>206</v>
      </c>
      <c r="R342" s="36" t="s">
        <v>341</v>
      </c>
      <c r="S342" s="36" t="s">
        <v>342</v>
      </c>
      <c r="T342" s="36" t="s">
        <v>343</v>
      </c>
      <c r="U342" s="36" t="s">
        <v>344</v>
      </c>
      <c r="V342" s="40">
        <v>45809</v>
      </c>
      <c r="W342" s="40">
        <v>45889</v>
      </c>
      <c r="X342" s="36">
        <v>27</v>
      </c>
      <c r="Y342" s="36" t="s">
        <v>349</v>
      </c>
      <c r="Z342" s="36">
        <v>1</v>
      </c>
      <c r="AA342" s="36">
        <v>916666</v>
      </c>
      <c r="AB342" s="40">
        <v>46174</v>
      </c>
      <c r="AC342" s="36" t="s">
        <v>2196</v>
      </c>
      <c r="AD342" s="36" t="str">
        <f>VLOOKUP(D342,Oficial!A:C,3,0)</f>
        <v>Arrastre</v>
      </c>
    </row>
    <row r="343" spans="1:30" x14ac:dyDescent="0.25">
      <c r="A343" s="36" t="s">
        <v>27</v>
      </c>
      <c r="B343" s="36" t="s">
        <v>337</v>
      </c>
      <c r="C343" s="36" t="s">
        <v>28</v>
      </c>
      <c r="D343" s="36" t="s">
        <v>337</v>
      </c>
      <c r="E343" s="36" t="s">
        <v>30</v>
      </c>
      <c r="F343" s="36" t="s">
        <v>31</v>
      </c>
      <c r="G343" s="37" t="s">
        <v>314</v>
      </c>
      <c r="H343" s="36" t="s">
        <v>338</v>
      </c>
      <c r="I343" s="36" t="s">
        <v>339</v>
      </c>
      <c r="J343" s="36">
        <v>1</v>
      </c>
      <c r="K343" s="36" t="s">
        <v>340</v>
      </c>
      <c r="L343" s="36">
        <v>5</v>
      </c>
      <c r="M343" s="36">
        <v>1</v>
      </c>
      <c r="N343" s="38">
        <v>16500000</v>
      </c>
      <c r="O343" s="44">
        <v>916666</v>
      </c>
      <c r="P343" s="36">
        <v>18</v>
      </c>
      <c r="Q343" s="36" t="s">
        <v>206</v>
      </c>
      <c r="R343" s="36" t="s">
        <v>341</v>
      </c>
      <c r="S343" s="36" t="s">
        <v>342</v>
      </c>
      <c r="T343" s="36" t="s">
        <v>343</v>
      </c>
      <c r="U343" s="36" t="s">
        <v>344</v>
      </c>
      <c r="V343" s="40">
        <v>45809</v>
      </c>
      <c r="W343" s="40">
        <v>45889</v>
      </c>
      <c r="X343" s="36">
        <v>27</v>
      </c>
      <c r="Y343" s="36" t="s">
        <v>353</v>
      </c>
      <c r="Z343" s="36">
        <v>1</v>
      </c>
      <c r="AA343" s="36">
        <v>916666</v>
      </c>
      <c r="AB343" s="40">
        <v>46023</v>
      </c>
      <c r="AC343" s="36" t="s">
        <v>2196</v>
      </c>
      <c r="AD343" s="36" t="str">
        <f>VLOOKUP(D343,Oficial!A:C,3,0)</f>
        <v>Arrastre</v>
      </c>
    </row>
    <row r="344" spans="1:30" x14ac:dyDescent="0.25">
      <c r="A344" s="36" t="s">
        <v>27</v>
      </c>
      <c r="B344" s="36" t="s">
        <v>337</v>
      </c>
      <c r="C344" s="36" t="s">
        <v>28</v>
      </c>
      <c r="D344" s="36" t="s">
        <v>337</v>
      </c>
      <c r="E344" s="36" t="s">
        <v>30</v>
      </c>
      <c r="F344" s="36" t="s">
        <v>31</v>
      </c>
      <c r="G344" s="37" t="s">
        <v>314</v>
      </c>
      <c r="H344" s="36" t="s">
        <v>338</v>
      </c>
      <c r="I344" s="36" t="s">
        <v>339</v>
      </c>
      <c r="J344" s="36">
        <v>1</v>
      </c>
      <c r="K344" s="36" t="s">
        <v>340</v>
      </c>
      <c r="L344" s="36">
        <v>5</v>
      </c>
      <c r="M344" s="36">
        <v>1</v>
      </c>
      <c r="N344" s="38">
        <v>16500000</v>
      </c>
      <c r="O344" s="44">
        <v>916666</v>
      </c>
      <c r="P344" s="36">
        <v>18</v>
      </c>
      <c r="Q344" s="36" t="s">
        <v>206</v>
      </c>
      <c r="R344" s="36" t="s">
        <v>341</v>
      </c>
      <c r="S344" s="36" t="s">
        <v>342</v>
      </c>
      <c r="T344" s="36" t="s">
        <v>343</v>
      </c>
      <c r="U344" s="36" t="s">
        <v>344</v>
      </c>
      <c r="V344" s="40">
        <v>45809</v>
      </c>
      <c r="W344" s="40">
        <v>45889</v>
      </c>
      <c r="X344" s="36">
        <v>27</v>
      </c>
      <c r="Y344" s="36" t="s">
        <v>348</v>
      </c>
      <c r="Z344" s="36">
        <v>1</v>
      </c>
      <c r="AA344" s="36">
        <v>916666</v>
      </c>
      <c r="AB344" s="40">
        <v>46082</v>
      </c>
      <c r="AC344" s="36" t="s">
        <v>2196</v>
      </c>
      <c r="AD344" s="36" t="str">
        <f>VLOOKUP(D344,Oficial!A:C,3,0)</f>
        <v>Arrastre</v>
      </c>
    </row>
    <row r="345" spans="1:30" x14ac:dyDescent="0.25">
      <c r="A345" s="36" t="s">
        <v>27</v>
      </c>
      <c r="B345" s="36" t="s">
        <v>337</v>
      </c>
      <c r="C345" s="36" t="s">
        <v>28</v>
      </c>
      <c r="D345" s="36" t="s">
        <v>337</v>
      </c>
      <c r="E345" s="36" t="s">
        <v>30</v>
      </c>
      <c r="F345" s="36" t="s">
        <v>31</v>
      </c>
      <c r="G345" s="37" t="s">
        <v>314</v>
      </c>
      <c r="H345" s="36" t="s">
        <v>338</v>
      </c>
      <c r="I345" s="36" t="s">
        <v>339</v>
      </c>
      <c r="J345" s="36">
        <v>1</v>
      </c>
      <c r="K345" s="36" t="s">
        <v>340</v>
      </c>
      <c r="L345" s="36">
        <v>5</v>
      </c>
      <c r="M345" s="36">
        <v>1</v>
      </c>
      <c r="N345" s="38">
        <v>16500000</v>
      </c>
      <c r="O345" s="44">
        <v>916666</v>
      </c>
      <c r="P345" s="36">
        <v>18</v>
      </c>
      <c r="Q345" s="36" t="s">
        <v>206</v>
      </c>
      <c r="R345" s="36" t="s">
        <v>341</v>
      </c>
      <c r="S345" s="36" t="s">
        <v>342</v>
      </c>
      <c r="T345" s="36" t="s">
        <v>343</v>
      </c>
      <c r="U345" s="36" t="s">
        <v>344</v>
      </c>
      <c r="V345" s="40">
        <v>45809</v>
      </c>
      <c r="W345" s="40">
        <v>45889</v>
      </c>
      <c r="X345" s="36">
        <v>27</v>
      </c>
      <c r="Y345" s="36" t="s">
        <v>349</v>
      </c>
      <c r="Z345" s="36">
        <v>1</v>
      </c>
      <c r="AA345" s="36">
        <v>916666</v>
      </c>
      <c r="AB345" s="40">
        <v>46023</v>
      </c>
      <c r="AC345" s="36" t="s">
        <v>2196</v>
      </c>
      <c r="AD345" s="36" t="str">
        <f>VLOOKUP(D345,Oficial!A:C,3,0)</f>
        <v>Arrastre</v>
      </c>
    </row>
    <row r="346" spans="1:30" x14ac:dyDescent="0.25">
      <c r="A346" s="36" t="s">
        <v>27</v>
      </c>
      <c r="B346" s="36" t="s">
        <v>337</v>
      </c>
      <c r="C346" s="36" t="s">
        <v>28</v>
      </c>
      <c r="D346" s="36" t="s">
        <v>337</v>
      </c>
      <c r="E346" s="36" t="s">
        <v>30</v>
      </c>
      <c r="F346" s="36" t="s">
        <v>31</v>
      </c>
      <c r="G346" s="37" t="s">
        <v>314</v>
      </c>
      <c r="H346" s="36" t="s">
        <v>338</v>
      </c>
      <c r="I346" s="36" t="s">
        <v>339</v>
      </c>
      <c r="J346" s="36">
        <v>1</v>
      </c>
      <c r="K346" s="36" t="s">
        <v>340</v>
      </c>
      <c r="L346" s="36">
        <v>5</v>
      </c>
      <c r="M346" s="36">
        <v>1</v>
      </c>
      <c r="N346" s="38">
        <v>16500000</v>
      </c>
      <c r="O346" s="44">
        <v>916666</v>
      </c>
      <c r="P346" s="36">
        <v>18</v>
      </c>
      <c r="Q346" s="36" t="s">
        <v>206</v>
      </c>
      <c r="R346" s="36" t="s">
        <v>341</v>
      </c>
      <c r="S346" s="36" t="s">
        <v>342</v>
      </c>
      <c r="T346" s="36" t="s">
        <v>343</v>
      </c>
      <c r="U346" s="36" t="s">
        <v>344</v>
      </c>
      <c r="V346" s="40">
        <v>45809</v>
      </c>
      <c r="W346" s="40">
        <v>45889</v>
      </c>
      <c r="X346" s="36">
        <v>27</v>
      </c>
      <c r="Y346" s="36" t="s">
        <v>354</v>
      </c>
      <c r="Z346" s="36">
        <v>1</v>
      </c>
      <c r="AA346" s="36">
        <v>916666</v>
      </c>
      <c r="AB346" s="40">
        <v>46054</v>
      </c>
      <c r="AC346" s="36" t="s">
        <v>2196</v>
      </c>
      <c r="AD346" s="36" t="str">
        <f>VLOOKUP(D346,Oficial!A:C,3,0)</f>
        <v>Arrastre</v>
      </c>
    </row>
    <row r="347" spans="1:30" x14ac:dyDescent="0.25">
      <c r="A347" s="36" t="s">
        <v>27</v>
      </c>
      <c r="B347" s="36" t="s">
        <v>337</v>
      </c>
      <c r="C347" s="36" t="s">
        <v>28</v>
      </c>
      <c r="D347" s="36" t="s">
        <v>337</v>
      </c>
      <c r="E347" s="36" t="s">
        <v>30</v>
      </c>
      <c r="F347" s="36" t="s">
        <v>31</v>
      </c>
      <c r="G347" s="37" t="s">
        <v>314</v>
      </c>
      <c r="H347" s="36" t="s">
        <v>338</v>
      </c>
      <c r="I347" s="36" t="s">
        <v>339</v>
      </c>
      <c r="J347" s="36">
        <v>1</v>
      </c>
      <c r="K347" s="36" t="s">
        <v>340</v>
      </c>
      <c r="L347" s="36">
        <v>5</v>
      </c>
      <c r="M347" s="36">
        <v>1</v>
      </c>
      <c r="N347" s="38">
        <v>16500000</v>
      </c>
      <c r="O347" s="44">
        <v>916678</v>
      </c>
      <c r="P347" s="36">
        <v>18</v>
      </c>
      <c r="Q347" s="36" t="s">
        <v>206</v>
      </c>
      <c r="R347" s="36" t="s">
        <v>341</v>
      </c>
      <c r="S347" s="36" t="s">
        <v>342</v>
      </c>
      <c r="T347" s="36" t="s">
        <v>343</v>
      </c>
      <c r="U347" s="36" t="s">
        <v>344</v>
      </c>
      <c r="V347" s="40">
        <v>45809</v>
      </c>
      <c r="W347" s="40">
        <v>45889</v>
      </c>
      <c r="X347" s="36">
        <v>27</v>
      </c>
      <c r="Y347" s="36" t="s">
        <v>345</v>
      </c>
      <c r="Z347" s="36">
        <v>1</v>
      </c>
      <c r="AA347" s="36">
        <v>916678</v>
      </c>
      <c r="AB347" s="40">
        <v>46357</v>
      </c>
      <c r="AC347" s="36" t="s">
        <v>2196</v>
      </c>
      <c r="AD347" s="36" t="str">
        <f>VLOOKUP(D347,Oficial!A:C,3,0)</f>
        <v>Arrastre</v>
      </c>
    </row>
    <row r="348" spans="1:30" x14ac:dyDescent="0.25">
      <c r="A348" s="36" t="s">
        <v>27</v>
      </c>
      <c r="B348" s="36" t="s">
        <v>355</v>
      </c>
      <c r="C348" s="36" t="s">
        <v>28</v>
      </c>
      <c r="D348" s="36" t="s">
        <v>355</v>
      </c>
      <c r="E348" s="36" t="s">
        <v>30</v>
      </c>
      <c r="F348" s="36" t="s">
        <v>31</v>
      </c>
      <c r="G348" s="37" t="s">
        <v>356</v>
      </c>
      <c r="H348" s="36" t="s">
        <v>357</v>
      </c>
      <c r="I348" s="36" t="s">
        <v>358</v>
      </c>
      <c r="J348" s="36">
        <v>1</v>
      </c>
      <c r="K348" s="36" t="s">
        <v>359</v>
      </c>
      <c r="L348" s="36">
        <v>4</v>
      </c>
      <c r="M348" s="36">
        <v>12</v>
      </c>
      <c r="N348" s="38">
        <v>2750000</v>
      </c>
      <c r="O348" s="41">
        <v>2750000</v>
      </c>
      <c r="P348" s="36">
        <v>12</v>
      </c>
      <c r="Q348" s="36" t="s">
        <v>318</v>
      </c>
      <c r="R348" s="36" t="s">
        <v>360</v>
      </c>
      <c r="S348" s="36" t="s">
        <v>361</v>
      </c>
      <c r="T348" s="36" t="s">
        <v>362</v>
      </c>
      <c r="U348" s="36" t="s">
        <v>363</v>
      </c>
      <c r="V348" s="40">
        <v>45870</v>
      </c>
      <c r="W348" s="40">
        <v>45889</v>
      </c>
      <c r="X348" s="36">
        <v>2</v>
      </c>
      <c r="Y348" s="36" t="s">
        <v>364</v>
      </c>
      <c r="Z348" s="36">
        <v>1</v>
      </c>
      <c r="AA348" s="36">
        <v>2750000</v>
      </c>
      <c r="AB348" s="40">
        <v>46113</v>
      </c>
      <c r="AC348" s="36" t="s">
        <v>2196</v>
      </c>
      <c r="AD348" s="36" t="str">
        <f>VLOOKUP(D348,Oficial!A:C,3,0)</f>
        <v>Arrastre</v>
      </c>
    </row>
    <row r="349" spans="1:30" x14ac:dyDescent="0.25">
      <c r="A349" s="36" t="s">
        <v>27</v>
      </c>
      <c r="B349" s="36" t="s">
        <v>355</v>
      </c>
      <c r="C349" s="36" t="s">
        <v>28</v>
      </c>
      <c r="D349" s="36" t="s">
        <v>355</v>
      </c>
      <c r="E349" s="36" t="s">
        <v>30</v>
      </c>
      <c r="F349" s="36" t="s">
        <v>31</v>
      </c>
      <c r="G349" s="37" t="s">
        <v>356</v>
      </c>
      <c r="H349" s="36" t="s">
        <v>357</v>
      </c>
      <c r="I349" s="36" t="s">
        <v>358</v>
      </c>
      <c r="J349" s="36">
        <v>1</v>
      </c>
      <c r="K349" s="36" t="s">
        <v>359</v>
      </c>
      <c r="L349" s="36">
        <v>4</v>
      </c>
      <c r="M349" s="36">
        <v>12</v>
      </c>
      <c r="N349" s="38">
        <v>2750000</v>
      </c>
      <c r="O349" s="41">
        <v>2750000</v>
      </c>
      <c r="P349" s="36">
        <v>12</v>
      </c>
      <c r="Q349" s="36" t="s">
        <v>318</v>
      </c>
      <c r="R349" s="36" t="s">
        <v>360</v>
      </c>
      <c r="S349" s="36" t="s">
        <v>361</v>
      </c>
      <c r="T349" s="36" t="s">
        <v>362</v>
      </c>
      <c r="U349" s="36" t="s">
        <v>363</v>
      </c>
      <c r="V349" s="40">
        <v>45870</v>
      </c>
      <c r="W349" s="40">
        <v>45889</v>
      </c>
      <c r="X349" s="36">
        <v>2</v>
      </c>
      <c r="Y349" s="36" t="s">
        <v>364</v>
      </c>
      <c r="Z349" s="36">
        <v>1</v>
      </c>
      <c r="AA349" s="36">
        <v>2750000</v>
      </c>
      <c r="AB349" s="40">
        <v>46054</v>
      </c>
      <c r="AC349" s="36" t="s">
        <v>2196</v>
      </c>
      <c r="AD349" s="36" t="str">
        <f>VLOOKUP(D349,Oficial!A:C,3,0)</f>
        <v>Arrastre</v>
      </c>
    </row>
    <row r="350" spans="1:30" x14ac:dyDescent="0.25">
      <c r="A350" s="36" t="s">
        <v>27</v>
      </c>
      <c r="B350" s="36" t="s">
        <v>355</v>
      </c>
      <c r="C350" s="36" t="s">
        <v>28</v>
      </c>
      <c r="D350" s="36" t="s">
        <v>355</v>
      </c>
      <c r="E350" s="36" t="s">
        <v>30</v>
      </c>
      <c r="F350" s="36" t="s">
        <v>31</v>
      </c>
      <c r="G350" s="37" t="s">
        <v>356</v>
      </c>
      <c r="H350" s="36" t="s">
        <v>357</v>
      </c>
      <c r="I350" s="36" t="s">
        <v>358</v>
      </c>
      <c r="J350" s="36">
        <v>1</v>
      </c>
      <c r="K350" s="36" t="s">
        <v>359</v>
      </c>
      <c r="L350" s="36">
        <v>4</v>
      </c>
      <c r="M350" s="36">
        <v>12</v>
      </c>
      <c r="N350" s="38">
        <v>2750000</v>
      </c>
      <c r="O350" s="41">
        <v>2750000</v>
      </c>
      <c r="P350" s="36">
        <v>12</v>
      </c>
      <c r="Q350" s="36" t="s">
        <v>318</v>
      </c>
      <c r="R350" s="36" t="s">
        <v>360</v>
      </c>
      <c r="S350" s="36" t="s">
        <v>361</v>
      </c>
      <c r="T350" s="36" t="s">
        <v>362</v>
      </c>
      <c r="U350" s="36" t="s">
        <v>363</v>
      </c>
      <c r="V350" s="40">
        <v>45870</v>
      </c>
      <c r="W350" s="40">
        <v>45889</v>
      </c>
      <c r="X350" s="36">
        <v>2</v>
      </c>
      <c r="Y350" s="36" t="s">
        <v>364</v>
      </c>
      <c r="Z350" s="36">
        <v>1</v>
      </c>
      <c r="AA350" s="36">
        <v>2750000</v>
      </c>
      <c r="AB350" s="40">
        <v>46204</v>
      </c>
      <c r="AC350" s="36" t="s">
        <v>2196</v>
      </c>
      <c r="AD350" s="36" t="str">
        <f>VLOOKUP(D350,Oficial!A:C,3,0)</f>
        <v>Arrastre</v>
      </c>
    </row>
    <row r="351" spans="1:30" x14ac:dyDescent="0.25">
      <c r="A351" s="36" t="s">
        <v>27</v>
      </c>
      <c r="B351" s="36" t="s">
        <v>355</v>
      </c>
      <c r="C351" s="36" t="s">
        <v>28</v>
      </c>
      <c r="D351" s="36" t="s">
        <v>355</v>
      </c>
      <c r="E351" s="36" t="s">
        <v>30</v>
      </c>
      <c r="F351" s="36" t="s">
        <v>31</v>
      </c>
      <c r="G351" s="37" t="s">
        <v>356</v>
      </c>
      <c r="H351" s="36" t="s">
        <v>357</v>
      </c>
      <c r="I351" s="36" t="s">
        <v>358</v>
      </c>
      <c r="J351" s="36">
        <v>1</v>
      </c>
      <c r="K351" s="36" t="s">
        <v>359</v>
      </c>
      <c r="L351" s="36">
        <v>4</v>
      </c>
      <c r="M351" s="36">
        <v>12</v>
      </c>
      <c r="N351" s="38">
        <v>2750000</v>
      </c>
      <c r="O351" s="41">
        <v>2750000</v>
      </c>
      <c r="P351" s="36">
        <v>12</v>
      </c>
      <c r="Q351" s="36" t="s">
        <v>318</v>
      </c>
      <c r="R351" s="36" t="s">
        <v>360</v>
      </c>
      <c r="S351" s="36" t="s">
        <v>361</v>
      </c>
      <c r="T351" s="36" t="s">
        <v>362</v>
      </c>
      <c r="U351" s="36" t="s">
        <v>363</v>
      </c>
      <c r="V351" s="40">
        <v>45870</v>
      </c>
      <c r="W351" s="40">
        <v>45889</v>
      </c>
      <c r="X351" s="36">
        <v>2</v>
      </c>
      <c r="Y351" s="36" t="s">
        <v>364</v>
      </c>
      <c r="Z351" s="36">
        <v>1</v>
      </c>
      <c r="AA351" s="36">
        <v>2750000</v>
      </c>
      <c r="AB351" s="40">
        <v>46143</v>
      </c>
      <c r="AC351" s="36" t="s">
        <v>2196</v>
      </c>
      <c r="AD351" s="36" t="str">
        <f>VLOOKUP(D351,Oficial!A:C,3,0)</f>
        <v>Arrastre</v>
      </c>
    </row>
    <row r="352" spans="1:30" x14ac:dyDescent="0.25">
      <c r="A352" s="36" t="s">
        <v>27</v>
      </c>
      <c r="B352" s="36" t="s">
        <v>355</v>
      </c>
      <c r="C352" s="36" t="s">
        <v>28</v>
      </c>
      <c r="D352" s="36" t="s">
        <v>355</v>
      </c>
      <c r="E352" s="36" t="s">
        <v>30</v>
      </c>
      <c r="F352" s="36" t="s">
        <v>31</v>
      </c>
      <c r="G352" s="37" t="s">
        <v>356</v>
      </c>
      <c r="H352" s="36" t="s">
        <v>357</v>
      </c>
      <c r="I352" s="36" t="s">
        <v>358</v>
      </c>
      <c r="J352" s="36">
        <v>1</v>
      </c>
      <c r="K352" s="36" t="s">
        <v>359</v>
      </c>
      <c r="L352" s="36">
        <v>4</v>
      </c>
      <c r="M352" s="36">
        <v>12</v>
      </c>
      <c r="N352" s="38">
        <v>2750000</v>
      </c>
      <c r="O352" s="41">
        <v>2750000</v>
      </c>
      <c r="P352" s="36">
        <v>12</v>
      </c>
      <c r="Q352" s="36" t="s">
        <v>318</v>
      </c>
      <c r="R352" s="36" t="s">
        <v>360</v>
      </c>
      <c r="S352" s="36" t="s">
        <v>361</v>
      </c>
      <c r="T352" s="36" t="s">
        <v>362</v>
      </c>
      <c r="U352" s="36" t="s">
        <v>363</v>
      </c>
      <c r="V352" s="40">
        <v>45870</v>
      </c>
      <c r="W352" s="40">
        <v>45889</v>
      </c>
      <c r="X352" s="36">
        <v>2</v>
      </c>
      <c r="Y352" s="36" t="s">
        <v>365</v>
      </c>
      <c r="Z352" s="36">
        <v>1</v>
      </c>
      <c r="AA352" s="36">
        <v>2750000</v>
      </c>
      <c r="AB352" s="40">
        <v>46357</v>
      </c>
      <c r="AC352" s="36" t="s">
        <v>2196</v>
      </c>
      <c r="AD352" s="36" t="str">
        <f>VLOOKUP(D352,Oficial!A:C,3,0)</f>
        <v>Arrastre</v>
      </c>
    </row>
    <row r="353" spans="1:30" x14ac:dyDescent="0.25">
      <c r="A353" s="36" t="s">
        <v>27</v>
      </c>
      <c r="B353" s="36" t="s">
        <v>355</v>
      </c>
      <c r="C353" s="36" t="s">
        <v>28</v>
      </c>
      <c r="D353" s="36" t="s">
        <v>355</v>
      </c>
      <c r="E353" s="36" t="s">
        <v>30</v>
      </c>
      <c r="F353" s="36" t="s">
        <v>31</v>
      </c>
      <c r="G353" s="37" t="s">
        <v>356</v>
      </c>
      <c r="H353" s="36" t="s">
        <v>357</v>
      </c>
      <c r="I353" s="36" t="s">
        <v>358</v>
      </c>
      <c r="J353" s="36">
        <v>1</v>
      </c>
      <c r="K353" s="36" t="s">
        <v>359</v>
      </c>
      <c r="L353" s="36">
        <v>4</v>
      </c>
      <c r="M353" s="36">
        <v>12</v>
      </c>
      <c r="N353" s="38">
        <v>2750000</v>
      </c>
      <c r="O353" s="41">
        <v>2750000</v>
      </c>
      <c r="P353" s="36">
        <v>12</v>
      </c>
      <c r="Q353" s="36" t="s">
        <v>318</v>
      </c>
      <c r="R353" s="36" t="s">
        <v>360</v>
      </c>
      <c r="S353" s="36" t="s">
        <v>361</v>
      </c>
      <c r="T353" s="36" t="s">
        <v>362</v>
      </c>
      <c r="U353" s="36" t="s">
        <v>363</v>
      </c>
      <c r="V353" s="40">
        <v>45870</v>
      </c>
      <c r="W353" s="40">
        <v>45889</v>
      </c>
      <c r="X353" s="36">
        <v>2</v>
      </c>
      <c r="Y353" s="36" t="s">
        <v>364</v>
      </c>
      <c r="Z353" s="36">
        <v>1</v>
      </c>
      <c r="AA353" s="36">
        <v>2750000</v>
      </c>
      <c r="AB353" s="40">
        <v>46235</v>
      </c>
      <c r="AC353" s="36" t="s">
        <v>2196</v>
      </c>
      <c r="AD353" s="36" t="str">
        <f>VLOOKUP(D353,Oficial!A:C,3,0)</f>
        <v>Arrastre</v>
      </c>
    </row>
    <row r="354" spans="1:30" x14ac:dyDescent="0.25">
      <c r="A354" s="36" t="s">
        <v>27</v>
      </c>
      <c r="B354" s="36" t="s">
        <v>355</v>
      </c>
      <c r="C354" s="36" t="s">
        <v>28</v>
      </c>
      <c r="D354" s="36" t="s">
        <v>355</v>
      </c>
      <c r="E354" s="36" t="s">
        <v>30</v>
      </c>
      <c r="F354" s="36" t="s">
        <v>31</v>
      </c>
      <c r="G354" s="37" t="s">
        <v>356</v>
      </c>
      <c r="H354" s="36" t="s">
        <v>357</v>
      </c>
      <c r="I354" s="36" t="s">
        <v>358</v>
      </c>
      <c r="J354" s="36">
        <v>1</v>
      </c>
      <c r="K354" s="36" t="s">
        <v>359</v>
      </c>
      <c r="L354" s="36">
        <v>4</v>
      </c>
      <c r="M354" s="36">
        <v>12</v>
      </c>
      <c r="N354" s="38">
        <v>2750000</v>
      </c>
      <c r="O354" s="41">
        <v>2750000</v>
      </c>
      <c r="P354" s="36">
        <v>12</v>
      </c>
      <c r="Q354" s="36" t="s">
        <v>318</v>
      </c>
      <c r="R354" s="36" t="s">
        <v>360</v>
      </c>
      <c r="S354" s="36" t="s">
        <v>361</v>
      </c>
      <c r="T354" s="36" t="s">
        <v>362</v>
      </c>
      <c r="U354" s="36" t="s">
        <v>363</v>
      </c>
      <c r="V354" s="40">
        <v>45870</v>
      </c>
      <c r="W354" s="40">
        <v>45889</v>
      </c>
      <c r="X354" s="36">
        <v>2</v>
      </c>
      <c r="Y354" s="36" t="s">
        <v>364</v>
      </c>
      <c r="Z354" s="36">
        <v>1</v>
      </c>
      <c r="AA354" s="36">
        <v>2750000</v>
      </c>
      <c r="AB354" s="40">
        <v>46082</v>
      </c>
      <c r="AC354" s="36" t="s">
        <v>2196</v>
      </c>
      <c r="AD354" s="36" t="str">
        <f>VLOOKUP(D354,Oficial!A:C,3,0)</f>
        <v>Arrastre</v>
      </c>
    </row>
    <row r="355" spans="1:30" x14ac:dyDescent="0.25">
      <c r="A355" s="36" t="s">
        <v>27</v>
      </c>
      <c r="B355" s="36" t="s">
        <v>355</v>
      </c>
      <c r="C355" s="36" t="s">
        <v>28</v>
      </c>
      <c r="D355" s="36" t="s">
        <v>355</v>
      </c>
      <c r="E355" s="36" t="s">
        <v>30</v>
      </c>
      <c r="F355" s="36" t="s">
        <v>31</v>
      </c>
      <c r="G355" s="37" t="s">
        <v>356</v>
      </c>
      <c r="H355" s="36" t="s">
        <v>357</v>
      </c>
      <c r="I355" s="36" t="s">
        <v>358</v>
      </c>
      <c r="J355" s="36">
        <v>1</v>
      </c>
      <c r="K355" s="36" t="s">
        <v>359</v>
      </c>
      <c r="L355" s="36">
        <v>4</v>
      </c>
      <c r="M355" s="36">
        <v>12</v>
      </c>
      <c r="N355" s="38">
        <v>2750000</v>
      </c>
      <c r="O355" s="41">
        <v>2750000</v>
      </c>
      <c r="P355" s="36">
        <v>12</v>
      </c>
      <c r="Q355" s="36" t="s">
        <v>318</v>
      </c>
      <c r="R355" s="36" t="s">
        <v>360</v>
      </c>
      <c r="S355" s="36" t="s">
        <v>361</v>
      </c>
      <c r="T355" s="36" t="s">
        <v>362</v>
      </c>
      <c r="U355" s="36" t="s">
        <v>363</v>
      </c>
      <c r="V355" s="40">
        <v>45870</v>
      </c>
      <c r="W355" s="40">
        <v>45889</v>
      </c>
      <c r="X355" s="36">
        <v>2</v>
      </c>
      <c r="Y355" s="36" t="s">
        <v>364</v>
      </c>
      <c r="Z355" s="36">
        <v>1</v>
      </c>
      <c r="AA355" s="36">
        <v>2750000</v>
      </c>
      <c r="AB355" s="40">
        <v>46357</v>
      </c>
      <c r="AC355" s="36" t="s">
        <v>2196</v>
      </c>
      <c r="AD355" s="36" t="str">
        <f>VLOOKUP(D355,Oficial!A:C,3,0)</f>
        <v>Arrastre</v>
      </c>
    </row>
    <row r="356" spans="1:30" x14ac:dyDescent="0.25">
      <c r="A356" s="36" t="s">
        <v>27</v>
      </c>
      <c r="B356" s="36" t="s">
        <v>355</v>
      </c>
      <c r="C356" s="36" t="s">
        <v>28</v>
      </c>
      <c r="D356" s="36" t="s">
        <v>355</v>
      </c>
      <c r="E356" s="36" t="s">
        <v>30</v>
      </c>
      <c r="F356" s="36" t="s">
        <v>31</v>
      </c>
      <c r="G356" s="37" t="s">
        <v>356</v>
      </c>
      <c r="H356" s="36" t="s">
        <v>357</v>
      </c>
      <c r="I356" s="36" t="s">
        <v>358</v>
      </c>
      <c r="J356" s="36">
        <v>1</v>
      </c>
      <c r="K356" s="36" t="s">
        <v>359</v>
      </c>
      <c r="L356" s="36">
        <v>4</v>
      </c>
      <c r="M356" s="36">
        <v>12</v>
      </c>
      <c r="N356" s="38">
        <v>2750000</v>
      </c>
      <c r="O356" s="41">
        <v>2750000</v>
      </c>
      <c r="P356" s="36">
        <v>12</v>
      </c>
      <c r="Q356" s="36" t="s">
        <v>318</v>
      </c>
      <c r="R356" s="36" t="s">
        <v>360</v>
      </c>
      <c r="S356" s="36" t="s">
        <v>361</v>
      </c>
      <c r="T356" s="36" t="s">
        <v>362</v>
      </c>
      <c r="U356" s="36" t="s">
        <v>363</v>
      </c>
      <c r="V356" s="40">
        <v>45870</v>
      </c>
      <c r="W356" s="40">
        <v>45889</v>
      </c>
      <c r="X356" s="36">
        <v>2</v>
      </c>
      <c r="Y356" s="36" t="s">
        <v>364</v>
      </c>
      <c r="Z356" s="36">
        <v>1</v>
      </c>
      <c r="AA356" s="36">
        <v>2750000</v>
      </c>
      <c r="AB356" s="40">
        <v>46296</v>
      </c>
      <c r="AC356" s="36" t="s">
        <v>2196</v>
      </c>
      <c r="AD356" s="36" t="str">
        <f>VLOOKUP(D356,Oficial!A:C,3,0)</f>
        <v>Arrastre</v>
      </c>
    </row>
    <row r="357" spans="1:30" x14ac:dyDescent="0.25">
      <c r="A357" s="36" t="s">
        <v>27</v>
      </c>
      <c r="B357" s="36" t="s">
        <v>355</v>
      </c>
      <c r="C357" s="36" t="s">
        <v>28</v>
      </c>
      <c r="D357" s="36" t="s">
        <v>355</v>
      </c>
      <c r="E357" s="36" t="s">
        <v>30</v>
      </c>
      <c r="F357" s="36" t="s">
        <v>31</v>
      </c>
      <c r="G357" s="37" t="s">
        <v>356</v>
      </c>
      <c r="H357" s="36" t="s">
        <v>357</v>
      </c>
      <c r="I357" s="36" t="s">
        <v>358</v>
      </c>
      <c r="J357" s="36">
        <v>1</v>
      </c>
      <c r="K357" s="36" t="s">
        <v>359</v>
      </c>
      <c r="L357" s="36">
        <v>4</v>
      </c>
      <c r="M357" s="36">
        <v>12</v>
      </c>
      <c r="N357" s="38">
        <v>2750000</v>
      </c>
      <c r="O357" s="41">
        <v>2750000</v>
      </c>
      <c r="P357" s="36">
        <v>12</v>
      </c>
      <c r="Q357" s="36" t="s">
        <v>318</v>
      </c>
      <c r="R357" s="36" t="s">
        <v>360</v>
      </c>
      <c r="S357" s="36" t="s">
        <v>361</v>
      </c>
      <c r="T357" s="36" t="s">
        <v>362</v>
      </c>
      <c r="U357" s="36" t="s">
        <v>363</v>
      </c>
      <c r="V357" s="40">
        <v>45870</v>
      </c>
      <c r="W357" s="40">
        <v>45889</v>
      </c>
      <c r="X357" s="36">
        <v>2</v>
      </c>
      <c r="Y357" s="36" t="s">
        <v>365</v>
      </c>
      <c r="Z357" s="36">
        <v>1</v>
      </c>
      <c r="AA357" s="36">
        <v>2750000</v>
      </c>
      <c r="AB357" s="40">
        <v>46054</v>
      </c>
      <c r="AC357" s="36" t="s">
        <v>2196</v>
      </c>
      <c r="AD357" s="36" t="str">
        <f>VLOOKUP(D357,Oficial!A:C,3,0)</f>
        <v>Arrastre</v>
      </c>
    </row>
    <row r="358" spans="1:30" x14ac:dyDescent="0.25">
      <c r="A358" s="36" t="s">
        <v>27</v>
      </c>
      <c r="B358" s="36" t="s">
        <v>355</v>
      </c>
      <c r="C358" s="36" t="s">
        <v>28</v>
      </c>
      <c r="D358" s="36" t="s">
        <v>355</v>
      </c>
      <c r="E358" s="36" t="s">
        <v>30</v>
      </c>
      <c r="F358" s="36" t="s">
        <v>31</v>
      </c>
      <c r="G358" s="37" t="s">
        <v>356</v>
      </c>
      <c r="H358" s="36" t="s">
        <v>357</v>
      </c>
      <c r="I358" s="36" t="s">
        <v>358</v>
      </c>
      <c r="J358" s="36">
        <v>1</v>
      </c>
      <c r="K358" s="36" t="s">
        <v>359</v>
      </c>
      <c r="L358" s="36">
        <v>4</v>
      </c>
      <c r="M358" s="36">
        <v>12</v>
      </c>
      <c r="N358" s="38">
        <v>2750000</v>
      </c>
      <c r="O358" s="41">
        <v>2750000</v>
      </c>
      <c r="P358" s="36">
        <v>12</v>
      </c>
      <c r="Q358" s="36" t="s">
        <v>318</v>
      </c>
      <c r="R358" s="36" t="s">
        <v>360</v>
      </c>
      <c r="S358" s="36" t="s">
        <v>361</v>
      </c>
      <c r="T358" s="36" t="s">
        <v>362</v>
      </c>
      <c r="U358" s="36" t="s">
        <v>363</v>
      </c>
      <c r="V358" s="40">
        <v>45870</v>
      </c>
      <c r="W358" s="40">
        <v>45889</v>
      </c>
      <c r="X358" s="36">
        <v>2</v>
      </c>
      <c r="Y358" s="36" t="s">
        <v>364</v>
      </c>
      <c r="Z358" s="36">
        <v>1</v>
      </c>
      <c r="AA358" s="36">
        <v>2750000</v>
      </c>
      <c r="AB358" s="40">
        <v>46266</v>
      </c>
      <c r="AC358" s="36" t="s">
        <v>2196</v>
      </c>
      <c r="AD358" s="36" t="str">
        <f>VLOOKUP(D358,Oficial!A:C,3,0)</f>
        <v>Arrastre</v>
      </c>
    </row>
    <row r="359" spans="1:30" x14ac:dyDescent="0.25">
      <c r="A359" s="36" t="s">
        <v>27</v>
      </c>
      <c r="B359" s="36" t="s">
        <v>366</v>
      </c>
      <c r="C359" s="36" t="s">
        <v>28</v>
      </c>
      <c r="D359" s="36" t="s">
        <v>366</v>
      </c>
      <c r="E359" s="36" t="s">
        <v>30</v>
      </c>
      <c r="F359" s="36" t="s">
        <v>31</v>
      </c>
      <c r="G359" s="37" t="s">
        <v>367</v>
      </c>
      <c r="H359" s="36" t="s">
        <v>368</v>
      </c>
      <c r="I359" s="36" t="s">
        <v>369</v>
      </c>
      <c r="J359" s="36">
        <v>1</v>
      </c>
      <c r="K359" s="36" t="s">
        <v>370</v>
      </c>
      <c r="L359" s="36">
        <v>4</v>
      </c>
      <c r="M359" s="36">
        <v>1</v>
      </c>
      <c r="N359" s="38">
        <v>80000000</v>
      </c>
      <c r="O359" s="46">
        <v>6666300</v>
      </c>
      <c r="P359" s="36">
        <v>12</v>
      </c>
      <c r="Q359" s="36" t="s">
        <v>371</v>
      </c>
      <c r="R359" s="36" t="s">
        <v>341</v>
      </c>
      <c r="S359" s="36" t="s">
        <v>372</v>
      </c>
      <c r="T359" s="36" t="s">
        <v>343</v>
      </c>
      <c r="U359" s="36" t="s">
        <v>344</v>
      </c>
      <c r="V359" s="40">
        <v>45870</v>
      </c>
      <c r="W359" s="40">
        <v>45889</v>
      </c>
      <c r="X359" s="36">
        <v>1</v>
      </c>
      <c r="Y359" s="36" t="s">
        <v>373</v>
      </c>
      <c r="Z359" s="36">
        <v>1</v>
      </c>
      <c r="AA359" s="36">
        <v>6666300</v>
      </c>
      <c r="AB359" s="40">
        <v>46023</v>
      </c>
      <c r="AC359" s="36" t="s">
        <v>2196</v>
      </c>
      <c r="AD359" s="36" t="str">
        <f>VLOOKUP(D359,Oficial!A:C,3,0)</f>
        <v>Arrastre</v>
      </c>
    </row>
    <row r="360" spans="1:30" x14ac:dyDescent="0.25">
      <c r="A360" s="36" t="s">
        <v>27</v>
      </c>
      <c r="B360" s="36" t="s">
        <v>366</v>
      </c>
      <c r="C360" s="36" t="s">
        <v>28</v>
      </c>
      <c r="D360" s="36" t="s">
        <v>366</v>
      </c>
      <c r="E360" s="36" t="s">
        <v>30</v>
      </c>
      <c r="F360" s="36" t="s">
        <v>31</v>
      </c>
      <c r="G360" s="37" t="s">
        <v>367</v>
      </c>
      <c r="H360" s="36" t="s">
        <v>368</v>
      </c>
      <c r="I360" s="36" t="s">
        <v>369</v>
      </c>
      <c r="J360" s="36">
        <v>1</v>
      </c>
      <c r="K360" s="36" t="s">
        <v>370</v>
      </c>
      <c r="L360" s="36">
        <v>4</v>
      </c>
      <c r="M360" s="36">
        <v>1</v>
      </c>
      <c r="N360" s="38">
        <v>80000000</v>
      </c>
      <c r="O360" s="46">
        <v>6666700</v>
      </c>
      <c r="P360" s="36">
        <v>12</v>
      </c>
      <c r="Q360" s="36" t="s">
        <v>371</v>
      </c>
      <c r="R360" s="36" t="s">
        <v>341</v>
      </c>
      <c r="S360" s="36" t="s">
        <v>372</v>
      </c>
      <c r="T360" s="36" t="s">
        <v>343</v>
      </c>
      <c r="U360" s="36" t="s">
        <v>344</v>
      </c>
      <c r="V360" s="40">
        <v>45870</v>
      </c>
      <c r="W360" s="40">
        <v>45889</v>
      </c>
      <c r="X360" s="36">
        <v>1</v>
      </c>
      <c r="Y360" s="36" t="s">
        <v>373</v>
      </c>
      <c r="Z360" s="36">
        <v>1</v>
      </c>
      <c r="AA360" s="36">
        <v>6666700</v>
      </c>
      <c r="AB360" s="40">
        <v>46082</v>
      </c>
      <c r="AC360" s="36" t="s">
        <v>2196</v>
      </c>
      <c r="AD360" s="36" t="str">
        <f>VLOOKUP(D360,Oficial!A:C,3,0)</f>
        <v>Arrastre</v>
      </c>
    </row>
    <row r="361" spans="1:30" x14ac:dyDescent="0.25">
      <c r="A361" s="36" t="s">
        <v>27</v>
      </c>
      <c r="B361" s="36" t="s">
        <v>366</v>
      </c>
      <c r="C361" s="36" t="s">
        <v>28</v>
      </c>
      <c r="D361" s="36" t="s">
        <v>366</v>
      </c>
      <c r="E361" s="36" t="s">
        <v>30</v>
      </c>
      <c r="F361" s="36" t="s">
        <v>31</v>
      </c>
      <c r="G361" s="37" t="s">
        <v>367</v>
      </c>
      <c r="H361" s="36" t="s">
        <v>368</v>
      </c>
      <c r="I361" s="36" t="s">
        <v>369</v>
      </c>
      <c r="J361" s="36">
        <v>1</v>
      </c>
      <c r="K361" s="36" t="s">
        <v>370</v>
      </c>
      <c r="L361" s="36">
        <v>4</v>
      </c>
      <c r="M361" s="36">
        <v>1</v>
      </c>
      <c r="N361" s="38">
        <v>80000000</v>
      </c>
      <c r="O361" s="46">
        <v>6666700</v>
      </c>
      <c r="P361" s="36">
        <v>12</v>
      </c>
      <c r="Q361" s="36" t="s">
        <v>371</v>
      </c>
      <c r="R361" s="36" t="s">
        <v>341</v>
      </c>
      <c r="S361" s="36" t="s">
        <v>372</v>
      </c>
      <c r="T361" s="36" t="s">
        <v>343</v>
      </c>
      <c r="U361" s="36" t="s">
        <v>344</v>
      </c>
      <c r="V361" s="40">
        <v>45870</v>
      </c>
      <c r="W361" s="40">
        <v>45889</v>
      </c>
      <c r="X361" s="36">
        <v>1</v>
      </c>
      <c r="Y361" s="36" t="s">
        <v>373</v>
      </c>
      <c r="Z361" s="36">
        <v>1</v>
      </c>
      <c r="AA361" s="36">
        <v>6666700</v>
      </c>
      <c r="AB361" s="40">
        <v>46204</v>
      </c>
      <c r="AC361" s="36" t="s">
        <v>2196</v>
      </c>
      <c r="AD361" s="36" t="str">
        <f>VLOOKUP(D361,Oficial!A:C,3,0)</f>
        <v>Arrastre</v>
      </c>
    </row>
    <row r="362" spans="1:30" x14ac:dyDescent="0.25">
      <c r="A362" s="36" t="s">
        <v>27</v>
      </c>
      <c r="B362" s="36" t="s">
        <v>366</v>
      </c>
      <c r="C362" s="36" t="s">
        <v>28</v>
      </c>
      <c r="D362" s="36" t="s">
        <v>366</v>
      </c>
      <c r="E362" s="36" t="s">
        <v>30</v>
      </c>
      <c r="F362" s="36" t="s">
        <v>31</v>
      </c>
      <c r="G362" s="37" t="s">
        <v>367</v>
      </c>
      <c r="H362" s="36" t="s">
        <v>368</v>
      </c>
      <c r="I362" s="36" t="s">
        <v>369</v>
      </c>
      <c r="J362" s="36">
        <v>1</v>
      </c>
      <c r="K362" s="36" t="s">
        <v>370</v>
      </c>
      <c r="L362" s="36">
        <v>4</v>
      </c>
      <c r="M362" s="36">
        <v>1</v>
      </c>
      <c r="N362" s="38">
        <v>80000000</v>
      </c>
      <c r="O362" s="46">
        <v>6666700</v>
      </c>
      <c r="P362" s="36">
        <v>12</v>
      </c>
      <c r="Q362" s="36" t="s">
        <v>371</v>
      </c>
      <c r="R362" s="36" t="s">
        <v>341</v>
      </c>
      <c r="S362" s="36" t="s">
        <v>372</v>
      </c>
      <c r="T362" s="36" t="s">
        <v>343</v>
      </c>
      <c r="U362" s="36" t="s">
        <v>344</v>
      </c>
      <c r="V362" s="40">
        <v>45870</v>
      </c>
      <c r="W362" s="40">
        <v>45889</v>
      </c>
      <c r="X362" s="36">
        <v>1</v>
      </c>
      <c r="Y362" s="36" t="s">
        <v>373</v>
      </c>
      <c r="Z362" s="36">
        <v>1</v>
      </c>
      <c r="AA362" s="36">
        <v>6666700</v>
      </c>
      <c r="AB362" s="40">
        <v>46327</v>
      </c>
      <c r="AC362" s="36" t="s">
        <v>2196</v>
      </c>
      <c r="AD362" s="36" t="str">
        <f>VLOOKUP(D362,Oficial!A:C,3,0)</f>
        <v>Arrastre</v>
      </c>
    </row>
    <row r="363" spans="1:30" x14ac:dyDescent="0.25">
      <c r="A363" s="36" t="s">
        <v>27</v>
      </c>
      <c r="B363" s="36" t="s">
        <v>366</v>
      </c>
      <c r="C363" s="36" t="s">
        <v>28</v>
      </c>
      <c r="D363" s="36" t="s">
        <v>366</v>
      </c>
      <c r="E363" s="36" t="s">
        <v>30</v>
      </c>
      <c r="F363" s="36" t="s">
        <v>31</v>
      </c>
      <c r="G363" s="37" t="s">
        <v>367</v>
      </c>
      <c r="H363" s="36" t="s">
        <v>368</v>
      </c>
      <c r="I363" s="36" t="s">
        <v>369</v>
      </c>
      <c r="J363" s="36">
        <v>1</v>
      </c>
      <c r="K363" s="36" t="s">
        <v>370</v>
      </c>
      <c r="L363" s="36">
        <v>4</v>
      </c>
      <c r="M363" s="36">
        <v>1</v>
      </c>
      <c r="N363" s="38">
        <v>80000000</v>
      </c>
      <c r="O363" s="46">
        <v>6666700</v>
      </c>
      <c r="P363" s="36">
        <v>12</v>
      </c>
      <c r="Q363" s="36" t="s">
        <v>371</v>
      </c>
      <c r="R363" s="36" t="s">
        <v>341</v>
      </c>
      <c r="S363" s="36" t="s">
        <v>372</v>
      </c>
      <c r="T363" s="36" t="s">
        <v>343</v>
      </c>
      <c r="U363" s="36" t="s">
        <v>344</v>
      </c>
      <c r="V363" s="40">
        <v>45870</v>
      </c>
      <c r="W363" s="40">
        <v>45889</v>
      </c>
      <c r="X363" s="36">
        <v>1</v>
      </c>
      <c r="Y363" s="36" t="s">
        <v>373</v>
      </c>
      <c r="Z363" s="36">
        <v>1</v>
      </c>
      <c r="AA363" s="36">
        <v>6666700</v>
      </c>
      <c r="AB363" s="40">
        <v>46143</v>
      </c>
      <c r="AC363" s="36" t="s">
        <v>2196</v>
      </c>
      <c r="AD363" s="36" t="str">
        <f>VLOOKUP(D363,Oficial!A:C,3,0)</f>
        <v>Arrastre</v>
      </c>
    </row>
    <row r="364" spans="1:30" x14ac:dyDescent="0.25">
      <c r="A364" s="36" t="s">
        <v>27</v>
      </c>
      <c r="B364" s="36" t="s">
        <v>366</v>
      </c>
      <c r="C364" s="36" t="s">
        <v>28</v>
      </c>
      <c r="D364" s="36" t="s">
        <v>366</v>
      </c>
      <c r="E364" s="36" t="s">
        <v>30</v>
      </c>
      <c r="F364" s="36" t="s">
        <v>31</v>
      </c>
      <c r="G364" s="37" t="s">
        <v>367</v>
      </c>
      <c r="H364" s="36" t="s">
        <v>368</v>
      </c>
      <c r="I364" s="36" t="s">
        <v>369</v>
      </c>
      <c r="J364" s="36">
        <v>1</v>
      </c>
      <c r="K364" s="36" t="s">
        <v>370</v>
      </c>
      <c r="L364" s="36">
        <v>4</v>
      </c>
      <c r="M364" s="36">
        <v>1</v>
      </c>
      <c r="N364" s="38">
        <v>80000000</v>
      </c>
      <c r="O364" s="46">
        <v>6666700</v>
      </c>
      <c r="P364" s="36">
        <v>12</v>
      </c>
      <c r="Q364" s="36" t="s">
        <v>371</v>
      </c>
      <c r="R364" s="36" t="s">
        <v>341</v>
      </c>
      <c r="S364" s="36" t="s">
        <v>372</v>
      </c>
      <c r="T364" s="36" t="s">
        <v>343</v>
      </c>
      <c r="U364" s="36" t="s">
        <v>344</v>
      </c>
      <c r="V364" s="40">
        <v>45870</v>
      </c>
      <c r="W364" s="40">
        <v>45889</v>
      </c>
      <c r="X364" s="36">
        <v>1</v>
      </c>
      <c r="Y364" s="36" t="s">
        <v>373</v>
      </c>
      <c r="Z364" s="36">
        <v>1</v>
      </c>
      <c r="AA364" s="36">
        <v>6666700</v>
      </c>
      <c r="AB364" s="40">
        <v>46235</v>
      </c>
      <c r="AC364" s="36" t="s">
        <v>2196</v>
      </c>
      <c r="AD364" s="36" t="str">
        <f>VLOOKUP(D364,Oficial!A:C,3,0)</f>
        <v>Arrastre</v>
      </c>
    </row>
    <row r="365" spans="1:30" x14ac:dyDescent="0.25">
      <c r="A365" s="36" t="s">
        <v>27</v>
      </c>
      <c r="B365" s="36" t="s">
        <v>366</v>
      </c>
      <c r="C365" s="36" t="s">
        <v>28</v>
      </c>
      <c r="D365" s="36" t="s">
        <v>366</v>
      </c>
      <c r="E365" s="36" t="s">
        <v>30</v>
      </c>
      <c r="F365" s="36" t="s">
        <v>31</v>
      </c>
      <c r="G365" s="37" t="s">
        <v>367</v>
      </c>
      <c r="H365" s="36" t="s">
        <v>368</v>
      </c>
      <c r="I365" s="36" t="s">
        <v>369</v>
      </c>
      <c r="J365" s="36">
        <v>1</v>
      </c>
      <c r="K365" s="36" t="s">
        <v>370</v>
      </c>
      <c r="L365" s="36">
        <v>4</v>
      </c>
      <c r="M365" s="36">
        <v>1</v>
      </c>
      <c r="N365" s="38">
        <v>80000000</v>
      </c>
      <c r="O365" s="46">
        <v>6666700</v>
      </c>
      <c r="P365" s="36">
        <v>12</v>
      </c>
      <c r="Q365" s="36" t="s">
        <v>371</v>
      </c>
      <c r="R365" s="36" t="s">
        <v>341</v>
      </c>
      <c r="S365" s="36" t="s">
        <v>372</v>
      </c>
      <c r="T365" s="36" t="s">
        <v>343</v>
      </c>
      <c r="U365" s="36" t="s">
        <v>344</v>
      </c>
      <c r="V365" s="40">
        <v>45870</v>
      </c>
      <c r="W365" s="40">
        <v>45889</v>
      </c>
      <c r="X365" s="36">
        <v>1</v>
      </c>
      <c r="Y365" s="36" t="s">
        <v>373</v>
      </c>
      <c r="Z365" s="36">
        <v>1</v>
      </c>
      <c r="AA365" s="36">
        <v>6666700</v>
      </c>
      <c r="AB365" s="40">
        <v>46113</v>
      </c>
      <c r="AC365" s="36" t="s">
        <v>2196</v>
      </c>
      <c r="AD365" s="36" t="str">
        <f>VLOOKUP(D365,Oficial!A:C,3,0)</f>
        <v>Arrastre</v>
      </c>
    </row>
    <row r="366" spans="1:30" x14ac:dyDescent="0.25">
      <c r="A366" s="36" t="s">
        <v>27</v>
      </c>
      <c r="B366" s="36" t="s">
        <v>366</v>
      </c>
      <c r="C366" s="36" t="s">
        <v>28</v>
      </c>
      <c r="D366" s="36" t="s">
        <v>366</v>
      </c>
      <c r="E366" s="36" t="s">
        <v>30</v>
      </c>
      <c r="F366" s="36" t="s">
        <v>31</v>
      </c>
      <c r="G366" s="37" t="s">
        <v>367</v>
      </c>
      <c r="H366" s="36" t="s">
        <v>368</v>
      </c>
      <c r="I366" s="36" t="s">
        <v>369</v>
      </c>
      <c r="J366" s="36">
        <v>1</v>
      </c>
      <c r="K366" s="36" t="s">
        <v>370</v>
      </c>
      <c r="L366" s="36">
        <v>4</v>
      </c>
      <c r="M366" s="36">
        <v>1</v>
      </c>
      <c r="N366" s="38">
        <v>80000000</v>
      </c>
      <c r="O366" s="46">
        <v>6666700</v>
      </c>
      <c r="P366" s="36">
        <v>12</v>
      </c>
      <c r="Q366" s="36" t="s">
        <v>371</v>
      </c>
      <c r="R366" s="36" t="s">
        <v>341</v>
      </c>
      <c r="S366" s="36" t="s">
        <v>372</v>
      </c>
      <c r="T366" s="36" t="s">
        <v>343</v>
      </c>
      <c r="U366" s="36" t="s">
        <v>344</v>
      </c>
      <c r="V366" s="40">
        <v>45870</v>
      </c>
      <c r="W366" s="40">
        <v>45889</v>
      </c>
      <c r="X366" s="36">
        <v>1</v>
      </c>
      <c r="Y366" s="36" t="s">
        <v>373</v>
      </c>
      <c r="Z366" s="36">
        <v>1</v>
      </c>
      <c r="AA366" s="36">
        <v>6666700</v>
      </c>
      <c r="AB366" s="40">
        <v>46054</v>
      </c>
      <c r="AC366" s="36" t="s">
        <v>2196</v>
      </c>
      <c r="AD366" s="36" t="str">
        <f>VLOOKUP(D366,Oficial!A:C,3,0)</f>
        <v>Arrastre</v>
      </c>
    </row>
    <row r="367" spans="1:30" x14ac:dyDescent="0.25">
      <c r="A367" s="36" t="s">
        <v>27</v>
      </c>
      <c r="B367" s="36" t="s">
        <v>366</v>
      </c>
      <c r="C367" s="36" t="s">
        <v>28</v>
      </c>
      <c r="D367" s="36" t="s">
        <v>366</v>
      </c>
      <c r="E367" s="36" t="s">
        <v>30</v>
      </c>
      <c r="F367" s="36" t="s">
        <v>31</v>
      </c>
      <c r="G367" s="37" t="s">
        <v>367</v>
      </c>
      <c r="H367" s="36" t="s">
        <v>368</v>
      </c>
      <c r="I367" s="36" t="s">
        <v>369</v>
      </c>
      <c r="J367" s="36">
        <v>1</v>
      </c>
      <c r="K367" s="36" t="s">
        <v>370</v>
      </c>
      <c r="L367" s="36">
        <v>4</v>
      </c>
      <c r="M367" s="36">
        <v>1</v>
      </c>
      <c r="N367" s="38">
        <v>80000000</v>
      </c>
      <c r="O367" s="46">
        <v>6666700</v>
      </c>
      <c r="P367" s="36">
        <v>12</v>
      </c>
      <c r="Q367" s="36" t="s">
        <v>371</v>
      </c>
      <c r="R367" s="36" t="s">
        <v>341</v>
      </c>
      <c r="S367" s="36" t="s">
        <v>372</v>
      </c>
      <c r="T367" s="36" t="s">
        <v>343</v>
      </c>
      <c r="U367" s="36" t="s">
        <v>344</v>
      </c>
      <c r="V367" s="40">
        <v>45870</v>
      </c>
      <c r="W367" s="40">
        <v>45889</v>
      </c>
      <c r="X367" s="36">
        <v>1</v>
      </c>
      <c r="Y367" s="36" t="s">
        <v>373</v>
      </c>
      <c r="Z367" s="36">
        <v>1</v>
      </c>
      <c r="AA367" s="36">
        <v>6666700</v>
      </c>
      <c r="AB367" s="40">
        <v>46174</v>
      </c>
      <c r="AC367" s="36" t="s">
        <v>2196</v>
      </c>
      <c r="AD367" s="36" t="str">
        <f>VLOOKUP(D367,Oficial!A:C,3,0)</f>
        <v>Arrastre</v>
      </c>
    </row>
    <row r="368" spans="1:30" x14ac:dyDescent="0.25">
      <c r="A368" s="36" t="s">
        <v>27</v>
      </c>
      <c r="B368" s="36" t="s">
        <v>366</v>
      </c>
      <c r="C368" s="36" t="s">
        <v>28</v>
      </c>
      <c r="D368" s="36" t="s">
        <v>366</v>
      </c>
      <c r="E368" s="36" t="s">
        <v>30</v>
      </c>
      <c r="F368" s="36" t="s">
        <v>31</v>
      </c>
      <c r="G368" s="37" t="s">
        <v>367</v>
      </c>
      <c r="H368" s="36" t="s">
        <v>368</v>
      </c>
      <c r="I368" s="36" t="s">
        <v>369</v>
      </c>
      <c r="J368" s="36">
        <v>1</v>
      </c>
      <c r="K368" s="36" t="s">
        <v>370</v>
      </c>
      <c r="L368" s="36">
        <v>4</v>
      </c>
      <c r="M368" s="36">
        <v>1</v>
      </c>
      <c r="N368" s="38">
        <v>80000000</v>
      </c>
      <c r="O368" s="46">
        <v>6666700</v>
      </c>
      <c r="P368" s="36">
        <v>12</v>
      </c>
      <c r="Q368" s="36" t="s">
        <v>371</v>
      </c>
      <c r="R368" s="36" t="s">
        <v>341</v>
      </c>
      <c r="S368" s="36" t="s">
        <v>372</v>
      </c>
      <c r="T368" s="36" t="s">
        <v>343</v>
      </c>
      <c r="U368" s="36" t="s">
        <v>344</v>
      </c>
      <c r="V368" s="40">
        <v>45870</v>
      </c>
      <c r="W368" s="40">
        <v>45889</v>
      </c>
      <c r="X368" s="36">
        <v>1</v>
      </c>
      <c r="Y368" s="36" t="s">
        <v>373</v>
      </c>
      <c r="Z368" s="36">
        <v>1</v>
      </c>
      <c r="AA368" s="36">
        <v>6666700</v>
      </c>
      <c r="AB368" s="40">
        <v>46357</v>
      </c>
      <c r="AC368" s="36" t="s">
        <v>2196</v>
      </c>
      <c r="AD368" s="36" t="str">
        <f>VLOOKUP(D368,Oficial!A:C,3,0)</f>
        <v>Arrastre</v>
      </c>
    </row>
    <row r="369" spans="1:30" x14ac:dyDescent="0.25">
      <c r="A369" s="36" t="s">
        <v>27</v>
      </c>
      <c r="B369" s="36" t="s">
        <v>366</v>
      </c>
      <c r="C369" s="36" t="s">
        <v>28</v>
      </c>
      <c r="D369" s="36" t="s">
        <v>366</v>
      </c>
      <c r="E369" s="36" t="s">
        <v>30</v>
      </c>
      <c r="F369" s="36" t="s">
        <v>31</v>
      </c>
      <c r="G369" s="37" t="s">
        <v>367</v>
      </c>
      <c r="H369" s="36" t="s">
        <v>368</v>
      </c>
      <c r="I369" s="36" t="s">
        <v>369</v>
      </c>
      <c r="J369" s="36">
        <v>1</v>
      </c>
      <c r="K369" s="36" t="s">
        <v>370</v>
      </c>
      <c r="L369" s="36">
        <v>4</v>
      </c>
      <c r="M369" s="36">
        <v>1</v>
      </c>
      <c r="N369" s="38">
        <v>80000000</v>
      </c>
      <c r="O369" s="46">
        <v>6666700</v>
      </c>
      <c r="P369" s="36">
        <v>12</v>
      </c>
      <c r="Q369" s="36" t="s">
        <v>371</v>
      </c>
      <c r="R369" s="36" t="s">
        <v>341</v>
      </c>
      <c r="S369" s="36" t="s">
        <v>372</v>
      </c>
      <c r="T369" s="36" t="s">
        <v>343</v>
      </c>
      <c r="U369" s="36" t="s">
        <v>344</v>
      </c>
      <c r="V369" s="40">
        <v>45870</v>
      </c>
      <c r="W369" s="40">
        <v>45889</v>
      </c>
      <c r="X369" s="36">
        <v>1</v>
      </c>
      <c r="Y369" s="36" t="s">
        <v>373</v>
      </c>
      <c r="Z369" s="36">
        <v>1</v>
      </c>
      <c r="AA369" s="36">
        <v>6666700</v>
      </c>
      <c r="AB369" s="40">
        <v>46266</v>
      </c>
      <c r="AC369" s="36" t="s">
        <v>2196</v>
      </c>
      <c r="AD369" s="36" t="str">
        <f>VLOOKUP(D369,Oficial!A:C,3,0)</f>
        <v>Arrastre</v>
      </c>
    </row>
    <row r="370" spans="1:30" x14ac:dyDescent="0.25">
      <c r="A370" s="36" t="s">
        <v>27</v>
      </c>
      <c r="B370" s="36" t="s">
        <v>366</v>
      </c>
      <c r="C370" s="36" t="s">
        <v>28</v>
      </c>
      <c r="D370" s="36" t="s">
        <v>366</v>
      </c>
      <c r="E370" s="36" t="s">
        <v>30</v>
      </c>
      <c r="F370" s="36" t="s">
        <v>31</v>
      </c>
      <c r="G370" s="37" t="s">
        <v>367</v>
      </c>
      <c r="H370" s="36" t="s">
        <v>368</v>
      </c>
      <c r="I370" s="36" t="s">
        <v>369</v>
      </c>
      <c r="J370" s="36">
        <v>1</v>
      </c>
      <c r="K370" s="36" t="s">
        <v>370</v>
      </c>
      <c r="L370" s="36">
        <v>4</v>
      </c>
      <c r="M370" s="36">
        <v>1</v>
      </c>
      <c r="N370" s="38">
        <v>80000000</v>
      </c>
      <c r="O370" s="46">
        <v>6666700</v>
      </c>
      <c r="P370" s="36">
        <v>12</v>
      </c>
      <c r="Q370" s="36" t="s">
        <v>371</v>
      </c>
      <c r="R370" s="36" t="s">
        <v>341</v>
      </c>
      <c r="S370" s="36" t="s">
        <v>372</v>
      </c>
      <c r="T370" s="36" t="s">
        <v>343</v>
      </c>
      <c r="U370" s="36" t="s">
        <v>344</v>
      </c>
      <c r="V370" s="40">
        <v>45870</v>
      </c>
      <c r="W370" s="40">
        <v>45889</v>
      </c>
      <c r="X370" s="36">
        <v>1</v>
      </c>
      <c r="Y370" s="36" t="s">
        <v>373</v>
      </c>
      <c r="Z370" s="36">
        <v>1</v>
      </c>
      <c r="AA370" s="36">
        <v>6666700</v>
      </c>
      <c r="AB370" s="40">
        <v>46296</v>
      </c>
      <c r="AC370" s="36" t="s">
        <v>2196</v>
      </c>
      <c r="AD370" s="36" t="str">
        <f>VLOOKUP(D370,Oficial!A:C,3,0)</f>
        <v>Arrastre</v>
      </c>
    </row>
    <row r="371" spans="1:30" x14ac:dyDescent="0.25">
      <c r="A371" s="36" t="s">
        <v>27</v>
      </c>
      <c r="B371" s="36" t="s">
        <v>375</v>
      </c>
      <c r="C371" s="36" t="s">
        <v>374</v>
      </c>
      <c r="D371" s="36" t="s">
        <v>375</v>
      </c>
      <c r="E371" s="36" t="s">
        <v>30</v>
      </c>
      <c r="F371" s="36" t="s">
        <v>31</v>
      </c>
      <c r="G371" s="37" t="s">
        <v>314</v>
      </c>
      <c r="H371" s="36" t="s">
        <v>376</v>
      </c>
      <c r="I371" s="36" t="s">
        <v>377</v>
      </c>
      <c r="J371" s="36">
        <v>1</v>
      </c>
      <c r="K371" s="36" t="s">
        <v>326</v>
      </c>
      <c r="L371" s="36">
        <v>4</v>
      </c>
      <c r="M371" s="36">
        <v>1</v>
      </c>
      <c r="N371" s="38">
        <v>19000000</v>
      </c>
      <c r="O371" s="41">
        <v>1583333</v>
      </c>
      <c r="P371" s="36">
        <v>12</v>
      </c>
      <c r="Q371" s="36" t="s">
        <v>318</v>
      </c>
      <c r="R371" s="36" t="s">
        <v>378</v>
      </c>
      <c r="S371" s="36" t="s">
        <v>379</v>
      </c>
      <c r="T371" s="36" t="s">
        <v>380</v>
      </c>
      <c r="U371" s="36" t="s">
        <v>381</v>
      </c>
      <c r="V371" s="40">
        <v>45839</v>
      </c>
      <c r="W371" s="40">
        <v>45889</v>
      </c>
      <c r="X371" s="36">
        <v>0</v>
      </c>
      <c r="Y371" s="36"/>
      <c r="Z371" s="36">
        <v>1</v>
      </c>
      <c r="AA371" s="36">
        <v>1583333</v>
      </c>
      <c r="AB371" s="40">
        <v>46357</v>
      </c>
      <c r="AC371" s="36" t="s">
        <v>2196</v>
      </c>
      <c r="AD371" s="36" t="str">
        <f>VLOOKUP(D371,Oficial!A:C,3,0)</f>
        <v>Arrastre</v>
      </c>
    </row>
    <row r="372" spans="1:30" x14ac:dyDescent="0.25">
      <c r="A372" s="36" t="s">
        <v>27</v>
      </c>
      <c r="B372" s="36" t="s">
        <v>375</v>
      </c>
      <c r="C372" s="36" t="s">
        <v>374</v>
      </c>
      <c r="D372" s="36" t="s">
        <v>375</v>
      </c>
      <c r="E372" s="36" t="s">
        <v>30</v>
      </c>
      <c r="F372" s="36" t="s">
        <v>31</v>
      </c>
      <c r="G372" s="37" t="s">
        <v>314</v>
      </c>
      <c r="H372" s="36" t="s">
        <v>376</v>
      </c>
      <c r="I372" s="36" t="s">
        <v>377</v>
      </c>
      <c r="J372" s="36">
        <v>1</v>
      </c>
      <c r="K372" s="36" t="s">
        <v>326</v>
      </c>
      <c r="L372" s="36">
        <v>4</v>
      </c>
      <c r="M372" s="36">
        <v>1</v>
      </c>
      <c r="N372" s="38">
        <v>19000000</v>
      </c>
      <c r="O372" s="41">
        <v>1583333</v>
      </c>
      <c r="P372" s="36">
        <v>12</v>
      </c>
      <c r="Q372" s="36" t="s">
        <v>318</v>
      </c>
      <c r="R372" s="36" t="s">
        <v>378</v>
      </c>
      <c r="S372" s="36" t="s">
        <v>379</v>
      </c>
      <c r="T372" s="36" t="s">
        <v>380</v>
      </c>
      <c r="U372" s="36" t="s">
        <v>381</v>
      </c>
      <c r="V372" s="40">
        <v>45839</v>
      </c>
      <c r="W372" s="40">
        <v>45889</v>
      </c>
      <c r="X372" s="36">
        <v>0</v>
      </c>
      <c r="Y372" s="36"/>
      <c r="Z372" s="36">
        <v>1</v>
      </c>
      <c r="AA372" s="36">
        <v>1583333</v>
      </c>
      <c r="AB372" s="40">
        <v>46296</v>
      </c>
      <c r="AC372" s="36" t="s">
        <v>2196</v>
      </c>
      <c r="AD372" s="36" t="str">
        <f>VLOOKUP(D372,Oficial!A:C,3,0)</f>
        <v>Arrastre</v>
      </c>
    </row>
    <row r="373" spans="1:30" x14ac:dyDescent="0.25">
      <c r="A373" s="36" t="s">
        <v>27</v>
      </c>
      <c r="B373" s="36" t="s">
        <v>375</v>
      </c>
      <c r="C373" s="36" t="s">
        <v>374</v>
      </c>
      <c r="D373" s="36" t="s">
        <v>375</v>
      </c>
      <c r="E373" s="36" t="s">
        <v>30</v>
      </c>
      <c r="F373" s="36" t="s">
        <v>31</v>
      </c>
      <c r="G373" s="37" t="s">
        <v>314</v>
      </c>
      <c r="H373" s="36" t="s">
        <v>376</v>
      </c>
      <c r="I373" s="36" t="s">
        <v>377</v>
      </c>
      <c r="J373" s="36">
        <v>1</v>
      </c>
      <c r="K373" s="36" t="s">
        <v>326</v>
      </c>
      <c r="L373" s="36">
        <v>4</v>
      </c>
      <c r="M373" s="36">
        <v>1</v>
      </c>
      <c r="N373" s="38">
        <v>19000000</v>
      </c>
      <c r="O373" s="41">
        <v>1583333</v>
      </c>
      <c r="P373" s="36">
        <v>12</v>
      </c>
      <c r="Q373" s="36" t="s">
        <v>318</v>
      </c>
      <c r="R373" s="36" t="s">
        <v>378</v>
      </c>
      <c r="S373" s="36" t="s">
        <v>379</v>
      </c>
      <c r="T373" s="36" t="s">
        <v>380</v>
      </c>
      <c r="U373" s="36" t="s">
        <v>381</v>
      </c>
      <c r="V373" s="40">
        <v>45839</v>
      </c>
      <c r="W373" s="40">
        <v>45889</v>
      </c>
      <c r="X373" s="36">
        <v>0</v>
      </c>
      <c r="Y373" s="36"/>
      <c r="Z373" s="36">
        <v>1</v>
      </c>
      <c r="AA373" s="36">
        <v>1583333</v>
      </c>
      <c r="AB373" s="40">
        <v>46113</v>
      </c>
      <c r="AC373" s="36" t="s">
        <v>2196</v>
      </c>
      <c r="AD373" s="36" t="str">
        <f>VLOOKUP(D373,Oficial!A:C,3,0)</f>
        <v>Arrastre</v>
      </c>
    </row>
    <row r="374" spans="1:30" x14ac:dyDescent="0.25">
      <c r="A374" s="36" t="s">
        <v>27</v>
      </c>
      <c r="B374" s="36" t="s">
        <v>375</v>
      </c>
      <c r="C374" s="36" t="s">
        <v>374</v>
      </c>
      <c r="D374" s="36" t="s">
        <v>375</v>
      </c>
      <c r="E374" s="36" t="s">
        <v>30</v>
      </c>
      <c r="F374" s="36" t="s">
        <v>31</v>
      </c>
      <c r="G374" s="37" t="s">
        <v>314</v>
      </c>
      <c r="H374" s="36" t="s">
        <v>376</v>
      </c>
      <c r="I374" s="36" t="s">
        <v>377</v>
      </c>
      <c r="J374" s="36">
        <v>1</v>
      </c>
      <c r="K374" s="36" t="s">
        <v>326</v>
      </c>
      <c r="L374" s="36">
        <v>4</v>
      </c>
      <c r="M374" s="36">
        <v>1</v>
      </c>
      <c r="N374" s="38">
        <v>19000000</v>
      </c>
      <c r="O374" s="41">
        <v>1583333</v>
      </c>
      <c r="P374" s="36">
        <v>12</v>
      </c>
      <c r="Q374" s="36" t="s">
        <v>318</v>
      </c>
      <c r="R374" s="36" t="s">
        <v>378</v>
      </c>
      <c r="S374" s="36" t="s">
        <v>379</v>
      </c>
      <c r="T374" s="36" t="s">
        <v>380</v>
      </c>
      <c r="U374" s="36" t="s">
        <v>381</v>
      </c>
      <c r="V374" s="40">
        <v>45839</v>
      </c>
      <c r="W374" s="40">
        <v>45889</v>
      </c>
      <c r="X374" s="36">
        <v>0</v>
      </c>
      <c r="Y374" s="36"/>
      <c r="Z374" s="36">
        <v>1</v>
      </c>
      <c r="AA374" s="36">
        <v>1583333</v>
      </c>
      <c r="AB374" s="40">
        <v>46327</v>
      </c>
      <c r="AC374" s="36" t="s">
        <v>2196</v>
      </c>
      <c r="AD374" s="36" t="str">
        <f>VLOOKUP(D374,Oficial!A:C,3,0)</f>
        <v>Arrastre</v>
      </c>
    </row>
    <row r="375" spans="1:30" x14ac:dyDescent="0.25">
      <c r="A375" s="36" t="s">
        <v>27</v>
      </c>
      <c r="B375" s="36" t="s">
        <v>375</v>
      </c>
      <c r="C375" s="36" t="s">
        <v>374</v>
      </c>
      <c r="D375" s="36" t="s">
        <v>375</v>
      </c>
      <c r="E375" s="36" t="s">
        <v>30</v>
      </c>
      <c r="F375" s="36" t="s">
        <v>31</v>
      </c>
      <c r="G375" s="37" t="s">
        <v>314</v>
      </c>
      <c r="H375" s="36" t="s">
        <v>376</v>
      </c>
      <c r="I375" s="36" t="s">
        <v>377</v>
      </c>
      <c r="J375" s="36">
        <v>1</v>
      </c>
      <c r="K375" s="36" t="s">
        <v>326</v>
      </c>
      <c r="L375" s="36">
        <v>4</v>
      </c>
      <c r="M375" s="36">
        <v>1</v>
      </c>
      <c r="N375" s="38">
        <v>19000000</v>
      </c>
      <c r="O375" s="41">
        <v>1583333</v>
      </c>
      <c r="P375" s="36">
        <v>12</v>
      </c>
      <c r="Q375" s="36" t="s">
        <v>318</v>
      </c>
      <c r="R375" s="36" t="s">
        <v>378</v>
      </c>
      <c r="S375" s="36" t="s">
        <v>379</v>
      </c>
      <c r="T375" s="36" t="s">
        <v>380</v>
      </c>
      <c r="U375" s="36" t="s">
        <v>381</v>
      </c>
      <c r="V375" s="40">
        <v>45839</v>
      </c>
      <c r="W375" s="40">
        <v>45889</v>
      </c>
      <c r="X375" s="36">
        <v>0</v>
      </c>
      <c r="Y375" s="36"/>
      <c r="Z375" s="36">
        <v>1</v>
      </c>
      <c r="AA375" s="36">
        <v>1583333</v>
      </c>
      <c r="AB375" s="40">
        <v>46054</v>
      </c>
      <c r="AC375" s="36" t="s">
        <v>2196</v>
      </c>
      <c r="AD375" s="36" t="str">
        <f>VLOOKUP(D375,Oficial!A:C,3,0)</f>
        <v>Arrastre</v>
      </c>
    </row>
    <row r="376" spans="1:30" x14ac:dyDescent="0.25">
      <c r="A376" s="36" t="s">
        <v>27</v>
      </c>
      <c r="B376" s="36" t="s">
        <v>375</v>
      </c>
      <c r="C376" s="36" t="s">
        <v>374</v>
      </c>
      <c r="D376" s="36" t="s">
        <v>375</v>
      </c>
      <c r="E376" s="36" t="s">
        <v>30</v>
      </c>
      <c r="F376" s="36" t="s">
        <v>31</v>
      </c>
      <c r="G376" s="37" t="s">
        <v>314</v>
      </c>
      <c r="H376" s="36" t="s">
        <v>376</v>
      </c>
      <c r="I376" s="36" t="s">
        <v>377</v>
      </c>
      <c r="J376" s="36">
        <v>1</v>
      </c>
      <c r="K376" s="36" t="s">
        <v>326</v>
      </c>
      <c r="L376" s="36">
        <v>4</v>
      </c>
      <c r="M376" s="36">
        <v>1</v>
      </c>
      <c r="N376" s="38">
        <v>19000000</v>
      </c>
      <c r="O376" s="41">
        <v>1583333</v>
      </c>
      <c r="P376" s="36">
        <v>12</v>
      </c>
      <c r="Q376" s="36" t="s">
        <v>318</v>
      </c>
      <c r="R376" s="36" t="s">
        <v>378</v>
      </c>
      <c r="S376" s="36" t="s">
        <v>379</v>
      </c>
      <c r="T376" s="36" t="s">
        <v>380</v>
      </c>
      <c r="U376" s="36" t="s">
        <v>381</v>
      </c>
      <c r="V376" s="40">
        <v>45839</v>
      </c>
      <c r="W376" s="40">
        <v>45889</v>
      </c>
      <c r="X376" s="36">
        <v>0</v>
      </c>
      <c r="Y376" s="36"/>
      <c r="Z376" s="36">
        <v>1</v>
      </c>
      <c r="AA376" s="36">
        <v>1583333</v>
      </c>
      <c r="AB376" s="40">
        <v>46174</v>
      </c>
      <c r="AC376" s="36" t="s">
        <v>2196</v>
      </c>
      <c r="AD376" s="36" t="str">
        <f>VLOOKUP(D376,Oficial!A:C,3,0)</f>
        <v>Arrastre</v>
      </c>
    </row>
    <row r="377" spans="1:30" x14ac:dyDescent="0.25">
      <c r="A377" s="36" t="s">
        <v>27</v>
      </c>
      <c r="B377" s="36" t="s">
        <v>375</v>
      </c>
      <c r="C377" s="36" t="s">
        <v>374</v>
      </c>
      <c r="D377" s="36" t="s">
        <v>375</v>
      </c>
      <c r="E377" s="36" t="s">
        <v>30</v>
      </c>
      <c r="F377" s="36" t="s">
        <v>31</v>
      </c>
      <c r="G377" s="37" t="s">
        <v>314</v>
      </c>
      <c r="H377" s="36" t="s">
        <v>376</v>
      </c>
      <c r="I377" s="36" t="s">
        <v>377</v>
      </c>
      <c r="J377" s="36">
        <v>1</v>
      </c>
      <c r="K377" s="36" t="s">
        <v>326</v>
      </c>
      <c r="L377" s="36">
        <v>4</v>
      </c>
      <c r="M377" s="36">
        <v>1</v>
      </c>
      <c r="N377" s="38">
        <v>19000000</v>
      </c>
      <c r="O377" s="41">
        <v>1583333</v>
      </c>
      <c r="P377" s="36">
        <v>12</v>
      </c>
      <c r="Q377" s="36" t="s">
        <v>318</v>
      </c>
      <c r="R377" s="36" t="s">
        <v>378</v>
      </c>
      <c r="S377" s="36" t="s">
        <v>379</v>
      </c>
      <c r="T377" s="36" t="s">
        <v>380</v>
      </c>
      <c r="U377" s="36" t="s">
        <v>381</v>
      </c>
      <c r="V377" s="40">
        <v>45839</v>
      </c>
      <c r="W377" s="40">
        <v>45889</v>
      </c>
      <c r="X377" s="36">
        <v>0</v>
      </c>
      <c r="Y377" s="36"/>
      <c r="Z377" s="36">
        <v>1</v>
      </c>
      <c r="AA377" s="36">
        <v>1583333</v>
      </c>
      <c r="AB377" s="40">
        <v>46143</v>
      </c>
      <c r="AC377" s="36" t="s">
        <v>2196</v>
      </c>
      <c r="AD377" s="36" t="str">
        <f>VLOOKUP(D377,Oficial!A:C,3,0)</f>
        <v>Arrastre</v>
      </c>
    </row>
    <row r="378" spans="1:30" x14ac:dyDescent="0.25">
      <c r="A378" s="36" t="s">
        <v>27</v>
      </c>
      <c r="B378" s="36" t="s">
        <v>375</v>
      </c>
      <c r="C378" s="36" t="s">
        <v>374</v>
      </c>
      <c r="D378" s="36" t="s">
        <v>375</v>
      </c>
      <c r="E378" s="36" t="s">
        <v>30</v>
      </c>
      <c r="F378" s="36" t="s">
        <v>31</v>
      </c>
      <c r="G378" s="37" t="s">
        <v>314</v>
      </c>
      <c r="H378" s="36" t="s">
        <v>376</v>
      </c>
      <c r="I378" s="36" t="s">
        <v>377</v>
      </c>
      <c r="J378" s="36">
        <v>1</v>
      </c>
      <c r="K378" s="36" t="s">
        <v>326</v>
      </c>
      <c r="L378" s="36">
        <v>4</v>
      </c>
      <c r="M378" s="36">
        <v>1</v>
      </c>
      <c r="N378" s="38">
        <v>19000000</v>
      </c>
      <c r="O378" s="41">
        <v>1583333</v>
      </c>
      <c r="P378" s="36">
        <v>12</v>
      </c>
      <c r="Q378" s="36" t="s">
        <v>318</v>
      </c>
      <c r="R378" s="36" t="s">
        <v>378</v>
      </c>
      <c r="S378" s="36" t="s">
        <v>379</v>
      </c>
      <c r="T378" s="36" t="s">
        <v>380</v>
      </c>
      <c r="U378" s="36" t="s">
        <v>381</v>
      </c>
      <c r="V378" s="40">
        <v>45839</v>
      </c>
      <c r="W378" s="40">
        <v>45889</v>
      </c>
      <c r="X378" s="36">
        <v>0</v>
      </c>
      <c r="Y378" s="36"/>
      <c r="Z378" s="36">
        <v>1</v>
      </c>
      <c r="AA378" s="36">
        <v>1583333</v>
      </c>
      <c r="AB378" s="40">
        <v>46082</v>
      </c>
      <c r="AC378" s="36" t="s">
        <v>2196</v>
      </c>
      <c r="AD378" s="36" t="str">
        <f>VLOOKUP(D378,Oficial!A:C,3,0)</f>
        <v>Arrastre</v>
      </c>
    </row>
    <row r="379" spans="1:30" x14ac:dyDescent="0.25">
      <c r="A379" s="36" t="s">
        <v>27</v>
      </c>
      <c r="B379" s="36" t="s">
        <v>375</v>
      </c>
      <c r="C379" s="36" t="s">
        <v>374</v>
      </c>
      <c r="D379" s="36" t="s">
        <v>375</v>
      </c>
      <c r="E379" s="36" t="s">
        <v>30</v>
      </c>
      <c r="F379" s="36" t="s">
        <v>31</v>
      </c>
      <c r="G379" s="37" t="s">
        <v>314</v>
      </c>
      <c r="H379" s="36" t="s">
        <v>376</v>
      </c>
      <c r="I379" s="36" t="s">
        <v>377</v>
      </c>
      <c r="J379" s="36">
        <v>1</v>
      </c>
      <c r="K379" s="36" t="s">
        <v>326</v>
      </c>
      <c r="L379" s="36">
        <v>4</v>
      </c>
      <c r="M379" s="36">
        <v>1</v>
      </c>
      <c r="N379" s="38">
        <v>19000000</v>
      </c>
      <c r="O379" s="41">
        <v>1583333</v>
      </c>
      <c r="P379" s="36">
        <v>12</v>
      </c>
      <c r="Q379" s="36" t="s">
        <v>318</v>
      </c>
      <c r="R379" s="36" t="s">
        <v>378</v>
      </c>
      <c r="S379" s="36" t="s">
        <v>379</v>
      </c>
      <c r="T379" s="36" t="s">
        <v>380</v>
      </c>
      <c r="U379" s="36" t="s">
        <v>381</v>
      </c>
      <c r="V379" s="40">
        <v>45839</v>
      </c>
      <c r="W379" s="40">
        <v>45889</v>
      </c>
      <c r="X379" s="36">
        <v>0</v>
      </c>
      <c r="Y379" s="36"/>
      <c r="Z379" s="36">
        <v>1</v>
      </c>
      <c r="AA379" s="36">
        <v>1583333</v>
      </c>
      <c r="AB379" s="40">
        <v>46204</v>
      </c>
      <c r="AC379" s="36" t="s">
        <v>2196</v>
      </c>
      <c r="AD379" s="36" t="str">
        <f>VLOOKUP(D379,Oficial!A:C,3,0)</f>
        <v>Arrastre</v>
      </c>
    </row>
    <row r="380" spans="1:30" x14ac:dyDescent="0.25">
      <c r="A380" s="36" t="s">
        <v>27</v>
      </c>
      <c r="B380" s="36" t="s">
        <v>375</v>
      </c>
      <c r="C380" s="36" t="s">
        <v>374</v>
      </c>
      <c r="D380" s="36" t="s">
        <v>375</v>
      </c>
      <c r="E380" s="36" t="s">
        <v>30</v>
      </c>
      <c r="F380" s="36" t="s">
        <v>31</v>
      </c>
      <c r="G380" s="37" t="s">
        <v>314</v>
      </c>
      <c r="H380" s="36" t="s">
        <v>376</v>
      </c>
      <c r="I380" s="36" t="s">
        <v>377</v>
      </c>
      <c r="J380" s="36">
        <v>1</v>
      </c>
      <c r="K380" s="36" t="s">
        <v>326</v>
      </c>
      <c r="L380" s="36">
        <v>4</v>
      </c>
      <c r="M380" s="36">
        <v>1</v>
      </c>
      <c r="N380" s="38">
        <v>19000000</v>
      </c>
      <c r="O380" s="41">
        <v>1583333</v>
      </c>
      <c r="P380" s="36">
        <v>12</v>
      </c>
      <c r="Q380" s="36" t="s">
        <v>318</v>
      </c>
      <c r="R380" s="36" t="s">
        <v>378</v>
      </c>
      <c r="S380" s="36" t="s">
        <v>379</v>
      </c>
      <c r="T380" s="36" t="s">
        <v>380</v>
      </c>
      <c r="U380" s="36" t="s">
        <v>381</v>
      </c>
      <c r="V380" s="40">
        <v>45839</v>
      </c>
      <c r="W380" s="40">
        <v>45889</v>
      </c>
      <c r="X380" s="36">
        <v>0</v>
      </c>
      <c r="Y380" s="36"/>
      <c r="Z380" s="36">
        <v>1</v>
      </c>
      <c r="AA380" s="36">
        <v>1583333</v>
      </c>
      <c r="AB380" s="40">
        <v>46235</v>
      </c>
      <c r="AC380" s="36" t="s">
        <v>2196</v>
      </c>
      <c r="AD380" s="36" t="str">
        <f>VLOOKUP(D380,Oficial!A:C,3,0)</f>
        <v>Arrastre</v>
      </c>
    </row>
    <row r="381" spans="1:30" x14ac:dyDescent="0.25">
      <c r="A381" s="36" t="s">
        <v>27</v>
      </c>
      <c r="B381" s="36" t="s">
        <v>375</v>
      </c>
      <c r="C381" s="36" t="s">
        <v>374</v>
      </c>
      <c r="D381" s="36" t="s">
        <v>375</v>
      </c>
      <c r="E381" s="36" t="s">
        <v>30</v>
      </c>
      <c r="F381" s="36" t="s">
        <v>31</v>
      </c>
      <c r="G381" s="37" t="s">
        <v>314</v>
      </c>
      <c r="H381" s="36" t="s">
        <v>376</v>
      </c>
      <c r="I381" s="36" t="s">
        <v>377</v>
      </c>
      <c r="J381" s="36">
        <v>1</v>
      </c>
      <c r="K381" s="36" t="s">
        <v>326</v>
      </c>
      <c r="L381" s="36">
        <v>4</v>
      </c>
      <c r="M381" s="36">
        <v>1</v>
      </c>
      <c r="N381" s="38">
        <v>19000000</v>
      </c>
      <c r="O381" s="41">
        <v>1583333</v>
      </c>
      <c r="P381" s="36">
        <v>12</v>
      </c>
      <c r="Q381" s="36" t="s">
        <v>318</v>
      </c>
      <c r="R381" s="36" t="s">
        <v>378</v>
      </c>
      <c r="S381" s="36" t="s">
        <v>379</v>
      </c>
      <c r="T381" s="36" t="s">
        <v>380</v>
      </c>
      <c r="U381" s="36" t="s">
        <v>381</v>
      </c>
      <c r="V381" s="40">
        <v>45839</v>
      </c>
      <c r="W381" s="40">
        <v>45889</v>
      </c>
      <c r="X381" s="36">
        <v>0</v>
      </c>
      <c r="Y381" s="36"/>
      <c r="Z381" s="36">
        <v>1</v>
      </c>
      <c r="AA381" s="36">
        <v>1583333</v>
      </c>
      <c r="AB381" s="40">
        <v>46266</v>
      </c>
      <c r="AC381" s="36" t="s">
        <v>2196</v>
      </c>
      <c r="AD381" s="36" t="str">
        <f>VLOOKUP(D381,Oficial!A:C,3,0)</f>
        <v>Arrastre</v>
      </c>
    </row>
    <row r="382" spans="1:30" x14ac:dyDescent="0.25">
      <c r="A382" s="36" t="s">
        <v>27</v>
      </c>
      <c r="B382" s="36" t="s">
        <v>382</v>
      </c>
      <c r="C382" s="36" t="s">
        <v>28</v>
      </c>
      <c r="D382" s="36" t="s">
        <v>382</v>
      </c>
      <c r="E382" s="36" t="s">
        <v>30</v>
      </c>
      <c r="F382" s="36" t="s">
        <v>31</v>
      </c>
      <c r="G382" s="37" t="s">
        <v>314</v>
      </c>
      <c r="H382" s="36" t="s">
        <v>383</v>
      </c>
      <c r="I382" s="36" t="s">
        <v>384</v>
      </c>
      <c r="J382" s="36">
        <v>1</v>
      </c>
      <c r="K382" s="36" t="s">
        <v>326</v>
      </c>
      <c r="L382" s="36">
        <v>4</v>
      </c>
      <c r="M382" s="36">
        <v>1</v>
      </c>
      <c r="N382" s="38">
        <v>17500000</v>
      </c>
      <c r="O382" s="44">
        <v>1458333</v>
      </c>
      <c r="P382" s="36">
        <v>12</v>
      </c>
      <c r="Q382" s="36" t="s">
        <v>318</v>
      </c>
      <c r="R382" s="36" t="s">
        <v>385</v>
      </c>
      <c r="S382" s="36" t="s">
        <v>386</v>
      </c>
      <c r="T382" s="36" t="s">
        <v>387</v>
      </c>
      <c r="U382" s="36" t="s">
        <v>388</v>
      </c>
      <c r="V382" s="40">
        <v>45870</v>
      </c>
      <c r="W382" s="40">
        <v>45889</v>
      </c>
      <c r="X382" s="36">
        <v>0</v>
      </c>
      <c r="Y382" s="36"/>
      <c r="Z382" s="36">
        <v>1</v>
      </c>
      <c r="AA382" s="36">
        <v>1458333</v>
      </c>
      <c r="AB382" s="40">
        <v>46327</v>
      </c>
      <c r="AC382" s="36" t="s">
        <v>2196</v>
      </c>
      <c r="AD382" s="36" t="str">
        <f>VLOOKUP(D382,Oficial!A:C,3,0)</f>
        <v>Arrastre</v>
      </c>
    </row>
    <row r="383" spans="1:30" x14ac:dyDescent="0.25">
      <c r="A383" s="36" t="s">
        <v>27</v>
      </c>
      <c r="B383" s="36" t="s">
        <v>382</v>
      </c>
      <c r="C383" s="36" t="s">
        <v>28</v>
      </c>
      <c r="D383" s="36" t="s">
        <v>382</v>
      </c>
      <c r="E383" s="36" t="s">
        <v>30</v>
      </c>
      <c r="F383" s="36" t="s">
        <v>31</v>
      </c>
      <c r="G383" s="37" t="s">
        <v>314</v>
      </c>
      <c r="H383" s="36" t="s">
        <v>383</v>
      </c>
      <c r="I383" s="36" t="s">
        <v>384</v>
      </c>
      <c r="J383" s="36">
        <v>1</v>
      </c>
      <c r="K383" s="36" t="s">
        <v>326</v>
      </c>
      <c r="L383" s="36">
        <v>4</v>
      </c>
      <c r="M383" s="36">
        <v>1</v>
      </c>
      <c r="N383" s="38">
        <v>17500000</v>
      </c>
      <c r="O383" s="44">
        <v>1458333</v>
      </c>
      <c r="P383" s="36">
        <v>12</v>
      </c>
      <c r="Q383" s="36" t="s">
        <v>318</v>
      </c>
      <c r="R383" s="36" t="s">
        <v>385</v>
      </c>
      <c r="S383" s="36" t="s">
        <v>386</v>
      </c>
      <c r="T383" s="36" t="s">
        <v>387</v>
      </c>
      <c r="U383" s="36" t="s">
        <v>388</v>
      </c>
      <c r="V383" s="40">
        <v>45870</v>
      </c>
      <c r="W383" s="40">
        <v>45889</v>
      </c>
      <c r="X383" s="36">
        <v>0</v>
      </c>
      <c r="Y383" s="36"/>
      <c r="Z383" s="36">
        <v>1</v>
      </c>
      <c r="AA383" s="36">
        <v>1458333</v>
      </c>
      <c r="AB383" s="40">
        <v>46357</v>
      </c>
      <c r="AC383" s="36" t="s">
        <v>2196</v>
      </c>
      <c r="AD383" s="36" t="str">
        <f>VLOOKUP(D383,Oficial!A:C,3,0)</f>
        <v>Arrastre</v>
      </c>
    </row>
    <row r="384" spans="1:30" x14ac:dyDescent="0.25">
      <c r="A384" s="36" t="s">
        <v>27</v>
      </c>
      <c r="B384" s="36" t="s">
        <v>382</v>
      </c>
      <c r="C384" s="36" t="s">
        <v>28</v>
      </c>
      <c r="D384" s="36" t="s">
        <v>382</v>
      </c>
      <c r="E384" s="36" t="s">
        <v>30</v>
      </c>
      <c r="F384" s="36" t="s">
        <v>31</v>
      </c>
      <c r="G384" s="37" t="s">
        <v>314</v>
      </c>
      <c r="H384" s="36" t="s">
        <v>383</v>
      </c>
      <c r="I384" s="36" t="s">
        <v>384</v>
      </c>
      <c r="J384" s="36">
        <v>1</v>
      </c>
      <c r="K384" s="36" t="s">
        <v>326</v>
      </c>
      <c r="L384" s="36">
        <v>4</v>
      </c>
      <c r="M384" s="36">
        <v>1</v>
      </c>
      <c r="N384" s="38">
        <v>17500000</v>
      </c>
      <c r="O384" s="44">
        <v>1458333</v>
      </c>
      <c r="P384" s="36">
        <v>12</v>
      </c>
      <c r="Q384" s="36" t="s">
        <v>318</v>
      </c>
      <c r="R384" s="36" t="s">
        <v>385</v>
      </c>
      <c r="S384" s="36" t="s">
        <v>386</v>
      </c>
      <c r="T384" s="36" t="s">
        <v>387</v>
      </c>
      <c r="U384" s="36" t="s">
        <v>388</v>
      </c>
      <c r="V384" s="40">
        <v>45870</v>
      </c>
      <c r="W384" s="40">
        <v>45889</v>
      </c>
      <c r="X384" s="36">
        <v>0</v>
      </c>
      <c r="Y384" s="36"/>
      <c r="Z384" s="36">
        <v>1</v>
      </c>
      <c r="AA384" s="36">
        <v>1458333</v>
      </c>
      <c r="AB384" s="40">
        <v>46113</v>
      </c>
      <c r="AC384" s="36" t="s">
        <v>2196</v>
      </c>
      <c r="AD384" s="36" t="str">
        <f>VLOOKUP(D384,Oficial!A:C,3,0)</f>
        <v>Arrastre</v>
      </c>
    </row>
    <row r="385" spans="1:30" x14ac:dyDescent="0.25">
      <c r="A385" s="36" t="s">
        <v>27</v>
      </c>
      <c r="B385" s="36" t="s">
        <v>382</v>
      </c>
      <c r="C385" s="36" t="s">
        <v>28</v>
      </c>
      <c r="D385" s="36" t="s">
        <v>382</v>
      </c>
      <c r="E385" s="36" t="s">
        <v>30</v>
      </c>
      <c r="F385" s="36" t="s">
        <v>31</v>
      </c>
      <c r="G385" s="37" t="s">
        <v>314</v>
      </c>
      <c r="H385" s="36" t="s">
        <v>383</v>
      </c>
      <c r="I385" s="36" t="s">
        <v>384</v>
      </c>
      <c r="J385" s="36">
        <v>1</v>
      </c>
      <c r="K385" s="36" t="s">
        <v>326</v>
      </c>
      <c r="L385" s="36">
        <v>4</v>
      </c>
      <c r="M385" s="36">
        <v>1</v>
      </c>
      <c r="N385" s="38">
        <v>17500000</v>
      </c>
      <c r="O385" s="44">
        <v>1458333</v>
      </c>
      <c r="P385" s="36">
        <v>12</v>
      </c>
      <c r="Q385" s="36" t="s">
        <v>318</v>
      </c>
      <c r="R385" s="36" t="s">
        <v>385</v>
      </c>
      <c r="S385" s="36" t="s">
        <v>386</v>
      </c>
      <c r="T385" s="36" t="s">
        <v>387</v>
      </c>
      <c r="U385" s="36" t="s">
        <v>388</v>
      </c>
      <c r="V385" s="40">
        <v>45870</v>
      </c>
      <c r="W385" s="40">
        <v>45889</v>
      </c>
      <c r="X385" s="36">
        <v>0</v>
      </c>
      <c r="Y385" s="36"/>
      <c r="Z385" s="36">
        <v>1</v>
      </c>
      <c r="AA385" s="36">
        <v>1458333</v>
      </c>
      <c r="AB385" s="40">
        <v>46204</v>
      </c>
      <c r="AC385" s="36" t="s">
        <v>2196</v>
      </c>
      <c r="AD385" s="36" t="str">
        <f>VLOOKUP(D385,Oficial!A:C,3,0)</f>
        <v>Arrastre</v>
      </c>
    </row>
    <row r="386" spans="1:30" x14ac:dyDescent="0.25">
      <c r="A386" s="36" t="s">
        <v>27</v>
      </c>
      <c r="B386" s="36" t="s">
        <v>382</v>
      </c>
      <c r="C386" s="36" t="s">
        <v>28</v>
      </c>
      <c r="D386" s="36" t="s">
        <v>382</v>
      </c>
      <c r="E386" s="36" t="s">
        <v>30</v>
      </c>
      <c r="F386" s="36" t="s">
        <v>31</v>
      </c>
      <c r="G386" s="37" t="s">
        <v>314</v>
      </c>
      <c r="H386" s="36" t="s">
        <v>383</v>
      </c>
      <c r="I386" s="36" t="s">
        <v>384</v>
      </c>
      <c r="J386" s="36">
        <v>1</v>
      </c>
      <c r="K386" s="36" t="s">
        <v>326</v>
      </c>
      <c r="L386" s="36">
        <v>4</v>
      </c>
      <c r="M386" s="36">
        <v>1</v>
      </c>
      <c r="N386" s="38">
        <v>17500000</v>
      </c>
      <c r="O386" s="44">
        <v>1458333</v>
      </c>
      <c r="P386" s="36">
        <v>12</v>
      </c>
      <c r="Q386" s="36" t="s">
        <v>318</v>
      </c>
      <c r="R386" s="36" t="s">
        <v>385</v>
      </c>
      <c r="S386" s="36" t="s">
        <v>386</v>
      </c>
      <c r="T386" s="36" t="s">
        <v>387</v>
      </c>
      <c r="U386" s="36" t="s">
        <v>388</v>
      </c>
      <c r="V386" s="40">
        <v>45870</v>
      </c>
      <c r="W386" s="40">
        <v>45889</v>
      </c>
      <c r="X386" s="36">
        <v>0</v>
      </c>
      <c r="Y386" s="36"/>
      <c r="Z386" s="36">
        <v>1</v>
      </c>
      <c r="AA386" s="36">
        <v>1458333</v>
      </c>
      <c r="AB386" s="40">
        <v>46174</v>
      </c>
      <c r="AC386" s="36" t="s">
        <v>2196</v>
      </c>
      <c r="AD386" s="36" t="str">
        <f>VLOOKUP(D386,Oficial!A:C,3,0)</f>
        <v>Arrastre</v>
      </c>
    </row>
    <row r="387" spans="1:30" x14ac:dyDescent="0.25">
      <c r="A387" s="36" t="s">
        <v>27</v>
      </c>
      <c r="B387" s="36" t="s">
        <v>382</v>
      </c>
      <c r="C387" s="36" t="s">
        <v>28</v>
      </c>
      <c r="D387" s="36" t="s">
        <v>382</v>
      </c>
      <c r="E387" s="36" t="s">
        <v>30</v>
      </c>
      <c r="F387" s="36" t="s">
        <v>31</v>
      </c>
      <c r="G387" s="37" t="s">
        <v>314</v>
      </c>
      <c r="H387" s="36" t="s">
        <v>383</v>
      </c>
      <c r="I387" s="36" t="s">
        <v>384</v>
      </c>
      <c r="J387" s="36">
        <v>1</v>
      </c>
      <c r="K387" s="36" t="s">
        <v>326</v>
      </c>
      <c r="L387" s="36">
        <v>4</v>
      </c>
      <c r="M387" s="36">
        <v>1</v>
      </c>
      <c r="N387" s="38">
        <v>17500000</v>
      </c>
      <c r="O387" s="44">
        <v>1458333</v>
      </c>
      <c r="P387" s="36">
        <v>12</v>
      </c>
      <c r="Q387" s="36" t="s">
        <v>318</v>
      </c>
      <c r="R387" s="36" t="s">
        <v>385</v>
      </c>
      <c r="S387" s="36" t="s">
        <v>386</v>
      </c>
      <c r="T387" s="36" t="s">
        <v>387</v>
      </c>
      <c r="U387" s="36" t="s">
        <v>388</v>
      </c>
      <c r="V387" s="40">
        <v>45870</v>
      </c>
      <c r="W387" s="40">
        <v>45889</v>
      </c>
      <c r="X387" s="36">
        <v>0</v>
      </c>
      <c r="Y387" s="36"/>
      <c r="Z387" s="36">
        <v>1</v>
      </c>
      <c r="AA387" s="36">
        <v>1458333</v>
      </c>
      <c r="AB387" s="40">
        <v>46054</v>
      </c>
      <c r="AC387" s="36" t="s">
        <v>2196</v>
      </c>
      <c r="AD387" s="36" t="str">
        <f>VLOOKUP(D387,Oficial!A:C,3,0)</f>
        <v>Arrastre</v>
      </c>
    </row>
    <row r="388" spans="1:30" x14ac:dyDescent="0.25">
      <c r="A388" s="36" t="s">
        <v>27</v>
      </c>
      <c r="B388" s="36" t="s">
        <v>382</v>
      </c>
      <c r="C388" s="36" t="s">
        <v>28</v>
      </c>
      <c r="D388" s="36" t="s">
        <v>382</v>
      </c>
      <c r="E388" s="36" t="s">
        <v>30</v>
      </c>
      <c r="F388" s="36" t="s">
        <v>31</v>
      </c>
      <c r="G388" s="37" t="s">
        <v>314</v>
      </c>
      <c r="H388" s="36" t="s">
        <v>383</v>
      </c>
      <c r="I388" s="36" t="s">
        <v>384</v>
      </c>
      <c r="J388" s="36">
        <v>1</v>
      </c>
      <c r="K388" s="36" t="s">
        <v>326</v>
      </c>
      <c r="L388" s="36">
        <v>4</v>
      </c>
      <c r="M388" s="36">
        <v>1</v>
      </c>
      <c r="N388" s="38">
        <v>17500000</v>
      </c>
      <c r="O388" s="44">
        <v>1458333</v>
      </c>
      <c r="P388" s="36">
        <v>12</v>
      </c>
      <c r="Q388" s="36" t="s">
        <v>318</v>
      </c>
      <c r="R388" s="36" t="s">
        <v>385</v>
      </c>
      <c r="S388" s="36" t="s">
        <v>386</v>
      </c>
      <c r="T388" s="36" t="s">
        <v>387</v>
      </c>
      <c r="U388" s="36" t="s">
        <v>388</v>
      </c>
      <c r="V388" s="40">
        <v>45870</v>
      </c>
      <c r="W388" s="40">
        <v>45889</v>
      </c>
      <c r="X388" s="36">
        <v>0</v>
      </c>
      <c r="Y388" s="36"/>
      <c r="Z388" s="36">
        <v>1</v>
      </c>
      <c r="AA388" s="36">
        <v>1458333</v>
      </c>
      <c r="AB388" s="40">
        <v>46296</v>
      </c>
      <c r="AC388" s="36" t="s">
        <v>2196</v>
      </c>
      <c r="AD388" s="36" t="str">
        <f>VLOOKUP(D388,Oficial!A:C,3,0)</f>
        <v>Arrastre</v>
      </c>
    </row>
    <row r="389" spans="1:30" x14ac:dyDescent="0.25">
      <c r="A389" s="36" t="s">
        <v>27</v>
      </c>
      <c r="B389" s="36" t="s">
        <v>382</v>
      </c>
      <c r="C389" s="36" t="s">
        <v>28</v>
      </c>
      <c r="D389" s="36" t="s">
        <v>382</v>
      </c>
      <c r="E389" s="36" t="s">
        <v>30</v>
      </c>
      <c r="F389" s="36" t="s">
        <v>31</v>
      </c>
      <c r="G389" s="37" t="s">
        <v>314</v>
      </c>
      <c r="H389" s="36" t="s">
        <v>383</v>
      </c>
      <c r="I389" s="36" t="s">
        <v>384</v>
      </c>
      <c r="J389" s="36">
        <v>1</v>
      </c>
      <c r="K389" s="36" t="s">
        <v>326</v>
      </c>
      <c r="L389" s="36">
        <v>4</v>
      </c>
      <c r="M389" s="36">
        <v>1</v>
      </c>
      <c r="N389" s="38">
        <v>17500000</v>
      </c>
      <c r="O389" s="44">
        <v>1458333</v>
      </c>
      <c r="P389" s="36">
        <v>12</v>
      </c>
      <c r="Q389" s="36" t="s">
        <v>318</v>
      </c>
      <c r="R389" s="36" t="s">
        <v>385</v>
      </c>
      <c r="S389" s="36" t="s">
        <v>386</v>
      </c>
      <c r="T389" s="36" t="s">
        <v>387</v>
      </c>
      <c r="U389" s="36" t="s">
        <v>388</v>
      </c>
      <c r="V389" s="40">
        <v>45870</v>
      </c>
      <c r="W389" s="40">
        <v>45889</v>
      </c>
      <c r="X389" s="36">
        <v>0</v>
      </c>
      <c r="Y389" s="36"/>
      <c r="Z389" s="36">
        <v>1</v>
      </c>
      <c r="AA389" s="36">
        <v>1458333</v>
      </c>
      <c r="AB389" s="40">
        <v>46143</v>
      </c>
      <c r="AC389" s="36" t="s">
        <v>2196</v>
      </c>
      <c r="AD389" s="36" t="str">
        <f>VLOOKUP(D389,Oficial!A:C,3,0)</f>
        <v>Arrastre</v>
      </c>
    </row>
    <row r="390" spans="1:30" x14ac:dyDescent="0.25">
      <c r="A390" s="36" t="s">
        <v>27</v>
      </c>
      <c r="B390" s="36" t="s">
        <v>382</v>
      </c>
      <c r="C390" s="36" t="s">
        <v>28</v>
      </c>
      <c r="D390" s="36" t="s">
        <v>382</v>
      </c>
      <c r="E390" s="36" t="s">
        <v>30</v>
      </c>
      <c r="F390" s="36" t="s">
        <v>31</v>
      </c>
      <c r="G390" s="37" t="s">
        <v>314</v>
      </c>
      <c r="H390" s="36" t="s">
        <v>383</v>
      </c>
      <c r="I390" s="36" t="s">
        <v>384</v>
      </c>
      <c r="J390" s="36">
        <v>1</v>
      </c>
      <c r="K390" s="36" t="s">
        <v>326</v>
      </c>
      <c r="L390" s="36">
        <v>4</v>
      </c>
      <c r="M390" s="36">
        <v>1</v>
      </c>
      <c r="N390" s="38">
        <v>17500000</v>
      </c>
      <c r="O390" s="44">
        <v>1458333</v>
      </c>
      <c r="P390" s="36">
        <v>12</v>
      </c>
      <c r="Q390" s="36" t="s">
        <v>318</v>
      </c>
      <c r="R390" s="36" t="s">
        <v>385</v>
      </c>
      <c r="S390" s="36" t="s">
        <v>386</v>
      </c>
      <c r="T390" s="36" t="s">
        <v>387</v>
      </c>
      <c r="U390" s="36" t="s">
        <v>388</v>
      </c>
      <c r="V390" s="40">
        <v>45870</v>
      </c>
      <c r="W390" s="40">
        <v>45889</v>
      </c>
      <c r="X390" s="36">
        <v>0</v>
      </c>
      <c r="Y390" s="36"/>
      <c r="Z390" s="36">
        <v>1</v>
      </c>
      <c r="AA390" s="36">
        <v>1458333</v>
      </c>
      <c r="AB390" s="40">
        <v>46082</v>
      </c>
      <c r="AC390" s="36" t="s">
        <v>2196</v>
      </c>
      <c r="AD390" s="36" t="str">
        <f>VLOOKUP(D390,Oficial!A:C,3,0)</f>
        <v>Arrastre</v>
      </c>
    </row>
    <row r="391" spans="1:30" x14ac:dyDescent="0.25">
      <c r="A391" s="36" t="s">
        <v>27</v>
      </c>
      <c r="B391" s="36" t="s">
        <v>382</v>
      </c>
      <c r="C391" s="36" t="s">
        <v>28</v>
      </c>
      <c r="D391" s="36" t="s">
        <v>382</v>
      </c>
      <c r="E391" s="36" t="s">
        <v>30</v>
      </c>
      <c r="F391" s="36" t="s">
        <v>31</v>
      </c>
      <c r="G391" s="37" t="s">
        <v>314</v>
      </c>
      <c r="H391" s="36" t="s">
        <v>383</v>
      </c>
      <c r="I391" s="36" t="s">
        <v>384</v>
      </c>
      <c r="J391" s="36">
        <v>1</v>
      </c>
      <c r="K391" s="36" t="s">
        <v>326</v>
      </c>
      <c r="L391" s="36">
        <v>4</v>
      </c>
      <c r="M391" s="36">
        <v>1</v>
      </c>
      <c r="N391" s="38">
        <v>17500000</v>
      </c>
      <c r="O391" s="44">
        <v>1458333</v>
      </c>
      <c r="P391" s="36">
        <v>12</v>
      </c>
      <c r="Q391" s="36" t="s">
        <v>318</v>
      </c>
      <c r="R391" s="36" t="s">
        <v>385</v>
      </c>
      <c r="S391" s="36" t="s">
        <v>386</v>
      </c>
      <c r="T391" s="36" t="s">
        <v>387</v>
      </c>
      <c r="U391" s="36" t="s">
        <v>388</v>
      </c>
      <c r="V391" s="40">
        <v>45870</v>
      </c>
      <c r="W391" s="40">
        <v>45889</v>
      </c>
      <c r="X391" s="36">
        <v>0</v>
      </c>
      <c r="Y391" s="36"/>
      <c r="Z391" s="36">
        <v>1</v>
      </c>
      <c r="AA391" s="36">
        <v>1458333</v>
      </c>
      <c r="AB391" s="40">
        <v>46266</v>
      </c>
      <c r="AC391" s="36" t="s">
        <v>2196</v>
      </c>
      <c r="AD391" s="36" t="str">
        <f>VLOOKUP(D391,Oficial!A:C,3,0)</f>
        <v>Arrastre</v>
      </c>
    </row>
    <row r="392" spans="1:30" x14ac:dyDescent="0.25">
      <c r="A392" s="36" t="s">
        <v>27</v>
      </c>
      <c r="B392" s="36" t="s">
        <v>382</v>
      </c>
      <c r="C392" s="36" t="s">
        <v>28</v>
      </c>
      <c r="D392" s="36" t="s">
        <v>382</v>
      </c>
      <c r="E392" s="36" t="s">
        <v>30</v>
      </c>
      <c r="F392" s="36" t="s">
        <v>31</v>
      </c>
      <c r="G392" s="37" t="s">
        <v>314</v>
      </c>
      <c r="H392" s="36" t="s">
        <v>383</v>
      </c>
      <c r="I392" s="36" t="s">
        <v>384</v>
      </c>
      <c r="J392" s="36">
        <v>1</v>
      </c>
      <c r="K392" s="36" t="s">
        <v>326</v>
      </c>
      <c r="L392" s="36">
        <v>4</v>
      </c>
      <c r="M392" s="36">
        <v>1</v>
      </c>
      <c r="N392" s="38">
        <v>17500000</v>
      </c>
      <c r="O392" s="44">
        <v>1458333</v>
      </c>
      <c r="P392" s="36">
        <v>12</v>
      </c>
      <c r="Q392" s="36" t="s">
        <v>318</v>
      </c>
      <c r="R392" s="36" t="s">
        <v>385</v>
      </c>
      <c r="S392" s="36" t="s">
        <v>386</v>
      </c>
      <c r="T392" s="36" t="s">
        <v>387</v>
      </c>
      <c r="U392" s="36" t="s">
        <v>388</v>
      </c>
      <c r="V392" s="40">
        <v>45870</v>
      </c>
      <c r="W392" s="40">
        <v>45889</v>
      </c>
      <c r="X392" s="36">
        <v>0</v>
      </c>
      <c r="Y392" s="36"/>
      <c r="Z392" s="36">
        <v>1</v>
      </c>
      <c r="AA392" s="36">
        <v>1458333</v>
      </c>
      <c r="AB392" s="40">
        <v>46235</v>
      </c>
      <c r="AC392" s="36" t="s">
        <v>2196</v>
      </c>
      <c r="AD392" s="36" t="str">
        <f>VLOOKUP(D392,Oficial!A:C,3,0)</f>
        <v>Arrastre</v>
      </c>
    </row>
    <row r="393" spans="1:30" x14ac:dyDescent="0.25">
      <c r="A393" s="36" t="s">
        <v>27</v>
      </c>
      <c r="B393" s="36" t="s">
        <v>389</v>
      </c>
      <c r="C393" s="36" t="s">
        <v>28</v>
      </c>
      <c r="D393" s="36" t="s">
        <v>389</v>
      </c>
      <c r="E393" s="36" t="s">
        <v>30</v>
      </c>
      <c r="F393" s="36" t="s">
        <v>31</v>
      </c>
      <c r="G393" s="37" t="s">
        <v>314</v>
      </c>
      <c r="H393" s="36" t="s">
        <v>390</v>
      </c>
      <c r="I393" s="36" t="s">
        <v>391</v>
      </c>
      <c r="J393" s="36">
        <v>1</v>
      </c>
      <c r="K393" s="36" t="s">
        <v>326</v>
      </c>
      <c r="L393" s="36">
        <v>4</v>
      </c>
      <c r="M393" s="36">
        <v>1</v>
      </c>
      <c r="N393" s="38">
        <v>18000000</v>
      </c>
      <c r="O393" s="43">
        <v>1500000</v>
      </c>
      <c r="P393" s="36">
        <v>12</v>
      </c>
      <c r="Q393" s="36" t="s">
        <v>318</v>
      </c>
      <c r="R393" s="36" t="s">
        <v>378</v>
      </c>
      <c r="S393" s="36" t="s">
        <v>379</v>
      </c>
      <c r="T393" s="36" t="s">
        <v>380</v>
      </c>
      <c r="U393" s="36" t="s">
        <v>381</v>
      </c>
      <c r="V393" s="40">
        <v>45870</v>
      </c>
      <c r="W393" s="40">
        <v>45889</v>
      </c>
      <c r="X393" s="36">
        <v>0</v>
      </c>
      <c r="Y393" s="36"/>
      <c r="Z393" s="36">
        <v>1</v>
      </c>
      <c r="AA393" s="36">
        <v>1500000</v>
      </c>
      <c r="AB393" s="40">
        <v>46082</v>
      </c>
      <c r="AC393" s="36" t="s">
        <v>2196</v>
      </c>
      <c r="AD393" s="36" t="str">
        <f>VLOOKUP(D393,Oficial!A:C,3,0)</f>
        <v>Arrastre</v>
      </c>
    </row>
    <row r="394" spans="1:30" x14ac:dyDescent="0.25">
      <c r="A394" s="36" t="s">
        <v>27</v>
      </c>
      <c r="B394" s="36" t="s">
        <v>389</v>
      </c>
      <c r="C394" s="36" t="s">
        <v>28</v>
      </c>
      <c r="D394" s="36" t="s">
        <v>389</v>
      </c>
      <c r="E394" s="36" t="s">
        <v>30</v>
      </c>
      <c r="F394" s="36" t="s">
        <v>31</v>
      </c>
      <c r="G394" s="37" t="s">
        <v>314</v>
      </c>
      <c r="H394" s="36" t="s">
        <v>390</v>
      </c>
      <c r="I394" s="36" t="s">
        <v>391</v>
      </c>
      <c r="J394" s="36">
        <v>1</v>
      </c>
      <c r="K394" s="36" t="s">
        <v>326</v>
      </c>
      <c r="L394" s="36">
        <v>4</v>
      </c>
      <c r="M394" s="36">
        <v>1</v>
      </c>
      <c r="N394" s="38">
        <v>18000000</v>
      </c>
      <c r="O394" s="43">
        <v>1500000</v>
      </c>
      <c r="P394" s="36">
        <v>12</v>
      </c>
      <c r="Q394" s="36" t="s">
        <v>318</v>
      </c>
      <c r="R394" s="36" t="s">
        <v>378</v>
      </c>
      <c r="S394" s="36" t="s">
        <v>379</v>
      </c>
      <c r="T394" s="36" t="s">
        <v>380</v>
      </c>
      <c r="U394" s="36" t="s">
        <v>381</v>
      </c>
      <c r="V394" s="40">
        <v>45870</v>
      </c>
      <c r="W394" s="40">
        <v>45889</v>
      </c>
      <c r="X394" s="36">
        <v>0</v>
      </c>
      <c r="Y394" s="36"/>
      <c r="Z394" s="36">
        <v>1</v>
      </c>
      <c r="AA394" s="36">
        <v>1500000</v>
      </c>
      <c r="AB394" s="40">
        <v>46204</v>
      </c>
      <c r="AC394" s="36" t="s">
        <v>2196</v>
      </c>
      <c r="AD394" s="36" t="str">
        <f>VLOOKUP(D394,Oficial!A:C,3,0)</f>
        <v>Arrastre</v>
      </c>
    </row>
    <row r="395" spans="1:30" x14ac:dyDescent="0.25">
      <c r="A395" s="36" t="s">
        <v>27</v>
      </c>
      <c r="B395" s="36" t="s">
        <v>389</v>
      </c>
      <c r="C395" s="36" t="s">
        <v>28</v>
      </c>
      <c r="D395" s="36" t="s">
        <v>389</v>
      </c>
      <c r="E395" s="36" t="s">
        <v>30</v>
      </c>
      <c r="F395" s="36" t="s">
        <v>31</v>
      </c>
      <c r="G395" s="37" t="s">
        <v>314</v>
      </c>
      <c r="H395" s="36" t="s">
        <v>390</v>
      </c>
      <c r="I395" s="36" t="s">
        <v>391</v>
      </c>
      <c r="J395" s="36">
        <v>1</v>
      </c>
      <c r="K395" s="36" t="s">
        <v>326</v>
      </c>
      <c r="L395" s="36">
        <v>4</v>
      </c>
      <c r="M395" s="36">
        <v>1</v>
      </c>
      <c r="N395" s="38">
        <v>18000000</v>
      </c>
      <c r="O395" s="43">
        <v>1500000</v>
      </c>
      <c r="P395" s="36">
        <v>12</v>
      </c>
      <c r="Q395" s="36" t="s">
        <v>318</v>
      </c>
      <c r="R395" s="36" t="s">
        <v>378</v>
      </c>
      <c r="S395" s="36" t="s">
        <v>379</v>
      </c>
      <c r="T395" s="36" t="s">
        <v>380</v>
      </c>
      <c r="U395" s="36" t="s">
        <v>381</v>
      </c>
      <c r="V395" s="40">
        <v>45870</v>
      </c>
      <c r="W395" s="40">
        <v>45889</v>
      </c>
      <c r="X395" s="36">
        <v>0</v>
      </c>
      <c r="Y395" s="36"/>
      <c r="Z395" s="36">
        <v>1</v>
      </c>
      <c r="AA395" s="36">
        <v>1500000</v>
      </c>
      <c r="AB395" s="40">
        <v>46143</v>
      </c>
      <c r="AC395" s="36" t="s">
        <v>2196</v>
      </c>
      <c r="AD395" s="36" t="str">
        <f>VLOOKUP(D395,Oficial!A:C,3,0)</f>
        <v>Arrastre</v>
      </c>
    </row>
    <row r="396" spans="1:30" x14ac:dyDescent="0.25">
      <c r="A396" s="36" t="s">
        <v>27</v>
      </c>
      <c r="B396" s="36" t="s">
        <v>389</v>
      </c>
      <c r="C396" s="36" t="s">
        <v>28</v>
      </c>
      <c r="D396" s="36" t="s">
        <v>389</v>
      </c>
      <c r="E396" s="36" t="s">
        <v>30</v>
      </c>
      <c r="F396" s="36" t="s">
        <v>31</v>
      </c>
      <c r="G396" s="37" t="s">
        <v>314</v>
      </c>
      <c r="H396" s="36" t="s">
        <v>390</v>
      </c>
      <c r="I396" s="36" t="s">
        <v>391</v>
      </c>
      <c r="J396" s="36">
        <v>1</v>
      </c>
      <c r="K396" s="36" t="s">
        <v>326</v>
      </c>
      <c r="L396" s="36">
        <v>4</v>
      </c>
      <c r="M396" s="36">
        <v>1</v>
      </c>
      <c r="N396" s="38">
        <v>18000000</v>
      </c>
      <c r="O396" s="43">
        <v>1500000</v>
      </c>
      <c r="P396" s="36">
        <v>12</v>
      </c>
      <c r="Q396" s="36" t="s">
        <v>318</v>
      </c>
      <c r="R396" s="36" t="s">
        <v>378</v>
      </c>
      <c r="S396" s="36" t="s">
        <v>379</v>
      </c>
      <c r="T396" s="36" t="s">
        <v>380</v>
      </c>
      <c r="U396" s="36" t="s">
        <v>381</v>
      </c>
      <c r="V396" s="40">
        <v>45870</v>
      </c>
      <c r="W396" s="40">
        <v>45889</v>
      </c>
      <c r="X396" s="36">
        <v>0</v>
      </c>
      <c r="Y396" s="36"/>
      <c r="Z396" s="36">
        <v>1</v>
      </c>
      <c r="AA396" s="36">
        <v>1500000</v>
      </c>
      <c r="AB396" s="40">
        <v>46327</v>
      </c>
      <c r="AC396" s="36" t="s">
        <v>2196</v>
      </c>
      <c r="AD396" s="36" t="str">
        <f>VLOOKUP(D396,Oficial!A:C,3,0)</f>
        <v>Arrastre</v>
      </c>
    </row>
    <row r="397" spans="1:30" x14ac:dyDescent="0.25">
      <c r="A397" s="36" t="s">
        <v>27</v>
      </c>
      <c r="B397" s="36" t="s">
        <v>389</v>
      </c>
      <c r="C397" s="36" t="s">
        <v>28</v>
      </c>
      <c r="D397" s="36" t="s">
        <v>389</v>
      </c>
      <c r="E397" s="36" t="s">
        <v>30</v>
      </c>
      <c r="F397" s="36" t="s">
        <v>31</v>
      </c>
      <c r="G397" s="37" t="s">
        <v>314</v>
      </c>
      <c r="H397" s="36" t="s">
        <v>390</v>
      </c>
      <c r="I397" s="36" t="s">
        <v>391</v>
      </c>
      <c r="J397" s="36">
        <v>1</v>
      </c>
      <c r="K397" s="36" t="s">
        <v>326</v>
      </c>
      <c r="L397" s="36">
        <v>4</v>
      </c>
      <c r="M397" s="36">
        <v>1</v>
      </c>
      <c r="N397" s="38">
        <v>18000000</v>
      </c>
      <c r="O397" s="43">
        <v>1500000</v>
      </c>
      <c r="P397" s="36">
        <v>12</v>
      </c>
      <c r="Q397" s="36" t="s">
        <v>318</v>
      </c>
      <c r="R397" s="36" t="s">
        <v>378</v>
      </c>
      <c r="S397" s="36" t="s">
        <v>379</v>
      </c>
      <c r="T397" s="36" t="s">
        <v>380</v>
      </c>
      <c r="U397" s="36" t="s">
        <v>381</v>
      </c>
      <c r="V397" s="40">
        <v>45870</v>
      </c>
      <c r="W397" s="40">
        <v>45889</v>
      </c>
      <c r="X397" s="36">
        <v>0</v>
      </c>
      <c r="Y397" s="36"/>
      <c r="Z397" s="36">
        <v>1</v>
      </c>
      <c r="AA397" s="36">
        <v>1500000</v>
      </c>
      <c r="AB397" s="40">
        <v>46235</v>
      </c>
      <c r="AC397" s="36" t="s">
        <v>2196</v>
      </c>
      <c r="AD397" s="36" t="str">
        <f>VLOOKUP(D397,Oficial!A:C,3,0)</f>
        <v>Arrastre</v>
      </c>
    </row>
    <row r="398" spans="1:30" x14ac:dyDescent="0.25">
      <c r="A398" s="36" t="s">
        <v>27</v>
      </c>
      <c r="B398" s="36" t="s">
        <v>389</v>
      </c>
      <c r="C398" s="36" t="s">
        <v>28</v>
      </c>
      <c r="D398" s="36" t="s">
        <v>389</v>
      </c>
      <c r="E398" s="36" t="s">
        <v>30</v>
      </c>
      <c r="F398" s="36" t="s">
        <v>31</v>
      </c>
      <c r="G398" s="37" t="s">
        <v>314</v>
      </c>
      <c r="H398" s="36" t="s">
        <v>390</v>
      </c>
      <c r="I398" s="36" t="s">
        <v>391</v>
      </c>
      <c r="J398" s="36">
        <v>1</v>
      </c>
      <c r="K398" s="36" t="s">
        <v>326</v>
      </c>
      <c r="L398" s="36">
        <v>4</v>
      </c>
      <c r="M398" s="36">
        <v>1</v>
      </c>
      <c r="N398" s="38">
        <v>18000000</v>
      </c>
      <c r="O398" s="43">
        <v>1500000</v>
      </c>
      <c r="P398" s="36">
        <v>12</v>
      </c>
      <c r="Q398" s="36" t="s">
        <v>318</v>
      </c>
      <c r="R398" s="36" t="s">
        <v>378</v>
      </c>
      <c r="S398" s="36" t="s">
        <v>379</v>
      </c>
      <c r="T398" s="36" t="s">
        <v>380</v>
      </c>
      <c r="U398" s="36" t="s">
        <v>381</v>
      </c>
      <c r="V398" s="40">
        <v>45870</v>
      </c>
      <c r="W398" s="40">
        <v>45889</v>
      </c>
      <c r="X398" s="36">
        <v>0</v>
      </c>
      <c r="Y398" s="36"/>
      <c r="Z398" s="36">
        <v>1</v>
      </c>
      <c r="AA398" s="36">
        <v>1500000</v>
      </c>
      <c r="AB398" s="40">
        <v>46174</v>
      </c>
      <c r="AC398" s="36" t="s">
        <v>2196</v>
      </c>
      <c r="AD398" s="36" t="str">
        <f>VLOOKUP(D398,Oficial!A:C,3,0)</f>
        <v>Arrastre</v>
      </c>
    </row>
    <row r="399" spans="1:30" x14ac:dyDescent="0.25">
      <c r="A399" s="36" t="s">
        <v>27</v>
      </c>
      <c r="B399" s="36" t="s">
        <v>389</v>
      </c>
      <c r="C399" s="36" t="s">
        <v>28</v>
      </c>
      <c r="D399" s="36" t="s">
        <v>389</v>
      </c>
      <c r="E399" s="36" t="s">
        <v>30</v>
      </c>
      <c r="F399" s="36" t="s">
        <v>31</v>
      </c>
      <c r="G399" s="37" t="s">
        <v>314</v>
      </c>
      <c r="H399" s="36" t="s">
        <v>390</v>
      </c>
      <c r="I399" s="36" t="s">
        <v>391</v>
      </c>
      <c r="J399" s="36">
        <v>1</v>
      </c>
      <c r="K399" s="36" t="s">
        <v>326</v>
      </c>
      <c r="L399" s="36">
        <v>4</v>
      </c>
      <c r="M399" s="36">
        <v>1</v>
      </c>
      <c r="N399" s="38">
        <v>18000000</v>
      </c>
      <c r="O399" s="43">
        <v>1500000</v>
      </c>
      <c r="P399" s="36">
        <v>12</v>
      </c>
      <c r="Q399" s="36" t="s">
        <v>318</v>
      </c>
      <c r="R399" s="36" t="s">
        <v>378</v>
      </c>
      <c r="S399" s="36" t="s">
        <v>379</v>
      </c>
      <c r="T399" s="36" t="s">
        <v>380</v>
      </c>
      <c r="U399" s="36" t="s">
        <v>381</v>
      </c>
      <c r="V399" s="40">
        <v>45870</v>
      </c>
      <c r="W399" s="40">
        <v>45889</v>
      </c>
      <c r="X399" s="36">
        <v>0</v>
      </c>
      <c r="Y399" s="36"/>
      <c r="Z399" s="36">
        <v>1</v>
      </c>
      <c r="AA399" s="36">
        <v>1500000</v>
      </c>
      <c r="AB399" s="40">
        <v>46054</v>
      </c>
      <c r="AC399" s="36" t="s">
        <v>2196</v>
      </c>
      <c r="AD399" s="36" t="str">
        <f>VLOOKUP(D399,Oficial!A:C,3,0)</f>
        <v>Arrastre</v>
      </c>
    </row>
    <row r="400" spans="1:30" x14ac:dyDescent="0.25">
      <c r="A400" s="36" t="s">
        <v>27</v>
      </c>
      <c r="B400" s="36" t="s">
        <v>389</v>
      </c>
      <c r="C400" s="36" t="s">
        <v>28</v>
      </c>
      <c r="D400" s="36" t="s">
        <v>389</v>
      </c>
      <c r="E400" s="36" t="s">
        <v>30</v>
      </c>
      <c r="F400" s="36" t="s">
        <v>31</v>
      </c>
      <c r="G400" s="37" t="s">
        <v>314</v>
      </c>
      <c r="H400" s="36" t="s">
        <v>390</v>
      </c>
      <c r="I400" s="36" t="s">
        <v>391</v>
      </c>
      <c r="J400" s="36">
        <v>1</v>
      </c>
      <c r="K400" s="36" t="s">
        <v>326</v>
      </c>
      <c r="L400" s="36">
        <v>4</v>
      </c>
      <c r="M400" s="36">
        <v>1</v>
      </c>
      <c r="N400" s="38">
        <v>18000000</v>
      </c>
      <c r="O400" s="43">
        <v>1500000</v>
      </c>
      <c r="P400" s="36">
        <v>12</v>
      </c>
      <c r="Q400" s="36" t="s">
        <v>318</v>
      </c>
      <c r="R400" s="36" t="s">
        <v>378</v>
      </c>
      <c r="S400" s="36" t="s">
        <v>379</v>
      </c>
      <c r="T400" s="36" t="s">
        <v>380</v>
      </c>
      <c r="U400" s="36" t="s">
        <v>381</v>
      </c>
      <c r="V400" s="40">
        <v>45870</v>
      </c>
      <c r="W400" s="40">
        <v>45889</v>
      </c>
      <c r="X400" s="36">
        <v>0</v>
      </c>
      <c r="Y400" s="36"/>
      <c r="Z400" s="36">
        <v>1</v>
      </c>
      <c r="AA400" s="36">
        <v>1500000</v>
      </c>
      <c r="AB400" s="40">
        <v>46113</v>
      </c>
      <c r="AC400" s="36" t="s">
        <v>2196</v>
      </c>
      <c r="AD400" s="36" t="str">
        <f>VLOOKUP(D400,Oficial!A:C,3,0)</f>
        <v>Arrastre</v>
      </c>
    </row>
    <row r="401" spans="1:30" x14ac:dyDescent="0.25">
      <c r="A401" s="36" t="s">
        <v>27</v>
      </c>
      <c r="B401" s="36" t="s">
        <v>389</v>
      </c>
      <c r="C401" s="36" t="s">
        <v>28</v>
      </c>
      <c r="D401" s="36" t="s">
        <v>389</v>
      </c>
      <c r="E401" s="36" t="s">
        <v>30</v>
      </c>
      <c r="F401" s="36" t="s">
        <v>31</v>
      </c>
      <c r="G401" s="37" t="s">
        <v>314</v>
      </c>
      <c r="H401" s="36" t="s">
        <v>390</v>
      </c>
      <c r="I401" s="36" t="s">
        <v>391</v>
      </c>
      <c r="J401" s="36">
        <v>1</v>
      </c>
      <c r="K401" s="36" t="s">
        <v>326</v>
      </c>
      <c r="L401" s="36">
        <v>4</v>
      </c>
      <c r="M401" s="36">
        <v>1</v>
      </c>
      <c r="N401" s="38">
        <v>18000000</v>
      </c>
      <c r="O401" s="43">
        <v>1500000</v>
      </c>
      <c r="P401" s="36">
        <v>12</v>
      </c>
      <c r="Q401" s="36" t="s">
        <v>318</v>
      </c>
      <c r="R401" s="36" t="s">
        <v>378</v>
      </c>
      <c r="S401" s="36" t="s">
        <v>379</v>
      </c>
      <c r="T401" s="36" t="s">
        <v>380</v>
      </c>
      <c r="U401" s="36" t="s">
        <v>381</v>
      </c>
      <c r="V401" s="40">
        <v>45870</v>
      </c>
      <c r="W401" s="40">
        <v>45889</v>
      </c>
      <c r="X401" s="36">
        <v>0</v>
      </c>
      <c r="Y401" s="36"/>
      <c r="Z401" s="36">
        <v>1</v>
      </c>
      <c r="AA401" s="36">
        <v>1500000</v>
      </c>
      <c r="AB401" s="40">
        <v>46357</v>
      </c>
      <c r="AC401" s="36" t="s">
        <v>2196</v>
      </c>
      <c r="AD401" s="36" t="str">
        <f>VLOOKUP(D401,Oficial!A:C,3,0)</f>
        <v>Arrastre</v>
      </c>
    </row>
    <row r="402" spans="1:30" x14ac:dyDescent="0.25">
      <c r="A402" s="36" t="s">
        <v>27</v>
      </c>
      <c r="B402" s="36" t="s">
        <v>389</v>
      </c>
      <c r="C402" s="36" t="s">
        <v>28</v>
      </c>
      <c r="D402" s="36" t="s">
        <v>389</v>
      </c>
      <c r="E402" s="36" t="s">
        <v>30</v>
      </c>
      <c r="F402" s="36" t="s">
        <v>31</v>
      </c>
      <c r="G402" s="37" t="s">
        <v>314</v>
      </c>
      <c r="H402" s="36" t="s">
        <v>390</v>
      </c>
      <c r="I402" s="36" t="s">
        <v>391</v>
      </c>
      <c r="J402" s="36">
        <v>1</v>
      </c>
      <c r="K402" s="36" t="s">
        <v>326</v>
      </c>
      <c r="L402" s="36">
        <v>4</v>
      </c>
      <c r="M402" s="36">
        <v>1</v>
      </c>
      <c r="N402" s="38">
        <v>18000000</v>
      </c>
      <c r="O402" s="43">
        <v>1500000</v>
      </c>
      <c r="P402" s="36">
        <v>12</v>
      </c>
      <c r="Q402" s="36" t="s">
        <v>318</v>
      </c>
      <c r="R402" s="36" t="s">
        <v>378</v>
      </c>
      <c r="S402" s="36" t="s">
        <v>379</v>
      </c>
      <c r="T402" s="36" t="s">
        <v>380</v>
      </c>
      <c r="U402" s="36" t="s">
        <v>381</v>
      </c>
      <c r="V402" s="40">
        <v>45870</v>
      </c>
      <c r="W402" s="40">
        <v>45889</v>
      </c>
      <c r="X402" s="36">
        <v>0</v>
      </c>
      <c r="Y402" s="36"/>
      <c r="Z402" s="36">
        <v>1</v>
      </c>
      <c r="AA402" s="36">
        <v>1500000</v>
      </c>
      <c r="AB402" s="40">
        <v>46266</v>
      </c>
      <c r="AC402" s="36" t="s">
        <v>2196</v>
      </c>
      <c r="AD402" s="36" t="str">
        <f>VLOOKUP(D402,Oficial!A:C,3,0)</f>
        <v>Arrastre</v>
      </c>
    </row>
    <row r="403" spans="1:30" x14ac:dyDescent="0.25">
      <c r="A403" s="36" t="s">
        <v>27</v>
      </c>
      <c r="B403" s="36" t="s">
        <v>389</v>
      </c>
      <c r="C403" s="36" t="s">
        <v>28</v>
      </c>
      <c r="D403" s="36" t="s">
        <v>389</v>
      </c>
      <c r="E403" s="36" t="s">
        <v>30</v>
      </c>
      <c r="F403" s="36" t="s">
        <v>31</v>
      </c>
      <c r="G403" s="37" t="s">
        <v>314</v>
      </c>
      <c r="H403" s="36" t="s">
        <v>390</v>
      </c>
      <c r="I403" s="36" t="s">
        <v>391</v>
      </c>
      <c r="J403" s="36">
        <v>1</v>
      </c>
      <c r="K403" s="36" t="s">
        <v>326</v>
      </c>
      <c r="L403" s="36">
        <v>4</v>
      </c>
      <c r="M403" s="36">
        <v>1</v>
      </c>
      <c r="N403" s="38">
        <v>18000000</v>
      </c>
      <c r="O403" s="43">
        <v>1500000</v>
      </c>
      <c r="P403" s="36">
        <v>12</v>
      </c>
      <c r="Q403" s="36" t="s">
        <v>318</v>
      </c>
      <c r="R403" s="36" t="s">
        <v>378</v>
      </c>
      <c r="S403" s="36" t="s">
        <v>379</v>
      </c>
      <c r="T403" s="36" t="s">
        <v>380</v>
      </c>
      <c r="U403" s="36" t="s">
        <v>381</v>
      </c>
      <c r="V403" s="40">
        <v>45870</v>
      </c>
      <c r="W403" s="40">
        <v>45889</v>
      </c>
      <c r="X403" s="36">
        <v>0</v>
      </c>
      <c r="Y403" s="36"/>
      <c r="Z403" s="36">
        <v>1</v>
      </c>
      <c r="AA403" s="36">
        <v>1500000</v>
      </c>
      <c r="AB403" s="40">
        <v>46296</v>
      </c>
      <c r="AC403" s="36" t="s">
        <v>2196</v>
      </c>
      <c r="AD403" s="36" t="str">
        <f>VLOOKUP(D403,Oficial!A:C,3,0)</f>
        <v>Arrastre</v>
      </c>
    </row>
    <row r="404" spans="1:30" x14ac:dyDescent="0.25">
      <c r="A404" s="36" t="s">
        <v>27</v>
      </c>
      <c r="B404" s="36" t="s">
        <v>392</v>
      </c>
      <c r="C404" s="36" t="s">
        <v>28</v>
      </c>
      <c r="D404" s="36" t="s">
        <v>392</v>
      </c>
      <c r="E404" s="36" t="s">
        <v>30</v>
      </c>
      <c r="F404" s="36" t="s">
        <v>31</v>
      </c>
      <c r="G404" s="37" t="s">
        <v>314</v>
      </c>
      <c r="H404" s="36" t="s">
        <v>393</v>
      </c>
      <c r="I404" s="36" t="s">
        <v>394</v>
      </c>
      <c r="J404" s="36">
        <v>1</v>
      </c>
      <c r="K404" s="36" t="s">
        <v>326</v>
      </c>
      <c r="L404" s="36">
        <v>4</v>
      </c>
      <c r="M404" s="36">
        <v>1</v>
      </c>
      <c r="N404" s="38">
        <v>19000000</v>
      </c>
      <c r="O404" s="44">
        <v>1583333</v>
      </c>
      <c r="P404" s="36">
        <v>12</v>
      </c>
      <c r="Q404" s="36" t="s">
        <v>318</v>
      </c>
      <c r="R404" s="36" t="s">
        <v>395</v>
      </c>
      <c r="S404" s="36" t="s">
        <v>396</v>
      </c>
      <c r="T404" s="36" t="s">
        <v>397</v>
      </c>
      <c r="U404" s="36" t="s">
        <v>398</v>
      </c>
      <c r="V404" s="40">
        <v>45870</v>
      </c>
      <c r="W404" s="40">
        <v>45889</v>
      </c>
      <c r="X404" s="36">
        <v>0</v>
      </c>
      <c r="Y404" s="36"/>
      <c r="Z404" s="36">
        <v>1</v>
      </c>
      <c r="AA404" s="36">
        <v>1583333</v>
      </c>
      <c r="AB404" s="40">
        <v>46143</v>
      </c>
      <c r="AC404" s="36" t="s">
        <v>2196</v>
      </c>
      <c r="AD404" s="36" t="str">
        <f>VLOOKUP(D404,Oficial!A:C,3,0)</f>
        <v>Arrastre</v>
      </c>
    </row>
    <row r="405" spans="1:30" x14ac:dyDescent="0.25">
      <c r="A405" s="36" t="s">
        <v>27</v>
      </c>
      <c r="B405" s="36" t="s">
        <v>392</v>
      </c>
      <c r="C405" s="36" t="s">
        <v>28</v>
      </c>
      <c r="D405" s="36" t="s">
        <v>392</v>
      </c>
      <c r="E405" s="36" t="s">
        <v>30</v>
      </c>
      <c r="F405" s="36" t="s">
        <v>31</v>
      </c>
      <c r="G405" s="37" t="s">
        <v>314</v>
      </c>
      <c r="H405" s="36" t="s">
        <v>393</v>
      </c>
      <c r="I405" s="36" t="s">
        <v>394</v>
      </c>
      <c r="J405" s="36">
        <v>1</v>
      </c>
      <c r="K405" s="36" t="s">
        <v>326</v>
      </c>
      <c r="L405" s="36">
        <v>4</v>
      </c>
      <c r="M405" s="36">
        <v>1</v>
      </c>
      <c r="N405" s="38">
        <v>19000000</v>
      </c>
      <c r="O405" s="44">
        <v>1583333</v>
      </c>
      <c r="P405" s="36">
        <v>12</v>
      </c>
      <c r="Q405" s="36" t="s">
        <v>318</v>
      </c>
      <c r="R405" s="36" t="s">
        <v>395</v>
      </c>
      <c r="S405" s="36" t="s">
        <v>396</v>
      </c>
      <c r="T405" s="36" t="s">
        <v>397</v>
      </c>
      <c r="U405" s="36" t="s">
        <v>398</v>
      </c>
      <c r="V405" s="40">
        <v>45870</v>
      </c>
      <c r="W405" s="40">
        <v>45889</v>
      </c>
      <c r="X405" s="36">
        <v>0</v>
      </c>
      <c r="Y405" s="36"/>
      <c r="Z405" s="36">
        <v>1</v>
      </c>
      <c r="AA405" s="36">
        <v>1583333</v>
      </c>
      <c r="AB405" s="40">
        <v>46054</v>
      </c>
      <c r="AC405" s="36" t="s">
        <v>2196</v>
      </c>
      <c r="AD405" s="36" t="str">
        <f>VLOOKUP(D405,Oficial!A:C,3,0)</f>
        <v>Arrastre</v>
      </c>
    </row>
    <row r="406" spans="1:30" x14ac:dyDescent="0.25">
      <c r="A406" s="36" t="s">
        <v>27</v>
      </c>
      <c r="B406" s="36" t="s">
        <v>392</v>
      </c>
      <c r="C406" s="36" t="s">
        <v>28</v>
      </c>
      <c r="D406" s="36" t="s">
        <v>392</v>
      </c>
      <c r="E406" s="36" t="s">
        <v>30</v>
      </c>
      <c r="F406" s="36" t="s">
        <v>31</v>
      </c>
      <c r="G406" s="37" t="s">
        <v>314</v>
      </c>
      <c r="H406" s="36" t="s">
        <v>393</v>
      </c>
      <c r="I406" s="36" t="s">
        <v>394</v>
      </c>
      <c r="J406" s="36">
        <v>1</v>
      </c>
      <c r="K406" s="36" t="s">
        <v>326</v>
      </c>
      <c r="L406" s="36">
        <v>4</v>
      </c>
      <c r="M406" s="36">
        <v>1</v>
      </c>
      <c r="N406" s="38">
        <v>19000000</v>
      </c>
      <c r="O406" s="44">
        <v>1583333</v>
      </c>
      <c r="P406" s="36">
        <v>12</v>
      </c>
      <c r="Q406" s="36" t="s">
        <v>318</v>
      </c>
      <c r="R406" s="36" t="s">
        <v>395</v>
      </c>
      <c r="S406" s="36" t="s">
        <v>396</v>
      </c>
      <c r="T406" s="36" t="s">
        <v>397</v>
      </c>
      <c r="U406" s="36" t="s">
        <v>398</v>
      </c>
      <c r="V406" s="40">
        <v>45870</v>
      </c>
      <c r="W406" s="40">
        <v>45889</v>
      </c>
      <c r="X406" s="36">
        <v>0</v>
      </c>
      <c r="Y406" s="36"/>
      <c r="Z406" s="36">
        <v>1</v>
      </c>
      <c r="AA406" s="36">
        <v>1583333</v>
      </c>
      <c r="AB406" s="40">
        <v>46357</v>
      </c>
      <c r="AC406" s="36" t="s">
        <v>2196</v>
      </c>
      <c r="AD406" s="36" t="str">
        <f>VLOOKUP(D406,Oficial!A:C,3,0)</f>
        <v>Arrastre</v>
      </c>
    </row>
    <row r="407" spans="1:30" x14ac:dyDescent="0.25">
      <c r="A407" s="36" t="s">
        <v>27</v>
      </c>
      <c r="B407" s="36" t="s">
        <v>392</v>
      </c>
      <c r="C407" s="36" t="s">
        <v>28</v>
      </c>
      <c r="D407" s="36" t="s">
        <v>392</v>
      </c>
      <c r="E407" s="36" t="s">
        <v>30</v>
      </c>
      <c r="F407" s="36" t="s">
        <v>31</v>
      </c>
      <c r="G407" s="37" t="s">
        <v>314</v>
      </c>
      <c r="H407" s="36" t="s">
        <v>393</v>
      </c>
      <c r="I407" s="36" t="s">
        <v>394</v>
      </c>
      <c r="J407" s="36">
        <v>1</v>
      </c>
      <c r="K407" s="36" t="s">
        <v>326</v>
      </c>
      <c r="L407" s="36">
        <v>4</v>
      </c>
      <c r="M407" s="36">
        <v>1</v>
      </c>
      <c r="N407" s="38">
        <v>19000000</v>
      </c>
      <c r="O407" s="44">
        <v>1583333</v>
      </c>
      <c r="P407" s="36">
        <v>12</v>
      </c>
      <c r="Q407" s="36" t="s">
        <v>318</v>
      </c>
      <c r="R407" s="36" t="s">
        <v>395</v>
      </c>
      <c r="S407" s="36" t="s">
        <v>396</v>
      </c>
      <c r="T407" s="36" t="s">
        <v>397</v>
      </c>
      <c r="U407" s="36" t="s">
        <v>398</v>
      </c>
      <c r="V407" s="40">
        <v>45870</v>
      </c>
      <c r="W407" s="40">
        <v>45889</v>
      </c>
      <c r="X407" s="36">
        <v>0</v>
      </c>
      <c r="Y407" s="36"/>
      <c r="Z407" s="36">
        <v>1</v>
      </c>
      <c r="AA407" s="36">
        <v>1583333</v>
      </c>
      <c r="AB407" s="40">
        <v>46113</v>
      </c>
      <c r="AC407" s="36" t="s">
        <v>2196</v>
      </c>
      <c r="AD407" s="36" t="str">
        <f>VLOOKUP(D407,Oficial!A:C,3,0)</f>
        <v>Arrastre</v>
      </c>
    </row>
    <row r="408" spans="1:30" x14ac:dyDescent="0.25">
      <c r="A408" s="36" t="s">
        <v>27</v>
      </c>
      <c r="B408" s="36" t="s">
        <v>392</v>
      </c>
      <c r="C408" s="36" t="s">
        <v>28</v>
      </c>
      <c r="D408" s="36" t="s">
        <v>392</v>
      </c>
      <c r="E408" s="36" t="s">
        <v>30</v>
      </c>
      <c r="F408" s="36" t="s">
        <v>31</v>
      </c>
      <c r="G408" s="37" t="s">
        <v>314</v>
      </c>
      <c r="H408" s="36" t="s">
        <v>393</v>
      </c>
      <c r="I408" s="36" t="s">
        <v>394</v>
      </c>
      <c r="J408" s="36">
        <v>1</v>
      </c>
      <c r="K408" s="36" t="s">
        <v>326</v>
      </c>
      <c r="L408" s="36">
        <v>4</v>
      </c>
      <c r="M408" s="36">
        <v>1</v>
      </c>
      <c r="N408" s="38">
        <v>19000000</v>
      </c>
      <c r="O408" s="44">
        <v>1583333</v>
      </c>
      <c r="P408" s="36">
        <v>12</v>
      </c>
      <c r="Q408" s="36" t="s">
        <v>318</v>
      </c>
      <c r="R408" s="36" t="s">
        <v>395</v>
      </c>
      <c r="S408" s="36" t="s">
        <v>396</v>
      </c>
      <c r="T408" s="36" t="s">
        <v>397</v>
      </c>
      <c r="U408" s="36" t="s">
        <v>398</v>
      </c>
      <c r="V408" s="40">
        <v>45870</v>
      </c>
      <c r="W408" s="40">
        <v>45889</v>
      </c>
      <c r="X408" s="36">
        <v>0</v>
      </c>
      <c r="Y408" s="36"/>
      <c r="Z408" s="36">
        <v>1</v>
      </c>
      <c r="AA408" s="36">
        <v>1583333</v>
      </c>
      <c r="AB408" s="40">
        <v>46235</v>
      </c>
      <c r="AC408" s="36" t="s">
        <v>2196</v>
      </c>
      <c r="AD408" s="36" t="str">
        <f>VLOOKUP(D408,Oficial!A:C,3,0)</f>
        <v>Arrastre</v>
      </c>
    </row>
    <row r="409" spans="1:30" x14ac:dyDescent="0.25">
      <c r="A409" s="36" t="s">
        <v>27</v>
      </c>
      <c r="B409" s="36" t="s">
        <v>392</v>
      </c>
      <c r="C409" s="36" t="s">
        <v>28</v>
      </c>
      <c r="D409" s="36" t="s">
        <v>392</v>
      </c>
      <c r="E409" s="36" t="s">
        <v>30</v>
      </c>
      <c r="F409" s="36" t="s">
        <v>31</v>
      </c>
      <c r="G409" s="37" t="s">
        <v>314</v>
      </c>
      <c r="H409" s="36" t="s">
        <v>393</v>
      </c>
      <c r="I409" s="36" t="s">
        <v>394</v>
      </c>
      <c r="J409" s="36">
        <v>1</v>
      </c>
      <c r="K409" s="36" t="s">
        <v>326</v>
      </c>
      <c r="L409" s="36">
        <v>4</v>
      </c>
      <c r="M409" s="36">
        <v>1</v>
      </c>
      <c r="N409" s="38">
        <v>19000000</v>
      </c>
      <c r="O409" s="44">
        <v>1583333</v>
      </c>
      <c r="P409" s="36">
        <v>12</v>
      </c>
      <c r="Q409" s="36" t="s">
        <v>318</v>
      </c>
      <c r="R409" s="36" t="s">
        <v>395</v>
      </c>
      <c r="S409" s="36" t="s">
        <v>396</v>
      </c>
      <c r="T409" s="36" t="s">
        <v>397</v>
      </c>
      <c r="U409" s="36" t="s">
        <v>398</v>
      </c>
      <c r="V409" s="40">
        <v>45870</v>
      </c>
      <c r="W409" s="40">
        <v>45889</v>
      </c>
      <c r="X409" s="36">
        <v>0</v>
      </c>
      <c r="Y409" s="36"/>
      <c r="Z409" s="36">
        <v>1</v>
      </c>
      <c r="AA409" s="36">
        <v>1583333</v>
      </c>
      <c r="AB409" s="40">
        <v>46296</v>
      </c>
      <c r="AC409" s="36" t="s">
        <v>2196</v>
      </c>
      <c r="AD409" s="36" t="str">
        <f>VLOOKUP(D409,Oficial!A:C,3,0)</f>
        <v>Arrastre</v>
      </c>
    </row>
    <row r="410" spans="1:30" x14ac:dyDescent="0.25">
      <c r="A410" s="36" t="s">
        <v>27</v>
      </c>
      <c r="B410" s="36" t="s">
        <v>392</v>
      </c>
      <c r="C410" s="36" t="s">
        <v>28</v>
      </c>
      <c r="D410" s="36" t="s">
        <v>392</v>
      </c>
      <c r="E410" s="36" t="s">
        <v>30</v>
      </c>
      <c r="F410" s="36" t="s">
        <v>31</v>
      </c>
      <c r="G410" s="37" t="s">
        <v>314</v>
      </c>
      <c r="H410" s="36" t="s">
        <v>393</v>
      </c>
      <c r="I410" s="36" t="s">
        <v>394</v>
      </c>
      <c r="J410" s="36">
        <v>1</v>
      </c>
      <c r="K410" s="36" t="s">
        <v>326</v>
      </c>
      <c r="L410" s="36">
        <v>4</v>
      </c>
      <c r="M410" s="36">
        <v>1</v>
      </c>
      <c r="N410" s="38">
        <v>19000000</v>
      </c>
      <c r="O410" s="44">
        <v>1583333</v>
      </c>
      <c r="P410" s="36">
        <v>12</v>
      </c>
      <c r="Q410" s="36" t="s">
        <v>318</v>
      </c>
      <c r="R410" s="36" t="s">
        <v>395</v>
      </c>
      <c r="S410" s="36" t="s">
        <v>396</v>
      </c>
      <c r="T410" s="36" t="s">
        <v>397</v>
      </c>
      <c r="U410" s="36" t="s">
        <v>398</v>
      </c>
      <c r="V410" s="40">
        <v>45870</v>
      </c>
      <c r="W410" s="40">
        <v>45889</v>
      </c>
      <c r="X410" s="36">
        <v>0</v>
      </c>
      <c r="Y410" s="36"/>
      <c r="Z410" s="36">
        <v>1</v>
      </c>
      <c r="AA410" s="36">
        <v>1583333</v>
      </c>
      <c r="AB410" s="40">
        <v>46174</v>
      </c>
      <c r="AC410" s="36" t="s">
        <v>2196</v>
      </c>
      <c r="AD410" s="36" t="str">
        <f>VLOOKUP(D410,Oficial!A:C,3,0)</f>
        <v>Arrastre</v>
      </c>
    </row>
    <row r="411" spans="1:30" x14ac:dyDescent="0.25">
      <c r="A411" s="36" t="s">
        <v>27</v>
      </c>
      <c r="B411" s="36" t="s">
        <v>392</v>
      </c>
      <c r="C411" s="36" t="s">
        <v>28</v>
      </c>
      <c r="D411" s="36" t="s">
        <v>392</v>
      </c>
      <c r="E411" s="36" t="s">
        <v>30</v>
      </c>
      <c r="F411" s="36" t="s">
        <v>31</v>
      </c>
      <c r="G411" s="37" t="s">
        <v>314</v>
      </c>
      <c r="H411" s="36" t="s">
        <v>393</v>
      </c>
      <c r="I411" s="36" t="s">
        <v>394</v>
      </c>
      <c r="J411" s="36">
        <v>1</v>
      </c>
      <c r="K411" s="36" t="s">
        <v>326</v>
      </c>
      <c r="L411" s="36">
        <v>4</v>
      </c>
      <c r="M411" s="36">
        <v>1</v>
      </c>
      <c r="N411" s="38">
        <v>19000000</v>
      </c>
      <c r="O411" s="44">
        <v>1583333</v>
      </c>
      <c r="P411" s="36">
        <v>12</v>
      </c>
      <c r="Q411" s="36" t="s">
        <v>318</v>
      </c>
      <c r="R411" s="36" t="s">
        <v>395</v>
      </c>
      <c r="S411" s="36" t="s">
        <v>396</v>
      </c>
      <c r="T411" s="36" t="s">
        <v>397</v>
      </c>
      <c r="U411" s="36" t="s">
        <v>398</v>
      </c>
      <c r="V411" s="40">
        <v>45870</v>
      </c>
      <c r="W411" s="40">
        <v>45889</v>
      </c>
      <c r="X411" s="36">
        <v>0</v>
      </c>
      <c r="Y411" s="36"/>
      <c r="Z411" s="36">
        <v>1</v>
      </c>
      <c r="AA411" s="36">
        <v>1583333</v>
      </c>
      <c r="AB411" s="40">
        <v>46327</v>
      </c>
      <c r="AC411" s="36" t="s">
        <v>2196</v>
      </c>
      <c r="AD411" s="36" t="str">
        <f>VLOOKUP(D411,Oficial!A:C,3,0)</f>
        <v>Arrastre</v>
      </c>
    </row>
    <row r="412" spans="1:30" x14ac:dyDescent="0.25">
      <c r="A412" s="36" t="s">
        <v>27</v>
      </c>
      <c r="B412" s="36" t="s">
        <v>392</v>
      </c>
      <c r="C412" s="36" t="s">
        <v>28</v>
      </c>
      <c r="D412" s="36" t="s">
        <v>392</v>
      </c>
      <c r="E412" s="36" t="s">
        <v>30</v>
      </c>
      <c r="F412" s="36" t="s">
        <v>31</v>
      </c>
      <c r="G412" s="37" t="s">
        <v>314</v>
      </c>
      <c r="H412" s="36" t="s">
        <v>393</v>
      </c>
      <c r="I412" s="36" t="s">
        <v>394</v>
      </c>
      <c r="J412" s="36">
        <v>1</v>
      </c>
      <c r="K412" s="36" t="s">
        <v>326</v>
      </c>
      <c r="L412" s="36">
        <v>4</v>
      </c>
      <c r="M412" s="36">
        <v>1</v>
      </c>
      <c r="N412" s="38">
        <v>19000000</v>
      </c>
      <c r="O412" s="44">
        <v>1583333</v>
      </c>
      <c r="P412" s="36">
        <v>12</v>
      </c>
      <c r="Q412" s="36" t="s">
        <v>318</v>
      </c>
      <c r="R412" s="36" t="s">
        <v>395</v>
      </c>
      <c r="S412" s="36" t="s">
        <v>396</v>
      </c>
      <c r="T412" s="36" t="s">
        <v>397</v>
      </c>
      <c r="U412" s="36" t="s">
        <v>398</v>
      </c>
      <c r="V412" s="40">
        <v>45870</v>
      </c>
      <c r="W412" s="40">
        <v>45889</v>
      </c>
      <c r="X412" s="36">
        <v>0</v>
      </c>
      <c r="Y412" s="36"/>
      <c r="Z412" s="36">
        <v>1</v>
      </c>
      <c r="AA412" s="36">
        <v>1583333</v>
      </c>
      <c r="AB412" s="40">
        <v>46082</v>
      </c>
      <c r="AC412" s="36" t="s">
        <v>2196</v>
      </c>
      <c r="AD412" s="36" t="str">
        <f>VLOOKUP(D412,Oficial!A:C,3,0)</f>
        <v>Arrastre</v>
      </c>
    </row>
    <row r="413" spans="1:30" x14ac:dyDescent="0.25">
      <c r="A413" s="36" t="s">
        <v>27</v>
      </c>
      <c r="B413" s="36" t="s">
        <v>392</v>
      </c>
      <c r="C413" s="36" t="s">
        <v>28</v>
      </c>
      <c r="D413" s="36" t="s">
        <v>392</v>
      </c>
      <c r="E413" s="36" t="s">
        <v>30</v>
      </c>
      <c r="F413" s="36" t="s">
        <v>31</v>
      </c>
      <c r="G413" s="37" t="s">
        <v>314</v>
      </c>
      <c r="H413" s="36" t="s">
        <v>393</v>
      </c>
      <c r="I413" s="36" t="s">
        <v>394</v>
      </c>
      <c r="J413" s="36">
        <v>1</v>
      </c>
      <c r="K413" s="36" t="s">
        <v>326</v>
      </c>
      <c r="L413" s="36">
        <v>4</v>
      </c>
      <c r="M413" s="36">
        <v>1</v>
      </c>
      <c r="N413" s="38">
        <v>19000000</v>
      </c>
      <c r="O413" s="44">
        <v>1583333</v>
      </c>
      <c r="P413" s="36">
        <v>12</v>
      </c>
      <c r="Q413" s="36" t="s">
        <v>318</v>
      </c>
      <c r="R413" s="36" t="s">
        <v>395</v>
      </c>
      <c r="S413" s="36" t="s">
        <v>396</v>
      </c>
      <c r="T413" s="36" t="s">
        <v>397</v>
      </c>
      <c r="U413" s="36" t="s">
        <v>398</v>
      </c>
      <c r="V413" s="40">
        <v>45870</v>
      </c>
      <c r="W413" s="40">
        <v>45889</v>
      </c>
      <c r="X413" s="36">
        <v>0</v>
      </c>
      <c r="Y413" s="36"/>
      <c r="Z413" s="36">
        <v>1</v>
      </c>
      <c r="AA413" s="36">
        <v>1583333</v>
      </c>
      <c r="AB413" s="40">
        <v>46204</v>
      </c>
      <c r="AC413" s="36" t="s">
        <v>2196</v>
      </c>
      <c r="AD413" s="36" t="str">
        <f>VLOOKUP(D413,Oficial!A:C,3,0)</f>
        <v>Arrastre</v>
      </c>
    </row>
    <row r="414" spans="1:30" x14ac:dyDescent="0.25">
      <c r="A414" s="36" t="s">
        <v>27</v>
      </c>
      <c r="B414" s="36" t="s">
        <v>392</v>
      </c>
      <c r="C414" s="36" t="s">
        <v>28</v>
      </c>
      <c r="D414" s="36" t="s">
        <v>392</v>
      </c>
      <c r="E414" s="36" t="s">
        <v>30</v>
      </c>
      <c r="F414" s="36" t="s">
        <v>31</v>
      </c>
      <c r="G414" s="37" t="s">
        <v>314</v>
      </c>
      <c r="H414" s="36" t="s">
        <v>393</v>
      </c>
      <c r="I414" s="36" t="s">
        <v>394</v>
      </c>
      <c r="J414" s="36">
        <v>1</v>
      </c>
      <c r="K414" s="36" t="s">
        <v>326</v>
      </c>
      <c r="L414" s="36">
        <v>4</v>
      </c>
      <c r="M414" s="36">
        <v>1</v>
      </c>
      <c r="N414" s="38">
        <v>19000000</v>
      </c>
      <c r="O414" s="44">
        <v>1583333</v>
      </c>
      <c r="P414" s="36">
        <v>12</v>
      </c>
      <c r="Q414" s="36" t="s">
        <v>318</v>
      </c>
      <c r="R414" s="36" t="s">
        <v>395</v>
      </c>
      <c r="S414" s="36" t="s">
        <v>396</v>
      </c>
      <c r="T414" s="36" t="s">
        <v>397</v>
      </c>
      <c r="U414" s="36" t="s">
        <v>398</v>
      </c>
      <c r="V414" s="40">
        <v>45870</v>
      </c>
      <c r="W414" s="40">
        <v>45889</v>
      </c>
      <c r="X414" s="36">
        <v>0</v>
      </c>
      <c r="Y414" s="36"/>
      <c r="Z414" s="36">
        <v>1</v>
      </c>
      <c r="AA414" s="36">
        <v>1583333</v>
      </c>
      <c r="AB414" s="40">
        <v>46266</v>
      </c>
      <c r="AC414" s="36" t="s">
        <v>2196</v>
      </c>
      <c r="AD414" s="36" t="str">
        <f>VLOOKUP(D414,Oficial!A:C,3,0)</f>
        <v>Arrastre</v>
      </c>
    </row>
    <row r="415" spans="1:30" x14ac:dyDescent="0.25">
      <c r="A415" s="36" t="s">
        <v>27</v>
      </c>
      <c r="B415" s="36" t="s">
        <v>399</v>
      </c>
      <c r="C415" s="36" t="s">
        <v>28</v>
      </c>
      <c r="D415" s="36" t="s">
        <v>399</v>
      </c>
      <c r="E415" s="36" t="s">
        <v>30</v>
      </c>
      <c r="F415" s="36" t="s">
        <v>31</v>
      </c>
      <c r="G415" s="37" t="s">
        <v>314</v>
      </c>
      <c r="H415" s="36" t="s">
        <v>400</v>
      </c>
      <c r="I415" s="36" t="s">
        <v>401</v>
      </c>
      <c r="J415" s="36">
        <v>1</v>
      </c>
      <c r="K415" s="36" t="s">
        <v>326</v>
      </c>
      <c r="L415" s="36">
        <v>4</v>
      </c>
      <c r="M415" s="36">
        <v>1</v>
      </c>
      <c r="N415" s="38">
        <v>31500000</v>
      </c>
      <c r="O415" s="46">
        <v>2625000</v>
      </c>
      <c r="P415" s="36">
        <v>12</v>
      </c>
      <c r="Q415" s="36" t="s">
        <v>318</v>
      </c>
      <c r="R415" s="36" t="s">
        <v>402</v>
      </c>
      <c r="S415" s="36" t="s">
        <v>320</v>
      </c>
      <c r="T415" s="36" t="s">
        <v>403</v>
      </c>
      <c r="U415" s="36" t="s">
        <v>404</v>
      </c>
      <c r="V415" s="40">
        <v>45870</v>
      </c>
      <c r="W415" s="40">
        <v>45889</v>
      </c>
      <c r="X415" s="36">
        <v>0</v>
      </c>
      <c r="Y415" s="36"/>
      <c r="Z415" s="36">
        <v>1</v>
      </c>
      <c r="AA415" s="36">
        <v>2625000</v>
      </c>
      <c r="AB415" s="40">
        <v>46204</v>
      </c>
      <c r="AC415" s="36" t="s">
        <v>2196</v>
      </c>
      <c r="AD415" s="36" t="str">
        <f>VLOOKUP(D415,Oficial!A:C,3,0)</f>
        <v>Arrastre</v>
      </c>
    </row>
    <row r="416" spans="1:30" x14ac:dyDescent="0.25">
      <c r="A416" s="36" t="s">
        <v>27</v>
      </c>
      <c r="B416" s="36" t="s">
        <v>399</v>
      </c>
      <c r="C416" s="36" t="s">
        <v>28</v>
      </c>
      <c r="D416" s="36" t="s">
        <v>399</v>
      </c>
      <c r="E416" s="36" t="s">
        <v>30</v>
      </c>
      <c r="F416" s="36" t="s">
        <v>31</v>
      </c>
      <c r="G416" s="37" t="s">
        <v>314</v>
      </c>
      <c r="H416" s="36" t="s">
        <v>400</v>
      </c>
      <c r="I416" s="36" t="s">
        <v>401</v>
      </c>
      <c r="J416" s="36">
        <v>1</v>
      </c>
      <c r="K416" s="36" t="s">
        <v>326</v>
      </c>
      <c r="L416" s="36">
        <v>4</v>
      </c>
      <c r="M416" s="36">
        <v>1</v>
      </c>
      <c r="N416" s="38">
        <v>31500000</v>
      </c>
      <c r="O416" s="46">
        <v>2625000</v>
      </c>
      <c r="P416" s="36">
        <v>12</v>
      </c>
      <c r="Q416" s="36" t="s">
        <v>318</v>
      </c>
      <c r="R416" s="36" t="s">
        <v>402</v>
      </c>
      <c r="S416" s="36" t="s">
        <v>320</v>
      </c>
      <c r="T416" s="36" t="s">
        <v>403</v>
      </c>
      <c r="U416" s="36" t="s">
        <v>404</v>
      </c>
      <c r="V416" s="40">
        <v>45870</v>
      </c>
      <c r="W416" s="40">
        <v>45889</v>
      </c>
      <c r="X416" s="36">
        <v>0</v>
      </c>
      <c r="Y416" s="36"/>
      <c r="Z416" s="36">
        <v>1</v>
      </c>
      <c r="AA416" s="36">
        <v>2625000</v>
      </c>
      <c r="AB416" s="40">
        <v>46357</v>
      </c>
      <c r="AC416" s="36" t="s">
        <v>2196</v>
      </c>
      <c r="AD416" s="36" t="str">
        <f>VLOOKUP(D416,Oficial!A:C,3,0)</f>
        <v>Arrastre</v>
      </c>
    </row>
    <row r="417" spans="1:30" x14ac:dyDescent="0.25">
      <c r="A417" s="36" t="s">
        <v>27</v>
      </c>
      <c r="B417" s="36" t="s">
        <v>399</v>
      </c>
      <c r="C417" s="36" t="s">
        <v>28</v>
      </c>
      <c r="D417" s="36" t="s">
        <v>399</v>
      </c>
      <c r="E417" s="36" t="s">
        <v>30</v>
      </c>
      <c r="F417" s="36" t="s">
        <v>31</v>
      </c>
      <c r="G417" s="37" t="s">
        <v>314</v>
      </c>
      <c r="H417" s="36" t="s">
        <v>400</v>
      </c>
      <c r="I417" s="36" t="s">
        <v>401</v>
      </c>
      <c r="J417" s="36">
        <v>1</v>
      </c>
      <c r="K417" s="36" t="s">
        <v>326</v>
      </c>
      <c r="L417" s="36">
        <v>4</v>
      </c>
      <c r="M417" s="36">
        <v>1</v>
      </c>
      <c r="N417" s="38">
        <v>31500000</v>
      </c>
      <c r="O417" s="46">
        <v>2625000</v>
      </c>
      <c r="P417" s="36">
        <v>12</v>
      </c>
      <c r="Q417" s="36" t="s">
        <v>318</v>
      </c>
      <c r="R417" s="36" t="s">
        <v>402</v>
      </c>
      <c r="S417" s="36" t="s">
        <v>320</v>
      </c>
      <c r="T417" s="36" t="s">
        <v>403</v>
      </c>
      <c r="U417" s="36" t="s">
        <v>404</v>
      </c>
      <c r="V417" s="40">
        <v>45870</v>
      </c>
      <c r="W417" s="40">
        <v>45889</v>
      </c>
      <c r="X417" s="36">
        <v>0</v>
      </c>
      <c r="Y417" s="36"/>
      <c r="Z417" s="36">
        <v>1</v>
      </c>
      <c r="AA417" s="36">
        <v>2625000</v>
      </c>
      <c r="AB417" s="40">
        <v>46235</v>
      </c>
      <c r="AC417" s="36" t="s">
        <v>2196</v>
      </c>
      <c r="AD417" s="36" t="str">
        <f>VLOOKUP(D417,Oficial!A:C,3,0)</f>
        <v>Arrastre</v>
      </c>
    </row>
    <row r="418" spans="1:30" x14ac:dyDescent="0.25">
      <c r="A418" s="36" t="s">
        <v>27</v>
      </c>
      <c r="B418" s="36" t="s">
        <v>399</v>
      </c>
      <c r="C418" s="36" t="s">
        <v>28</v>
      </c>
      <c r="D418" s="36" t="s">
        <v>399</v>
      </c>
      <c r="E418" s="36" t="s">
        <v>30</v>
      </c>
      <c r="F418" s="36" t="s">
        <v>31</v>
      </c>
      <c r="G418" s="37" t="s">
        <v>314</v>
      </c>
      <c r="H418" s="36" t="s">
        <v>400</v>
      </c>
      <c r="I418" s="36" t="s">
        <v>401</v>
      </c>
      <c r="J418" s="36">
        <v>1</v>
      </c>
      <c r="K418" s="36" t="s">
        <v>326</v>
      </c>
      <c r="L418" s="36">
        <v>4</v>
      </c>
      <c r="M418" s="36">
        <v>1</v>
      </c>
      <c r="N418" s="38">
        <v>31500000</v>
      </c>
      <c r="O418" s="46">
        <v>2625000</v>
      </c>
      <c r="P418" s="36">
        <v>12</v>
      </c>
      <c r="Q418" s="36" t="s">
        <v>318</v>
      </c>
      <c r="R418" s="36" t="s">
        <v>402</v>
      </c>
      <c r="S418" s="36" t="s">
        <v>320</v>
      </c>
      <c r="T418" s="36" t="s">
        <v>403</v>
      </c>
      <c r="U418" s="36" t="s">
        <v>404</v>
      </c>
      <c r="V418" s="40">
        <v>45870</v>
      </c>
      <c r="W418" s="40">
        <v>45889</v>
      </c>
      <c r="X418" s="36">
        <v>0</v>
      </c>
      <c r="Y418" s="36"/>
      <c r="Z418" s="36">
        <v>1</v>
      </c>
      <c r="AA418" s="36">
        <v>2625000</v>
      </c>
      <c r="AB418" s="40">
        <v>46143</v>
      </c>
      <c r="AC418" s="36" t="s">
        <v>2196</v>
      </c>
      <c r="AD418" s="36" t="str">
        <f>VLOOKUP(D418,Oficial!A:C,3,0)</f>
        <v>Arrastre</v>
      </c>
    </row>
    <row r="419" spans="1:30" x14ac:dyDescent="0.25">
      <c r="A419" s="36" t="s">
        <v>27</v>
      </c>
      <c r="B419" s="36" t="s">
        <v>399</v>
      </c>
      <c r="C419" s="36" t="s">
        <v>28</v>
      </c>
      <c r="D419" s="36" t="s">
        <v>399</v>
      </c>
      <c r="E419" s="36" t="s">
        <v>30</v>
      </c>
      <c r="F419" s="36" t="s">
        <v>31</v>
      </c>
      <c r="G419" s="37" t="s">
        <v>314</v>
      </c>
      <c r="H419" s="36" t="s">
        <v>400</v>
      </c>
      <c r="I419" s="36" t="s">
        <v>401</v>
      </c>
      <c r="J419" s="36">
        <v>1</v>
      </c>
      <c r="K419" s="36" t="s">
        <v>326</v>
      </c>
      <c r="L419" s="36">
        <v>4</v>
      </c>
      <c r="M419" s="36">
        <v>1</v>
      </c>
      <c r="N419" s="38">
        <v>31500000</v>
      </c>
      <c r="O419" s="46">
        <v>2625000</v>
      </c>
      <c r="P419" s="36">
        <v>12</v>
      </c>
      <c r="Q419" s="36" t="s">
        <v>318</v>
      </c>
      <c r="R419" s="36" t="s">
        <v>402</v>
      </c>
      <c r="S419" s="36" t="s">
        <v>320</v>
      </c>
      <c r="T419" s="36" t="s">
        <v>403</v>
      </c>
      <c r="U419" s="36" t="s">
        <v>404</v>
      </c>
      <c r="V419" s="40">
        <v>45870</v>
      </c>
      <c r="W419" s="40">
        <v>45889</v>
      </c>
      <c r="X419" s="36">
        <v>0</v>
      </c>
      <c r="Y419" s="36"/>
      <c r="Z419" s="36">
        <v>1</v>
      </c>
      <c r="AA419" s="36">
        <v>2625000</v>
      </c>
      <c r="AB419" s="40">
        <v>46266</v>
      </c>
      <c r="AC419" s="36" t="s">
        <v>2196</v>
      </c>
      <c r="AD419" s="36" t="str">
        <f>VLOOKUP(D419,Oficial!A:C,3,0)</f>
        <v>Arrastre</v>
      </c>
    </row>
    <row r="420" spans="1:30" x14ac:dyDescent="0.25">
      <c r="A420" s="36" t="s">
        <v>27</v>
      </c>
      <c r="B420" s="36" t="s">
        <v>399</v>
      </c>
      <c r="C420" s="36" t="s">
        <v>28</v>
      </c>
      <c r="D420" s="36" t="s">
        <v>399</v>
      </c>
      <c r="E420" s="36" t="s">
        <v>30</v>
      </c>
      <c r="F420" s="36" t="s">
        <v>31</v>
      </c>
      <c r="G420" s="37" t="s">
        <v>314</v>
      </c>
      <c r="H420" s="36" t="s">
        <v>400</v>
      </c>
      <c r="I420" s="36" t="s">
        <v>401</v>
      </c>
      <c r="J420" s="36">
        <v>1</v>
      </c>
      <c r="K420" s="36" t="s">
        <v>326</v>
      </c>
      <c r="L420" s="36">
        <v>4</v>
      </c>
      <c r="M420" s="36">
        <v>1</v>
      </c>
      <c r="N420" s="38">
        <v>31500000</v>
      </c>
      <c r="O420" s="46">
        <v>2625000</v>
      </c>
      <c r="P420" s="36">
        <v>12</v>
      </c>
      <c r="Q420" s="36" t="s">
        <v>318</v>
      </c>
      <c r="R420" s="36" t="s">
        <v>402</v>
      </c>
      <c r="S420" s="36" t="s">
        <v>320</v>
      </c>
      <c r="T420" s="36" t="s">
        <v>403</v>
      </c>
      <c r="U420" s="36" t="s">
        <v>404</v>
      </c>
      <c r="V420" s="40">
        <v>45870</v>
      </c>
      <c r="W420" s="40">
        <v>45889</v>
      </c>
      <c r="X420" s="36">
        <v>0</v>
      </c>
      <c r="Y420" s="36"/>
      <c r="Z420" s="36">
        <v>1</v>
      </c>
      <c r="AA420" s="36">
        <v>2625000</v>
      </c>
      <c r="AB420" s="40">
        <v>46327</v>
      </c>
      <c r="AC420" s="36" t="s">
        <v>2196</v>
      </c>
      <c r="AD420" s="36" t="str">
        <f>VLOOKUP(D420,Oficial!A:C,3,0)</f>
        <v>Arrastre</v>
      </c>
    </row>
    <row r="421" spans="1:30" x14ac:dyDescent="0.25">
      <c r="A421" s="36" t="s">
        <v>27</v>
      </c>
      <c r="B421" s="36" t="s">
        <v>399</v>
      </c>
      <c r="C421" s="36" t="s">
        <v>28</v>
      </c>
      <c r="D421" s="36" t="s">
        <v>399</v>
      </c>
      <c r="E421" s="36" t="s">
        <v>30</v>
      </c>
      <c r="F421" s="36" t="s">
        <v>31</v>
      </c>
      <c r="G421" s="37" t="s">
        <v>314</v>
      </c>
      <c r="H421" s="36" t="s">
        <v>400</v>
      </c>
      <c r="I421" s="36" t="s">
        <v>401</v>
      </c>
      <c r="J421" s="36">
        <v>1</v>
      </c>
      <c r="K421" s="36" t="s">
        <v>326</v>
      </c>
      <c r="L421" s="36">
        <v>4</v>
      </c>
      <c r="M421" s="36">
        <v>1</v>
      </c>
      <c r="N421" s="38">
        <v>31500000</v>
      </c>
      <c r="O421" s="46">
        <v>2625000</v>
      </c>
      <c r="P421" s="36">
        <v>12</v>
      </c>
      <c r="Q421" s="36" t="s">
        <v>318</v>
      </c>
      <c r="R421" s="36" t="s">
        <v>402</v>
      </c>
      <c r="S421" s="36" t="s">
        <v>320</v>
      </c>
      <c r="T421" s="36" t="s">
        <v>403</v>
      </c>
      <c r="U421" s="36" t="s">
        <v>404</v>
      </c>
      <c r="V421" s="40">
        <v>45870</v>
      </c>
      <c r="W421" s="40">
        <v>45889</v>
      </c>
      <c r="X421" s="36">
        <v>0</v>
      </c>
      <c r="Y421" s="36"/>
      <c r="Z421" s="36">
        <v>1</v>
      </c>
      <c r="AA421" s="36">
        <v>2625000</v>
      </c>
      <c r="AB421" s="40">
        <v>46054</v>
      </c>
      <c r="AC421" s="36" t="s">
        <v>2196</v>
      </c>
      <c r="AD421" s="36" t="str">
        <f>VLOOKUP(D421,Oficial!A:C,3,0)</f>
        <v>Arrastre</v>
      </c>
    </row>
    <row r="422" spans="1:30" x14ac:dyDescent="0.25">
      <c r="A422" s="36" t="s">
        <v>27</v>
      </c>
      <c r="B422" s="36" t="s">
        <v>399</v>
      </c>
      <c r="C422" s="36" t="s">
        <v>28</v>
      </c>
      <c r="D422" s="36" t="s">
        <v>399</v>
      </c>
      <c r="E422" s="36" t="s">
        <v>30</v>
      </c>
      <c r="F422" s="36" t="s">
        <v>31</v>
      </c>
      <c r="G422" s="37" t="s">
        <v>314</v>
      </c>
      <c r="H422" s="36" t="s">
        <v>400</v>
      </c>
      <c r="I422" s="36" t="s">
        <v>401</v>
      </c>
      <c r="J422" s="36">
        <v>1</v>
      </c>
      <c r="K422" s="36" t="s">
        <v>326</v>
      </c>
      <c r="L422" s="36">
        <v>4</v>
      </c>
      <c r="M422" s="36">
        <v>1</v>
      </c>
      <c r="N422" s="38">
        <v>31500000</v>
      </c>
      <c r="O422" s="46">
        <v>2625000</v>
      </c>
      <c r="P422" s="36">
        <v>12</v>
      </c>
      <c r="Q422" s="36" t="s">
        <v>318</v>
      </c>
      <c r="R422" s="36" t="s">
        <v>402</v>
      </c>
      <c r="S422" s="36" t="s">
        <v>320</v>
      </c>
      <c r="T422" s="36" t="s">
        <v>403</v>
      </c>
      <c r="U422" s="36" t="s">
        <v>404</v>
      </c>
      <c r="V422" s="40">
        <v>45870</v>
      </c>
      <c r="W422" s="40">
        <v>45889</v>
      </c>
      <c r="X422" s="36">
        <v>0</v>
      </c>
      <c r="Y422" s="36"/>
      <c r="Z422" s="36">
        <v>1</v>
      </c>
      <c r="AA422" s="36">
        <v>2625000</v>
      </c>
      <c r="AB422" s="40">
        <v>46174</v>
      </c>
      <c r="AC422" s="36" t="s">
        <v>2196</v>
      </c>
      <c r="AD422" s="36" t="str">
        <f>VLOOKUP(D422,Oficial!A:C,3,0)</f>
        <v>Arrastre</v>
      </c>
    </row>
    <row r="423" spans="1:30" x14ac:dyDescent="0.25">
      <c r="A423" s="36" t="s">
        <v>27</v>
      </c>
      <c r="B423" s="36" t="s">
        <v>399</v>
      </c>
      <c r="C423" s="36" t="s">
        <v>28</v>
      </c>
      <c r="D423" s="36" t="s">
        <v>399</v>
      </c>
      <c r="E423" s="36" t="s">
        <v>30</v>
      </c>
      <c r="F423" s="36" t="s">
        <v>31</v>
      </c>
      <c r="G423" s="37" t="s">
        <v>314</v>
      </c>
      <c r="H423" s="36" t="s">
        <v>400</v>
      </c>
      <c r="I423" s="36" t="s">
        <v>401</v>
      </c>
      <c r="J423" s="36">
        <v>1</v>
      </c>
      <c r="K423" s="36" t="s">
        <v>326</v>
      </c>
      <c r="L423" s="36">
        <v>4</v>
      </c>
      <c r="M423" s="36">
        <v>1</v>
      </c>
      <c r="N423" s="38">
        <v>31500000</v>
      </c>
      <c r="O423" s="46">
        <v>2625000</v>
      </c>
      <c r="P423" s="36">
        <v>12</v>
      </c>
      <c r="Q423" s="36" t="s">
        <v>318</v>
      </c>
      <c r="R423" s="36" t="s">
        <v>402</v>
      </c>
      <c r="S423" s="36" t="s">
        <v>320</v>
      </c>
      <c r="T423" s="36" t="s">
        <v>403</v>
      </c>
      <c r="U423" s="36" t="s">
        <v>404</v>
      </c>
      <c r="V423" s="40">
        <v>45870</v>
      </c>
      <c r="W423" s="40">
        <v>45889</v>
      </c>
      <c r="X423" s="36">
        <v>0</v>
      </c>
      <c r="Y423" s="36"/>
      <c r="Z423" s="36">
        <v>1</v>
      </c>
      <c r="AA423" s="36">
        <v>2625000</v>
      </c>
      <c r="AB423" s="40">
        <v>46082</v>
      </c>
      <c r="AC423" s="36" t="s">
        <v>2196</v>
      </c>
      <c r="AD423" s="36" t="str">
        <f>VLOOKUP(D423,Oficial!A:C,3,0)</f>
        <v>Arrastre</v>
      </c>
    </row>
    <row r="424" spans="1:30" x14ac:dyDescent="0.25">
      <c r="A424" s="36" t="s">
        <v>27</v>
      </c>
      <c r="B424" s="36" t="s">
        <v>399</v>
      </c>
      <c r="C424" s="36" t="s">
        <v>28</v>
      </c>
      <c r="D424" s="36" t="s">
        <v>399</v>
      </c>
      <c r="E424" s="36" t="s">
        <v>30</v>
      </c>
      <c r="F424" s="36" t="s">
        <v>31</v>
      </c>
      <c r="G424" s="37" t="s">
        <v>314</v>
      </c>
      <c r="H424" s="36" t="s">
        <v>400</v>
      </c>
      <c r="I424" s="36" t="s">
        <v>401</v>
      </c>
      <c r="J424" s="36">
        <v>1</v>
      </c>
      <c r="K424" s="36" t="s">
        <v>326</v>
      </c>
      <c r="L424" s="36">
        <v>4</v>
      </c>
      <c r="M424" s="36">
        <v>1</v>
      </c>
      <c r="N424" s="38">
        <v>31500000</v>
      </c>
      <c r="O424" s="46">
        <v>2625000</v>
      </c>
      <c r="P424" s="36">
        <v>12</v>
      </c>
      <c r="Q424" s="36" t="s">
        <v>318</v>
      </c>
      <c r="R424" s="36" t="s">
        <v>402</v>
      </c>
      <c r="S424" s="36" t="s">
        <v>320</v>
      </c>
      <c r="T424" s="36" t="s">
        <v>403</v>
      </c>
      <c r="U424" s="36" t="s">
        <v>404</v>
      </c>
      <c r="V424" s="40">
        <v>45870</v>
      </c>
      <c r="W424" s="40">
        <v>45889</v>
      </c>
      <c r="X424" s="36">
        <v>0</v>
      </c>
      <c r="Y424" s="36"/>
      <c r="Z424" s="36">
        <v>1</v>
      </c>
      <c r="AA424" s="36">
        <v>2625000</v>
      </c>
      <c r="AB424" s="40">
        <v>46113</v>
      </c>
      <c r="AC424" s="36" t="s">
        <v>2196</v>
      </c>
      <c r="AD424" s="36" t="str">
        <f>VLOOKUP(D424,Oficial!A:C,3,0)</f>
        <v>Arrastre</v>
      </c>
    </row>
    <row r="425" spans="1:30" x14ac:dyDescent="0.25">
      <c r="A425" s="36" t="s">
        <v>27</v>
      </c>
      <c r="B425" s="36" t="s">
        <v>399</v>
      </c>
      <c r="C425" s="36" t="s">
        <v>28</v>
      </c>
      <c r="D425" s="36" t="s">
        <v>399</v>
      </c>
      <c r="E425" s="36" t="s">
        <v>30</v>
      </c>
      <c r="F425" s="36" t="s">
        <v>31</v>
      </c>
      <c r="G425" s="37" t="s">
        <v>314</v>
      </c>
      <c r="H425" s="36" t="s">
        <v>400</v>
      </c>
      <c r="I425" s="36" t="s">
        <v>401</v>
      </c>
      <c r="J425" s="36">
        <v>1</v>
      </c>
      <c r="K425" s="36" t="s">
        <v>326</v>
      </c>
      <c r="L425" s="36">
        <v>4</v>
      </c>
      <c r="M425" s="36">
        <v>1</v>
      </c>
      <c r="N425" s="38">
        <v>31500000</v>
      </c>
      <c r="O425" s="46">
        <v>2625000</v>
      </c>
      <c r="P425" s="36">
        <v>12</v>
      </c>
      <c r="Q425" s="36" t="s">
        <v>318</v>
      </c>
      <c r="R425" s="36" t="s">
        <v>402</v>
      </c>
      <c r="S425" s="36" t="s">
        <v>320</v>
      </c>
      <c r="T425" s="36" t="s">
        <v>403</v>
      </c>
      <c r="U425" s="36" t="s">
        <v>404</v>
      </c>
      <c r="V425" s="40">
        <v>45870</v>
      </c>
      <c r="W425" s="40">
        <v>45889</v>
      </c>
      <c r="X425" s="36">
        <v>0</v>
      </c>
      <c r="Y425" s="36"/>
      <c r="Z425" s="36">
        <v>1</v>
      </c>
      <c r="AA425" s="36">
        <v>2625000</v>
      </c>
      <c r="AB425" s="40">
        <v>46296</v>
      </c>
      <c r="AC425" s="36" t="s">
        <v>2196</v>
      </c>
      <c r="AD425" s="36" t="str">
        <f>VLOOKUP(D425,Oficial!A:C,3,0)</f>
        <v>Arrastre</v>
      </c>
    </row>
    <row r="426" spans="1:30" x14ac:dyDescent="0.25">
      <c r="A426" s="36" t="s">
        <v>27</v>
      </c>
      <c r="B426" s="36" t="s">
        <v>405</v>
      </c>
      <c r="C426" s="36" t="s">
        <v>28</v>
      </c>
      <c r="D426" s="36" t="s">
        <v>405</v>
      </c>
      <c r="E426" s="36" t="s">
        <v>30</v>
      </c>
      <c r="F426" s="36" t="s">
        <v>31</v>
      </c>
      <c r="G426" s="37" t="s">
        <v>314</v>
      </c>
      <c r="H426" s="36" t="s">
        <v>406</v>
      </c>
      <c r="I426" s="36" t="s">
        <v>407</v>
      </c>
      <c r="J426" s="36">
        <v>1</v>
      </c>
      <c r="K426" s="36" t="s">
        <v>326</v>
      </c>
      <c r="L426" s="36">
        <v>4</v>
      </c>
      <c r="M426" s="36">
        <v>1</v>
      </c>
      <c r="N426" s="38">
        <v>26000000</v>
      </c>
      <c r="O426" s="41">
        <v>2166667</v>
      </c>
      <c r="P426" s="36">
        <v>12</v>
      </c>
      <c r="Q426" s="36" t="s">
        <v>318</v>
      </c>
      <c r="R426" s="36" t="s">
        <v>360</v>
      </c>
      <c r="S426" s="36" t="s">
        <v>361</v>
      </c>
      <c r="T426" s="36" t="s">
        <v>362</v>
      </c>
      <c r="U426" s="36" t="s">
        <v>363</v>
      </c>
      <c r="V426" s="40">
        <v>45870</v>
      </c>
      <c r="W426" s="40">
        <v>45889</v>
      </c>
      <c r="X426" s="36">
        <v>0</v>
      </c>
      <c r="Y426" s="36"/>
      <c r="Z426" s="36">
        <v>1</v>
      </c>
      <c r="AA426" s="36">
        <v>2166667</v>
      </c>
      <c r="AB426" s="40">
        <v>46082</v>
      </c>
      <c r="AC426" s="36" t="s">
        <v>2196</v>
      </c>
      <c r="AD426" s="36" t="str">
        <f>VLOOKUP(D426,Oficial!A:C,3,0)</f>
        <v>Arrastre</v>
      </c>
    </row>
    <row r="427" spans="1:30" x14ac:dyDescent="0.25">
      <c r="A427" s="36" t="s">
        <v>27</v>
      </c>
      <c r="B427" s="36" t="s">
        <v>405</v>
      </c>
      <c r="C427" s="36" t="s">
        <v>28</v>
      </c>
      <c r="D427" s="36" t="s">
        <v>405</v>
      </c>
      <c r="E427" s="36" t="s">
        <v>30</v>
      </c>
      <c r="F427" s="36" t="s">
        <v>31</v>
      </c>
      <c r="G427" s="37" t="s">
        <v>314</v>
      </c>
      <c r="H427" s="36" t="s">
        <v>406</v>
      </c>
      <c r="I427" s="36" t="s">
        <v>407</v>
      </c>
      <c r="J427" s="36">
        <v>1</v>
      </c>
      <c r="K427" s="36" t="s">
        <v>326</v>
      </c>
      <c r="L427" s="36">
        <v>4</v>
      </c>
      <c r="M427" s="36">
        <v>1</v>
      </c>
      <c r="N427" s="38">
        <v>26000000</v>
      </c>
      <c r="O427" s="41">
        <v>2166667</v>
      </c>
      <c r="P427" s="36">
        <v>12</v>
      </c>
      <c r="Q427" s="36" t="s">
        <v>318</v>
      </c>
      <c r="R427" s="36" t="s">
        <v>360</v>
      </c>
      <c r="S427" s="36" t="s">
        <v>361</v>
      </c>
      <c r="T427" s="36" t="s">
        <v>362</v>
      </c>
      <c r="U427" s="36" t="s">
        <v>363</v>
      </c>
      <c r="V427" s="40">
        <v>45870</v>
      </c>
      <c r="W427" s="40">
        <v>45889</v>
      </c>
      <c r="X427" s="36">
        <v>0</v>
      </c>
      <c r="Y427" s="36"/>
      <c r="Z427" s="36">
        <v>1</v>
      </c>
      <c r="AA427" s="36">
        <v>2166667</v>
      </c>
      <c r="AB427" s="40">
        <v>46235</v>
      </c>
      <c r="AC427" s="36" t="s">
        <v>2196</v>
      </c>
      <c r="AD427" s="36" t="str">
        <f>VLOOKUP(D427,Oficial!A:C,3,0)</f>
        <v>Arrastre</v>
      </c>
    </row>
    <row r="428" spans="1:30" x14ac:dyDescent="0.25">
      <c r="A428" s="36" t="s">
        <v>27</v>
      </c>
      <c r="B428" s="36" t="s">
        <v>405</v>
      </c>
      <c r="C428" s="36" t="s">
        <v>28</v>
      </c>
      <c r="D428" s="36" t="s">
        <v>405</v>
      </c>
      <c r="E428" s="36" t="s">
        <v>30</v>
      </c>
      <c r="F428" s="36" t="s">
        <v>31</v>
      </c>
      <c r="G428" s="37" t="s">
        <v>314</v>
      </c>
      <c r="H428" s="36" t="s">
        <v>406</v>
      </c>
      <c r="I428" s="36" t="s">
        <v>407</v>
      </c>
      <c r="J428" s="36">
        <v>1</v>
      </c>
      <c r="K428" s="36" t="s">
        <v>326</v>
      </c>
      <c r="L428" s="36">
        <v>4</v>
      </c>
      <c r="M428" s="36">
        <v>1</v>
      </c>
      <c r="N428" s="38">
        <v>26000000</v>
      </c>
      <c r="O428" s="41">
        <v>2166667</v>
      </c>
      <c r="P428" s="36">
        <v>12</v>
      </c>
      <c r="Q428" s="36" t="s">
        <v>318</v>
      </c>
      <c r="R428" s="36" t="s">
        <v>360</v>
      </c>
      <c r="S428" s="36" t="s">
        <v>361</v>
      </c>
      <c r="T428" s="36" t="s">
        <v>362</v>
      </c>
      <c r="U428" s="36" t="s">
        <v>363</v>
      </c>
      <c r="V428" s="40">
        <v>45870</v>
      </c>
      <c r="W428" s="40">
        <v>45889</v>
      </c>
      <c r="X428" s="36">
        <v>0</v>
      </c>
      <c r="Y428" s="36"/>
      <c r="Z428" s="36">
        <v>1</v>
      </c>
      <c r="AA428" s="36">
        <v>2166667</v>
      </c>
      <c r="AB428" s="40">
        <v>46054</v>
      </c>
      <c r="AC428" s="36" t="s">
        <v>2196</v>
      </c>
      <c r="AD428" s="36" t="str">
        <f>VLOOKUP(D428,Oficial!A:C,3,0)</f>
        <v>Arrastre</v>
      </c>
    </row>
    <row r="429" spans="1:30" x14ac:dyDescent="0.25">
      <c r="A429" s="36" t="s">
        <v>27</v>
      </c>
      <c r="B429" s="36" t="s">
        <v>405</v>
      </c>
      <c r="C429" s="36" t="s">
        <v>28</v>
      </c>
      <c r="D429" s="36" t="s">
        <v>405</v>
      </c>
      <c r="E429" s="36" t="s">
        <v>30</v>
      </c>
      <c r="F429" s="36" t="s">
        <v>31</v>
      </c>
      <c r="G429" s="37" t="s">
        <v>314</v>
      </c>
      <c r="H429" s="36" t="s">
        <v>406</v>
      </c>
      <c r="I429" s="36" t="s">
        <v>407</v>
      </c>
      <c r="J429" s="36">
        <v>1</v>
      </c>
      <c r="K429" s="36" t="s">
        <v>326</v>
      </c>
      <c r="L429" s="36">
        <v>4</v>
      </c>
      <c r="M429" s="36">
        <v>1</v>
      </c>
      <c r="N429" s="38">
        <v>26000000</v>
      </c>
      <c r="O429" s="41">
        <v>2166667</v>
      </c>
      <c r="P429" s="36">
        <v>12</v>
      </c>
      <c r="Q429" s="36" t="s">
        <v>318</v>
      </c>
      <c r="R429" s="36" t="s">
        <v>360</v>
      </c>
      <c r="S429" s="36" t="s">
        <v>361</v>
      </c>
      <c r="T429" s="36" t="s">
        <v>362</v>
      </c>
      <c r="U429" s="36" t="s">
        <v>363</v>
      </c>
      <c r="V429" s="40">
        <v>45870</v>
      </c>
      <c r="W429" s="40">
        <v>45889</v>
      </c>
      <c r="X429" s="36">
        <v>0</v>
      </c>
      <c r="Y429" s="36"/>
      <c r="Z429" s="36">
        <v>1</v>
      </c>
      <c r="AA429" s="36">
        <v>2166667</v>
      </c>
      <c r="AB429" s="40">
        <v>46113</v>
      </c>
      <c r="AC429" s="36" t="s">
        <v>2196</v>
      </c>
      <c r="AD429" s="36" t="str">
        <f>VLOOKUP(D429,Oficial!A:C,3,0)</f>
        <v>Arrastre</v>
      </c>
    </row>
    <row r="430" spans="1:30" x14ac:dyDescent="0.25">
      <c r="A430" s="36" t="s">
        <v>27</v>
      </c>
      <c r="B430" s="36" t="s">
        <v>405</v>
      </c>
      <c r="C430" s="36" t="s">
        <v>28</v>
      </c>
      <c r="D430" s="36" t="s">
        <v>405</v>
      </c>
      <c r="E430" s="36" t="s">
        <v>30</v>
      </c>
      <c r="F430" s="36" t="s">
        <v>31</v>
      </c>
      <c r="G430" s="37" t="s">
        <v>314</v>
      </c>
      <c r="H430" s="36" t="s">
        <v>406</v>
      </c>
      <c r="I430" s="36" t="s">
        <v>407</v>
      </c>
      <c r="J430" s="36">
        <v>1</v>
      </c>
      <c r="K430" s="36" t="s">
        <v>326</v>
      </c>
      <c r="L430" s="36">
        <v>4</v>
      </c>
      <c r="M430" s="36">
        <v>1</v>
      </c>
      <c r="N430" s="38">
        <v>26000000</v>
      </c>
      <c r="O430" s="41">
        <v>2166667</v>
      </c>
      <c r="P430" s="36">
        <v>12</v>
      </c>
      <c r="Q430" s="36" t="s">
        <v>318</v>
      </c>
      <c r="R430" s="36" t="s">
        <v>360</v>
      </c>
      <c r="S430" s="36" t="s">
        <v>361</v>
      </c>
      <c r="T430" s="36" t="s">
        <v>362</v>
      </c>
      <c r="U430" s="36" t="s">
        <v>363</v>
      </c>
      <c r="V430" s="40">
        <v>45870</v>
      </c>
      <c r="W430" s="40">
        <v>45889</v>
      </c>
      <c r="X430" s="36">
        <v>0</v>
      </c>
      <c r="Y430" s="36"/>
      <c r="Z430" s="36">
        <v>1</v>
      </c>
      <c r="AA430" s="36">
        <v>2166667</v>
      </c>
      <c r="AB430" s="40">
        <v>46296</v>
      </c>
      <c r="AC430" s="36" t="s">
        <v>2196</v>
      </c>
      <c r="AD430" s="36" t="str">
        <f>VLOOKUP(D430,Oficial!A:C,3,0)</f>
        <v>Arrastre</v>
      </c>
    </row>
    <row r="431" spans="1:30" x14ac:dyDescent="0.25">
      <c r="A431" s="36" t="s">
        <v>27</v>
      </c>
      <c r="B431" s="36" t="s">
        <v>405</v>
      </c>
      <c r="C431" s="36" t="s">
        <v>28</v>
      </c>
      <c r="D431" s="36" t="s">
        <v>405</v>
      </c>
      <c r="E431" s="36" t="s">
        <v>30</v>
      </c>
      <c r="F431" s="36" t="s">
        <v>31</v>
      </c>
      <c r="G431" s="37" t="s">
        <v>314</v>
      </c>
      <c r="H431" s="36" t="s">
        <v>406</v>
      </c>
      <c r="I431" s="36" t="s">
        <v>407</v>
      </c>
      <c r="J431" s="36">
        <v>1</v>
      </c>
      <c r="K431" s="36" t="s">
        <v>326</v>
      </c>
      <c r="L431" s="36">
        <v>4</v>
      </c>
      <c r="M431" s="36">
        <v>1</v>
      </c>
      <c r="N431" s="38">
        <v>26000000</v>
      </c>
      <c r="O431" s="41">
        <v>2166667</v>
      </c>
      <c r="P431" s="36">
        <v>12</v>
      </c>
      <c r="Q431" s="36" t="s">
        <v>318</v>
      </c>
      <c r="R431" s="36" t="s">
        <v>360</v>
      </c>
      <c r="S431" s="36" t="s">
        <v>361</v>
      </c>
      <c r="T431" s="36" t="s">
        <v>362</v>
      </c>
      <c r="U431" s="36" t="s">
        <v>363</v>
      </c>
      <c r="V431" s="40">
        <v>45870</v>
      </c>
      <c r="W431" s="40">
        <v>45889</v>
      </c>
      <c r="X431" s="36">
        <v>0</v>
      </c>
      <c r="Y431" s="36"/>
      <c r="Z431" s="36">
        <v>1</v>
      </c>
      <c r="AA431" s="36">
        <v>2166667</v>
      </c>
      <c r="AB431" s="40">
        <v>46143</v>
      </c>
      <c r="AC431" s="36" t="s">
        <v>2196</v>
      </c>
      <c r="AD431" s="36" t="str">
        <f>VLOOKUP(D431,Oficial!A:C,3,0)</f>
        <v>Arrastre</v>
      </c>
    </row>
    <row r="432" spans="1:30" x14ac:dyDescent="0.25">
      <c r="A432" s="36" t="s">
        <v>27</v>
      </c>
      <c r="B432" s="36" t="s">
        <v>405</v>
      </c>
      <c r="C432" s="36" t="s">
        <v>28</v>
      </c>
      <c r="D432" s="36" t="s">
        <v>405</v>
      </c>
      <c r="E432" s="36" t="s">
        <v>30</v>
      </c>
      <c r="F432" s="36" t="s">
        <v>31</v>
      </c>
      <c r="G432" s="37" t="s">
        <v>314</v>
      </c>
      <c r="H432" s="36" t="s">
        <v>406</v>
      </c>
      <c r="I432" s="36" t="s">
        <v>407</v>
      </c>
      <c r="J432" s="36">
        <v>1</v>
      </c>
      <c r="K432" s="36" t="s">
        <v>326</v>
      </c>
      <c r="L432" s="36">
        <v>4</v>
      </c>
      <c r="M432" s="36">
        <v>1</v>
      </c>
      <c r="N432" s="38">
        <v>26000000</v>
      </c>
      <c r="O432" s="41">
        <v>2166667</v>
      </c>
      <c r="P432" s="36">
        <v>12</v>
      </c>
      <c r="Q432" s="36" t="s">
        <v>318</v>
      </c>
      <c r="R432" s="36" t="s">
        <v>360</v>
      </c>
      <c r="S432" s="36" t="s">
        <v>361</v>
      </c>
      <c r="T432" s="36" t="s">
        <v>362</v>
      </c>
      <c r="U432" s="36" t="s">
        <v>363</v>
      </c>
      <c r="V432" s="40">
        <v>45870</v>
      </c>
      <c r="W432" s="40">
        <v>45889</v>
      </c>
      <c r="X432" s="36">
        <v>0</v>
      </c>
      <c r="Y432" s="36"/>
      <c r="Z432" s="36">
        <v>1</v>
      </c>
      <c r="AA432" s="36">
        <v>2166667</v>
      </c>
      <c r="AB432" s="40">
        <v>46174</v>
      </c>
      <c r="AC432" s="36" t="s">
        <v>2196</v>
      </c>
      <c r="AD432" s="36" t="str">
        <f>VLOOKUP(D432,Oficial!A:C,3,0)</f>
        <v>Arrastre</v>
      </c>
    </row>
    <row r="433" spans="1:30" x14ac:dyDescent="0.25">
      <c r="A433" s="36" t="s">
        <v>27</v>
      </c>
      <c r="B433" s="36" t="s">
        <v>405</v>
      </c>
      <c r="C433" s="36" t="s">
        <v>28</v>
      </c>
      <c r="D433" s="36" t="s">
        <v>405</v>
      </c>
      <c r="E433" s="36" t="s">
        <v>30</v>
      </c>
      <c r="F433" s="36" t="s">
        <v>31</v>
      </c>
      <c r="G433" s="37" t="s">
        <v>314</v>
      </c>
      <c r="H433" s="36" t="s">
        <v>406</v>
      </c>
      <c r="I433" s="36" t="s">
        <v>407</v>
      </c>
      <c r="J433" s="36">
        <v>1</v>
      </c>
      <c r="K433" s="36" t="s">
        <v>326</v>
      </c>
      <c r="L433" s="36">
        <v>4</v>
      </c>
      <c r="M433" s="36">
        <v>1</v>
      </c>
      <c r="N433" s="38">
        <v>26000000</v>
      </c>
      <c r="O433" s="41">
        <v>2166667</v>
      </c>
      <c r="P433" s="36">
        <v>12</v>
      </c>
      <c r="Q433" s="36" t="s">
        <v>318</v>
      </c>
      <c r="R433" s="36" t="s">
        <v>360</v>
      </c>
      <c r="S433" s="36" t="s">
        <v>361</v>
      </c>
      <c r="T433" s="36" t="s">
        <v>362</v>
      </c>
      <c r="U433" s="36" t="s">
        <v>363</v>
      </c>
      <c r="V433" s="40">
        <v>45870</v>
      </c>
      <c r="W433" s="40">
        <v>45889</v>
      </c>
      <c r="X433" s="36">
        <v>0</v>
      </c>
      <c r="Y433" s="36"/>
      <c r="Z433" s="36">
        <v>1</v>
      </c>
      <c r="AA433" s="36">
        <v>2166667</v>
      </c>
      <c r="AB433" s="40">
        <v>46327</v>
      </c>
      <c r="AC433" s="36" t="s">
        <v>2196</v>
      </c>
      <c r="AD433" s="36" t="str">
        <f>VLOOKUP(D433,Oficial!A:C,3,0)</f>
        <v>Arrastre</v>
      </c>
    </row>
    <row r="434" spans="1:30" x14ac:dyDescent="0.25">
      <c r="A434" s="36" t="s">
        <v>27</v>
      </c>
      <c r="B434" s="36" t="s">
        <v>405</v>
      </c>
      <c r="C434" s="36" t="s">
        <v>28</v>
      </c>
      <c r="D434" s="36" t="s">
        <v>405</v>
      </c>
      <c r="E434" s="36" t="s">
        <v>30</v>
      </c>
      <c r="F434" s="36" t="s">
        <v>31</v>
      </c>
      <c r="G434" s="37" t="s">
        <v>314</v>
      </c>
      <c r="H434" s="36" t="s">
        <v>406</v>
      </c>
      <c r="I434" s="36" t="s">
        <v>407</v>
      </c>
      <c r="J434" s="36">
        <v>1</v>
      </c>
      <c r="K434" s="36" t="s">
        <v>326</v>
      </c>
      <c r="L434" s="36">
        <v>4</v>
      </c>
      <c r="M434" s="36">
        <v>1</v>
      </c>
      <c r="N434" s="38">
        <v>26000000</v>
      </c>
      <c r="O434" s="41">
        <v>2166667</v>
      </c>
      <c r="P434" s="36">
        <v>12</v>
      </c>
      <c r="Q434" s="36" t="s">
        <v>318</v>
      </c>
      <c r="R434" s="36" t="s">
        <v>360</v>
      </c>
      <c r="S434" s="36" t="s">
        <v>361</v>
      </c>
      <c r="T434" s="36" t="s">
        <v>362</v>
      </c>
      <c r="U434" s="36" t="s">
        <v>363</v>
      </c>
      <c r="V434" s="40">
        <v>45870</v>
      </c>
      <c r="W434" s="40">
        <v>45889</v>
      </c>
      <c r="X434" s="36">
        <v>0</v>
      </c>
      <c r="Y434" s="36"/>
      <c r="Z434" s="36">
        <v>1</v>
      </c>
      <c r="AA434" s="36">
        <v>2166667</v>
      </c>
      <c r="AB434" s="40">
        <v>46357</v>
      </c>
      <c r="AC434" s="36" t="s">
        <v>2196</v>
      </c>
      <c r="AD434" s="36" t="str">
        <f>VLOOKUP(D434,Oficial!A:C,3,0)</f>
        <v>Arrastre</v>
      </c>
    </row>
    <row r="435" spans="1:30" x14ac:dyDescent="0.25">
      <c r="A435" s="36" t="s">
        <v>27</v>
      </c>
      <c r="B435" s="36" t="s">
        <v>405</v>
      </c>
      <c r="C435" s="36" t="s">
        <v>28</v>
      </c>
      <c r="D435" s="36" t="s">
        <v>405</v>
      </c>
      <c r="E435" s="36" t="s">
        <v>30</v>
      </c>
      <c r="F435" s="36" t="s">
        <v>31</v>
      </c>
      <c r="G435" s="37" t="s">
        <v>314</v>
      </c>
      <c r="H435" s="36" t="s">
        <v>406</v>
      </c>
      <c r="I435" s="36" t="s">
        <v>407</v>
      </c>
      <c r="J435" s="36">
        <v>1</v>
      </c>
      <c r="K435" s="36" t="s">
        <v>326</v>
      </c>
      <c r="L435" s="36">
        <v>4</v>
      </c>
      <c r="M435" s="36">
        <v>1</v>
      </c>
      <c r="N435" s="38">
        <v>26000000</v>
      </c>
      <c r="O435" s="41">
        <v>2166667</v>
      </c>
      <c r="P435" s="36">
        <v>12</v>
      </c>
      <c r="Q435" s="36" t="s">
        <v>318</v>
      </c>
      <c r="R435" s="36" t="s">
        <v>360</v>
      </c>
      <c r="S435" s="36" t="s">
        <v>361</v>
      </c>
      <c r="T435" s="36" t="s">
        <v>362</v>
      </c>
      <c r="U435" s="36" t="s">
        <v>363</v>
      </c>
      <c r="V435" s="40">
        <v>45870</v>
      </c>
      <c r="W435" s="40">
        <v>45889</v>
      </c>
      <c r="X435" s="36">
        <v>0</v>
      </c>
      <c r="Y435" s="36"/>
      <c r="Z435" s="36">
        <v>1</v>
      </c>
      <c r="AA435" s="36">
        <v>2166667</v>
      </c>
      <c r="AB435" s="40">
        <v>46204</v>
      </c>
      <c r="AC435" s="36" t="s">
        <v>2196</v>
      </c>
      <c r="AD435" s="36" t="str">
        <f>VLOOKUP(D435,Oficial!A:C,3,0)</f>
        <v>Arrastre</v>
      </c>
    </row>
    <row r="436" spans="1:30" x14ac:dyDescent="0.25">
      <c r="A436" s="36" t="s">
        <v>27</v>
      </c>
      <c r="B436" s="36" t="s">
        <v>405</v>
      </c>
      <c r="C436" s="36" t="s">
        <v>28</v>
      </c>
      <c r="D436" s="36" t="s">
        <v>405</v>
      </c>
      <c r="E436" s="36" t="s">
        <v>30</v>
      </c>
      <c r="F436" s="36" t="s">
        <v>31</v>
      </c>
      <c r="G436" s="37" t="s">
        <v>314</v>
      </c>
      <c r="H436" s="36" t="s">
        <v>406</v>
      </c>
      <c r="I436" s="36" t="s">
        <v>407</v>
      </c>
      <c r="J436" s="36">
        <v>1</v>
      </c>
      <c r="K436" s="36" t="s">
        <v>326</v>
      </c>
      <c r="L436" s="36">
        <v>4</v>
      </c>
      <c r="M436" s="36">
        <v>1</v>
      </c>
      <c r="N436" s="38">
        <v>26000000</v>
      </c>
      <c r="O436" s="41">
        <v>2166667</v>
      </c>
      <c r="P436" s="36">
        <v>12</v>
      </c>
      <c r="Q436" s="36" t="s">
        <v>318</v>
      </c>
      <c r="R436" s="36" t="s">
        <v>360</v>
      </c>
      <c r="S436" s="36" t="s">
        <v>361</v>
      </c>
      <c r="T436" s="36" t="s">
        <v>362</v>
      </c>
      <c r="U436" s="36" t="s">
        <v>363</v>
      </c>
      <c r="V436" s="40">
        <v>45870</v>
      </c>
      <c r="W436" s="40">
        <v>45889</v>
      </c>
      <c r="X436" s="36">
        <v>0</v>
      </c>
      <c r="Y436" s="36"/>
      <c r="Z436" s="36">
        <v>1</v>
      </c>
      <c r="AA436" s="36">
        <v>2166667</v>
      </c>
      <c r="AB436" s="40">
        <v>46266</v>
      </c>
      <c r="AC436" s="36" t="s">
        <v>2196</v>
      </c>
      <c r="AD436" s="36" t="str">
        <f>VLOOKUP(D436,Oficial!A:C,3,0)</f>
        <v>Arrastre</v>
      </c>
    </row>
    <row r="437" spans="1:30" x14ac:dyDescent="0.25">
      <c r="A437" s="36" t="s">
        <v>27</v>
      </c>
      <c r="B437" s="36" t="s">
        <v>408</v>
      </c>
      <c r="C437" s="36" t="s">
        <v>28</v>
      </c>
      <c r="D437" s="36" t="s">
        <v>408</v>
      </c>
      <c r="E437" s="36" t="s">
        <v>30</v>
      </c>
      <c r="F437" s="36" t="s">
        <v>31</v>
      </c>
      <c r="G437" s="37" t="s">
        <v>409</v>
      </c>
      <c r="H437" s="36" t="s">
        <v>410</v>
      </c>
      <c r="I437" s="36" t="s">
        <v>411</v>
      </c>
      <c r="J437" s="36">
        <v>1</v>
      </c>
      <c r="K437" s="36" t="s">
        <v>412</v>
      </c>
      <c r="L437" s="36">
        <v>4</v>
      </c>
      <c r="M437" s="36">
        <v>1</v>
      </c>
      <c r="N437" s="38">
        <v>500000000</v>
      </c>
      <c r="O437" s="42">
        <v>41666666</v>
      </c>
      <c r="P437" s="36">
        <v>12</v>
      </c>
      <c r="Q437" s="36" t="s">
        <v>413</v>
      </c>
      <c r="R437" s="36" t="s">
        <v>414</v>
      </c>
      <c r="S437" s="36" t="s">
        <v>415</v>
      </c>
      <c r="T437" s="36" t="s">
        <v>416</v>
      </c>
      <c r="U437" s="36" t="s">
        <v>417</v>
      </c>
      <c r="V437" s="40">
        <v>45870</v>
      </c>
      <c r="W437" s="40">
        <v>45889</v>
      </c>
      <c r="X437" s="36">
        <v>0</v>
      </c>
      <c r="Y437" s="36"/>
      <c r="Z437" s="36">
        <v>1</v>
      </c>
      <c r="AA437" s="36">
        <v>41666666</v>
      </c>
      <c r="AB437" s="40">
        <v>46174</v>
      </c>
      <c r="AC437" s="36" t="s">
        <v>2196</v>
      </c>
      <c r="AD437" s="36" t="str">
        <f>VLOOKUP(D437,Oficial!A:C,3,0)</f>
        <v>Arrastre</v>
      </c>
    </row>
    <row r="438" spans="1:30" x14ac:dyDescent="0.25">
      <c r="A438" s="36" t="s">
        <v>27</v>
      </c>
      <c r="B438" s="36" t="s">
        <v>408</v>
      </c>
      <c r="C438" s="36" t="s">
        <v>28</v>
      </c>
      <c r="D438" s="36" t="s">
        <v>408</v>
      </c>
      <c r="E438" s="36" t="s">
        <v>30</v>
      </c>
      <c r="F438" s="36" t="s">
        <v>31</v>
      </c>
      <c r="G438" s="37" t="s">
        <v>409</v>
      </c>
      <c r="H438" s="36" t="s">
        <v>410</v>
      </c>
      <c r="I438" s="36" t="s">
        <v>411</v>
      </c>
      <c r="J438" s="36">
        <v>1</v>
      </c>
      <c r="K438" s="36" t="s">
        <v>412</v>
      </c>
      <c r="L438" s="36">
        <v>4</v>
      </c>
      <c r="M438" s="36">
        <v>1</v>
      </c>
      <c r="N438" s="38">
        <v>500000000</v>
      </c>
      <c r="O438" s="42">
        <v>41666666</v>
      </c>
      <c r="P438" s="36">
        <v>12</v>
      </c>
      <c r="Q438" s="36" t="s">
        <v>413</v>
      </c>
      <c r="R438" s="36" t="s">
        <v>414</v>
      </c>
      <c r="S438" s="36" t="s">
        <v>415</v>
      </c>
      <c r="T438" s="36" t="s">
        <v>416</v>
      </c>
      <c r="U438" s="36" t="s">
        <v>417</v>
      </c>
      <c r="V438" s="40">
        <v>45870</v>
      </c>
      <c r="W438" s="40">
        <v>45889</v>
      </c>
      <c r="X438" s="36">
        <v>0</v>
      </c>
      <c r="Y438" s="36"/>
      <c r="Z438" s="36">
        <v>1</v>
      </c>
      <c r="AA438" s="36">
        <v>41666666</v>
      </c>
      <c r="AB438" s="40">
        <v>46327</v>
      </c>
      <c r="AC438" s="36" t="s">
        <v>2196</v>
      </c>
      <c r="AD438" s="36" t="str">
        <f>VLOOKUP(D438,Oficial!A:C,3,0)</f>
        <v>Arrastre</v>
      </c>
    </row>
    <row r="439" spans="1:30" x14ac:dyDescent="0.25">
      <c r="A439" s="36" t="s">
        <v>27</v>
      </c>
      <c r="B439" s="36" t="s">
        <v>408</v>
      </c>
      <c r="C439" s="36" t="s">
        <v>28</v>
      </c>
      <c r="D439" s="36" t="s">
        <v>408</v>
      </c>
      <c r="E439" s="36" t="s">
        <v>30</v>
      </c>
      <c r="F439" s="36" t="s">
        <v>31</v>
      </c>
      <c r="G439" s="37" t="s">
        <v>409</v>
      </c>
      <c r="H439" s="36" t="s">
        <v>410</v>
      </c>
      <c r="I439" s="36" t="s">
        <v>411</v>
      </c>
      <c r="J439" s="36">
        <v>1</v>
      </c>
      <c r="K439" s="36" t="s">
        <v>412</v>
      </c>
      <c r="L439" s="36">
        <v>4</v>
      </c>
      <c r="M439" s="36">
        <v>1</v>
      </c>
      <c r="N439" s="38">
        <v>500000000</v>
      </c>
      <c r="O439" s="42">
        <v>41666666</v>
      </c>
      <c r="P439" s="36">
        <v>12</v>
      </c>
      <c r="Q439" s="36" t="s">
        <v>413</v>
      </c>
      <c r="R439" s="36" t="s">
        <v>414</v>
      </c>
      <c r="S439" s="36" t="s">
        <v>415</v>
      </c>
      <c r="T439" s="36" t="s">
        <v>416</v>
      </c>
      <c r="U439" s="36" t="s">
        <v>417</v>
      </c>
      <c r="V439" s="40">
        <v>45870</v>
      </c>
      <c r="W439" s="40">
        <v>45889</v>
      </c>
      <c r="X439" s="36">
        <v>0</v>
      </c>
      <c r="Y439" s="36"/>
      <c r="Z439" s="36">
        <v>1</v>
      </c>
      <c r="AA439" s="36">
        <v>41666666</v>
      </c>
      <c r="AB439" s="40">
        <v>46113</v>
      </c>
      <c r="AC439" s="36" t="s">
        <v>2196</v>
      </c>
      <c r="AD439" s="36" t="str">
        <f>VLOOKUP(D439,Oficial!A:C,3,0)</f>
        <v>Arrastre</v>
      </c>
    </row>
    <row r="440" spans="1:30" x14ac:dyDescent="0.25">
      <c r="A440" s="36" t="s">
        <v>27</v>
      </c>
      <c r="B440" s="36" t="s">
        <v>408</v>
      </c>
      <c r="C440" s="36" t="s">
        <v>28</v>
      </c>
      <c r="D440" s="36" t="s">
        <v>408</v>
      </c>
      <c r="E440" s="36" t="s">
        <v>30</v>
      </c>
      <c r="F440" s="36" t="s">
        <v>31</v>
      </c>
      <c r="G440" s="37" t="s">
        <v>409</v>
      </c>
      <c r="H440" s="36" t="s">
        <v>410</v>
      </c>
      <c r="I440" s="36" t="s">
        <v>411</v>
      </c>
      <c r="J440" s="36">
        <v>1</v>
      </c>
      <c r="K440" s="36" t="s">
        <v>412</v>
      </c>
      <c r="L440" s="36">
        <v>4</v>
      </c>
      <c r="M440" s="36">
        <v>1</v>
      </c>
      <c r="N440" s="38">
        <v>500000000</v>
      </c>
      <c r="O440" s="42">
        <v>41666666</v>
      </c>
      <c r="P440" s="36">
        <v>12</v>
      </c>
      <c r="Q440" s="36" t="s">
        <v>413</v>
      </c>
      <c r="R440" s="36" t="s">
        <v>414</v>
      </c>
      <c r="S440" s="36" t="s">
        <v>415</v>
      </c>
      <c r="T440" s="36" t="s">
        <v>416</v>
      </c>
      <c r="U440" s="36" t="s">
        <v>417</v>
      </c>
      <c r="V440" s="40">
        <v>45870</v>
      </c>
      <c r="W440" s="40">
        <v>45889</v>
      </c>
      <c r="X440" s="36">
        <v>0</v>
      </c>
      <c r="Y440" s="36"/>
      <c r="Z440" s="36">
        <v>1</v>
      </c>
      <c r="AA440" s="36">
        <v>41666666</v>
      </c>
      <c r="AB440" s="40">
        <v>46023</v>
      </c>
      <c r="AC440" s="36" t="s">
        <v>2196</v>
      </c>
      <c r="AD440" s="36" t="str">
        <f>VLOOKUP(D440,Oficial!A:C,3,0)</f>
        <v>Arrastre</v>
      </c>
    </row>
    <row r="441" spans="1:30" x14ac:dyDescent="0.25">
      <c r="A441" s="36" t="s">
        <v>27</v>
      </c>
      <c r="B441" s="36" t="s">
        <v>408</v>
      </c>
      <c r="C441" s="36" t="s">
        <v>28</v>
      </c>
      <c r="D441" s="36" t="s">
        <v>408</v>
      </c>
      <c r="E441" s="36" t="s">
        <v>30</v>
      </c>
      <c r="F441" s="36" t="s">
        <v>31</v>
      </c>
      <c r="G441" s="37" t="s">
        <v>409</v>
      </c>
      <c r="H441" s="36" t="s">
        <v>410</v>
      </c>
      <c r="I441" s="36" t="s">
        <v>411</v>
      </c>
      <c r="J441" s="36">
        <v>1</v>
      </c>
      <c r="K441" s="36" t="s">
        <v>412</v>
      </c>
      <c r="L441" s="36">
        <v>4</v>
      </c>
      <c r="M441" s="36">
        <v>1</v>
      </c>
      <c r="N441" s="38">
        <v>500000000</v>
      </c>
      <c r="O441" s="42">
        <v>41666666</v>
      </c>
      <c r="P441" s="36">
        <v>12</v>
      </c>
      <c r="Q441" s="36" t="s">
        <v>413</v>
      </c>
      <c r="R441" s="36" t="s">
        <v>414</v>
      </c>
      <c r="S441" s="36" t="s">
        <v>415</v>
      </c>
      <c r="T441" s="36" t="s">
        <v>416</v>
      </c>
      <c r="U441" s="36" t="s">
        <v>417</v>
      </c>
      <c r="V441" s="40">
        <v>45870</v>
      </c>
      <c r="W441" s="40">
        <v>45889</v>
      </c>
      <c r="X441" s="36">
        <v>0</v>
      </c>
      <c r="Y441" s="36"/>
      <c r="Z441" s="36">
        <v>1</v>
      </c>
      <c r="AA441" s="36">
        <v>41666666</v>
      </c>
      <c r="AB441" s="40">
        <v>46296</v>
      </c>
      <c r="AC441" s="36" t="s">
        <v>2196</v>
      </c>
      <c r="AD441" s="36" t="str">
        <f>VLOOKUP(D441,Oficial!A:C,3,0)</f>
        <v>Arrastre</v>
      </c>
    </row>
    <row r="442" spans="1:30" x14ac:dyDescent="0.25">
      <c r="A442" s="36" t="s">
        <v>27</v>
      </c>
      <c r="B442" s="36" t="s">
        <v>408</v>
      </c>
      <c r="C442" s="36" t="s">
        <v>28</v>
      </c>
      <c r="D442" s="36" t="s">
        <v>408</v>
      </c>
      <c r="E442" s="36" t="s">
        <v>30</v>
      </c>
      <c r="F442" s="36" t="s">
        <v>31</v>
      </c>
      <c r="G442" s="37" t="s">
        <v>409</v>
      </c>
      <c r="H442" s="36" t="s">
        <v>410</v>
      </c>
      <c r="I442" s="36" t="s">
        <v>411</v>
      </c>
      <c r="J442" s="36">
        <v>1</v>
      </c>
      <c r="K442" s="36" t="s">
        <v>412</v>
      </c>
      <c r="L442" s="36">
        <v>4</v>
      </c>
      <c r="M442" s="36">
        <v>1</v>
      </c>
      <c r="N442" s="38">
        <v>500000000</v>
      </c>
      <c r="O442" s="42">
        <v>41666666</v>
      </c>
      <c r="P442" s="36">
        <v>12</v>
      </c>
      <c r="Q442" s="36" t="s">
        <v>413</v>
      </c>
      <c r="R442" s="36" t="s">
        <v>414</v>
      </c>
      <c r="S442" s="36" t="s">
        <v>415</v>
      </c>
      <c r="T442" s="36" t="s">
        <v>416</v>
      </c>
      <c r="U442" s="36" t="s">
        <v>417</v>
      </c>
      <c r="V442" s="40">
        <v>45870</v>
      </c>
      <c r="W442" s="40">
        <v>45889</v>
      </c>
      <c r="X442" s="36">
        <v>0</v>
      </c>
      <c r="Y442" s="36"/>
      <c r="Z442" s="36">
        <v>1</v>
      </c>
      <c r="AA442" s="36">
        <v>41666666</v>
      </c>
      <c r="AB442" s="40">
        <v>46235</v>
      </c>
      <c r="AC442" s="36" t="s">
        <v>2196</v>
      </c>
      <c r="AD442" s="36" t="str">
        <f>VLOOKUP(D442,Oficial!A:C,3,0)</f>
        <v>Arrastre</v>
      </c>
    </row>
    <row r="443" spans="1:30" x14ac:dyDescent="0.25">
      <c r="A443" s="36" t="s">
        <v>27</v>
      </c>
      <c r="B443" s="36" t="s">
        <v>408</v>
      </c>
      <c r="C443" s="36" t="s">
        <v>28</v>
      </c>
      <c r="D443" s="36" t="s">
        <v>408</v>
      </c>
      <c r="E443" s="36" t="s">
        <v>30</v>
      </c>
      <c r="F443" s="36" t="s">
        <v>31</v>
      </c>
      <c r="G443" s="37" t="s">
        <v>409</v>
      </c>
      <c r="H443" s="36" t="s">
        <v>410</v>
      </c>
      <c r="I443" s="36" t="s">
        <v>411</v>
      </c>
      <c r="J443" s="36">
        <v>1</v>
      </c>
      <c r="K443" s="36" t="s">
        <v>412</v>
      </c>
      <c r="L443" s="36">
        <v>4</v>
      </c>
      <c r="M443" s="36">
        <v>1</v>
      </c>
      <c r="N443" s="38">
        <v>500000000</v>
      </c>
      <c r="O443" s="42">
        <v>41666666</v>
      </c>
      <c r="P443" s="36">
        <v>12</v>
      </c>
      <c r="Q443" s="36" t="s">
        <v>413</v>
      </c>
      <c r="R443" s="36" t="s">
        <v>414</v>
      </c>
      <c r="S443" s="36" t="s">
        <v>415</v>
      </c>
      <c r="T443" s="36" t="s">
        <v>416</v>
      </c>
      <c r="U443" s="36" t="s">
        <v>417</v>
      </c>
      <c r="V443" s="40">
        <v>45870</v>
      </c>
      <c r="W443" s="40">
        <v>45889</v>
      </c>
      <c r="X443" s="36">
        <v>0</v>
      </c>
      <c r="Y443" s="36"/>
      <c r="Z443" s="36">
        <v>1</v>
      </c>
      <c r="AA443" s="36">
        <v>41666666</v>
      </c>
      <c r="AB443" s="40">
        <v>46054</v>
      </c>
      <c r="AC443" s="36" t="s">
        <v>2196</v>
      </c>
      <c r="AD443" s="36" t="str">
        <f>VLOOKUP(D443,Oficial!A:C,3,0)</f>
        <v>Arrastre</v>
      </c>
    </row>
    <row r="444" spans="1:30" x14ac:dyDescent="0.25">
      <c r="A444" s="36" t="s">
        <v>27</v>
      </c>
      <c r="B444" s="36" t="s">
        <v>408</v>
      </c>
      <c r="C444" s="36" t="s">
        <v>28</v>
      </c>
      <c r="D444" s="36" t="s">
        <v>408</v>
      </c>
      <c r="E444" s="36" t="s">
        <v>30</v>
      </c>
      <c r="F444" s="36" t="s">
        <v>31</v>
      </c>
      <c r="G444" s="37" t="s">
        <v>409</v>
      </c>
      <c r="H444" s="36" t="s">
        <v>410</v>
      </c>
      <c r="I444" s="36" t="s">
        <v>411</v>
      </c>
      <c r="J444" s="36">
        <v>1</v>
      </c>
      <c r="K444" s="36" t="s">
        <v>412</v>
      </c>
      <c r="L444" s="36">
        <v>4</v>
      </c>
      <c r="M444" s="36">
        <v>1</v>
      </c>
      <c r="N444" s="38">
        <v>500000000</v>
      </c>
      <c r="O444" s="42">
        <v>41666666</v>
      </c>
      <c r="P444" s="36">
        <v>12</v>
      </c>
      <c r="Q444" s="36" t="s">
        <v>413</v>
      </c>
      <c r="R444" s="36" t="s">
        <v>414</v>
      </c>
      <c r="S444" s="36" t="s">
        <v>415</v>
      </c>
      <c r="T444" s="36" t="s">
        <v>416</v>
      </c>
      <c r="U444" s="36" t="s">
        <v>417</v>
      </c>
      <c r="V444" s="40">
        <v>45870</v>
      </c>
      <c r="W444" s="40">
        <v>45889</v>
      </c>
      <c r="X444" s="36">
        <v>0</v>
      </c>
      <c r="Y444" s="36"/>
      <c r="Z444" s="36">
        <v>1</v>
      </c>
      <c r="AA444" s="36">
        <v>41666666</v>
      </c>
      <c r="AB444" s="40">
        <v>46143</v>
      </c>
      <c r="AC444" s="36" t="s">
        <v>2196</v>
      </c>
      <c r="AD444" s="36" t="str">
        <f>VLOOKUP(D444,Oficial!A:C,3,0)</f>
        <v>Arrastre</v>
      </c>
    </row>
    <row r="445" spans="1:30" x14ac:dyDescent="0.25">
      <c r="A445" s="36" t="s">
        <v>27</v>
      </c>
      <c r="B445" s="36" t="s">
        <v>408</v>
      </c>
      <c r="C445" s="36" t="s">
        <v>28</v>
      </c>
      <c r="D445" s="36" t="s">
        <v>408</v>
      </c>
      <c r="E445" s="36" t="s">
        <v>30</v>
      </c>
      <c r="F445" s="36" t="s">
        <v>31</v>
      </c>
      <c r="G445" s="37" t="s">
        <v>409</v>
      </c>
      <c r="H445" s="36" t="s">
        <v>410</v>
      </c>
      <c r="I445" s="36" t="s">
        <v>411</v>
      </c>
      <c r="J445" s="36">
        <v>1</v>
      </c>
      <c r="K445" s="36" t="s">
        <v>412</v>
      </c>
      <c r="L445" s="36">
        <v>4</v>
      </c>
      <c r="M445" s="36">
        <v>1</v>
      </c>
      <c r="N445" s="38">
        <v>500000000</v>
      </c>
      <c r="O445" s="42">
        <v>41666666</v>
      </c>
      <c r="P445" s="36">
        <v>12</v>
      </c>
      <c r="Q445" s="36" t="s">
        <v>413</v>
      </c>
      <c r="R445" s="36" t="s">
        <v>414</v>
      </c>
      <c r="S445" s="36" t="s">
        <v>415</v>
      </c>
      <c r="T445" s="36" t="s">
        <v>416</v>
      </c>
      <c r="U445" s="36" t="s">
        <v>417</v>
      </c>
      <c r="V445" s="40">
        <v>45870</v>
      </c>
      <c r="W445" s="40">
        <v>45889</v>
      </c>
      <c r="X445" s="36">
        <v>0</v>
      </c>
      <c r="Y445" s="36"/>
      <c r="Z445" s="36">
        <v>1</v>
      </c>
      <c r="AA445" s="36">
        <v>41666666</v>
      </c>
      <c r="AB445" s="40">
        <v>46204</v>
      </c>
      <c r="AC445" s="36" t="s">
        <v>2196</v>
      </c>
      <c r="AD445" s="36" t="str">
        <f>VLOOKUP(D445,Oficial!A:C,3,0)</f>
        <v>Arrastre</v>
      </c>
    </row>
    <row r="446" spans="1:30" x14ac:dyDescent="0.25">
      <c r="A446" s="36" t="s">
        <v>27</v>
      </c>
      <c r="B446" s="36" t="s">
        <v>408</v>
      </c>
      <c r="C446" s="36" t="s">
        <v>28</v>
      </c>
      <c r="D446" s="36" t="s">
        <v>408</v>
      </c>
      <c r="E446" s="36" t="s">
        <v>30</v>
      </c>
      <c r="F446" s="36" t="s">
        <v>31</v>
      </c>
      <c r="G446" s="37" t="s">
        <v>409</v>
      </c>
      <c r="H446" s="36" t="s">
        <v>410</v>
      </c>
      <c r="I446" s="36" t="s">
        <v>411</v>
      </c>
      <c r="J446" s="36">
        <v>1</v>
      </c>
      <c r="K446" s="36" t="s">
        <v>412</v>
      </c>
      <c r="L446" s="36">
        <v>4</v>
      </c>
      <c r="M446" s="36">
        <v>1</v>
      </c>
      <c r="N446" s="38">
        <v>500000000</v>
      </c>
      <c r="O446" s="42">
        <v>41666674</v>
      </c>
      <c r="P446" s="36">
        <v>12</v>
      </c>
      <c r="Q446" s="36" t="s">
        <v>413</v>
      </c>
      <c r="R446" s="36" t="s">
        <v>414</v>
      </c>
      <c r="S446" s="36" t="s">
        <v>415</v>
      </c>
      <c r="T446" s="36" t="s">
        <v>416</v>
      </c>
      <c r="U446" s="36" t="s">
        <v>417</v>
      </c>
      <c r="V446" s="40">
        <v>45870</v>
      </c>
      <c r="W446" s="40">
        <v>45889</v>
      </c>
      <c r="X446" s="36">
        <v>0</v>
      </c>
      <c r="Y446" s="36"/>
      <c r="Z446" s="36">
        <v>1</v>
      </c>
      <c r="AA446" s="36">
        <v>41666674</v>
      </c>
      <c r="AB446" s="40">
        <v>46357</v>
      </c>
      <c r="AC446" s="36" t="s">
        <v>2196</v>
      </c>
      <c r="AD446" s="36" t="str">
        <f>VLOOKUP(D446,Oficial!A:C,3,0)</f>
        <v>Arrastre</v>
      </c>
    </row>
    <row r="447" spans="1:30" x14ac:dyDescent="0.25">
      <c r="A447" s="36" t="s">
        <v>27</v>
      </c>
      <c r="B447" s="36" t="s">
        <v>408</v>
      </c>
      <c r="C447" s="36" t="s">
        <v>28</v>
      </c>
      <c r="D447" s="36" t="s">
        <v>408</v>
      </c>
      <c r="E447" s="36" t="s">
        <v>30</v>
      </c>
      <c r="F447" s="36" t="s">
        <v>31</v>
      </c>
      <c r="G447" s="37" t="s">
        <v>409</v>
      </c>
      <c r="H447" s="36" t="s">
        <v>410</v>
      </c>
      <c r="I447" s="36" t="s">
        <v>411</v>
      </c>
      <c r="J447" s="36">
        <v>1</v>
      </c>
      <c r="K447" s="36" t="s">
        <v>412</v>
      </c>
      <c r="L447" s="36">
        <v>4</v>
      </c>
      <c r="M447" s="36">
        <v>1</v>
      </c>
      <c r="N447" s="38">
        <v>500000000</v>
      </c>
      <c r="O447" s="42">
        <v>41666666</v>
      </c>
      <c r="P447" s="36">
        <v>12</v>
      </c>
      <c r="Q447" s="36" t="s">
        <v>413</v>
      </c>
      <c r="R447" s="36" t="s">
        <v>414</v>
      </c>
      <c r="S447" s="36" t="s">
        <v>415</v>
      </c>
      <c r="T447" s="36" t="s">
        <v>416</v>
      </c>
      <c r="U447" s="36" t="s">
        <v>417</v>
      </c>
      <c r="V447" s="40">
        <v>45870</v>
      </c>
      <c r="W447" s="40">
        <v>45889</v>
      </c>
      <c r="X447" s="36">
        <v>0</v>
      </c>
      <c r="Y447" s="36"/>
      <c r="Z447" s="36">
        <v>1</v>
      </c>
      <c r="AA447" s="36">
        <v>41666666</v>
      </c>
      <c r="AB447" s="40">
        <v>46266</v>
      </c>
      <c r="AC447" s="36" t="s">
        <v>2196</v>
      </c>
      <c r="AD447" s="36" t="str">
        <f>VLOOKUP(D447,Oficial!A:C,3,0)</f>
        <v>Arrastre</v>
      </c>
    </row>
    <row r="448" spans="1:30" x14ac:dyDescent="0.25">
      <c r="A448" s="36" t="s">
        <v>27</v>
      </c>
      <c r="B448" s="36" t="s">
        <v>408</v>
      </c>
      <c r="C448" s="36" t="s">
        <v>28</v>
      </c>
      <c r="D448" s="36" t="s">
        <v>408</v>
      </c>
      <c r="E448" s="36" t="s">
        <v>30</v>
      </c>
      <c r="F448" s="36" t="s">
        <v>31</v>
      </c>
      <c r="G448" s="37" t="s">
        <v>409</v>
      </c>
      <c r="H448" s="36" t="s">
        <v>410</v>
      </c>
      <c r="I448" s="36" t="s">
        <v>411</v>
      </c>
      <c r="J448" s="36">
        <v>1</v>
      </c>
      <c r="K448" s="36" t="s">
        <v>412</v>
      </c>
      <c r="L448" s="36">
        <v>4</v>
      </c>
      <c r="M448" s="36">
        <v>1</v>
      </c>
      <c r="N448" s="38">
        <v>500000000</v>
      </c>
      <c r="O448" s="42">
        <v>41666666</v>
      </c>
      <c r="P448" s="36">
        <v>12</v>
      </c>
      <c r="Q448" s="36" t="s">
        <v>413</v>
      </c>
      <c r="R448" s="36" t="s">
        <v>414</v>
      </c>
      <c r="S448" s="36" t="s">
        <v>415</v>
      </c>
      <c r="T448" s="36" t="s">
        <v>416</v>
      </c>
      <c r="U448" s="36" t="s">
        <v>417</v>
      </c>
      <c r="V448" s="40">
        <v>45870</v>
      </c>
      <c r="W448" s="40">
        <v>45889</v>
      </c>
      <c r="X448" s="36">
        <v>0</v>
      </c>
      <c r="Y448" s="36"/>
      <c r="Z448" s="36">
        <v>1</v>
      </c>
      <c r="AA448" s="36">
        <v>41666666</v>
      </c>
      <c r="AB448" s="40">
        <v>46082</v>
      </c>
      <c r="AC448" s="36" t="s">
        <v>2196</v>
      </c>
      <c r="AD448" s="36" t="str">
        <f>VLOOKUP(D448,Oficial!A:C,3,0)</f>
        <v>Arrastre</v>
      </c>
    </row>
    <row r="449" spans="1:30" x14ac:dyDescent="0.25">
      <c r="A449" s="36" t="s">
        <v>27</v>
      </c>
      <c r="B449" s="36" t="s">
        <v>418</v>
      </c>
      <c r="C449" s="36" t="s">
        <v>28</v>
      </c>
      <c r="D449" s="36" t="s">
        <v>418</v>
      </c>
      <c r="E449" s="36" t="s">
        <v>30</v>
      </c>
      <c r="F449" s="36" t="s">
        <v>31</v>
      </c>
      <c r="G449" s="37" t="s">
        <v>129</v>
      </c>
      <c r="H449" s="36" t="s">
        <v>419</v>
      </c>
      <c r="I449" s="36" t="s">
        <v>420</v>
      </c>
      <c r="J449" s="36">
        <v>1</v>
      </c>
      <c r="K449" s="36" t="s">
        <v>421</v>
      </c>
      <c r="L449" s="36">
        <v>4</v>
      </c>
      <c r="M449" s="36">
        <v>1</v>
      </c>
      <c r="N449" s="38">
        <v>95481792</v>
      </c>
      <c r="O449" s="44">
        <v>7956816</v>
      </c>
      <c r="P449" s="36">
        <v>12</v>
      </c>
      <c r="Q449" s="36" t="s">
        <v>318</v>
      </c>
      <c r="R449" s="36" t="s">
        <v>422</v>
      </c>
      <c r="S449" s="36" t="s">
        <v>423</v>
      </c>
      <c r="T449" s="36" t="s">
        <v>424</v>
      </c>
      <c r="U449" s="36" t="s">
        <v>425</v>
      </c>
      <c r="V449" s="40">
        <v>45870</v>
      </c>
      <c r="W449" s="40">
        <v>45889</v>
      </c>
      <c r="X449" s="36">
        <v>0</v>
      </c>
      <c r="Y449" s="36"/>
      <c r="Z449" s="36">
        <v>1</v>
      </c>
      <c r="AA449" s="36">
        <v>7956816</v>
      </c>
      <c r="AB449" s="40">
        <v>46082</v>
      </c>
      <c r="AC449" s="36" t="s">
        <v>2196</v>
      </c>
      <c r="AD449" s="36" t="str">
        <f>VLOOKUP(D449,Oficial!A:C,3,0)</f>
        <v>Arrastre</v>
      </c>
    </row>
    <row r="450" spans="1:30" x14ac:dyDescent="0.25">
      <c r="A450" s="36" t="s">
        <v>27</v>
      </c>
      <c r="B450" s="36" t="s">
        <v>418</v>
      </c>
      <c r="C450" s="36" t="s">
        <v>28</v>
      </c>
      <c r="D450" s="36" t="s">
        <v>418</v>
      </c>
      <c r="E450" s="36" t="s">
        <v>30</v>
      </c>
      <c r="F450" s="36" t="s">
        <v>31</v>
      </c>
      <c r="G450" s="37" t="s">
        <v>129</v>
      </c>
      <c r="H450" s="36" t="s">
        <v>419</v>
      </c>
      <c r="I450" s="36" t="s">
        <v>420</v>
      </c>
      <c r="J450" s="36">
        <v>1</v>
      </c>
      <c r="K450" s="36" t="s">
        <v>421</v>
      </c>
      <c r="L450" s="36">
        <v>4</v>
      </c>
      <c r="M450" s="36">
        <v>1</v>
      </c>
      <c r="N450" s="38">
        <v>95481792</v>
      </c>
      <c r="O450" s="44">
        <v>7956816</v>
      </c>
      <c r="P450" s="36">
        <v>12</v>
      </c>
      <c r="Q450" s="36" t="s">
        <v>318</v>
      </c>
      <c r="R450" s="36" t="s">
        <v>422</v>
      </c>
      <c r="S450" s="36" t="s">
        <v>423</v>
      </c>
      <c r="T450" s="36" t="s">
        <v>424</v>
      </c>
      <c r="U450" s="36" t="s">
        <v>425</v>
      </c>
      <c r="V450" s="40">
        <v>45870</v>
      </c>
      <c r="W450" s="40">
        <v>45889</v>
      </c>
      <c r="X450" s="36">
        <v>0</v>
      </c>
      <c r="Y450" s="36"/>
      <c r="Z450" s="36">
        <v>1</v>
      </c>
      <c r="AA450" s="36">
        <v>7956816</v>
      </c>
      <c r="AB450" s="40">
        <v>46235</v>
      </c>
      <c r="AC450" s="36" t="s">
        <v>2196</v>
      </c>
      <c r="AD450" s="36" t="str">
        <f>VLOOKUP(D450,Oficial!A:C,3,0)</f>
        <v>Arrastre</v>
      </c>
    </row>
    <row r="451" spans="1:30" x14ac:dyDescent="0.25">
      <c r="A451" s="36" t="s">
        <v>27</v>
      </c>
      <c r="B451" s="36" t="s">
        <v>418</v>
      </c>
      <c r="C451" s="36" t="s">
        <v>28</v>
      </c>
      <c r="D451" s="36" t="s">
        <v>418</v>
      </c>
      <c r="E451" s="36" t="s">
        <v>30</v>
      </c>
      <c r="F451" s="36" t="s">
        <v>31</v>
      </c>
      <c r="G451" s="37" t="s">
        <v>129</v>
      </c>
      <c r="H451" s="36" t="s">
        <v>419</v>
      </c>
      <c r="I451" s="36" t="s">
        <v>420</v>
      </c>
      <c r="J451" s="36">
        <v>1</v>
      </c>
      <c r="K451" s="36" t="s">
        <v>421</v>
      </c>
      <c r="L451" s="36">
        <v>4</v>
      </c>
      <c r="M451" s="36">
        <v>1</v>
      </c>
      <c r="N451" s="38">
        <v>95481792</v>
      </c>
      <c r="O451" s="44">
        <v>7956816</v>
      </c>
      <c r="P451" s="36">
        <v>12</v>
      </c>
      <c r="Q451" s="36" t="s">
        <v>318</v>
      </c>
      <c r="R451" s="36" t="s">
        <v>422</v>
      </c>
      <c r="S451" s="36" t="s">
        <v>423</v>
      </c>
      <c r="T451" s="36" t="s">
        <v>424</v>
      </c>
      <c r="U451" s="36" t="s">
        <v>425</v>
      </c>
      <c r="V451" s="40">
        <v>45870</v>
      </c>
      <c r="W451" s="40">
        <v>45889</v>
      </c>
      <c r="X451" s="36">
        <v>0</v>
      </c>
      <c r="Y451" s="36"/>
      <c r="Z451" s="36">
        <v>1</v>
      </c>
      <c r="AA451" s="36">
        <v>7956816</v>
      </c>
      <c r="AB451" s="40">
        <v>46357</v>
      </c>
      <c r="AC451" s="36" t="s">
        <v>2196</v>
      </c>
      <c r="AD451" s="36" t="str">
        <f>VLOOKUP(D451,Oficial!A:C,3,0)</f>
        <v>Arrastre</v>
      </c>
    </row>
    <row r="452" spans="1:30" x14ac:dyDescent="0.25">
      <c r="A452" s="36" t="s">
        <v>27</v>
      </c>
      <c r="B452" s="36" t="s">
        <v>418</v>
      </c>
      <c r="C452" s="36" t="s">
        <v>28</v>
      </c>
      <c r="D452" s="36" t="s">
        <v>418</v>
      </c>
      <c r="E452" s="36" t="s">
        <v>30</v>
      </c>
      <c r="F452" s="36" t="s">
        <v>31</v>
      </c>
      <c r="G452" s="37" t="s">
        <v>129</v>
      </c>
      <c r="H452" s="36" t="s">
        <v>419</v>
      </c>
      <c r="I452" s="36" t="s">
        <v>420</v>
      </c>
      <c r="J452" s="36">
        <v>1</v>
      </c>
      <c r="K452" s="36" t="s">
        <v>421</v>
      </c>
      <c r="L452" s="36">
        <v>4</v>
      </c>
      <c r="M452" s="36">
        <v>1</v>
      </c>
      <c r="N452" s="38">
        <v>95481792</v>
      </c>
      <c r="O452" s="44">
        <v>7956816</v>
      </c>
      <c r="P452" s="36">
        <v>12</v>
      </c>
      <c r="Q452" s="36" t="s">
        <v>318</v>
      </c>
      <c r="R452" s="36" t="s">
        <v>422</v>
      </c>
      <c r="S452" s="36" t="s">
        <v>423</v>
      </c>
      <c r="T452" s="36" t="s">
        <v>424</v>
      </c>
      <c r="U452" s="36" t="s">
        <v>425</v>
      </c>
      <c r="V452" s="40">
        <v>45870</v>
      </c>
      <c r="W452" s="40">
        <v>45889</v>
      </c>
      <c r="X452" s="36">
        <v>0</v>
      </c>
      <c r="Y452" s="36"/>
      <c r="Z452" s="36">
        <v>1</v>
      </c>
      <c r="AA452" s="36">
        <v>7956816</v>
      </c>
      <c r="AB452" s="40">
        <v>46113</v>
      </c>
      <c r="AC452" s="36" t="s">
        <v>2196</v>
      </c>
      <c r="AD452" s="36" t="str">
        <f>VLOOKUP(D452,Oficial!A:C,3,0)</f>
        <v>Arrastre</v>
      </c>
    </row>
    <row r="453" spans="1:30" x14ac:dyDescent="0.25">
      <c r="A453" s="36" t="s">
        <v>27</v>
      </c>
      <c r="B453" s="36" t="s">
        <v>418</v>
      </c>
      <c r="C453" s="36" t="s">
        <v>28</v>
      </c>
      <c r="D453" s="36" t="s">
        <v>418</v>
      </c>
      <c r="E453" s="36" t="s">
        <v>30</v>
      </c>
      <c r="F453" s="36" t="s">
        <v>31</v>
      </c>
      <c r="G453" s="37" t="s">
        <v>129</v>
      </c>
      <c r="H453" s="36" t="s">
        <v>419</v>
      </c>
      <c r="I453" s="36" t="s">
        <v>420</v>
      </c>
      <c r="J453" s="36">
        <v>1</v>
      </c>
      <c r="K453" s="36" t="s">
        <v>421</v>
      </c>
      <c r="L453" s="36">
        <v>4</v>
      </c>
      <c r="M453" s="36">
        <v>1</v>
      </c>
      <c r="N453" s="38">
        <v>95481792</v>
      </c>
      <c r="O453" s="44">
        <v>7956816</v>
      </c>
      <c r="P453" s="36">
        <v>12</v>
      </c>
      <c r="Q453" s="36" t="s">
        <v>318</v>
      </c>
      <c r="R453" s="36" t="s">
        <v>422</v>
      </c>
      <c r="S453" s="36" t="s">
        <v>423</v>
      </c>
      <c r="T453" s="36" t="s">
        <v>424</v>
      </c>
      <c r="U453" s="36" t="s">
        <v>425</v>
      </c>
      <c r="V453" s="40">
        <v>45870</v>
      </c>
      <c r="W453" s="40">
        <v>45889</v>
      </c>
      <c r="X453" s="36">
        <v>0</v>
      </c>
      <c r="Y453" s="36"/>
      <c r="Z453" s="36">
        <v>1</v>
      </c>
      <c r="AA453" s="36">
        <v>7956816</v>
      </c>
      <c r="AB453" s="40">
        <v>46204</v>
      </c>
      <c r="AC453" s="36" t="s">
        <v>2196</v>
      </c>
      <c r="AD453" s="36" t="str">
        <f>VLOOKUP(D453,Oficial!A:C,3,0)</f>
        <v>Arrastre</v>
      </c>
    </row>
    <row r="454" spans="1:30" x14ac:dyDescent="0.25">
      <c r="A454" s="36" t="s">
        <v>27</v>
      </c>
      <c r="B454" s="36" t="s">
        <v>418</v>
      </c>
      <c r="C454" s="36" t="s">
        <v>28</v>
      </c>
      <c r="D454" s="36" t="s">
        <v>418</v>
      </c>
      <c r="E454" s="36" t="s">
        <v>30</v>
      </c>
      <c r="F454" s="36" t="s">
        <v>31</v>
      </c>
      <c r="G454" s="37" t="s">
        <v>129</v>
      </c>
      <c r="H454" s="36" t="s">
        <v>419</v>
      </c>
      <c r="I454" s="36" t="s">
        <v>420</v>
      </c>
      <c r="J454" s="36">
        <v>1</v>
      </c>
      <c r="K454" s="36" t="s">
        <v>421</v>
      </c>
      <c r="L454" s="36">
        <v>4</v>
      </c>
      <c r="M454" s="36">
        <v>1</v>
      </c>
      <c r="N454" s="38">
        <v>95481792</v>
      </c>
      <c r="O454" s="44">
        <v>7956816</v>
      </c>
      <c r="P454" s="36">
        <v>12</v>
      </c>
      <c r="Q454" s="36" t="s">
        <v>318</v>
      </c>
      <c r="R454" s="36" t="s">
        <v>422</v>
      </c>
      <c r="S454" s="36" t="s">
        <v>423</v>
      </c>
      <c r="T454" s="36" t="s">
        <v>424</v>
      </c>
      <c r="U454" s="36" t="s">
        <v>425</v>
      </c>
      <c r="V454" s="40">
        <v>45870</v>
      </c>
      <c r="W454" s="40">
        <v>45889</v>
      </c>
      <c r="X454" s="36">
        <v>0</v>
      </c>
      <c r="Y454" s="36"/>
      <c r="Z454" s="36">
        <v>1</v>
      </c>
      <c r="AA454" s="36">
        <v>7956816</v>
      </c>
      <c r="AB454" s="40">
        <v>46054</v>
      </c>
      <c r="AC454" s="36" t="s">
        <v>2196</v>
      </c>
      <c r="AD454" s="36" t="str">
        <f>VLOOKUP(D454,Oficial!A:C,3,0)</f>
        <v>Arrastre</v>
      </c>
    </row>
    <row r="455" spans="1:30" x14ac:dyDescent="0.25">
      <c r="A455" s="36" t="s">
        <v>27</v>
      </c>
      <c r="B455" s="36" t="s">
        <v>418</v>
      </c>
      <c r="C455" s="36" t="s">
        <v>28</v>
      </c>
      <c r="D455" s="36" t="s">
        <v>418</v>
      </c>
      <c r="E455" s="36" t="s">
        <v>30</v>
      </c>
      <c r="F455" s="36" t="s">
        <v>31</v>
      </c>
      <c r="G455" s="37" t="s">
        <v>129</v>
      </c>
      <c r="H455" s="36" t="s">
        <v>419</v>
      </c>
      <c r="I455" s="36" t="s">
        <v>420</v>
      </c>
      <c r="J455" s="36">
        <v>1</v>
      </c>
      <c r="K455" s="36" t="s">
        <v>421</v>
      </c>
      <c r="L455" s="36">
        <v>4</v>
      </c>
      <c r="M455" s="36">
        <v>1</v>
      </c>
      <c r="N455" s="38">
        <v>95481792</v>
      </c>
      <c r="O455" s="44">
        <v>7956816</v>
      </c>
      <c r="P455" s="36">
        <v>12</v>
      </c>
      <c r="Q455" s="36" t="s">
        <v>318</v>
      </c>
      <c r="R455" s="36" t="s">
        <v>422</v>
      </c>
      <c r="S455" s="36" t="s">
        <v>423</v>
      </c>
      <c r="T455" s="36" t="s">
        <v>424</v>
      </c>
      <c r="U455" s="36" t="s">
        <v>425</v>
      </c>
      <c r="V455" s="40">
        <v>45870</v>
      </c>
      <c r="W455" s="40">
        <v>45889</v>
      </c>
      <c r="X455" s="36">
        <v>0</v>
      </c>
      <c r="Y455" s="36"/>
      <c r="Z455" s="36">
        <v>1</v>
      </c>
      <c r="AA455" s="36">
        <v>7956816</v>
      </c>
      <c r="AB455" s="40">
        <v>46143</v>
      </c>
      <c r="AC455" s="36" t="s">
        <v>2196</v>
      </c>
      <c r="AD455" s="36" t="str">
        <f>VLOOKUP(D455,Oficial!A:C,3,0)</f>
        <v>Arrastre</v>
      </c>
    </row>
    <row r="456" spans="1:30" x14ac:dyDescent="0.25">
      <c r="A456" s="36" t="s">
        <v>27</v>
      </c>
      <c r="B456" s="36" t="s">
        <v>418</v>
      </c>
      <c r="C456" s="36" t="s">
        <v>28</v>
      </c>
      <c r="D456" s="36" t="s">
        <v>418</v>
      </c>
      <c r="E456" s="36" t="s">
        <v>30</v>
      </c>
      <c r="F456" s="36" t="s">
        <v>31</v>
      </c>
      <c r="G456" s="37" t="s">
        <v>129</v>
      </c>
      <c r="H456" s="36" t="s">
        <v>419</v>
      </c>
      <c r="I456" s="36" t="s">
        <v>420</v>
      </c>
      <c r="J456" s="36">
        <v>1</v>
      </c>
      <c r="K456" s="36" t="s">
        <v>421</v>
      </c>
      <c r="L456" s="36">
        <v>4</v>
      </c>
      <c r="M456" s="36">
        <v>1</v>
      </c>
      <c r="N456" s="38">
        <v>95481792</v>
      </c>
      <c r="O456" s="44">
        <v>7956816</v>
      </c>
      <c r="P456" s="36">
        <v>12</v>
      </c>
      <c r="Q456" s="36" t="s">
        <v>318</v>
      </c>
      <c r="R456" s="36" t="s">
        <v>422</v>
      </c>
      <c r="S456" s="36" t="s">
        <v>423</v>
      </c>
      <c r="T456" s="36" t="s">
        <v>424</v>
      </c>
      <c r="U456" s="36" t="s">
        <v>425</v>
      </c>
      <c r="V456" s="40">
        <v>45870</v>
      </c>
      <c r="W456" s="40">
        <v>45889</v>
      </c>
      <c r="X456" s="36">
        <v>0</v>
      </c>
      <c r="Y456" s="36"/>
      <c r="Z456" s="36">
        <v>1</v>
      </c>
      <c r="AA456" s="36">
        <v>7956816</v>
      </c>
      <c r="AB456" s="40">
        <v>46327</v>
      </c>
      <c r="AC456" s="36" t="s">
        <v>2196</v>
      </c>
      <c r="AD456" s="36" t="str">
        <f>VLOOKUP(D456,Oficial!A:C,3,0)</f>
        <v>Arrastre</v>
      </c>
    </row>
    <row r="457" spans="1:30" x14ac:dyDescent="0.25">
      <c r="A457" s="36" t="s">
        <v>27</v>
      </c>
      <c r="B457" s="36" t="s">
        <v>418</v>
      </c>
      <c r="C457" s="36" t="s">
        <v>28</v>
      </c>
      <c r="D457" s="36" t="s">
        <v>418</v>
      </c>
      <c r="E457" s="36" t="s">
        <v>30</v>
      </c>
      <c r="F457" s="36" t="s">
        <v>31</v>
      </c>
      <c r="G457" s="37" t="s">
        <v>129</v>
      </c>
      <c r="H457" s="36" t="s">
        <v>419</v>
      </c>
      <c r="I457" s="36" t="s">
        <v>420</v>
      </c>
      <c r="J457" s="36">
        <v>1</v>
      </c>
      <c r="K457" s="36" t="s">
        <v>421</v>
      </c>
      <c r="L457" s="36">
        <v>4</v>
      </c>
      <c r="M457" s="36">
        <v>1</v>
      </c>
      <c r="N457" s="38">
        <v>95481792</v>
      </c>
      <c r="O457" s="44">
        <v>7956816</v>
      </c>
      <c r="P457" s="36">
        <v>12</v>
      </c>
      <c r="Q457" s="36" t="s">
        <v>318</v>
      </c>
      <c r="R457" s="36" t="s">
        <v>422</v>
      </c>
      <c r="S457" s="36" t="s">
        <v>423</v>
      </c>
      <c r="T457" s="36" t="s">
        <v>424</v>
      </c>
      <c r="U457" s="36" t="s">
        <v>425</v>
      </c>
      <c r="V457" s="40">
        <v>45870</v>
      </c>
      <c r="W457" s="40">
        <v>45889</v>
      </c>
      <c r="X457" s="36">
        <v>0</v>
      </c>
      <c r="Y457" s="36"/>
      <c r="Z457" s="36">
        <v>1</v>
      </c>
      <c r="AA457" s="36">
        <v>7956816</v>
      </c>
      <c r="AB457" s="40">
        <v>46296</v>
      </c>
      <c r="AC457" s="36" t="s">
        <v>2196</v>
      </c>
      <c r="AD457" s="36" t="str">
        <f>VLOOKUP(D457,Oficial!A:C,3,0)</f>
        <v>Arrastre</v>
      </c>
    </row>
    <row r="458" spans="1:30" x14ac:dyDescent="0.25">
      <c r="A458" s="36" t="s">
        <v>27</v>
      </c>
      <c r="B458" s="36" t="s">
        <v>418</v>
      </c>
      <c r="C458" s="36" t="s">
        <v>28</v>
      </c>
      <c r="D458" s="36" t="s">
        <v>418</v>
      </c>
      <c r="E458" s="36" t="s">
        <v>30</v>
      </c>
      <c r="F458" s="36" t="s">
        <v>31</v>
      </c>
      <c r="G458" s="37" t="s">
        <v>129</v>
      </c>
      <c r="H458" s="36" t="s">
        <v>419</v>
      </c>
      <c r="I458" s="36" t="s">
        <v>420</v>
      </c>
      <c r="J458" s="36">
        <v>1</v>
      </c>
      <c r="K458" s="36" t="s">
        <v>421</v>
      </c>
      <c r="L458" s="36">
        <v>4</v>
      </c>
      <c r="M458" s="36">
        <v>1</v>
      </c>
      <c r="N458" s="38">
        <v>95481792</v>
      </c>
      <c r="O458" s="44">
        <v>7956816</v>
      </c>
      <c r="P458" s="36">
        <v>12</v>
      </c>
      <c r="Q458" s="36" t="s">
        <v>318</v>
      </c>
      <c r="R458" s="36" t="s">
        <v>422</v>
      </c>
      <c r="S458" s="36" t="s">
        <v>423</v>
      </c>
      <c r="T458" s="36" t="s">
        <v>424</v>
      </c>
      <c r="U458" s="36" t="s">
        <v>425</v>
      </c>
      <c r="V458" s="40">
        <v>45870</v>
      </c>
      <c r="W458" s="40">
        <v>45889</v>
      </c>
      <c r="X458" s="36">
        <v>0</v>
      </c>
      <c r="Y458" s="36"/>
      <c r="Z458" s="36">
        <v>1</v>
      </c>
      <c r="AA458" s="36">
        <v>7956816</v>
      </c>
      <c r="AB458" s="40">
        <v>46174</v>
      </c>
      <c r="AC458" s="36" t="s">
        <v>2196</v>
      </c>
      <c r="AD458" s="36" t="str">
        <f>VLOOKUP(D458,Oficial!A:C,3,0)</f>
        <v>Arrastre</v>
      </c>
    </row>
    <row r="459" spans="1:30" x14ac:dyDescent="0.25">
      <c r="A459" s="36" t="s">
        <v>27</v>
      </c>
      <c r="B459" s="36" t="s">
        <v>418</v>
      </c>
      <c r="C459" s="36" t="s">
        <v>28</v>
      </c>
      <c r="D459" s="36" t="s">
        <v>418</v>
      </c>
      <c r="E459" s="36" t="s">
        <v>30</v>
      </c>
      <c r="F459" s="36" t="s">
        <v>31</v>
      </c>
      <c r="G459" s="37" t="s">
        <v>129</v>
      </c>
      <c r="H459" s="36" t="s">
        <v>419</v>
      </c>
      <c r="I459" s="36" t="s">
        <v>420</v>
      </c>
      <c r="J459" s="36">
        <v>1</v>
      </c>
      <c r="K459" s="36" t="s">
        <v>421</v>
      </c>
      <c r="L459" s="36">
        <v>4</v>
      </c>
      <c r="M459" s="36">
        <v>1</v>
      </c>
      <c r="N459" s="38">
        <v>95481792</v>
      </c>
      <c r="O459" s="44">
        <v>7956816</v>
      </c>
      <c r="P459" s="36">
        <v>12</v>
      </c>
      <c r="Q459" s="36" t="s">
        <v>318</v>
      </c>
      <c r="R459" s="36" t="s">
        <v>422</v>
      </c>
      <c r="S459" s="36" t="s">
        <v>423</v>
      </c>
      <c r="T459" s="36" t="s">
        <v>424</v>
      </c>
      <c r="U459" s="36" t="s">
        <v>425</v>
      </c>
      <c r="V459" s="40">
        <v>45870</v>
      </c>
      <c r="W459" s="40">
        <v>45889</v>
      </c>
      <c r="X459" s="36">
        <v>0</v>
      </c>
      <c r="Y459" s="36"/>
      <c r="Z459" s="36">
        <v>1</v>
      </c>
      <c r="AA459" s="36">
        <v>7956816</v>
      </c>
      <c r="AB459" s="40">
        <v>46266</v>
      </c>
      <c r="AC459" s="36" t="s">
        <v>2196</v>
      </c>
      <c r="AD459" s="36" t="str">
        <f>VLOOKUP(D459,Oficial!A:C,3,0)</f>
        <v>Arrastre</v>
      </c>
    </row>
    <row r="460" spans="1:30" x14ac:dyDescent="0.25">
      <c r="A460" s="36" t="s">
        <v>27</v>
      </c>
      <c r="B460" s="36" t="s">
        <v>426</v>
      </c>
      <c r="C460" s="36" t="s">
        <v>28</v>
      </c>
      <c r="D460" s="36" t="s">
        <v>426</v>
      </c>
      <c r="E460" s="36" t="s">
        <v>30</v>
      </c>
      <c r="F460" s="36" t="s">
        <v>31</v>
      </c>
      <c r="G460" s="37" t="s">
        <v>427</v>
      </c>
      <c r="H460" s="36" t="s">
        <v>428</v>
      </c>
      <c r="I460" s="36" t="s">
        <v>429</v>
      </c>
      <c r="J460" s="36">
        <v>1</v>
      </c>
      <c r="K460" s="36" t="s">
        <v>412</v>
      </c>
      <c r="L460" s="36">
        <v>4</v>
      </c>
      <c r="M460" s="36">
        <v>3500</v>
      </c>
      <c r="N460" s="38">
        <v>15143</v>
      </c>
      <c r="O460" s="41">
        <v>4416666</v>
      </c>
      <c r="P460" s="36">
        <v>12</v>
      </c>
      <c r="Q460" s="36" t="s">
        <v>318</v>
      </c>
      <c r="R460" s="36" t="s">
        <v>430</v>
      </c>
      <c r="S460" s="36" t="s">
        <v>431</v>
      </c>
      <c r="T460" s="36" t="s">
        <v>432</v>
      </c>
      <c r="U460" s="36" t="s">
        <v>433</v>
      </c>
      <c r="V460" s="40">
        <v>45870</v>
      </c>
      <c r="W460" s="40">
        <v>45889</v>
      </c>
      <c r="X460" s="36">
        <v>0</v>
      </c>
      <c r="Y460" s="36"/>
      <c r="Z460" s="36">
        <v>1</v>
      </c>
      <c r="AA460" s="36">
        <v>4416666</v>
      </c>
      <c r="AB460" s="40">
        <v>46143</v>
      </c>
      <c r="AC460" s="36" t="s">
        <v>2196</v>
      </c>
      <c r="AD460" s="36" t="str">
        <f>VLOOKUP(D460,Oficial!A:C,3,0)</f>
        <v>Arrastre</v>
      </c>
    </row>
    <row r="461" spans="1:30" x14ac:dyDescent="0.25">
      <c r="A461" s="36" t="s">
        <v>27</v>
      </c>
      <c r="B461" s="36" t="s">
        <v>426</v>
      </c>
      <c r="C461" s="36" t="s">
        <v>28</v>
      </c>
      <c r="D461" s="36" t="s">
        <v>426</v>
      </c>
      <c r="E461" s="36" t="s">
        <v>30</v>
      </c>
      <c r="F461" s="36" t="s">
        <v>31</v>
      </c>
      <c r="G461" s="37" t="s">
        <v>427</v>
      </c>
      <c r="H461" s="36" t="s">
        <v>428</v>
      </c>
      <c r="I461" s="36" t="s">
        <v>429</v>
      </c>
      <c r="J461" s="36">
        <v>1</v>
      </c>
      <c r="K461" s="36" t="s">
        <v>412</v>
      </c>
      <c r="L461" s="36">
        <v>4</v>
      </c>
      <c r="M461" s="36">
        <v>3500</v>
      </c>
      <c r="N461" s="38">
        <v>15143</v>
      </c>
      <c r="O461" s="41">
        <v>4416666</v>
      </c>
      <c r="P461" s="36">
        <v>12</v>
      </c>
      <c r="Q461" s="36" t="s">
        <v>318</v>
      </c>
      <c r="R461" s="36" t="s">
        <v>430</v>
      </c>
      <c r="S461" s="36" t="s">
        <v>431</v>
      </c>
      <c r="T461" s="36" t="s">
        <v>432</v>
      </c>
      <c r="U461" s="36" t="s">
        <v>433</v>
      </c>
      <c r="V461" s="40">
        <v>45870</v>
      </c>
      <c r="W461" s="40">
        <v>45889</v>
      </c>
      <c r="X461" s="36">
        <v>0</v>
      </c>
      <c r="Y461" s="36"/>
      <c r="Z461" s="36">
        <v>1</v>
      </c>
      <c r="AA461" s="36">
        <v>4416666</v>
      </c>
      <c r="AB461" s="40">
        <v>46174</v>
      </c>
      <c r="AC461" s="36" t="s">
        <v>2196</v>
      </c>
      <c r="AD461" s="36" t="str">
        <f>VLOOKUP(D461,Oficial!A:C,3,0)</f>
        <v>Arrastre</v>
      </c>
    </row>
    <row r="462" spans="1:30" x14ac:dyDescent="0.25">
      <c r="A462" s="36" t="s">
        <v>27</v>
      </c>
      <c r="B462" s="36" t="s">
        <v>426</v>
      </c>
      <c r="C462" s="36" t="s">
        <v>28</v>
      </c>
      <c r="D462" s="36" t="s">
        <v>426</v>
      </c>
      <c r="E462" s="36" t="s">
        <v>30</v>
      </c>
      <c r="F462" s="36" t="s">
        <v>31</v>
      </c>
      <c r="G462" s="37" t="s">
        <v>427</v>
      </c>
      <c r="H462" s="36" t="s">
        <v>428</v>
      </c>
      <c r="I462" s="36" t="s">
        <v>429</v>
      </c>
      <c r="J462" s="36">
        <v>1</v>
      </c>
      <c r="K462" s="36" t="s">
        <v>412</v>
      </c>
      <c r="L462" s="36">
        <v>4</v>
      </c>
      <c r="M462" s="36">
        <v>3500</v>
      </c>
      <c r="N462" s="38">
        <v>15143</v>
      </c>
      <c r="O462" s="41">
        <v>4416666</v>
      </c>
      <c r="P462" s="36">
        <v>12</v>
      </c>
      <c r="Q462" s="36" t="s">
        <v>318</v>
      </c>
      <c r="R462" s="36" t="s">
        <v>430</v>
      </c>
      <c r="S462" s="36" t="s">
        <v>431</v>
      </c>
      <c r="T462" s="36" t="s">
        <v>432</v>
      </c>
      <c r="U462" s="36" t="s">
        <v>433</v>
      </c>
      <c r="V462" s="40">
        <v>45870</v>
      </c>
      <c r="W462" s="40">
        <v>45889</v>
      </c>
      <c r="X462" s="36">
        <v>0</v>
      </c>
      <c r="Y462" s="36"/>
      <c r="Z462" s="36">
        <v>1</v>
      </c>
      <c r="AA462" s="36">
        <v>4416666</v>
      </c>
      <c r="AB462" s="40">
        <v>46327</v>
      </c>
      <c r="AC462" s="36" t="s">
        <v>2196</v>
      </c>
      <c r="AD462" s="36" t="str">
        <f>VLOOKUP(D462,Oficial!A:C,3,0)</f>
        <v>Arrastre</v>
      </c>
    </row>
    <row r="463" spans="1:30" x14ac:dyDescent="0.25">
      <c r="A463" s="36" t="s">
        <v>27</v>
      </c>
      <c r="B463" s="36" t="s">
        <v>426</v>
      </c>
      <c r="C463" s="36" t="s">
        <v>28</v>
      </c>
      <c r="D463" s="36" t="s">
        <v>426</v>
      </c>
      <c r="E463" s="36" t="s">
        <v>30</v>
      </c>
      <c r="F463" s="36" t="s">
        <v>31</v>
      </c>
      <c r="G463" s="37" t="s">
        <v>427</v>
      </c>
      <c r="H463" s="36" t="s">
        <v>428</v>
      </c>
      <c r="I463" s="36" t="s">
        <v>429</v>
      </c>
      <c r="J463" s="36">
        <v>1</v>
      </c>
      <c r="K463" s="36" t="s">
        <v>412</v>
      </c>
      <c r="L463" s="36">
        <v>4</v>
      </c>
      <c r="M463" s="36">
        <v>3500</v>
      </c>
      <c r="N463" s="38">
        <v>15143</v>
      </c>
      <c r="O463" s="41">
        <v>4416666</v>
      </c>
      <c r="P463" s="36">
        <v>12</v>
      </c>
      <c r="Q463" s="36" t="s">
        <v>318</v>
      </c>
      <c r="R463" s="36" t="s">
        <v>430</v>
      </c>
      <c r="S463" s="36" t="s">
        <v>431</v>
      </c>
      <c r="T463" s="36" t="s">
        <v>432</v>
      </c>
      <c r="U463" s="36" t="s">
        <v>433</v>
      </c>
      <c r="V463" s="40">
        <v>45870</v>
      </c>
      <c r="W463" s="40">
        <v>45889</v>
      </c>
      <c r="X463" s="36">
        <v>0</v>
      </c>
      <c r="Y463" s="36"/>
      <c r="Z463" s="36">
        <v>1</v>
      </c>
      <c r="AA463" s="36">
        <v>4416666</v>
      </c>
      <c r="AB463" s="40">
        <v>46113</v>
      </c>
      <c r="AC463" s="36" t="s">
        <v>2196</v>
      </c>
      <c r="AD463" s="36" t="str">
        <f>VLOOKUP(D463,Oficial!A:C,3,0)</f>
        <v>Arrastre</v>
      </c>
    </row>
    <row r="464" spans="1:30" x14ac:dyDescent="0.25">
      <c r="A464" s="36" t="s">
        <v>27</v>
      </c>
      <c r="B464" s="36" t="s">
        <v>426</v>
      </c>
      <c r="C464" s="36" t="s">
        <v>28</v>
      </c>
      <c r="D464" s="36" t="s">
        <v>426</v>
      </c>
      <c r="E464" s="36" t="s">
        <v>30</v>
      </c>
      <c r="F464" s="36" t="s">
        <v>31</v>
      </c>
      <c r="G464" s="37" t="s">
        <v>427</v>
      </c>
      <c r="H464" s="36" t="s">
        <v>428</v>
      </c>
      <c r="I464" s="36" t="s">
        <v>429</v>
      </c>
      <c r="J464" s="36">
        <v>1</v>
      </c>
      <c r="K464" s="36" t="s">
        <v>412</v>
      </c>
      <c r="L464" s="36">
        <v>4</v>
      </c>
      <c r="M464" s="36">
        <v>3500</v>
      </c>
      <c r="N464" s="38">
        <v>15143</v>
      </c>
      <c r="O464" s="41">
        <v>4416666</v>
      </c>
      <c r="P464" s="36">
        <v>12</v>
      </c>
      <c r="Q464" s="36" t="s">
        <v>318</v>
      </c>
      <c r="R464" s="36" t="s">
        <v>430</v>
      </c>
      <c r="S464" s="36" t="s">
        <v>431</v>
      </c>
      <c r="T464" s="36" t="s">
        <v>432</v>
      </c>
      <c r="U464" s="36" t="s">
        <v>433</v>
      </c>
      <c r="V464" s="40">
        <v>45870</v>
      </c>
      <c r="W464" s="40">
        <v>45889</v>
      </c>
      <c r="X464" s="36">
        <v>0</v>
      </c>
      <c r="Y464" s="36"/>
      <c r="Z464" s="36">
        <v>1</v>
      </c>
      <c r="AA464" s="36">
        <v>4416666</v>
      </c>
      <c r="AB464" s="40">
        <v>46054</v>
      </c>
      <c r="AC464" s="36" t="s">
        <v>2196</v>
      </c>
      <c r="AD464" s="36" t="str">
        <f>VLOOKUP(D464,Oficial!A:C,3,0)</f>
        <v>Arrastre</v>
      </c>
    </row>
    <row r="465" spans="1:30" x14ac:dyDescent="0.25">
      <c r="A465" s="36" t="s">
        <v>27</v>
      </c>
      <c r="B465" s="36" t="s">
        <v>426</v>
      </c>
      <c r="C465" s="36" t="s">
        <v>28</v>
      </c>
      <c r="D465" s="36" t="s">
        <v>426</v>
      </c>
      <c r="E465" s="36" t="s">
        <v>30</v>
      </c>
      <c r="F465" s="36" t="s">
        <v>31</v>
      </c>
      <c r="G465" s="37" t="s">
        <v>427</v>
      </c>
      <c r="H465" s="36" t="s">
        <v>428</v>
      </c>
      <c r="I465" s="36" t="s">
        <v>429</v>
      </c>
      <c r="J465" s="36">
        <v>1</v>
      </c>
      <c r="K465" s="36" t="s">
        <v>412</v>
      </c>
      <c r="L465" s="36">
        <v>4</v>
      </c>
      <c r="M465" s="36">
        <v>3500</v>
      </c>
      <c r="N465" s="38">
        <v>15143</v>
      </c>
      <c r="O465" s="41">
        <v>4416666</v>
      </c>
      <c r="P465" s="36">
        <v>12</v>
      </c>
      <c r="Q465" s="36" t="s">
        <v>318</v>
      </c>
      <c r="R465" s="36" t="s">
        <v>430</v>
      </c>
      <c r="S465" s="36" t="s">
        <v>431</v>
      </c>
      <c r="T465" s="36" t="s">
        <v>432</v>
      </c>
      <c r="U465" s="36" t="s">
        <v>433</v>
      </c>
      <c r="V465" s="40">
        <v>45870</v>
      </c>
      <c r="W465" s="40">
        <v>45889</v>
      </c>
      <c r="X465" s="36">
        <v>0</v>
      </c>
      <c r="Y465" s="36"/>
      <c r="Z465" s="36">
        <v>1</v>
      </c>
      <c r="AA465" s="36">
        <v>4416666</v>
      </c>
      <c r="AB465" s="40">
        <v>46296</v>
      </c>
      <c r="AC465" s="36" t="s">
        <v>2196</v>
      </c>
      <c r="AD465" s="36" t="str">
        <f>VLOOKUP(D465,Oficial!A:C,3,0)</f>
        <v>Arrastre</v>
      </c>
    </row>
    <row r="466" spans="1:30" x14ac:dyDescent="0.25">
      <c r="A466" s="36" t="s">
        <v>27</v>
      </c>
      <c r="B466" s="36" t="s">
        <v>426</v>
      </c>
      <c r="C466" s="36" t="s">
        <v>28</v>
      </c>
      <c r="D466" s="36" t="s">
        <v>426</v>
      </c>
      <c r="E466" s="36" t="s">
        <v>30</v>
      </c>
      <c r="F466" s="36" t="s">
        <v>31</v>
      </c>
      <c r="G466" s="37" t="s">
        <v>427</v>
      </c>
      <c r="H466" s="36" t="s">
        <v>428</v>
      </c>
      <c r="I466" s="36" t="s">
        <v>429</v>
      </c>
      <c r="J466" s="36">
        <v>1</v>
      </c>
      <c r="K466" s="36" t="s">
        <v>412</v>
      </c>
      <c r="L466" s="36">
        <v>4</v>
      </c>
      <c r="M466" s="36">
        <v>3500</v>
      </c>
      <c r="N466" s="38">
        <v>15143</v>
      </c>
      <c r="O466" s="41">
        <v>4416666</v>
      </c>
      <c r="P466" s="36">
        <v>12</v>
      </c>
      <c r="Q466" s="36" t="s">
        <v>318</v>
      </c>
      <c r="R466" s="36" t="s">
        <v>430</v>
      </c>
      <c r="S466" s="36" t="s">
        <v>431</v>
      </c>
      <c r="T466" s="36" t="s">
        <v>432</v>
      </c>
      <c r="U466" s="36" t="s">
        <v>433</v>
      </c>
      <c r="V466" s="40">
        <v>45870</v>
      </c>
      <c r="W466" s="40">
        <v>45889</v>
      </c>
      <c r="X466" s="36">
        <v>0</v>
      </c>
      <c r="Y466" s="36"/>
      <c r="Z466" s="36">
        <v>1</v>
      </c>
      <c r="AA466" s="36">
        <v>4416666</v>
      </c>
      <c r="AB466" s="40">
        <v>46204</v>
      </c>
      <c r="AC466" s="36" t="s">
        <v>2196</v>
      </c>
      <c r="AD466" s="36" t="str">
        <f>VLOOKUP(D466,Oficial!A:C,3,0)</f>
        <v>Arrastre</v>
      </c>
    </row>
    <row r="467" spans="1:30" x14ac:dyDescent="0.25">
      <c r="A467" s="36" t="s">
        <v>27</v>
      </c>
      <c r="B467" s="36" t="s">
        <v>426</v>
      </c>
      <c r="C467" s="36" t="s">
        <v>28</v>
      </c>
      <c r="D467" s="36" t="s">
        <v>426</v>
      </c>
      <c r="E467" s="36" t="s">
        <v>30</v>
      </c>
      <c r="F467" s="36" t="s">
        <v>31</v>
      </c>
      <c r="G467" s="37" t="s">
        <v>427</v>
      </c>
      <c r="H467" s="36" t="s">
        <v>428</v>
      </c>
      <c r="I467" s="36" t="s">
        <v>429</v>
      </c>
      <c r="J467" s="36">
        <v>1</v>
      </c>
      <c r="K467" s="36" t="s">
        <v>412</v>
      </c>
      <c r="L467" s="36">
        <v>4</v>
      </c>
      <c r="M467" s="36">
        <v>3500</v>
      </c>
      <c r="N467" s="38">
        <v>15143</v>
      </c>
      <c r="O467" s="41">
        <v>4416666</v>
      </c>
      <c r="P467" s="36">
        <v>12</v>
      </c>
      <c r="Q467" s="36" t="s">
        <v>318</v>
      </c>
      <c r="R467" s="36" t="s">
        <v>430</v>
      </c>
      <c r="S467" s="36" t="s">
        <v>431</v>
      </c>
      <c r="T467" s="36" t="s">
        <v>432</v>
      </c>
      <c r="U467" s="36" t="s">
        <v>433</v>
      </c>
      <c r="V467" s="40">
        <v>45870</v>
      </c>
      <c r="W467" s="40">
        <v>45889</v>
      </c>
      <c r="X467" s="36">
        <v>0</v>
      </c>
      <c r="Y467" s="36"/>
      <c r="Z467" s="36">
        <v>1</v>
      </c>
      <c r="AA467" s="36">
        <v>4416666</v>
      </c>
      <c r="AB467" s="40">
        <v>46266</v>
      </c>
      <c r="AC467" s="36" t="s">
        <v>2196</v>
      </c>
      <c r="AD467" s="36" t="str">
        <f>VLOOKUP(D467,Oficial!A:C,3,0)</f>
        <v>Arrastre</v>
      </c>
    </row>
    <row r="468" spans="1:30" x14ac:dyDescent="0.25">
      <c r="A468" s="36" t="s">
        <v>27</v>
      </c>
      <c r="B468" s="36" t="s">
        <v>426</v>
      </c>
      <c r="C468" s="36" t="s">
        <v>28</v>
      </c>
      <c r="D468" s="36" t="s">
        <v>426</v>
      </c>
      <c r="E468" s="36" t="s">
        <v>30</v>
      </c>
      <c r="F468" s="36" t="s">
        <v>31</v>
      </c>
      <c r="G468" s="37" t="s">
        <v>427</v>
      </c>
      <c r="H468" s="36" t="s">
        <v>428</v>
      </c>
      <c r="I468" s="36" t="s">
        <v>429</v>
      </c>
      <c r="J468" s="36">
        <v>1</v>
      </c>
      <c r="K468" s="36" t="s">
        <v>412</v>
      </c>
      <c r="L468" s="36">
        <v>4</v>
      </c>
      <c r="M468" s="36">
        <v>3500</v>
      </c>
      <c r="N468" s="38">
        <v>15143</v>
      </c>
      <c r="O468" s="41">
        <v>4416666</v>
      </c>
      <c r="P468" s="36">
        <v>12</v>
      </c>
      <c r="Q468" s="36" t="s">
        <v>318</v>
      </c>
      <c r="R468" s="36" t="s">
        <v>430</v>
      </c>
      <c r="S468" s="36" t="s">
        <v>431</v>
      </c>
      <c r="T468" s="36" t="s">
        <v>432</v>
      </c>
      <c r="U468" s="36" t="s">
        <v>433</v>
      </c>
      <c r="V468" s="40">
        <v>45870</v>
      </c>
      <c r="W468" s="40">
        <v>45889</v>
      </c>
      <c r="X468" s="36">
        <v>0</v>
      </c>
      <c r="Y468" s="36"/>
      <c r="Z468" s="36">
        <v>1</v>
      </c>
      <c r="AA468" s="36">
        <v>4416666</v>
      </c>
      <c r="AB468" s="40">
        <v>46357</v>
      </c>
      <c r="AC468" s="36" t="s">
        <v>2196</v>
      </c>
      <c r="AD468" s="36" t="str">
        <f>VLOOKUP(D468,Oficial!A:C,3,0)</f>
        <v>Arrastre</v>
      </c>
    </row>
    <row r="469" spans="1:30" x14ac:dyDescent="0.25">
      <c r="A469" s="36" t="s">
        <v>27</v>
      </c>
      <c r="B469" s="36" t="s">
        <v>426</v>
      </c>
      <c r="C469" s="36" t="s">
        <v>28</v>
      </c>
      <c r="D469" s="36" t="s">
        <v>426</v>
      </c>
      <c r="E469" s="36" t="s">
        <v>30</v>
      </c>
      <c r="F469" s="36" t="s">
        <v>31</v>
      </c>
      <c r="G469" s="37" t="s">
        <v>427</v>
      </c>
      <c r="H469" s="36" t="s">
        <v>428</v>
      </c>
      <c r="I469" s="36" t="s">
        <v>429</v>
      </c>
      <c r="J469" s="36">
        <v>1</v>
      </c>
      <c r="K469" s="36" t="s">
        <v>412</v>
      </c>
      <c r="L469" s="36">
        <v>4</v>
      </c>
      <c r="M469" s="36">
        <v>3500</v>
      </c>
      <c r="N469" s="38">
        <v>15143</v>
      </c>
      <c r="O469" s="41">
        <v>4416666</v>
      </c>
      <c r="P469" s="36">
        <v>12</v>
      </c>
      <c r="Q469" s="36" t="s">
        <v>318</v>
      </c>
      <c r="R469" s="36" t="s">
        <v>430</v>
      </c>
      <c r="S469" s="36" t="s">
        <v>431</v>
      </c>
      <c r="T469" s="36" t="s">
        <v>432</v>
      </c>
      <c r="U469" s="36" t="s">
        <v>433</v>
      </c>
      <c r="V469" s="40">
        <v>45870</v>
      </c>
      <c r="W469" s="40">
        <v>45889</v>
      </c>
      <c r="X469" s="36">
        <v>0</v>
      </c>
      <c r="Y469" s="36"/>
      <c r="Z469" s="36">
        <v>1</v>
      </c>
      <c r="AA469" s="36">
        <v>4416666</v>
      </c>
      <c r="AB469" s="40">
        <v>46082</v>
      </c>
      <c r="AC469" s="36" t="s">
        <v>2196</v>
      </c>
      <c r="AD469" s="36" t="str">
        <f>VLOOKUP(D469,Oficial!A:C,3,0)</f>
        <v>Arrastre</v>
      </c>
    </row>
    <row r="470" spans="1:30" x14ac:dyDescent="0.25">
      <c r="A470" s="36" t="s">
        <v>27</v>
      </c>
      <c r="B470" s="36" t="s">
        <v>426</v>
      </c>
      <c r="C470" s="36" t="s">
        <v>28</v>
      </c>
      <c r="D470" s="36" t="s">
        <v>426</v>
      </c>
      <c r="E470" s="36" t="s">
        <v>30</v>
      </c>
      <c r="F470" s="36" t="s">
        <v>31</v>
      </c>
      <c r="G470" s="37" t="s">
        <v>427</v>
      </c>
      <c r="H470" s="36" t="s">
        <v>428</v>
      </c>
      <c r="I470" s="36" t="s">
        <v>429</v>
      </c>
      <c r="J470" s="36">
        <v>1</v>
      </c>
      <c r="K470" s="36" t="s">
        <v>412</v>
      </c>
      <c r="L470" s="36">
        <v>4</v>
      </c>
      <c r="M470" s="36">
        <v>3500</v>
      </c>
      <c r="N470" s="38">
        <v>15143</v>
      </c>
      <c r="O470" s="41">
        <v>4416666</v>
      </c>
      <c r="P470" s="36">
        <v>12</v>
      </c>
      <c r="Q470" s="36" t="s">
        <v>318</v>
      </c>
      <c r="R470" s="36" t="s">
        <v>430</v>
      </c>
      <c r="S470" s="36" t="s">
        <v>431</v>
      </c>
      <c r="T470" s="36" t="s">
        <v>432</v>
      </c>
      <c r="U470" s="36" t="s">
        <v>433</v>
      </c>
      <c r="V470" s="40">
        <v>45870</v>
      </c>
      <c r="W470" s="40">
        <v>45889</v>
      </c>
      <c r="X470" s="36">
        <v>0</v>
      </c>
      <c r="Y470" s="36"/>
      <c r="Z470" s="36">
        <v>1</v>
      </c>
      <c r="AA470" s="36">
        <v>4416666</v>
      </c>
      <c r="AB470" s="40">
        <v>46235</v>
      </c>
      <c r="AC470" s="36" t="s">
        <v>2196</v>
      </c>
      <c r="AD470" s="36" t="str">
        <f>VLOOKUP(D470,Oficial!A:C,3,0)</f>
        <v>Arrastre</v>
      </c>
    </row>
    <row r="471" spans="1:30" x14ac:dyDescent="0.25">
      <c r="A471" s="36" t="s">
        <v>27</v>
      </c>
      <c r="B471" s="36" t="s">
        <v>434</v>
      </c>
      <c r="C471" s="36" t="s">
        <v>28</v>
      </c>
      <c r="D471" s="36" t="s">
        <v>434</v>
      </c>
      <c r="E471" s="36" t="s">
        <v>30</v>
      </c>
      <c r="F471" s="36" t="s">
        <v>31</v>
      </c>
      <c r="G471" s="37" t="s">
        <v>356</v>
      </c>
      <c r="H471" s="36" t="s">
        <v>435</v>
      </c>
      <c r="I471" s="36" t="s">
        <v>436</v>
      </c>
      <c r="J471" s="36">
        <v>1</v>
      </c>
      <c r="K471" s="36" t="s">
        <v>359</v>
      </c>
      <c r="L471" s="36">
        <v>4</v>
      </c>
      <c r="M471" s="36">
        <v>1</v>
      </c>
      <c r="N471" s="38">
        <v>80000000</v>
      </c>
      <c r="O471" s="44">
        <v>6666666</v>
      </c>
      <c r="P471" s="36">
        <v>12</v>
      </c>
      <c r="Q471" s="36" t="s">
        <v>318</v>
      </c>
      <c r="R471" s="36" t="s">
        <v>319</v>
      </c>
      <c r="S471" s="36" t="s">
        <v>320</v>
      </c>
      <c r="T471" s="36" t="s">
        <v>437</v>
      </c>
      <c r="U471" s="36" t="s">
        <v>322</v>
      </c>
      <c r="V471" s="40">
        <v>45870</v>
      </c>
      <c r="W471" s="40">
        <v>45889</v>
      </c>
      <c r="X471" s="36">
        <v>0</v>
      </c>
      <c r="Y471" s="36"/>
      <c r="Z471" s="36">
        <v>1</v>
      </c>
      <c r="AA471" s="36">
        <v>6666666</v>
      </c>
      <c r="AB471" s="40">
        <v>46082</v>
      </c>
      <c r="AC471" s="36" t="s">
        <v>2196</v>
      </c>
      <c r="AD471" s="36" t="str">
        <f>VLOOKUP(D471,Oficial!A:C,3,0)</f>
        <v>Arrastre</v>
      </c>
    </row>
    <row r="472" spans="1:30" x14ac:dyDescent="0.25">
      <c r="A472" s="36" t="s">
        <v>27</v>
      </c>
      <c r="B472" s="36" t="s">
        <v>434</v>
      </c>
      <c r="C472" s="36" t="s">
        <v>28</v>
      </c>
      <c r="D472" s="36" t="s">
        <v>434</v>
      </c>
      <c r="E472" s="36" t="s">
        <v>30</v>
      </c>
      <c r="F472" s="36" t="s">
        <v>31</v>
      </c>
      <c r="G472" s="37" t="s">
        <v>356</v>
      </c>
      <c r="H472" s="36" t="s">
        <v>435</v>
      </c>
      <c r="I472" s="36" t="s">
        <v>436</v>
      </c>
      <c r="J472" s="36">
        <v>1</v>
      </c>
      <c r="K472" s="36" t="s">
        <v>359</v>
      </c>
      <c r="L472" s="36">
        <v>4</v>
      </c>
      <c r="M472" s="36">
        <v>1</v>
      </c>
      <c r="N472" s="38">
        <v>80000000</v>
      </c>
      <c r="O472" s="44">
        <v>6666666</v>
      </c>
      <c r="P472" s="36">
        <v>12</v>
      </c>
      <c r="Q472" s="36" t="s">
        <v>318</v>
      </c>
      <c r="R472" s="36" t="s">
        <v>319</v>
      </c>
      <c r="S472" s="36" t="s">
        <v>320</v>
      </c>
      <c r="T472" s="36" t="s">
        <v>437</v>
      </c>
      <c r="U472" s="36" t="s">
        <v>322</v>
      </c>
      <c r="V472" s="40">
        <v>45870</v>
      </c>
      <c r="W472" s="40">
        <v>45889</v>
      </c>
      <c r="X472" s="36">
        <v>0</v>
      </c>
      <c r="Y472" s="36"/>
      <c r="Z472" s="36">
        <v>1</v>
      </c>
      <c r="AA472" s="36">
        <v>6666666</v>
      </c>
      <c r="AB472" s="40">
        <v>46113</v>
      </c>
      <c r="AC472" s="36" t="s">
        <v>2196</v>
      </c>
      <c r="AD472" s="36" t="str">
        <f>VLOOKUP(D472,Oficial!A:C,3,0)</f>
        <v>Arrastre</v>
      </c>
    </row>
    <row r="473" spans="1:30" x14ac:dyDescent="0.25">
      <c r="A473" s="36" t="s">
        <v>27</v>
      </c>
      <c r="B473" s="36" t="s">
        <v>434</v>
      </c>
      <c r="C473" s="36" t="s">
        <v>28</v>
      </c>
      <c r="D473" s="36" t="s">
        <v>434</v>
      </c>
      <c r="E473" s="36" t="s">
        <v>30</v>
      </c>
      <c r="F473" s="36" t="s">
        <v>31</v>
      </c>
      <c r="G473" s="37" t="s">
        <v>356</v>
      </c>
      <c r="H473" s="36" t="s">
        <v>435</v>
      </c>
      <c r="I473" s="36" t="s">
        <v>436</v>
      </c>
      <c r="J473" s="36">
        <v>1</v>
      </c>
      <c r="K473" s="36" t="s">
        <v>359</v>
      </c>
      <c r="L473" s="36">
        <v>4</v>
      </c>
      <c r="M473" s="36">
        <v>1</v>
      </c>
      <c r="N473" s="38">
        <v>80000000</v>
      </c>
      <c r="O473" s="44">
        <v>6666666</v>
      </c>
      <c r="P473" s="36">
        <v>12</v>
      </c>
      <c r="Q473" s="36" t="s">
        <v>318</v>
      </c>
      <c r="R473" s="36" t="s">
        <v>319</v>
      </c>
      <c r="S473" s="36" t="s">
        <v>320</v>
      </c>
      <c r="T473" s="36" t="s">
        <v>437</v>
      </c>
      <c r="U473" s="36" t="s">
        <v>322</v>
      </c>
      <c r="V473" s="40">
        <v>45870</v>
      </c>
      <c r="W473" s="40">
        <v>45889</v>
      </c>
      <c r="X473" s="36">
        <v>0</v>
      </c>
      <c r="Y473" s="36"/>
      <c r="Z473" s="36">
        <v>1</v>
      </c>
      <c r="AA473" s="36">
        <v>6666666</v>
      </c>
      <c r="AB473" s="40">
        <v>46357</v>
      </c>
      <c r="AC473" s="36" t="s">
        <v>2196</v>
      </c>
      <c r="AD473" s="36" t="str">
        <f>VLOOKUP(D473,Oficial!A:C,3,0)</f>
        <v>Arrastre</v>
      </c>
    </row>
    <row r="474" spans="1:30" x14ac:dyDescent="0.25">
      <c r="A474" s="36" t="s">
        <v>27</v>
      </c>
      <c r="B474" s="36" t="s">
        <v>434</v>
      </c>
      <c r="C474" s="36" t="s">
        <v>28</v>
      </c>
      <c r="D474" s="36" t="s">
        <v>434</v>
      </c>
      <c r="E474" s="36" t="s">
        <v>30</v>
      </c>
      <c r="F474" s="36" t="s">
        <v>31</v>
      </c>
      <c r="G474" s="37" t="s">
        <v>356</v>
      </c>
      <c r="H474" s="36" t="s">
        <v>435</v>
      </c>
      <c r="I474" s="36" t="s">
        <v>436</v>
      </c>
      <c r="J474" s="36">
        <v>1</v>
      </c>
      <c r="K474" s="36" t="s">
        <v>359</v>
      </c>
      <c r="L474" s="36">
        <v>4</v>
      </c>
      <c r="M474" s="36">
        <v>1</v>
      </c>
      <c r="N474" s="38">
        <v>80000000</v>
      </c>
      <c r="O474" s="44">
        <v>6666666</v>
      </c>
      <c r="P474" s="36">
        <v>12</v>
      </c>
      <c r="Q474" s="36" t="s">
        <v>318</v>
      </c>
      <c r="R474" s="36" t="s">
        <v>319</v>
      </c>
      <c r="S474" s="36" t="s">
        <v>320</v>
      </c>
      <c r="T474" s="36" t="s">
        <v>437</v>
      </c>
      <c r="U474" s="36" t="s">
        <v>322</v>
      </c>
      <c r="V474" s="40">
        <v>45870</v>
      </c>
      <c r="W474" s="40">
        <v>45889</v>
      </c>
      <c r="X474" s="36">
        <v>0</v>
      </c>
      <c r="Y474" s="36"/>
      <c r="Z474" s="36">
        <v>1</v>
      </c>
      <c r="AA474" s="36">
        <v>6666666</v>
      </c>
      <c r="AB474" s="40">
        <v>46174</v>
      </c>
      <c r="AC474" s="36" t="s">
        <v>2196</v>
      </c>
      <c r="AD474" s="36" t="str">
        <f>VLOOKUP(D474,Oficial!A:C,3,0)</f>
        <v>Arrastre</v>
      </c>
    </row>
    <row r="475" spans="1:30" x14ac:dyDescent="0.25">
      <c r="A475" s="36" t="s">
        <v>27</v>
      </c>
      <c r="B475" s="36" t="s">
        <v>434</v>
      </c>
      <c r="C475" s="36" t="s">
        <v>28</v>
      </c>
      <c r="D475" s="36" t="s">
        <v>434</v>
      </c>
      <c r="E475" s="36" t="s">
        <v>30</v>
      </c>
      <c r="F475" s="36" t="s">
        <v>31</v>
      </c>
      <c r="G475" s="37" t="s">
        <v>356</v>
      </c>
      <c r="H475" s="36" t="s">
        <v>435</v>
      </c>
      <c r="I475" s="36" t="s">
        <v>436</v>
      </c>
      <c r="J475" s="36">
        <v>1</v>
      </c>
      <c r="K475" s="36" t="s">
        <v>359</v>
      </c>
      <c r="L475" s="36">
        <v>4</v>
      </c>
      <c r="M475" s="36">
        <v>1</v>
      </c>
      <c r="N475" s="38">
        <v>80000000</v>
      </c>
      <c r="O475" s="44">
        <v>6666666</v>
      </c>
      <c r="P475" s="36">
        <v>12</v>
      </c>
      <c r="Q475" s="36" t="s">
        <v>318</v>
      </c>
      <c r="R475" s="36" t="s">
        <v>319</v>
      </c>
      <c r="S475" s="36" t="s">
        <v>320</v>
      </c>
      <c r="T475" s="36" t="s">
        <v>437</v>
      </c>
      <c r="U475" s="36" t="s">
        <v>322</v>
      </c>
      <c r="V475" s="40">
        <v>45870</v>
      </c>
      <c r="W475" s="40">
        <v>45889</v>
      </c>
      <c r="X475" s="36">
        <v>0</v>
      </c>
      <c r="Y475" s="36"/>
      <c r="Z475" s="36">
        <v>1</v>
      </c>
      <c r="AA475" s="36">
        <v>6666666</v>
      </c>
      <c r="AB475" s="40">
        <v>46235</v>
      </c>
      <c r="AC475" s="36" t="s">
        <v>2196</v>
      </c>
      <c r="AD475" s="36" t="str">
        <f>VLOOKUP(D475,Oficial!A:C,3,0)</f>
        <v>Arrastre</v>
      </c>
    </row>
    <row r="476" spans="1:30" x14ac:dyDescent="0.25">
      <c r="A476" s="36" t="s">
        <v>27</v>
      </c>
      <c r="B476" s="36" t="s">
        <v>434</v>
      </c>
      <c r="C476" s="36" t="s">
        <v>28</v>
      </c>
      <c r="D476" s="36" t="s">
        <v>434</v>
      </c>
      <c r="E476" s="36" t="s">
        <v>30</v>
      </c>
      <c r="F476" s="36" t="s">
        <v>31</v>
      </c>
      <c r="G476" s="37" t="s">
        <v>356</v>
      </c>
      <c r="H476" s="36" t="s">
        <v>435</v>
      </c>
      <c r="I476" s="36" t="s">
        <v>436</v>
      </c>
      <c r="J476" s="36">
        <v>1</v>
      </c>
      <c r="K476" s="36" t="s">
        <v>359</v>
      </c>
      <c r="L476" s="36">
        <v>4</v>
      </c>
      <c r="M476" s="36">
        <v>1</v>
      </c>
      <c r="N476" s="38">
        <v>80000000</v>
      </c>
      <c r="O476" s="44">
        <v>6666666</v>
      </c>
      <c r="P476" s="36">
        <v>12</v>
      </c>
      <c r="Q476" s="36" t="s">
        <v>318</v>
      </c>
      <c r="R476" s="36" t="s">
        <v>319</v>
      </c>
      <c r="S476" s="36" t="s">
        <v>320</v>
      </c>
      <c r="T476" s="36" t="s">
        <v>437</v>
      </c>
      <c r="U476" s="36" t="s">
        <v>322</v>
      </c>
      <c r="V476" s="40">
        <v>45870</v>
      </c>
      <c r="W476" s="40">
        <v>45889</v>
      </c>
      <c r="X476" s="36">
        <v>0</v>
      </c>
      <c r="Y476" s="36"/>
      <c r="Z476" s="36">
        <v>1</v>
      </c>
      <c r="AA476" s="36">
        <v>6666666</v>
      </c>
      <c r="AB476" s="40">
        <v>46204</v>
      </c>
      <c r="AC476" s="36" t="s">
        <v>2196</v>
      </c>
      <c r="AD476" s="36" t="str">
        <f>VLOOKUP(D476,Oficial!A:C,3,0)</f>
        <v>Arrastre</v>
      </c>
    </row>
    <row r="477" spans="1:30" x14ac:dyDescent="0.25">
      <c r="A477" s="36" t="s">
        <v>27</v>
      </c>
      <c r="B477" s="36" t="s">
        <v>434</v>
      </c>
      <c r="C477" s="36" t="s">
        <v>28</v>
      </c>
      <c r="D477" s="36" t="s">
        <v>434</v>
      </c>
      <c r="E477" s="36" t="s">
        <v>30</v>
      </c>
      <c r="F477" s="36" t="s">
        <v>31</v>
      </c>
      <c r="G477" s="37" t="s">
        <v>356</v>
      </c>
      <c r="H477" s="36" t="s">
        <v>435</v>
      </c>
      <c r="I477" s="36" t="s">
        <v>436</v>
      </c>
      <c r="J477" s="36">
        <v>1</v>
      </c>
      <c r="K477" s="36" t="s">
        <v>359</v>
      </c>
      <c r="L477" s="36">
        <v>4</v>
      </c>
      <c r="M477" s="36">
        <v>1</v>
      </c>
      <c r="N477" s="38">
        <v>80000000</v>
      </c>
      <c r="O477" s="44">
        <v>6666666</v>
      </c>
      <c r="P477" s="36">
        <v>12</v>
      </c>
      <c r="Q477" s="36" t="s">
        <v>318</v>
      </c>
      <c r="R477" s="36" t="s">
        <v>319</v>
      </c>
      <c r="S477" s="36" t="s">
        <v>320</v>
      </c>
      <c r="T477" s="36" t="s">
        <v>437</v>
      </c>
      <c r="U477" s="36" t="s">
        <v>322</v>
      </c>
      <c r="V477" s="40">
        <v>45870</v>
      </c>
      <c r="W477" s="40">
        <v>45889</v>
      </c>
      <c r="X477" s="36">
        <v>0</v>
      </c>
      <c r="Y477" s="36"/>
      <c r="Z477" s="36">
        <v>1</v>
      </c>
      <c r="AA477" s="36">
        <v>6666666</v>
      </c>
      <c r="AB477" s="40">
        <v>46054</v>
      </c>
      <c r="AC477" s="36" t="s">
        <v>2196</v>
      </c>
      <c r="AD477" s="36" t="str">
        <f>VLOOKUP(D477,Oficial!A:C,3,0)</f>
        <v>Arrastre</v>
      </c>
    </row>
    <row r="478" spans="1:30" x14ac:dyDescent="0.25">
      <c r="A478" s="36" t="s">
        <v>27</v>
      </c>
      <c r="B478" s="36" t="s">
        <v>434</v>
      </c>
      <c r="C478" s="36" t="s">
        <v>28</v>
      </c>
      <c r="D478" s="36" t="s">
        <v>434</v>
      </c>
      <c r="E478" s="36" t="s">
        <v>30</v>
      </c>
      <c r="F478" s="36" t="s">
        <v>31</v>
      </c>
      <c r="G478" s="37" t="s">
        <v>356</v>
      </c>
      <c r="H478" s="36" t="s">
        <v>435</v>
      </c>
      <c r="I478" s="36" t="s">
        <v>436</v>
      </c>
      <c r="J478" s="36">
        <v>1</v>
      </c>
      <c r="K478" s="36" t="s">
        <v>359</v>
      </c>
      <c r="L478" s="36">
        <v>4</v>
      </c>
      <c r="M478" s="36">
        <v>1</v>
      </c>
      <c r="N478" s="38">
        <v>80000000</v>
      </c>
      <c r="O478" s="44">
        <v>6666666</v>
      </c>
      <c r="P478" s="36">
        <v>12</v>
      </c>
      <c r="Q478" s="36" t="s">
        <v>318</v>
      </c>
      <c r="R478" s="36" t="s">
        <v>319</v>
      </c>
      <c r="S478" s="36" t="s">
        <v>320</v>
      </c>
      <c r="T478" s="36" t="s">
        <v>437</v>
      </c>
      <c r="U478" s="36" t="s">
        <v>322</v>
      </c>
      <c r="V478" s="40">
        <v>45870</v>
      </c>
      <c r="W478" s="40">
        <v>45889</v>
      </c>
      <c r="X478" s="36">
        <v>0</v>
      </c>
      <c r="Y478" s="36"/>
      <c r="Z478" s="36">
        <v>1</v>
      </c>
      <c r="AA478" s="36">
        <v>6666666</v>
      </c>
      <c r="AB478" s="40">
        <v>46143</v>
      </c>
      <c r="AC478" s="36" t="s">
        <v>2196</v>
      </c>
      <c r="AD478" s="36" t="str">
        <f>VLOOKUP(D478,Oficial!A:C,3,0)</f>
        <v>Arrastre</v>
      </c>
    </row>
    <row r="479" spans="1:30" x14ac:dyDescent="0.25">
      <c r="A479" s="36" t="s">
        <v>27</v>
      </c>
      <c r="B479" s="36" t="s">
        <v>434</v>
      </c>
      <c r="C479" s="36" t="s">
        <v>28</v>
      </c>
      <c r="D479" s="36" t="s">
        <v>434</v>
      </c>
      <c r="E479" s="36" t="s">
        <v>30</v>
      </c>
      <c r="F479" s="36" t="s">
        <v>31</v>
      </c>
      <c r="G479" s="37" t="s">
        <v>356</v>
      </c>
      <c r="H479" s="36" t="s">
        <v>435</v>
      </c>
      <c r="I479" s="36" t="s">
        <v>436</v>
      </c>
      <c r="J479" s="36">
        <v>1</v>
      </c>
      <c r="K479" s="36" t="s">
        <v>359</v>
      </c>
      <c r="L479" s="36">
        <v>4</v>
      </c>
      <c r="M479" s="36">
        <v>1</v>
      </c>
      <c r="N479" s="38">
        <v>80000000</v>
      </c>
      <c r="O479" s="44">
        <v>6666666</v>
      </c>
      <c r="P479" s="36">
        <v>12</v>
      </c>
      <c r="Q479" s="36" t="s">
        <v>318</v>
      </c>
      <c r="R479" s="36" t="s">
        <v>319</v>
      </c>
      <c r="S479" s="36" t="s">
        <v>320</v>
      </c>
      <c r="T479" s="36" t="s">
        <v>437</v>
      </c>
      <c r="U479" s="36" t="s">
        <v>322</v>
      </c>
      <c r="V479" s="40">
        <v>45870</v>
      </c>
      <c r="W479" s="40">
        <v>45889</v>
      </c>
      <c r="X479" s="36">
        <v>0</v>
      </c>
      <c r="Y479" s="36"/>
      <c r="Z479" s="36">
        <v>1</v>
      </c>
      <c r="AA479" s="36">
        <v>6666666</v>
      </c>
      <c r="AB479" s="40">
        <v>46296</v>
      </c>
      <c r="AC479" s="36" t="s">
        <v>2196</v>
      </c>
      <c r="AD479" s="36" t="str">
        <f>VLOOKUP(D479,Oficial!A:C,3,0)</f>
        <v>Arrastre</v>
      </c>
    </row>
    <row r="480" spans="1:30" x14ac:dyDescent="0.25">
      <c r="A480" s="36" t="s">
        <v>27</v>
      </c>
      <c r="B480" s="36" t="s">
        <v>434</v>
      </c>
      <c r="C480" s="36" t="s">
        <v>28</v>
      </c>
      <c r="D480" s="36" t="s">
        <v>434</v>
      </c>
      <c r="E480" s="36" t="s">
        <v>30</v>
      </c>
      <c r="F480" s="36" t="s">
        <v>31</v>
      </c>
      <c r="G480" s="37" t="s">
        <v>356</v>
      </c>
      <c r="H480" s="36" t="s">
        <v>435</v>
      </c>
      <c r="I480" s="36" t="s">
        <v>436</v>
      </c>
      <c r="J480" s="36">
        <v>1</v>
      </c>
      <c r="K480" s="36" t="s">
        <v>359</v>
      </c>
      <c r="L480" s="36">
        <v>4</v>
      </c>
      <c r="M480" s="36">
        <v>1</v>
      </c>
      <c r="N480" s="38">
        <v>80000000</v>
      </c>
      <c r="O480" s="44">
        <v>6666666</v>
      </c>
      <c r="P480" s="36">
        <v>12</v>
      </c>
      <c r="Q480" s="36" t="s">
        <v>318</v>
      </c>
      <c r="R480" s="36" t="s">
        <v>319</v>
      </c>
      <c r="S480" s="36" t="s">
        <v>320</v>
      </c>
      <c r="T480" s="36" t="s">
        <v>437</v>
      </c>
      <c r="U480" s="36" t="s">
        <v>322</v>
      </c>
      <c r="V480" s="40">
        <v>45870</v>
      </c>
      <c r="W480" s="40">
        <v>45889</v>
      </c>
      <c r="X480" s="36">
        <v>0</v>
      </c>
      <c r="Y480" s="36"/>
      <c r="Z480" s="36">
        <v>1</v>
      </c>
      <c r="AA480" s="36">
        <v>6666666</v>
      </c>
      <c r="AB480" s="40">
        <v>46327</v>
      </c>
      <c r="AC480" s="36" t="s">
        <v>2196</v>
      </c>
      <c r="AD480" s="36" t="str">
        <f>VLOOKUP(D480,Oficial!A:C,3,0)</f>
        <v>Arrastre</v>
      </c>
    </row>
    <row r="481" spans="1:30" x14ac:dyDescent="0.25">
      <c r="A481" s="36" t="s">
        <v>27</v>
      </c>
      <c r="B481" s="36" t="s">
        <v>434</v>
      </c>
      <c r="C481" s="36" t="s">
        <v>28</v>
      </c>
      <c r="D481" s="36" t="s">
        <v>434</v>
      </c>
      <c r="E481" s="36" t="s">
        <v>30</v>
      </c>
      <c r="F481" s="36" t="s">
        <v>31</v>
      </c>
      <c r="G481" s="37" t="s">
        <v>356</v>
      </c>
      <c r="H481" s="36" t="s">
        <v>435</v>
      </c>
      <c r="I481" s="36" t="s">
        <v>436</v>
      </c>
      <c r="J481" s="36">
        <v>1</v>
      </c>
      <c r="K481" s="36" t="s">
        <v>359</v>
      </c>
      <c r="L481" s="36">
        <v>4</v>
      </c>
      <c r="M481" s="36">
        <v>1</v>
      </c>
      <c r="N481" s="38">
        <v>80000000</v>
      </c>
      <c r="O481" s="44">
        <v>6666666</v>
      </c>
      <c r="P481" s="36">
        <v>12</v>
      </c>
      <c r="Q481" s="36" t="s">
        <v>318</v>
      </c>
      <c r="R481" s="36" t="s">
        <v>319</v>
      </c>
      <c r="S481" s="36" t="s">
        <v>320</v>
      </c>
      <c r="T481" s="36" t="s">
        <v>437</v>
      </c>
      <c r="U481" s="36" t="s">
        <v>322</v>
      </c>
      <c r="V481" s="40">
        <v>45870</v>
      </c>
      <c r="W481" s="40">
        <v>45889</v>
      </c>
      <c r="X481" s="36">
        <v>0</v>
      </c>
      <c r="Y481" s="36"/>
      <c r="Z481" s="36">
        <v>1</v>
      </c>
      <c r="AA481" s="36">
        <v>6666666</v>
      </c>
      <c r="AB481" s="40">
        <v>46266</v>
      </c>
      <c r="AC481" s="36" t="s">
        <v>2196</v>
      </c>
      <c r="AD481" s="36" t="str">
        <f>VLOOKUP(D481,Oficial!A:C,3,0)</f>
        <v>Arrastre</v>
      </c>
    </row>
    <row r="482" spans="1:30" x14ac:dyDescent="0.25">
      <c r="A482" s="36" t="s">
        <v>27</v>
      </c>
      <c r="B482" s="36" t="s">
        <v>438</v>
      </c>
      <c r="C482" s="36" t="s">
        <v>28</v>
      </c>
      <c r="D482" s="36" t="s">
        <v>438</v>
      </c>
      <c r="E482" s="36" t="s">
        <v>30</v>
      </c>
      <c r="F482" s="36" t="s">
        <v>31</v>
      </c>
      <c r="G482" s="37" t="s">
        <v>439</v>
      </c>
      <c r="H482" s="36" t="s">
        <v>440</v>
      </c>
      <c r="I482" s="36" t="s">
        <v>441</v>
      </c>
      <c r="J482" s="36">
        <v>2</v>
      </c>
      <c r="K482" s="36" t="s">
        <v>442</v>
      </c>
      <c r="L482" s="36">
        <v>4</v>
      </c>
      <c r="M482" s="36">
        <v>65</v>
      </c>
      <c r="N482" s="38">
        <v>53900</v>
      </c>
      <c r="O482" s="41">
        <v>291958</v>
      </c>
      <c r="P482" s="36">
        <v>12</v>
      </c>
      <c r="Q482" s="36" t="s">
        <v>413</v>
      </c>
      <c r="R482" s="36" t="s">
        <v>360</v>
      </c>
      <c r="S482" s="36" t="s">
        <v>361</v>
      </c>
      <c r="T482" s="36" t="s">
        <v>362</v>
      </c>
      <c r="U482" s="36" t="s">
        <v>363</v>
      </c>
      <c r="V482" s="40">
        <v>45870</v>
      </c>
      <c r="W482" s="40">
        <v>45889</v>
      </c>
      <c r="X482" s="36">
        <v>0</v>
      </c>
      <c r="Y482" s="36"/>
      <c r="Z482" s="36">
        <v>1</v>
      </c>
      <c r="AA482" s="36">
        <v>291958</v>
      </c>
      <c r="AB482" s="40">
        <v>46054</v>
      </c>
      <c r="AC482" s="36" t="s">
        <v>2196</v>
      </c>
      <c r="AD482" s="36" t="str">
        <f>VLOOKUP(D482,Oficial!A:C,3,0)</f>
        <v>Arrastre</v>
      </c>
    </row>
    <row r="483" spans="1:30" x14ac:dyDescent="0.25">
      <c r="A483" s="36" t="s">
        <v>27</v>
      </c>
      <c r="B483" s="36" t="s">
        <v>438</v>
      </c>
      <c r="C483" s="36" t="s">
        <v>28</v>
      </c>
      <c r="D483" s="36" t="s">
        <v>438</v>
      </c>
      <c r="E483" s="36" t="s">
        <v>30</v>
      </c>
      <c r="F483" s="36" t="s">
        <v>31</v>
      </c>
      <c r="G483" s="37" t="s">
        <v>439</v>
      </c>
      <c r="H483" s="36" t="s">
        <v>440</v>
      </c>
      <c r="I483" s="36" t="s">
        <v>441</v>
      </c>
      <c r="J483" s="36">
        <v>2</v>
      </c>
      <c r="K483" s="36" t="s">
        <v>442</v>
      </c>
      <c r="L483" s="36">
        <v>4</v>
      </c>
      <c r="M483" s="36">
        <v>65</v>
      </c>
      <c r="N483" s="38">
        <v>53900</v>
      </c>
      <c r="O483" s="41">
        <v>291958</v>
      </c>
      <c r="P483" s="36">
        <v>12</v>
      </c>
      <c r="Q483" s="36" t="s">
        <v>413</v>
      </c>
      <c r="R483" s="36" t="s">
        <v>360</v>
      </c>
      <c r="S483" s="36" t="s">
        <v>361</v>
      </c>
      <c r="T483" s="36" t="s">
        <v>362</v>
      </c>
      <c r="U483" s="36" t="s">
        <v>363</v>
      </c>
      <c r="V483" s="40">
        <v>45870</v>
      </c>
      <c r="W483" s="40">
        <v>45889</v>
      </c>
      <c r="X483" s="36">
        <v>0</v>
      </c>
      <c r="Y483" s="36"/>
      <c r="Z483" s="36">
        <v>1</v>
      </c>
      <c r="AA483" s="36">
        <v>291958</v>
      </c>
      <c r="AB483" s="40">
        <v>46204</v>
      </c>
      <c r="AC483" s="36" t="s">
        <v>2196</v>
      </c>
      <c r="AD483" s="36" t="str">
        <f>VLOOKUP(D483,Oficial!A:C,3,0)</f>
        <v>Arrastre</v>
      </c>
    </row>
    <row r="484" spans="1:30" x14ac:dyDescent="0.25">
      <c r="A484" s="36" t="s">
        <v>27</v>
      </c>
      <c r="B484" s="36" t="s">
        <v>438</v>
      </c>
      <c r="C484" s="36" t="s">
        <v>28</v>
      </c>
      <c r="D484" s="36" t="s">
        <v>438</v>
      </c>
      <c r="E484" s="36" t="s">
        <v>30</v>
      </c>
      <c r="F484" s="36" t="s">
        <v>31</v>
      </c>
      <c r="G484" s="37" t="s">
        <v>439</v>
      </c>
      <c r="H484" s="36" t="s">
        <v>440</v>
      </c>
      <c r="I484" s="36" t="s">
        <v>441</v>
      </c>
      <c r="J484" s="36">
        <v>2</v>
      </c>
      <c r="K484" s="36" t="s">
        <v>442</v>
      </c>
      <c r="L484" s="36">
        <v>4</v>
      </c>
      <c r="M484" s="36">
        <v>65</v>
      </c>
      <c r="N484" s="38">
        <v>53900</v>
      </c>
      <c r="O484" s="41">
        <v>291958</v>
      </c>
      <c r="P484" s="36">
        <v>12</v>
      </c>
      <c r="Q484" s="36" t="s">
        <v>413</v>
      </c>
      <c r="R484" s="36" t="s">
        <v>360</v>
      </c>
      <c r="S484" s="36" t="s">
        <v>361</v>
      </c>
      <c r="T484" s="36" t="s">
        <v>362</v>
      </c>
      <c r="U484" s="36" t="s">
        <v>363</v>
      </c>
      <c r="V484" s="40">
        <v>45870</v>
      </c>
      <c r="W484" s="40">
        <v>45889</v>
      </c>
      <c r="X484" s="36">
        <v>0</v>
      </c>
      <c r="Y484" s="36"/>
      <c r="Z484" s="36">
        <v>1</v>
      </c>
      <c r="AA484" s="36">
        <v>291958</v>
      </c>
      <c r="AB484" s="40">
        <v>46023</v>
      </c>
      <c r="AC484" s="36" t="s">
        <v>2196</v>
      </c>
      <c r="AD484" s="36" t="str">
        <f>VLOOKUP(D484,Oficial!A:C,3,0)</f>
        <v>Arrastre</v>
      </c>
    </row>
    <row r="485" spans="1:30" x14ac:dyDescent="0.25">
      <c r="A485" s="36" t="s">
        <v>27</v>
      </c>
      <c r="B485" s="36" t="s">
        <v>438</v>
      </c>
      <c r="C485" s="36" t="s">
        <v>28</v>
      </c>
      <c r="D485" s="36" t="s">
        <v>438</v>
      </c>
      <c r="E485" s="36" t="s">
        <v>30</v>
      </c>
      <c r="F485" s="36" t="s">
        <v>31</v>
      </c>
      <c r="G485" s="37" t="s">
        <v>439</v>
      </c>
      <c r="H485" s="36" t="s">
        <v>440</v>
      </c>
      <c r="I485" s="36" t="s">
        <v>441</v>
      </c>
      <c r="J485" s="36">
        <v>2</v>
      </c>
      <c r="K485" s="36" t="s">
        <v>442</v>
      </c>
      <c r="L485" s="36">
        <v>4</v>
      </c>
      <c r="M485" s="36">
        <v>65</v>
      </c>
      <c r="N485" s="38">
        <v>53900</v>
      </c>
      <c r="O485" s="41">
        <v>291962</v>
      </c>
      <c r="P485" s="36">
        <v>12</v>
      </c>
      <c r="Q485" s="36" t="s">
        <v>413</v>
      </c>
      <c r="R485" s="36" t="s">
        <v>360</v>
      </c>
      <c r="S485" s="36" t="s">
        <v>361</v>
      </c>
      <c r="T485" s="36" t="s">
        <v>362</v>
      </c>
      <c r="U485" s="36" t="s">
        <v>363</v>
      </c>
      <c r="V485" s="40">
        <v>45870</v>
      </c>
      <c r="W485" s="40">
        <v>45889</v>
      </c>
      <c r="X485" s="36">
        <v>0</v>
      </c>
      <c r="Y485" s="36"/>
      <c r="Z485" s="36">
        <v>1</v>
      </c>
      <c r="AA485" s="36">
        <v>291962</v>
      </c>
      <c r="AB485" s="40">
        <v>46357</v>
      </c>
      <c r="AC485" s="36" t="s">
        <v>2196</v>
      </c>
      <c r="AD485" s="36" t="str">
        <f>VLOOKUP(D485,Oficial!A:C,3,0)</f>
        <v>Arrastre</v>
      </c>
    </row>
    <row r="486" spans="1:30" x14ac:dyDescent="0.25">
      <c r="A486" s="36" t="s">
        <v>27</v>
      </c>
      <c r="B486" s="36" t="s">
        <v>438</v>
      </c>
      <c r="C486" s="36" t="s">
        <v>28</v>
      </c>
      <c r="D486" s="36" t="s">
        <v>438</v>
      </c>
      <c r="E486" s="36" t="s">
        <v>30</v>
      </c>
      <c r="F486" s="36" t="s">
        <v>31</v>
      </c>
      <c r="G486" s="37" t="s">
        <v>439</v>
      </c>
      <c r="H486" s="36" t="s">
        <v>440</v>
      </c>
      <c r="I486" s="36" t="s">
        <v>441</v>
      </c>
      <c r="J486" s="36">
        <v>2</v>
      </c>
      <c r="K486" s="36" t="s">
        <v>442</v>
      </c>
      <c r="L486" s="36">
        <v>4</v>
      </c>
      <c r="M486" s="36">
        <v>65</v>
      </c>
      <c r="N486" s="38">
        <v>53900</v>
      </c>
      <c r="O486" s="41">
        <v>291958</v>
      </c>
      <c r="P486" s="36">
        <v>12</v>
      </c>
      <c r="Q486" s="36" t="s">
        <v>413</v>
      </c>
      <c r="R486" s="36" t="s">
        <v>360</v>
      </c>
      <c r="S486" s="36" t="s">
        <v>361</v>
      </c>
      <c r="T486" s="36" t="s">
        <v>362</v>
      </c>
      <c r="U486" s="36" t="s">
        <v>363</v>
      </c>
      <c r="V486" s="40">
        <v>45870</v>
      </c>
      <c r="W486" s="40">
        <v>45889</v>
      </c>
      <c r="X486" s="36">
        <v>0</v>
      </c>
      <c r="Y486" s="36"/>
      <c r="Z486" s="36">
        <v>1</v>
      </c>
      <c r="AA486" s="36">
        <v>291958</v>
      </c>
      <c r="AB486" s="40">
        <v>46113</v>
      </c>
      <c r="AC486" s="36" t="s">
        <v>2196</v>
      </c>
      <c r="AD486" s="36" t="str">
        <f>VLOOKUP(D486,Oficial!A:C,3,0)</f>
        <v>Arrastre</v>
      </c>
    </row>
    <row r="487" spans="1:30" x14ac:dyDescent="0.25">
      <c r="A487" s="36" t="s">
        <v>27</v>
      </c>
      <c r="B487" s="36" t="s">
        <v>438</v>
      </c>
      <c r="C487" s="36" t="s">
        <v>28</v>
      </c>
      <c r="D487" s="36" t="s">
        <v>438</v>
      </c>
      <c r="E487" s="36" t="s">
        <v>30</v>
      </c>
      <c r="F487" s="36" t="s">
        <v>31</v>
      </c>
      <c r="G487" s="37" t="s">
        <v>439</v>
      </c>
      <c r="H487" s="36" t="s">
        <v>440</v>
      </c>
      <c r="I487" s="36" t="s">
        <v>441</v>
      </c>
      <c r="J487" s="36">
        <v>2</v>
      </c>
      <c r="K487" s="36" t="s">
        <v>442</v>
      </c>
      <c r="L487" s="36">
        <v>4</v>
      </c>
      <c r="M487" s="36">
        <v>65</v>
      </c>
      <c r="N487" s="38">
        <v>53900</v>
      </c>
      <c r="O487" s="41">
        <v>291958</v>
      </c>
      <c r="P487" s="36">
        <v>12</v>
      </c>
      <c r="Q487" s="36" t="s">
        <v>413</v>
      </c>
      <c r="R487" s="36" t="s">
        <v>360</v>
      </c>
      <c r="S487" s="36" t="s">
        <v>361</v>
      </c>
      <c r="T487" s="36" t="s">
        <v>362</v>
      </c>
      <c r="U487" s="36" t="s">
        <v>363</v>
      </c>
      <c r="V487" s="40">
        <v>45870</v>
      </c>
      <c r="W487" s="40">
        <v>45889</v>
      </c>
      <c r="X487" s="36">
        <v>0</v>
      </c>
      <c r="Y487" s="36"/>
      <c r="Z487" s="36">
        <v>1</v>
      </c>
      <c r="AA487" s="36">
        <v>291958</v>
      </c>
      <c r="AB487" s="40">
        <v>46174</v>
      </c>
      <c r="AC487" s="36" t="s">
        <v>2196</v>
      </c>
      <c r="AD487" s="36" t="str">
        <f>VLOOKUP(D487,Oficial!A:C,3,0)</f>
        <v>Arrastre</v>
      </c>
    </row>
    <row r="488" spans="1:30" x14ac:dyDescent="0.25">
      <c r="A488" s="36" t="s">
        <v>27</v>
      </c>
      <c r="B488" s="36" t="s">
        <v>438</v>
      </c>
      <c r="C488" s="36" t="s">
        <v>28</v>
      </c>
      <c r="D488" s="36" t="s">
        <v>438</v>
      </c>
      <c r="E488" s="36" t="s">
        <v>30</v>
      </c>
      <c r="F488" s="36" t="s">
        <v>31</v>
      </c>
      <c r="G488" s="37" t="s">
        <v>439</v>
      </c>
      <c r="H488" s="36" t="s">
        <v>440</v>
      </c>
      <c r="I488" s="36" t="s">
        <v>441</v>
      </c>
      <c r="J488" s="36">
        <v>2</v>
      </c>
      <c r="K488" s="36" t="s">
        <v>442</v>
      </c>
      <c r="L488" s="36">
        <v>4</v>
      </c>
      <c r="M488" s="36">
        <v>65</v>
      </c>
      <c r="N488" s="38">
        <v>53900</v>
      </c>
      <c r="O488" s="41">
        <v>291958</v>
      </c>
      <c r="P488" s="36">
        <v>12</v>
      </c>
      <c r="Q488" s="36" t="s">
        <v>413</v>
      </c>
      <c r="R488" s="36" t="s">
        <v>360</v>
      </c>
      <c r="S488" s="36" t="s">
        <v>361</v>
      </c>
      <c r="T488" s="36" t="s">
        <v>362</v>
      </c>
      <c r="U488" s="36" t="s">
        <v>363</v>
      </c>
      <c r="V488" s="40">
        <v>45870</v>
      </c>
      <c r="W488" s="40">
        <v>45889</v>
      </c>
      <c r="X488" s="36">
        <v>0</v>
      </c>
      <c r="Y488" s="36"/>
      <c r="Z488" s="36">
        <v>1</v>
      </c>
      <c r="AA488" s="36">
        <v>291958</v>
      </c>
      <c r="AB488" s="40">
        <v>46143</v>
      </c>
      <c r="AC488" s="36" t="s">
        <v>2196</v>
      </c>
      <c r="AD488" s="36" t="str">
        <f>VLOOKUP(D488,Oficial!A:C,3,0)</f>
        <v>Arrastre</v>
      </c>
    </row>
    <row r="489" spans="1:30" x14ac:dyDescent="0.25">
      <c r="A489" s="36" t="s">
        <v>27</v>
      </c>
      <c r="B489" s="36" t="s">
        <v>438</v>
      </c>
      <c r="C489" s="36" t="s">
        <v>28</v>
      </c>
      <c r="D489" s="36" t="s">
        <v>438</v>
      </c>
      <c r="E489" s="36" t="s">
        <v>30</v>
      </c>
      <c r="F489" s="36" t="s">
        <v>31</v>
      </c>
      <c r="G489" s="37" t="s">
        <v>439</v>
      </c>
      <c r="H489" s="36" t="s">
        <v>440</v>
      </c>
      <c r="I489" s="36" t="s">
        <v>441</v>
      </c>
      <c r="J489" s="36">
        <v>2</v>
      </c>
      <c r="K489" s="36" t="s">
        <v>442</v>
      </c>
      <c r="L489" s="36">
        <v>4</v>
      </c>
      <c r="M489" s="36">
        <v>65</v>
      </c>
      <c r="N489" s="38">
        <v>53900</v>
      </c>
      <c r="O489" s="41">
        <v>291958</v>
      </c>
      <c r="P489" s="36">
        <v>12</v>
      </c>
      <c r="Q489" s="36" t="s">
        <v>413</v>
      </c>
      <c r="R489" s="36" t="s">
        <v>360</v>
      </c>
      <c r="S489" s="36" t="s">
        <v>361</v>
      </c>
      <c r="T489" s="36" t="s">
        <v>362</v>
      </c>
      <c r="U489" s="36" t="s">
        <v>363</v>
      </c>
      <c r="V489" s="40">
        <v>45870</v>
      </c>
      <c r="W489" s="40">
        <v>45889</v>
      </c>
      <c r="X489" s="36">
        <v>0</v>
      </c>
      <c r="Y489" s="36"/>
      <c r="Z489" s="36">
        <v>1</v>
      </c>
      <c r="AA489" s="36">
        <v>291958</v>
      </c>
      <c r="AB489" s="40">
        <v>46082</v>
      </c>
      <c r="AC489" s="36" t="s">
        <v>2196</v>
      </c>
      <c r="AD489" s="36" t="str">
        <f>VLOOKUP(D489,Oficial!A:C,3,0)</f>
        <v>Arrastre</v>
      </c>
    </row>
    <row r="490" spans="1:30" x14ac:dyDescent="0.25">
      <c r="A490" s="36" t="s">
        <v>27</v>
      </c>
      <c r="B490" s="36" t="s">
        <v>438</v>
      </c>
      <c r="C490" s="36" t="s">
        <v>28</v>
      </c>
      <c r="D490" s="36" t="s">
        <v>438</v>
      </c>
      <c r="E490" s="36" t="s">
        <v>30</v>
      </c>
      <c r="F490" s="36" t="s">
        <v>31</v>
      </c>
      <c r="G490" s="37" t="s">
        <v>439</v>
      </c>
      <c r="H490" s="36" t="s">
        <v>440</v>
      </c>
      <c r="I490" s="36" t="s">
        <v>441</v>
      </c>
      <c r="J490" s="36">
        <v>2</v>
      </c>
      <c r="K490" s="36" t="s">
        <v>442</v>
      </c>
      <c r="L490" s="36">
        <v>4</v>
      </c>
      <c r="M490" s="36">
        <v>65</v>
      </c>
      <c r="N490" s="38">
        <v>53900</v>
      </c>
      <c r="O490" s="41">
        <v>291958</v>
      </c>
      <c r="P490" s="36">
        <v>12</v>
      </c>
      <c r="Q490" s="36" t="s">
        <v>413</v>
      </c>
      <c r="R490" s="36" t="s">
        <v>360</v>
      </c>
      <c r="S490" s="36" t="s">
        <v>361</v>
      </c>
      <c r="T490" s="36" t="s">
        <v>362</v>
      </c>
      <c r="U490" s="36" t="s">
        <v>363</v>
      </c>
      <c r="V490" s="40">
        <v>45870</v>
      </c>
      <c r="W490" s="40">
        <v>45889</v>
      </c>
      <c r="X490" s="36">
        <v>0</v>
      </c>
      <c r="Y490" s="36"/>
      <c r="Z490" s="36">
        <v>1</v>
      </c>
      <c r="AA490" s="36">
        <v>291958</v>
      </c>
      <c r="AB490" s="40">
        <v>46296</v>
      </c>
      <c r="AC490" s="36" t="s">
        <v>2196</v>
      </c>
      <c r="AD490" s="36" t="str">
        <f>VLOOKUP(D490,Oficial!A:C,3,0)</f>
        <v>Arrastre</v>
      </c>
    </row>
    <row r="491" spans="1:30" x14ac:dyDescent="0.25">
      <c r="A491" s="36" t="s">
        <v>27</v>
      </c>
      <c r="B491" s="36" t="s">
        <v>438</v>
      </c>
      <c r="C491" s="36" t="s">
        <v>28</v>
      </c>
      <c r="D491" s="36" t="s">
        <v>438</v>
      </c>
      <c r="E491" s="36" t="s">
        <v>30</v>
      </c>
      <c r="F491" s="36" t="s">
        <v>31</v>
      </c>
      <c r="G491" s="37" t="s">
        <v>439</v>
      </c>
      <c r="H491" s="36" t="s">
        <v>440</v>
      </c>
      <c r="I491" s="36" t="s">
        <v>441</v>
      </c>
      <c r="J491" s="36">
        <v>2</v>
      </c>
      <c r="K491" s="36" t="s">
        <v>442</v>
      </c>
      <c r="L491" s="36">
        <v>4</v>
      </c>
      <c r="M491" s="36">
        <v>65</v>
      </c>
      <c r="N491" s="38">
        <v>53900</v>
      </c>
      <c r="O491" s="41">
        <v>291958</v>
      </c>
      <c r="P491" s="36">
        <v>12</v>
      </c>
      <c r="Q491" s="36" t="s">
        <v>413</v>
      </c>
      <c r="R491" s="36" t="s">
        <v>360</v>
      </c>
      <c r="S491" s="36" t="s">
        <v>361</v>
      </c>
      <c r="T491" s="36" t="s">
        <v>362</v>
      </c>
      <c r="U491" s="36" t="s">
        <v>363</v>
      </c>
      <c r="V491" s="40">
        <v>45870</v>
      </c>
      <c r="W491" s="40">
        <v>45889</v>
      </c>
      <c r="X491" s="36">
        <v>0</v>
      </c>
      <c r="Y491" s="36"/>
      <c r="Z491" s="36">
        <v>1</v>
      </c>
      <c r="AA491" s="36">
        <v>291958</v>
      </c>
      <c r="AB491" s="40">
        <v>46266</v>
      </c>
      <c r="AC491" s="36" t="s">
        <v>2196</v>
      </c>
      <c r="AD491" s="36" t="str">
        <f>VLOOKUP(D491,Oficial!A:C,3,0)</f>
        <v>Arrastre</v>
      </c>
    </row>
    <row r="492" spans="1:30" x14ac:dyDescent="0.25">
      <c r="A492" s="36" t="s">
        <v>27</v>
      </c>
      <c r="B492" s="36" t="s">
        <v>438</v>
      </c>
      <c r="C492" s="36" t="s">
        <v>28</v>
      </c>
      <c r="D492" s="36" t="s">
        <v>438</v>
      </c>
      <c r="E492" s="36" t="s">
        <v>30</v>
      </c>
      <c r="F492" s="36" t="s">
        <v>31</v>
      </c>
      <c r="G492" s="37" t="s">
        <v>439</v>
      </c>
      <c r="H492" s="36" t="s">
        <v>440</v>
      </c>
      <c r="I492" s="36" t="s">
        <v>441</v>
      </c>
      <c r="J492" s="36">
        <v>2</v>
      </c>
      <c r="K492" s="36" t="s">
        <v>442</v>
      </c>
      <c r="L492" s="36">
        <v>4</v>
      </c>
      <c r="M492" s="36">
        <v>65</v>
      </c>
      <c r="N492" s="38">
        <v>53900</v>
      </c>
      <c r="O492" s="41">
        <v>291958</v>
      </c>
      <c r="P492" s="36">
        <v>12</v>
      </c>
      <c r="Q492" s="36" t="s">
        <v>413</v>
      </c>
      <c r="R492" s="36" t="s">
        <v>360</v>
      </c>
      <c r="S492" s="36" t="s">
        <v>361</v>
      </c>
      <c r="T492" s="36" t="s">
        <v>362</v>
      </c>
      <c r="U492" s="36" t="s">
        <v>363</v>
      </c>
      <c r="V492" s="40">
        <v>45870</v>
      </c>
      <c r="W492" s="40">
        <v>45889</v>
      </c>
      <c r="X492" s="36">
        <v>0</v>
      </c>
      <c r="Y492" s="36"/>
      <c r="Z492" s="36">
        <v>1</v>
      </c>
      <c r="AA492" s="36">
        <v>291958</v>
      </c>
      <c r="AB492" s="40">
        <v>46235</v>
      </c>
      <c r="AC492" s="36" t="s">
        <v>2196</v>
      </c>
      <c r="AD492" s="36" t="str">
        <f>VLOOKUP(D492,Oficial!A:C,3,0)</f>
        <v>Arrastre</v>
      </c>
    </row>
    <row r="493" spans="1:30" x14ac:dyDescent="0.25">
      <c r="A493" s="36" t="s">
        <v>27</v>
      </c>
      <c r="B493" s="36" t="s">
        <v>438</v>
      </c>
      <c r="C493" s="36" t="s">
        <v>28</v>
      </c>
      <c r="D493" s="36" t="s">
        <v>438</v>
      </c>
      <c r="E493" s="36" t="s">
        <v>30</v>
      </c>
      <c r="F493" s="36" t="s">
        <v>31</v>
      </c>
      <c r="G493" s="37" t="s">
        <v>439</v>
      </c>
      <c r="H493" s="36" t="s">
        <v>440</v>
      </c>
      <c r="I493" s="36" t="s">
        <v>441</v>
      </c>
      <c r="J493" s="36">
        <v>2</v>
      </c>
      <c r="K493" s="36" t="s">
        <v>442</v>
      </c>
      <c r="L493" s="36">
        <v>4</v>
      </c>
      <c r="M493" s="36">
        <v>65</v>
      </c>
      <c r="N493" s="38">
        <v>53900</v>
      </c>
      <c r="O493" s="41">
        <v>291958</v>
      </c>
      <c r="P493" s="36">
        <v>12</v>
      </c>
      <c r="Q493" s="36" t="s">
        <v>413</v>
      </c>
      <c r="R493" s="36" t="s">
        <v>360</v>
      </c>
      <c r="S493" s="36" t="s">
        <v>361</v>
      </c>
      <c r="T493" s="36" t="s">
        <v>362</v>
      </c>
      <c r="U493" s="36" t="s">
        <v>363</v>
      </c>
      <c r="V493" s="40">
        <v>45870</v>
      </c>
      <c r="W493" s="40">
        <v>45889</v>
      </c>
      <c r="X493" s="36">
        <v>0</v>
      </c>
      <c r="Y493" s="36"/>
      <c r="Z493" s="36">
        <v>1</v>
      </c>
      <c r="AA493" s="36">
        <v>291958</v>
      </c>
      <c r="AB493" s="40">
        <v>46327</v>
      </c>
      <c r="AC493" s="36" t="s">
        <v>2196</v>
      </c>
      <c r="AD493" s="36" t="str">
        <f>VLOOKUP(D493,Oficial!A:C,3,0)</f>
        <v>Arrastre</v>
      </c>
    </row>
    <row r="494" spans="1:30" x14ac:dyDescent="0.25">
      <c r="A494" s="36" t="s">
        <v>27</v>
      </c>
      <c r="B494" s="36" t="s">
        <v>438</v>
      </c>
      <c r="C494" s="36" t="s">
        <v>28</v>
      </c>
      <c r="D494" s="36" t="s">
        <v>438</v>
      </c>
      <c r="E494" s="36" t="s">
        <v>30</v>
      </c>
      <c r="F494" s="36" t="s">
        <v>31</v>
      </c>
      <c r="G494" s="37" t="s">
        <v>439</v>
      </c>
      <c r="H494" s="36" t="s">
        <v>440</v>
      </c>
      <c r="I494" s="36" t="s">
        <v>441</v>
      </c>
      <c r="J494" s="36">
        <v>2</v>
      </c>
      <c r="K494" s="36" t="s">
        <v>443</v>
      </c>
      <c r="L494" s="36">
        <v>4</v>
      </c>
      <c r="M494" s="36">
        <v>50</v>
      </c>
      <c r="N494" s="38">
        <v>58280</v>
      </c>
      <c r="O494" s="41">
        <v>242833</v>
      </c>
      <c r="P494" s="36">
        <v>12</v>
      </c>
      <c r="Q494" s="36" t="s">
        <v>413</v>
      </c>
      <c r="R494" s="36" t="s">
        <v>360</v>
      </c>
      <c r="S494" s="36" t="s">
        <v>361</v>
      </c>
      <c r="T494" s="36" t="s">
        <v>362</v>
      </c>
      <c r="U494" s="36" t="s">
        <v>363</v>
      </c>
      <c r="V494" s="40">
        <v>45870</v>
      </c>
      <c r="W494" s="40">
        <v>45889</v>
      </c>
      <c r="X494" s="36">
        <v>0</v>
      </c>
      <c r="Y494" s="36"/>
      <c r="Z494" s="36">
        <v>1</v>
      </c>
      <c r="AA494" s="36">
        <v>242833</v>
      </c>
      <c r="AB494" s="40">
        <v>46023</v>
      </c>
      <c r="AC494" s="36" t="s">
        <v>2196</v>
      </c>
      <c r="AD494" s="36" t="str">
        <f>VLOOKUP(D494,Oficial!A:C,3,0)</f>
        <v>Arrastre</v>
      </c>
    </row>
    <row r="495" spans="1:30" x14ac:dyDescent="0.25">
      <c r="A495" s="36" t="s">
        <v>27</v>
      </c>
      <c r="B495" s="36" t="s">
        <v>438</v>
      </c>
      <c r="C495" s="36" t="s">
        <v>28</v>
      </c>
      <c r="D495" s="36" t="s">
        <v>438</v>
      </c>
      <c r="E495" s="36" t="s">
        <v>30</v>
      </c>
      <c r="F495" s="36" t="s">
        <v>31</v>
      </c>
      <c r="G495" s="37" t="s">
        <v>439</v>
      </c>
      <c r="H495" s="36" t="s">
        <v>440</v>
      </c>
      <c r="I495" s="36" t="s">
        <v>441</v>
      </c>
      <c r="J495" s="36">
        <v>2</v>
      </c>
      <c r="K495" s="36" t="s">
        <v>443</v>
      </c>
      <c r="L495" s="36">
        <v>4</v>
      </c>
      <c r="M495" s="36">
        <v>50</v>
      </c>
      <c r="N495" s="38">
        <v>58280</v>
      </c>
      <c r="O495" s="41">
        <v>242833</v>
      </c>
      <c r="P495" s="36">
        <v>12</v>
      </c>
      <c r="Q495" s="36" t="s">
        <v>413</v>
      </c>
      <c r="R495" s="36" t="s">
        <v>360</v>
      </c>
      <c r="S495" s="36" t="s">
        <v>361</v>
      </c>
      <c r="T495" s="36" t="s">
        <v>362</v>
      </c>
      <c r="U495" s="36" t="s">
        <v>363</v>
      </c>
      <c r="V495" s="40">
        <v>45870</v>
      </c>
      <c r="W495" s="40">
        <v>45889</v>
      </c>
      <c r="X495" s="36">
        <v>0</v>
      </c>
      <c r="Y495" s="36"/>
      <c r="Z495" s="36">
        <v>1</v>
      </c>
      <c r="AA495" s="36">
        <v>242833</v>
      </c>
      <c r="AB495" s="40">
        <v>46204</v>
      </c>
      <c r="AC495" s="36" t="s">
        <v>2196</v>
      </c>
      <c r="AD495" s="36" t="str">
        <f>VLOOKUP(D495,Oficial!A:C,3,0)</f>
        <v>Arrastre</v>
      </c>
    </row>
    <row r="496" spans="1:30" x14ac:dyDescent="0.25">
      <c r="A496" s="36" t="s">
        <v>27</v>
      </c>
      <c r="B496" s="36" t="s">
        <v>438</v>
      </c>
      <c r="C496" s="36" t="s">
        <v>28</v>
      </c>
      <c r="D496" s="36" t="s">
        <v>438</v>
      </c>
      <c r="E496" s="36" t="s">
        <v>30</v>
      </c>
      <c r="F496" s="36" t="s">
        <v>31</v>
      </c>
      <c r="G496" s="37" t="s">
        <v>439</v>
      </c>
      <c r="H496" s="36" t="s">
        <v>440</v>
      </c>
      <c r="I496" s="36" t="s">
        <v>441</v>
      </c>
      <c r="J496" s="36">
        <v>2</v>
      </c>
      <c r="K496" s="36" t="s">
        <v>443</v>
      </c>
      <c r="L496" s="36">
        <v>4</v>
      </c>
      <c r="M496" s="36">
        <v>50</v>
      </c>
      <c r="N496" s="38">
        <v>58280</v>
      </c>
      <c r="O496" s="41">
        <v>242833</v>
      </c>
      <c r="P496" s="36">
        <v>12</v>
      </c>
      <c r="Q496" s="36" t="s">
        <v>413</v>
      </c>
      <c r="R496" s="36" t="s">
        <v>360</v>
      </c>
      <c r="S496" s="36" t="s">
        <v>361</v>
      </c>
      <c r="T496" s="36" t="s">
        <v>362</v>
      </c>
      <c r="U496" s="36" t="s">
        <v>363</v>
      </c>
      <c r="V496" s="40">
        <v>45870</v>
      </c>
      <c r="W496" s="40">
        <v>45889</v>
      </c>
      <c r="X496" s="36">
        <v>0</v>
      </c>
      <c r="Y496" s="36"/>
      <c r="Z496" s="36">
        <v>1</v>
      </c>
      <c r="AA496" s="36">
        <v>242833</v>
      </c>
      <c r="AB496" s="40">
        <v>46143</v>
      </c>
      <c r="AC496" s="36" t="s">
        <v>2196</v>
      </c>
      <c r="AD496" s="36" t="str">
        <f>VLOOKUP(D496,Oficial!A:C,3,0)</f>
        <v>Arrastre</v>
      </c>
    </row>
    <row r="497" spans="1:30" x14ac:dyDescent="0.25">
      <c r="A497" s="36" t="s">
        <v>27</v>
      </c>
      <c r="B497" s="36" t="s">
        <v>438</v>
      </c>
      <c r="C497" s="36" t="s">
        <v>28</v>
      </c>
      <c r="D497" s="36" t="s">
        <v>438</v>
      </c>
      <c r="E497" s="36" t="s">
        <v>30</v>
      </c>
      <c r="F497" s="36" t="s">
        <v>31</v>
      </c>
      <c r="G497" s="37" t="s">
        <v>439</v>
      </c>
      <c r="H497" s="36" t="s">
        <v>440</v>
      </c>
      <c r="I497" s="36" t="s">
        <v>441</v>
      </c>
      <c r="J497" s="36">
        <v>2</v>
      </c>
      <c r="K497" s="36" t="s">
        <v>443</v>
      </c>
      <c r="L497" s="36">
        <v>4</v>
      </c>
      <c r="M497" s="36">
        <v>50</v>
      </c>
      <c r="N497" s="38">
        <v>58280</v>
      </c>
      <c r="O497" s="41">
        <v>242833</v>
      </c>
      <c r="P497" s="36">
        <v>12</v>
      </c>
      <c r="Q497" s="36" t="s">
        <v>413</v>
      </c>
      <c r="R497" s="36" t="s">
        <v>360</v>
      </c>
      <c r="S497" s="36" t="s">
        <v>361</v>
      </c>
      <c r="T497" s="36" t="s">
        <v>362</v>
      </c>
      <c r="U497" s="36" t="s">
        <v>363</v>
      </c>
      <c r="V497" s="40">
        <v>45870</v>
      </c>
      <c r="W497" s="40">
        <v>45889</v>
      </c>
      <c r="X497" s="36">
        <v>0</v>
      </c>
      <c r="Y497" s="36"/>
      <c r="Z497" s="36">
        <v>1</v>
      </c>
      <c r="AA497" s="36">
        <v>242833</v>
      </c>
      <c r="AB497" s="40">
        <v>46174</v>
      </c>
      <c r="AC497" s="36" t="s">
        <v>2196</v>
      </c>
      <c r="AD497" s="36" t="str">
        <f>VLOOKUP(D497,Oficial!A:C,3,0)</f>
        <v>Arrastre</v>
      </c>
    </row>
    <row r="498" spans="1:30" x14ac:dyDescent="0.25">
      <c r="A498" s="36" t="s">
        <v>27</v>
      </c>
      <c r="B498" s="36" t="s">
        <v>438</v>
      </c>
      <c r="C498" s="36" t="s">
        <v>28</v>
      </c>
      <c r="D498" s="36" t="s">
        <v>438</v>
      </c>
      <c r="E498" s="36" t="s">
        <v>30</v>
      </c>
      <c r="F498" s="36" t="s">
        <v>31</v>
      </c>
      <c r="G498" s="37" t="s">
        <v>439</v>
      </c>
      <c r="H498" s="36" t="s">
        <v>440</v>
      </c>
      <c r="I498" s="36" t="s">
        <v>441</v>
      </c>
      <c r="J498" s="36">
        <v>2</v>
      </c>
      <c r="K498" s="36" t="s">
        <v>443</v>
      </c>
      <c r="L498" s="36">
        <v>4</v>
      </c>
      <c r="M498" s="36">
        <v>50</v>
      </c>
      <c r="N498" s="38">
        <v>58280</v>
      </c>
      <c r="O498" s="41">
        <v>242833</v>
      </c>
      <c r="P498" s="36">
        <v>12</v>
      </c>
      <c r="Q498" s="36" t="s">
        <v>413</v>
      </c>
      <c r="R498" s="36" t="s">
        <v>360</v>
      </c>
      <c r="S498" s="36" t="s">
        <v>361</v>
      </c>
      <c r="T498" s="36" t="s">
        <v>362</v>
      </c>
      <c r="U498" s="36" t="s">
        <v>363</v>
      </c>
      <c r="V498" s="40">
        <v>45870</v>
      </c>
      <c r="W498" s="40">
        <v>45889</v>
      </c>
      <c r="X498" s="36">
        <v>0</v>
      </c>
      <c r="Y498" s="36"/>
      <c r="Z498" s="36">
        <v>1</v>
      </c>
      <c r="AA498" s="36">
        <v>242833</v>
      </c>
      <c r="AB498" s="40">
        <v>46327</v>
      </c>
      <c r="AC498" s="36" t="s">
        <v>2196</v>
      </c>
      <c r="AD498" s="36" t="str">
        <f>VLOOKUP(D498,Oficial!A:C,3,0)</f>
        <v>Arrastre</v>
      </c>
    </row>
    <row r="499" spans="1:30" x14ac:dyDescent="0.25">
      <c r="A499" s="36" t="s">
        <v>27</v>
      </c>
      <c r="B499" s="36" t="s">
        <v>438</v>
      </c>
      <c r="C499" s="36" t="s">
        <v>28</v>
      </c>
      <c r="D499" s="36" t="s">
        <v>438</v>
      </c>
      <c r="E499" s="36" t="s">
        <v>30</v>
      </c>
      <c r="F499" s="36" t="s">
        <v>31</v>
      </c>
      <c r="G499" s="37" t="s">
        <v>439</v>
      </c>
      <c r="H499" s="36" t="s">
        <v>440</v>
      </c>
      <c r="I499" s="36" t="s">
        <v>441</v>
      </c>
      <c r="J499" s="36">
        <v>2</v>
      </c>
      <c r="K499" s="36" t="s">
        <v>443</v>
      </c>
      <c r="L499" s="36">
        <v>4</v>
      </c>
      <c r="M499" s="36">
        <v>50</v>
      </c>
      <c r="N499" s="38">
        <v>58280</v>
      </c>
      <c r="O499" s="41">
        <v>242837</v>
      </c>
      <c r="P499" s="36">
        <v>12</v>
      </c>
      <c r="Q499" s="36" t="s">
        <v>413</v>
      </c>
      <c r="R499" s="36" t="s">
        <v>360</v>
      </c>
      <c r="S499" s="36" t="s">
        <v>361</v>
      </c>
      <c r="T499" s="36" t="s">
        <v>362</v>
      </c>
      <c r="U499" s="36" t="s">
        <v>363</v>
      </c>
      <c r="V499" s="40">
        <v>45870</v>
      </c>
      <c r="W499" s="40">
        <v>45889</v>
      </c>
      <c r="X499" s="36">
        <v>0</v>
      </c>
      <c r="Y499" s="36"/>
      <c r="Z499" s="36">
        <v>1</v>
      </c>
      <c r="AA499" s="36">
        <v>242837</v>
      </c>
      <c r="AB499" s="40">
        <v>46357</v>
      </c>
      <c r="AC499" s="36" t="s">
        <v>2196</v>
      </c>
      <c r="AD499" s="36" t="str">
        <f>VLOOKUP(D499,Oficial!A:C,3,0)</f>
        <v>Arrastre</v>
      </c>
    </row>
    <row r="500" spans="1:30" x14ac:dyDescent="0.25">
      <c r="A500" s="36" t="s">
        <v>27</v>
      </c>
      <c r="B500" s="36" t="s">
        <v>438</v>
      </c>
      <c r="C500" s="36" t="s">
        <v>28</v>
      </c>
      <c r="D500" s="36" t="s">
        <v>438</v>
      </c>
      <c r="E500" s="36" t="s">
        <v>30</v>
      </c>
      <c r="F500" s="36" t="s">
        <v>31</v>
      </c>
      <c r="G500" s="37" t="s">
        <v>439</v>
      </c>
      <c r="H500" s="36" t="s">
        <v>440</v>
      </c>
      <c r="I500" s="36" t="s">
        <v>441</v>
      </c>
      <c r="J500" s="36">
        <v>2</v>
      </c>
      <c r="K500" s="36" t="s">
        <v>443</v>
      </c>
      <c r="L500" s="36">
        <v>4</v>
      </c>
      <c r="M500" s="36">
        <v>50</v>
      </c>
      <c r="N500" s="38">
        <v>58280</v>
      </c>
      <c r="O500" s="41">
        <v>242833</v>
      </c>
      <c r="P500" s="36">
        <v>12</v>
      </c>
      <c r="Q500" s="36" t="s">
        <v>413</v>
      </c>
      <c r="R500" s="36" t="s">
        <v>360</v>
      </c>
      <c r="S500" s="36" t="s">
        <v>361</v>
      </c>
      <c r="T500" s="36" t="s">
        <v>362</v>
      </c>
      <c r="U500" s="36" t="s">
        <v>363</v>
      </c>
      <c r="V500" s="40">
        <v>45870</v>
      </c>
      <c r="W500" s="40">
        <v>45889</v>
      </c>
      <c r="X500" s="36">
        <v>0</v>
      </c>
      <c r="Y500" s="36"/>
      <c r="Z500" s="36">
        <v>1</v>
      </c>
      <c r="AA500" s="36">
        <v>242833</v>
      </c>
      <c r="AB500" s="40">
        <v>46235</v>
      </c>
      <c r="AC500" s="36" t="s">
        <v>2196</v>
      </c>
      <c r="AD500" s="36" t="str">
        <f>VLOOKUP(D500,Oficial!A:C,3,0)</f>
        <v>Arrastre</v>
      </c>
    </row>
    <row r="501" spans="1:30" x14ac:dyDescent="0.25">
      <c r="A501" s="36" t="s">
        <v>27</v>
      </c>
      <c r="B501" s="36" t="s">
        <v>438</v>
      </c>
      <c r="C501" s="36" t="s">
        <v>28</v>
      </c>
      <c r="D501" s="36" t="s">
        <v>438</v>
      </c>
      <c r="E501" s="36" t="s">
        <v>30</v>
      </c>
      <c r="F501" s="36" t="s">
        <v>31</v>
      </c>
      <c r="G501" s="37" t="s">
        <v>439</v>
      </c>
      <c r="H501" s="36" t="s">
        <v>440</v>
      </c>
      <c r="I501" s="36" t="s">
        <v>441</v>
      </c>
      <c r="J501" s="36">
        <v>2</v>
      </c>
      <c r="K501" s="36" t="s">
        <v>443</v>
      </c>
      <c r="L501" s="36">
        <v>4</v>
      </c>
      <c r="M501" s="36">
        <v>50</v>
      </c>
      <c r="N501" s="38">
        <v>58280</v>
      </c>
      <c r="O501" s="41">
        <v>242833</v>
      </c>
      <c r="P501" s="36">
        <v>12</v>
      </c>
      <c r="Q501" s="36" t="s">
        <v>413</v>
      </c>
      <c r="R501" s="36" t="s">
        <v>360</v>
      </c>
      <c r="S501" s="36" t="s">
        <v>361</v>
      </c>
      <c r="T501" s="36" t="s">
        <v>362</v>
      </c>
      <c r="U501" s="36" t="s">
        <v>363</v>
      </c>
      <c r="V501" s="40">
        <v>45870</v>
      </c>
      <c r="W501" s="40">
        <v>45889</v>
      </c>
      <c r="X501" s="36">
        <v>0</v>
      </c>
      <c r="Y501" s="36"/>
      <c r="Z501" s="36">
        <v>1</v>
      </c>
      <c r="AA501" s="36">
        <v>242833</v>
      </c>
      <c r="AB501" s="40">
        <v>46054</v>
      </c>
      <c r="AC501" s="36" t="s">
        <v>2196</v>
      </c>
      <c r="AD501" s="36" t="str">
        <f>VLOOKUP(D501,Oficial!A:C,3,0)</f>
        <v>Arrastre</v>
      </c>
    </row>
    <row r="502" spans="1:30" x14ac:dyDescent="0.25">
      <c r="A502" s="36" t="s">
        <v>27</v>
      </c>
      <c r="B502" s="36" t="s">
        <v>438</v>
      </c>
      <c r="C502" s="36" t="s">
        <v>28</v>
      </c>
      <c r="D502" s="36" t="s">
        <v>438</v>
      </c>
      <c r="E502" s="36" t="s">
        <v>30</v>
      </c>
      <c r="F502" s="36" t="s">
        <v>31</v>
      </c>
      <c r="G502" s="37" t="s">
        <v>439</v>
      </c>
      <c r="H502" s="36" t="s">
        <v>440</v>
      </c>
      <c r="I502" s="36" t="s">
        <v>441</v>
      </c>
      <c r="J502" s="36">
        <v>2</v>
      </c>
      <c r="K502" s="36" t="s">
        <v>443</v>
      </c>
      <c r="L502" s="36">
        <v>4</v>
      </c>
      <c r="M502" s="36">
        <v>50</v>
      </c>
      <c r="N502" s="38">
        <v>58280</v>
      </c>
      <c r="O502" s="41">
        <v>242833</v>
      </c>
      <c r="P502" s="36">
        <v>12</v>
      </c>
      <c r="Q502" s="36" t="s">
        <v>413</v>
      </c>
      <c r="R502" s="36" t="s">
        <v>360</v>
      </c>
      <c r="S502" s="36" t="s">
        <v>361</v>
      </c>
      <c r="T502" s="36" t="s">
        <v>362</v>
      </c>
      <c r="U502" s="36" t="s">
        <v>363</v>
      </c>
      <c r="V502" s="40">
        <v>45870</v>
      </c>
      <c r="W502" s="40">
        <v>45889</v>
      </c>
      <c r="X502" s="36">
        <v>0</v>
      </c>
      <c r="Y502" s="36"/>
      <c r="Z502" s="36">
        <v>1</v>
      </c>
      <c r="AA502" s="36">
        <v>242833</v>
      </c>
      <c r="AB502" s="40">
        <v>46113</v>
      </c>
      <c r="AC502" s="36" t="s">
        <v>2196</v>
      </c>
      <c r="AD502" s="36" t="str">
        <f>VLOOKUP(D502,Oficial!A:C,3,0)</f>
        <v>Arrastre</v>
      </c>
    </row>
    <row r="503" spans="1:30" x14ac:dyDescent="0.25">
      <c r="A503" s="36" t="s">
        <v>27</v>
      </c>
      <c r="B503" s="36" t="s">
        <v>438</v>
      </c>
      <c r="C503" s="36" t="s">
        <v>28</v>
      </c>
      <c r="D503" s="36" t="s">
        <v>438</v>
      </c>
      <c r="E503" s="36" t="s">
        <v>30</v>
      </c>
      <c r="F503" s="36" t="s">
        <v>31</v>
      </c>
      <c r="G503" s="37" t="s">
        <v>439</v>
      </c>
      <c r="H503" s="36" t="s">
        <v>440</v>
      </c>
      <c r="I503" s="36" t="s">
        <v>441</v>
      </c>
      <c r="J503" s="36">
        <v>2</v>
      </c>
      <c r="K503" s="36" t="s">
        <v>443</v>
      </c>
      <c r="L503" s="36">
        <v>4</v>
      </c>
      <c r="M503" s="36">
        <v>50</v>
      </c>
      <c r="N503" s="38">
        <v>58280</v>
      </c>
      <c r="O503" s="41">
        <v>242833</v>
      </c>
      <c r="P503" s="36">
        <v>12</v>
      </c>
      <c r="Q503" s="36" t="s">
        <v>413</v>
      </c>
      <c r="R503" s="36" t="s">
        <v>360</v>
      </c>
      <c r="S503" s="36" t="s">
        <v>361</v>
      </c>
      <c r="T503" s="36" t="s">
        <v>362</v>
      </c>
      <c r="U503" s="36" t="s">
        <v>363</v>
      </c>
      <c r="V503" s="40">
        <v>45870</v>
      </c>
      <c r="W503" s="40">
        <v>45889</v>
      </c>
      <c r="X503" s="36">
        <v>0</v>
      </c>
      <c r="Y503" s="36"/>
      <c r="Z503" s="36">
        <v>1</v>
      </c>
      <c r="AA503" s="36">
        <v>242833</v>
      </c>
      <c r="AB503" s="40">
        <v>46266</v>
      </c>
      <c r="AC503" s="36" t="s">
        <v>2196</v>
      </c>
      <c r="AD503" s="36" t="str">
        <f>VLOOKUP(D503,Oficial!A:C,3,0)</f>
        <v>Arrastre</v>
      </c>
    </row>
    <row r="504" spans="1:30" x14ac:dyDescent="0.25">
      <c r="A504" s="36" t="s">
        <v>27</v>
      </c>
      <c r="B504" s="36" t="s">
        <v>438</v>
      </c>
      <c r="C504" s="36" t="s">
        <v>28</v>
      </c>
      <c r="D504" s="36" t="s">
        <v>438</v>
      </c>
      <c r="E504" s="36" t="s">
        <v>30</v>
      </c>
      <c r="F504" s="36" t="s">
        <v>31</v>
      </c>
      <c r="G504" s="37" t="s">
        <v>439</v>
      </c>
      <c r="H504" s="36" t="s">
        <v>440</v>
      </c>
      <c r="I504" s="36" t="s">
        <v>441</v>
      </c>
      <c r="J504" s="36">
        <v>2</v>
      </c>
      <c r="K504" s="36" t="s">
        <v>443</v>
      </c>
      <c r="L504" s="36">
        <v>4</v>
      </c>
      <c r="M504" s="36">
        <v>50</v>
      </c>
      <c r="N504" s="38">
        <v>58280</v>
      </c>
      <c r="O504" s="41">
        <v>242833</v>
      </c>
      <c r="P504" s="36">
        <v>12</v>
      </c>
      <c r="Q504" s="36" t="s">
        <v>413</v>
      </c>
      <c r="R504" s="36" t="s">
        <v>360</v>
      </c>
      <c r="S504" s="36" t="s">
        <v>361</v>
      </c>
      <c r="T504" s="36" t="s">
        <v>362</v>
      </c>
      <c r="U504" s="36" t="s">
        <v>363</v>
      </c>
      <c r="V504" s="40">
        <v>45870</v>
      </c>
      <c r="W504" s="40">
        <v>45889</v>
      </c>
      <c r="X504" s="36">
        <v>0</v>
      </c>
      <c r="Y504" s="36"/>
      <c r="Z504" s="36">
        <v>1</v>
      </c>
      <c r="AA504" s="36">
        <v>242833</v>
      </c>
      <c r="AB504" s="40">
        <v>46296</v>
      </c>
      <c r="AC504" s="36" t="s">
        <v>2196</v>
      </c>
      <c r="AD504" s="36" t="str">
        <f>VLOOKUP(D504,Oficial!A:C,3,0)</f>
        <v>Arrastre</v>
      </c>
    </row>
    <row r="505" spans="1:30" x14ac:dyDescent="0.25">
      <c r="A505" s="36" t="s">
        <v>27</v>
      </c>
      <c r="B505" s="36" t="s">
        <v>438</v>
      </c>
      <c r="C505" s="36" t="s">
        <v>28</v>
      </c>
      <c r="D505" s="36" t="s">
        <v>438</v>
      </c>
      <c r="E505" s="36" t="s">
        <v>30</v>
      </c>
      <c r="F505" s="36" t="s">
        <v>31</v>
      </c>
      <c r="G505" s="37" t="s">
        <v>439</v>
      </c>
      <c r="H505" s="36" t="s">
        <v>440</v>
      </c>
      <c r="I505" s="36" t="s">
        <v>441</v>
      </c>
      <c r="J505" s="36">
        <v>2</v>
      </c>
      <c r="K505" s="36" t="s">
        <v>443</v>
      </c>
      <c r="L505" s="36">
        <v>4</v>
      </c>
      <c r="M505" s="36">
        <v>50</v>
      </c>
      <c r="N505" s="38">
        <v>58280</v>
      </c>
      <c r="O505" s="41">
        <v>242833</v>
      </c>
      <c r="P505" s="36">
        <v>12</v>
      </c>
      <c r="Q505" s="36" t="s">
        <v>413</v>
      </c>
      <c r="R505" s="36" t="s">
        <v>360</v>
      </c>
      <c r="S505" s="36" t="s">
        <v>361</v>
      </c>
      <c r="T505" s="36" t="s">
        <v>362</v>
      </c>
      <c r="U505" s="36" t="s">
        <v>363</v>
      </c>
      <c r="V505" s="40">
        <v>45870</v>
      </c>
      <c r="W505" s="40">
        <v>45889</v>
      </c>
      <c r="X505" s="36">
        <v>0</v>
      </c>
      <c r="Y505" s="36"/>
      <c r="Z505" s="36">
        <v>1</v>
      </c>
      <c r="AA505" s="36">
        <v>242833</v>
      </c>
      <c r="AB505" s="40">
        <v>46082</v>
      </c>
      <c r="AC505" s="36" t="s">
        <v>2196</v>
      </c>
      <c r="AD505" s="36" t="str">
        <f>VLOOKUP(D505,Oficial!A:C,3,0)</f>
        <v>Arrastre</v>
      </c>
    </row>
    <row r="506" spans="1:30" x14ac:dyDescent="0.25">
      <c r="A506" s="36" t="s">
        <v>27</v>
      </c>
      <c r="B506" s="36" t="s">
        <v>444</v>
      </c>
      <c r="C506" s="36" t="s">
        <v>28</v>
      </c>
      <c r="D506" s="36" t="s">
        <v>444</v>
      </c>
      <c r="E506" s="36" t="s">
        <v>30</v>
      </c>
      <c r="F506" s="36" t="s">
        <v>31</v>
      </c>
      <c r="G506" s="37" t="s">
        <v>192</v>
      </c>
      <c r="H506" s="36" t="s">
        <v>445</v>
      </c>
      <c r="I506" s="36" t="s">
        <v>446</v>
      </c>
      <c r="J506" s="36">
        <v>1</v>
      </c>
      <c r="K506" s="36" t="s">
        <v>447</v>
      </c>
      <c r="L506" s="36">
        <v>4</v>
      </c>
      <c r="M506" s="36">
        <v>1</v>
      </c>
      <c r="N506" s="38">
        <v>268434000</v>
      </c>
      <c r="O506" s="42">
        <v>7456500</v>
      </c>
      <c r="P506" s="36">
        <v>32</v>
      </c>
      <c r="Q506" s="36" t="s">
        <v>448</v>
      </c>
      <c r="R506" s="36" t="s">
        <v>37</v>
      </c>
      <c r="S506" s="36" t="s">
        <v>449</v>
      </c>
      <c r="T506" s="36" t="s">
        <v>450</v>
      </c>
      <c r="U506" s="36" t="s">
        <v>451</v>
      </c>
      <c r="V506" s="40">
        <v>45870</v>
      </c>
      <c r="W506" s="40">
        <v>45889</v>
      </c>
      <c r="X506" s="36">
        <v>0</v>
      </c>
      <c r="Y506" s="36"/>
      <c r="Z506" s="36">
        <v>1</v>
      </c>
      <c r="AA506" s="36">
        <v>7456500</v>
      </c>
      <c r="AB506" s="40">
        <v>46113</v>
      </c>
      <c r="AC506" s="36" t="s">
        <v>2196</v>
      </c>
      <c r="AD506" s="36" t="str">
        <f>VLOOKUP(D506,Oficial!A:C,3,0)</f>
        <v>Arrastre</v>
      </c>
    </row>
    <row r="507" spans="1:30" x14ac:dyDescent="0.25">
      <c r="A507" s="36" t="s">
        <v>27</v>
      </c>
      <c r="B507" s="36" t="s">
        <v>444</v>
      </c>
      <c r="C507" s="36" t="s">
        <v>28</v>
      </c>
      <c r="D507" s="36" t="s">
        <v>444</v>
      </c>
      <c r="E507" s="36" t="s">
        <v>30</v>
      </c>
      <c r="F507" s="36" t="s">
        <v>31</v>
      </c>
      <c r="G507" s="37" t="s">
        <v>192</v>
      </c>
      <c r="H507" s="36" t="s">
        <v>445</v>
      </c>
      <c r="I507" s="36" t="s">
        <v>446</v>
      </c>
      <c r="J507" s="36">
        <v>1</v>
      </c>
      <c r="K507" s="36" t="s">
        <v>447</v>
      </c>
      <c r="L507" s="36">
        <v>4</v>
      </c>
      <c r="M507" s="36">
        <v>1</v>
      </c>
      <c r="N507" s="38">
        <v>268434000</v>
      </c>
      <c r="O507" s="42">
        <v>7456500</v>
      </c>
      <c r="P507" s="36">
        <v>32</v>
      </c>
      <c r="Q507" s="36" t="s">
        <v>448</v>
      </c>
      <c r="R507" s="36" t="s">
        <v>37</v>
      </c>
      <c r="S507" s="36" t="s">
        <v>449</v>
      </c>
      <c r="T507" s="36" t="s">
        <v>450</v>
      </c>
      <c r="U507" s="36" t="s">
        <v>451</v>
      </c>
      <c r="V507" s="40">
        <v>45870</v>
      </c>
      <c r="W507" s="40">
        <v>45889</v>
      </c>
      <c r="X507" s="36">
        <v>0</v>
      </c>
      <c r="Y507" s="36"/>
      <c r="Z507" s="36">
        <v>1</v>
      </c>
      <c r="AA507" s="36">
        <v>7456500</v>
      </c>
      <c r="AB507" s="40">
        <v>46174</v>
      </c>
      <c r="AC507" s="36" t="s">
        <v>2196</v>
      </c>
      <c r="AD507" s="36" t="str">
        <f>VLOOKUP(D507,Oficial!A:C,3,0)</f>
        <v>Arrastre</v>
      </c>
    </row>
    <row r="508" spans="1:30" x14ac:dyDescent="0.25">
      <c r="A508" s="36" t="s">
        <v>27</v>
      </c>
      <c r="B508" s="36" t="s">
        <v>444</v>
      </c>
      <c r="C508" s="36" t="s">
        <v>28</v>
      </c>
      <c r="D508" s="36" t="s">
        <v>444</v>
      </c>
      <c r="E508" s="36" t="s">
        <v>30</v>
      </c>
      <c r="F508" s="36" t="s">
        <v>31</v>
      </c>
      <c r="G508" s="37" t="s">
        <v>192</v>
      </c>
      <c r="H508" s="36" t="s">
        <v>445</v>
      </c>
      <c r="I508" s="36" t="s">
        <v>446</v>
      </c>
      <c r="J508" s="36">
        <v>1</v>
      </c>
      <c r="K508" s="36" t="s">
        <v>447</v>
      </c>
      <c r="L508" s="36">
        <v>4</v>
      </c>
      <c r="M508" s="36">
        <v>1</v>
      </c>
      <c r="N508" s="38">
        <v>268434000</v>
      </c>
      <c r="O508" s="42">
        <v>7456500</v>
      </c>
      <c r="P508" s="36">
        <v>32</v>
      </c>
      <c r="Q508" s="36" t="s">
        <v>448</v>
      </c>
      <c r="R508" s="36" t="s">
        <v>37</v>
      </c>
      <c r="S508" s="36" t="s">
        <v>449</v>
      </c>
      <c r="T508" s="36" t="s">
        <v>450</v>
      </c>
      <c r="U508" s="36" t="s">
        <v>451</v>
      </c>
      <c r="V508" s="40">
        <v>45870</v>
      </c>
      <c r="W508" s="40">
        <v>45889</v>
      </c>
      <c r="X508" s="36">
        <v>0</v>
      </c>
      <c r="Y508" s="36"/>
      <c r="Z508" s="36">
        <v>1</v>
      </c>
      <c r="AA508" s="36">
        <v>7456500</v>
      </c>
      <c r="AB508" s="40">
        <v>46296</v>
      </c>
      <c r="AC508" s="36" t="s">
        <v>2196</v>
      </c>
      <c r="AD508" s="36" t="str">
        <f>VLOOKUP(D508,Oficial!A:C,3,0)</f>
        <v>Arrastre</v>
      </c>
    </row>
    <row r="509" spans="1:30" x14ac:dyDescent="0.25">
      <c r="A509" s="36" t="s">
        <v>27</v>
      </c>
      <c r="B509" s="36" t="s">
        <v>444</v>
      </c>
      <c r="C509" s="36" t="s">
        <v>28</v>
      </c>
      <c r="D509" s="36" t="s">
        <v>444</v>
      </c>
      <c r="E509" s="36" t="s">
        <v>30</v>
      </c>
      <c r="F509" s="36" t="s">
        <v>31</v>
      </c>
      <c r="G509" s="37" t="s">
        <v>192</v>
      </c>
      <c r="H509" s="36" t="s">
        <v>445</v>
      </c>
      <c r="I509" s="36" t="s">
        <v>446</v>
      </c>
      <c r="J509" s="36">
        <v>1</v>
      </c>
      <c r="K509" s="36" t="s">
        <v>447</v>
      </c>
      <c r="L509" s="36">
        <v>4</v>
      </c>
      <c r="M509" s="36">
        <v>1</v>
      </c>
      <c r="N509" s="38">
        <v>268434000</v>
      </c>
      <c r="O509" s="42">
        <v>7456500</v>
      </c>
      <c r="P509" s="36">
        <v>32</v>
      </c>
      <c r="Q509" s="36" t="s">
        <v>448</v>
      </c>
      <c r="R509" s="36" t="s">
        <v>37</v>
      </c>
      <c r="S509" s="36" t="s">
        <v>449</v>
      </c>
      <c r="T509" s="36" t="s">
        <v>450</v>
      </c>
      <c r="U509" s="36" t="s">
        <v>451</v>
      </c>
      <c r="V509" s="40">
        <v>45870</v>
      </c>
      <c r="W509" s="40">
        <v>45889</v>
      </c>
      <c r="X509" s="36">
        <v>0</v>
      </c>
      <c r="Y509" s="36"/>
      <c r="Z509" s="36">
        <v>1</v>
      </c>
      <c r="AA509" s="36">
        <v>7456500</v>
      </c>
      <c r="AB509" s="40">
        <v>46327</v>
      </c>
      <c r="AC509" s="36" t="s">
        <v>2196</v>
      </c>
      <c r="AD509" s="36" t="str">
        <f>VLOOKUP(D509,Oficial!A:C,3,0)</f>
        <v>Arrastre</v>
      </c>
    </row>
    <row r="510" spans="1:30" x14ac:dyDescent="0.25">
      <c r="A510" s="36" t="s">
        <v>27</v>
      </c>
      <c r="B510" s="36" t="s">
        <v>444</v>
      </c>
      <c r="C510" s="36" t="s">
        <v>28</v>
      </c>
      <c r="D510" s="36" t="s">
        <v>444</v>
      </c>
      <c r="E510" s="36" t="s">
        <v>30</v>
      </c>
      <c r="F510" s="36" t="s">
        <v>31</v>
      </c>
      <c r="G510" s="37" t="s">
        <v>192</v>
      </c>
      <c r="H510" s="36" t="s">
        <v>445</v>
      </c>
      <c r="I510" s="36" t="s">
        <v>446</v>
      </c>
      <c r="J510" s="36">
        <v>1</v>
      </c>
      <c r="K510" s="36" t="s">
        <v>447</v>
      </c>
      <c r="L510" s="36">
        <v>4</v>
      </c>
      <c r="M510" s="36">
        <v>1</v>
      </c>
      <c r="N510" s="38">
        <v>268434000</v>
      </c>
      <c r="O510" s="42">
        <v>7456500</v>
      </c>
      <c r="P510" s="36">
        <v>32</v>
      </c>
      <c r="Q510" s="36" t="s">
        <v>448</v>
      </c>
      <c r="R510" s="36" t="s">
        <v>37</v>
      </c>
      <c r="S510" s="36" t="s">
        <v>449</v>
      </c>
      <c r="T510" s="36" t="s">
        <v>450</v>
      </c>
      <c r="U510" s="36" t="s">
        <v>451</v>
      </c>
      <c r="V510" s="40">
        <v>45870</v>
      </c>
      <c r="W510" s="40">
        <v>45889</v>
      </c>
      <c r="X510" s="36">
        <v>0</v>
      </c>
      <c r="Y510" s="36"/>
      <c r="Z510" s="36">
        <v>1</v>
      </c>
      <c r="AA510" s="36">
        <v>7456500</v>
      </c>
      <c r="AB510" s="40">
        <v>46054</v>
      </c>
      <c r="AC510" s="36" t="s">
        <v>2196</v>
      </c>
      <c r="AD510" s="36" t="str">
        <f>VLOOKUP(D510,Oficial!A:C,3,0)</f>
        <v>Arrastre</v>
      </c>
    </row>
    <row r="511" spans="1:30" x14ac:dyDescent="0.25">
      <c r="A511" s="36" t="s">
        <v>27</v>
      </c>
      <c r="B511" s="36" t="s">
        <v>444</v>
      </c>
      <c r="C511" s="36" t="s">
        <v>28</v>
      </c>
      <c r="D511" s="36" t="s">
        <v>444</v>
      </c>
      <c r="E511" s="36" t="s">
        <v>30</v>
      </c>
      <c r="F511" s="36" t="s">
        <v>31</v>
      </c>
      <c r="G511" s="37" t="s">
        <v>192</v>
      </c>
      <c r="H511" s="36" t="s">
        <v>445</v>
      </c>
      <c r="I511" s="36" t="s">
        <v>446</v>
      </c>
      <c r="J511" s="36">
        <v>1</v>
      </c>
      <c r="K511" s="36" t="s">
        <v>447</v>
      </c>
      <c r="L511" s="36">
        <v>4</v>
      </c>
      <c r="M511" s="36">
        <v>1</v>
      </c>
      <c r="N511" s="38">
        <v>268434000</v>
      </c>
      <c r="O511" s="42">
        <v>7456500</v>
      </c>
      <c r="P511" s="36">
        <v>32</v>
      </c>
      <c r="Q511" s="36" t="s">
        <v>448</v>
      </c>
      <c r="R511" s="36" t="s">
        <v>37</v>
      </c>
      <c r="S511" s="36" t="s">
        <v>449</v>
      </c>
      <c r="T511" s="36" t="s">
        <v>450</v>
      </c>
      <c r="U511" s="36" t="s">
        <v>451</v>
      </c>
      <c r="V511" s="40">
        <v>45870</v>
      </c>
      <c r="W511" s="40">
        <v>45889</v>
      </c>
      <c r="X511" s="36">
        <v>0</v>
      </c>
      <c r="Y511" s="36"/>
      <c r="Z511" s="36">
        <v>1</v>
      </c>
      <c r="AA511" s="36">
        <v>7456500</v>
      </c>
      <c r="AB511" s="40">
        <v>46143</v>
      </c>
      <c r="AC511" s="36" t="s">
        <v>2196</v>
      </c>
      <c r="AD511" s="36" t="str">
        <f>VLOOKUP(D511,Oficial!A:C,3,0)</f>
        <v>Arrastre</v>
      </c>
    </row>
    <row r="512" spans="1:30" x14ac:dyDescent="0.25">
      <c r="A512" s="36" t="s">
        <v>27</v>
      </c>
      <c r="B512" s="36" t="s">
        <v>444</v>
      </c>
      <c r="C512" s="36" t="s">
        <v>28</v>
      </c>
      <c r="D512" s="36" t="s">
        <v>444</v>
      </c>
      <c r="E512" s="36" t="s">
        <v>30</v>
      </c>
      <c r="F512" s="36" t="s">
        <v>31</v>
      </c>
      <c r="G512" s="37" t="s">
        <v>192</v>
      </c>
      <c r="H512" s="36" t="s">
        <v>445</v>
      </c>
      <c r="I512" s="36" t="s">
        <v>446</v>
      </c>
      <c r="J512" s="36">
        <v>1</v>
      </c>
      <c r="K512" s="36" t="s">
        <v>447</v>
      </c>
      <c r="L512" s="36">
        <v>4</v>
      </c>
      <c r="M512" s="36">
        <v>1</v>
      </c>
      <c r="N512" s="38">
        <v>268434000</v>
      </c>
      <c r="O512" s="42">
        <v>7456500</v>
      </c>
      <c r="P512" s="36">
        <v>32</v>
      </c>
      <c r="Q512" s="36" t="s">
        <v>448</v>
      </c>
      <c r="R512" s="36" t="s">
        <v>37</v>
      </c>
      <c r="S512" s="36" t="s">
        <v>449</v>
      </c>
      <c r="T512" s="36" t="s">
        <v>450</v>
      </c>
      <c r="U512" s="36" t="s">
        <v>451</v>
      </c>
      <c r="V512" s="40">
        <v>45870</v>
      </c>
      <c r="W512" s="40">
        <v>45889</v>
      </c>
      <c r="X512" s="36">
        <v>0</v>
      </c>
      <c r="Y512" s="36"/>
      <c r="Z512" s="36">
        <v>1</v>
      </c>
      <c r="AA512" s="36">
        <v>7456500</v>
      </c>
      <c r="AB512" s="40">
        <v>46023</v>
      </c>
      <c r="AC512" s="36" t="s">
        <v>2196</v>
      </c>
      <c r="AD512" s="36" t="str">
        <f>VLOOKUP(D512,Oficial!A:C,3,0)</f>
        <v>Arrastre</v>
      </c>
    </row>
    <row r="513" spans="1:30" x14ac:dyDescent="0.25">
      <c r="A513" s="36" t="s">
        <v>27</v>
      </c>
      <c r="B513" s="36" t="s">
        <v>444</v>
      </c>
      <c r="C513" s="36" t="s">
        <v>28</v>
      </c>
      <c r="D513" s="36" t="s">
        <v>444</v>
      </c>
      <c r="E513" s="36" t="s">
        <v>30</v>
      </c>
      <c r="F513" s="36" t="s">
        <v>31</v>
      </c>
      <c r="G513" s="37" t="s">
        <v>192</v>
      </c>
      <c r="H513" s="36" t="s">
        <v>445</v>
      </c>
      <c r="I513" s="36" t="s">
        <v>446</v>
      </c>
      <c r="J513" s="36">
        <v>1</v>
      </c>
      <c r="K513" s="36" t="s">
        <v>447</v>
      </c>
      <c r="L513" s="36">
        <v>4</v>
      </c>
      <c r="M513" s="36">
        <v>1</v>
      </c>
      <c r="N513" s="38">
        <v>268434000</v>
      </c>
      <c r="O513" s="42">
        <v>7456500</v>
      </c>
      <c r="P513" s="36">
        <v>32</v>
      </c>
      <c r="Q513" s="36" t="s">
        <v>448</v>
      </c>
      <c r="R513" s="36" t="s">
        <v>37</v>
      </c>
      <c r="S513" s="36" t="s">
        <v>449</v>
      </c>
      <c r="T513" s="36" t="s">
        <v>450</v>
      </c>
      <c r="U513" s="36" t="s">
        <v>451</v>
      </c>
      <c r="V513" s="40">
        <v>45870</v>
      </c>
      <c r="W513" s="40">
        <v>45889</v>
      </c>
      <c r="X513" s="36">
        <v>0</v>
      </c>
      <c r="Y513" s="36"/>
      <c r="Z513" s="36">
        <v>1</v>
      </c>
      <c r="AA513" s="36">
        <v>7456500</v>
      </c>
      <c r="AB513" s="40">
        <v>46235</v>
      </c>
      <c r="AC513" s="36" t="s">
        <v>2196</v>
      </c>
      <c r="AD513" s="36" t="str">
        <f>VLOOKUP(D513,Oficial!A:C,3,0)</f>
        <v>Arrastre</v>
      </c>
    </row>
    <row r="514" spans="1:30" x14ac:dyDescent="0.25">
      <c r="A514" s="36" t="s">
        <v>27</v>
      </c>
      <c r="B514" s="36" t="s">
        <v>444</v>
      </c>
      <c r="C514" s="36" t="s">
        <v>28</v>
      </c>
      <c r="D514" s="36" t="s">
        <v>444</v>
      </c>
      <c r="E514" s="36" t="s">
        <v>30</v>
      </c>
      <c r="F514" s="36" t="s">
        <v>31</v>
      </c>
      <c r="G514" s="37" t="s">
        <v>192</v>
      </c>
      <c r="H514" s="36" t="s">
        <v>445</v>
      </c>
      <c r="I514" s="36" t="s">
        <v>446</v>
      </c>
      <c r="J514" s="36">
        <v>1</v>
      </c>
      <c r="K514" s="36" t="s">
        <v>447</v>
      </c>
      <c r="L514" s="36">
        <v>4</v>
      </c>
      <c r="M514" s="36">
        <v>1</v>
      </c>
      <c r="N514" s="38">
        <v>268434000</v>
      </c>
      <c r="O514" s="42">
        <v>7456500</v>
      </c>
      <c r="P514" s="36">
        <v>32</v>
      </c>
      <c r="Q514" s="36" t="s">
        <v>448</v>
      </c>
      <c r="R514" s="36" t="s">
        <v>37</v>
      </c>
      <c r="S514" s="36" t="s">
        <v>449</v>
      </c>
      <c r="T514" s="36" t="s">
        <v>450</v>
      </c>
      <c r="U514" s="36" t="s">
        <v>451</v>
      </c>
      <c r="V514" s="40">
        <v>45870</v>
      </c>
      <c r="W514" s="40">
        <v>45889</v>
      </c>
      <c r="X514" s="36">
        <v>0</v>
      </c>
      <c r="Y514" s="36"/>
      <c r="Z514" s="36">
        <v>1</v>
      </c>
      <c r="AA514" s="36">
        <v>7456500</v>
      </c>
      <c r="AB514" s="40">
        <v>46082</v>
      </c>
      <c r="AC514" s="36" t="s">
        <v>2196</v>
      </c>
      <c r="AD514" s="36" t="str">
        <f>VLOOKUP(D514,Oficial!A:C,3,0)</f>
        <v>Arrastre</v>
      </c>
    </row>
    <row r="515" spans="1:30" x14ac:dyDescent="0.25">
      <c r="A515" s="36" t="s">
        <v>27</v>
      </c>
      <c r="B515" s="36" t="s">
        <v>444</v>
      </c>
      <c r="C515" s="36" t="s">
        <v>28</v>
      </c>
      <c r="D515" s="36" t="s">
        <v>444</v>
      </c>
      <c r="E515" s="36" t="s">
        <v>30</v>
      </c>
      <c r="F515" s="36" t="s">
        <v>31</v>
      </c>
      <c r="G515" s="37" t="s">
        <v>192</v>
      </c>
      <c r="H515" s="36" t="s">
        <v>445</v>
      </c>
      <c r="I515" s="36" t="s">
        <v>446</v>
      </c>
      <c r="J515" s="36">
        <v>1</v>
      </c>
      <c r="K515" s="36" t="s">
        <v>447</v>
      </c>
      <c r="L515" s="36">
        <v>4</v>
      </c>
      <c r="M515" s="36">
        <v>1</v>
      </c>
      <c r="N515" s="38">
        <v>268434000</v>
      </c>
      <c r="O515" s="42">
        <v>7456500</v>
      </c>
      <c r="P515" s="36">
        <v>32</v>
      </c>
      <c r="Q515" s="36" t="s">
        <v>448</v>
      </c>
      <c r="R515" s="36" t="s">
        <v>37</v>
      </c>
      <c r="S515" s="36" t="s">
        <v>449</v>
      </c>
      <c r="T515" s="36" t="s">
        <v>450</v>
      </c>
      <c r="U515" s="36" t="s">
        <v>451</v>
      </c>
      <c r="V515" s="40">
        <v>45870</v>
      </c>
      <c r="W515" s="40">
        <v>45889</v>
      </c>
      <c r="X515" s="36">
        <v>0</v>
      </c>
      <c r="Y515" s="36"/>
      <c r="Z515" s="36">
        <v>1</v>
      </c>
      <c r="AA515" s="36">
        <v>7456500</v>
      </c>
      <c r="AB515" s="40">
        <v>46357</v>
      </c>
      <c r="AC515" s="36" t="s">
        <v>2196</v>
      </c>
      <c r="AD515" s="36" t="str">
        <f>VLOOKUP(D515,Oficial!A:C,3,0)</f>
        <v>Arrastre</v>
      </c>
    </row>
    <row r="516" spans="1:30" x14ac:dyDescent="0.25">
      <c r="A516" s="36" t="s">
        <v>27</v>
      </c>
      <c r="B516" s="36" t="s">
        <v>444</v>
      </c>
      <c r="C516" s="36" t="s">
        <v>28</v>
      </c>
      <c r="D516" s="36" t="s">
        <v>444</v>
      </c>
      <c r="E516" s="36" t="s">
        <v>30</v>
      </c>
      <c r="F516" s="36" t="s">
        <v>31</v>
      </c>
      <c r="G516" s="37" t="s">
        <v>192</v>
      </c>
      <c r="H516" s="36" t="s">
        <v>445</v>
      </c>
      <c r="I516" s="36" t="s">
        <v>446</v>
      </c>
      <c r="J516" s="36">
        <v>1</v>
      </c>
      <c r="K516" s="36" t="s">
        <v>447</v>
      </c>
      <c r="L516" s="36">
        <v>4</v>
      </c>
      <c r="M516" s="36">
        <v>1</v>
      </c>
      <c r="N516" s="38">
        <v>268434000</v>
      </c>
      <c r="O516" s="42">
        <v>7456500</v>
      </c>
      <c r="P516" s="36">
        <v>32</v>
      </c>
      <c r="Q516" s="36" t="s">
        <v>448</v>
      </c>
      <c r="R516" s="36" t="s">
        <v>37</v>
      </c>
      <c r="S516" s="36" t="s">
        <v>449</v>
      </c>
      <c r="T516" s="36" t="s">
        <v>450</v>
      </c>
      <c r="U516" s="36" t="s">
        <v>451</v>
      </c>
      <c r="V516" s="40">
        <v>45870</v>
      </c>
      <c r="W516" s="40">
        <v>45889</v>
      </c>
      <c r="X516" s="36">
        <v>0</v>
      </c>
      <c r="Y516" s="36"/>
      <c r="Z516" s="36">
        <v>1</v>
      </c>
      <c r="AA516" s="36">
        <v>7456500</v>
      </c>
      <c r="AB516" s="40">
        <v>46204</v>
      </c>
      <c r="AC516" s="36" t="s">
        <v>2196</v>
      </c>
      <c r="AD516" s="36" t="str">
        <f>VLOOKUP(D516,Oficial!A:C,3,0)</f>
        <v>Arrastre</v>
      </c>
    </row>
    <row r="517" spans="1:30" x14ac:dyDescent="0.25">
      <c r="A517" s="36" t="s">
        <v>27</v>
      </c>
      <c r="B517" s="36" t="s">
        <v>444</v>
      </c>
      <c r="C517" s="36" t="s">
        <v>28</v>
      </c>
      <c r="D517" s="36" t="s">
        <v>444</v>
      </c>
      <c r="E517" s="36" t="s">
        <v>30</v>
      </c>
      <c r="F517" s="36" t="s">
        <v>31</v>
      </c>
      <c r="G517" s="37" t="s">
        <v>192</v>
      </c>
      <c r="H517" s="36" t="s">
        <v>445</v>
      </c>
      <c r="I517" s="36" t="s">
        <v>446</v>
      </c>
      <c r="J517" s="36">
        <v>1</v>
      </c>
      <c r="K517" s="36" t="s">
        <v>447</v>
      </c>
      <c r="L517" s="36">
        <v>4</v>
      </c>
      <c r="M517" s="36">
        <v>1</v>
      </c>
      <c r="N517" s="38">
        <v>268434000</v>
      </c>
      <c r="O517" s="42">
        <v>7456500</v>
      </c>
      <c r="P517" s="36">
        <v>32</v>
      </c>
      <c r="Q517" s="36" t="s">
        <v>448</v>
      </c>
      <c r="R517" s="36" t="s">
        <v>37</v>
      </c>
      <c r="S517" s="36" t="s">
        <v>449</v>
      </c>
      <c r="T517" s="36" t="s">
        <v>450</v>
      </c>
      <c r="U517" s="36" t="s">
        <v>451</v>
      </c>
      <c r="V517" s="40">
        <v>45870</v>
      </c>
      <c r="W517" s="40">
        <v>45889</v>
      </c>
      <c r="X517" s="36">
        <v>0</v>
      </c>
      <c r="Y517" s="36"/>
      <c r="Z517" s="36">
        <v>1</v>
      </c>
      <c r="AA517" s="36">
        <v>7456500</v>
      </c>
      <c r="AB517" s="40">
        <v>46266</v>
      </c>
      <c r="AC517" s="36" t="s">
        <v>2196</v>
      </c>
      <c r="AD517" s="36" t="str">
        <f>VLOOKUP(D517,Oficial!A:C,3,0)</f>
        <v>Arrastre</v>
      </c>
    </row>
    <row r="518" spans="1:30" x14ac:dyDescent="0.25">
      <c r="A518" s="36" t="s">
        <v>27</v>
      </c>
      <c r="B518" s="36" t="s">
        <v>452</v>
      </c>
      <c r="C518" s="36" t="s">
        <v>28</v>
      </c>
      <c r="D518" s="36" t="s">
        <v>452</v>
      </c>
      <c r="E518" s="36" t="s">
        <v>30</v>
      </c>
      <c r="F518" s="36" t="s">
        <v>31</v>
      </c>
      <c r="G518" s="37" t="s">
        <v>453</v>
      </c>
      <c r="H518" s="36" t="s">
        <v>454</v>
      </c>
      <c r="I518" s="36" t="s">
        <v>455</v>
      </c>
      <c r="J518" s="36">
        <v>1</v>
      </c>
      <c r="K518" s="36" t="s">
        <v>456</v>
      </c>
      <c r="L518" s="36">
        <v>4</v>
      </c>
      <c r="M518" s="36">
        <v>1</v>
      </c>
      <c r="N518" s="38">
        <v>207200000</v>
      </c>
      <c r="O518" s="38">
        <v>17266666</v>
      </c>
      <c r="P518" s="36">
        <v>12</v>
      </c>
      <c r="Q518" s="36" t="s">
        <v>318</v>
      </c>
      <c r="R518" s="36" t="s">
        <v>457</v>
      </c>
      <c r="S518" s="36" t="s">
        <v>458</v>
      </c>
      <c r="T518" s="36" t="s">
        <v>459</v>
      </c>
      <c r="U518" s="36" t="s">
        <v>460</v>
      </c>
      <c r="V518" s="40">
        <v>45870</v>
      </c>
      <c r="W518" s="40">
        <v>45889</v>
      </c>
      <c r="X518" s="36">
        <v>0</v>
      </c>
      <c r="Y518" s="36"/>
      <c r="Z518" s="36">
        <v>1</v>
      </c>
      <c r="AA518" s="36">
        <v>17266666</v>
      </c>
      <c r="AB518" s="40">
        <v>46113</v>
      </c>
      <c r="AC518" s="36" t="s">
        <v>2196</v>
      </c>
      <c r="AD518" s="36" t="str">
        <f>VLOOKUP(D518,Oficial!A:C,3,0)</f>
        <v>Arrastre</v>
      </c>
    </row>
    <row r="519" spans="1:30" x14ac:dyDescent="0.25">
      <c r="A519" s="36" t="s">
        <v>27</v>
      </c>
      <c r="B519" s="36" t="s">
        <v>452</v>
      </c>
      <c r="C519" s="36" t="s">
        <v>28</v>
      </c>
      <c r="D519" s="36" t="s">
        <v>452</v>
      </c>
      <c r="E519" s="36" t="s">
        <v>30</v>
      </c>
      <c r="F519" s="36" t="s">
        <v>31</v>
      </c>
      <c r="G519" s="37" t="s">
        <v>453</v>
      </c>
      <c r="H519" s="36" t="s">
        <v>454</v>
      </c>
      <c r="I519" s="36" t="s">
        <v>455</v>
      </c>
      <c r="J519" s="36">
        <v>1</v>
      </c>
      <c r="K519" s="36" t="s">
        <v>456</v>
      </c>
      <c r="L519" s="36">
        <v>4</v>
      </c>
      <c r="M519" s="36">
        <v>1</v>
      </c>
      <c r="N519" s="38">
        <v>207200000</v>
      </c>
      <c r="O519" s="38">
        <v>17266666</v>
      </c>
      <c r="P519" s="36">
        <v>12</v>
      </c>
      <c r="Q519" s="36" t="s">
        <v>318</v>
      </c>
      <c r="R519" s="36" t="s">
        <v>457</v>
      </c>
      <c r="S519" s="36" t="s">
        <v>458</v>
      </c>
      <c r="T519" s="36" t="s">
        <v>459</v>
      </c>
      <c r="U519" s="36" t="s">
        <v>460</v>
      </c>
      <c r="V519" s="40">
        <v>45870</v>
      </c>
      <c r="W519" s="40">
        <v>45889</v>
      </c>
      <c r="X519" s="36">
        <v>0</v>
      </c>
      <c r="Y519" s="36"/>
      <c r="Z519" s="36">
        <v>1</v>
      </c>
      <c r="AA519" s="36">
        <v>17266666</v>
      </c>
      <c r="AB519" s="40">
        <v>46143</v>
      </c>
      <c r="AC519" s="36" t="s">
        <v>2196</v>
      </c>
      <c r="AD519" s="36" t="str">
        <f>VLOOKUP(D519,Oficial!A:C,3,0)</f>
        <v>Arrastre</v>
      </c>
    </row>
    <row r="520" spans="1:30" x14ac:dyDescent="0.25">
      <c r="A520" s="36" t="s">
        <v>27</v>
      </c>
      <c r="B520" s="36" t="s">
        <v>452</v>
      </c>
      <c r="C520" s="36" t="s">
        <v>28</v>
      </c>
      <c r="D520" s="36" t="s">
        <v>452</v>
      </c>
      <c r="E520" s="36" t="s">
        <v>30</v>
      </c>
      <c r="F520" s="36" t="s">
        <v>31</v>
      </c>
      <c r="G520" s="37" t="s">
        <v>453</v>
      </c>
      <c r="H520" s="36" t="s">
        <v>454</v>
      </c>
      <c r="I520" s="36" t="s">
        <v>455</v>
      </c>
      <c r="J520" s="36">
        <v>1</v>
      </c>
      <c r="K520" s="36" t="s">
        <v>456</v>
      </c>
      <c r="L520" s="36">
        <v>4</v>
      </c>
      <c r="M520" s="36">
        <v>1</v>
      </c>
      <c r="N520" s="38">
        <v>207200000</v>
      </c>
      <c r="O520" s="38">
        <v>17266666</v>
      </c>
      <c r="P520" s="36">
        <v>12</v>
      </c>
      <c r="Q520" s="36" t="s">
        <v>318</v>
      </c>
      <c r="R520" s="36" t="s">
        <v>457</v>
      </c>
      <c r="S520" s="36" t="s">
        <v>458</v>
      </c>
      <c r="T520" s="36" t="s">
        <v>459</v>
      </c>
      <c r="U520" s="36" t="s">
        <v>460</v>
      </c>
      <c r="V520" s="40">
        <v>45870</v>
      </c>
      <c r="W520" s="40">
        <v>45889</v>
      </c>
      <c r="X520" s="36">
        <v>0</v>
      </c>
      <c r="Y520" s="36"/>
      <c r="Z520" s="36">
        <v>1</v>
      </c>
      <c r="AA520" s="36">
        <v>17266666</v>
      </c>
      <c r="AB520" s="40">
        <v>46054</v>
      </c>
      <c r="AC520" s="36" t="s">
        <v>2196</v>
      </c>
      <c r="AD520" s="36" t="str">
        <f>VLOOKUP(D520,Oficial!A:C,3,0)</f>
        <v>Arrastre</v>
      </c>
    </row>
    <row r="521" spans="1:30" x14ac:dyDescent="0.25">
      <c r="A521" s="36" t="s">
        <v>27</v>
      </c>
      <c r="B521" s="36" t="s">
        <v>452</v>
      </c>
      <c r="C521" s="36" t="s">
        <v>28</v>
      </c>
      <c r="D521" s="36" t="s">
        <v>452</v>
      </c>
      <c r="E521" s="36" t="s">
        <v>30</v>
      </c>
      <c r="F521" s="36" t="s">
        <v>31</v>
      </c>
      <c r="G521" s="37" t="s">
        <v>453</v>
      </c>
      <c r="H521" s="36" t="s">
        <v>454</v>
      </c>
      <c r="I521" s="36" t="s">
        <v>455</v>
      </c>
      <c r="J521" s="36">
        <v>1</v>
      </c>
      <c r="K521" s="36" t="s">
        <v>456</v>
      </c>
      <c r="L521" s="36">
        <v>4</v>
      </c>
      <c r="M521" s="36">
        <v>1</v>
      </c>
      <c r="N521" s="38">
        <v>207200000</v>
      </c>
      <c r="O521" s="38">
        <v>17266666</v>
      </c>
      <c r="P521" s="36">
        <v>12</v>
      </c>
      <c r="Q521" s="36" t="s">
        <v>318</v>
      </c>
      <c r="R521" s="36" t="s">
        <v>457</v>
      </c>
      <c r="S521" s="36" t="s">
        <v>458</v>
      </c>
      <c r="T521" s="36" t="s">
        <v>459</v>
      </c>
      <c r="U521" s="36" t="s">
        <v>460</v>
      </c>
      <c r="V521" s="40">
        <v>45870</v>
      </c>
      <c r="W521" s="40">
        <v>45889</v>
      </c>
      <c r="X521" s="36">
        <v>0</v>
      </c>
      <c r="Y521" s="36"/>
      <c r="Z521" s="36">
        <v>1</v>
      </c>
      <c r="AA521" s="36">
        <v>17266666</v>
      </c>
      <c r="AB521" s="40">
        <v>46235</v>
      </c>
      <c r="AC521" s="36" t="s">
        <v>2196</v>
      </c>
      <c r="AD521" s="36" t="str">
        <f>VLOOKUP(D521,Oficial!A:C,3,0)</f>
        <v>Arrastre</v>
      </c>
    </row>
    <row r="522" spans="1:30" x14ac:dyDescent="0.25">
      <c r="A522" s="36" t="s">
        <v>27</v>
      </c>
      <c r="B522" s="36" t="s">
        <v>452</v>
      </c>
      <c r="C522" s="36" t="s">
        <v>28</v>
      </c>
      <c r="D522" s="36" t="s">
        <v>452</v>
      </c>
      <c r="E522" s="36" t="s">
        <v>30</v>
      </c>
      <c r="F522" s="36" t="s">
        <v>31</v>
      </c>
      <c r="G522" s="37" t="s">
        <v>453</v>
      </c>
      <c r="H522" s="36" t="s">
        <v>454</v>
      </c>
      <c r="I522" s="36" t="s">
        <v>455</v>
      </c>
      <c r="J522" s="36">
        <v>1</v>
      </c>
      <c r="K522" s="36" t="s">
        <v>456</v>
      </c>
      <c r="L522" s="36">
        <v>4</v>
      </c>
      <c r="M522" s="36">
        <v>1</v>
      </c>
      <c r="N522" s="38">
        <v>207200000</v>
      </c>
      <c r="O522" s="38">
        <v>17266666</v>
      </c>
      <c r="P522" s="36">
        <v>12</v>
      </c>
      <c r="Q522" s="36" t="s">
        <v>318</v>
      </c>
      <c r="R522" s="36" t="s">
        <v>457</v>
      </c>
      <c r="S522" s="36" t="s">
        <v>458</v>
      </c>
      <c r="T522" s="36" t="s">
        <v>459</v>
      </c>
      <c r="U522" s="36" t="s">
        <v>460</v>
      </c>
      <c r="V522" s="40">
        <v>45870</v>
      </c>
      <c r="W522" s="40">
        <v>45889</v>
      </c>
      <c r="X522" s="36">
        <v>0</v>
      </c>
      <c r="Y522" s="36"/>
      <c r="Z522" s="36">
        <v>1</v>
      </c>
      <c r="AA522" s="36">
        <v>17266666</v>
      </c>
      <c r="AB522" s="40">
        <v>46327</v>
      </c>
      <c r="AC522" s="36" t="s">
        <v>2196</v>
      </c>
      <c r="AD522" s="36" t="str">
        <f>VLOOKUP(D522,Oficial!A:C,3,0)</f>
        <v>Arrastre</v>
      </c>
    </row>
    <row r="523" spans="1:30" x14ac:dyDescent="0.25">
      <c r="A523" s="36" t="s">
        <v>27</v>
      </c>
      <c r="B523" s="36" t="s">
        <v>452</v>
      </c>
      <c r="C523" s="36" t="s">
        <v>28</v>
      </c>
      <c r="D523" s="36" t="s">
        <v>452</v>
      </c>
      <c r="E523" s="36" t="s">
        <v>30</v>
      </c>
      <c r="F523" s="36" t="s">
        <v>31</v>
      </c>
      <c r="G523" s="37" t="s">
        <v>453</v>
      </c>
      <c r="H523" s="36" t="s">
        <v>454</v>
      </c>
      <c r="I523" s="36" t="s">
        <v>455</v>
      </c>
      <c r="J523" s="36">
        <v>1</v>
      </c>
      <c r="K523" s="36" t="s">
        <v>456</v>
      </c>
      <c r="L523" s="36">
        <v>4</v>
      </c>
      <c r="M523" s="36">
        <v>1</v>
      </c>
      <c r="N523" s="38">
        <v>207200000</v>
      </c>
      <c r="O523" s="38">
        <v>17266666</v>
      </c>
      <c r="P523" s="36">
        <v>12</v>
      </c>
      <c r="Q523" s="36" t="s">
        <v>318</v>
      </c>
      <c r="R523" s="36" t="s">
        <v>457</v>
      </c>
      <c r="S523" s="36" t="s">
        <v>458</v>
      </c>
      <c r="T523" s="36" t="s">
        <v>459</v>
      </c>
      <c r="U523" s="36" t="s">
        <v>460</v>
      </c>
      <c r="V523" s="40">
        <v>45870</v>
      </c>
      <c r="W523" s="40">
        <v>45889</v>
      </c>
      <c r="X523" s="36">
        <v>0</v>
      </c>
      <c r="Y523" s="36"/>
      <c r="Z523" s="36">
        <v>1</v>
      </c>
      <c r="AA523" s="36">
        <v>17266666</v>
      </c>
      <c r="AB523" s="40">
        <v>46174</v>
      </c>
      <c r="AC523" s="36" t="s">
        <v>2196</v>
      </c>
      <c r="AD523" s="36" t="str">
        <f>VLOOKUP(D523,Oficial!A:C,3,0)</f>
        <v>Arrastre</v>
      </c>
    </row>
    <row r="524" spans="1:30" x14ac:dyDescent="0.25">
      <c r="A524" s="36" t="s">
        <v>27</v>
      </c>
      <c r="B524" s="36" t="s">
        <v>452</v>
      </c>
      <c r="C524" s="36" t="s">
        <v>28</v>
      </c>
      <c r="D524" s="36" t="s">
        <v>452</v>
      </c>
      <c r="E524" s="36" t="s">
        <v>30</v>
      </c>
      <c r="F524" s="36" t="s">
        <v>31</v>
      </c>
      <c r="G524" s="37" t="s">
        <v>453</v>
      </c>
      <c r="H524" s="36" t="s">
        <v>454</v>
      </c>
      <c r="I524" s="36" t="s">
        <v>455</v>
      </c>
      <c r="J524" s="36">
        <v>1</v>
      </c>
      <c r="K524" s="36" t="s">
        <v>456</v>
      </c>
      <c r="L524" s="36">
        <v>4</v>
      </c>
      <c r="M524" s="36">
        <v>1</v>
      </c>
      <c r="N524" s="38">
        <v>207200000</v>
      </c>
      <c r="O524" s="38">
        <v>17266666</v>
      </c>
      <c r="P524" s="36">
        <v>12</v>
      </c>
      <c r="Q524" s="36" t="s">
        <v>318</v>
      </c>
      <c r="R524" s="36" t="s">
        <v>457</v>
      </c>
      <c r="S524" s="36" t="s">
        <v>458</v>
      </c>
      <c r="T524" s="36" t="s">
        <v>459</v>
      </c>
      <c r="U524" s="36" t="s">
        <v>460</v>
      </c>
      <c r="V524" s="40">
        <v>45870</v>
      </c>
      <c r="W524" s="40">
        <v>45889</v>
      </c>
      <c r="X524" s="36">
        <v>0</v>
      </c>
      <c r="Y524" s="36"/>
      <c r="Z524" s="36">
        <v>1</v>
      </c>
      <c r="AA524" s="36">
        <v>17266666</v>
      </c>
      <c r="AB524" s="40">
        <v>46082</v>
      </c>
      <c r="AC524" s="36" t="s">
        <v>2196</v>
      </c>
      <c r="AD524" s="36" t="str">
        <f>VLOOKUP(D524,Oficial!A:C,3,0)</f>
        <v>Arrastre</v>
      </c>
    </row>
    <row r="525" spans="1:30" x14ac:dyDescent="0.25">
      <c r="A525" s="36" t="s">
        <v>27</v>
      </c>
      <c r="B525" s="36" t="s">
        <v>452</v>
      </c>
      <c r="C525" s="36" t="s">
        <v>28</v>
      </c>
      <c r="D525" s="36" t="s">
        <v>452</v>
      </c>
      <c r="E525" s="36" t="s">
        <v>30</v>
      </c>
      <c r="F525" s="36" t="s">
        <v>31</v>
      </c>
      <c r="G525" s="37" t="s">
        <v>453</v>
      </c>
      <c r="H525" s="36" t="s">
        <v>454</v>
      </c>
      <c r="I525" s="36" t="s">
        <v>455</v>
      </c>
      <c r="J525" s="36">
        <v>1</v>
      </c>
      <c r="K525" s="36" t="s">
        <v>456</v>
      </c>
      <c r="L525" s="36">
        <v>4</v>
      </c>
      <c r="M525" s="36">
        <v>1</v>
      </c>
      <c r="N525" s="38">
        <v>207200000</v>
      </c>
      <c r="O525" s="38">
        <v>17266666</v>
      </c>
      <c r="P525" s="36">
        <v>12</v>
      </c>
      <c r="Q525" s="36" t="s">
        <v>318</v>
      </c>
      <c r="R525" s="36" t="s">
        <v>457</v>
      </c>
      <c r="S525" s="36" t="s">
        <v>458</v>
      </c>
      <c r="T525" s="36" t="s">
        <v>459</v>
      </c>
      <c r="U525" s="36" t="s">
        <v>460</v>
      </c>
      <c r="V525" s="40">
        <v>45870</v>
      </c>
      <c r="W525" s="40">
        <v>45889</v>
      </c>
      <c r="X525" s="36">
        <v>0</v>
      </c>
      <c r="Y525" s="36"/>
      <c r="Z525" s="36">
        <v>1</v>
      </c>
      <c r="AA525" s="36">
        <v>17266666</v>
      </c>
      <c r="AB525" s="40">
        <v>46204</v>
      </c>
      <c r="AC525" s="36" t="s">
        <v>2196</v>
      </c>
      <c r="AD525" s="36" t="str">
        <f>VLOOKUP(D525,Oficial!A:C,3,0)</f>
        <v>Arrastre</v>
      </c>
    </row>
    <row r="526" spans="1:30" x14ac:dyDescent="0.25">
      <c r="A526" s="36" t="s">
        <v>27</v>
      </c>
      <c r="B526" s="36" t="s">
        <v>452</v>
      </c>
      <c r="C526" s="36" t="s">
        <v>28</v>
      </c>
      <c r="D526" s="36" t="s">
        <v>452</v>
      </c>
      <c r="E526" s="36" t="s">
        <v>30</v>
      </c>
      <c r="F526" s="36" t="s">
        <v>31</v>
      </c>
      <c r="G526" s="37" t="s">
        <v>453</v>
      </c>
      <c r="H526" s="36" t="s">
        <v>454</v>
      </c>
      <c r="I526" s="36" t="s">
        <v>455</v>
      </c>
      <c r="J526" s="36">
        <v>1</v>
      </c>
      <c r="K526" s="36" t="s">
        <v>456</v>
      </c>
      <c r="L526" s="36">
        <v>4</v>
      </c>
      <c r="M526" s="36">
        <v>1</v>
      </c>
      <c r="N526" s="38">
        <v>207200000</v>
      </c>
      <c r="O526" s="38">
        <v>17266666</v>
      </c>
      <c r="P526" s="36">
        <v>12</v>
      </c>
      <c r="Q526" s="36" t="s">
        <v>318</v>
      </c>
      <c r="R526" s="36" t="s">
        <v>457</v>
      </c>
      <c r="S526" s="36" t="s">
        <v>458</v>
      </c>
      <c r="T526" s="36" t="s">
        <v>459</v>
      </c>
      <c r="U526" s="36" t="s">
        <v>460</v>
      </c>
      <c r="V526" s="40">
        <v>45870</v>
      </c>
      <c r="W526" s="40">
        <v>45889</v>
      </c>
      <c r="X526" s="36">
        <v>0</v>
      </c>
      <c r="Y526" s="36"/>
      <c r="Z526" s="36">
        <v>1</v>
      </c>
      <c r="AA526" s="36">
        <v>17266666</v>
      </c>
      <c r="AB526" s="40">
        <v>46296</v>
      </c>
      <c r="AC526" s="36" t="s">
        <v>2196</v>
      </c>
      <c r="AD526" s="36" t="str">
        <f>VLOOKUP(D526,Oficial!A:C,3,0)</f>
        <v>Arrastre</v>
      </c>
    </row>
    <row r="527" spans="1:30" x14ac:dyDescent="0.25">
      <c r="A527" s="36" t="s">
        <v>27</v>
      </c>
      <c r="B527" s="36" t="s">
        <v>452</v>
      </c>
      <c r="C527" s="36" t="s">
        <v>28</v>
      </c>
      <c r="D527" s="36" t="s">
        <v>452</v>
      </c>
      <c r="E527" s="36" t="s">
        <v>30</v>
      </c>
      <c r="F527" s="36" t="s">
        <v>31</v>
      </c>
      <c r="G527" s="37" t="s">
        <v>453</v>
      </c>
      <c r="H527" s="36" t="s">
        <v>454</v>
      </c>
      <c r="I527" s="36" t="s">
        <v>455</v>
      </c>
      <c r="J527" s="36">
        <v>1</v>
      </c>
      <c r="K527" s="36" t="s">
        <v>456</v>
      </c>
      <c r="L527" s="36">
        <v>4</v>
      </c>
      <c r="M527" s="36">
        <v>1</v>
      </c>
      <c r="N527" s="38">
        <v>207200000</v>
      </c>
      <c r="O527" s="38">
        <v>17266666</v>
      </c>
      <c r="P527" s="36">
        <v>12</v>
      </c>
      <c r="Q527" s="36" t="s">
        <v>318</v>
      </c>
      <c r="R527" s="36" t="s">
        <v>457</v>
      </c>
      <c r="S527" s="36" t="s">
        <v>458</v>
      </c>
      <c r="T527" s="36" t="s">
        <v>459</v>
      </c>
      <c r="U527" s="36" t="s">
        <v>460</v>
      </c>
      <c r="V527" s="40">
        <v>45870</v>
      </c>
      <c r="W527" s="40">
        <v>45889</v>
      </c>
      <c r="X527" s="36">
        <v>0</v>
      </c>
      <c r="Y527" s="36"/>
      <c r="Z527" s="36">
        <v>1</v>
      </c>
      <c r="AA527" s="36">
        <v>17266666</v>
      </c>
      <c r="AB527" s="40">
        <v>46266</v>
      </c>
      <c r="AC527" s="36" t="s">
        <v>2196</v>
      </c>
      <c r="AD527" s="36" t="str">
        <f>VLOOKUP(D527,Oficial!A:C,3,0)</f>
        <v>Arrastre</v>
      </c>
    </row>
    <row r="528" spans="1:30" x14ac:dyDescent="0.25">
      <c r="A528" s="36" t="s">
        <v>27</v>
      </c>
      <c r="B528" s="36" t="s">
        <v>452</v>
      </c>
      <c r="C528" s="36" t="s">
        <v>28</v>
      </c>
      <c r="D528" s="36" t="s">
        <v>452</v>
      </c>
      <c r="E528" s="36" t="s">
        <v>30</v>
      </c>
      <c r="F528" s="36" t="s">
        <v>31</v>
      </c>
      <c r="G528" s="37" t="s">
        <v>453</v>
      </c>
      <c r="H528" s="36" t="s">
        <v>454</v>
      </c>
      <c r="I528" s="36" t="s">
        <v>455</v>
      </c>
      <c r="J528" s="36">
        <v>1</v>
      </c>
      <c r="K528" s="36" t="s">
        <v>456</v>
      </c>
      <c r="L528" s="36">
        <v>4</v>
      </c>
      <c r="M528" s="36">
        <v>1</v>
      </c>
      <c r="N528" s="38">
        <v>207200000</v>
      </c>
      <c r="O528" s="38">
        <v>17266666</v>
      </c>
      <c r="P528" s="36">
        <v>12</v>
      </c>
      <c r="Q528" s="36" t="s">
        <v>318</v>
      </c>
      <c r="R528" s="36" t="s">
        <v>457</v>
      </c>
      <c r="S528" s="36" t="s">
        <v>458</v>
      </c>
      <c r="T528" s="36" t="s">
        <v>459</v>
      </c>
      <c r="U528" s="36" t="s">
        <v>460</v>
      </c>
      <c r="V528" s="40">
        <v>45870</v>
      </c>
      <c r="W528" s="40">
        <v>45889</v>
      </c>
      <c r="X528" s="36">
        <v>0</v>
      </c>
      <c r="Y528" s="36"/>
      <c r="Z528" s="36">
        <v>1</v>
      </c>
      <c r="AA528" s="36">
        <v>17266666</v>
      </c>
      <c r="AB528" s="40">
        <v>46357</v>
      </c>
      <c r="AC528" s="36" t="s">
        <v>2196</v>
      </c>
      <c r="AD528" s="36" t="str">
        <f>VLOOKUP(D528,Oficial!A:C,3,0)</f>
        <v>Arrastre</v>
      </c>
    </row>
    <row r="529" spans="1:30" x14ac:dyDescent="0.25">
      <c r="A529" s="36" t="s">
        <v>27</v>
      </c>
      <c r="B529" s="36" t="s">
        <v>461</v>
      </c>
      <c r="C529" s="36" t="s">
        <v>28</v>
      </c>
      <c r="D529" s="36" t="s">
        <v>461</v>
      </c>
      <c r="E529" s="36" t="s">
        <v>45</v>
      </c>
      <c r="F529" s="36" t="s">
        <v>31</v>
      </c>
      <c r="G529" s="37" t="s">
        <v>69</v>
      </c>
      <c r="H529" s="36" t="s">
        <v>462</v>
      </c>
      <c r="I529" s="36" t="s">
        <v>463</v>
      </c>
      <c r="J529" s="36">
        <v>1</v>
      </c>
      <c r="K529" s="36" t="s">
        <v>464</v>
      </c>
      <c r="L529" s="36">
        <v>4</v>
      </c>
      <c r="M529" s="36">
        <v>11040</v>
      </c>
      <c r="N529" s="38">
        <v>22315</v>
      </c>
      <c r="O529" s="42">
        <v>20529800</v>
      </c>
      <c r="P529" s="36">
        <v>12</v>
      </c>
      <c r="Q529" s="36" t="s">
        <v>413</v>
      </c>
      <c r="R529" s="36" t="s">
        <v>465</v>
      </c>
      <c r="S529" s="36" t="s">
        <v>466</v>
      </c>
      <c r="T529" s="36" t="s">
        <v>467</v>
      </c>
      <c r="U529" s="36" t="s">
        <v>77</v>
      </c>
      <c r="V529" s="40">
        <v>45992</v>
      </c>
      <c r="W529" s="40">
        <v>45889</v>
      </c>
      <c r="X529" s="36">
        <v>0</v>
      </c>
      <c r="Y529" s="36"/>
      <c r="Z529" s="36">
        <v>1</v>
      </c>
      <c r="AA529" s="36">
        <v>20529800</v>
      </c>
      <c r="AB529" s="40">
        <v>46327</v>
      </c>
      <c r="AC529" s="36" t="s">
        <v>2196</v>
      </c>
      <c r="AD529" s="36" t="str">
        <f>VLOOKUP(D529,Oficial!A:C,3,0)</f>
        <v>Arrastre</v>
      </c>
    </row>
    <row r="530" spans="1:30" x14ac:dyDescent="0.25">
      <c r="A530" s="36" t="s">
        <v>27</v>
      </c>
      <c r="B530" s="36" t="s">
        <v>461</v>
      </c>
      <c r="C530" s="36" t="s">
        <v>28</v>
      </c>
      <c r="D530" s="36" t="s">
        <v>461</v>
      </c>
      <c r="E530" s="36" t="s">
        <v>45</v>
      </c>
      <c r="F530" s="36" t="s">
        <v>31</v>
      </c>
      <c r="G530" s="37" t="s">
        <v>69</v>
      </c>
      <c r="H530" s="36" t="s">
        <v>462</v>
      </c>
      <c r="I530" s="36" t="s">
        <v>463</v>
      </c>
      <c r="J530" s="36">
        <v>1</v>
      </c>
      <c r="K530" s="36" t="s">
        <v>464</v>
      </c>
      <c r="L530" s="36">
        <v>4</v>
      </c>
      <c r="M530" s="36">
        <v>11040</v>
      </c>
      <c r="N530" s="38">
        <v>22315</v>
      </c>
      <c r="O530" s="42">
        <v>20529800</v>
      </c>
      <c r="P530" s="36">
        <v>12</v>
      </c>
      <c r="Q530" s="36" t="s">
        <v>413</v>
      </c>
      <c r="R530" s="36" t="s">
        <v>465</v>
      </c>
      <c r="S530" s="36" t="s">
        <v>466</v>
      </c>
      <c r="T530" s="36" t="s">
        <v>467</v>
      </c>
      <c r="U530" s="36" t="s">
        <v>77</v>
      </c>
      <c r="V530" s="40">
        <v>45992</v>
      </c>
      <c r="W530" s="40">
        <v>45889</v>
      </c>
      <c r="X530" s="36">
        <v>0</v>
      </c>
      <c r="Y530" s="36"/>
      <c r="Z530" s="36">
        <v>1</v>
      </c>
      <c r="AA530" s="36">
        <v>20529800</v>
      </c>
      <c r="AB530" s="40">
        <v>46143</v>
      </c>
      <c r="AC530" s="36" t="s">
        <v>2196</v>
      </c>
      <c r="AD530" s="36" t="str">
        <f>VLOOKUP(D530,Oficial!A:C,3,0)</f>
        <v>Arrastre</v>
      </c>
    </row>
    <row r="531" spans="1:30" x14ac:dyDescent="0.25">
      <c r="A531" s="36" t="s">
        <v>27</v>
      </c>
      <c r="B531" s="36" t="s">
        <v>461</v>
      </c>
      <c r="C531" s="36" t="s">
        <v>28</v>
      </c>
      <c r="D531" s="36" t="s">
        <v>461</v>
      </c>
      <c r="E531" s="36" t="s">
        <v>45</v>
      </c>
      <c r="F531" s="36" t="s">
        <v>31</v>
      </c>
      <c r="G531" s="37" t="s">
        <v>69</v>
      </c>
      <c r="H531" s="36" t="s">
        <v>462</v>
      </c>
      <c r="I531" s="36" t="s">
        <v>463</v>
      </c>
      <c r="J531" s="36">
        <v>1</v>
      </c>
      <c r="K531" s="36" t="s">
        <v>464</v>
      </c>
      <c r="L531" s="36">
        <v>4</v>
      </c>
      <c r="M531" s="36">
        <v>11040</v>
      </c>
      <c r="N531" s="38">
        <v>22315</v>
      </c>
      <c r="O531" s="42">
        <v>20529800</v>
      </c>
      <c r="P531" s="36">
        <v>12</v>
      </c>
      <c r="Q531" s="36" t="s">
        <v>413</v>
      </c>
      <c r="R531" s="36" t="s">
        <v>465</v>
      </c>
      <c r="S531" s="36" t="s">
        <v>466</v>
      </c>
      <c r="T531" s="36" t="s">
        <v>467</v>
      </c>
      <c r="U531" s="36" t="s">
        <v>77</v>
      </c>
      <c r="V531" s="40">
        <v>45992</v>
      </c>
      <c r="W531" s="40">
        <v>45889</v>
      </c>
      <c r="X531" s="36">
        <v>0</v>
      </c>
      <c r="Y531" s="36"/>
      <c r="Z531" s="36">
        <v>1</v>
      </c>
      <c r="AA531" s="36">
        <v>20529800</v>
      </c>
      <c r="AB531" s="40">
        <v>46054</v>
      </c>
      <c r="AC531" s="36" t="s">
        <v>2196</v>
      </c>
      <c r="AD531" s="36" t="str">
        <f>VLOOKUP(D531,Oficial!A:C,3,0)</f>
        <v>Arrastre</v>
      </c>
    </row>
    <row r="532" spans="1:30" x14ac:dyDescent="0.25">
      <c r="A532" s="36" t="s">
        <v>27</v>
      </c>
      <c r="B532" s="36" t="s">
        <v>461</v>
      </c>
      <c r="C532" s="36" t="s">
        <v>28</v>
      </c>
      <c r="D532" s="36" t="s">
        <v>461</v>
      </c>
      <c r="E532" s="36" t="s">
        <v>45</v>
      </c>
      <c r="F532" s="36" t="s">
        <v>31</v>
      </c>
      <c r="G532" s="37" t="s">
        <v>69</v>
      </c>
      <c r="H532" s="36" t="s">
        <v>462</v>
      </c>
      <c r="I532" s="36" t="s">
        <v>463</v>
      </c>
      <c r="J532" s="36">
        <v>1</v>
      </c>
      <c r="K532" s="36" t="s">
        <v>464</v>
      </c>
      <c r="L532" s="36">
        <v>4</v>
      </c>
      <c r="M532" s="36">
        <v>11040</v>
      </c>
      <c r="N532" s="38">
        <v>22315</v>
      </c>
      <c r="O532" s="42">
        <v>20529800</v>
      </c>
      <c r="P532" s="36">
        <v>12</v>
      </c>
      <c r="Q532" s="36" t="s">
        <v>413</v>
      </c>
      <c r="R532" s="36" t="s">
        <v>465</v>
      </c>
      <c r="S532" s="36" t="s">
        <v>466</v>
      </c>
      <c r="T532" s="36" t="s">
        <v>467</v>
      </c>
      <c r="U532" s="36" t="s">
        <v>77</v>
      </c>
      <c r="V532" s="40">
        <v>45992</v>
      </c>
      <c r="W532" s="40">
        <v>45889</v>
      </c>
      <c r="X532" s="36">
        <v>0</v>
      </c>
      <c r="Y532" s="36"/>
      <c r="Z532" s="36">
        <v>1</v>
      </c>
      <c r="AA532" s="36">
        <v>20529800</v>
      </c>
      <c r="AB532" s="40">
        <v>46113</v>
      </c>
      <c r="AC532" s="36" t="s">
        <v>2196</v>
      </c>
      <c r="AD532" s="36" t="str">
        <f>VLOOKUP(D532,Oficial!A:C,3,0)</f>
        <v>Arrastre</v>
      </c>
    </row>
    <row r="533" spans="1:30" x14ac:dyDescent="0.25">
      <c r="A533" s="36" t="s">
        <v>27</v>
      </c>
      <c r="B533" s="36" t="s">
        <v>461</v>
      </c>
      <c r="C533" s="36" t="s">
        <v>28</v>
      </c>
      <c r="D533" s="36" t="s">
        <v>461</v>
      </c>
      <c r="E533" s="36" t="s">
        <v>45</v>
      </c>
      <c r="F533" s="36" t="s">
        <v>31</v>
      </c>
      <c r="G533" s="37" t="s">
        <v>69</v>
      </c>
      <c r="H533" s="36" t="s">
        <v>462</v>
      </c>
      <c r="I533" s="36" t="s">
        <v>463</v>
      </c>
      <c r="J533" s="36">
        <v>1</v>
      </c>
      <c r="K533" s="36" t="s">
        <v>464</v>
      </c>
      <c r="L533" s="36">
        <v>4</v>
      </c>
      <c r="M533" s="36">
        <v>11040</v>
      </c>
      <c r="N533" s="38">
        <v>22315</v>
      </c>
      <c r="O533" s="42">
        <v>20529800</v>
      </c>
      <c r="P533" s="36">
        <v>12</v>
      </c>
      <c r="Q533" s="36" t="s">
        <v>413</v>
      </c>
      <c r="R533" s="36" t="s">
        <v>465</v>
      </c>
      <c r="S533" s="36" t="s">
        <v>466</v>
      </c>
      <c r="T533" s="36" t="s">
        <v>467</v>
      </c>
      <c r="U533" s="36" t="s">
        <v>77</v>
      </c>
      <c r="V533" s="40">
        <v>45992</v>
      </c>
      <c r="W533" s="40">
        <v>45889</v>
      </c>
      <c r="X533" s="36">
        <v>0</v>
      </c>
      <c r="Y533" s="36"/>
      <c r="Z533" s="36">
        <v>1</v>
      </c>
      <c r="AA533" s="36">
        <v>20529800</v>
      </c>
      <c r="AB533" s="40">
        <v>46235</v>
      </c>
      <c r="AC533" s="36" t="s">
        <v>2196</v>
      </c>
      <c r="AD533" s="36" t="str">
        <f>VLOOKUP(D533,Oficial!A:C,3,0)</f>
        <v>Arrastre</v>
      </c>
    </row>
    <row r="534" spans="1:30" x14ac:dyDescent="0.25">
      <c r="A534" s="36" t="s">
        <v>27</v>
      </c>
      <c r="B534" s="36" t="s">
        <v>461</v>
      </c>
      <c r="C534" s="36" t="s">
        <v>28</v>
      </c>
      <c r="D534" s="36" t="s">
        <v>461</v>
      </c>
      <c r="E534" s="36" t="s">
        <v>45</v>
      </c>
      <c r="F534" s="36" t="s">
        <v>31</v>
      </c>
      <c r="G534" s="37" t="s">
        <v>69</v>
      </c>
      <c r="H534" s="36" t="s">
        <v>462</v>
      </c>
      <c r="I534" s="36" t="s">
        <v>463</v>
      </c>
      <c r="J534" s="36">
        <v>1</v>
      </c>
      <c r="K534" s="36" t="s">
        <v>464</v>
      </c>
      <c r="L534" s="36">
        <v>4</v>
      </c>
      <c r="M534" s="36">
        <v>11040</v>
      </c>
      <c r="N534" s="38">
        <v>22315</v>
      </c>
      <c r="O534" s="42">
        <v>20529800</v>
      </c>
      <c r="P534" s="36">
        <v>12</v>
      </c>
      <c r="Q534" s="36" t="s">
        <v>413</v>
      </c>
      <c r="R534" s="36" t="s">
        <v>465</v>
      </c>
      <c r="S534" s="36" t="s">
        <v>466</v>
      </c>
      <c r="T534" s="36" t="s">
        <v>467</v>
      </c>
      <c r="U534" s="36" t="s">
        <v>77</v>
      </c>
      <c r="V534" s="40">
        <v>45992</v>
      </c>
      <c r="W534" s="40">
        <v>45889</v>
      </c>
      <c r="X534" s="36">
        <v>0</v>
      </c>
      <c r="Y534" s="36"/>
      <c r="Z534" s="36">
        <v>1</v>
      </c>
      <c r="AA534" s="36">
        <v>20529800</v>
      </c>
      <c r="AB534" s="40">
        <v>46174</v>
      </c>
      <c r="AC534" s="36" t="s">
        <v>2196</v>
      </c>
      <c r="AD534" s="36" t="str">
        <f>VLOOKUP(D534,Oficial!A:C,3,0)</f>
        <v>Arrastre</v>
      </c>
    </row>
    <row r="535" spans="1:30" x14ac:dyDescent="0.25">
      <c r="A535" s="36" t="s">
        <v>27</v>
      </c>
      <c r="B535" s="36" t="s">
        <v>461</v>
      </c>
      <c r="C535" s="36" t="s">
        <v>28</v>
      </c>
      <c r="D535" s="36" t="s">
        <v>461</v>
      </c>
      <c r="E535" s="36" t="s">
        <v>45</v>
      </c>
      <c r="F535" s="36" t="s">
        <v>31</v>
      </c>
      <c r="G535" s="37" t="s">
        <v>69</v>
      </c>
      <c r="H535" s="36" t="s">
        <v>462</v>
      </c>
      <c r="I535" s="36" t="s">
        <v>463</v>
      </c>
      <c r="J535" s="36">
        <v>1</v>
      </c>
      <c r="K535" s="36" t="s">
        <v>464</v>
      </c>
      <c r="L535" s="36">
        <v>4</v>
      </c>
      <c r="M535" s="36">
        <v>11040</v>
      </c>
      <c r="N535" s="38">
        <v>22315</v>
      </c>
      <c r="O535" s="42">
        <v>20529800</v>
      </c>
      <c r="P535" s="36">
        <v>12</v>
      </c>
      <c r="Q535" s="36" t="s">
        <v>413</v>
      </c>
      <c r="R535" s="36" t="s">
        <v>465</v>
      </c>
      <c r="S535" s="36" t="s">
        <v>466</v>
      </c>
      <c r="T535" s="36" t="s">
        <v>467</v>
      </c>
      <c r="U535" s="36" t="s">
        <v>77</v>
      </c>
      <c r="V535" s="40">
        <v>45992</v>
      </c>
      <c r="W535" s="40">
        <v>45889</v>
      </c>
      <c r="X535" s="36">
        <v>0</v>
      </c>
      <c r="Y535" s="36"/>
      <c r="Z535" s="36">
        <v>1</v>
      </c>
      <c r="AA535" s="36">
        <v>20529800</v>
      </c>
      <c r="AB535" s="40">
        <v>46357</v>
      </c>
      <c r="AC535" s="36" t="s">
        <v>2196</v>
      </c>
      <c r="AD535" s="36" t="str">
        <f>VLOOKUP(D535,Oficial!A:C,3,0)</f>
        <v>Arrastre</v>
      </c>
    </row>
    <row r="536" spans="1:30" x14ac:dyDescent="0.25">
      <c r="A536" s="36" t="s">
        <v>27</v>
      </c>
      <c r="B536" s="36" t="s">
        <v>461</v>
      </c>
      <c r="C536" s="36" t="s">
        <v>28</v>
      </c>
      <c r="D536" s="36" t="s">
        <v>461</v>
      </c>
      <c r="E536" s="36" t="s">
        <v>45</v>
      </c>
      <c r="F536" s="36" t="s">
        <v>31</v>
      </c>
      <c r="G536" s="37" t="s">
        <v>69</v>
      </c>
      <c r="H536" s="36" t="s">
        <v>462</v>
      </c>
      <c r="I536" s="36" t="s">
        <v>463</v>
      </c>
      <c r="J536" s="36">
        <v>1</v>
      </c>
      <c r="K536" s="36" t="s">
        <v>464</v>
      </c>
      <c r="L536" s="36">
        <v>4</v>
      </c>
      <c r="M536" s="36">
        <v>11040</v>
      </c>
      <c r="N536" s="38">
        <v>22315</v>
      </c>
      <c r="O536" s="42">
        <v>20529800</v>
      </c>
      <c r="P536" s="36">
        <v>12</v>
      </c>
      <c r="Q536" s="36" t="s">
        <v>413</v>
      </c>
      <c r="R536" s="36" t="s">
        <v>465</v>
      </c>
      <c r="S536" s="36" t="s">
        <v>466</v>
      </c>
      <c r="T536" s="36" t="s">
        <v>467</v>
      </c>
      <c r="U536" s="36" t="s">
        <v>77</v>
      </c>
      <c r="V536" s="40">
        <v>45992</v>
      </c>
      <c r="W536" s="40">
        <v>45889</v>
      </c>
      <c r="X536" s="36">
        <v>0</v>
      </c>
      <c r="Y536" s="36"/>
      <c r="Z536" s="36">
        <v>1</v>
      </c>
      <c r="AA536" s="36">
        <v>20529800</v>
      </c>
      <c r="AB536" s="40">
        <v>46204</v>
      </c>
      <c r="AC536" s="36" t="s">
        <v>2196</v>
      </c>
      <c r="AD536" s="36" t="str">
        <f>VLOOKUP(D536,Oficial!A:C,3,0)</f>
        <v>Arrastre</v>
      </c>
    </row>
    <row r="537" spans="1:30" x14ac:dyDescent="0.25">
      <c r="A537" s="36" t="s">
        <v>27</v>
      </c>
      <c r="B537" s="36" t="s">
        <v>461</v>
      </c>
      <c r="C537" s="36" t="s">
        <v>28</v>
      </c>
      <c r="D537" s="36" t="s">
        <v>461</v>
      </c>
      <c r="E537" s="36" t="s">
        <v>45</v>
      </c>
      <c r="F537" s="36" t="s">
        <v>31</v>
      </c>
      <c r="G537" s="37" t="s">
        <v>69</v>
      </c>
      <c r="H537" s="36" t="s">
        <v>462</v>
      </c>
      <c r="I537" s="36" t="s">
        <v>463</v>
      </c>
      <c r="J537" s="36">
        <v>1</v>
      </c>
      <c r="K537" s="36" t="s">
        <v>464</v>
      </c>
      <c r="L537" s="36">
        <v>4</v>
      </c>
      <c r="M537" s="36">
        <v>11040</v>
      </c>
      <c r="N537" s="38">
        <v>22315</v>
      </c>
      <c r="O537" s="42">
        <v>20529800</v>
      </c>
      <c r="P537" s="36">
        <v>12</v>
      </c>
      <c r="Q537" s="36" t="s">
        <v>413</v>
      </c>
      <c r="R537" s="36" t="s">
        <v>465</v>
      </c>
      <c r="S537" s="36" t="s">
        <v>466</v>
      </c>
      <c r="T537" s="36" t="s">
        <v>467</v>
      </c>
      <c r="U537" s="36" t="s">
        <v>77</v>
      </c>
      <c r="V537" s="40">
        <v>45992</v>
      </c>
      <c r="W537" s="40">
        <v>45889</v>
      </c>
      <c r="X537" s="36">
        <v>0</v>
      </c>
      <c r="Y537" s="36"/>
      <c r="Z537" s="36">
        <v>1</v>
      </c>
      <c r="AA537" s="36">
        <v>20529800</v>
      </c>
      <c r="AB537" s="40">
        <v>46296</v>
      </c>
      <c r="AC537" s="36" t="s">
        <v>2196</v>
      </c>
      <c r="AD537" s="36" t="str">
        <f>VLOOKUP(D537,Oficial!A:C,3,0)</f>
        <v>Arrastre</v>
      </c>
    </row>
    <row r="538" spans="1:30" x14ac:dyDescent="0.25">
      <c r="A538" s="36" t="s">
        <v>27</v>
      </c>
      <c r="B538" s="36" t="s">
        <v>461</v>
      </c>
      <c r="C538" s="36" t="s">
        <v>28</v>
      </c>
      <c r="D538" s="36" t="s">
        <v>461</v>
      </c>
      <c r="E538" s="36" t="s">
        <v>45</v>
      </c>
      <c r="F538" s="36" t="s">
        <v>31</v>
      </c>
      <c r="G538" s="37" t="s">
        <v>69</v>
      </c>
      <c r="H538" s="36" t="s">
        <v>462</v>
      </c>
      <c r="I538" s="36" t="s">
        <v>463</v>
      </c>
      <c r="J538" s="36">
        <v>1</v>
      </c>
      <c r="K538" s="36" t="s">
        <v>464</v>
      </c>
      <c r="L538" s="36">
        <v>4</v>
      </c>
      <c r="M538" s="36">
        <v>11040</v>
      </c>
      <c r="N538" s="38">
        <v>22315</v>
      </c>
      <c r="O538" s="42">
        <v>20529800</v>
      </c>
      <c r="P538" s="36">
        <v>12</v>
      </c>
      <c r="Q538" s="36" t="s">
        <v>413</v>
      </c>
      <c r="R538" s="36" t="s">
        <v>465</v>
      </c>
      <c r="S538" s="36" t="s">
        <v>466</v>
      </c>
      <c r="T538" s="36" t="s">
        <v>467</v>
      </c>
      <c r="U538" s="36" t="s">
        <v>77</v>
      </c>
      <c r="V538" s="40">
        <v>45992</v>
      </c>
      <c r="W538" s="40">
        <v>45889</v>
      </c>
      <c r="X538" s="36">
        <v>0</v>
      </c>
      <c r="Y538" s="36"/>
      <c r="Z538" s="36">
        <v>1</v>
      </c>
      <c r="AA538" s="36">
        <v>20529800</v>
      </c>
      <c r="AB538" s="40">
        <v>46023</v>
      </c>
      <c r="AC538" s="36" t="s">
        <v>2196</v>
      </c>
      <c r="AD538" s="36" t="str">
        <f>VLOOKUP(D538,Oficial!A:C,3,0)</f>
        <v>Arrastre</v>
      </c>
    </row>
    <row r="539" spans="1:30" x14ac:dyDescent="0.25">
      <c r="A539" s="36" t="s">
        <v>27</v>
      </c>
      <c r="B539" s="36" t="s">
        <v>461</v>
      </c>
      <c r="C539" s="36" t="s">
        <v>28</v>
      </c>
      <c r="D539" s="36" t="s">
        <v>461</v>
      </c>
      <c r="E539" s="36" t="s">
        <v>45</v>
      </c>
      <c r="F539" s="36" t="s">
        <v>31</v>
      </c>
      <c r="G539" s="37" t="s">
        <v>69</v>
      </c>
      <c r="H539" s="36" t="s">
        <v>462</v>
      </c>
      <c r="I539" s="36" t="s">
        <v>463</v>
      </c>
      <c r="J539" s="36">
        <v>1</v>
      </c>
      <c r="K539" s="36" t="s">
        <v>464</v>
      </c>
      <c r="L539" s="36">
        <v>4</v>
      </c>
      <c r="M539" s="36">
        <v>11040</v>
      </c>
      <c r="N539" s="38">
        <v>22315</v>
      </c>
      <c r="O539" s="42">
        <v>20529800</v>
      </c>
      <c r="P539" s="36">
        <v>12</v>
      </c>
      <c r="Q539" s="36" t="s">
        <v>413</v>
      </c>
      <c r="R539" s="36" t="s">
        <v>465</v>
      </c>
      <c r="S539" s="36" t="s">
        <v>466</v>
      </c>
      <c r="T539" s="36" t="s">
        <v>467</v>
      </c>
      <c r="U539" s="36" t="s">
        <v>77</v>
      </c>
      <c r="V539" s="40">
        <v>45992</v>
      </c>
      <c r="W539" s="40">
        <v>45889</v>
      </c>
      <c r="X539" s="36">
        <v>0</v>
      </c>
      <c r="Y539" s="36"/>
      <c r="Z539" s="36">
        <v>1</v>
      </c>
      <c r="AA539" s="36">
        <v>20529800</v>
      </c>
      <c r="AB539" s="40">
        <v>46266</v>
      </c>
      <c r="AC539" s="36" t="s">
        <v>2196</v>
      </c>
      <c r="AD539" s="36" t="str">
        <f>VLOOKUP(D539,Oficial!A:C,3,0)</f>
        <v>Arrastre</v>
      </c>
    </row>
    <row r="540" spans="1:30" x14ac:dyDescent="0.25">
      <c r="A540" s="36" t="s">
        <v>27</v>
      </c>
      <c r="B540" s="36" t="s">
        <v>461</v>
      </c>
      <c r="C540" s="36" t="s">
        <v>28</v>
      </c>
      <c r="D540" s="36" t="s">
        <v>461</v>
      </c>
      <c r="E540" s="36" t="s">
        <v>45</v>
      </c>
      <c r="F540" s="36" t="s">
        <v>31</v>
      </c>
      <c r="G540" s="37" t="s">
        <v>69</v>
      </c>
      <c r="H540" s="36" t="s">
        <v>462</v>
      </c>
      <c r="I540" s="36" t="s">
        <v>463</v>
      </c>
      <c r="J540" s="36">
        <v>1</v>
      </c>
      <c r="K540" s="36" t="s">
        <v>464</v>
      </c>
      <c r="L540" s="36">
        <v>4</v>
      </c>
      <c r="M540" s="36">
        <v>11040</v>
      </c>
      <c r="N540" s="38">
        <v>22315</v>
      </c>
      <c r="O540" s="42">
        <v>20529800</v>
      </c>
      <c r="P540" s="36">
        <v>12</v>
      </c>
      <c r="Q540" s="36" t="s">
        <v>413</v>
      </c>
      <c r="R540" s="36" t="s">
        <v>465</v>
      </c>
      <c r="S540" s="36" t="s">
        <v>466</v>
      </c>
      <c r="T540" s="36" t="s">
        <v>467</v>
      </c>
      <c r="U540" s="36" t="s">
        <v>77</v>
      </c>
      <c r="V540" s="40">
        <v>45992</v>
      </c>
      <c r="W540" s="40">
        <v>45889</v>
      </c>
      <c r="X540" s="36">
        <v>0</v>
      </c>
      <c r="Y540" s="36"/>
      <c r="Z540" s="36">
        <v>1</v>
      </c>
      <c r="AA540" s="36">
        <v>20529800</v>
      </c>
      <c r="AB540" s="40">
        <v>46082</v>
      </c>
      <c r="AC540" s="36" t="s">
        <v>2196</v>
      </c>
      <c r="AD540" s="36" t="str">
        <f>VLOOKUP(D540,Oficial!A:C,3,0)</f>
        <v>Arrastre</v>
      </c>
    </row>
    <row r="541" spans="1:30" x14ac:dyDescent="0.25">
      <c r="A541" s="36" t="s">
        <v>27</v>
      </c>
      <c r="B541" s="36" t="s">
        <v>468</v>
      </c>
      <c r="C541" s="36" t="s">
        <v>374</v>
      </c>
      <c r="D541" s="36" t="s">
        <v>468</v>
      </c>
      <c r="E541" s="36" t="s">
        <v>30</v>
      </c>
      <c r="F541" s="36" t="s">
        <v>31</v>
      </c>
      <c r="G541" s="37" t="s">
        <v>469</v>
      </c>
      <c r="H541" s="36" t="s">
        <v>470</v>
      </c>
      <c r="I541" s="36" t="s">
        <v>471</v>
      </c>
      <c r="J541" s="36">
        <v>1</v>
      </c>
      <c r="K541" s="36" t="s">
        <v>472</v>
      </c>
      <c r="L541" s="36">
        <v>4</v>
      </c>
      <c r="M541" s="36">
        <v>4692</v>
      </c>
      <c r="N541" s="38">
        <v>84050</v>
      </c>
      <c r="O541" s="41">
        <v>32863550</v>
      </c>
      <c r="P541" s="36">
        <v>12</v>
      </c>
      <c r="Q541" s="36" t="s">
        <v>413</v>
      </c>
      <c r="R541" s="36" t="s">
        <v>473</v>
      </c>
      <c r="S541" s="36" t="s">
        <v>474</v>
      </c>
      <c r="T541" s="36" t="s">
        <v>432</v>
      </c>
      <c r="U541" s="36" t="s">
        <v>475</v>
      </c>
      <c r="V541" s="40">
        <v>45870</v>
      </c>
      <c r="W541" s="40">
        <v>45889</v>
      </c>
      <c r="X541" s="36">
        <v>0</v>
      </c>
      <c r="Y541" s="36"/>
      <c r="Z541" s="36">
        <v>1</v>
      </c>
      <c r="AA541" s="36">
        <v>32863550</v>
      </c>
      <c r="AB541" s="40">
        <v>46235</v>
      </c>
      <c r="AC541" s="36" t="s">
        <v>2196</v>
      </c>
      <c r="AD541" s="36" t="str">
        <f>VLOOKUP(D541,Oficial!A:C,3,0)</f>
        <v>Arrastre</v>
      </c>
    </row>
    <row r="542" spans="1:30" x14ac:dyDescent="0.25">
      <c r="A542" s="36" t="s">
        <v>27</v>
      </c>
      <c r="B542" s="36" t="s">
        <v>468</v>
      </c>
      <c r="C542" s="36" t="s">
        <v>374</v>
      </c>
      <c r="D542" s="36" t="s">
        <v>468</v>
      </c>
      <c r="E542" s="36" t="s">
        <v>30</v>
      </c>
      <c r="F542" s="36" t="s">
        <v>31</v>
      </c>
      <c r="G542" s="37" t="s">
        <v>469</v>
      </c>
      <c r="H542" s="36" t="s">
        <v>470</v>
      </c>
      <c r="I542" s="36" t="s">
        <v>471</v>
      </c>
      <c r="J542" s="36">
        <v>1</v>
      </c>
      <c r="K542" s="36" t="s">
        <v>472</v>
      </c>
      <c r="L542" s="36">
        <v>4</v>
      </c>
      <c r="M542" s="36">
        <v>4692</v>
      </c>
      <c r="N542" s="38">
        <v>84050</v>
      </c>
      <c r="O542" s="41">
        <v>32863550</v>
      </c>
      <c r="P542" s="36">
        <v>12</v>
      </c>
      <c r="Q542" s="36" t="s">
        <v>413</v>
      </c>
      <c r="R542" s="36" t="s">
        <v>473</v>
      </c>
      <c r="S542" s="36" t="s">
        <v>474</v>
      </c>
      <c r="T542" s="36" t="s">
        <v>432</v>
      </c>
      <c r="U542" s="36" t="s">
        <v>475</v>
      </c>
      <c r="V542" s="40">
        <v>45870</v>
      </c>
      <c r="W542" s="40">
        <v>45889</v>
      </c>
      <c r="X542" s="36">
        <v>0</v>
      </c>
      <c r="Y542" s="36"/>
      <c r="Z542" s="36">
        <v>1</v>
      </c>
      <c r="AA542" s="36">
        <v>32863550</v>
      </c>
      <c r="AB542" s="40">
        <v>46023</v>
      </c>
      <c r="AC542" s="36" t="s">
        <v>2196</v>
      </c>
      <c r="AD542" s="36" t="str">
        <f>VLOOKUP(D542,Oficial!A:C,3,0)</f>
        <v>Arrastre</v>
      </c>
    </row>
    <row r="543" spans="1:30" x14ac:dyDescent="0.25">
      <c r="A543" s="36" t="s">
        <v>27</v>
      </c>
      <c r="B543" s="36" t="s">
        <v>468</v>
      </c>
      <c r="C543" s="36" t="s">
        <v>374</v>
      </c>
      <c r="D543" s="36" t="s">
        <v>468</v>
      </c>
      <c r="E543" s="36" t="s">
        <v>30</v>
      </c>
      <c r="F543" s="36" t="s">
        <v>31</v>
      </c>
      <c r="G543" s="37" t="s">
        <v>469</v>
      </c>
      <c r="H543" s="36" t="s">
        <v>470</v>
      </c>
      <c r="I543" s="36" t="s">
        <v>471</v>
      </c>
      <c r="J543" s="36">
        <v>1</v>
      </c>
      <c r="K543" s="36" t="s">
        <v>472</v>
      </c>
      <c r="L543" s="36">
        <v>4</v>
      </c>
      <c r="M543" s="36">
        <v>4692</v>
      </c>
      <c r="N543" s="38">
        <v>84050</v>
      </c>
      <c r="O543" s="41">
        <v>32863550</v>
      </c>
      <c r="P543" s="36">
        <v>12</v>
      </c>
      <c r="Q543" s="36" t="s">
        <v>413</v>
      </c>
      <c r="R543" s="36" t="s">
        <v>473</v>
      </c>
      <c r="S543" s="36" t="s">
        <v>474</v>
      </c>
      <c r="T543" s="36" t="s">
        <v>432</v>
      </c>
      <c r="U543" s="36" t="s">
        <v>475</v>
      </c>
      <c r="V543" s="40">
        <v>45870</v>
      </c>
      <c r="W543" s="40">
        <v>45889</v>
      </c>
      <c r="X543" s="36">
        <v>0</v>
      </c>
      <c r="Y543" s="36"/>
      <c r="Z543" s="36">
        <v>1</v>
      </c>
      <c r="AA543" s="36">
        <v>32863550</v>
      </c>
      <c r="AB543" s="40">
        <v>46174</v>
      </c>
      <c r="AC543" s="36" t="s">
        <v>2196</v>
      </c>
      <c r="AD543" s="36" t="str">
        <f>VLOOKUP(D543,Oficial!A:C,3,0)</f>
        <v>Arrastre</v>
      </c>
    </row>
    <row r="544" spans="1:30" x14ac:dyDescent="0.25">
      <c r="A544" s="36" t="s">
        <v>27</v>
      </c>
      <c r="B544" s="36" t="s">
        <v>468</v>
      </c>
      <c r="C544" s="36" t="s">
        <v>374</v>
      </c>
      <c r="D544" s="36" t="s">
        <v>468</v>
      </c>
      <c r="E544" s="36" t="s">
        <v>30</v>
      </c>
      <c r="F544" s="36" t="s">
        <v>31</v>
      </c>
      <c r="G544" s="37" t="s">
        <v>469</v>
      </c>
      <c r="H544" s="36" t="s">
        <v>470</v>
      </c>
      <c r="I544" s="36" t="s">
        <v>471</v>
      </c>
      <c r="J544" s="36">
        <v>1</v>
      </c>
      <c r="K544" s="36" t="s">
        <v>472</v>
      </c>
      <c r="L544" s="36">
        <v>4</v>
      </c>
      <c r="M544" s="36">
        <v>4692</v>
      </c>
      <c r="N544" s="38">
        <v>84050</v>
      </c>
      <c r="O544" s="41">
        <v>32863550</v>
      </c>
      <c r="P544" s="36">
        <v>12</v>
      </c>
      <c r="Q544" s="36" t="s">
        <v>413</v>
      </c>
      <c r="R544" s="36" t="s">
        <v>473</v>
      </c>
      <c r="S544" s="36" t="s">
        <v>474</v>
      </c>
      <c r="T544" s="36" t="s">
        <v>432</v>
      </c>
      <c r="U544" s="36" t="s">
        <v>475</v>
      </c>
      <c r="V544" s="40">
        <v>45870</v>
      </c>
      <c r="W544" s="40">
        <v>45889</v>
      </c>
      <c r="X544" s="36">
        <v>0</v>
      </c>
      <c r="Y544" s="36"/>
      <c r="Z544" s="36">
        <v>1</v>
      </c>
      <c r="AA544" s="36">
        <v>32863550</v>
      </c>
      <c r="AB544" s="40">
        <v>46054</v>
      </c>
      <c r="AC544" s="36" t="s">
        <v>2196</v>
      </c>
      <c r="AD544" s="36" t="str">
        <f>VLOOKUP(D544,Oficial!A:C,3,0)</f>
        <v>Arrastre</v>
      </c>
    </row>
    <row r="545" spans="1:30" x14ac:dyDescent="0.25">
      <c r="A545" s="36" t="s">
        <v>27</v>
      </c>
      <c r="B545" s="36" t="s">
        <v>468</v>
      </c>
      <c r="C545" s="36" t="s">
        <v>374</v>
      </c>
      <c r="D545" s="36" t="s">
        <v>468</v>
      </c>
      <c r="E545" s="36" t="s">
        <v>30</v>
      </c>
      <c r="F545" s="36" t="s">
        <v>31</v>
      </c>
      <c r="G545" s="37" t="s">
        <v>469</v>
      </c>
      <c r="H545" s="36" t="s">
        <v>470</v>
      </c>
      <c r="I545" s="36" t="s">
        <v>471</v>
      </c>
      <c r="J545" s="36">
        <v>1</v>
      </c>
      <c r="K545" s="36" t="s">
        <v>472</v>
      </c>
      <c r="L545" s="36">
        <v>4</v>
      </c>
      <c r="M545" s="36">
        <v>4692</v>
      </c>
      <c r="N545" s="38">
        <v>84050</v>
      </c>
      <c r="O545" s="41">
        <v>32863550</v>
      </c>
      <c r="P545" s="36">
        <v>12</v>
      </c>
      <c r="Q545" s="36" t="s">
        <v>413</v>
      </c>
      <c r="R545" s="36" t="s">
        <v>473</v>
      </c>
      <c r="S545" s="36" t="s">
        <v>474</v>
      </c>
      <c r="T545" s="36" t="s">
        <v>432</v>
      </c>
      <c r="U545" s="36" t="s">
        <v>475</v>
      </c>
      <c r="V545" s="40">
        <v>45870</v>
      </c>
      <c r="W545" s="40">
        <v>45889</v>
      </c>
      <c r="X545" s="36">
        <v>0</v>
      </c>
      <c r="Y545" s="36"/>
      <c r="Z545" s="36">
        <v>1</v>
      </c>
      <c r="AA545" s="36">
        <v>32863550</v>
      </c>
      <c r="AB545" s="40">
        <v>46204</v>
      </c>
      <c r="AC545" s="36" t="s">
        <v>2196</v>
      </c>
      <c r="AD545" s="36" t="str">
        <f>VLOOKUP(D545,Oficial!A:C,3,0)</f>
        <v>Arrastre</v>
      </c>
    </row>
    <row r="546" spans="1:30" x14ac:dyDescent="0.25">
      <c r="A546" s="36" t="s">
        <v>27</v>
      </c>
      <c r="B546" s="36" t="s">
        <v>468</v>
      </c>
      <c r="C546" s="36" t="s">
        <v>374</v>
      </c>
      <c r="D546" s="36" t="s">
        <v>468</v>
      </c>
      <c r="E546" s="36" t="s">
        <v>30</v>
      </c>
      <c r="F546" s="36" t="s">
        <v>31</v>
      </c>
      <c r="G546" s="37" t="s">
        <v>469</v>
      </c>
      <c r="H546" s="36" t="s">
        <v>470</v>
      </c>
      <c r="I546" s="36" t="s">
        <v>471</v>
      </c>
      <c r="J546" s="36">
        <v>1</v>
      </c>
      <c r="K546" s="36" t="s">
        <v>472</v>
      </c>
      <c r="L546" s="36">
        <v>4</v>
      </c>
      <c r="M546" s="36">
        <v>4692</v>
      </c>
      <c r="N546" s="38">
        <v>84050</v>
      </c>
      <c r="O546" s="41">
        <v>32863550</v>
      </c>
      <c r="P546" s="36">
        <v>12</v>
      </c>
      <c r="Q546" s="36" t="s">
        <v>413</v>
      </c>
      <c r="R546" s="36" t="s">
        <v>473</v>
      </c>
      <c r="S546" s="36" t="s">
        <v>474</v>
      </c>
      <c r="T546" s="36" t="s">
        <v>432</v>
      </c>
      <c r="U546" s="36" t="s">
        <v>475</v>
      </c>
      <c r="V546" s="40">
        <v>45870</v>
      </c>
      <c r="W546" s="40">
        <v>45889</v>
      </c>
      <c r="X546" s="36">
        <v>0</v>
      </c>
      <c r="Y546" s="36"/>
      <c r="Z546" s="36">
        <v>1</v>
      </c>
      <c r="AA546" s="36">
        <v>32863550</v>
      </c>
      <c r="AB546" s="40">
        <v>46327</v>
      </c>
      <c r="AC546" s="36" t="s">
        <v>2196</v>
      </c>
      <c r="AD546" s="36" t="str">
        <f>VLOOKUP(D546,Oficial!A:C,3,0)</f>
        <v>Arrastre</v>
      </c>
    </row>
    <row r="547" spans="1:30" x14ac:dyDescent="0.25">
      <c r="A547" s="36" t="s">
        <v>27</v>
      </c>
      <c r="B547" s="36" t="s">
        <v>468</v>
      </c>
      <c r="C547" s="36" t="s">
        <v>374</v>
      </c>
      <c r="D547" s="36" t="s">
        <v>468</v>
      </c>
      <c r="E547" s="36" t="s">
        <v>30</v>
      </c>
      <c r="F547" s="36" t="s">
        <v>31</v>
      </c>
      <c r="G547" s="37" t="s">
        <v>469</v>
      </c>
      <c r="H547" s="36" t="s">
        <v>470</v>
      </c>
      <c r="I547" s="36" t="s">
        <v>471</v>
      </c>
      <c r="J547" s="36">
        <v>1</v>
      </c>
      <c r="K547" s="36" t="s">
        <v>472</v>
      </c>
      <c r="L547" s="36">
        <v>4</v>
      </c>
      <c r="M547" s="36">
        <v>4692</v>
      </c>
      <c r="N547" s="38">
        <v>84050</v>
      </c>
      <c r="O547" s="41">
        <v>32863550</v>
      </c>
      <c r="P547" s="36">
        <v>12</v>
      </c>
      <c r="Q547" s="36" t="s">
        <v>413</v>
      </c>
      <c r="R547" s="36" t="s">
        <v>473</v>
      </c>
      <c r="S547" s="36" t="s">
        <v>474</v>
      </c>
      <c r="T547" s="36" t="s">
        <v>432</v>
      </c>
      <c r="U547" s="36" t="s">
        <v>475</v>
      </c>
      <c r="V547" s="40">
        <v>45870</v>
      </c>
      <c r="W547" s="40">
        <v>45889</v>
      </c>
      <c r="X547" s="36">
        <v>0</v>
      </c>
      <c r="Y547" s="36"/>
      <c r="Z547" s="36">
        <v>1</v>
      </c>
      <c r="AA547" s="36">
        <v>32863550</v>
      </c>
      <c r="AB547" s="40">
        <v>46113</v>
      </c>
      <c r="AC547" s="36" t="s">
        <v>2196</v>
      </c>
      <c r="AD547" s="36" t="str">
        <f>VLOOKUP(D547,Oficial!A:C,3,0)</f>
        <v>Arrastre</v>
      </c>
    </row>
    <row r="548" spans="1:30" x14ac:dyDescent="0.25">
      <c r="A548" s="36" t="s">
        <v>27</v>
      </c>
      <c r="B548" s="36" t="s">
        <v>468</v>
      </c>
      <c r="C548" s="36" t="s">
        <v>374</v>
      </c>
      <c r="D548" s="36" t="s">
        <v>468</v>
      </c>
      <c r="E548" s="36" t="s">
        <v>30</v>
      </c>
      <c r="F548" s="36" t="s">
        <v>31</v>
      </c>
      <c r="G548" s="37" t="s">
        <v>469</v>
      </c>
      <c r="H548" s="36" t="s">
        <v>470</v>
      </c>
      <c r="I548" s="36" t="s">
        <v>471</v>
      </c>
      <c r="J548" s="36">
        <v>1</v>
      </c>
      <c r="K548" s="36" t="s">
        <v>472</v>
      </c>
      <c r="L548" s="36">
        <v>4</v>
      </c>
      <c r="M548" s="36">
        <v>4692</v>
      </c>
      <c r="N548" s="38">
        <v>84050</v>
      </c>
      <c r="O548" s="41">
        <v>32863550</v>
      </c>
      <c r="P548" s="36">
        <v>12</v>
      </c>
      <c r="Q548" s="36" t="s">
        <v>413</v>
      </c>
      <c r="R548" s="36" t="s">
        <v>473</v>
      </c>
      <c r="S548" s="36" t="s">
        <v>474</v>
      </c>
      <c r="T548" s="36" t="s">
        <v>432</v>
      </c>
      <c r="U548" s="36" t="s">
        <v>475</v>
      </c>
      <c r="V548" s="40">
        <v>45870</v>
      </c>
      <c r="W548" s="40">
        <v>45889</v>
      </c>
      <c r="X548" s="36">
        <v>0</v>
      </c>
      <c r="Y548" s="36"/>
      <c r="Z548" s="36">
        <v>1</v>
      </c>
      <c r="AA548" s="36">
        <v>32863550</v>
      </c>
      <c r="AB548" s="40">
        <v>46357</v>
      </c>
      <c r="AC548" s="36" t="s">
        <v>2196</v>
      </c>
      <c r="AD548" s="36" t="str">
        <f>VLOOKUP(D548,Oficial!A:C,3,0)</f>
        <v>Arrastre</v>
      </c>
    </row>
    <row r="549" spans="1:30" x14ac:dyDescent="0.25">
      <c r="A549" s="36" t="s">
        <v>27</v>
      </c>
      <c r="B549" s="36" t="s">
        <v>468</v>
      </c>
      <c r="C549" s="36" t="s">
        <v>374</v>
      </c>
      <c r="D549" s="36" t="s">
        <v>468</v>
      </c>
      <c r="E549" s="36" t="s">
        <v>30</v>
      </c>
      <c r="F549" s="36" t="s">
        <v>31</v>
      </c>
      <c r="G549" s="37" t="s">
        <v>469</v>
      </c>
      <c r="H549" s="36" t="s">
        <v>470</v>
      </c>
      <c r="I549" s="36" t="s">
        <v>471</v>
      </c>
      <c r="J549" s="36">
        <v>1</v>
      </c>
      <c r="K549" s="36" t="s">
        <v>472</v>
      </c>
      <c r="L549" s="36">
        <v>4</v>
      </c>
      <c r="M549" s="36">
        <v>4692</v>
      </c>
      <c r="N549" s="38">
        <v>84050</v>
      </c>
      <c r="O549" s="41">
        <v>32863550</v>
      </c>
      <c r="P549" s="36">
        <v>12</v>
      </c>
      <c r="Q549" s="36" t="s">
        <v>413</v>
      </c>
      <c r="R549" s="36" t="s">
        <v>473</v>
      </c>
      <c r="S549" s="36" t="s">
        <v>474</v>
      </c>
      <c r="T549" s="36" t="s">
        <v>432</v>
      </c>
      <c r="U549" s="36" t="s">
        <v>475</v>
      </c>
      <c r="V549" s="40">
        <v>45870</v>
      </c>
      <c r="W549" s="40">
        <v>45889</v>
      </c>
      <c r="X549" s="36">
        <v>0</v>
      </c>
      <c r="Y549" s="36"/>
      <c r="Z549" s="36">
        <v>1</v>
      </c>
      <c r="AA549" s="36">
        <v>32863550</v>
      </c>
      <c r="AB549" s="40">
        <v>46143</v>
      </c>
      <c r="AC549" s="36" t="s">
        <v>2196</v>
      </c>
      <c r="AD549" s="36" t="str">
        <f>VLOOKUP(D549,Oficial!A:C,3,0)</f>
        <v>Arrastre</v>
      </c>
    </row>
    <row r="550" spans="1:30" x14ac:dyDescent="0.25">
      <c r="A550" s="36" t="s">
        <v>27</v>
      </c>
      <c r="B550" s="36" t="s">
        <v>468</v>
      </c>
      <c r="C550" s="36" t="s">
        <v>374</v>
      </c>
      <c r="D550" s="36" t="s">
        <v>468</v>
      </c>
      <c r="E550" s="36" t="s">
        <v>30</v>
      </c>
      <c r="F550" s="36" t="s">
        <v>31</v>
      </c>
      <c r="G550" s="37" t="s">
        <v>469</v>
      </c>
      <c r="H550" s="36" t="s">
        <v>470</v>
      </c>
      <c r="I550" s="36" t="s">
        <v>471</v>
      </c>
      <c r="J550" s="36">
        <v>1</v>
      </c>
      <c r="K550" s="36" t="s">
        <v>472</v>
      </c>
      <c r="L550" s="36">
        <v>4</v>
      </c>
      <c r="M550" s="36">
        <v>4692</v>
      </c>
      <c r="N550" s="38">
        <v>84050</v>
      </c>
      <c r="O550" s="41">
        <v>32863550</v>
      </c>
      <c r="P550" s="36">
        <v>12</v>
      </c>
      <c r="Q550" s="36" t="s">
        <v>413</v>
      </c>
      <c r="R550" s="36" t="s">
        <v>473</v>
      </c>
      <c r="S550" s="36" t="s">
        <v>474</v>
      </c>
      <c r="T550" s="36" t="s">
        <v>432</v>
      </c>
      <c r="U550" s="36" t="s">
        <v>475</v>
      </c>
      <c r="V550" s="40">
        <v>45870</v>
      </c>
      <c r="W550" s="40">
        <v>45889</v>
      </c>
      <c r="X550" s="36">
        <v>0</v>
      </c>
      <c r="Y550" s="36"/>
      <c r="Z550" s="36">
        <v>1</v>
      </c>
      <c r="AA550" s="36">
        <v>32863550</v>
      </c>
      <c r="AB550" s="40">
        <v>46082</v>
      </c>
      <c r="AC550" s="36" t="s">
        <v>2196</v>
      </c>
      <c r="AD550" s="36" t="str">
        <f>VLOOKUP(D550,Oficial!A:C,3,0)</f>
        <v>Arrastre</v>
      </c>
    </row>
    <row r="551" spans="1:30" x14ac:dyDescent="0.25">
      <c r="A551" s="36" t="s">
        <v>27</v>
      </c>
      <c r="B551" s="36" t="s">
        <v>468</v>
      </c>
      <c r="C551" s="36" t="s">
        <v>374</v>
      </c>
      <c r="D551" s="36" t="s">
        <v>468</v>
      </c>
      <c r="E551" s="36" t="s">
        <v>30</v>
      </c>
      <c r="F551" s="36" t="s">
        <v>31</v>
      </c>
      <c r="G551" s="37" t="s">
        <v>469</v>
      </c>
      <c r="H551" s="36" t="s">
        <v>470</v>
      </c>
      <c r="I551" s="36" t="s">
        <v>471</v>
      </c>
      <c r="J551" s="36">
        <v>1</v>
      </c>
      <c r="K551" s="36" t="s">
        <v>472</v>
      </c>
      <c r="L551" s="36">
        <v>4</v>
      </c>
      <c r="M551" s="36">
        <v>4692</v>
      </c>
      <c r="N551" s="38">
        <v>84050</v>
      </c>
      <c r="O551" s="41">
        <v>32863550</v>
      </c>
      <c r="P551" s="36">
        <v>12</v>
      </c>
      <c r="Q551" s="36" t="s">
        <v>413</v>
      </c>
      <c r="R551" s="36" t="s">
        <v>473</v>
      </c>
      <c r="S551" s="36" t="s">
        <v>474</v>
      </c>
      <c r="T551" s="36" t="s">
        <v>432</v>
      </c>
      <c r="U551" s="36" t="s">
        <v>475</v>
      </c>
      <c r="V551" s="40">
        <v>45870</v>
      </c>
      <c r="W551" s="40">
        <v>45889</v>
      </c>
      <c r="X551" s="36">
        <v>0</v>
      </c>
      <c r="Y551" s="36"/>
      <c r="Z551" s="36">
        <v>1</v>
      </c>
      <c r="AA551" s="36">
        <v>32863550</v>
      </c>
      <c r="AB551" s="40">
        <v>46266</v>
      </c>
      <c r="AC551" s="36" t="s">
        <v>2196</v>
      </c>
      <c r="AD551" s="36" t="str">
        <f>VLOOKUP(D551,Oficial!A:C,3,0)</f>
        <v>Arrastre</v>
      </c>
    </row>
    <row r="552" spans="1:30" x14ac:dyDescent="0.25">
      <c r="A552" s="36" t="s">
        <v>27</v>
      </c>
      <c r="B552" s="36" t="s">
        <v>468</v>
      </c>
      <c r="C552" s="36" t="s">
        <v>374</v>
      </c>
      <c r="D552" s="36" t="s">
        <v>468</v>
      </c>
      <c r="E552" s="36" t="s">
        <v>30</v>
      </c>
      <c r="F552" s="36" t="s">
        <v>31</v>
      </c>
      <c r="G552" s="37" t="s">
        <v>469</v>
      </c>
      <c r="H552" s="36" t="s">
        <v>470</v>
      </c>
      <c r="I552" s="36" t="s">
        <v>471</v>
      </c>
      <c r="J552" s="36">
        <v>1</v>
      </c>
      <c r="K552" s="36" t="s">
        <v>472</v>
      </c>
      <c r="L552" s="36">
        <v>4</v>
      </c>
      <c r="M552" s="36">
        <v>4692</v>
      </c>
      <c r="N552" s="38">
        <v>84050</v>
      </c>
      <c r="O552" s="41">
        <v>32863550</v>
      </c>
      <c r="P552" s="36">
        <v>12</v>
      </c>
      <c r="Q552" s="36" t="s">
        <v>413</v>
      </c>
      <c r="R552" s="36" t="s">
        <v>473</v>
      </c>
      <c r="S552" s="36" t="s">
        <v>474</v>
      </c>
      <c r="T552" s="36" t="s">
        <v>432</v>
      </c>
      <c r="U552" s="36" t="s">
        <v>475</v>
      </c>
      <c r="V552" s="40">
        <v>45870</v>
      </c>
      <c r="W552" s="40">
        <v>45889</v>
      </c>
      <c r="X552" s="36">
        <v>0</v>
      </c>
      <c r="Y552" s="36"/>
      <c r="Z552" s="36">
        <v>1</v>
      </c>
      <c r="AA552" s="36">
        <v>32863550</v>
      </c>
      <c r="AB552" s="40">
        <v>46296</v>
      </c>
      <c r="AC552" s="36" t="s">
        <v>2196</v>
      </c>
      <c r="AD552" s="36" t="str">
        <f>VLOOKUP(D552,Oficial!A:C,3,0)</f>
        <v>Arrastre</v>
      </c>
    </row>
    <row r="553" spans="1:30" x14ac:dyDescent="0.25">
      <c r="A553" s="36" t="s">
        <v>27</v>
      </c>
      <c r="B553" s="36" t="s">
        <v>476</v>
      </c>
      <c r="C553" s="36" t="s">
        <v>28</v>
      </c>
      <c r="D553" s="36" t="s">
        <v>476</v>
      </c>
      <c r="E553" s="36" t="s">
        <v>30</v>
      </c>
      <c r="F553" s="36" t="s">
        <v>31</v>
      </c>
      <c r="G553" s="37" t="s">
        <v>69</v>
      </c>
      <c r="H553" s="36" t="s">
        <v>477</v>
      </c>
      <c r="I553" s="36" t="s">
        <v>478</v>
      </c>
      <c r="J553" s="36">
        <v>2</v>
      </c>
      <c r="K553" s="36" t="s">
        <v>479</v>
      </c>
      <c r="L553" s="36">
        <v>4</v>
      </c>
      <c r="M553" s="36">
        <v>7</v>
      </c>
      <c r="N553" s="38">
        <v>12957500</v>
      </c>
      <c r="O553" s="44">
        <v>7558541</v>
      </c>
      <c r="P553" s="36">
        <v>12</v>
      </c>
      <c r="Q553" s="36" t="s">
        <v>413</v>
      </c>
      <c r="R553" s="36" t="s">
        <v>227</v>
      </c>
      <c r="S553" s="36" t="s">
        <v>480</v>
      </c>
      <c r="T553" s="36" t="s">
        <v>467</v>
      </c>
      <c r="U553" s="36" t="s">
        <v>230</v>
      </c>
      <c r="V553" s="40">
        <v>46023</v>
      </c>
      <c r="W553" s="40">
        <v>45889</v>
      </c>
      <c r="X553" s="36">
        <v>0</v>
      </c>
      <c r="Y553" s="36"/>
      <c r="Z553" s="36">
        <v>1</v>
      </c>
      <c r="AA553" s="36">
        <v>7558541</v>
      </c>
      <c r="AB553" s="40">
        <v>46054</v>
      </c>
      <c r="AC553" s="36" t="s">
        <v>2196</v>
      </c>
      <c r="AD553" s="36" t="str">
        <f>VLOOKUP(D553,Oficial!A:C,3,0)</f>
        <v>Arrastre</v>
      </c>
    </row>
    <row r="554" spans="1:30" x14ac:dyDescent="0.25">
      <c r="A554" s="36" t="s">
        <v>27</v>
      </c>
      <c r="B554" s="36" t="s">
        <v>476</v>
      </c>
      <c r="C554" s="36" t="s">
        <v>28</v>
      </c>
      <c r="D554" s="36" t="s">
        <v>476</v>
      </c>
      <c r="E554" s="36" t="s">
        <v>30</v>
      </c>
      <c r="F554" s="36" t="s">
        <v>31</v>
      </c>
      <c r="G554" s="37" t="s">
        <v>69</v>
      </c>
      <c r="H554" s="36" t="s">
        <v>477</v>
      </c>
      <c r="I554" s="36" t="s">
        <v>478</v>
      </c>
      <c r="J554" s="36">
        <v>2</v>
      </c>
      <c r="K554" s="36" t="s">
        <v>479</v>
      </c>
      <c r="L554" s="36">
        <v>4</v>
      </c>
      <c r="M554" s="36">
        <v>7</v>
      </c>
      <c r="N554" s="38">
        <v>12957500</v>
      </c>
      <c r="O554" s="44">
        <v>7558541</v>
      </c>
      <c r="P554" s="36">
        <v>12</v>
      </c>
      <c r="Q554" s="36" t="s">
        <v>413</v>
      </c>
      <c r="R554" s="36" t="s">
        <v>227</v>
      </c>
      <c r="S554" s="36" t="s">
        <v>480</v>
      </c>
      <c r="T554" s="36" t="s">
        <v>467</v>
      </c>
      <c r="U554" s="36" t="s">
        <v>230</v>
      </c>
      <c r="V554" s="40">
        <v>46023</v>
      </c>
      <c r="W554" s="40">
        <v>45889</v>
      </c>
      <c r="X554" s="36">
        <v>0</v>
      </c>
      <c r="Y554" s="36"/>
      <c r="Z554" s="36">
        <v>1</v>
      </c>
      <c r="AA554" s="36">
        <v>7558541</v>
      </c>
      <c r="AB554" s="40">
        <v>46174</v>
      </c>
      <c r="AC554" s="36" t="s">
        <v>2196</v>
      </c>
      <c r="AD554" s="36" t="str">
        <f>VLOOKUP(D554,Oficial!A:C,3,0)</f>
        <v>Arrastre</v>
      </c>
    </row>
    <row r="555" spans="1:30" x14ac:dyDescent="0.25">
      <c r="A555" s="36" t="s">
        <v>27</v>
      </c>
      <c r="B555" s="36" t="s">
        <v>476</v>
      </c>
      <c r="C555" s="36" t="s">
        <v>28</v>
      </c>
      <c r="D555" s="36" t="s">
        <v>476</v>
      </c>
      <c r="E555" s="36" t="s">
        <v>30</v>
      </c>
      <c r="F555" s="36" t="s">
        <v>31</v>
      </c>
      <c r="G555" s="37" t="s">
        <v>69</v>
      </c>
      <c r="H555" s="36" t="s">
        <v>477</v>
      </c>
      <c r="I555" s="36" t="s">
        <v>478</v>
      </c>
      <c r="J555" s="36">
        <v>2</v>
      </c>
      <c r="K555" s="36" t="s">
        <v>479</v>
      </c>
      <c r="L555" s="36">
        <v>4</v>
      </c>
      <c r="M555" s="36">
        <v>7</v>
      </c>
      <c r="N555" s="38">
        <v>12957500</v>
      </c>
      <c r="O555" s="44">
        <v>7558541</v>
      </c>
      <c r="P555" s="36">
        <v>12</v>
      </c>
      <c r="Q555" s="36" t="s">
        <v>413</v>
      </c>
      <c r="R555" s="36" t="s">
        <v>227</v>
      </c>
      <c r="S555" s="36" t="s">
        <v>480</v>
      </c>
      <c r="T555" s="36" t="s">
        <v>467</v>
      </c>
      <c r="U555" s="36" t="s">
        <v>230</v>
      </c>
      <c r="V555" s="40">
        <v>46023</v>
      </c>
      <c r="W555" s="40">
        <v>45889</v>
      </c>
      <c r="X555" s="36">
        <v>0</v>
      </c>
      <c r="Y555" s="36"/>
      <c r="Z555" s="36">
        <v>1</v>
      </c>
      <c r="AA555" s="36">
        <v>7558541</v>
      </c>
      <c r="AB555" s="40">
        <v>46204</v>
      </c>
      <c r="AC555" s="36" t="s">
        <v>2196</v>
      </c>
      <c r="AD555" s="36" t="str">
        <f>VLOOKUP(D555,Oficial!A:C,3,0)</f>
        <v>Arrastre</v>
      </c>
    </row>
    <row r="556" spans="1:30" x14ac:dyDescent="0.25">
      <c r="A556" s="36" t="s">
        <v>27</v>
      </c>
      <c r="B556" s="36" t="s">
        <v>476</v>
      </c>
      <c r="C556" s="36" t="s">
        <v>28</v>
      </c>
      <c r="D556" s="36" t="s">
        <v>476</v>
      </c>
      <c r="E556" s="36" t="s">
        <v>30</v>
      </c>
      <c r="F556" s="36" t="s">
        <v>31</v>
      </c>
      <c r="G556" s="37" t="s">
        <v>69</v>
      </c>
      <c r="H556" s="36" t="s">
        <v>477</v>
      </c>
      <c r="I556" s="36" t="s">
        <v>478</v>
      </c>
      <c r="J556" s="36">
        <v>2</v>
      </c>
      <c r="K556" s="36" t="s">
        <v>479</v>
      </c>
      <c r="L556" s="36">
        <v>4</v>
      </c>
      <c r="M556" s="36">
        <v>7</v>
      </c>
      <c r="N556" s="38">
        <v>12957500</v>
      </c>
      <c r="O556" s="44">
        <v>7558541</v>
      </c>
      <c r="P556" s="36">
        <v>12</v>
      </c>
      <c r="Q556" s="36" t="s">
        <v>413</v>
      </c>
      <c r="R556" s="36" t="s">
        <v>227</v>
      </c>
      <c r="S556" s="36" t="s">
        <v>480</v>
      </c>
      <c r="T556" s="36" t="s">
        <v>467</v>
      </c>
      <c r="U556" s="36" t="s">
        <v>230</v>
      </c>
      <c r="V556" s="40">
        <v>46023</v>
      </c>
      <c r="W556" s="40">
        <v>45889</v>
      </c>
      <c r="X556" s="36">
        <v>0</v>
      </c>
      <c r="Y556" s="36"/>
      <c r="Z556" s="36">
        <v>1</v>
      </c>
      <c r="AA556" s="36">
        <v>7558541</v>
      </c>
      <c r="AB556" s="40">
        <v>46143</v>
      </c>
      <c r="AC556" s="36" t="s">
        <v>2196</v>
      </c>
      <c r="AD556" s="36" t="str">
        <f>VLOOKUP(D556,Oficial!A:C,3,0)</f>
        <v>Arrastre</v>
      </c>
    </row>
    <row r="557" spans="1:30" x14ac:dyDescent="0.25">
      <c r="A557" s="36" t="s">
        <v>27</v>
      </c>
      <c r="B557" s="36" t="s">
        <v>476</v>
      </c>
      <c r="C557" s="36" t="s">
        <v>28</v>
      </c>
      <c r="D557" s="36" t="s">
        <v>476</v>
      </c>
      <c r="E557" s="36" t="s">
        <v>30</v>
      </c>
      <c r="F557" s="36" t="s">
        <v>31</v>
      </c>
      <c r="G557" s="37" t="s">
        <v>69</v>
      </c>
      <c r="H557" s="36" t="s">
        <v>477</v>
      </c>
      <c r="I557" s="36" t="s">
        <v>478</v>
      </c>
      <c r="J557" s="36">
        <v>2</v>
      </c>
      <c r="K557" s="36" t="s">
        <v>479</v>
      </c>
      <c r="L557" s="36">
        <v>4</v>
      </c>
      <c r="M557" s="36">
        <v>7</v>
      </c>
      <c r="N557" s="38">
        <v>12957500</v>
      </c>
      <c r="O557" s="44">
        <v>7558541</v>
      </c>
      <c r="P557" s="36">
        <v>12</v>
      </c>
      <c r="Q557" s="36" t="s">
        <v>413</v>
      </c>
      <c r="R557" s="36" t="s">
        <v>227</v>
      </c>
      <c r="S557" s="36" t="s">
        <v>480</v>
      </c>
      <c r="T557" s="36" t="s">
        <v>467</v>
      </c>
      <c r="U557" s="36" t="s">
        <v>230</v>
      </c>
      <c r="V557" s="40">
        <v>46023</v>
      </c>
      <c r="W557" s="40">
        <v>45889</v>
      </c>
      <c r="X557" s="36">
        <v>0</v>
      </c>
      <c r="Y557" s="36"/>
      <c r="Z557" s="36">
        <v>1</v>
      </c>
      <c r="AA557" s="36">
        <v>7558541</v>
      </c>
      <c r="AB557" s="40">
        <v>46113</v>
      </c>
      <c r="AC557" s="36" t="s">
        <v>2196</v>
      </c>
      <c r="AD557" s="36" t="str">
        <f>VLOOKUP(D557,Oficial!A:C,3,0)</f>
        <v>Arrastre</v>
      </c>
    </row>
    <row r="558" spans="1:30" x14ac:dyDescent="0.25">
      <c r="A558" s="36" t="s">
        <v>27</v>
      </c>
      <c r="B558" s="36" t="s">
        <v>476</v>
      </c>
      <c r="C558" s="36" t="s">
        <v>28</v>
      </c>
      <c r="D558" s="36" t="s">
        <v>476</v>
      </c>
      <c r="E558" s="36" t="s">
        <v>30</v>
      </c>
      <c r="F558" s="36" t="s">
        <v>31</v>
      </c>
      <c r="G558" s="37" t="s">
        <v>69</v>
      </c>
      <c r="H558" s="36" t="s">
        <v>477</v>
      </c>
      <c r="I558" s="36" t="s">
        <v>478</v>
      </c>
      <c r="J558" s="36">
        <v>2</v>
      </c>
      <c r="K558" s="36" t="s">
        <v>479</v>
      </c>
      <c r="L558" s="36">
        <v>4</v>
      </c>
      <c r="M558" s="36">
        <v>7</v>
      </c>
      <c r="N558" s="38">
        <v>12957500</v>
      </c>
      <c r="O558" s="44">
        <v>7558541</v>
      </c>
      <c r="P558" s="36">
        <v>12</v>
      </c>
      <c r="Q558" s="36" t="s">
        <v>413</v>
      </c>
      <c r="R558" s="36" t="s">
        <v>227</v>
      </c>
      <c r="S558" s="36" t="s">
        <v>480</v>
      </c>
      <c r="T558" s="36" t="s">
        <v>467</v>
      </c>
      <c r="U558" s="36" t="s">
        <v>230</v>
      </c>
      <c r="V558" s="40">
        <v>46023</v>
      </c>
      <c r="W558" s="40">
        <v>45889</v>
      </c>
      <c r="X558" s="36">
        <v>0</v>
      </c>
      <c r="Y558" s="36"/>
      <c r="Z558" s="36">
        <v>1</v>
      </c>
      <c r="AA558" s="36">
        <v>7558541</v>
      </c>
      <c r="AB558" s="40">
        <v>46023</v>
      </c>
      <c r="AC558" s="36" t="s">
        <v>2196</v>
      </c>
      <c r="AD558" s="36" t="str">
        <f>VLOOKUP(D558,Oficial!A:C,3,0)</f>
        <v>Arrastre</v>
      </c>
    </row>
    <row r="559" spans="1:30" x14ac:dyDescent="0.25">
      <c r="A559" s="36" t="s">
        <v>27</v>
      </c>
      <c r="B559" s="36" t="s">
        <v>476</v>
      </c>
      <c r="C559" s="36" t="s">
        <v>28</v>
      </c>
      <c r="D559" s="36" t="s">
        <v>476</v>
      </c>
      <c r="E559" s="36" t="s">
        <v>30</v>
      </c>
      <c r="F559" s="36" t="s">
        <v>31</v>
      </c>
      <c r="G559" s="37" t="s">
        <v>69</v>
      </c>
      <c r="H559" s="36" t="s">
        <v>477</v>
      </c>
      <c r="I559" s="36" t="s">
        <v>478</v>
      </c>
      <c r="J559" s="36">
        <v>2</v>
      </c>
      <c r="K559" s="36" t="s">
        <v>479</v>
      </c>
      <c r="L559" s="36">
        <v>4</v>
      </c>
      <c r="M559" s="36">
        <v>7</v>
      </c>
      <c r="N559" s="38">
        <v>12957500</v>
      </c>
      <c r="O559" s="44">
        <v>7558541</v>
      </c>
      <c r="P559" s="36">
        <v>12</v>
      </c>
      <c r="Q559" s="36" t="s">
        <v>413</v>
      </c>
      <c r="R559" s="36" t="s">
        <v>227</v>
      </c>
      <c r="S559" s="36" t="s">
        <v>480</v>
      </c>
      <c r="T559" s="36" t="s">
        <v>467</v>
      </c>
      <c r="U559" s="36" t="s">
        <v>230</v>
      </c>
      <c r="V559" s="40">
        <v>46023</v>
      </c>
      <c r="W559" s="40">
        <v>45889</v>
      </c>
      <c r="X559" s="36">
        <v>0</v>
      </c>
      <c r="Y559" s="36"/>
      <c r="Z559" s="36">
        <v>1</v>
      </c>
      <c r="AA559" s="36">
        <v>7558541</v>
      </c>
      <c r="AB559" s="40">
        <v>46082</v>
      </c>
      <c r="AC559" s="36" t="s">
        <v>2196</v>
      </c>
      <c r="AD559" s="36" t="str">
        <f>VLOOKUP(D559,Oficial!A:C,3,0)</f>
        <v>Arrastre</v>
      </c>
    </row>
    <row r="560" spans="1:30" x14ac:dyDescent="0.25">
      <c r="A560" s="36" t="s">
        <v>27</v>
      </c>
      <c r="B560" s="36" t="s">
        <v>476</v>
      </c>
      <c r="C560" s="36" t="s">
        <v>28</v>
      </c>
      <c r="D560" s="36" t="s">
        <v>476</v>
      </c>
      <c r="E560" s="36" t="s">
        <v>30</v>
      </c>
      <c r="F560" s="36" t="s">
        <v>31</v>
      </c>
      <c r="G560" s="37" t="s">
        <v>69</v>
      </c>
      <c r="H560" s="36" t="s">
        <v>477</v>
      </c>
      <c r="I560" s="36" t="s">
        <v>478</v>
      </c>
      <c r="J560" s="36">
        <v>2</v>
      </c>
      <c r="K560" s="36" t="s">
        <v>479</v>
      </c>
      <c r="L560" s="36">
        <v>4</v>
      </c>
      <c r="M560" s="36">
        <v>7</v>
      </c>
      <c r="N560" s="38">
        <v>12957500</v>
      </c>
      <c r="O560" s="44">
        <v>7558541</v>
      </c>
      <c r="P560" s="36">
        <v>12</v>
      </c>
      <c r="Q560" s="36" t="s">
        <v>413</v>
      </c>
      <c r="R560" s="36" t="s">
        <v>227</v>
      </c>
      <c r="S560" s="36" t="s">
        <v>480</v>
      </c>
      <c r="T560" s="36" t="s">
        <v>467</v>
      </c>
      <c r="U560" s="36" t="s">
        <v>230</v>
      </c>
      <c r="V560" s="40">
        <v>46023</v>
      </c>
      <c r="W560" s="40">
        <v>45889</v>
      </c>
      <c r="X560" s="36">
        <v>0</v>
      </c>
      <c r="Y560" s="36"/>
      <c r="Z560" s="36">
        <v>1</v>
      </c>
      <c r="AA560" s="36">
        <v>7558541</v>
      </c>
      <c r="AB560" s="40">
        <v>46327</v>
      </c>
      <c r="AC560" s="36" t="s">
        <v>2196</v>
      </c>
      <c r="AD560" s="36" t="str">
        <f>VLOOKUP(D560,Oficial!A:C,3,0)</f>
        <v>Arrastre</v>
      </c>
    </row>
    <row r="561" spans="1:30" x14ac:dyDescent="0.25">
      <c r="A561" s="36" t="s">
        <v>27</v>
      </c>
      <c r="B561" s="36" t="s">
        <v>476</v>
      </c>
      <c r="C561" s="36" t="s">
        <v>28</v>
      </c>
      <c r="D561" s="36" t="s">
        <v>476</v>
      </c>
      <c r="E561" s="36" t="s">
        <v>30</v>
      </c>
      <c r="F561" s="36" t="s">
        <v>31</v>
      </c>
      <c r="G561" s="37" t="s">
        <v>69</v>
      </c>
      <c r="H561" s="36" t="s">
        <v>477</v>
      </c>
      <c r="I561" s="36" t="s">
        <v>478</v>
      </c>
      <c r="J561" s="36">
        <v>2</v>
      </c>
      <c r="K561" s="36" t="s">
        <v>479</v>
      </c>
      <c r="L561" s="36">
        <v>4</v>
      </c>
      <c r="M561" s="36">
        <v>7</v>
      </c>
      <c r="N561" s="38">
        <v>12957500</v>
      </c>
      <c r="O561" s="44">
        <v>7558541</v>
      </c>
      <c r="P561" s="36">
        <v>12</v>
      </c>
      <c r="Q561" s="36" t="s">
        <v>413</v>
      </c>
      <c r="R561" s="36" t="s">
        <v>227</v>
      </c>
      <c r="S561" s="36" t="s">
        <v>480</v>
      </c>
      <c r="T561" s="36" t="s">
        <v>467</v>
      </c>
      <c r="U561" s="36" t="s">
        <v>230</v>
      </c>
      <c r="V561" s="40">
        <v>46023</v>
      </c>
      <c r="W561" s="40">
        <v>45889</v>
      </c>
      <c r="X561" s="36">
        <v>0</v>
      </c>
      <c r="Y561" s="36"/>
      <c r="Z561" s="36">
        <v>1</v>
      </c>
      <c r="AA561" s="36">
        <v>7558541</v>
      </c>
      <c r="AB561" s="40">
        <v>46296</v>
      </c>
      <c r="AC561" s="36" t="s">
        <v>2196</v>
      </c>
      <c r="AD561" s="36" t="str">
        <f>VLOOKUP(D561,Oficial!A:C,3,0)</f>
        <v>Arrastre</v>
      </c>
    </row>
    <row r="562" spans="1:30" x14ac:dyDescent="0.25">
      <c r="A562" s="36" t="s">
        <v>27</v>
      </c>
      <c r="B562" s="36" t="s">
        <v>476</v>
      </c>
      <c r="C562" s="36" t="s">
        <v>28</v>
      </c>
      <c r="D562" s="36" t="s">
        <v>476</v>
      </c>
      <c r="E562" s="36" t="s">
        <v>30</v>
      </c>
      <c r="F562" s="36" t="s">
        <v>31</v>
      </c>
      <c r="G562" s="37" t="s">
        <v>69</v>
      </c>
      <c r="H562" s="36" t="s">
        <v>477</v>
      </c>
      <c r="I562" s="36" t="s">
        <v>478</v>
      </c>
      <c r="J562" s="36">
        <v>2</v>
      </c>
      <c r="K562" s="36" t="s">
        <v>479</v>
      </c>
      <c r="L562" s="36">
        <v>4</v>
      </c>
      <c r="M562" s="36">
        <v>7</v>
      </c>
      <c r="N562" s="38">
        <v>12957500</v>
      </c>
      <c r="O562" s="44">
        <v>7558541</v>
      </c>
      <c r="P562" s="36">
        <v>12</v>
      </c>
      <c r="Q562" s="36" t="s">
        <v>413</v>
      </c>
      <c r="R562" s="36" t="s">
        <v>227</v>
      </c>
      <c r="S562" s="36" t="s">
        <v>480</v>
      </c>
      <c r="T562" s="36" t="s">
        <v>467</v>
      </c>
      <c r="U562" s="36" t="s">
        <v>230</v>
      </c>
      <c r="V562" s="40">
        <v>46023</v>
      </c>
      <c r="W562" s="40">
        <v>45889</v>
      </c>
      <c r="X562" s="36">
        <v>0</v>
      </c>
      <c r="Y562" s="36"/>
      <c r="Z562" s="36">
        <v>1</v>
      </c>
      <c r="AA562" s="36">
        <v>7558541</v>
      </c>
      <c r="AB562" s="40">
        <v>46235</v>
      </c>
      <c r="AC562" s="36" t="s">
        <v>2196</v>
      </c>
      <c r="AD562" s="36" t="str">
        <f>VLOOKUP(D562,Oficial!A:C,3,0)</f>
        <v>Arrastre</v>
      </c>
    </row>
    <row r="563" spans="1:30" x14ac:dyDescent="0.25">
      <c r="A563" s="36" t="s">
        <v>27</v>
      </c>
      <c r="B563" s="36" t="s">
        <v>476</v>
      </c>
      <c r="C563" s="36" t="s">
        <v>28</v>
      </c>
      <c r="D563" s="36" t="s">
        <v>476</v>
      </c>
      <c r="E563" s="36" t="s">
        <v>30</v>
      </c>
      <c r="F563" s="36" t="s">
        <v>31</v>
      </c>
      <c r="G563" s="37" t="s">
        <v>69</v>
      </c>
      <c r="H563" s="36" t="s">
        <v>477</v>
      </c>
      <c r="I563" s="36" t="s">
        <v>478</v>
      </c>
      <c r="J563" s="36">
        <v>2</v>
      </c>
      <c r="K563" s="36" t="s">
        <v>479</v>
      </c>
      <c r="L563" s="36">
        <v>4</v>
      </c>
      <c r="M563" s="36">
        <v>7</v>
      </c>
      <c r="N563" s="38">
        <v>12957500</v>
      </c>
      <c r="O563" s="44">
        <v>7558541</v>
      </c>
      <c r="P563" s="36">
        <v>12</v>
      </c>
      <c r="Q563" s="36" t="s">
        <v>413</v>
      </c>
      <c r="R563" s="36" t="s">
        <v>227</v>
      </c>
      <c r="S563" s="36" t="s">
        <v>480</v>
      </c>
      <c r="T563" s="36" t="s">
        <v>467</v>
      </c>
      <c r="U563" s="36" t="s">
        <v>230</v>
      </c>
      <c r="V563" s="40">
        <v>46023</v>
      </c>
      <c r="W563" s="40">
        <v>45889</v>
      </c>
      <c r="X563" s="36">
        <v>0</v>
      </c>
      <c r="Y563" s="36"/>
      <c r="Z563" s="36">
        <v>1</v>
      </c>
      <c r="AA563" s="36">
        <v>7558541</v>
      </c>
      <c r="AB563" s="40">
        <v>46266</v>
      </c>
      <c r="AC563" s="36" t="s">
        <v>2196</v>
      </c>
      <c r="AD563" s="36" t="str">
        <f>VLOOKUP(D563,Oficial!A:C,3,0)</f>
        <v>Arrastre</v>
      </c>
    </row>
    <row r="564" spans="1:30" x14ac:dyDescent="0.25">
      <c r="A564" s="36" t="s">
        <v>27</v>
      </c>
      <c r="B564" s="36" t="s">
        <v>476</v>
      </c>
      <c r="C564" s="36" t="s">
        <v>28</v>
      </c>
      <c r="D564" s="36" t="s">
        <v>476</v>
      </c>
      <c r="E564" s="36" t="s">
        <v>30</v>
      </c>
      <c r="F564" s="36" t="s">
        <v>31</v>
      </c>
      <c r="G564" s="37" t="s">
        <v>69</v>
      </c>
      <c r="H564" s="36" t="s">
        <v>477</v>
      </c>
      <c r="I564" s="36" t="s">
        <v>478</v>
      </c>
      <c r="J564" s="36">
        <v>2</v>
      </c>
      <c r="K564" s="36" t="s">
        <v>479</v>
      </c>
      <c r="L564" s="36">
        <v>4</v>
      </c>
      <c r="M564" s="36">
        <v>7</v>
      </c>
      <c r="N564" s="38">
        <v>12957500</v>
      </c>
      <c r="O564" s="44">
        <v>7558549</v>
      </c>
      <c r="P564" s="36">
        <v>12</v>
      </c>
      <c r="Q564" s="36" t="s">
        <v>413</v>
      </c>
      <c r="R564" s="36" t="s">
        <v>227</v>
      </c>
      <c r="S564" s="36" t="s">
        <v>480</v>
      </c>
      <c r="T564" s="36" t="s">
        <v>467</v>
      </c>
      <c r="U564" s="36" t="s">
        <v>230</v>
      </c>
      <c r="V564" s="40">
        <v>46023</v>
      </c>
      <c r="W564" s="40">
        <v>45889</v>
      </c>
      <c r="X564" s="36">
        <v>0</v>
      </c>
      <c r="Y564" s="36"/>
      <c r="Z564" s="36">
        <v>1</v>
      </c>
      <c r="AA564" s="36">
        <v>7558549</v>
      </c>
      <c r="AB564" s="40">
        <v>46357</v>
      </c>
      <c r="AC564" s="36" t="s">
        <v>2196</v>
      </c>
      <c r="AD564" s="36" t="str">
        <f>VLOOKUP(D564,Oficial!A:C,3,0)</f>
        <v>Arrastre</v>
      </c>
    </row>
    <row r="565" spans="1:30" x14ac:dyDescent="0.25">
      <c r="A565" s="36" t="s">
        <v>27</v>
      </c>
      <c r="B565" s="36" t="s">
        <v>476</v>
      </c>
      <c r="C565" s="36" t="s">
        <v>28</v>
      </c>
      <c r="D565" s="36" t="s">
        <v>476</v>
      </c>
      <c r="E565" s="36" t="s">
        <v>30</v>
      </c>
      <c r="F565" s="36" t="s">
        <v>31</v>
      </c>
      <c r="G565" s="37" t="s">
        <v>69</v>
      </c>
      <c r="H565" s="36" t="s">
        <v>477</v>
      </c>
      <c r="I565" s="36" t="s">
        <v>478</v>
      </c>
      <c r="J565" s="36">
        <v>2</v>
      </c>
      <c r="K565" s="36" t="s">
        <v>481</v>
      </c>
      <c r="L565" s="36">
        <v>4</v>
      </c>
      <c r="M565" s="36">
        <v>1</v>
      </c>
      <c r="N565" s="38">
        <v>23924290</v>
      </c>
      <c r="O565" s="44">
        <v>1993690</v>
      </c>
      <c r="P565" s="36">
        <v>12</v>
      </c>
      <c r="Q565" s="36" t="s">
        <v>413</v>
      </c>
      <c r="R565" s="36" t="s">
        <v>227</v>
      </c>
      <c r="S565" s="36" t="s">
        <v>480</v>
      </c>
      <c r="T565" s="36" t="s">
        <v>467</v>
      </c>
      <c r="U565" s="36" t="s">
        <v>230</v>
      </c>
      <c r="V565" s="40">
        <v>45870</v>
      </c>
      <c r="W565" s="40">
        <v>45889</v>
      </c>
      <c r="X565" s="36">
        <v>0</v>
      </c>
      <c r="Y565" s="36"/>
      <c r="Z565" s="36">
        <v>1</v>
      </c>
      <c r="AA565" s="36">
        <v>1993690</v>
      </c>
      <c r="AB565" s="40">
        <v>46023</v>
      </c>
      <c r="AC565" s="36" t="s">
        <v>2196</v>
      </c>
      <c r="AD565" s="36" t="str">
        <f>VLOOKUP(D565,Oficial!A:C,3,0)</f>
        <v>Arrastre</v>
      </c>
    </row>
    <row r="566" spans="1:30" x14ac:dyDescent="0.25">
      <c r="A566" s="36" t="s">
        <v>27</v>
      </c>
      <c r="B566" s="36" t="s">
        <v>476</v>
      </c>
      <c r="C566" s="36" t="s">
        <v>28</v>
      </c>
      <c r="D566" s="36" t="s">
        <v>476</v>
      </c>
      <c r="E566" s="36" t="s">
        <v>30</v>
      </c>
      <c r="F566" s="36" t="s">
        <v>31</v>
      </c>
      <c r="G566" s="37" t="s">
        <v>69</v>
      </c>
      <c r="H566" s="36" t="s">
        <v>477</v>
      </c>
      <c r="I566" s="36" t="s">
        <v>478</v>
      </c>
      <c r="J566" s="36">
        <v>2</v>
      </c>
      <c r="K566" s="36" t="s">
        <v>481</v>
      </c>
      <c r="L566" s="36">
        <v>4</v>
      </c>
      <c r="M566" s="36">
        <v>1</v>
      </c>
      <c r="N566" s="38">
        <v>23924290</v>
      </c>
      <c r="O566" s="44">
        <v>1993690</v>
      </c>
      <c r="P566" s="36">
        <v>12</v>
      </c>
      <c r="Q566" s="36" t="s">
        <v>413</v>
      </c>
      <c r="R566" s="36" t="s">
        <v>227</v>
      </c>
      <c r="S566" s="36" t="s">
        <v>480</v>
      </c>
      <c r="T566" s="36" t="s">
        <v>467</v>
      </c>
      <c r="U566" s="36" t="s">
        <v>230</v>
      </c>
      <c r="V566" s="40">
        <v>45870</v>
      </c>
      <c r="W566" s="40">
        <v>45889</v>
      </c>
      <c r="X566" s="36">
        <v>0</v>
      </c>
      <c r="Y566" s="36"/>
      <c r="Z566" s="36">
        <v>1</v>
      </c>
      <c r="AA566" s="36">
        <v>1993690</v>
      </c>
      <c r="AB566" s="40">
        <v>46054</v>
      </c>
      <c r="AC566" s="36" t="s">
        <v>2196</v>
      </c>
      <c r="AD566" s="36" t="str">
        <f>VLOOKUP(D566,Oficial!A:C,3,0)</f>
        <v>Arrastre</v>
      </c>
    </row>
    <row r="567" spans="1:30" x14ac:dyDescent="0.25">
      <c r="A567" s="36" t="s">
        <v>27</v>
      </c>
      <c r="B567" s="36" t="s">
        <v>476</v>
      </c>
      <c r="C567" s="36" t="s">
        <v>28</v>
      </c>
      <c r="D567" s="36" t="s">
        <v>476</v>
      </c>
      <c r="E567" s="36" t="s">
        <v>30</v>
      </c>
      <c r="F567" s="36" t="s">
        <v>31</v>
      </c>
      <c r="G567" s="37" t="s">
        <v>69</v>
      </c>
      <c r="H567" s="36" t="s">
        <v>477</v>
      </c>
      <c r="I567" s="36" t="s">
        <v>478</v>
      </c>
      <c r="J567" s="36">
        <v>2</v>
      </c>
      <c r="K567" s="36" t="s">
        <v>481</v>
      </c>
      <c r="L567" s="36">
        <v>4</v>
      </c>
      <c r="M567" s="36">
        <v>1</v>
      </c>
      <c r="N567" s="38">
        <v>23924290</v>
      </c>
      <c r="O567" s="44">
        <v>1993690</v>
      </c>
      <c r="P567" s="36">
        <v>12</v>
      </c>
      <c r="Q567" s="36" t="s">
        <v>413</v>
      </c>
      <c r="R567" s="36" t="s">
        <v>227</v>
      </c>
      <c r="S567" s="36" t="s">
        <v>480</v>
      </c>
      <c r="T567" s="36" t="s">
        <v>467</v>
      </c>
      <c r="U567" s="36" t="s">
        <v>230</v>
      </c>
      <c r="V567" s="40">
        <v>45870</v>
      </c>
      <c r="W567" s="40">
        <v>45889</v>
      </c>
      <c r="X567" s="36">
        <v>0</v>
      </c>
      <c r="Y567" s="36"/>
      <c r="Z567" s="36">
        <v>1</v>
      </c>
      <c r="AA567" s="36">
        <v>1993690</v>
      </c>
      <c r="AB567" s="40">
        <v>46082</v>
      </c>
      <c r="AC567" s="36" t="s">
        <v>2196</v>
      </c>
      <c r="AD567" s="36" t="str">
        <f>VLOOKUP(D567,Oficial!A:C,3,0)</f>
        <v>Arrastre</v>
      </c>
    </row>
    <row r="568" spans="1:30" x14ac:dyDescent="0.25">
      <c r="A568" s="36" t="s">
        <v>27</v>
      </c>
      <c r="B568" s="36" t="s">
        <v>476</v>
      </c>
      <c r="C568" s="36" t="s">
        <v>28</v>
      </c>
      <c r="D568" s="36" t="s">
        <v>476</v>
      </c>
      <c r="E568" s="36" t="s">
        <v>30</v>
      </c>
      <c r="F568" s="36" t="s">
        <v>31</v>
      </c>
      <c r="G568" s="37" t="s">
        <v>69</v>
      </c>
      <c r="H568" s="36" t="s">
        <v>477</v>
      </c>
      <c r="I568" s="36" t="s">
        <v>478</v>
      </c>
      <c r="J568" s="36">
        <v>2</v>
      </c>
      <c r="K568" s="36" t="s">
        <v>481</v>
      </c>
      <c r="L568" s="36">
        <v>4</v>
      </c>
      <c r="M568" s="36">
        <v>1</v>
      </c>
      <c r="N568" s="38">
        <v>23924290</v>
      </c>
      <c r="O568" s="44">
        <v>1993690</v>
      </c>
      <c r="P568" s="36">
        <v>12</v>
      </c>
      <c r="Q568" s="36" t="s">
        <v>413</v>
      </c>
      <c r="R568" s="36" t="s">
        <v>227</v>
      </c>
      <c r="S568" s="36" t="s">
        <v>480</v>
      </c>
      <c r="T568" s="36" t="s">
        <v>467</v>
      </c>
      <c r="U568" s="36" t="s">
        <v>230</v>
      </c>
      <c r="V568" s="40">
        <v>45870</v>
      </c>
      <c r="W568" s="40">
        <v>45889</v>
      </c>
      <c r="X568" s="36">
        <v>0</v>
      </c>
      <c r="Y568" s="36"/>
      <c r="Z568" s="36">
        <v>1</v>
      </c>
      <c r="AA568" s="36">
        <v>1993690</v>
      </c>
      <c r="AB568" s="40">
        <v>46143</v>
      </c>
      <c r="AC568" s="36" t="s">
        <v>2196</v>
      </c>
      <c r="AD568" s="36" t="str">
        <f>VLOOKUP(D568,Oficial!A:C,3,0)</f>
        <v>Arrastre</v>
      </c>
    </row>
    <row r="569" spans="1:30" x14ac:dyDescent="0.25">
      <c r="A569" s="36" t="s">
        <v>27</v>
      </c>
      <c r="B569" s="36" t="s">
        <v>476</v>
      </c>
      <c r="C569" s="36" t="s">
        <v>28</v>
      </c>
      <c r="D569" s="36" t="s">
        <v>476</v>
      </c>
      <c r="E569" s="36" t="s">
        <v>30</v>
      </c>
      <c r="F569" s="36" t="s">
        <v>31</v>
      </c>
      <c r="G569" s="37" t="s">
        <v>69</v>
      </c>
      <c r="H569" s="36" t="s">
        <v>477</v>
      </c>
      <c r="I569" s="36" t="s">
        <v>478</v>
      </c>
      <c r="J569" s="36">
        <v>2</v>
      </c>
      <c r="K569" s="36" t="s">
        <v>481</v>
      </c>
      <c r="L569" s="36">
        <v>4</v>
      </c>
      <c r="M569" s="36">
        <v>1</v>
      </c>
      <c r="N569" s="38">
        <v>23924290</v>
      </c>
      <c r="O569" s="44">
        <v>1993700</v>
      </c>
      <c r="P569" s="36">
        <v>12</v>
      </c>
      <c r="Q569" s="36" t="s">
        <v>413</v>
      </c>
      <c r="R569" s="36" t="s">
        <v>227</v>
      </c>
      <c r="S569" s="36" t="s">
        <v>480</v>
      </c>
      <c r="T569" s="36" t="s">
        <v>467</v>
      </c>
      <c r="U569" s="36" t="s">
        <v>230</v>
      </c>
      <c r="V569" s="40">
        <v>45870</v>
      </c>
      <c r="W569" s="40">
        <v>45889</v>
      </c>
      <c r="X569" s="36">
        <v>0</v>
      </c>
      <c r="Y569" s="36"/>
      <c r="Z569" s="36">
        <v>1</v>
      </c>
      <c r="AA569" s="36">
        <v>1993700</v>
      </c>
      <c r="AB569" s="40">
        <v>46357</v>
      </c>
      <c r="AC569" s="36" t="s">
        <v>2196</v>
      </c>
      <c r="AD569" s="36" t="str">
        <f>VLOOKUP(D569,Oficial!A:C,3,0)</f>
        <v>Arrastre</v>
      </c>
    </row>
    <row r="570" spans="1:30" x14ac:dyDescent="0.25">
      <c r="A570" s="36" t="s">
        <v>27</v>
      </c>
      <c r="B570" s="36" t="s">
        <v>476</v>
      </c>
      <c r="C570" s="36" t="s">
        <v>28</v>
      </c>
      <c r="D570" s="36" t="s">
        <v>476</v>
      </c>
      <c r="E570" s="36" t="s">
        <v>30</v>
      </c>
      <c r="F570" s="36" t="s">
        <v>31</v>
      </c>
      <c r="G570" s="37" t="s">
        <v>69</v>
      </c>
      <c r="H570" s="36" t="s">
        <v>477</v>
      </c>
      <c r="I570" s="36" t="s">
        <v>478</v>
      </c>
      <c r="J570" s="36">
        <v>2</v>
      </c>
      <c r="K570" s="36" t="s">
        <v>481</v>
      </c>
      <c r="L570" s="36">
        <v>4</v>
      </c>
      <c r="M570" s="36">
        <v>1</v>
      </c>
      <c r="N570" s="38">
        <v>23924290</v>
      </c>
      <c r="O570" s="44">
        <v>1993690</v>
      </c>
      <c r="P570" s="36">
        <v>12</v>
      </c>
      <c r="Q570" s="36" t="s">
        <v>413</v>
      </c>
      <c r="R570" s="36" t="s">
        <v>227</v>
      </c>
      <c r="S570" s="36" t="s">
        <v>480</v>
      </c>
      <c r="T570" s="36" t="s">
        <v>467</v>
      </c>
      <c r="U570" s="36" t="s">
        <v>230</v>
      </c>
      <c r="V570" s="40">
        <v>45870</v>
      </c>
      <c r="W570" s="40">
        <v>45889</v>
      </c>
      <c r="X570" s="36">
        <v>0</v>
      </c>
      <c r="Y570" s="36"/>
      <c r="Z570" s="36">
        <v>1</v>
      </c>
      <c r="AA570" s="36">
        <v>1993690</v>
      </c>
      <c r="AB570" s="40">
        <v>46204</v>
      </c>
      <c r="AC570" s="36" t="s">
        <v>2196</v>
      </c>
      <c r="AD570" s="36" t="str">
        <f>VLOOKUP(D570,Oficial!A:C,3,0)</f>
        <v>Arrastre</v>
      </c>
    </row>
    <row r="571" spans="1:30" x14ac:dyDescent="0.25">
      <c r="A571" s="36" t="s">
        <v>27</v>
      </c>
      <c r="B571" s="36" t="s">
        <v>476</v>
      </c>
      <c r="C571" s="36" t="s">
        <v>28</v>
      </c>
      <c r="D571" s="36" t="s">
        <v>476</v>
      </c>
      <c r="E571" s="36" t="s">
        <v>30</v>
      </c>
      <c r="F571" s="36" t="s">
        <v>31</v>
      </c>
      <c r="G571" s="37" t="s">
        <v>69</v>
      </c>
      <c r="H571" s="36" t="s">
        <v>477</v>
      </c>
      <c r="I571" s="36" t="s">
        <v>478</v>
      </c>
      <c r="J571" s="36">
        <v>2</v>
      </c>
      <c r="K571" s="36" t="s">
        <v>481</v>
      </c>
      <c r="L571" s="36">
        <v>4</v>
      </c>
      <c r="M571" s="36">
        <v>1</v>
      </c>
      <c r="N571" s="38">
        <v>23924290</v>
      </c>
      <c r="O571" s="44">
        <v>1993690</v>
      </c>
      <c r="P571" s="36">
        <v>12</v>
      </c>
      <c r="Q571" s="36" t="s">
        <v>413</v>
      </c>
      <c r="R571" s="36" t="s">
        <v>227</v>
      </c>
      <c r="S571" s="36" t="s">
        <v>480</v>
      </c>
      <c r="T571" s="36" t="s">
        <v>467</v>
      </c>
      <c r="U571" s="36" t="s">
        <v>230</v>
      </c>
      <c r="V571" s="40">
        <v>45870</v>
      </c>
      <c r="W571" s="40">
        <v>45889</v>
      </c>
      <c r="X571" s="36">
        <v>0</v>
      </c>
      <c r="Y571" s="36"/>
      <c r="Z571" s="36">
        <v>1</v>
      </c>
      <c r="AA571" s="36">
        <v>1993690</v>
      </c>
      <c r="AB571" s="40">
        <v>46174</v>
      </c>
      <c r="AC571" s="36" t="s">
        <v>2196</v>
      </c>
      <c r="AD571" s="36" t="str">
        <f>VLOOKUP(D571,Oficial!A:C,3,0)</f>
        <v>Arrastre</v>
      </c>
    </row>
    <row r="572" spans="1:30" x14ac:dyDescent="0.25">
      <c r="A572" s="36" t="s">
        <v>27</v>
      </c>
      <c r="B572" s="36" t="s">
        <v>476</v>
      </c>
      <c r="C572" s="36" t="s">
        <v>28</v>
      </c>
      <c r="D572" s="36" t="s">
        <v>476</v>
      </c>
      <c r="E572" s="36" t="s">
        <v>30</v>
      </c>
      <c r="F572" s="36" t="s">
        <v>31</v>
      </c>
      <c r="G572" s="37" t="s">
        <v>69</v>
      </c>
      <c r="H572" s="36" t="s">
        <v>477</v>
      </c>
      <c r="I572" s="36" t="s">
        <v>478</v>
      </c>
      <c r="J572" s="36">
        <v>2</v>
      </c>
      <c r="K572" s="36" t="s">
        <v>481</v>
      </c>
      <c r="L572" s="36">
        <v>4</v>
      </c>
      <c r="M572" s="36">
        <v>1</v>
      </c>
      <c r="N572" s="38">
        <v>23924290</v>
      </c>
      <c r="O572" s="44">
        <v>1993690</v>
      </c>
      <c r="P572" s="36">
        <v>12</v>
      </c>
      <c r="Q572" s="36" t="s">
        <v>413</v>
      </c>
      <c r="R572" s="36" t="s">
        <v>227</v>
      </c>
      <c r="S572" s="36" t="s">
        <v>480</v>
      </c>
      <c r="T572" s="36" t="s">
        <v>467</v>
      </c>
      <c r="U572" s="36" t="s">
        <v>230</v>
      </c>
      <c r="V572" s="40">
        <v>45870</v>
      </c>
      <c r="W572" s="40">
        <v>45889</v>
      </c>
      <c r="X572" s="36">
        <v>0</v>
      </c>
      <c r="Y572" s="36"/>
      <c r="Z572" s="36">
        <v>1</v>
      </c>
      <c r="AA572" s="36">
        <v>1993690</v>
      </c>
      <c r="AB572" s="40">
        <v>46235</v>
      </c>
      <c r="AC572" s="36" t="s">
        <v>2196</v>
      </c>
      <c r="AD572" s="36" t="str">
        <f>VLOOKUP(D572,Oficial!A:C,3,0)</f>
        <v>Arrastre</v>
      </c>
    </row>
    <row r="573" spans="1:30" x14ac:dyDescent="0.25">
      <c r="A573" s="36" t="s">
        <v>27</v>
      </c>
      <c r="B573" s="36" t="s">
        <v>476</v>
      </c>
      <c r="C573" s="36" t="s">
        <v>28</v>
      </c>
      <c r="D573" s="36" t="s">
        <v>476</v>
      </c>
      <c r="E573" s="36" t="s">
        <v>30</v>
      </c>
      <c r="F573" s="36" t="s">
        <v>31</v>
      </c>
      <c r="G573" s="37" t="s">
        <v>69</v>
      </c>
      <c r="H573" s="36" t="s">
        <v>477</v>
      </c>
      <c r="I573" s="36" t="s">
        <v>478</v>
      </c>
      <c r="J573" s="36">
        <v>2</v>
      </c>
      <c r="K573" s="36" t="s">
        <v>481</v>
      </c>
      <c r="L573" s="36">
        <v>4</v>
      </c>
      <c r="M573" s="36">
        <v>1</v>
      </c>
      <c r="N573" s="38">
        <v>23924290</v>
      </c>
      <c r="O573" s="44">
        <v>1993690</v>
      </c>
      <c r="P573" s="36">
        <v>12</v>
      </c>
      <c r="Q573" s="36" t="s">
        <v>413</v>
      </c>
      <c r="R573" s="36" t="s">
        <v>227</v>
      </c>
      <c r="S573" s="36" t="s">
        <v>480</v>
      </c>
      <c r="T573" s="36" t="s">
        <v>467</v>
      </c>
      <c r="U573" s="36" t="s">
        <v>230</v>
      </c>
      <c r="V573" s="40">
        <v>45870</v>
      </c>
      <c r="W573" s="40">
        <v>45889</v>
      </c>
      <c r="X573" s="36">
        <v>0</v>
      </c>
      <c r="Y573" s="36"/>
      <c r="Z573" s="36">
        <v>1</v>
      </c>
      <c r="AA573" s="36">
        <v>1993690</v>
      </c>
      <c r="AB573" s="40">
        <v>46327</v>
      </c>
      <c r="AC573" s="36" t="s">
        <v>2196</v>
      </c>
      <c r="AD573" s="36" t="str">
        <f>VLOOKUP(D573,Oficial!A:C,3,0)</f>
        <v>Arrastre</v>
      </c>
    </row>
    <row r="574" spans="1:30" x14ac:dyDescent="0.25">
      <c r="A574" s="36" t="s">
        <v>27</v>
      </c>
      <c r="B574" s="36" t="s">
        <v>476</v>
      </c>
      <c r="C574" s="36" t="s">
        <v>28</v>
      </c>
      <c r="D574" s="36" t="s">
        <v>476</v>
      </c>
      <c r="E574" s="36" t="s">
        <v>30</v>
      </c>
      <c r="F574" s="36" t="s">
        <v>31</v>
      </c>
      <c r="G574" s="37" t="s">
        <v>69</v>
      </c>
      <c r="H574" s="36" t="s">
        <v>477</v>
      </c>
      <c r="I574" s="36" t="s">
        <v>478</v>
      </c>
      <c r="J574" s="36">
        <v>2</v>
      </c>
      <c r="K574" s="36" t="s">
        <v>481</v>
      </c>
      <c r="L574" s="36">
        <v>4</v>
      </c>
      <c r="M574" s="36">
        <v>1</v>
      </c>
      <c r="N574" s="38">
        <v>23924290</v>
      </c>
      <c r="O574" s="44">
        <v>1993690</v>
      </c>
      <c r="P574" s="36">
        <v>12</v>
      </c>
      <c r="Q574" s="36" t="s">
        <v>413</v>
      </c>
      <c r="R574" s="36" t="s">
        <v>227</v>
      </c>
      <c r="S574" s="36" t="s">
        <v>480</v>
      </c>
      <c r="T574" s="36" t="s">
        <v>467</v>
      </c>
      <c r="U574" s="36" t="s">
        <v>230</v>
      </c>
      <c r="V574" s="40">
        <v>45870</v>
      </c>
      <c r="W574" s="40">
        <v>45889</v>
      </c>
      <c r="X574" s="36">
        <v>0</v>
      </c>
      <c r="Y574" s="36"/>
      <c r="Z574" s="36">
        <v>1</v>
      </c>
      <c r="AA574" s="36">
        <v>1993690</v>
      </c>
      <c r="AB574" s="40">
        <v>46266</v>
      </c>
      <c r="AC574" s="36" t="s">
        <v>2196</v>
      </c>
      <c r="AD574" s="36" t="str">
        <f>VLOOKUP(D574,Oficial!A:C,3,0)</f>
        <v>Arrastre</v>
      </c>
    </row>
    <row r="575" spans="1:30" x14ac:dyDescent="0.25">
      <c r="A575" s="36" t="s">
        <v>27</v>
      </c>
      <c r="B575" s="36" t="s">
        <v>476</v>
      </c>
      <c r="C575" s="36" t="s">
        <v>28</v>
      </c>
      <c r="D575" s="36" t="s">
        <v>476</v>
      </c>
      <c r="E575" s="36" t="s">
        <v>30</v>
      </c>
      <c r="F575" s="36" t="s">
        <v>31</v>
      </c>
      <c r="G575" s="37" t="s">
        <v>69</v>
      </c>
      <c r="H575" s="36" t="s">
        <v>477</v>
      </c>
      <c r="I575" s="36" t="s">
        <v>478</v>
      </c>
      <c r="J575" s="36">
        <v>2</v>
      </c>
      <c r="K575" s="36" t="s">
        <v>481</v>
      </c>
      <c r="L575" s="36">
        <v>4</v>
      </c>
      <c r="M575" s="36">
        <v>1</v>
      </c>
      <c r="N575" s="38">
        <v>23924290</v>
      </c>
      <c r="O575" s="44">
        <v>1993690</v>
      </c>
      <c r="P575" s="36">
        <v>12</v>
      </c>
      <c r="Q575" s="36" t="s">
        <v>413</v>
      </c>
      <c r="R575" s="36" t="s">
        <v>227</v>
      </c>
      <c r="S575" s="36" t="s">
        <v>480</v>
      </c>
      <c r="T575" s="36" t="s">
        <v>467</v>
      </c>
      <c r="U575" s="36" t="s">
        <v>230</v>
      </c>
      <c r="V575" s="40">
        <v>45870</v>
      </c>
      <c r="W575" s="40">
        <v>45889</v>
      </c>
      <c r="X575" s="36">
        <v>0</v>
      </c>
      <c r="Y575" s="36"/>
      <c r="Z575" s="36">
        <v>1</v>
      </c>
      <c r="AA575" s="36">
        <v>1993690</v>
      </c>
      <c r="AB575" s="40">
        <v>46113</v>
      </c>
      <c r="AC575" s="36" t="s">
        <v>2196</v>
      </c>
      <c r="AD575" s="36" t="str">
        <f>VLOOKUP(D575,Oficial!A:C,3,0)</f>
        <v>Arrastre</v>
      </c>
    </row>
    <row r="576" spans="1:30" x14ac:dyDescent="0.25">
      <c r="A576" s="36" t="s">
        <v>27</v>
      </c>
      <c r="B576" s="36" t="s">
        <v>476</v>
      </c>
      <c r="C576" s="36" t="s">
        <v>28</v>
      </c>
      <c r="D576" s="36" t="s">
        <v>476</v>
      </c>
      <c r="E576" s="36" t="s">
        <v>30</v>
      </c>
      <c r="F576" s="36" t="s">
        <v>31</v>
      </c>
      <c r="G576" s="37" t="s">
        <v>69</v>
      </c>
      <c r="H576" s="36" t="s">
        <v>477</v>
      </c>
      <c r="I576" s="36" t="s">
        <v>478</v>
      </c>
      <c r="J576" s="36">
        <v>2</v>
      </c>
      <c r="K576" s="36" t="s">
        <v>481</v>
      </c>
      <c r="L576" s="36">
        <v>4</v>
      </c>
      <c r="M576" s="36">
        <v>1</v>
      </c>
      <c r="N576" s="38">
        <v>23924290</v>
      </c>
      <c r="O576" s="44">
        <v>1993690</v>
      </c>
      <c r="P576" s="36">
        <v>12</v>
      </c>
      <c r="Q576" s="36" t="s">
        <v>413</v>
      </c>
      <c r="R576" s="36" t="s">
        <v>227</v>
      </c>
      <c r="S576" s="36" t="s">
        <v>480</v>
      </c>
      <c r="T576" s="36" t="s">
        <v>467</v>
      </c>
      <c r="U576" s="36" t="s">
        <v>230</v>
      </c>
      <c r="V576" s="40">
        <v>45870</v>
      </c>
      <c r="W576" s="40">
        <v>45889</v>
      </c>
      <c r="X576" s="36">
        <v>0</v>
      </c>
      <c r="Y576" s="36"/>
      <c r="Z576" s="36">
        <v>1</v>
      </c>
      <c r="AA576" s="36">
        <v>1993690</v>
      </c>
      <c r="AB576" s="40">
        <v>46296</v>
      </c>
      <c r="AC576" s="36" t="s">
        <v>2196</v>
      </c>
      <c r="AD576" s="36" t="str">
        <f>VLOOKUP(D576,Oficial!A:C,3,0)</f>
        <v>Arrastre</v>
      </c>
    </row>
    <row r="577" spans="1:30" x14ac:dyDescent="0.25">
      <c r="A577" s="36" t="s">
        <v>27</v>
      </c>
      <c r="B577" s="36" t="s">
        <v>482</v>
      </c>
      <c r="C577" s="36" t="s">
        <v>28</v>
      </c>
      <c r="D577" s="36" t="s">
        <v>482</v>
      </c>
      <c r="E577" s="36" t="s">
        <v>30</v>
      </c>
      <c r="F577" s="36" t="s">
        <v>31</v>
      </c>
      <c r="G577" s="37" t="s">
        <v>483</v>
      </c>
      <c r="H577" s="36" t="s">
        <v>484</v>
      </c>
      <c r="I577" s="36" t="s">
        <v>485</v>
      </c>
      <c r="J577" s="36">
        <v>1</v>
      </c>
      <c r="K577" s="36" t="s">
        <v>486</v>
      </c>
      <c r="L577" s="36">
        <v>4</v>
      </c>
      <c r="M577" s="36">
        <v>100</v>
      </c>
      <c r="N577" s="38">
        <v>288300</v>
      </c>
      <c r="O577" s="42">
        <v>2402500</v>
      </c>
      <c r="P577" s="36">
        <v>12</v>
      </c>
      <c r="Q577" s="36" t="s">
        <v>308</v>
      </c>
      <c r="R577" s="36" t="s">
        <v>487</v>
      </c>
      <c r="S577" s="36" t="s">
        <v>488</v>
      </c>
      <c r="T577" s="36" t="s">
        <v>489</v>
      </c>
      <c r="U577" s="36" t="s">
        <v>490</v>
      </c>
      <c r="V577" s="40">
        <v>45870</v>
      </c>
      <c r="W577" s="40">
        <v>45889</v>
      </c>
      <c r="X577" s="36">
        <v>2</v>
      </c>
      <c r="Y577" s="36" t="s">
        <v>491</v>
      </c>
      <c r="Z577" s="36">
        <v>1</v>
      </c>
      <c r="AA577" s="36">
        <v>2402500</v>
      </c>
      <c r="AB577" s="40">
        <v>46204</v>
      </c>
      <c r="AC577" s="36" t="s">
        <v>2196</v>
      </c>
      <c r="AD577" s="36" t="str">
        <f>VLOOKUP(D577,Oficial!A:C,3,0)</f>
        <v>Arrastre</v>
      </c>
    </row>
    <row r="578" spans="1:30" x14ac:dyDescent="0.25">
      <c r="A578" s="36" t="s">
        <v>27</v>
      </c>
      <c r="B578" s="36" t="s">
        <v>482</v>
      </c>
      <c r="C578" s="36" t="s">
        <v>28</v>
      </c>
      <c r="D578" s="36" t="s">
        <v>482</v>
      </c>
      <c r="E578" s="36" t="s">
        <v>30</v>
      </c>
      <c r="F578" s="36" t="s">
        <v>31</v>
      </c>
      <c r="G578" s="37" t="s">
        <v>483</v>
      </c>
      <c r="H578" s="36" t="s">
        <v>484</v>
      </c>
      <c r="I578" s="36" t="s">
        <v>485</v>
      </c>
      <c r="J578" s="36">
        <v>1</v>
      </c>
      <c r="K578" s="36" t="s">
        <v>486</v>
      </c>
      <c r="L578" s="36">
        <v>4</v>
      </c>
      <c r="M578" s="36">
        <v>100</v>
      </c>
      <c r="N578" s="38">
        <v>288300</v>
      </c>
      <c r="O578" s="42">
        <v>2402500</v>
      </c>
      <c r="P578" s="36">
        <v>12</v>
      </c>
      <c r="Q578" s="36" t="s">
        <v>308</v>
      </c>
      <c r="R578" s="36" t="s">
        <v>487</v>
      </c>
      <c r="S578" s="36" t="s">
        <v>488</v>
      </c>
      <c r="T578" s="36" t="s">
        <v>489</v>
      </c>
      <c r="U578" s="36" t="s">
        <v>490</v>
      </c>
      <c r="V578" s="40">
        <v>45870</v>
      </c>
      <c r="W578" s="40">
        <v>45889</v>
      </c>
      <c r="X578" s="36">
        <v>2</v>
      </c>
      <c r="Y578" s="36" t="s">
        <v>491</v>
      </c>
      <c r="Z578" s="36">
        <v>1</v>
      </c>
      <c r="AA578" s="36">
        <v>2402500</v>
      </c>
      <c r="AB578" s="40">
        <v>46143</v>
      </c>
      <c r="AC578" s="36" t="s">
        <v>2196</v>
      </c>
      <c r="AD578" s="36" t="str">
        <f>VLOOKUP(D578,Oficial!A:C,3,0)</f>
        <v>Arrastre</v>
      </c>
    </row>
    <row r="579" spans="1:30" x14ac:dyDescent="0.25">
      <c r="A579" s="36" t="s">
        <v>27</v>
      </c>
      <c r="B579" s="36" t="s">
        <v>482</v>
      </c>
      <c r="C579" s="36" t="s">
        <v>28</v>
      </c>
      <c r="D579" s="36" t="s">
        <v>482</v>
      </c>
      <c r="E579" s="36" t="s">
        <v>30</v>
      </c>
      <c r="F579" s="36" t="s">
        <v>31</v>
      </c>
      <c r="G579" s="37" t="s">
        <v>483</v>
      </c>
      <c r="H579" s="36" t="s">
        <v>484</v>
      </c>
      <c r="I579" s="36" t="s">
        <v>485</v>
      </c>
      <c r="J579" s="36">
        <v>1</v>
      </c>
      <c r="K579" s="36" t="s">
        <v>486</v>
      </c>
      <c r="L579" s="36">
        <v>4</v>
      </c>
      <c r="M579" s="36">
        <v>100</v>
      </c>
      <c r="N579" s="38">
        <v>288300</v>
      </c>
      <c r="O579" s="42">
        <v>2402500</v>
      </c>
      <c r="P579" s="36">
        <v>12</v>
      </c>
      <c r="Q579" s="36" t="s">
        <v>308</v>
      </c>
      <c r="R579" s="36" t="s">
        <v>487</v>
      </c>
      <c r="S579" s="36" t="s">
        <v>488</v>
      </c>
      <c r="T579" s="36" t="s">
        <v>489</v>
      </c>
      <c r="U579" s="36" t="s">
        <v>490</v>
      </c>
      <c r="V579" s="40">
        <v>45870</v>
      </c>
      <c r="W579" s="40">
        <v>45889</v>
      </c>
      <c r="X579" s="36">
        <v>2</v>
      </c>
      <c r="Y579" s="36" t="s">
        <v>492</v>
      </c>
      <c r="Z579" s="36">
        <v>1</v>
      </c>
      <c r="AA579" s="36">
        <v>2402500</v>
      </c>
      <c r="AB579" s="40">
        <v>46174</v>
      </c>
      <c r="AC579" s="36" t="s">
        <v>2196</v>
      </c>
      <c r="AD579" s="36" t="str">
        <f>VLOOKUP(D579,Oficial!A:C,3,0)</f>
        <v>Arrastre</v>
      </c>
    </row>
    <row r="580" spans="1:30" x14ac:dyDescent="0.25">
      <c r="A580" s="36" t="s">
        <v>27</v>
      </c>
      <c r="B580" s="36" t="s">
        <v>482</v>
      </c>
      <c r="C580" s="36" t="s">
        <v>28</v>
      </c>
      <c r="D580" s="36" t="s">
        <v>482</v>
      </c>
      <c r="E580" s="36" t="s">
        <v>30</v>
      </c>
      <c r="F580" s="36" t="s">
        <v>31</v>
      </c>
      <c r="G580" s="37" t="s">
        <v>483</v>
      </c>
      <c r="H580" s="36" t="s">
        <v>484</v>
      </c>
      <c r="I580" s="36" t="s">
        <v>485</v>
      </c>
      <c r="J580" s="36">
        <v>1</v>
      </c>
      <c r="K580" s="36" t="s">
        <v>486</v>
      </c>
      <c r="L580" s="36">
        <v>4</v>
      </c>
      <c r="M580" s="36">
        <v>100</v>
      </c>
      <c r="N580" s="38">
        <v>288300</v>
      </c>
      <c r="O580" s="42">
        <v>2402500</v>
      </c>
      <c r="P580" s="36">
        <v>12</v>
      </c>
      <c r="Q580" s="36" t="s">
        <v>308</v>
      </c>
      <c r="R580" s="36" t="s">
        <v>487</v>
      </c>
      <c r="S580" s="36" t="s">
        <v>488</v>
      </c>
      <c r="T580" s="36" t="s">
        <v>489</v>
      </c>
      <c r="U580" s="36" t="s">
        <v>490</v>
      </c>
      <c r="V580" s="40">
        <v>45870</v>
      </c>
      <c r="W580" s="40">
        <v>45889</v>
      </c>
      <c r="X580" s="36">
        <v>2</v>
      </c>
      <c r="Y580" s="36" t="s">
        <v>492</v>
      </c>
      <c r="Z580" s="36">
        <v>1</v>
      </c>
      <c r="AA580" s="36">
        <v>2402500</v>
      </c>
      <c r="AB580" s="40">
        <v>46023</v>
      </c>
      <c r="AC580" s="36" t="s">
        <v>2196</v>
      </c>
      <c r="AD580" s="36" t="str">
        <f>VLOOKUP(D580,Oficial!A:C,3,0)</f>
        <v>Arrastre</v>
      </c>
    </row>
    <row r="581" spans="1:30" x14ac:dyDescent="0.25">
      <c r="A581" s="36" t="s">
        <v>27</v>
      </c>
      <c r="B581" s="36" t="s">
        <v>482</v>
      </c>
      <c r="C581" s="36" t="s">
        <v>28</v>
      </c>
      <c r="D581" s="36" t="s">
        <v>482</v>
      </c>
      <c r="E581" s="36" t="s">
        <v>30</v>
      </c>
      <c r="F581" s="36" t="s">
        <v>31</v>
      </c>
      <c r="G581" s="37" t="s">
        <v>483</v>
      </c>
      <c r="H581" s="36" t="s">
        <v>484</v>
      </c>
      <c r="I581" s="36" t="s">
        <v>485</v>
      </c>
      <c r="J581" s="36">
        <v>1</v>
      </c>
      <c r="K581" s="36" t="s">
        <v>486</v>
      </c>
      <c r="L581" s="36">
        <v>4</v>
      </c>
      <c r="M581" s="36">
        <v>100</v>
      </c>
      <c r="N581" s="38">
        <v>288300</v>
      </c>
      <c r="O581" s="42">
        <v>2402500</v>
      </c>
      <c r="P581" s="36">
        <v>12</v>
      </c>
      <c r="Q581" s="36" t="s">
        <v>308</v>
      </c>
      <c r="R581" s="36" t="s">
        <v>487</v>
      </c>
      <c r="S581" s="36" t="s">
        <v>488</v>
      </c>
      <c r="T581" s="36" t="s">
        <v>489</v>
      </c>
      <c r="U581" s="36" t="s">
        <v>490</v>
      </c>
      <c r="V581" s="40">
        <v>45870</v>
      </c>
      <c r="W581" s="40">
        <v>45889</v>
      </c>
      <c r="X581" s="36">
        <v>2</v>
      </c>
      <c r="Y581" s="36" t="s">
        <v>491</v>
      </c>
      <c r="Z581" s="36">
        <v>1</v>
      </c>
      <c r="AA581" s="36">
        <v>2402500</v>
      </c>
      <c r="AB581" s="40">
        <v>46174</v>
      </c>
      <c r="AC581" s="36" t="s">
        <v>2196</v>
      </c>
      <c r="AD581" s="36" t="str">
        <f>VLOOKUP(D581,Oficial!A:C,3,0)</f>
        <v>Arrastre</v>
      </c>
    </row>
    <row r="582" spans="1:30" x14ac:dyDescent="0.25">
      <c r="A582" s="36" t="s">
        <v>27</v>
      </c>
      <c r="B582" s="36" t="s">
        <v>482</v>
      </c>
      <c r="C582" s="36" t="s">
        <v>28</v>
      </c>
      <c r="D582" s="36" t="s">
        <v>482</v>
      </c>
      <c r="E582" s="36" t="s">
        <v>30</v>
      </c>
      <c r="F582" s="36" t="s">
        <v>31</v>
      </c>
      <c r="G582" s="37" t="s">
        <v>483</v>
      </c>
      <c r="H582" s="36" t="s">
        <v>484</v>
      </c>
      <c r="I582" s="36" t="s">
        <v>485</v>
      </c>
      <c r="J582" s="36">
        <v>1</v>
      </c>
      <c r="K582" s="36" t="s">
        <v>486</v>
      </c>
      <c r="L582" s="36">
        <v>4</v>
      </c>
      <c r="M582" s="36">
        <v>100</v>
      </c>
      <c r="N582" s="38">
        <v>288300</v>
      </c>
      <c r="O582" s="42">
        <v>2402500</v>
      </c>
      <c r="P582" s="36">
        <v>12</v>
      </c>
      <c r="Q582" s="36" t="s">
        <v>308</v>
      </c>
      <c r="R582" s="36" t="s">
        <v>487</v>
      </c>
      <c r="S582" s="36" t="s">
        <v>488</v>
      </c>
      <c r="T582" s="36" t="s">
        <v>489</v>
      </c>
      <c r="U582" s="36" t="s">
        <v>490</v>
      </c>
      <c r="V582" s="40">
        <v>45870</v>
      </c>
      <c r="W582" s="40">
        <v>45889</v>
      </c>
      <c r="X582" s="36">
        <v>2</v>
      </c>
      <c r="Y582" s="36" t="s">
        <v>491</v>
      </c>
      <c r="Z582" s="36">
        <v>1</v>
      </c>
      <c r="AA582" s="36">
        <v>2402500</v>
      </c>
      <c r="AB582" s="40">
        <v>46023</v>
      </c>
      <c r="AC582" s="36" t="s">
        <v>2196</v>
      </c>
      <c r="AD582" s="36" t="str">
        <f>VLOOKUP(D582,Oficial!A:C,3,0)</f>
        <v>Arrastre</v>
      </c>
    </row>
    <row r="583" spans="1:30" x14ac:dyDescent="0.25">
      <c r="A583" s="36" t="s">
        <v>27</v>
      </c>
      <c r="B583" s="36" t="s">
        <v>482</v>
      </c>
      <c r="C583" s="36" t="s">
        <v>28</v>
      </c>
      <c r="D583" s="36" t="s">
        <v>482</v>
      </c>
      <c r="E583" s="36" t="s">
        <v>30</v>
      </c>
      <c r="F583" s="36" t="s">
        <v>31</v>
      </c>
      <c r="G583" s="37" t="s">
        <v>483</v>
      </c>
      <c r="H583" s="36" t="s">
        <v>484</v>
      </c>
      <c r="I583" s="36" t="s">
        <v>485</v>
      </c>
      <c r="J583" s="36">
        <v>1</v>
      </c>
      <c r="K583" s="36" t="s">
        <v>486</v>
      </c>
      <c r="L583" s="36">
        <v>4</v>
      </c>
      <c r="M583" s="36">
        <v>100</v>
      </c>
      <c r="N583" s="38">
        <v>288300</v>
      </c>
      <c r="O583" s="42">
        <v>2402500</v>
      </c>
      <c r="P583" s="36">
        <v>12</v>
      </c>
      <c r="Q583" s="36" t="s">
        <v>308</v>
      </c>
      <c r="R583" s="36" t="s">
        <v>487</v>
      </c>
      <c r="S583" s="36" t="s">
        <v>488</v>
      </c>
      <c r="T583" s="36" t="s">
        <v>489</v>
      </c>
      <c r="U583" s="36" t="s">
        <v>490</v>
      </c>
      <c r="V583" s="40">
        <v>45870</v>
      </c>
      <c r="W583" s="40">
        <v>45889</v>
      </c>
      <c r="X583" s="36">
        <v>2</v>
      </c>
      <c r="Y583" s="36" t="s">
        <v>492</v>
      </c>
      <c r="Z583" s="36">
        <v>1</v>
      </c>
      <c r="AA583" s="36">
        <v>2402500</v>
      </c>
      <c r="AB583" s="40">
        <v>46204</v>
      </c>
      <c r="AC583" s="36" t="s">
        <v>2196</v>
      </c>
      <c r="AD583" s="36" t="str">
        <f>VLOOKUP(D583,Oficial!A:C,3,0)</f>
        <v>Arrastre</v>
      </c>
    </row>
    <row r="584" spans="1:30" x14ac:dyDescent="0.25">
      <c r="A584" s="36" t="s">
        <v>27</v>
      </c>
      <c r="B584" s="36" t="s">
        <v>493</v>
      </c>
      <c r="C584" s="36" t="s">
        <v>28</v>
      </c>
      <c r="D584" s="36" t="s">
        <v>493</v>
      </c>
      <c r="E584" s="36" t="s">
        <v>30</v>
      </c>
      <c r="F584" s="36" t="s">
        <v>31</v>
      </c>
      <c r="G584" s="37" t="s">
        <v>439</v>
      </c>
      <c r="H584" s="36" t="s">
        <v>494</v>
      </c>
      <c r="I584" s="36" t="s">
        <v>495</v>
      </c>
      <c r="J584" s="36">
        <v>1</v>
      </c>
      <c r="K584" s="36" t="s">
        <v>496</v>
      </c>
      <c r="L584" s="36">
        <v>4</v>
      </c>
      <c r="M584" s="36">
        <v>1</v>
      </c>
      <c r="N584" s="38">
        <v>146000000</v>
      </c>
      <c r="O584" s="44">
        <v>6083333</v>
      </c>
      <c r="P584" s="36">
        <v>24</v>
      </c>
      <c r="Q584" s="36" t="s">
        <v>278</v>
      </c>
      <c r="R584" s="36" t="s">
        <v>497</v>
      </c>
      <c r="S584" s="36" t="s">
        <v>302</v>
      </c>
      <c r="T584" s="36" t="s">
        <v>184</v>
      </c>
      <c r="U584" s="36" t="s">
        <v>498</v>
      </c>
      <c r="V584" s="40">
        <v>45870</v>
      </c>
      <c r="W584" s="40">
        <v>45889</v>
      </c>
      <c r="X584" s="36">
        <v>0</v>
      </c>
      <c r="Y584" s="36"/>
      <c r="Z584" s="36">
        <v>1</v>
      </c>
      <c r="AA584" s="36">
        <v>6083333</v>
      </c>
      <c r="AB584" s="40">
        <v>46054</v>
      </c>
      <c r="AC584" s="36" t="s">
        <v>2196</v>
      </c>
      <c r="AD584" s="36" t="str">
        <f>VLOOKUP(D584,Oficial!A:C,3,0)</f>
        <v>Arrastre</v>
      </c>
    </row>
    <row r="585" spans="1:30" x14ac:dyDescent="0.25">
      <c r="A585" s="36" t="s">
        <v>27</v>
      </c>
      <c r="B585" s="36" t="s">
        <v>493</v>
      </c>
      <c r="C585" s="36" t="s">
        <v>28</v>
      </c>
      <c r="D585" s="36" t="s">
        <v>493</v>
      </c>
      <c r="E585" s="36" t="s">
        <v>30</v>
      </c>
      <c r="F585" s="36" t="s">
        <v>31</v>
      </c>
      <c r="G585" s="37" t="s">
        <v>439</v>
      </c>
      <c r="H585" s="36" t="s">
        <v>494</v>
      </c>
      <c r="I585" s="36" t="s">
        <v>495</v>
      </c>
      <c r="J585" s="36">
        <v>1</v>
      </c>
      <c r="K585" s="36" t="s">
        <v>496</v>
      </c>
      <c r="L585" s="36">
        <v>4</v>
      </c>
      <c r="M585" s="36">
        <v>1</v>
      </c>
      <c r="N585" s="38">
        <v>146000000</v>
      </c>
      <c r="O585" s="44">
        <v>6083333</v>
      </c>
      <c r="P585" s="36">
        <v>24</v>
      </c>
      <c r="Q585" s="36" t="s">
        <v>278</v>
      </c>
      <c r="R585" s="36" t="s">
        <v>497</v>
      </c>
      <c r="S585" s="36" t="s">
        <v>302</v>
      </c>
      <c r="T585" s="36" t="s">
        <v>184</v>
      </c>
      <c r="U585" s="36" t="s">
        <v>498</v>
      </c>
      <c r="V585" s="40">
        <v>45870</v>
      </c>
      <c r="W585" s="40">
        <v>45889</v>
      </c>
      <c r="X585" s="36">
        <v>0</v>
      </c>
      <c r="Y585" s="36"/>
      <c r="Z585" s="36">
        <v>1</v>
      </c>
      <c r="AA585" s="36">
        <v>6083333</v>
      </c>
      <c r="AB585" s="40">
        <v>46174</v>
      </c>
      <c r="AC585" s="36" t="s">
        <v>2196</v>
      </c>
      <c r="AD585" s="36" t="str">
        <f>VLOOKUP(D585,Oficial!A:C,3,0)</f>
        <v>Arrastre</v>
      </c>
    </row>
    <row r="586" spans="1:30" x14ac:dyDescent="0.25">
      <c r="A586" s="36" t="s">
        <v>27</v>
      </c>
      <c r="B586" s="36" t="s">
        <v>493</v>
      </c>
      <c r="C586" s="36" t="s">
        <v>28</v>
      </c>
      <c r="D586" s="36" t="s">
        <v>493</v>
      </c>
      <c r="E586" s="36" t="s">
        <v>30</v>
      </c>
      <c r="F586" s="36" t="s">
        <v>31</v>
      </c>
      <c r="G586" s="37" t="s">
        <v>439</v>
      </c>
      <c r="H586" s="36" t="s">
        <v>494</v>
      </c>
      <c r="I586" s="36" t="s">
        <v>495</v>
      </c>
      <c r="J586" s="36">
        <v>1</v>
      </c>
      <c r="K586" s="36" t="s">
        <v>496</v>
      </c>
      <c r="L586" s="36">
        <v>4</v>
      </c>
      <c r="M586" s="36">
        <v>1</v>
      </c>
      <c r="N586" s="38">
        <v>146000000</v>
      </c>
      <c r="O586" s="44">
        <v>6083333</v>
      </c>
      <c r="P586" s="36">
        <v>24</v>
      </c>
      <c r="Q586" s="36" t="s">
        <v>278</v>
      </c>
      <c r="R586" s="36" t="s">
        <v>497</v>
      </c>
      <c r="S586" s="36" t="s">
        <v>302</v>
      </c>
      <c r="T586" s="36" t="s">
        <v>184</v>
      </c>
      <c r="U586" s="36" t="s">
        <v>498</v>
      </c>
      <c r="V586" s="40">
        <v>45870</v>
      </c>
      <c r="W586" s="40">
        <v>45889</v>
      </c>
      <c r="X586" s="36">
        <v>0</v>
      </c>
      <c r="Y586" s="36"/>
      <c r="Z586" s="36">
        <v>1</v>
      </c>
      <c r="AA586" s="36">
        <v>6083333</v>
      </c>
      <c r="AB586" s="40">
        <v>46023</v>
      </c>
      <c r="AC586" s="36" t="s">
        <v>2196</v>
      </c>
      <c r="AD586" s="36" t="str">
        <f>VLOOKUP(D586,Oficial!A:C,3,0)</f>
        <v>Arrastre</v>
      </c>
    </row>
    <row r="587" spans="1:30" x14ac:dyDescent="0.25">
      <c r="A587" s="36" t="s">
        <v>27</v>
      </c>
      <c r="B587" s="36" t="s">
        <v>493</v>
      </c>
      <c r="C587" s="36" t="s">
        <v>28</v>
      </c>
      <c r="D587" s="36" t="s">
        <v>493</v>
      </c>
      <c r="E587" s="36" t="s">
        <v>30</v>
      </c>
      <c r="F587" s="36" t="s">
        <v>31</v>
      </c>
      <c r="G587" s="37" t="s">
        <v>439</v>
      </c>
      <c r="H587" s="36" t="s">
        <v>494</v>
      </c>
      <c r="I587" s="36" t="s">
        <v>495</v>
      </c>
      <c r="J587" s="36">
        <v>1</v>
      </c>
      <c r="K587" s="36" t="s">
        <v>496</v>
      </c>
      <c r="L587" s="36">
        <v>4</v>
      </c>
      <c r="M587" s="36">
        <v>1</v>
      </c>
      <c r="N587" s="38">
        <v>146000000</v>
      </c>
      <c r="O587" s="44">
        <v>6083333</v>
      </c>
      <c r="P587" s="36">
        <v>24</v>
      </c>
      <c r="Q587" s="36" t="s">
        <v>278</v>
      </c>
      <c r="R587" s="36" t="s">
        <v>497</v>
      </c>
      <c r="S587" s="36" t="s">
        <v>302</v>
      </c>
      <c r="T587" s="36" t="s">
        <v>184</v>
      </c>
      <c r="U587" s="36" t="s">
        <v>498</v>
      </c>
      <c r="V587" s="40">
        <v>45870</v>
      </c>
      <c r="W587" s="40">
        <v>45889</v>
      </c>
      <c r="X587" s="36">
        <v>0</v>
      </c>
      <c r="Y587" s="36"/>
      <c r="Z587" s="36">
        <v>1</v>
      </c>
      <c r="AA587" s="36">
        <v>6083333</v>
      </c>
      <c r="AB587" s="40">
        <v>46357</v>
      </c>
      <c r="AC587" s="36" t="s">
        <v>2196</v>
      </c>
      <c r="AD587" s="36" t="str">
        <f>VLOOKUP(D587,Oficial!A:C,3,0)</f>
        <v>Arrastre</v>
      </c>
    </row>
    <row r="588" spans="1:30" x14ac:dyDescent="0.25">
      <c r="A588" s="36" t="s">
        <v>27</v>
      </c>
      <c r="B588" s="36" t="s">
        <v>493</v>
      </c>
      <c r="C588" s="36" t="s">
        <v>28</v>
      </c>
      <c r="D588" s="36" t="s">
        <v>493</v>
      </c>
      <c r="E588" s="36" t="s">
        <v>30</v>
      </c>
      <c r="F588" s="36" t="s">
        <v>31</v>
      </c>
      <c r="G588" s="37" t="s">
        <v>439</v>
      </c>
      <c r="H588" s="36" t="s">
        <v>494</v>
      </c>
      <c r="I588" s="36" t="s">
        <v>495</v>
      </c>
      <c r="J588" s="36">
        <v>1</v>
      </c>
      <c r="K588" s="36" t="s">
        <v>496</v>
      </c>
      <c r="L588" s="36">
        <v>4</v>
      </c>
      <c r="M588" s="36">
        <v>1</v>
      </c>
      <c r="N588" s="38">
        <v>146000000</v>
      </c>
      <c r="O588" s="44">
        <v>6083333</v>
      </c>
      <c r="P588" s="36">
        <v>24</v>
      </c>
      <c r="Q588" s="36" t="s">
        <v>278</v>
      </c>
      <c r="R588" s="36" t="s">
        <v>497</v>
      </c>
      <c r="S588" s="36" t="s">
        <v>302</v>
      </c>
      <c r="T588" s="36" t="s">
        <v>184</v>
      </c>
      <c r="U588" s="36" t="s">
        <v>498</v>
      </c>
      <c r="V588" s="40">
        <v>45870</v>
      </c>
      <c r="W588" s="40">
        <v>45889</v>
      </c>
      <c r="X588" s="36">
        <v>0</v>
      </c>
      <c r="Y588" s="36"/>
      <c r="Z588" s="36">
        <v>1</v>
      </c>
      <c r="AA588" s="36">
        <v>6083333</v>
      </c>
      <c r="AB588" s="40">
        <v>46113</v>
      </c>
      <c r="AC588" s="36" t="s">
        <v>2196</v>
      </c>
      <c r="AD588" s="36" t="str">
        <f>VLOOKUP(D588,Oficial!A:C,3,0)</f>
        <v>Arrastre</v>
      </c>
    </row>
    <row r="589" spans="1:30" x14ac:dyDescent="0.25">
      <c r="A589" s="36" t="s">
        <v>27</v>
      </c>
      <c r="B589" s="36" t="s">
        <v>493</v>
      </c>
      <c r="C589" s="36" t="s">
        <v>28</v>
      </c>
      <c r="D589" s="36" t="s">
        <v>493</v>
      </c>
      <c r="E589" s="36" t="s">
        <v>30</v>
      </c>
      <c r="F589" s="36" t="s">
        <v>31</v>
      </c>
      <c r="G589" s="37" t="s">
        <v>439</v>
      </c>
      <c r="H589" s="36" t="s">
        <v>494</v>
      </c>
      <c r="I589" s="36" t="s">
        <v>495</v>
      </c>
      <c r="J589" s="36">
        <v>1</v>
      </c>
      <c r="K589" s="36" t="s">
        <v>496</v>
      </c>
      <c r="L589" s="36">
        <v>4</v>
      </c>
      <c r="M589" s="36">
        <v>1</v>
      </c>
      <c r="N589" s="38">
        <v>146000000</v>
      </c>
      <c r="O589" s="44">
        <v>6083333</v>
      </c>
      <c r="P589" s="36">
        <v>24</v>
      </c>
      <c r="Q589" s="36" t="s">
        <v>278</v>
      </c>
      <c r="R589" s="36" t="s">
        <v>497</v>
      </c>
      <c r="S589" s="36" t="s">
        <v>302</v>
      </c>
      <c r="T589" s="36" t="s">
        <v>184</v>
      </c>
      <c r="U589" s="36" t="s">
        <v>498</v>
      </c>
      <c r="V589" s="40">
        <v>45870</v>
      </c>
      <c r="W589" s="40">
        <v>45889</v>
      </c>
      <c r="X589" s="36">
        <v>0</v>
      </c>
      <c r="Y589" s="36"/>
      <c r="Z589" s="36">
        <v>1</v>
      </c>
      <c r="AA589" s="36">
        <v>6083333</v>
      </c>
      <c r="AB589" s="40">
        <v>46204</v>
      </c>
      <c r="AC589" s="36" t="s">
        <v>2196</v>
      </c>
      <c r="AD589" s="36" t="str">
        <f>VLOOKUP(D589,Oficial!A:C,3,0)</f>
        <v>Arrastre</v>
      </c>
    </row>
    <row r="590" spans="1:30" x14ac:dyDescent="0.25">
      <c r="A590" s="36" t="s">
        <v>27</v>
      </c>
      <c r="B590" s="36" t="s">
        <v>493</v>
      </c>
      <c r="C590" s="36" t="s">
        <v>28</v>
      </c>
      <c r="D590" s="36" t="s">
        <v>493</v>
      </c>
      <c r="E590" s="36" t="s">
        <v>30</v>
      </c>
      <c r="F590" s="36" t="s">
        <v>31</v>
      </c>
      <c r="G590" s="37" t="s">
        <v>439</v>
      </c>
      <c r="H590" s="36" t="s">
        <v>494</v>
      </c>
      <c r="I590" s="36" t="s">
        <v>495</v>
      </c>
      <c r="J590" s="36">
        <v>1</v>
      </c>
      <c r="K590" s="36" t="s">
        <v>496</v>
      </c>
      <c r="L590" s="36">
        <v>4</v>
      </c>
      <c r="M590" s="36">
        <v>1</v>
      </c>
      <c r="N590" s="38">
        <v>146000000</v>
      </c>
      <c r="O590" s="44">
        <v>6083333</v>
      </c>
      <c r="P590" s="36">
        <v>24</v>
      </c>
      <c r="Q590" s="36" t="s">
        <v>278</v>
      </c>
      <c r="R590" s="36" t="s">
        <v>497</v>
      </c>
      <c r="S590" s="36" t="s">
        <v>302</v>
      </c>
      <c r="T590" s="36" t="s">
        <v>184</v>
      </c>
      <c r="U590" s="36" t="s">
        <v>498</v>
      </c>
      <c r="V590" s="40">
        <v>45870</v>
      </c>
      <c r="W590" s="40">
        <v>45889</v>
      </c>
      <c r="X590" s="36">
        <v>0</v>
      </c>
      <c r="Y590" s="36"/>
      <c r="Z590" s="36">
        <v>1</v>
      </c>
      <c r="AA590" s="36">
        <v>6083333</v>
      </c>
      <c r="AB590" s="40">
        <v>46235</v>
      </c>
      <c r="AC590" s="36" t="s">
        <v>2196</v>
      </c>
      <c r="AD590" s="36" t="str">
        <f>VLOOKUP(D590,Oficial!A:C,3,0)</f>
        <v>Arrastre</v>
      </c>
    </row>
    <row r="591" spans="1:30" x14ac:dyDescent="0.25">
      <c r="A591" s="36" t="s">
        <v>27</v>
      </c>
      <c r="B591" s="36" t="s">
        <v>493</v>
      </c>
      <c r="C591" s="36" t="s">
        <v>28</v>
      </c>
      <c r="D591" s="36" t="s">
        <v>493</v>
      </c>
      <c r="E591" s="36" t="s">
        <v>30</v>
      </c>
      <c r="F591" s="36" t="s">
        <v>31</v>
      </c>
      <c r="G591" s="37" t="s">
        <v>439</v>
      </c>
      <c r="H591" s="36" t="s">
        <v>494</v>
      </c>
      <c r="I591" s="36" t="s">
        <v>495</v>
      </c>
      <c r="J591" s="36">
        <v>1</v>
      </c>
      <c r="K591" s="36" t="s">
        <v>496</v>
      </c>
      <c r="L591" s="36">
        <v>4</v>
      </c>
      <c r="M591" s="36">
        <v>1</v>
      </c>
      <c r="N591" s="38">
        <v>146000000</v>
      </c>
      <c r="O591" s="44">
        <v>6083333</v>
      </c>
      <c r="P591" s="36">
        <v>24</v>
      </c>
      <c r="Q591" s="36" t="s">
        <v>278</v>
      </c>
      <c r="R591" s="36" t="s">
        <v>497</v>
      </c>
      <c r="S591" s="36" t="s">
        <v>302</v>
      </c>
      <c r="T591" s="36" t="s">
        <v>184</v>
      </c>
      <c r="U591" s="36" t="s">
        <v>498</v>
      </c>
      <c r="V591" s="40">
        <v>45870</v>
      </c>
      <c r="W591" s="40">
        <v>45889</v>
      </c>
      <c r="X591" s="36">
        <v>0</v>
      </c>
      <c r="Y591" s="36"/>
      <c r="Z591" s="36">
        <v>1</v>
      </c>
      <c r="AA591" s="36">
        <v>6083333</v>
      </c>
      <c r="AB591" s="40">
        <v>46082</v>
      </c>
      <c r="AC591" s="36" t="s">
        <v>2196</v>
      </c>
      <c r="AD591" s="36" t="str">
        <f>VLOOKUP(D591,Oficial!A:C,3,0)</f>
        <v>Arrastre</v>
      </c>
    </row>
    <row r="592" spans="1:30" x14ac:dyDescent="0.25">
      <c r="A592" s="36" t="s">
        <v>27</v>
      </c>
      <c r="B592" s="36" t="s">
        <v>493</v>
      </c>
      <c r="C592" s="36" t="s">
        <v>28</v>
      </c>
      <c r="D592" s="36" t="s">
        <v>493</v>
      </c>
      <c r="E592" s="36" t="s">
        <v>30</v>
      </c>
      <c r="F592" s="36" t="s">
        <v>31</v>
      </c>
      <c r="G592" s="37" t="s">
        <v>439</v>
      </c>
      <c r="H592" s="36" t="s">
        <v>494</v>
      </c>
      <c r="I592" s="36" t="s">
        <v>495</v>
      </c>
      <c r="J592" s="36">
        <v>1</v>
      </c>
      <c r="K592" s="36" t="s">
        <v>496</v>
      </c>
      <c r="L592" s="36">
        <v>4</v>
      </c>
      <c r="M592" s="36">
        <v>1</v>
      </c>
      <c r="N592" s="38">
        <v>146000000</v>
      </c>
      <c r="O592" s="44">
        <v>6083333</v>
      </c>
      <c r="P592" s="36">
        <v>24</v>
      </c>
      <c r="Q592" s="36" t="s">
        <v>278</v>
      </c>
      <c r="R592" s="36" t="s">
        <v>497</v>
      </c>
      <c r="S592" s="36" t="s">
        <v>302</v>
      </c>
      <c r="T592" s="36" t="s">
        <v>184</v>
      </c>
      <c r="U592" s="36" t="s">
        <v>498</v>
      </c>
      <c r="V592" s="40">
        <v>45870</v>
      </c>
      <c r="W592" s="40">
        <v>45889</v>
      </c>
      <c r="X592" s="36">
        <v>0</v>
      </c>
      <c r="Y592" s="36"/>
      <c r="Z592" s="36">
        <v>1</v>
      </c>
      <c r="AA592" s="36">
        <v>6083333</v>
      </c>
      <c r="AB592" s="40">
        <v>46296</v>
      </c>
      <c r="AC592" s="36" t="s">
        <v>2196</v>
      </c>
      <c r="AD592" s="36" t="str">
        <f>VLOOKUP(D592,Oficial!A:C,3,0)</f>
        <v>Arrastre</v>
      </c>
    </row>
    <row r="593" spans="1:30" x14ac:dyDescent="0.25">
      <c r="A593" s="36" t="s">
        <v>27</v>
      </c>
      <c r="B593" s="36" t="s">
        <v>493</v>
      </c>
      <c r="C593" s="36" t="s">
        <v>28</v>
      </c>
      <c r="D593" s="36" t="s">
        <v>493</v>
      </c>
      <c r="E593" s="36" t="s">
        <v>30</v>
      </c>
      <c r="F593" s="36" t="s">
        <v>31</v>
      </c>
      <c r="G593" s="37" t="s">
        <v>439</v>
      </c>
      <c r="H593" s="36" t="s">
        <v>494</v>
      </c>
      <c r="I593" s="36" t="s">
        <v>495</v>
      </c>
      <c r="J593" s="36">
        <v>1</v>
      </c>
      <c r="K593" s="36" t="s">
        <v>496</v>
      </c>
      <c r="L593" s="36">
        <v>4</v>
      </c>
      <c r="M593" s="36">
        <v>1</v>
      </c>
      <c r="N593" s="38">
        <v>146000000</v>
      </c>
      <c r="O593" s="44">
        <v>6083333</v>
      </c>
      <c r="P593" s="36">
        <v>24</v>
      </c>
      <c r="Q593" s="36" t="s">
        <v>278</v>
      </c>
      <c r="R593" s="36" t="s">
        <v>497</v>
      </c>
      <c r="S593" s="36" t="s">
        <v>302</v>
      </c>
      <c r="T593" s="36" t="s">
        <v>184</v>
      </c>
      <c r="U593" s="36" t="s">
        <v>498</v>
      </c>
      <c r="V593" s="40">
        <v>45870</v>
      </c>
      <c r="W593" s="40">
        <v>45889</v>
      </c>
      <c r="X593" s="36">
        <v>0</v>
      </c>
      <c r="Y593" s="36"/>
      <c r="Z593" s="36">
        <v>1</v>
      </c>
      <c r="AA593" s="36">
        <v>6083333</v>
      </c>
      <c r="AB593" s="40">
        <v>46266</v>
      </c>
      <c r="AC593" s="36" t="s">
        <v>2196</v>
      </c>
      <c r="AD593" s="36" t="str">
        <f>VLOOKUP(D593,Oficial!A:C,3,0)</f>
        <v>Arrastre</v>
      </c>
    </row>
    <row r="594" spans="1:30" x14ac:dyDescent="0.25">
      <c r="A594" s="36" t="s">
        <v>27</v>
      </c>
      <c r="B594" s="36" t="s">
        <v>493</v>
      </c>
      <c r="C594" s="36" t="s">
        <v>28</v>
      </c>
      <c r="D594" s="36" t="s">
        <v>493</v>
      </c>
      <c r="E594" s="36" t="s">
        <v>30</v>
      </c>
      <c r="F594" s="36" t="s">
        <v>31</v>
      </c>
      <c r="G594" s="37" t="s">
        <v>439</v>
      </c>
      <c r="H594" s="36" t="s">
        <v>494</v>
      </c>
      <c r="I594" s="36" t="s">
        <v>495</v>
      </c>
      <c r="J594" s="36">
        <v>1</v>
      </c>
      <c r="K594" s="36" t="s">
        <v>496</v>
      </c>
      <c r="L594" s="36">
        <v>4</v>
      </c>
      <c r="M594" s="36">
        <v>1</v>
      </c>
      <c r="N594" s="38">
        <v>146000000</v>
      </c>
      <c r="O594" s="44">
        <v>6083333</v>
      </c>
      <c r="P594" s="36">
        <v>24</v>
      </c>
      <c r="Q594" s="36" t="s">
        <v>278</v>
      </c>
      <c r="R594" s="36" t="s">
        <v>497</v>
      </c>
      <c r="S594" s="36" t="s">
        <v>302</v>
      </c>
      <c r="T594" s="36" t="s">
        <v>184</v>
      </c>
      <c r="U594" s="36" t="s">
        <v>498</v>
      </c>
      <c r="V594" s="40">
        <v>45870</v>
      </c>
      <c r="W594" s="40">
        <v>45889</v>
      </c>
      <c r="X594" s="36">
        <v>0</v>
      </c>
      <c r="Y594" s="36"/>
      <c r="Z594" s="36">
        <v>1</v>
      </c>
      <c r="AA594" s="36">
        <v>6083333</v>
      </c>
      <c r="AB594" s="40">
        <v>46143</v>
      </c>
      <c r="AC594" s="36" t="s">
        <v>2196</v>
      </c>
      <c r="AD594" s="36" t="str">
        <f>VLOOKUP(D594,Oficial!A:C,3,0)</f>
        <v>Arrastre</v>
      </c>
    </row>
    <row r="595" spans="1:30" x14ac:dyDescent="0.25">
      <c r="A595" s="36" t="s">
        <v>27</v>
      </c>
      <c r="B595" s="36" t="s">
        <v>493</v>
      </c>
      <c r="C595" s="36" t="s">
        <v>28</v>
      </c>
      <c r="D595" s="36" t="s">
        <v>493</v>
      </c>
      <c r="E595" s="36" t="s">
        <v>30</v>
      </c>
      <c r="F595" s="36" t="s">
        <v>31</v>
      </c>
      <c r="G595" s="37" t="s">
        <v>439</v>
      </c>
      <c r="H595" s="36" t="s">
        <v>494</v>
      </c>
      <c r="I595" s="36" t="s">
        <v>495</v>
      </c>
      <c r="J595" s="36">
        <v>1</v>
      </c>
      <c r="K595" s="36" t="s">
        <v>496</v>
      </c>
      <c r="L595" s="36">
        <v>4</v>
      </c>
      <c r="M595" s="36">
        <v>1</v>
      </c>
      <c r="N595" s="38">
        <v>146000000</v>
      </c>
      <c r="O595" s="44">
        <v>6083333</v>
      </c>
      <c r="P595" s="36">
        <v>24</v>
      </c>
      <c r="Q595" s="36" t="s">
        <v>278</v>
      </c>
      <c r="R595" s="36" t="s">
        <v>497</v>
      </c>
      <c r="S595" s="36" t="s">
        <v>302</v>
      </c>
      <c r="T595" s="36" t="s">
        <v>184</v>
      </c>
      <c r="U595" s="36" t="s">
        <v>498</v>
      </c>
      <c r="V595" s="40">
        <v>45870</v>
      </c>
      <c r="W595" s="40">
        <v>45889</v>
      </c>
      <c r="X595" s="36">
        <v>0</v>
      </c>
      <c r="Y595" s="36"/>
      <c r="Z595" s="36">
        <v>1</v>
      </c>
      <c r="AA595" s="36">
        <v>6083333</v>
      </c>
      <c r="AB595" s="40">
        <v>46327</v>
      </c>
      <c r="AC595" s="36" t="s">
        <v>2196</v>
      </c>
      <c r="AD595" s="36" t="str">
        <f>VLOOKUP(D595,Oficial!A:C,3,0)</f>
        <v>Arrastre</v>
      </c>
    </row>
    <row r="596" spans="1:30" x14ac:dyDescent="0.25">
      <c r="A596" s="36" t="s">
        <v>27</v>
      </c>
      <c r="B596" s="36" t="s">
        <v>499</v>
      </c>
      <c r="C596" s="36" t="s">
        <v>28</v>
      </c>
      <c r="D596" s="36" t="s">
        <v>499</v>
      </c>
      <c r="E596" s="36" t="s">
        <v>30</v>
      </c>
      <c r="F596" s="36" t="s">
        <v>31</v>
      </c>
      <c r="G596" s="37" t="s">
        <v>500</v>
      </c>
      <c r="H596" s="36" t="s">
        <v>501</v>
      </c>
      <c r="I596" s="36" t="s">
        <v>502</v>
      </c>
      <c r="J596" s="36">
        <v>1</v>
      </c>
      <c r="K596" s="36" t="s">
        <v>503</v>
      </c>
      <c r="L596" s="36">
        <v>4</v>
      </c>
      <c r="M596" s="36">
        <v>16</v>
      </c>
      <c r="N596" s="38">
        <v>4687500</v>
      </c>
      <c r="O596" s="38">
        <v>4687500</v>
      </c>
      <c r="P596" s="36">
        <v>16</v>
      </c>
      <c r="Q596" s="36" t="s">
        <v>504</v>
      </c>
      <c r="R596" s="36" t="s">
        <v>505</v>
      </c>
      <c r="S596" s="36" t="s">
        <v>506</v>
      </c>
      <c r="T596" s="36" t="s">
        <v>507</v>
      </c>
      <c r="U596" s="36" t="s">
        <v>508</v>
      </c>
      <c r="V596" s="40">
        <v>45870</v>
      </c>
      <c r="W596" s="40">
        <v>45889</v>
      </c>
      <c r="X596" s="36">
        <v>0</v>
      </c>
      <c r="Y596" s="36"/>
      <c r="Z596" s="36">
        <v>1</v>
      </c>
      <c r="AA596" s="36">
        <v>4687500</v>
      </c>
      <c r="AB596" s="40">
        <v>46054</v>
      </c>
      <c r="AC596" s="36" t="s">
        <v>2196</v>
      </c>
      <c r="AD596" s="36" t="str">
        <f>VLOOKUP(D596,Oficial!A:C,3,0)</f>
        <v>Arrastre</v>
      </c>
    </row>
    <row r="597" spans="1:30" x14ac:dyDescent="0.25">
      <c r="A597" s="36" t="s">
        <v>27</v>
      </c>
      <c r="B597" s="36" t="s">
        <v>499</v>
      </c>
      <c r="C597" s="36" t="s">
        <v>28</v>
      </c>
      <c r="D597" s="36" t="s">
        <v>499</v>
      </c>
      <c r="E597" s="36" t="s">
        <v>30</v>
      </c>
      <c r="F597" s="36" t="s">
        <v>31</v>
      </c>
      <c r="G597" s="37" t="s">
        <v>500</v>
      </c>
      <c r="H597" s="36" t="s">
        <v>501</v>
      </c>
      <c r="I597" s="36" t="s">
        <v>502</v>
      </c>
      <c r="J597" s="36">
        <v>1</v>
      </c>
      <c r="K597" s="36" t="s">
        <v>503</v>
      </c>
      <c r="L597" s="36">
        <v>4</v>
      </c>
      <c r="M597" s="36">
        <v>16</v>
      </c>
      <c r="N597" s="38">
        <v>4687500</v>
      </c>
      <c r="O597" s="38">
        <v>4687500</v>
      </c>
      <c r="P597" s="36">
        <v>16</v>
      </c>
      <c r="Q597" s="36" t="s">
        <v>504</v>
      </c>
      <c r="R597" s="36" t="s">
        <v>505</v>
      </c>
      <c r="S597" s="36" t="s">
        <v>506</v>
      </c>
      <c r="T597" s="36" t="s">
        <v>507</v>
      </c>
      <c r="U597" s="36" t="s">
        <v>508</v>
      </c>
      <c r="V597" s="40">
        <v>45870</v>
      </c>
      <c r="W597" s="40">
        <v>45889</v>
      </c>
      <c r="X597" s="36">
        <v>0</v>
      </c>
      <c r="Y597" s="36"/>
      <c r="Z597" s="36">
        <v>1</v>
      </c>
      <c r="AA597" s="36">
        <v>4687500</v>
      </c>
      <c r="AB597" s="40">
        <v>46327</v>
      </c>
      <c r="AC597" s="36" t="s">
        <v>2196</v>
      </c>
      <c r="AD597" s="36" t="str">
        <f>VLOOKUP(D597,Oficial!A:C,3,0)</f>
        <v>Arrastre</v>
      </c>
    </row>
    <row r="598" spans="1:30" x14ac:dyDescent="0.25">
      <c r="A598" s="36" t="s">
        <v>27</v>
      </c>
      <c r="B598" s="36" t="s">
        <v>499</v>
      </c>
      <c r="C598" s="36" t="s">
        <v>28</v>
      </c>
      <c r="D598" s="36" t="s">
        <v>499</v>
      </c>
      <c r="E598" s="36" t="s">
        <v>30</v>
      </c>
      <c r="F598" s="36" t="s">
        <v>31</v>
      </c>
      <c r="G598" s="37" t="s">
        <v>500</v>
      </c>
      <c r="H598" s="36" t="s">
        <v>501</v>
      </c>
      <c r="I598" s="36" t="s">
        <v>502</v>
      </c>
      <c r="J598" s="36">
        <v>1</v>
      </c>
      <c r="K598" s="36" t="s">
        <v>503</v>
      </c>
      <c r="L598" s="36">
        <v>4</v>
      </c>
      <c r="M598" s="36">
        <v>16</v>
      </c>
      <c r="N598" s="38">
        <v>4687500</v>
      </c>
      <c r="O598" s="38">
        <v>4687500</v>
      </c>
      <c r="P598" s="36">
        <v>16</v>
      </c>
      <c r="Q598" s="36" t="s">
        <v>504</v>
      </c>
      <c r="R598" s="36" t="s">
        <v>505</v>
      </c>
      <c r="S598" s="36" t="s">
        <v>506</v>
      </c>
      <c r="T598" s="36" t="s">
        <v>507</v>
      </c>
      <c r="U598" s="36" t="s">
        <v>508</v>
      </c>
      <c r="V598" s="40">
        <v>45870</v>
      </c>
      <c r="W598" s="40">
        <v>45889</v>
      </c>
      <c r="X598" s="36">
        <v>0</v>
      </c>
      <c r="Y598" s="36"/>
      <c r="Z598" s="36">
        <v>1</v>
      </c>
      <c r="AA598" s="36">
        <v>4687500</v>
      </c>
      <c r="AB598" s="40">
        <v>46082</v>
      </c>
      <c r="AC598" s="36" t="s">
        <v>2196</v>
      </c>
      <c r="AD598" s="36" t="str">
        <f>VLOOKUP(D598,Oficial!A:C,3,0)</f>
        <v>Arrastre</v>
      </c>
    </row>
    <row r="599" spans="1:30" x14ac:dyDescent="0.25">
      <c r="A599" s="36" t="s">
        <v>27</v>
      </c>
      <c r="B599" s="36" t="s">
        <v>499</v>
      </c>
      <c r="C599" s="36" t="s">
        <v>28</v>
      </c>
      <c r="D599" s="36" t="s">
        <v>499</v>
      </c>
      <c r="E599" s="36" t="s">
        <v>30</v>
      </c>
      <c r="F599" s="36" t="s">
        <v>31</v>
      </c>
      <c r="G599" s="37" t="s">
        <v>500</v>
      </c>
      <c r="H599" s="36" t="s">
        <v>501</v>
      </c>
      <c r="I599" s="36" t="s">
        <v>502</v>
      </c>
      <c r="J599" s="36">
        <v>1</v>
      </c>
      <c r="K599" s="36" t="s">
        <v>503</v>
      </c>
      <c r="L599" s="36">
        <v>4</v>
      </c>
      <c r="M599" s="36">
        <v>16</v>
      </c>
      <c r="N599" s="38">
        <v>4687500</v>
      </c>
      <c r="O599" s="38">
        <v>4687500</v>
      </c>
      <c r="P599" s="36">
        <v>16</v>
      </c>
      <c r="Q599" s="36" t="s">
        <v>504</v>
      </c>
      <c r="R599" s="36" t="s">
        <v>505</v>
      </c>
      <c r="S599" s="36" t="s">
        <v>506</v>
      </c>
      <c r="T599" s="36" t="s">
        <v>507</v>
      </c>
      <c r="U599" s="36" t="s">
        <v>508</v>
      </c>
      <c r="V599" s="40">
        <v>45870</v>
      </c>
      <c r="W599" s="40">
        <v>45889</v>
      </c>
      <c r="X599" s="36">
        <v>0</v>
      </c>
      <c r="Y599" s="36"/>
      <c r="Z599" s="36">
        <v>1</v>
      </c>
      <c r="AA599" s="36">
        <v>4687500</v>
      </c>
      <c r="AB599" s="40">
        <v>46023</v>
      </c>
      <c r="AC599" s="36" t="s">
        <v>2196</v>
      </c>
      <c r="AD599" s="36" t="str">
        <f>VLOOKUP(D599,Oficial!A:C,3,0)</f>
        <v>Arrastre</v>
      </c>
    </row>
    <row r="600" spans="1:30" x14ac:dyDescent="0.25">
      <c r="A600" s="36" t="s">
        <v>27</v>
      </c>
      <c r="B600" s="36" t="s">
        <v>499</v>
      </c>
      <c r="C600" s="36" t="s">
        <v>28</v>
      </c>
      <c r="D600" s="36" t="s">
        <v>499</v>
      </c>
      <c r="E600" s="36" t="s">
        <v>30</v>
      </c>
      <c r="F600" s="36" t="s">
        <v>31</v>
      </c>
      <c r="G600" s="37" t="s">
        <v>500</v>
      </c>
      <c r="H600" s="36" t="s">
        <v>501</v>
      </c>
      <c r="I600" s="36" t="s">
        <v>502</v>
      </c>
      <c r="J600" s="36">
        <v>1</v>
      </c>
      <c r="K600" s="36" t="s">
        <v>503</v>
      </c>
      <c r="L600" s="36">
        <v>4</v>
      </c>
      <c r="M600" s="36">
        <v>16</v>
      </c>
      <c r="N600" s="38">
        <v>4687500</v>
      </c>
      <c r="O600" s="38">
        <v>4687500</v>
      </c>
      <c r="P600" s="36">
        <v>16</v>
      </c>
      <c r="Q600" s="36" t="s">
        <v>504</v>
      </c>
      <c r="R600" s="36" t="s">
        <v>505</v>
      </c>
      <c r="S600" s="36" t="s">
        <v>506</v>
      </c>
      <c r="T600" s="36" t="s">
        <v>507</v>
      </c>
      <c r="U600" s="36" t="s">
        <v>508</v>
      </c>
      <c r="V600" s="40">
        <v>45870</v>
      </c>
      <c r="W600" s="40">
        <v>45889</v>
      </c>
      <c r="X600" s="36">
        <v>0</v>
      </c>
      <c r="Y600" s="36"/>
      <c r="Z600" s="36">
        <v>1</v>
      </c>
      <c r="AA600" s="36">
        <v>4687500</v>
      </c>
      <c r="AB600" s="40">
        <v>46174</v>
      </c>
      <c r="AC600" s="36" t="s">
        <v>2196</v>
      </c>
      <c r="AD600" s="36" t="str">
        <f>VLOOKUP(D600,Oficial!A:C,3,0)</f>
        <v>Arrastre</v>
      </c>
    </row>
    <row r="601" spans="1:30" x14ac:dyDescent="0.25">
      <c r="A601" s="36" t="s">
        <v>27</v>
      </c>
      <c r="B601" s="36" t="s">
        <v>499</v>
      </c>
      <c r="C601" s="36" t="s">
        <v>28</v>
      </c>
      <c r="D601" s="36" t="s">
        <v>499</v>
      </c>
      <c r="E601" s="36" t="s">
        <v>30</v>
      </c>
      <c r="F601" s="36" t="s">
        <v>31</v>
      </c>
      <c r="G601" s="37" t="s">
        <v>500</v>
      </c>
      <c r="H601" s="36" t="s">
        <v>501</v>
      </c>
      <c r="I601" s="36" t="s">
        <v>502</v>
      </c>
      <c r="J601" s="36">
        <v>1</v>
      </c>
      <c r="K601" s="36" t="s">
        <v>503</v>
      </c>
      <c r="L601" s="36">
        <v>4</v>
      </c>
      <c r="M601" s="36">
        <v>16</v>
      </c>
      <c r="N601" s="38">
        <v>4687500</v>
      </c>
      <c r="O601" s="38">
        <v>4687500</v>
      </c>
      <c r="P601" s="36">
        <v>16</v>
      </c>
      <c r="Q601" s="36" t="s">
        <v>504</v>
      </c>
      <c r="R601" s="36" t="s">
        <v>505</v>
      </c>
      <c r="S601" s="36" t="s">
        <v>506</v>
      </c>
      <c r="T601" s="36" t="s">
        <v>507</v>
      </c>
      <c r="U601" s="36" t="s">
        <v>508</v>
      </c>
      <c r="V601" s="40">
        <v>45870</v>
      </c>
      <c r="W601" s="40">
        <v>45889</v>
      </c>
      <c r="X601" s="36">
        <v>0</v>
      </c>
      <c r="Y601" s="36"/>
      <c r="Z601" s="36">
        <v>1</v>
      </c>
      <c r="AA601" s="36">
        <v>4687500</v>
      </c>
      <c r="AB601" s="40">
        <v>46113</v>
      </c>
      <c r="AC601" s="36" t="s">
        <v>2196</v>
      </c>
      <c r="AD601" s="36" t="str">
        <f>VLOOKUP(D601,Oficial!A:C,3,0)</f>
        <v>Arrastre</v>
      </c>
    </row>
    <row r="602" spans="1:30" x14ac:dyDescent="0.25">
      <c r="A602" s="36" t="s">
        <v>27</v>
      </c>
      <c r="B602" s="36" t="s">
        <v>499</v>
      </c>
      <c r="C602" s="36" t="s">
        <v>28</v>
      </c>
      <c r="D602" s="36" t="s">
        <v>499</v>
      </c>
      <c r="E602" s="36" t="s">
        <v>30</v>
      </c>
      <c r="F602" s="36" t="s">
        <v>31</v>
      </c>
      <c r="G602" s="37" t="s">
        <v>500</v>
      </c>
      <c r="H602" s="36" t="s">
        <v>501</v>
      </c>
      <c r="I602" s="36" t="s">
        <v>502</v>
      </c>
      <c r="J602" s="36">
        <v>1</v>
      </c>
      <c r="K602" s="36" t="s">
        <v>503</v>
      </c>
      <c r="L602" s="36">
        <v>4</v>
      </c>
      <c r="M602" s="36">
        <v>16</v>
      </c>
      <c r="N602" s="38">
        <v>4687500</v>
      </c>
      <c r="O602" s="38">
        <v>4687500</v>
      </c>
      <c r="P602" s="36">
        <v>16</v>
      </c>
      <c r="Q602" s="36" t="s">
        <v>504</v>
      </c>
      <c r="R602" s="36" t="s">
        <v>505</v>
      </c>
      <c r="S602" s="36" t="s">
        <v>506</v>
      </c>
      <c r="T602" s="36" t="s">
        <v>507</v>
      </c>
      <c r="U602" s="36" t="s">
        <v>508</v>
      </c>
      <c r="V602" s="40">
        <v>45870</v>
      </c>
      <c r="W602" s="40">
        <v>45889</v>
      </c>
      <c r="X602" s="36">
        <v>0</v>
      </c>
      <c r="Y602" s="36"/>
      <c r="Z602" s="36">
        <v>1</v>
      </c>
      <c r="AA602" s="36">
        <v>4687500</v>
      </c>
      <c r="AB602" s="40">
        <v>46204</v>
      </c>
      <c r="AC602" s="36" t="s">
        <v>2196</v>
      </c>
      <c r="AD602" s="36" t="str">
        <f>VLOOKUP(D602,Oficial!A:C,3,0)</f>
        <v>Arrastre</v>
      </c>
    </row>
    <row r="603" spans="1:30" x14ac:dyDescent="0.25">
      <c r="A603" s="36" t="s">
        <v>27</v>
      </c>
      <c r="B603" s="36" t="s">
        <v>499</v>
      </c>
      <c r="C603" s="36" t="s">
        <v>28</v>
      </c>
      <c r="D603" s="36" t="s">
        <v>499</v>
      </c>
      <c r="E603" s="36" t="s">
        <v>30</v>
      </c>
      <c r="F603" s="36" t="s">
        <v>31</v>
      </c>
      <c r="G603" s="37" t="s">
        <v>500</v>
      </c>
      <c r="H603" s="36" t="s">
        <v>501</v>
      </c>
      <c r="I603" s="36" t="s">
        <v>502</v>
      </c>
      <c r="J603" s="36">
        <v>1</v>
      </c>
      <c r="K603" s="36" t="s">
        <v>503</v>
      </c>
      <c r="L603" s="36">
        <v>4</v>
      </c>
      <c r="M603" s="36">
        <v>16</v>
      </c>
      <c r="N603" s="38">
        <v>4687500</v>
      </c>
      <c r="O603" s="38">
        <v>4687500</v>
      </c>
      <c r="P603" s="36">
        <v>16</v>
      </c>
      <c r="Q603" s="36" t="s">
        <v>504</v>
      </c>
      <c r="R603" s="36" t="s">
        <v>505</v>
      </c>
      <c r="S603" s="36" t="s">
        <v>506</v>
      </c>
      <c r="T603" s="36" t="s">
        <v>507</v>
      </c>
      <c r="U603" s="36" t="s">
        <v>508</v>
      </c>
      <c r="V603" s="40">
        <v>45870</v>
      </c>
      <c r="W603" s="40">
        <v>45889</v>
      </c>
      <c r="X603" s="36">
        <v>0</v>
      </c>
      <c r="Y603" s="36"/>
      <c r="Z603" s="36">
        <v>1</v>
      </c>
      <c r="AA603" s="36">
        <v>4687500</v>
      </c>
      <c r="AB603" s="40">
        <v>46143</v>
      </c>
      <c r="AC603" s="36" t="s">
        <v>2196</v>
      </c>
      <c r="AD603" s="36" t="str">
        <f>VLOOKUP(D603,Oficial!A:C,3,0)</f>
        <v>Arrastre</v>
      </c>
    </row>
    <row r="604" spans="1:30" x14ac:dyDescent="0.25">
      <c r="A604" s="36" t="s">
        <v>27</v>
      </c>
      <c r="B604" s="36" t="s">
        <v>499</v>
      </c>
      <c r="C604" s="36" t="s">
        <v>28</v>
      </c>
      <c r="D604" s="36" t="s">
        <v>499</v>
      </c>
      <c r="E604" s="36" t="s">
        <v>30</v>
      </c>
      <c r="F604" s="36" t="s">
        <v>31</v>
      </c>
      <c r="G604" s="37" t="s">
        <v>500</v>
      </c>
      <c r="H604" s="36" t="s">
        <v>501</v>
      </c>
      <c r="I604" s="36" t="s">
        <v>502</v>
      </c>
      <c r="J604" s="36">
        <v>1</v>
      </c>
      <c r="K604" s="36" t="s">
        <v>503</v>
      </c>
      <c r="L604" s="36">
        <v>4</v>
      </c>
      <c r="M604" s="36">
        <v>16</v>
      </c>
      <c r="N604" s="38">
        <v>4687500</v>
      </c>
      <c r="O604" s="38">
        <v>4687500</v>
      </c>
      <c r="P604" s="36">
        <v>16</v>
      </c>
      <c r="Q604" s="36" t="s">
        <v>504</v>
      </c>
      <c r="R604" s="36" t="s">
        <v>505</v>
      </c>
      <c r="S604" s="36" t="s">
        <v>506</v>
      </c>
      <c r="T604" s="36" t="s">
        <v>507</v>
      </c>
      <c r="U604" s="36" t="s">
        <v>508</v>
      </c>
      <c r="V604" s="40">
        <v>45870</v>
      </c>
      <c r="W604" s="40">
        <v>45889</v>
      </c>
      <c r="X604" s="36">
        <v>0</v>
      </c>
      <c r="Y604" s="36"/>
      <c r="Z604" s="36">
        <v>1</v>
      </c>
      <c r="AA604" s="36">
        <v>4687500</v>
      </c>
      <c r="AB604" s="40">
        <v>46357</v>
      </c>
      <c r="AC604" s="36" t="s">
        <v>2196</v>
      </c>
      <c r="AD604" s="36" t="str">
        <f>VLOOKUP(D604,Oficial!A:C,3,0)</f>
        <v>Arrastre</v>
      </c>
    </row>
    <row r="605" spans="1:30" x14ac:dyDescent="0.25">
      <c r="A605" s="36" t="s">
        <v>27</v>
      </c>
      <c r="B605" s="36" t="s">
        <v>499</v>
      </c>
      <c r="C605" s="36" t="s">
        <v>28</v>
      </c>
      <c r="D605" s="36" t="s">
        <v>499</v>
      </c>
      <c r="E605" s="36" t="s">
        <v>30</v>
      </c>
      <c r="F605" s="36" t="s">
        <v>31</v>
      </c>
      <c r="G605" s="37" t="s">
        <v>500</v>
      </c>
      <c r="H605" s="36" t="s">
        <v>501</v>
      </c>
      <c r="I605" s="36" t="s">
        <v>502</v>
      </c>
      <c r="J605" s="36">
        <v>1</v>
      </c>
      <c r="K605" s="36" t="s">
        <v>503</v>
      </c>
      <c r="L605" s="36">
        <v>4</v>
      </c>
      <c r="M605" s="36">
        <v>16</v>
      </c>
      <c r="N605" s="38">
        <v>4687500</v>
      </c>
      <c r="O605" s="38">
        <v>4687500</v>
      </c>
      <c r="P605" s="36">
        <v>16</v>
      </c>
      <c r="Q605" s="36" t="s">
        <v>504</v>
      </c>
      <c r="R605" s="36" t="s">
        <v>505</v>
      </c>
      <c r="S605" s="36" t="s">
        <v>506</v>
      </c>
      <c r="T605" s="36" t="s">
        <v>507</v>
      </c>
      <c r="U605" s="36" t="s">
        <v>508</v>
      </c>
      <c r="V605" s="40">
        <v>45870</v>
      </c>
      <c r="W605" s="40">
        <v>45889</v>
      </c>
      <c r="X605" s="36">
        <v>0</v>
      </c>
      <c r="Y605" s="36"/>
      <c r="Z605" s="36">
        <v>1</v>
      </c>
      <c r="AA605" s="36">
        <v>4687500</v>
      </c>
      <c r="AB605" s="40">
        <v>46296</v>
      </c>
      <c r="AC605" s="36" t="s">
        <v>2196</v>
      </c>
      <c r="AD605" s="36" t="str">
        <f>VLOOKUP(D605,Oficial!A:C,3,0)</f>
        <v>Arrastre</v>
      </c>
    </row>
    <row r="606" spans="1:30" x14ac:dyDescent="0.25">
      <c r="A606" s="36" t="s">
        <v>27</v>
      </c>
      <c r="B606" s="36" t="s">
        <v>499</v>
      </c>
      <c r="C606" s="36" t="s">
        <v>28</v>
      </c>
      <c r="D606" s="36" t="s">
        <v>499</v>
      </c>
      <c r="E606" s="36" t="s">
        <v>30</v>
      </c>
      <c r="F606" s="36" t="s">
        <v>31</v>
      </c>
      <c r="G606" s="37" t="s">
        <v>500</v>
      </c>
      <c r="H606" s="36" t="s">
        <v>501</v>
      </c>
      <c r="I606" s="36" t="s">
        <v>502</v>
      </c>
      <c r="J606" s="36">
        <v>1</v>
      </c>
      <c r="K606" s="36" t="s">
        <v>503</v>
      </c>
      <c r="L606" s="36">
        <v>4</v>
      </c>
      <c r="M606" s="36">
        <v>16</v>
      </c>
      <c r="N606" s="38">
        <v>4687500</v>
      </c>
      <c r="O606" s="38">
        <v>4687500</v>
      </c>
      <c r="P606" s="36">
        <v>16</v>
      </c>
      <c r="Q606" s="36" t="s">
        <v>504</v>
      </c>
      <c r="R606" s="36" t="s">
        <v>505</v>
      </c>
      <c r="S606" s="36" t="s">
        <v>506</v>
      </c>
      <c r="T606" s="36" t="s">
        <v>507</v>
      </c>
      <c r="U606" s="36" t="s">
        <v>508</v>
      </c>
      <c r="V606" s="40">
        <v>45870</v>
      </c>
      <c r="W606" s="40">
        <v>45889</v>
      </c>
      <c r="X606" s="36">
        <v>0</v>
      </c>
      <c r="Y606" s="36"/>
      <c r="Z606" s="36">
        <v>1</v>
      </c>
      <c r="AA606" s="36">
        <v>4687500</v>
      </c>
      <c r="AB606" s="40">
        <v>46266</v>
      </c>
      <c r="AC606" s="36" t="s">
        <v>2196</v>
      </c>
      <c r="AD606" s="36" t="str">
        <f>VLOOKUP(D606,Oficial!A:C,3,0)</f>
        <v>Arrastre</v>
      </c>
    </row>
    <row r="607" spans="1:30" x14ac:dyDescent="0.25">
      <c r="A607" s="36" t="s">
        <v>27</v>
      </c>
      <c r="B607" s="36" t="s">
        <v>499</v>
      </c>
      <c r="C607" s="36" t="s">
        <v>28</v>
      </c>
      <c r="D607" s="36" t="s">
        <v>499</v>
      </c>
      <c r="E607" s="36" t="s">
        <v>30</v>
      </c>
      <c r="F607" s="36" t="s">
        <v>31</v>
      </c>
      <c r="G607" s="37" t="s">
        <v>500</v>
      </c>
      <c r="H607" s="36" t="s">
        <v>501</v>
      </c>
      <c r="I607" s="36" t="s">
        <v>502</v>
      </c>
      <c r="J607" s="36">
        <v>1</v>
      </c>
      <c r="K607" s="36" t="s">
        <v>503</v>
      </c>
      <c r="L607" s="36">
        <v>4</v>
      </c>
      <c r="M607" s="36">
        <v>16</v>
      </c>
      <c r="N607" s="38">
        <v>4687500</v>
      </c>
      <c r="O607" s="38">
        <v>4687500</v>
      </c>
      <c r="P607" s="36">
        <v>16</v>
      </c>
      <c r="Q607" s="36" t="s">
        <v>504</v>
      </c>
      <c r="R607" s="36" t="s">
        <v>505</v>
      </c>
      <c r="S607" s="36" t="s">
        <v>506</v>
      </c>
      <c r="T607" s="36" t="s">
        <v>507</v>
      </c>
      <c r="U607" s="36" t="s">
        <v>508</v>
      </c>
      <c r="V607" s="40">
        <v>45870</v>
      </c>
      <c r="W607" s="40">
        <v>45889</v>
      </c>
      <c r="X607" s="36">
        <v>0</v>
      </c>
      <c r="Y607" s="36"/>
      <c r="Z607" s="36">
        <v>1</v>
      </c>
      <c r="AA607" s="36">
        <v>4687500</v>
      </c>
      <c r="AB607" s="40">
        <v>46235</v>
      </c>
      <c r="AC607" s="36" t="s">
        <v>2196</v>
      </c>
      <c r="AD607" s="36" t="str">
        <f>VLOOKUP(D607,Oficial!A:C,3,0)</f>
        <v>Arrastre</v>
      </c>
    </row>
    <row r="608" spans="1:30" x14ac:dyDescent="0.25">
      <c r="A608" s="36" t="s">
        <v>27</v>
      </c>
      <c r="B608" s="36" t="s">
        <v>509</v>
      </c>
      <c r="C608" s="36" t="s">
        <v>28</v>
      </c>
      <c r="D608" s="36" t="s">
        <v>509</v>
      </c>
      <c r="E608" s="36" t="s">
        <v>30</v>
      </c>
      <c r="F608" s="36" t="s">
        <v>31</v>
      </c>
      <c r="G608" s="37" t="s">
        <v>215</v>
      </c>
      <c r="H608" s="36" t="s">
        <v>510</v>
      </c>
      <c r="I608" s="36" t="s">
        <v>511</v>
      </c>
      <c r="J608" s="36">
        <v>1</v>
      </c>
      <c r="K608" s="36" t="s">
        <v>512</v>
      </c>
      <c r="L608" s="36">
        <v>4</v>
      </c>
      <c r="M608" s="36">
        <v>1</v>
      </c>
      <c r="N608" s="38">
        <v>83594337</v>
      </c>
      <c r="O608" s="38">
        <v>6966194</v>
      </c>
      <c r="P608" s="36">
        <v>12</v>
      </c>
      <c r="Q608" s="36" t="s">
        <v>413</v>
      </c>
      <c r="R608" s="36" t="s">
        <v>513</v>
      </c>
      <c r="S608" s="36" t="s">
        <v>514</v>
      </c>
      <c r="T608" s="36" t="s">
        <v>515</v>
      </c>
      <c r="U608" s="36" t="s">
        <v>516</v>
      </c>
      <c r="V608" s="40">
        <v>45870</v>
      </c>
      <c r="W608" s="40">
        <v>45889</v>
      </c>
      <c r="X608" s="36">
        <v>0</v>
      </c>
      <c r="Y608" s="36"/>
      <c r="Z608" s="36">
        <v>1</v>
      </c>
      <c r="AA608" s="36">
        <v>6966194</v>
      </c>
      <c r="AB608" s="40">
        <v>46296</v>
      </c>
      <c r="AC608" s="36" t="s">
        <v>2196</v>
      </c>
      <c r="AD608" s="36" t="str">
        <f>VLOOKUP(D608,Oficial!A:C,3,0)</f>
        <v>Arrastre</v>
      </c>
    </row>
    <row r="609" spans="1:30" x14ac:dyDescent="0.25">
      <c r="A609" s="36" t="s">
        <v>27</v>
      </c>
      <c r="B609" s="36" t="s">
        <v>509</v>
      </c>
      <c r="C609" s="36" t="s">
        <v>28</v>
      </c>
      <c r="D609" s="36" t="s">
        <v>509</v>
      </c>
      <c r="E609" s="36" t="s">
        <v>30</v>
      </c>
      <c r="F609" s="36" t="s">
        <v>31</v>
      </c>
      <c r="G609" s="37" t="s">
        <v>215</v>
      </c>
      <c r="H609" s="36" t="s">
        <v>510</v>
      </c>
      <c r="I609" s="36" t="s">
        <v>511</v>
      </c>
      <c r="J609" s="36">
        <v>1</v>
      </c>
      <c r="K609" s="36" t="s">
        <v>512</v>
      </c>
      <c r="L609" s="36">
        <v>4</v>
      </c>
      <c r="M609" s="36">
        <v>1</v>
      </c>
      <c r="N609" s="38">
        <v>83594337</v>
      </c>
      <c r="O609" s="38">
        <v>6966194</v>
      </c>
      <c r="P609" s="36">
        <v>12</v>
      </c>
      <c r="Q609" s="36" t="s">
        <v>413</v>
      </c>
      <c r="R609" s="36" t="s">
        <v>513</v>
      </c>
      <c r="S609" s="36" t="s">
        <v>514</v>
      </c>
      <c r="T609" s="36" t="s">
        <v>515</v>
      </c>
      <c r="U609" s="36" t="s">
        <v>516</v>
      </c>
      <c r="V609" s="40">
        <v>45870</v>
      </c>
      <c r="W609" s="40">
        <v>45889</v>
      </c>
      <c r="X609" s="36">
        <v>0</v>
      </c>
      <c r="Y609" s="36"/>
      <c r="Z609" s="36">
        <v>1</v>
      </c>
      <c r="AA609" s="36">
        <v>6966194</v>
      </c>
      <c r="AB609" s="40">
        <v>46204</v>
      </c>
      <c r="AC609" s="36" t="s">
        <v>2196</v>
      </c>
      <c r="AD609" s="36" t="str">
        <f>VLOOKUP(D609,Oficial!A:C,3,0)</f>
        <v>Arrastre</v>
      </c>
    </row>
    <row r="610" spans="1:30" x14ac:dyDescent="0.25">
      <c r="A610" s="36" t="s">
        <v>27</v>
      </c>
      <c r="B610" s="36" t="s">
        <v>509</v>
      </c>
      <c r="C610" s="36" t="s">
        <v>28</v>
      </c>
      <c r="D610" s="36" t="s">
        <v>509</v>
      </c>
      <c r="E610" s="36" t="s">
        <v>30</v>
      </c>
      <c r="F610" s="36" t="s">
        <v>31</v>
      </c>
      <c r="G610" s="37" t="s">
        <v>215</v>
      </c>
      <c r="H610" s="36" t="s">
        <v>510</v>
      </c>
      <c r="I610" s="36" t="s">
        <v>511</v>
      </c>
      <c r="J610" s="36">
        <v>1</v>
      </c>
      <c r="K610" s="36" t="s">
        <v>512</v>
      </c>
      <c r="L610" s="36">
        <v>4</v>
      </c>
      <c r="M610" s="36">
        <v>1</v>
      </c>
      <c r="N610" s="38">
        <v>83594337</v>
      </c>
      <c r="O610" s="38">
        <v>6966194</v>
      </c>
      <c r="P610" s="36">
        <v>12</v>
      </c>
      <c r="Q610" s="36" t="s">
        <v>413</v>
      </c>
      <c r="R610" s="36" t="s">
        <v>513</v>
      </c>
      <c r="S610" s="36" t="s">
        <v>514</v>
      </c>
      <c r="T610" s="36" t="s">
        <v>515</v>
      </c>
      <c r="U610" s="36" t="s">
        <v>516</v>
      </c>
      <c r="V610" s="40">
        <v>45870</v>
      </c>
      <c r="W610" s="40">
        <v>45889</v>
      </c>
      <c r="X610" s="36">
        <v>0</v>
      </c>
      <c r="Y610" s="36"/>
      <c r="Z610" s="36">
        <v>1</v>
      </c>
      <c r="AA610" s="36">
        <v>6966194</v>
      </c>
      <c r="AB610" s="40">
        <v>46023</v>
      </c>
      <c r="AC610" s="36" t="s">
        <v>2196</v>
      </c>
      <c r="AD610" s="36" t="str">
        <f>VLOOKUP(D610,Oficial!A:C,3,0)</f>
        <v>Arrastre</v>
      </c>
    </row>
    <row r="611" spans="1:30" x14ac:dyDescent="0.25">
      <c r="A611" s="36" t="s">
        <v>27</v>
      </c>
      <c r="B611" s="36" t="s">
        <v>509</v>
      </c>
      <c r="C611" s="36" t="s">
        <v>28</v>
      </c>
      <c r="D611" s="36" t="s">
        <v>509</v>
      </c>
      <c r="E611" s="36" t="s">
        <v>30</v>
      </c>
      <c r="F611" s="36" t="s">
        <v>31</v>
      </c>
      <c r="G611" s="37" t="s">
        <v>215</v>
      </c>
      <c r="H611" s="36" t="s">
        <v>510</v>
      </c>
      <c r="I611" s="36" t="s">
        <v>511</v>
      </c>
      <c r="J611" s="36">
        <v>1</v>
      </c>
      <c r="K611" s="36" t="s">
        <v>512</v>
      </c>
      <c r="L611" s="36">
        <v>4</v>
      </c>
      <c r="M611" s="36">
        <v>1</v>
      </c>
      <c r="N611" s="38">
        <v>83594337</v>
      </c>
      <c r="O611" s="38">
        <v>6966194</v>
      </c>
      <c r="P611" s="36">
        <v>12</v>
      </c>
      <c r="Q611" s="36" t="s">
        <v>413</v>
      </c>
      <c r="R611" s="36" t="s">
        <v>513</v>
      </c>
      <c r="S611" s="36" t="s">
        <v>514</v>
      </c>
      <c r="T611" s="36" t="s">
        <v>515</v>
      </c>
      <c r="U611" s="36" t="s">
        <v>516</v>
      </c>
      <c r="V611" s="40">
        <v>45870</v>
      </c>
      <c r="W611" s="40">
        <v>45889</v>
      </c>
      <c r="X611" s="36">
        <v>0</v>
      </c>
      <c r="Y611" s="36"/>
      <c r="Z611" s="36">
        <v>1</v>
      </c>
      <c r="AA611" s="36">
        <v>6966194</v>
      </c>
      <c r="AB611" s="40">
        <v>46143</v>
      </c>
      <c r="AC611" s="36" t="s">
        <v>2196</v>
      </c>
      <c r="AD611" s="36" t="str">
        <f>VLOOKUP(D611,Oficial!A:C,3,0)</f>
        <v>Arrastre</v>
      </c>
    </row>
    <row r="612" spans="1:30" x14ac:dyDescent="0.25">
      <c r="A612" s="36" t="s">
        <v>27</v>
      </c>
      <c r="B612" s="36" t="s">
        <v>509</v>
      </c>
      <c r="C612" s="36" t="s">
        <v>28</v>
      </c>
      <c r="D612" s="36" t="s">
        <v>509</v>
      </c>
      <c r="E612" s="36" t="s">
        <v>30</v>
      </c>
      <c r="F612" s="36" t="s">
        <v>31</v>
      </c>
      <c r="G612" s="37" t="s">
        <v>215</v>
      </c>
      <c r="H612" s="36" t="s">
        <v>510</v>
      </c>
      <c r="I612" s="36" t="s">
        <v>511</v>
      </c>
      <c r="J612" s="36">
        <v>1</v>
      </c>
      <c r="K612" s="36" t="s">
        <v>512</v>
      </c>
      <c r="L612" s="36">
        <v>4</v>
      </c>
      <c r="M612" s="36">
        <v>1</v>
      </c>
      <c r="N612" s="38">
        <v>83594337</v>
      </c>
      <c r="O612" s="38">
        <v>6966194</v>
      </c>
      <c r="P612" s="36">
        <v>12</v>
      </c>
      <c r="Q612" s="36" t="s">
        <v>413</v>
      </c>
      <c r="R612" s="36" t="s">
        <v>513</v>
      </c>
      <c r="S612" s="36" t="s">
        <v>514</v>
      </c>
      <c r="T612" s="36" t="s">
        <v>515</v>
      </c>
      <c r="U612" s="36" t="s">
        <v>516</v>
      </c>
      <c r="V612" s="40">
        <v>45870</v>
      </c>
      <c r="W612" s="40">
        <v>45889</v>
      </c>
      <c r="X612" s="36">
        <v>0</v>
      </c>
      <c r="Y612" s="36"/>
      <c r="Z612" s="36">
        <v>1</v>
      </c>
      <c r="AA612" s="36">
        <v>6966194</v>
      </c>
      <c r="AB612" s="40">
        <v>46174</v>
      </c>
      <c r="AC612" s="36" t="s">
        <v>2196</v>
      </c>
      <c r="AD612" s="36" t="str">
        <f>VLOOKUP(D612,Oficial!A:C,3,0)</f>
        <v>Arrastre</v>
      </c>
    </row>
    <row r="613" spans="1:30" x14ac:dyDescent="0.25">
      <c r="A613" s="36" t="s">
        <v>27</v>
      </c>
      <c r="B613" s="36" t="s">
        <v>509</v>
      </c>
      <c r="C613" s="36" t="s">
        <v>28</v>
      </c>
      <c r="D613" s="36" t="s">
        <v>509</v>
      </c>
      <c r="E613" s="36" t="s">
        <v>30</v>
      </c>
      <c r="F613" s="36" t="s">
        <v>31</v>
      </c>
      <c r="G613" s="37" t="s">
        <v>215</v>
      </c>
      <c r="H613" s="36" t="s">
        <v>510</v>
      </c>
      <c r="I613" s="36" t="s">
        <v>511</v>
      </c>
      <c r="J613" s="36">
        <v>1</v>
      </c>
      <c r="K613" s="36" t="s">
        <v>512</v>
      </c>
      <c r="L613" s="36">
        <v>4</v>
      </c>
      <c r="M613" s="36">
        <v>1</v>
      </c>
      <c r="N613" s="38">
        <v>83594337</v>
      </c>
      <c r="O613" s="38">
        <v>6966194</v>
      </c>
      <c r="P613" s="36">
        <v>12</v>
      </c>
      <c r="Q613" s="36" t="s">
        <v>413</v>
      </c>
      <c r="R613" s="36" t="s">
        <v>513</v>
      </c>
      <c r="S613" s="36" t="s">
        <v>514</v>
      </c>
      <c r="T613" s="36" t="s">
        <v>515</v>
      </c>
      <c r="U613" s="36" t="s">
        <v>516</v>
      </c>
      <c r="V613" s="40">
        <v>45870</v>
      </c>
      <c r="W613" s="40">
        <v>45889</v>
      </c>
      <c r="X613" s="36">
        <v>0</v>
      </c>
      <c r="Y613" s="36"/>
      <c r="Z613" s="36">
        <v>1</v>
      </c>
      <c r="AA613" s="36">
        <v>6966194</v>
      </c>
      <c r="AB613" s="40">
        <v>46113</v>
      </c>
      <c r="AC613" s="36" t="s">
        <v>2196</v>
      </c>
      <c r="AD613" s="36" t="str">
        <f>VLOOKUP(D613,Oficial!A:C,3,0)</f>
        <v>Arrastre</v>
      </c>
    </row>
    <row r="614" spans="1:30" x14ac:dyDescent="0.25">
      <c r="A614" s="36" t="s">
        <v>27</v>
      </c>
      <c r="B614" s="36" t="s">
        <v>509</v>
      </c>
      <c r="C614" s="36" t="s">
        <v>28</v>
      </c>
      <c r="D614" s="36" t="s">
        <v>509</v>
      </c>
      <c r="E614" s="36" t="s">
        <v>30</v>
      </c>
      <c r="F614" s="36" t="s">
        <v>31</v>
      </c>
      <c r="G614" s="37" t="s">
        <v>215</v>
      </c>
      <c r="H614" s="36" t="s">
        <v>510</v>
      </c>
      <c r="I614" s="36" t="s">
        <v>511</v>
      </c>
      <c r="J614" s="36">
        <v>1</v>
      </c>
      <c r="K614" s="36" t="s">
        <v>512</v>
      </c>
      <c r="L614" s="36">
        <v>4</v>
      </c>
      <c r="M614" s="36">
        <v>1</v>
      </c>
      <c r="N614" s="38">
        <v>83594337</v>
      </c>
      <c r="O614" s="38">
        <v>6966194</v>
      </c>
      <c r="P614" s="36">
        <v>12</v>
      </c>
      <c r="Q614" s="36" t="s">
        <v>413</v>
      </c>
      <c r="R614" s="36" t="s">
        <v>513</v>
      </c>
      <c r="S614" s="36" t="s">
        <v>514</v>
      </c>
      <c r="T614" s="36" t="s">
        <v>515</v>
      </c>
      <c r="U614" s="36" t="s">
        <v>516</v>
      </c>
      <c r="V614" s="40">
        <v>45870</v>
      </c>
      <c r="W614" s="40">
        <v>45889</v>
      </c>
      <c r="X614" s="36">
        <v>0</v>
      </c>
      <c r="Y614" s="36"/>
      <c r="Z614" s="36">
        <v>1</v>
      </c>
      <c r="AA614" s="36">
        <v>6966194</v>
      </c>
      <c r="AB614" s="40">
        <v>46082</v>
      </c>
      <c r="AC614" s="36" t="s">
        <v>2196</v>
      </c>
      <c r="AD614" s="36" t="str">
        <f>VLOOKUP(D614,Oficial!A:C,3,0)</f>
        <v>Arrastre</v>
      </c>
    </row>
    <row r="615" spans="1:30" x14ac:dyDescent="0.25">
      <c r="A615" s="36" t="s">
        <v>27</v>
      </c>
      <c r="B615" s="36" t="s">
        <v>509</v>
      </c>
      <c r="C615" s="36" t="s">
        <v>28</v>
      </c>
      <c r="D615" s="36" t="s">
        <v>509</v>
      </c>
      <c r="E615" s="36" t="s">
        <v>30</v>
      </c>
      <c r="F615" s="36" t="s">
        <v>31</v>
      </c>
      <c r="G615" s="37" t="s">
        <v>215</v>
      </c>
      <c r="H615" s="36" t="s">
        <v>510</v>
      </c>
      <c r="I615" s="36" t="s">
        <v>511</v>
      </c>
      <c r="J615" s="36">
        <v>1</v>
      </c>
      <c r="K615" s="36" t="s">
        <v>512</v>
      </c>
      <c r="L615" s="36">
        <v>4</v>
      </c>
      <c r="M615" s="36">
        <v>1</v>
      </c>
      <c r="N615" s="38">
        <v>83594337</v>
      </c>
      <c r="O615" s="38">
        <v>6966194</v>
      </c>
      <c r="P615" s="36">
        <v>12</v>
      </c>
      <c r="Q615" s="36" t="s">
        <v>413</v>
      </c>
      <c r="R615" s="36" t="s">
        <v>513</v>
      </c>
      <c r="S615" s="36" t="s">
        <v>514</v>
      </c>
      <c r="T615" s="36" t="s">
        <v>515</v>
      </c>
      <c r="U615" s="36" t="s">
        <v>516</v>
      </c>
      <c r="V615" s="40">
        <v>45870</v>
      </c>
      <c r="W615" s="40">
        <v>45889</v>
      </c>
      <c r="X615" s="36">
        <v>0</v>
      </c>
      <c r="Y615" s="36"/>
      <c r="Z615" s="36">
        <v>1</v>
      </c>
      <c r="AA615" s="36">
        <v>6966194</v>
      </c>
      <c r="AB615" s="40">
        <v>46327</v>
      </c>
      <c r="AC615" s="36" t="s">
        <v>2196</v>
      </c>
      <c r="AD615" s="36" t="str">
        <f>VLOOKUP(D615,Oficial!A:C,3,0)</f>
        <v>Arrastre</v>
      </c>
    </row>
    <row r="616" spans="1:30" x14ac:dyDescent="0.25">
      <c r="A616" s="36" t="s">
        <v>27</v>
      </c>
      <c r="B616" s="36" t="s">
        <v>509</v>
      </c>
      <c r="C616" s="36" t="s">
        <v>28</v>
      </c>
      <c r="D616" s="36" t="s">
        <v>509</v>
      </c>
      <c r="E616" s="36" t="s">
        <v>30</v>
      </c>
      <c r="F616" s="36" t="s">
        <v>31</v>
      </c>
      <c r="G616" s="37" t="s">
        <v>215</v>
      </c>
      <c r="H616" s="36" t="s">
        <v>510</v>
      </c>
      <c r="I616" s="36" t="s">
        <v>511</v>
      </c>
      <c r="J616" s="36">
        <v>1</v>
      </c>
      <c r="K616" s="36" t="s">
        <v>512</v>
      </c>
      <c r="L616" s="36">
        <v>4</v>
      </c>
      <c r="M616" s="36">
        <v>1</v>
      </c>
      <c r="N616" s="38">
        <v>83594337</v>
      </c>
      <c r="O616" s="38">
        <v>6966203</v>
      </c>
      <c r="P616" s="36">
        <v>12</v>
      </c>
      <c r="Q616" s="36" t="s">
        <v>413</v>
      </c>
      <c r="R616" s="36" t="s">
        <v>513</v>
      </c>
      <c r="S616" s="36" t="s">
        <v>514</v>
      </c>
      <c r="T616" s="36" t="s">
        <v>515</v>
      </c>
      <c r="U616" s="36" t="s">
        <v>516</v>
      </c>
      <c r="V616" s="40">
        <v>45870</v>
      </c>
      <c r="W616" s="40">
        <v>45889</v>
      </c>
      <c r="X616" s="36">
        <v>0</v>
      </c>
      <c r="Y616" s="36"/>
      <c r="Z616" s="36">
        <v>1</v>
      </c>
      <c r="AA616" s="36">
        <v>6966203</v>
      </c>
      <c r="AB616" s="40">
        <v>46357</v>
      </c>
      <c r="AC616" s="36" t="s">
        <v>2196</v>
      </c>
      <c r="AD616" s="36" t="str">
        <f>VLOOKUP(D616,Oficial!A:C,3,0)</f>
        <v>Arrastre</v>
      </c>
    </row>
    <row r="617" spans="1:30" x14ac:dyDescent="0.25">
      <c r="A617" s="36" t="s">
        <v>27</v>
      </c>
      <c r="B617" s="36" t="s">
        <v>509</v>
      </c>
      <c r="C617" s="36" t="s">
        <v>28</v>
      </c>
      <c r="D617" s="36" t="s">
        <v>509</v>
      </c>
      <c r="E617" s="36" t="s">
        <v>30</v>
      </c>
      <c r="F617" s="36" t="s">
        <v>31</v>
      </c>
      <c r="G617" s="37" t="s">
        <v>215</v>
      </c>
      <c r="H617" s="36" t="s">
        <v>510</v>
      </c>
      <c r="I617" s="36" t="s">
        <v>511</v>
      </c>
      <c r="J617" s="36">
        <v>1</v>
      </c>
      <c r="K617" s="36" t="s">
        <v>512</v>
      </c>
      <c r="L617" s="36">
        <v>4</v>
      </c>
      <c r="M617" s="36">
        <v>1</v>
      </c>
      <c r="N617" s="38">
        <v>83594337</v>
      </c>
      <c r="O617" s="38">
        <v>6966194</v>
      </c>
      <c r="P617" s="36">
        <v>12</v>
      </c>
      <c r="Q617" s="36" t="s">
        <v>413</v>
      </c>
      <c r="R617" s="36" t="s">
        <v>513</v>
      </c>
      <c r="S617" s="36" t="s">
        <v>514</v>
      </c>
      <c r="T617" s="36" t="s">
        <v>515</v>
      </c>
      <c r="U617" s="36" t="s">
        <v>516</v>
      </c>
      <c r="V617" s="40">
        <v>45870</v>
      </c>
      <c r="W617" s="40">
        <v>45889</v>
      </c>
      <c r="X617" s="36">
        <v>0</v>
      </c>
      <c r="Y617" s="36"/>
      <c r="Z617" s="36">
        <v>1</v>
      </c>
      <c r="AA617" s="36">
        <v>6966194</v>
      </c>
      <c r="AB617" s="40">
        <v>46235</v>
      </c>
      <c r="AC617" s="36" t="s">
        <v>2196</v>
      </c>
      <c r="AD617" s="36" t="str">
        <f>VLOOKUP(D617,Oficial!A:C,3,0)</f>
        <v>Arrastre</v>
      </c>
    </row>
    <row r="618" spans="1:30" x14ac:dyDescent="0.25">
      <c r="A618" s="36" t="s">
        <v>27</v>
      </c>
      <c r="B618" s="36" t="s">
        <v>509</v>
      </c>
      <c r="C618" s="36" t="s">
        <v>28</v>
      </c>
      <c r="D618" s="36" t="s">
        <v>509</v>
      </c>
      <c r="E618" s="36" t="s">
        <v>30</v>
      </c>
      <c r="F618" s="36" t="s">
        <v>31</v>
      </c>
      <c r="G618" s="37" t="s">
        <v>215</v>
      </c>
      <c r="H618" s="36" t="s">
        <v>510</v>
      </c>
      <c r="I618" s="36" t="s">
        <v>511</v>
      </c>
      <c r="J618" s="36">
        <v>1</v>
      </c>
      <c r="K618" s="36" t="s">
        <v>512</v>
      </c>
      <c r="L618" s="36">
        <v>4</v>
      </c>
      <c r="M618" s="36">
        <v>1</v>
      </c>
      <c r="N618" s="38">
        <v>83594337</v>
      </c>
      <c r="O618" s="38">
        <v>6966194</v>
      </c>
      <c r="P618" s="36">
        <v>12</v>
      </c>
      <c r="Q618" s="36" t="s">
        <v>413</v>
      </c>
      <c r="R618" s="36" t="s">
        <v>513</v>
      </c>
      <c r="S618" s="36" t="s">
        <v>514</v>
      </c>
      <c r="T618" s="36" t="s">
        <v>515</v>
      </c>
      <c r="U618" s="36" t="s">
        <v>516</v>
      </c>
      <c r="V618" s="40">
        <v>45870</v>
      </c>
      <c r="W618" s="40">
        <v>45889</v>
      </c>
      <c r="X618" s="36">
        <v>0</v>
      </c>
      <c r="Y618" s="36"/>
      <c r="Z618" s="36">
        <v>1</v>
      </c>
      <c r="AA618" s="36">
        <v>6966194</v>
      </c>
      <c r="AB618" s="40">
        <v>46054</v>
      </c>
      <c r="AC618" s="36" t="s">
        <v>2196</v>
      </c>
      <c r="AD618" s="36" t="str">
        <f>VLOOKUP(D618,Oficial!A:C,3,0)</f>
        <v>Arrastre</v>
      </c>
    </row>
    <row r="619" spans="1:30" x14ac:dyDescent="0.25">
      <c r="A619" s="36" t="s">
        <v>27</v>
      </c>
      <c r="B619" s="36" t="s">
        <v>509</v>
      </c>
      <c r="C619" s="36" t="s">
        <v>28</v>
      </c>
      <c r="D619" s="36" t="s">
        <v>509</v>
      </c>
      <c r="E619" s="36" t="s">
        <v>30</v>
      </c>
      <c r="F619" s="36" t="s">
        <v>31</v>
      </c>
      <c r="G619" s="37" t="s">
        <v>215</v>
      </c>
      <c r="H619" s="36" t="s">
        <v>510</v>
      </c>
      <c r="I619" s="36" t="s">
        <v>511</v>
      </c>
      <c r="J619" s="36">
        <v>1</v>
      </c>
      <c r="K619" s="36" t="s">
        <v>512</v>
      </c>
      <c r="L619" s="36">
        <v>4</v>
      </c>
      <c r="M619" s="36">
        <v>1</v>
      </c>
      <c r="N619" s="38">
        <v>83594337</v>
      </c>
      <c r="O619" s="38">
        <v>6966194</v>
      </c>
      <c r="P619" s="36">
        <v>12</v>
      </c>
      <c r="Q619" s="36" t="s">
        <v>413</v>
      </c>
      <c r="R619" s="36" t="s">
        <v>513</v>
      </c>
      <c r="S619" s="36" t="s">
        <v>514</v>
      </c>
      <c r="T619" s="36" t="s">
        <v>515</v>
      </c>
      <c r="U619" s="36" t="s">
        <v>516</v>
      </c>
      <c r="V619" s="40">
        <v>45870</v>
      </c>
      <c r="W619" s="40">
        <v>45889</v>
      </c>
      <c r="X619" s="36">
        <v>0</v>
      </c>
      <c r="Y619" s="36"/>
      <c r="Z619" s="36">
        <v>1</v>
      </c>
      <c r="AA619" s="36">
        <v>6966194</v>
      </c>
      <c r="AB619" s="40">
        <v>46266</v>
      </c>
      <c r="AC619" s="36" t="s">
        <v>2196</v>
      </c>
      <c r="AD619" s="36" t="str">
        <f>VLOOKUP(D619,Oficial!A:C,3,0)</f>
        <v>Arrastre</v>
      </c>
    </row>
    <row r="620" spans="1:30" x14ac:dyDescent="0.25">
      <c r="A620" s="36" t="s">
        <v>27</v>
      </c>
      <c r="B620" s="36" t="s">
        <v>517</v>
      </c>
      <c r="C620" s="36" t="s">
        <v>28</v>
      </c>
      <c r="D620" s="36" t="s">
        <v>517</v>
      </c>
      <c r="E620" s="36" t="s">
        <v>30</v>
      </c>
      <c r="F620" s="36" t="s">
        <v>31</v>
      </c>
      <c r="G620" s="37" t="s">
        <v>149</v>
      </c>
      <c r="H620" s="36" t="s">
        <v>518</v>
      </c>
      <c r="I620" s="36" t="s">
        <v>519</v>
      </c>
      <c r="J620" s="36">
        <v>1</v>
      </c>
      <c r="K620" s="36" t="s">
        <v>520</v>
      </c>
      <c r="L620" s="36">
        <v>4</v>
      </c>
      <c r="M620" s="36">
        <v>1</v>
      </c>
      <c r="N620" s="38">
        <v>12740000</v>
      </c>
      <c r="O620" s="44">
        <v>849333</v>
      </c>
      <c r="P620" s="36">
        <v>15</v>
      </c>
      <c r="Q620" s="36" t="s">
        <v>521</v>
      </c>
      <c r="R620" s="36" t="s">
        <v>522</v>
      </c>
      <c r="S620" s="36" t="s">
        <v>523</v>
      </c>
      <c r="T620" s="36" t="s">
        <v>524</v>
      </c>
      <c r="U620" s="36" t="s">
        <v>525</v>
      </c>
      <c r="V620" s="40">
        <v>45870</v>
      </c>
      <c r="W620" s="40">
        <v>45889</v>
      </c>
      <c r="X620" s="36">
        <v>1</v>
      </c>
      <c r="Y620" s="36" t="s">
        <v>526</v>
      </c>
      <c r="Z620" s="36">
        <v>1</v>
      </c>
      <c r="AA620" s="36">
        <v>849333</v>
      </c>
      <c r="AB620" s="40">
        <v>46143</v>
      </c>
      <c r="AC620" s="36" t="s">
        <v>2196</v>
      </c>
      <c r="AD620" s="36" t="str">
        <f>VLOOKUP(D620,Oficial!A:C,3,0)</f>
        <v>Arrastre</v>
      </c>
    </row>
    <row r="621" spans="1:30" x14ac:dyDescent="0.25">
      <c r="A621" s="36" t="s">
        <v>27</v>
      </c>
      <c r="B621" s="36" t="s">
        <v>517</v>
      </c>
      <c r="C621" s="36" t="s">
        <v>28</v>
      </c>
      <c r="D621" s="36" t="s">
        <v>517</v>
      </c>
      <c r="E621" s="36" t="s">
        <v>30</v>
      </c>
      <c r="F621" s="36" t="s">
        <v>31</v>
      </c>
      <c r="G621" s="37" t="s">
        <v>149</v>
      </c>
      <c r="H621" s="36" t="s">
        <v>518</v>
      </c>
      <c r="I621" s="36" t="s">
        <v>519</v>
      </c>
      <c r="J621" s="36">
        <v>1</v>
      </c>
      <c r="K621" s="36" t="s">
        <v>520</v>
      </c>
      <c r="L621" s="36">
        <v>4</v>
      </c>
      <c r="M621" s="36">
        <v>1</v>
      </c>
      <c r="N621" s="38">
        <v>12740000</v>
      </c>
      <c r="O621" s="44">
        <v>849333</v>
      </c>
      <c r="P621" s="36">
        <v>15</v>
      </c>
      <c r="Q621" s="36" t="s">
        <v>521</v>
      </c>
      <c r="R621" s="36" t="s">
        <v>522</v>
      </c>
      <c r="S621" s="36" t="s">
        <v>523</v>
      </c>
      <c r="T621" s="36" t="s">
        <v>524</v>
      </c>
      <c r="U621" s="36" t="s">
        <v>525</v>
      </c>
      <c r="V621" s="40">
        <v>45870</v>
      </c>
      <c r="W621" s="40">
        <v>45889</v>
      </c>
      <c r="X621" s="36">
        <v>1</v>
      </c>
      <c r="Y621" s="36" t="s">
        <v>526</v>
      </c>
      <c r="Z621" s="36">
        <v>1</v>
      </c>
      <c r="AA621" s="36">
        <v>849333</v>
      </c>
      <c r="AB621" s="40">
        <v>46113</v>
      </c>
      <c r="AC621" s="36" t="s">
        <v>2196</v>
      </c>
      <c r="AD621" s="36" t="str">
        <f>VLOOKUP(D621,Oficial!A:C,3,0)</f>
        <v>Arrastre</v>
      </c>
    </row>
    <row r="622" spans="1:30" x14ac:dyDescent="0.25">
      <c r="A622" s="36" t="s">
        <v>27</v>
      </c>
      <c r="B622" s="36" t="s">
        <v>517</v>
      </c>
      <c r="C622" s="36" t="s">
        <v>28</v>
      </c>
      <c r="D622" s="36" t="s">
        <v>517</v>
      </c>
      <c r="E622" s="36" t="s">
        <v>30</v>
      </c>
      <c r="F622" s="36" t="s">
        <v>31</v>
      </c>
      <c r="G622" s="37" t="s">
        <v>149</v>
      </c>
      <c r="H622" s="36" t="s">
        <v>518</v>
      </c>
      <c r="I622" s="36" t="s">
        <v>519</v>
      </c>
      <c r="J622" s="36">
        <v>1</v>
      </c>
      <c r="K622" s="36" t="s">
        <v>520</v>
      </c>
      <c r="L622" s="36">
        <v>4</v>
      </c>
      <c r="M622" s="36">
        <v>1</v>
      </c>
      <c r="N622" s="38">
        <v>12740000</v>
      </c>
      <c r="O622" s="44">
        <v>849333</v>
      </c>
      <c r="P622" s="36">
        <v>15</v>
      </c>
      <c r="Q622" s="36" t="s">
        <v>521</v>
      </c>
      <c r="R622" s="36" t="s">
        <v>522</v>
      </c>
      <c r="S622" s="36" t="s">
        <v>523</v>
      </c>
      <c r="T622" s="36" t="s">
        <v>524</v>
      </c>
      <c r="U622" s="36" t="s">
        <v>525</v>
      </c>
      <c r="V622" s="40">
        <v>45870</v>
      </c>
      <c r="W622" s="40">
        <v>45889</v>
      </c>
      <c r="X622" s="36">
        <v>1</v>
      </c>
      <c r="Y622" s="36" t="s">
        <v>526</v>
      </c>
      <c r="Z622" s="36">
        <v>1</v>
      </c>
      <c r="AA622" s="36">
        <v>849333</v>
      </c>
      <c r="AB622" s="40">
        <v>46082</v>
      </c>
      <c r="AC622" s="36" t="s">
        <v>2196</v>
      </c>
      <c r="AD622" s="36" t="str">
        <f>VLOOKUP(D622,Oficial!A:C,3,0)</f>
        <v>Arrastre</v>
      </c>
    </row>
    <row r="623" spans="1:30" x14ac:dyDescent="0.25">
      <c r="A623" s="36" t="s">
        <v>27</v>
      </c>
      <c r="B623" s="36" t="s">
        <v>517</v>
      </c>
      <c r="C623" s="36" t="s">
        <v>28</v>
      </c>
      <c r="D623" s="36" t="s">
        <v>517</v>
      </c>
      <c r="E623" s="36" t="s">
        <v>30</v>
      </c>
      <c r="F623" s="36" t="s">
        <v>31</v>
      </c>
      <c r="G623" s="37" t="s">
        <v>149</v>
      </c>
      <c r="H623" s="36" t="s">
        <v>518</v>
      </c>
      <c r="I623" s="36" t="s">
        <v>519</v>
      </c>
      <c r="J623" s="36">
        <v>1</v>
      </c>
      <c r="K623" s="36" t="s">
        <v>520</v>
      </c>
      <c r="L623" s="36">
        <v>4</v>
      </c>
      <c r="M623" s="36">
        <v>1</v>
      </c>
      <c r="N623" s="38">
        <v>12740000</v>
      </c>
      <c r="O623" s="44">
        <v>849333</v>
      </c>
      <c r="P623" s="36">
        <v>15</v>
      </c>
      <c r="Q623" s="36" t="s">
        <v>521</v>
      </c>
      <c r="R623" s="36" t="s">
        <v>522</v>
      </c>
      <c r="S623" s="36" t="s">
        <v>523</v>
      </c>
      <c r="T623" s="36" t="s">
        <v>524</v>
      </c>
      <c r="U623" s="36" t="s">
        <v>525</v>
      </c>
      <c r="V623" s="40">
        <v>45870</v>
      </c>
      <c r="W623" s="40">
        <v>45889</v>
      </c>
      <c r="X623" s="36">
        <v>1</v>
      </c>
      <c r="Y623" s="36" t="s">
        <v>526</v>
      </c>
      <c r="Z623" s="36">
        <v>1</v>
      </c>
      <c r="AA623" s="36">
        <v>849333</v>
      </c>
      <c r="AB623" s="40">
        <v>46054</v>
      </c>
      <c r="AC623" s="36" t="s">
        <v>2196</v>
      </c>
      <c r="AD623" s="36" t="str">
        <f>VLOOKUP(D623,Oficial!A:C,3,0)</f>
        <v>Arrastre</v>
      </c>
    </row>
    <row r="624" spans="1:30" x14ac:dyDescent="0.25">
      <c r="A624" s="36" t="s">
        <v>27</v>
      </c>
      <c r="B624" s="36" t="s">
        <v>517</v>
      </c>
      <c r="C624" s="36" t="s">
        <v>28</v>
      </c>
      <c r="D624" s="36" t="s">
        <v>517</v>
      </c>
      <c r="E624" s="36" t="s">
        <v>30</v>
      </c>
      <c r="F624" s="36" t="s">
        <v>31</v>
      </c>
      <c r="G624" s="37" t="s">
        <v>149</v>
      </c>
      <c r="H624" s="36" t="s">
        <v>518</v>
      </c>
      <c r="I624" s="36" t="s">
        <v>519</v>
      </c>
      <c r="J624" s="36">
        <v>1</v>
      </c>
      <c r="K624" s="36" t="s">
        <v>520</v>
      </c>
      <c r="L624" s="36">
        <v>4</v>
      </c>
      <c r="M624" s="36">
        <v>1</v>
      </c>
      <c r="N624" s="38">
        <v>12740000</v>
      </c>
      <c r="O624" s="44">
        <v>849333</v>
      </c>
      <c r="P624" s="36">
        <v>15</v>
      </c>
      <c r="Q624" s="36" t="s">
        <v>521</v>
      </c>
      <c r="R624" s="36" t="s">
        <v>522</v>
      </c>
      <c r="S624" s="36" t="s">
        <v>523</v>
      </c>
      <c r="T624" s="36" t="s">
        <v>524</v>
      </c>
      <c r="U624" s="36" t="s">
        <v>525</v>
      </c>
      <c r="V624" s="40">
        <v>45870</v>
      </c>
      <c r="W624" s="40">
        <v>45889</v>
      </c>
      <c r="X624" s="36">
        <v>1</v>
      </c>
      <c r="Y624" s="36" t="s">
        <v>526</v>
      </c>
      <c r="Z624" s="36">
        <v>1</v>
      </c>
      <c r="AA624" s="36">
        <v>849333</v>
      </c>
      <c r="AB624" s="40">
        <v>46174</v>
      </c>
      <c r="AC624" s="36" t="s">
        <v>2196</v>
      </c>
      <c r="AD624" s="36" t="str">
        <f>VLOOKUP(D624,Oficial!A:C,3,0)</f>
        <v>Arrastre</v>
      </c>
    </row>
    <row r="625" spans="1:30" x14ac:dyDescent="0.25">
      <c r="A625" s="36" t="s">
        <v>27</v>
      </c>
      <c r="B625" s="36" t="s">
        <v>517</v>
      </c>
      <c r="C625" s="36" t="s">
        <v>28</v>
      </c>
      <c r="D625" s="36" t="s">
        <v>517</v>
      </c>
      <c r="E625" s="36" t="s">
        <v>30</v>
      </c>
      <c r="F625" s="36" t="s">
        <v>31</v>
      </c>
      <c r="G625" s="37" t="s">
        <v>149</v>
      </c>
      <c r="H625" s="36" t="s">
        <v>518</v>
      </c>
      <c r="I625" s="36" t="s">
        <v>519</v>
      </c>
      <c r="J625" s="36">
        <v>1</v>
      </c>
      <c r="K625" s="36" t="s">
        <v>520</v>
      </c>
      <c r="L625" s="36">
        <v>4</v>
      </c>
      <c r="M625" s="36">
        <v>1</v>
      </c>
      <c r="N625" s="38">
        <v>12740000</v>
      </c>
      <c r="O625" s="44">
        <v>849333</v>
      </c>
      <c r="P625" s="36">
        <v>15</v>
      </c>
      <c r="Q625" s="36" t="s">
        <v>521</v>
      </c>
      <c r="R625" s="36" t="s">
        <v>522</v>
      </c>
      <c r="S625" s="36" t="s">
        <v>523</v>
      </c>
      <c r="T625" s="36" t="s">
        <v>524</v>
      </c>
      <c r="U625" s="36" t="s">
        <v>525</v>
      </c>
      <c r="V625" s="40">
        <v>45870</v>
      </c>
      <c r="W625" s="40">
        <v>45889</v>
      </c>
      <c r="X625" s="36">
        <v>1</v>
      </c>
      <c r="Y625" s="36" t="s">
        <v>526</v>
      </c>
      <c r="Z625" s="36">
        <v>1</v>
      </c>
      <c r="AA625" s="36">
        <v>849333</v>
      </c>
      <c r="AB625" s="40">
        <v>46235</v>
      </c>
      <c r="AC625" s="36" t="s">
        <v>2196</v>
      </c>
      <c r="AD625" s="36" t="str">
        <f>VLOOKUP(D625,Oficial!A:C,3,0)</f>
        <v>Arrastre</v>
      </c>
    </row>
    <row r="626" spans="1:30" x14ac:dyDescent="0.25">
      <c r="A626" s="36" t="s">
        <v>27</v>
      </c>
      <c r="B626" s="36" t="s">
        <v>517</v>
      </c>
      <c r="C626" s="36" t="s">
        <v>28</v>
      </c>
      <c r="D626" s="36" t="s">
        <v>517</v>
      </c>
      <c r="E626" s="36" t="s">
        <v>30</v>
      </c>
      <c r="F626" s="36" t="s">
        <v>31</v>
      </c>
      <c r="G626" s="37" t="s">
        <v>149</v>
      </c>
      <c r="H626" s="36" t="s">
        <v>518</v>
      </c>
      <c r="I626" s="36" t="s">
        <v>519</v>
      </c>
      <c r="J626" s="36">
        <v>1</v>
      </c>
      <c r="K626" s="36" t="s">
        <v>520</v>
      </c>
      <c r="L626" s="36">
        <v>4</v>
      </c>
      <c r="M626" s="36">
        <v>1</v>
      </c>
      <c r="N626" s="38">
        <v>12740000</v>
      </c>
      <c r="O626" s="44">
        <v>849333</v>
      </c>
      <c r="P626" s="36">
        <v>15</v>
      </c>
      <c r="Q626" s="36" t="s">
        <v>521</v>
      </c>
      <c r="R626" s="36" t="s">
        <v>522</v>
      </c>
      <c r="S626" s="36" t="s">
        <v>523</v>
      </c>
      <c r="T626" s="36" t="s">
        <v>524</v>
      </c>
      <c r="U626" s="36" t="s">
        <v>525</v>
      </c>
      <c r="V626" s="40">
        <v>45870</v>
      </c>
      <c r="W626" s="40">
        <v>45889</v>
      </c>
      <c r="X626" s="36">
        <v>1</v>
      </c>
      <c r="Y626" s="36" t="s">
        <v>526</v>
      </c>
      <c r="Z626" s="36">
        <v>1</v>
      </c>
      <c r="AA626" s="36">
        <v>849333</v>
      </c>
      <c r="AB626" s="40">
        <v>46204</v>
      </c>
      <c r="AC626" s="36" t="s">
        <v>2196</v>
      </c>
      <c r="AD626" s="36" t="str">
        <f>VLOOKUP(D626,Oficial!A:C,3,0)</f>
        <v>Arrastre</v>
      </c>
    </row>
    <row r="627" spans="1:30" x14ac:dyDescent="0.25">
      <c r="A627" s="36" t="s">
        <v>27</v>
      </c>
      <c r="B627" s="36" t="s">
        <v>517</v>
      </c>
      <c r="C627" s="36" t="s">
        <v>28</v>
      </c>
      <c r="D627" s="36" t="s">
        <v>517</v>
      </c>
      <c r="E627" s="36" t="s">
        <v>30</v>
      </c>
      <c r="F627" s="36" t="s">
        <v>31</v>
      </c>
      <c r="G627" s="37" t="s">
        <v>149</v>
      </c>
      <c r="H627" s="36" t="s">
        <v>518</v>
      </c>
      <c r="I627" s="36" t="s">
        <v>519</v>
      </c>
      <c r="J627" s="36">
        <v>1</v>
      </c>
      <c r="K627" s="36" t="s">
        <v>520</v>
      </c>
      <c r="L627" s="36">
        <v>4</v>
      </c>
      <c r="M627" s="36">
        <v>1</v>
      </c>
      <c r="N627" s="38">
        <v>12740000</v>
      </c>
      <c r="O627" s="44">
        <v>849333</v>
      </c>
      <c r="P627" s="36">
        <v>15</v>
      </c>
      <c r="Q627" s="36" t="s">
        <v>521</v>
      </c>
      <c r="R627" s="36" t="s">
        <v>522</v>
      </c>
      <c r="S627" s="36" t="s">
        <v>523</v>
      </c>
      <c r="T627" s="36" t="s">
        <v>524</v>
      </c>
      <c r="U627" s="36" t="s">
        <v>525</v>
      </c>
      <c r="V627" s="40">
        <v>45870</v>
      </c>
      <c r="W627" s="40">
        <v>45889</v>
      </c>
      <c r="X627" s="36">
        <v>1</v>
      </c>
      <c r="Y627" s="36" t="s">
        <v>526</v>
      </c>
      <c r="Z627" s="36">
        <v>1</v>
      </c>
      <c r="AA627" s="36">
        <v>849333</v>
      </c>
      <c r="AB627" s="40">
        <v>46296</v>
      </c>
      <c r="AC627" s="36" t="s">
        <v>2196</v>
      </c>
      <c r="AD627" s="36" t="str">
        <f>VLOOKUP(D627,Oficial!A:C,3,0)</f>
        <v>Arrastre</v>
      </c>
    </row>
    <row r="628" spans="1:30" x14ac:dyDescent="0.25">
      <c r="A628" s="36" t="s">
        <v>27</v>
      </c>
      <c r="B628" s="36" t="s">
        <v>517</v>
      </c>
      <c r="C628" s="36" t="s">
        <v>28</v>
      </c>
      <c r="D628" s="36" t="s">
        <v>517</v>
      </c>
      <c r="E628" s="36" t="s">
        <v>30</v>
      </c>
      <c r="F628" s="36" t="s">
        <v>31</v>
      </c>
      <c r="G628" s="37" t="s">
        <v>149</v>
      </c>
      <c r="H628" s="36" t="s">
        <v>518</v>
      </c>
      <c r="I628" s="36" t="s">
        <v>519</v>
      </c>
      <c r="J628" s="36">
        <v>1</v>
      </c>
      <c r="K628" s="36" t="s">
        <v>520</v>
      </c>
      <c r="L628" s="36">
        <v>4</v>
      </c>
      <c r="M628" s="36">
        <v>1</v>
      </c>
      <c r="N628" s="38">
        <v>12740000</v>
      </c>
      <c r="O628" s="44">
        <v>849333</v>
      </c>
      <c r="P628" s="36">
        <v>15</v>
      </c>
      <c r="Q628" s="36" t="s">
        <v>521</v>
      </c>
      <c r="R628" s="36" t="s">
        <v>522</v>
      </c>
      <c r="S628" s="36" t="s">
        <v>523</v>
      </c>
      <c r="T628" s="36" t="s">
        <v>524</v>
      </c>
      <c r="U628" s="36" t="s">
        <v>525</v>
      </c>
      <c r="V628" s="40">
        <v>45870</v>
      </c>
      <c r="W628" s="40">
        <v>45889</v>
      </c>
      <c r="X628" s="36">
        <v>1</v>
      </c>
      <c r="Y628" s="36" t="s">
        <v>526</v>
      </c>
      <c r="Z628" s="36">
        <v>1</v>
      </c>
      <c r="AA628" s="36">
        <v>849333</v>
      </c>
      <c r="AB628" s="40">
        <v>46266</v>
      </c>
      <c r="AC628" s="36" t="s">
        <v>2196</v>
      </c>
      <c r="AD628" s="36" t="str">
        <f>VLOOKUP(D628,Oficial!A:C,3,0)</f>
        <v>Arrastre</v>
      </c>
    </row>
    <row r="629" spans="1:30" x14ac:dyDescent="0.25">
      <c r="A629" s="36" t="s">
        <v>27</v>
      </c>
      <c r="B629" s="36" t="s">
        <v>517</v>
      </c>
      <c r="C629" s="36" t="s">
        <v>28</v>
      </c>
      <c r="D629" s="36" t="s">
        <v>517</v>
      </c>
      <c r="E629" s="36" t="s">
        <v>30</v>
      </c>
      <c r="F629" s="36" t="s">
        <v>31</v>
      </c>
      <c r="G629" s="37" t="s">
        <v>149</v>
      </c>
      <c r="H629" s="36" t="s">
        <v>518</v>
      </c>
      <c r="I629" s="36" t="s">
        <v>519</v>
      </c>
      <c r="J629" s="36">
        <v>1</v>
      </c>
      <c r="K629" s="36" t="s">
        <v>520</v>
      </c>
      <c r="L629" s="36">
        <v>4</v>
      </c>
      <c r="M629" s="36">
        <v>1</v>
      </c>
      <c r="N629" s="38">
        <v>12740000</v>
      </c>
      <c r="O629" s="44">
        <v>849333</v>
      </c>
      <c r="P629" s="36">
        <v>15</v>
      </c>
      <c r="Q629" s="36" t="s">
        <v>521</v>
      </c>
      <c r="R629" s="36" t="s">
        <v>522</v>
      </c>
      <c r="S629" s="36" t="s">
        <v>523</v>
      </c>
      <c r="T629" s="36" t="s">
        <v>524</v>
      </c>
      <c r="U629" s="36" t="s">
        <v>525</v>
      </c>
      <c r="V629" s="40">
        <v>45870</v>
      </c>
      <c r="W629" s="40">
        <v>45889</v>
      </c>
      <c r="X629" s="36">
        <v>1</v>
      </c>
      <c r="Y629" s="36" t="s">
        <v>526</v>
      </c>
      <c r="Z629" s="36">
        <v>1</v>
      </c>
      <c r="AA629" s="36">
        <v>849333</v>
      </c>
      <c r="AB629" s="40">
        <v>46023</v>
      </c>
      <c r="AC629" s="36" t="s">
        <v>2196</v>
      </c>
      <c r="AD629" s="36" t="str">
        <f>VLOOKUP(D629,Oficial!A:C,3,0)</f>
        <v>Arrastre</v>
      </c>
    </row>
    <row r="630" spans="1:30" x14ac:dyDescent="0.25">
      <c r="A630" s="36" t="s">
        <v>27</v>
      </c>
      <c r="B630" s="36" t="s">
        <v>517</v>
      </c>
      <c r="C630" s="36" t="s">
        <v>28</v>
      </c>
      <c r="D630" s="36" t="s">
        <v>517</v>
      </c>
      <c r="E630" s="36" t="s">
        <v>30</v>
      </c>
      <c r="F630" s="36" t="s">
        <v>31</v>
      </c>
      <c r="G630" s="37" t="s">
        <v>149</v>
      </c>
      <c r="H630" s="36" t="s">
        <v>518</v>
      </c>
      <c r="I630" s="36" t="s">
        <v>519</v>
      </c>
      <c r="J630" s="36">
        <v>1</v>
      </c>
      <c r="K630" s="36" t="s">
        <v>520</v>
      </c>
      <c r="L630" s="36">
        <v>4</v>
      </c>
      <c r="M630" s="36">
        <v>1</v>
      </c>
      <c r="N630" s="38">
        <v>12740000</v>
      </c>
      <c r="O630" s="44">
        <v>849333</v>
      </c>
      <c r="P630" s="36">
        <v>15</v>
      </c>
      <c r="Q630" s="36" t="s">
        <v>521</v>
      </c>
      <c r="R630" s="36" t="s">
        <v>522</v>
      </c>
      <c r="S630" s="36" t="s">
        <v>523</v>
      </c>
      <c r="T630" s="36" t="s">
        <v>524</v>
      </c>
      <c r="U630" s="36" t="s">
        <v>525</v>
      </c>
      <c r="V630" s="40">
        <v>45870</v>
      </c>
      <c r="W630" s="40">
        <v>45889</v>
      </c>
      <c r="X630" s="36">
        <v>1</v>
      </c>
      <c r="Y630" s="36" t="s">
        <v>526</v>
      </c>
      <c r="Z630" s="36">
        <v>1</v>
      </c>
      <c r="AA630" s="36">
        <v>849333</v>
      </c>
      <c r="AB630" s="40">
        <v>46327</v>
      </c>
      <c r="AC630" s="36" t="s">
        <v>2196</v>
      </c>
      <c r="AD630" s="36" t="str">
        <f>VLOOKUP(D630,Oficial!A:C,3,0)</f>
        <v>Arrastre</v>
      </c>
    </row>
    <row r="631" spans="1:30" x14ac:dyDescent="0.25">
      <c r="A631" s="36" t="s">
        <v>27</v>
      </c>
      <c r="B631" s="36" t="s">
        <v>517</v>
      </c>
      <c r="C631" s="36" t="s">
        <v>28</v>
      </c>
      <c r="D631" s="36" t="s">
        <v>517</v>
      </c>
      <c r="E631" s="36" t="s">
        <v>30</v>
      </c>
      <c r="F631" s="36" t="s">
        <v>31</v>
      </c>
      <c r="G631" s="37" t="s">
        <v>149</v>
      </c>
      <c r="H631" s="36" t="s">
        <v>518</v>
      </c>
      <c r="I631" s="36" t="s">
        <v>519</v>
      </c>
      <c r="J631" s="36">
        <v>1</v>
      </c>
      <c r="K631" s="36" t="s">
        <v>520</v>
      </c>
      <c r="L631" s="36">
        <v>4</v>
      </c>
      <c r="M631" s="36">
        <v>1</v>
      </c>
      <c r="N631" s="38">
        <v>12740000</v>
      </c>
      <c r="O631" s="44">
        <v>849338</v>
      </c>
      <c r="P631" s="36">
        <v>15</v>
      </c>
      <c r="Q631" s="36" t="s">
        <v>521</v>
      </c>
      <c r="R631" s="36" t="s">
        <v>522</v>
      </c>
      <c r="S631" s="36" t="s">
        <v>523</v>
      </c>
      <c r="T631" s="36" t="s">
        <v>524</v>
      </c>
      <c r="U631" s="36" t="s">
        <v>525</v>
      </c>
      <c r="V631" s="40">
        <v>45870</v>
      </c>
      <c r="W631" s="40">
        <v>45889</v>
      </c>
      <c r="X631" s="36">
        <v>1</v>
      </c>
      <c r="Y631" s="36" t="s">
        <v>526</v>
      </c>
      <c r="Z631" s="36">
        <v>1</v>
      </c>
      <c r="AA631" s="36">
        <v>849338</v>
      </c>
      <c r="AB631" s="40">
        <v>46357</v>
      </c>
      <c r="AC631" s="36" t="s">
        <v>2196</v>
      </c>
      <c r="AD631" s="36" t="str">
        <f>VLOOKUP(D631,Oficial!A:C,3,0)</f>
        <v>Arrastre</v>
      </c>
    </row>
    <row r="632" spans="1:30" x14ac:dyDescent="0.25">
      <c r="A632" s="36" t="s">
        <v>27</v>
      </c>
      <c r="B632" s="36" t="s">
        <v>527</v>
      </c>
      <c r="C632" s="36" t="s">
        <v>28</v>
      </c>
      <c r="D632" s="36" t="s">
        <v>527</v>
      </c>
      <c r="E632" s="36" t="s">
        <v>30</v>
      </c>
      <c r="F632" s="36" t="s">
        <v>31</v>
      </c>
      <c r="G632" s="37" t="s">
        <v>439</v>
      </c>
      <c r="H632" s="36" t="s">
        <v>528</v>
      </c>
      <c r="I632" s="36" t="s">
        <v>529</v>
      </c>
      <c r="J632" s="36">
        <v>1</v>
      </c>
      <c r="K632" s="36" t="s">
        <v>530</v>
      </c>
      <c r="L632" s="36">
        <v>4</v>
      </c>
      <c r="M632" s="36">
        <v>1</v>
      </c>
      <c r="N632" s="38">
        <v>40000000</v>
      </c>
      <c r="O632" s="41">
        <v>3333333</v>
      </c>
      <c r="P632" s="36">
        <v>12</v>
      </c>
      <c r="Q632" s="36" t="s">
        <v>413</v>
      </c>
      <c r="R632" s="36" t="s">
        <v>531</v>
      </c>
      <c r="S632" s="36" t="s">
        <v>532</v>
      </c>
      <c r="T632" s="36" t="s">
        <v>533</v>
      </c>
      <c r="U632" s="36" t="s">
        <v>534</v>
      </c>
      <c r="V632" s="40">
        <v>45870</v>
      </c>
      <c r="W632" s="40">
        <v>45889</v>
      </c>
      <c r="X632" s="36">
        <v>0</v>
      </c>
      <c r="Y632" s="36"/>
      <c r="Z632" s="36">
        <v>1</v>
      </c>
      <c r="AA632" s="36">
        <v>3333333</v>
      </c>
      <c r="AB632" s="40">
        <v>46054</v>
      </c>
      <c r="AC632" s="36" t="s">
        <v>2196</v>
      </c>
      <c r="AD632" s="36" t="str">
        <f>VLOOKUP(D632,Oficial!A:C,3,0)</f>
        <v>Arrastre</v>
      </c>
    </row>
    <row r="633" spans="1:30" x14ac:dyDescent="0.25">
      <c r="A633" s="36" t="s">
        <v>27</v>
      </c>
      <c r="B633" s="36" t="s">
        <v>527</v>
      </c>
      <c r="C633" s="36" t="s">
        <v>28</v>
      </c>
      <c r="D633" s="36" t="s">
        <v>527</v>
      </c>
      <c r="E633" s="36" t="s">
        <v>30</v>
      </c>
      <c r="F633" s="36" t="s">
        <v>31</v>
      </c>
      <c r="G633" s="37" t="s">
        <v>439</v>
      </c>
      <c r="H633" s="36" t="s">
        <v>528</v>
      </c>
      <c r="I633" s="36" t="s">
        <v>529</v>
      </c>
      <c r="J633" s="36">
        <v>1</v>
      </c>
      <c r="K633" s="36" t="s">
        <v>530</v>
      </c>
      <c r="L633" s="36">
        <v>4</v>
      </c>
      <c r="M633" s="36">
        <v>1</v>
      </c>
      <c r="N633" s="38">
        <v>40000000</v>
      </c>
      <c r="O633" s="41">
        <v>3333337</v>
      </c>
      <c r="P633" s="36">
        <v>12</v>
      </c>
      <c r="Q633" s="36" t="s">
        <v>413</v>
      </c>
      <c r="R633" s="36" t="s">
        <v>531</v>
      </c>
      <c r="S633" s="36" t="s">
        <v>532</v>
      </c>
      <c r="T633" s="36" t="s">
        <v>533</v>
      </c>
      <c r="U633" s="36" t="s">
        <v>534</v>
      </c>
      <c r="V633" s="40">
        <v>45870</v>
      </c>
      <c r="W633" s="40">
        <v>45889</v>
      </c>
      <c r="X633" s="36">
        <v>0</v>
      </c>
      <c r="Y633" s="36"/>
      <c r="Z633" s="36">
        <v>1</v>
      </c>
      <c r="AA633" s="36">
        <v>3333337</v>
      </c>
      <c r="AB633" s="40">
        <v>46357</v>
      </c>
      <c r="AC633" s="36" t="s">
        <v>2196</v>
      </c>
      <c r="AD633" s="36" t="str">
        <f>VLOOKUP(D633,Oficial!A:C,3,0)</f>
        <v>Arrastre</v>
      </c>
    </row>
    <row r="634" spans="1:30" x14ac:dyDescent="0.25">
      <c r="A634" s="36" t="s">
        <v>27</v>
      </c>
      <c r="B634" s="36" t="s">
        <v>527</v>
      </c>
      <c r="C634" s="36" t="s">
        <v>28</v>
      </c>
      <c r="D634" s="36" t="s">
        <v>527</v>
      </c>
      <c r="E634" s="36" t="s">
        <v>30</v>
      </c>
      <c r="F634" s="36" t="s">
        <v>31</v>
      </c>
      <c r="G634" s="37" t="s">
        <v>439</v>
      </c>
      <c r="H634" s="36" t="s">
        <v>528</v>
      </c>
      <c r="I634" s="36" t="s">
        <v>529</v>
      </c>
      <c r="J634" s="36">
        <v>1</v>
      </c>
      <c r="K634" s="36" t="s">
        <v>530</v>
      </c>
      <c r="L634" s="36">
        <v>4</v>
      </c>
      <c r="M634" s="36">
        <v>1</v>
      </c>
      <c r="N634" s="38">
        <v>40000000</v>
      </c>
      <c r="O634" s="41">
        <v>3333333</v>
      </c>
      <c r="P634" s="36">
        <v>12</v>
      </c>
      <c r="Q634" s="36" t="s">
        <v>413</v>
      </c>
      <c r="R634" s="36" t="s">
        <v>531</v>
      </c>
      <c r="S634" s="36" t="s">
        <v>532</v>
      </c>
      <c r="T634" s="36" t="s">
        <v>533</v>
      </c>
      <c r="U634" s="36" t="s">
        <v>534</v>
      </c>
      <c r="V634" s="40">
        <v>45870</v>
      </c>
      <c r="W634" s="40">
        <v>45889</v>
      </c>
      <c r="X634" s="36">
        <v>0</v>
      </c>
      <c r="Y634" s="36"/>
      <c r="Z634" s="36">
        <v>1</v>
      </c>
      <c r="AA634" s="36">
        <v>3333333</v>
      </c>
      <c r="AB634" s="40">
        <v>46143</v>
      </c>
      <c r="AC634" s="36" t="s">
        <v>2196</v>
      </c>
      <c r="AD634" s="36" t="str">
        <f>VLOOKUP(D634,Oficial!A:C,3,0)</f>
        <v>Arrastre</v>
      </c>
    </row>
    <row r="635" spans="1:30" x14ac:dyDescent="0.25">
      <c r="A635" s="36" t="s">
        <v>27</v>
      </c>
      <c r="B635" s="36" t="s">
        <v>527</v>
      </c>
      <c r="C635" s="36" t="s">
        <v>28</v>
      </c>
      <c r="D635" s="36" t="s">
        <v>527</v>
      </c>
      <c r="E635" s="36" t="s">
        <v>30</v>
      </c>
      <c r="F635" s="36" t="s">
        <v>31</v>
      </c>
      <c r="G635" s="37" t="s">
        <v>439</v>
      </c>
      <c r="H635" s="36" t="s">
        <v>528</v>
      </c>
      <c r="I635" s="36" t="s">
        <v>529</v>
      </c>
      <c r="J635" s="36">
        <v>1</v>
      </c>
      <c r="K635" s="36" t="s">
        <v>530</v>
      </c>
      <c r="L635" s="36">
        <v>4</v>
      </c>
      <c r="M635" s="36">
        <v>1</v>
      </c>
      <c r="N635" s="38">
        <v>40000000</v>
      </c>
      <c r="O635" s="41">
        <v>3333333</v>
      </c>
      <c r="P635" s="36">
        <v>12</v>
      </c>
      <c r="Q635" s="36" t="s">
        <v>413</v>
      </c>
      <c r="R635" s="36" t="s">
        <v>531</v>
      </c>
      <c r="S635" s="36" t="s">
        <v>532</v>
      </c>
      <c r="T635" s="36" t="s">
        <v>533</v>
      </c>
      <c r="U635" s="36" t="s">
        <v>534</v>
      </c>
      <c r="V635" s="40">
        <v>45870</v>
      </c>
      <c r="W635" s="40">
        <v>45889</v>
      </c>
      <c r="X635" s="36">
        <v>0</v>
      </c>
      <c r="Y635" s="36"/>
      <c r="Z635" s="36">
        <v>1</v>
      </c>
      <c r="AA635" s="36">
        <v>3333333</v>
      </c>
      <c r="AB635" s="40">
        <v>46113</v>
      </c>
      <c r="AC635" s="36" t="s">
        <v>2196</v>
      </c>
      <c r="AD635" s="36" t="str">
        <f>VLOOKUP(D635,Oficial!A:C,3,0)</f>
        <v>Arrastre</v>
      </c>
    </row>
    <row r="636" spans="1:30" x14ac:dyDescent="0.25">
      <c r="A636" s="36" t="s">
        <v>27</v>
      </c>
      <c r="B636" s="36" t="s">
        <v>527</v>
      </c>
      <c r="C636" s="36" t="s">
        <v>28</v>
      </c>
      <c r="D636" s="36" t="s">
        <v>527</v>
      </c>
      <c r="E636" s="36" t="s">
        <v>30</v>
      </c>
      <c r="F636" s="36" t="s">
        <v>31</v>
      </c>
      <c r="G636" s="37" t="s">
        <v>439</v>
      </c>
      <c r="H636" s="36" t="s">
        <v>528</v>
      </c>
      <c r="I636" s="36" t="s">
        <v>529</v>
      </c>
      <c r="J636" s="36">
        <v>1</v>
      </c>
      <c r="K636" s="36" t="s">
        <v>530</v>
      </c>
      <c r="L636" s="36">
        <v>4</v>
      </c>
      <c r="M636" s="36">
        <v>1</v>
      </c>
      <c r="N636" s="38">
        <v>40000000</v>
      </c>
      <c r="O636" s="41">
        <v>3333333</v>
      </c>
      <c r="P636" s="36">
        <v>12</v>
      </c>
      <c r="Q636" s="36" t="s">
        <v>413</v>
      </c>
      <c r="R636" s="36" t="s">
        <v>531</v>
      </c>
      <c r="S636" s="36" t="s">
        <v>532</v>
      </c>
      <c r="T636" s="36" t="s">
        <v>533</v>
      </c>
      <c r="U636" s="36" t="s">
        <v>534</v>
      </c>
      <c r="V636" s="40">
        <v>45870</v>
      </c>
      <c r="W636" s="40">
        <v>45889</v>
      </c>
      <c r="X636" s="36">
        <v>0</v>
      </c>
      <c r="Y636" s="36"/>
      <c r="Z636" s="36">
        <v>1</v>
      </c>
      <c r="AA636" s="36">
        <v>3333333</v>
      </c>
      <c r="AB636" s="40">
        <v>46327</v>
      </c>
      <c r="AC636" s="36" t="s">
        <v>2196</v>
      </c>
      <c r="AD636" s="36" t="str">
        <f>VLOOKUP(D636,Oficial!A:C,3,0)</f>
        <v>Arrastre</v>
      </c>
    </row>
    <row r="637" spans="1:30" x14ac:dyDescent="0.25">
      <c r="A637" s="36" t="s">
        <v>27</v>
      </c>
      <c r="B637" s="36" t="s">
        <v>527</v>
      </c>
      <c r="C637" s="36" t="s">
        <v>28</v>
      </c>
      <c r="D637" s="36" t="s">
        <v>527</v>
      </c>
      <c r="E637" s="36" t="s">
        <v>30</v>
      </c>
      <c r="F637" s="36" t="s">
        <v>31</v>
      </c>
      <c r="G637" s="37" t="s">
        <v>439</v>
      </c>
      <c r="H637" s="36" t="s">
        <v>528</v>
      </c>
      <c r="I637" s="36" t="s">
        <v>529</v>
      </c>
      <c r="J637" s="36">
        <v>1</v>
      </c>
      <c r="K637" s="36" t="s">
        <v>530</v>
      </c>
      <c r="L637" s="36">
        <v>4</v>
      </c>
      <c r="M637" s="36">
        <v>1</v>
      </c>
      <c r="N637" s="38">
        <v>40000000</v>
      </c>
      <c r="O637" s="41">
        <v>3333333</v>
      </c>
      <c r="P637" s="36">
        <v>12</v>
      </c>
      <c r="Q637" s="36" t="s">
        <v>413</v>
      </c>
      <c r="R637" s="36" t="s">
        <v>531</v>
      </c>
      <c r="S637" s="36" t="s">
        <v>532</v>
      </c>
      <c r="T637" s="36" t="s">
        <v>533</v>
      </c>
      <c r="U637" s="36" t="s">
        <v>534</v>
      </c>
      <c r="V637" s="40">
        <v>45870</v>
      </c>
      <c r="W637" s="40">
        <v>45889</v>
      </c>
      <c r="X637" s="36">
        <v>0</v>
      </c>
      <c r="Y637" s="36"/>
      <c r="Z637" s="36">
        <v>1</v>
      </c>
      <c r="AA637" s="36">
        <v>3333333</v>
      </c>
      <c r="AB637" s="40">
        <v>46023</v>
      </c>
      <c r="AC637" s="36" t="s">
        <v>2196</v>
      </c>
      <c r="AD637" s="36" t="str">
        <f>VLOOKUP(D637,Oficial!A:C,3,0)</f>
        <v>Arrastre</v>
      </c>
    </row>
    <row r="638" spans="1:30" x14ac:dyDescent="0.25">
      <c r="A638" s="36" t="s">
        <v>27</v>
      </c>
      <c r="B638" s="36" t="s">
        <v>527</v>
      </c>
      <c r="C638" s="36" t="s">
        <v>28</v>
      </c>
      <c r="D638" s="36" t="s">
        <v>527</v>
      </c>
      <c r="E638" s="36" t="s">
        <v>30</v>
      </c>
      <c r="F638" s="36" t="s">
        <v>31</v>
      </c>
      <c r="G638" s="37" t="s">
        <v>439</v>
      </c>
      <c r="H638" s="36" t="s">
        <v>528</v>
      </c>
      <c r="I638" s="36" t="s">
        <v>529</v>
      </c>
      <c r="J638" s="36">
        <v>1</v>
      </c>
      <c r="K638" s="36" t="s">
        <v>530</v>
      </c>
      <c r="L638" s="36">
        <v>4</v>
      </c>
      <c r="M638" s="36">
        <v>1</v>
      </c>
      <c r="N638" s="38">
        <v>40000000</v>
      </c>
      <c r="O638" s="41">
        <v>3333333</v>
      </c>
      <c r="P638" s="36">
        <v>12</v>
      </c>
      <c r="Q638" s="36" t="s">
        <v>413</v>
      </c>
      <c r="R638" s="36" t="s">
        <v>531</v>
      </c>
      <c r="S638" s="36" t="s">
        <v>532</v>
      </c>
      <c r="T638" s="36" t="s">
        <v>533</v>
      </c>
      <c r="U638" s="36" t="s">
        <v>534</v>
      </c>
      <c r="V638" s="40">
        <v>45870</v>
      </c>
      <c r="W638" s="40">
        <v>45889</v>
      </c>
      <c r="X638" s="36">
        <v>0</v>
      </c>
      <c r="Y638" s="36"/>
      <c r="Z638" s="36">
        <v>1</v>
      </c>
      <c r="AA638" s="36">
        <v>3333333</v>
      </c>
      <c r="AB638" s="40">
        <v>46204</v>
      </c>
      <c r="AC638" s="36" t="s">
        <v>2196</v>
      </c>
      <c r="AD638" s="36" t="str">
        <f>VLOOKUP(D638,Oficial!A:C,3,0)</f>
        <v>Arrastre</v>
      </c>
    </row>
    <row r="639" spans="1:30" x14ac:dyDescent="0.25">
      <c r="A639" s="36" t="s">
        <v>27</v>
      </c>
      <c r="B639" s="36" t="s">
        <v>527</v>
      </c>
      <c r="C639" s="36" t="s">
        <v>28</v>
      </c>
      <c r="D639" s="36" t="s">
        <v>527</v>
      </c>
      <c r="E639" s="36" t="s">
        <v>30</v>
      </c>
      <c r="F639" s="36" t="s">
        <v>31</v>
      </c>
      <c r="G639" s="37" t="s">
        <v>439</v>
      </c>
      <c r="H639" s="36" t="s">
        <v>528</v>
      </c>
      <c r="I639" s="36" t="s">
        <v>529</v>
      </c>
      <c r="J639" s="36">
        <v>1</v>
      </c>
      <c r="K639" s="36" t="s">
        <v>530</v>
      </c>
      <c r="L639" s="36">
        <v>4</v>
      </c>
      <c r="M639" s="36">
        <v>1</v>
      </c>
      <c r="N639" s="38">
        <v>40000000</v>
      </c>
      <c r="O639" s="41">
        <v>3333333</v>
      </c>
      <c r="P639" s="36">
        <v>12</v>
      </c>
      <c r="Q639" s="36" t="s">
        <v>413</v>
      </c>
      <c r="R639" s="36" t="s">
        <v>531</v>
      </c>
      <c r="S639" s="36" t="s">
        <v>532</v>
      </c>
      <c r="T639" s="36" t="s">
        <v>533</v>
      </c>
      <c r="U639" s="36" t="s">
        <v>534</v>
      </c>
      <c r="V639" s="40">
        <v>45870</v>
      </c>
      <c r="W639" s="40">
        <v>45889</v>
      </c>
      <c r="X639" s="36">
        <v>0</v>
      </c>
      <c r="Y639" s="36"/>
      <c r="Z639" s="36">
        <v>1</v>
      </c>
      <c r="AA639" s="36">
        <v>3333333</v>
      </c>
      <c r="AB639" s="40">
        <v>46174</v>
      </c>
      <c r="AC639" s="36" t="s">
        <v>2196</v>
      </c>
      <c r="AD639" s="36" t="str">
        <f>VLOOKUP(D639,Oficial!A:C,3,0)</f>
        <v>Arrastre</v>
      </c>
    </row>
    <row r="640" spans="1:30" x14ac:dyDescent="0.25">
      <c r="A640" s="36" t="s">
        <v>27</v>
      </c>
      <c r="B640" s="36" t="s">
        <v>527</v>
      </c>
      <c r="C640" s="36" t="s">
        <v>28</v>
      </c>
      <c r="D640" s="36" t="s">
        <v>527</v>
      </c>
      <c r="E640" s="36" t="s">
        <v>30</v>
      </c>
      <c r="F640" s="36" t="s">
        <v>31</v>
      </c>
      <c r="G640" s="37" t="s">
        <v>439</v>
      </c>
      <c r="H640" s="36" t="s">
        <v>528</v>
      </c>
      <c r="I640" s="36" t="s">
        <v>529</v>
      </c>
      <c r="J640" s="36">
        <v>1</v>
      </c>
      <c r="K640" s="36" t="s">
        <v>530</v>
      </c>
      <c r="L640" s="36">
        <v>4</v>
      </c>
      <c r="M640" s="36">
        <v>1</v>
      </c>
      <c r="N640" s="38">
        <v>40000000</v>
      </c>
      <c r="O640" s="41">
        <v>3333333</v>
      </c>
      <c r="P640" s="36">
        <v>12</v>
      </c>
      <c r="Q640" s="36" t="s">
        <v>413</v>
      </c>
      <c r="R640" s="36" t="s">
        <v>531</v>
      </c>
      <c r="S640" s="36" t="s">
        <v>532</v>
      </c>
      <c r="T640" s="36" t="s">
        <v>533</v>
      </c>
      <c r="U640" s="36" t="s">
        <v>534</v>
      </c>
      <c r="V640" s="40">
        <v>45870</v>
      </c>
      <c r="W640" s="40">
        <v>45889</v>
      </c>
      <c r="X640" s="36">
        <v>0</v>
      </c>
      <c r="Y640" s="36"/>
      <c r="Z640" s="36">
        <v>1</v>
      </c>
      <c r="AA640" s="36">
        <v>3333333</v>
      </c>
      <c r="AB640" s="40">
        <v>46235</v>
      </c>
      <c r="AC640" s="36" t="s">
        <v>2196</v>
      </c>
      <c r="AD640" s="36" t="str">
        <f>VLOOKUP(D640,Oficial!A:C,3,0)</f>
        <v>Arrastre</v>
      </c>
    </row>
    <row r="641" spans="1:30" x14ac:dyDescent="0.25">
      <c r="A641" s="36" t="s">
        <v>27</v>
      </c>
      <c r="B641" s="36" t="s">
        <v>527</v>
      </c>
      <c r="C641" s="36" t="s">
        <v>28</v>
      </c>
      <c r="D641" s="36" t="s">
        <v>527</v>
      </c>
      <c r="E641" s="36" t="s">
        <v>30</v>
      </c>
      <c r="F641" s="36" t="s">
        <v>31</v>
      </c>
      <c r="G641" s="37" t="s">
        <v>439</v>
      </c>
      <c r="H641" s="36" t="s">
        <v>528</v>
      </c>
      <c r="I641" s="36" t="s">
        <v>529</v>
      </c>
      <c r="J641" s="36">
        <v>1</v>
      </c>
      <c r="K641" s="36" t="s">
        <v>530</v>
      </c>
      <c r="L641" s="36">
        <v>4</v>
      </c>
      <c r="M641" s="36">
        <v>1</v>
      </c>
      <c r="N641" s="38">
        <v>40000000</v>
      </c>
      <c r="O641" s="41">
        <v>3333333</v>
      </c>
      <c r="P641" s="36">
        <v>12</v>
      </c>
      <c r="Q641" s="36" t="s">
        <v>413</v>
      </c>
      <c r="R641" s="36" t="s">
        <v>531</v>
      </c>
      <c r="S641" s="36" t="s">
        <v>532</v>
      </c>
      <c r="T641" s="36" t="s">
        <v>533</v>
      </c>
      <c r="U641" s="36" t="s">
        <v>534</v>
      </c>
      <c r="V641" s="40">
        <v>45870</v>
      </c>
      <c r="W641" s="40">
        <v>45889</v>
      </c>
      <c r="X641" s="36">
        <v>0</v>
      </c>
      <c r="Y641" s="36"/>
      <c r="Z641" s="36">
        <v>1</v>
      </c>
      <c r="AA641" s="36">
        <v>3333333</v>
      </c>
      <c r="AB641" s="40">
        <v>46082</v>
      </c>
      <c r="AC641" s="36" t="s">
        <v>2196</v>
      </c>
      <c r="AD641" s="36" t="str">
        <f>VLOOKUP(D641,Oficial!A:C,3,0)</f>
        <v>Arrastre</v>
      </c>
    </row>
    <row r="642" spans="1:30" x14ac:dyDescent="0.25">
      <c r="A642" s="36" t="s">
        <v>27</v>
      </c>
      <c r="B642" s="36" t="s">
        <v>527</v>
      </c>
      <c r="C642" s="36" t="s">
        <v>28</v>
      </c>
      <c r="D642" s="36" t="s">
        <v>527</v>
      </c>
      <c r="E642" s="36" t="s">
        <v>30</v>
      </c>
      <c r="F642" s="36" t="s">
        <v>31</v>
      </c>
      <c r="G642" s="37" t="s">
        <v>439</v>
      </c>
      <c r="H642" s="36" t="s">
        <v>528</v>
      </c>
      <c r="I642" s="36" t="s">
        <v>529</v>
      </c>
      <c r="J642" s="36">
        <v>1</v>
      </c>
      <c r="K642" s="36" t="s">
        <v>530</v>
      </c>
      <c r="L642" s="36">
        <v>4</v>
      </c>
      <c r="M642" s="36">
        <v>1</v>
      </c>
      <c r="N642" s="38">
        <v>40000000</v>
      </c>
      <c r="O642" s="41">
        <v>3333333</v>
      </c>
      <c r="P642" s="36">
        <v>12</v>
      </c>
      <c r="Q642" s="36" t="s">
        <v>413</v>
      </c>
      <c r="R642" s="36" t="s">
        <v>531</v>
      </c>
      <c r="S642" s="36" t="s">
        <v>532</v>
      </c>
      <c r="T642" s="36" t="s">
        <v>533</v>
      </c>
      <c r="U642" s="36" t="s">
        <v>534</v>
      </c>
      <c r="V642" s="40">
        <v>45870</v>
      </c>
      <c r="W642" s="40">
        <v>45889</v>
      </c>
      <c r="X642" s="36">
        <v>0</v>
      </c>
      <c r="Y642" s="36"/>
      <c r="Z642" s="36">
        <v>1</v>
      </c>
      <c r="AA642" s="36">
        <v>3333333</v>
      </c>
      <c r="AB642" s="40">
        <v>46266</v>
      </c>
      <c r="AC642" s="36" t="s">
        <v>2196</v>
      </c>
      <c r="AD642" s="36" t="str">
        <f>VLOOKUP(D642,Oficial!A:C,3,0)</f>
        <v>Arrastre</v>
      </c>
    </row>
    <row r="643" spans="1:30" x14ac:dyDescent="0.25">
      <c r="A643" s="36" t="s">
        <v>27</v>
      </c>
      <c r="B643" s="36" t="s">
        <v>527</v>
      </c>
      <c r="C643" s="36" t="s">
        <v>28</v>
      </c>
      <c r="D643" s="36" t="s">
        <v>527</v>
      </c>
      <c r="E643" s="36" t="s">
        <v>30</v>
      </c>
      <c r="F643" s="36" t="s">
        <v>31</v>
      </c>
      <c r="G643" s="37" t="s">
        <v>439</v>
      </c>
      <c r="H643" s="36" t="s">
        <v>528</v>
      </c>
      <c r="I643" s="36" t="s">
        <v>529</v>
      </c>
      <c r="J643" s="36">
        <v>1</v>
      </c>
      <c r="K643" s="36" t="s">
        <v>530</v>
      </c>
      <c r="L643" s="36">
        <v>4</v>
      </c>
      <c r="M643" s="36">
        <v>1</v>
      </c>
      <c r="N643" s="38">
        <v>40000000</v>
      </c>
      <c r="O643" s="41">
        <v>3333333</v>
      </c>
      <c r="P643" s="36">
        <v>12</v>
      </c>
      <c r="Q643" s="36" t="s">
        <v>413</v>
      </c>
      <c r="R643" s="36" t="s">
        <v>531</v>
      </c>
      <c r="S643" s="36" t="s">
        <v>532</v>
      </c>
      <c r="T643" s="36" t="s">
        <v>533</v>
      </c>
      <c r="U643" s="36" t="s">
        <v>534</v>
      </c>
      <c r="V643" s="40">
        <v>45870</v>
      </c>
      <c r="W643" s="40">
        <v>45889</v>
      </c>
      <c r="X643" s="36">
        <v>0</v>
      </c>
      <c r="Y643" s="36"/>
      <c r="Z643" s="36">
        <v>1</v>
      </c>
      <c r="AA643" s="36">
        <v>3333333</v>
      </c>
      <c r="AB643" s="40">
        <v>46296</v>
      </c>
      <c r="AC643" s="36" t="s">
        <v>2196</v>
      </c>
      <c r="AD643" s="36" t="str">
        <f>VLOOKUP(D643,Oficial!A:C,3,0)</f>
        <v>Arrastre</v>
      </c>
    </row>
    <row r="644" spans="1:30" x14ac:dyDescent="0.25">
      <c r="A644" s="36" t="s">
        <v>27</v>
      </c>
      <c r="B644" s="36" t="s">
        <v>535</v>
      </c>
      <c r="C644" s="36" t="s">
        <v>28</v>
      </c>
      <c r="D644" s="36" t="s">
        <v>535</v>
      </c>
      <c r="E644" s="36" t="s">
        <v>30</v>
      </c>
      <c r="F644" s="36" t="s">
        <v>31</v>
      </c>
      <c r="G644" s="37" t="s">
        <v>536</v>
      </c>
      <c r="H644" s="36" t="s">
        <v>537</v>
      </c>
      <c r="I644" s="36" t="s">
        <v>538</v>
      </c>
      <c r="J644" s="36">
        <v>1</v>
      </c>
      <c r="K644" s="36" t="s">
        <v>496</v>
      </c>
      <c r="L644" s="36">
        <v>4</v>
      </c>
      <c r="M644" s="36">
        <v>1</v>
      </c>
      <c r="N644" s="38">
        <v>80000000</v>
      </c>
      <c r="O644" s="38">
        <v>6666666</v>
      </c>
      <c r="P644" s="36">
        <v>12</v>
      </c>
      <c r="Q644" s="36" t="s">
        <v>413</v>
      </c>
      <c r="R644" s="36" t="s">
        <v>531</v>
      </c>
      <c r="S644" s="36" t="s">
        <v>532</v>
      </c>
      <c r="T644" s="36" t="s">
        <v>533</v>
      </c>
      <c r="U644" s="36" t="s">
        <v>534</v>
      </c>
      <c r="V644" s="40">
        <v>45870</v>
      </c>
      <c r="W644" s="40">
        <v>45889</v>
      </c>
      <c r="X644" s="36">
        <v>0</v>
      </c>
      <c r="Y644" s="36"/>
      <c r="Z644" s="36">
        <v>1</v>
      </c>
      <c r="AA644" s="36">
        <v>6666666</v>
      </c>
      <c r="AB644" s="40">
        <v>46023</v>
      </c>
      <c r="AC644" s="36" t="s">
        <v>2196</v>
      </c>
      <c r="AD644" s="36" t="str">
        <f>VLOOKUP(D644,Oficial!A:C,3,0)</f>
        <v>Arrastre</v>
      </c>
    </row>
    <row r="645" spans="1:30" x14ac:dyDescent="0.25">
      <c r="A645" s="36" t="s">
        <v>27</v>
      </c>
      <c r="B645" s="36" t="s">
        <v>535</v>
      </c>
      <c r="C645" s="36" t="s">
        <v>28</v>
      </c>
      <c r="D645" s="36" t="s">
        <v>535</v>
      </c>
      <c r="E645" s="36" t="s">
        <v>30</v>
      </c>
      <c r="F645" s="36" t="s">
        <v>31</v>
      </c>
      <c r="G645" s="37" t="s">
        <v>536</v>
      </c>
      <c r="H645" s="36" t="s">
        <v>537</v>
      </c>
      <c r="I645" s="36" t="s">
        <v>538</v>
      </c>
      <c r="J645" s="36">
        <v>1</v>
      </c>
      <c r="K645" s="36" t="s">
        <v>496</v>
      </c>
      <c r="L645" s="36">
        <v>4</v>
      </c>
      <c r="M645" s="36">
        <v>1</v>
      </c>
      <c r="N645" s="38">
        <v>80000000</v>
      </c>
      <c r="O645" s="38">
        <v>6666674</v>
      </c>
      <c r="P645" s="36">
        <v>12</v>
      </c>
      <c r="Q645" s="36" t="s">
        <v>413</v>
      </c>
      <c r="R645" s="36" t="s">
        <v>531</v>
      </c>
      <c r="S645" s="36" t="s">
        <v>532</v>
      </c>
      <c r="T645" s="36" t="s">
        <v>533</v>
      </c>
      <c r="U645" s="36" t="s">
        <v>534</v>
      </c>
      <c r="V645" s="40">
        <v>45870</v>
      </c>
      <c r="W645" s="40">
        <v>45889</v>
      </c>
      <c r="X645" s="36">
        <v>0</v>
      </c>
      <c r="Y645" s="36"/>
      <c r="Z645" s="36">
        <v>1</v>
      </c>
      <c r="AA645" s="36">
        <v>6666674</v>
      </c>
      <c r="AB645" s="40">
        <v>46357</v>
      </c>
      <c r="AC645" s="36" t="s">
        <v>2196</v>
      </c>
      <c r="AD645" s="36" t="str">
        <f>VLOOKUP(D645,Oficial!A:C,3,0)</f>
        <v>Arrastre</v>
      </c>
    </row>
    <row r="646" spans="1:30" x14ac:dyDescent="0.25">
      <c r="A646" s="36" t="s">
        <v>27</v>
      </c>
      <c r="B646" s="36" t="s">
        <v>535</v>
      </c>
      <c r="C646" s="36" t="s">
        <v>28</v>
      </c>
      <c r="D646" s="36" t="s">
        <v>535</v>
      </c>
      <c r="E646" s="36" t="s">
        <v>30</v>
      </c>
      <c r="F646" s="36" t="s">
        <v>31</v>
      </c>
      <c r="G646" s="37" t="s">
        <v>536</v>
      </c>
      <c r="H646" s="36" t="s">
        <v>537</v>
      </c>
      <c r="I646" s="36" t="s">
        <v>538</v>
      </c>
      <c r="J646" s="36">
        <v>1</v>
      </c>
      <c r="K646" s="36" t="s">
        <v>496</v>
      </c>
      <c r="L646" s="36">
        <v>4</v>
      </c>
      <c r="M646" s="36">
        <v>1</v>
      </c>
      <c r="N646" s="38">
        <v>80000000</v>
      </c>
      <c r="O646" s="38">
        <v>6666666</v>
      </c>
      <c r="P646" s="36">
        <v>12</v>
      </c>
      <c r="Q646" s="36" t="s">
        <v>413</v>
      </c>
      <c r="R646" s="36" t="s">
        <v>531</v>
      </c>
      <c r="S646" s="36" t="s">
        <v>532</v>
      </c>
      <c r="T646" s="36" t="s">
        <v>533</v>
      </c>
      <c r="U646" s="36" t="s">
        <v>534</v>
      </c>
      <c r="V646" s="40">
        <v>45870</v>
      </c>
      <c r="W646" s="40">
        <v>45889</v>
      </c>
      <c r="X646" s="36">
        <v>0</v>
      </c>
      <c r="Y646" s="36"/>
      <c r="Z646" s="36">
        <v>1</v>
      </c>
      <c r="AA646" s="36">
        <v>6666666</v>
      </c>
      <c r="AB646" s="40">
        <v>46143</v>
      </c>
      <c r="AC646" s="36" t="s">
        <v>2196</v>
      </c>
      <c r="AD646" s="36" t="str">
        <f>VLOOKUP(D646,Oficial!A:C,3,0)</f>
        <v>Arrastre</v>
      </c>
    </row>
    <row r="647" spans="1:30" x14ac:dyDescent="0.25">
      <c r="A647" s="36" t="s">
        <v>27</v>
      </c>
      <c r="B647" s="36" t="s">
        <v>535</v>
      </c>
      <c r="C647" s="36" t="s">
        <v>28</v>
      </c>
      <c r="D647" s="36" t="s">
        <v>535</v>
      </c>
      <c r="E647" s="36" t="s">
        <v>30</v>
      </c>
      <c r="F647" s="36" t="s">
        <v>31</v>
      </c>
      <c r="G647" s="37" t="s">
        <v>536</v>
      </c>
      <c r="H647" s="36" t="s">
        <v>537</v>
      </c>
      <c r="I647" s="36" t="s">
        <v>538</v>
      </c>
      <c r="J647" s="36">
        <v>1</v>
      </c>
      <c r="K647" s="36" t="s">
        <v>496</v>
      </c>
      <c r="L647" s="36">
        <v>4</v>
      </c>
      <c r="M647" s="36">
        <v>1</v>
      </c>
      <c r="N647" s="38">
        <v>80000000</v>
      </c>
      <c r="O647" s="38">
        <v>6666666</v>
      </c>
      <c r="P647" s="36">
        <v>12</v>
      </c>
      <c r="Q647" s="36" t="s">
        <v>413</v>
      </c>
      <c r="R647" s="36" t="s">
        <v>531</v>
      </c>
      <c r="S647" s="36" t="s">
        <v>532</v>
      </c>
      <c r="T647" s="36" t="s">
        <v>533</v>
      </c>
      <c r="U647" s="36" t="s">
        <v>534</v>
      </c>
      <c r="V647" s="40">
        <v>45870</v>
      </c>
      <c r="W647" s="40">
        <v>45889</v>
      </c>
      <c r="X647" s="36">
        <v>0</v>
      </c>
      <c r="Y647" s="36"/>
      <c r="Z647" s="36">
        <v>1</v>
      </c>
      <c r="AA647" s="36">
        <v>6666666</v>
      </c>
      <c r="AB647" s="40">
        <v>46082</v>
      </c>
      <c r="AC647" s="36" t="s">
        <v>2196</v>
      </c>
      <c r="AD647" s="36" t="str">
        <f>VLOOKUP(D647,Oficial!A:C,3,0)</f>
        <v>Arrastre</v>
      </c>
    </row>
    <row r="648" spans="1:30" x14ac:dyDescent="0.25">
      <c r="A648" s="36" t="s">
        <v>27</v>
      </c>
      <c r="B648" s="36" t="s">
        <v>535</v>
      </c>
      <c r="C648" s="36" t="s">
        <v>28</v>
      </c>
      <c r="D648" s="36" t="s">
        <v>535</v>
      </c>
      <c r="E648" s="36" t="s">
        <v>30</v>
      </c>
      <c r="F648" s="36" t="s">
        <v>31</v>
      </c>
      <c r="G648" s="37" t="s">
        <v>536</v>
      </c>
      <c r="H648" s="36" t="s">
        <v>537</v>
      </c>
      <c r="I648" s="36" t="s">
        <v>538</v>
      </c>
      <c r="J648" s="36">
        <v>1</v>
      </c>
      <c r="K648" s="36" t="s">
        <v>496</v>
      </c>
      <c r="L648" s="36">
        <v>4</v>
      </c>
      <c r="M648" s="36">
        <v>1</v>
      </c>
      <c r="N648" s="38">
        <v>80000000</v>
      </c>
      <c r="O648" s="38">
        <v>6666666</v>
      </c>
      <c r="P648" s="36">
        <v>12</v>
      </c>
      <c r="Q648" s="36" t="s">
        <v>413</v>
      </c>
      <c r="R648" s="36" t="s">
        <v>531</v>
      </c>
      <c r="S648" s="36" t="s">
        <v>532</v>
      </c>
      <c r="T648" s="36" t="s">
        <v>533</v>
      </c>
      <c r="U648" s="36" t="s">
        <v>534</v>
      </c>
      <c r="V648" s="40">
        <v>45870</v>
      </c>
      <c r="W648" s="40">
        <v>45889</v>
      </c>
      <c r="X648" s="36">
        <v>0</v>
      </c>
      <c r="Y648" s="36"/>
      <c r="Z648" s="36">
        <v>1</v>
      </c>
      <c r="AA648" s="36">
        <v>6666666</v>
      </c>
      <c r="AB648" s="40">
        <v>46235</v>
      </c>
      <c r="AC648" s="36" t="s">
        <v>2196</v>
      </c>
      <c r="AD648" s="36" t="str">
        <f>VLOOKUP(D648,Oficial!A:C,3,0)</f>
        <v>Arrastre</v>
      </c>
    </row>
    <row r="649" spans="1:30" x14ac:dyDescent="0.25">
      <c r="A649" s="36" t="s">
        <v>27</v>
      </c>
      <c r="B649" s="36" t="s">
        <v>535</v>
      </c>
      <c r="C649" s="36" t="s">
        <v>28</v>
      </c>
      <c r="D649" s="36" t="s">
        <v>535</v>
      </c>
      <c r="E649" s="36" t="s">
        <v>30</v>
      </c>
      <c r="F649" s="36" t="s">
        <v>31</v>
      </c>
      <c r="G649" s="37" t="s">
        <v>536</v>
      </c>
      <c r="H649" s="36" t="s">
        <v>537</v>
      </c>
      <c r="I649" s="36" t="s">
        <v>538</v>
      </c>
      <c r="J649" s="36">
        <v>1</v>
      </c>
      <c r="K649" s="36" t="s">
        <v>496</v>
      </c>
      <c r="L649" s="36">
        <v>4</v>
      </c>
      <c r="M649" s="36">
        <v>1</v>
      </c>
      <c r="N649" s="38">
        <v>80000000</v>
      </c>
      <c r="O649" s="38">
        <v>6666666</v>
      </c>
      <c r="P649" s="36">
        <v>12</v>
      </c>
      <c r="Q649" s="36" t="s">
        <v>413</v>
      </c>
      <c r="R649" s="36" t="s">
        <v>531</v>
      </c>
      <c r="S649" s="36" t="s">
        <v>532</v>
      </c>
      <c r="T649" s="36" t="s">
        <v>533</v>
      </c>
      <c r="U649" s="36" t="s">
        <v>534</v>
      </c>
      <c r="V649" s="40">
        <v>45870</v>
      </c>
      <c r="W649" s="40">
        <v>45889</v>
      </c>
      <c r="X649" s="36">
        <v>0</v>
      </c>
      <c r="Y649" s="36"/>
      <c r="Z649" s="36">
        <v>1</v>
      </c>
      <c r="AA649" s="36">
        <v>6666666</v>
      </c>
      <c r="AB649" s="40">
        <v>46054</v>
      </c>
      <c r="AC649" s="36" t="s">
        <v>2196</v>
      </c>
      <c r="AD649" s="36" t="str">
        <f>VLOOKUP(D649,Oficial!A:C,3,0)</f>
        <v>Arrastre</v>
      </c>
    </row>
    <row r="650" spans="1:30" x14ac:dyDescent="0.25">
      <c r="A650" s="36" t="s">
        <v>27</v>
      </c>
      <c r="B650" s="36" t="s">
        <v>535</v>
      </c>
      <c r="C650" s="36" t="s">
        <v>28</v>
      </c>
      <c r="D650" s="36" t="s">
        <v>535</v>
      </c>
      <c r="E650" s="36" t="s">
        <v>30</v>
      </c>
      <c r="F650" s="36" t="s">
        <v>31</v>
      </c>
      <c r="G650" s="37" t="s">
        <v>536</v>
      </c>
      <c r="H650" s="36" t="s">
        <v>537</v>
      </c>
      <c r="I650" s="36" t="s">
        <v>538</v>
      </c>
      <c r="J650" s="36">
        <v>1</v>
      </c>
      <c r="K650" s="36" t="s">
        <v>496</v>
      </c>
      <c r="L650" s="36">
        <v>4</v>
      </c>
      <c r="M650" s="36">
        <v>1</v>
      </c>
      <c r="N650" s="38">
        <v>80000000</v>
      </c>
      <c r="O650" s="38">
        <v>6666666</v>
      </c>
      <c r="P650" s="36">
        <v>12</v>
      </c>
      <c r="Q650" s="36" t="s">
        <v>413</v>
      </c>
      <c r="R650" s="36" t="s">
        <v>531</v>
      </c>
      <c r="S650" s="36" t="s">
        <v>532</v>
      </c>
      <c r="T650" s="36" t="s">
        <v>533</v>
      </c>
      <c r="U650" s="36" t="s">
        <v>534</v>
      </c>
      <c r="V650" s="40">
        <v>45870</v>
      </c>
      <c r="W650" s="40">
        <v>45889</v>
      </c>
      <c r="X650" s="36">
        <v>0</v>
      </c>
      <c r="Y650" s="36"/>
      <c r="Z650" s="36">
        <v>1</v>
      </c>
      <c r="AA650" s="36">
        <v>6666666</v>
      </c>
      <c r="AB650" s="40">
        <v>46327</v>
      </c>
      <c r="AC650" s="36" t="s">
        <v>2196</v>
      </c>
      <c r="AD650" s="36" t="str">
        <f>VLOOKUP(D650,Oficial!A:C,3,0)</f>
        <v>Arrastre</v>
      </c>
    </row>
    <row r="651" spans="1:30" x14ac:dyDescent="0.25">
      <c r="A651" s="36" t="s">
        <v>27</v>
      </c>
      <c r="B651" s="36" t="s">
        <v>535</v>
      </c>
      <c r="C651" s="36" t="s">
        <v>28</v>
      </c>
      <c r="D651" s="36" t="s">
        <v>535</v>
      </c>
      <c r="E651" s="36" t="s">
        <v>30</v>
      </c>
      <c r="F651" s="36" t="s">
        <v>31</v>
      </c>
      <c r="G651" s="37" t="s">
        <v>536</v>
      </c>
      <c r="H651" s="36" t="s">
        <v>537</v>
      </c>
      <c r="I651" s="36" t="s">
        <v>538</v>
      </c>
      <c r="J651" s="36">
        <v>1</v>
      </c>
      <c r="K651" s="36" t="s">
        <v>496</v>
      </c>
      <c r="L651" s="36">
        <v>4</v>
      </c>
      <c r="M651" s="36">
        <v>1</v>
      </c>
      <c r="N651" s="38">
        <v>80000000</v>
      </c>
      <c r="O651" s="38">
        <v>6666666</v>
      </c>
      <c r="P651" s="36">
        <v>12</v>
      </c>
      <c r="Q651" s="36" t="s">
        <v>413</v>
      </c>
      <c r="R651" s="36" t="s">
        <v>531</v>
      </c>
      <c r="S651" s="36" t="s">
        <v>532</v>
      </c>
      <c r="T651" s="36" t="s">
        <v>533</v>
      </c>
      <c r="U651" s="36" t="s">
        <v>534</v>
      </c>
      <c r="V651" s="40">
        <v>45870</v>
      </c>
      <c r="W651" s="40">
        <v>45889</v>
      </c>
      <c r="X651" s="36">
        <v>0</v>
      </c>
      <c r="Y651" s="36"/>
      <c r="Z651" s="36">
        <v>1</v>
      </c>
      <c r="AA651" s="36">
        <v>6666666</v>
      </c>
      <c r="AB651" s="40">
        <v>46174</v>
      </c>
      <c r="AC651" s="36" t="s">
        <v>2196</v>
      </c>
      <c r="AD651" s="36" t="str">
        <f>VLOOKUP(D651,Oficial!A:C,3,0)</f>
        <v>Arrastre</v>
      </c>
    </row>
    <row r="652" spans="1:30" x14ac:dyDescent="0.25">
      <c r="A652" s="36" t="s">
        <v>27</v>
      </c>
      <c r="B652" s="36" t="s">
        <v>535</v>
      </c>
      <c r="C652" s="36" t="s">
        <v>28</v>
      </c>
      <c r="D652" s="36" t="s">
        <v>535</v>
      </c>
      <c r="E652" s="36" t="s">
        <v>30</v>
      </c>
      <c r="F652" s="36" t="s">
        <v>31</v>
      </c>
      <c r="G652" s="37" t="s">
        <v>536</v>
      </c>
      <c r="H652" s="36" t="s">
        <v>537</v>
      </c>
      <c r="I652" s="36" t="s">
        <v>538</v>
      </c>
      <c r="J652" s="36">
        <v>1</v>
      </c>
      <c r="K652" s="36" t="s">
        <v>496</v>
      </c>
      <c r="L652" s="36">
        <v>4</v>
      </c>
      <c r="M652" s="36">
        <v>1</v>
      </c>
      <c r="N652" s="38">
        <v>80000000</v>
      </c>
      <c r="O652" s="38">
        <v>6666666</v>
      </c>
      <c r="P652" s="36">
        <v>12</v>
      </c>
      <c r="Q652" s="36" t="s">
        <v>413</v>
      </c>
      <c r="R652" s="36" t="s">
        <v>531</v>
      </c>
      <c r="S652" s="36" t="s">
        <v>532</v>
      </c>
      <c r="T652" s="36" t="s">
        <v>533</v>
      </c>
      <c r="U652" s="36" t="s">
        <v>534</v>
      </c>
      <c r="V652" s="40">
        <v>45870</v>
      </c>
      <c r="W652" s="40">
        <v>45889</v>
      </c>
      <c r="X652" s="36">
        <v>0</v>
      </c>
      <c r="Y652" s="36"/>
      <c r="Z652" s="36">
        <v>1</v>
      </c>
      <c r="AA652" s="36">
        <v>6666666</v>
      </c>
      <c r="AB652" s="40">
        <v>46113</v>
      </c>
      <c r="AC652" s="36" t="s">
        <v>2196</v>
      </c>
      <c r="AD652" s="36" t="str">
        <f>VLOOKUP(D652,Oficial!A:C,3,0)</f>
        <v>Arrastre</v>
      </c>
    </row>
    <row r="653" spans="1:30" x14ac:dyDescent="0.25">
      <c r="A653" s="36" t="s">
        <v>27</v>
      </c>
      <c r="B653" s="36" t="s">
        <v>535</v>
      </c>
      <c r="C653" s="36" t="s">
        <v>28</v>
      </c>
      <c r="D653" s="36" t="s">
        <v>535</v>
      </c>
      <c r="E653" s="36" t="s">
        <v>30</v>
      </c>
      <c r="F653" s="36" t="s">
        <v>31</v>
      </c>
      <c r="G653" s="37" t="s">
        <v>536</v>
      </c>
      <c r="H653" s="36" t="s">
        <v>537</v>
      </c>
      <c r="I653" s="36" t="s">
        <v>538</v>
      </c>
      <c r="J653" s="36">
        <v>1</v>
      </c>
      <c r="K653" s="36" t="s">
        <v>496</v>
      </c>
      <c r="L653" s="36">
        <v>4</v>
      </c>
      <c r="M653" s="36">
        <v>1</v>
      </c>
      <c r="N653" s="38">
        <v>80000000</v>
      </c>
      <c r="O653" s="38">
        <v>6666666</v>
      </c>
      <c r="P653" s="36">
        <v>12</v>
      </c>
      <c r="Q653" s="36" t="s">
        <v>413</v>
      </c>
      <c r="R653" s="36" t="s">
        <v>531</v>
      </c>
      <c r="S653" s="36" t="s">
        <v>532</v>
      </c>
      <c r="T653" s="36" t="s">
        <v>533</v>
      </c>
      <c r="U653" s="36" t="s">
        <v>534</v>
      </c>
      <c r="V653" s="40">
        <v>45870</v>
      </c>
      <c r="W653" s="40">
        <v>45889</v>
      </c>
      <c r="X653" s="36">
        <v>0</v>
      </c>
      <c r="Y653" s="36"/>
      <c r="Z653" s="36">
        <v>1</v>
      </c>
      <c r="AA653" s="36">
        <v>6666666</v>
      </c>
      <c r="AB653" s="40">
        <v>46204</v>
      </c>
      <c r="AC653" s="36" t="s">
        <v>2196</v>
      </c>
      <c r="AD653" s="36" t="str">
        <f>VLOOKUP(D653,Oficial!A:C,3,0)</f>
        <v>Arrastre</v>
      </c>
    </row>
    <row r="654" spans="1:30" x14ac:dyDescent="0.25">
      <c r="A654" s="36" t="s">
        <v>27</v>
      </c>
      <c r="B654" s="36" t="s">
        <v>535</v>
      </c>
      <c r="C654" s="36" t="s">
        <v>28</v>
      </c>
      <c r="D654" s="36" t="s">
        <v>535</v>
      </c>
      <c r="E654" s="36" t="s">
        <v>30</v>
      </c>
      <c r="F654" s="36" t="s">
        <v>31</v>
      </c>
      <c r="G654" s="37" t="s">
        <v>536</v>
      </c>
      <c r="H654" s="36" t="s">
        <v>537</v>
      </c>
      <c r="I654" s="36" t="s">
        <v>538</v>
      </c>
      <c r="J654" s="36">
        <v>1</v>
      </c>
      <c r="K654" s="36" t="s">
        <v>496</v>
      </c>
      <c r="L654" s="36">
        <v>4</v>
      </c>
      <c r="M654" s="36">
        <v>1</v>
      </c>
      <c r="N654" s="38">
        <v>80000000</v>
      </c>
      <c r="O654" s="38">
        <v>6666666</v>
      </c>
      <c r="P654" s="36">
        <v>12</v>
      </c>
      <c r="Q654" s="36" t="s">
        <v>413</v>
      </c>
      <c r="R654" s="36" t="s">
        <v>531</v>
      </c>
      <c r="S654" s="36" t="s">
        <v>532</v>
      </c>
      <c r="T654" s="36" t="s">
        <v>533</v>
      </c>
      <c r="U654" s="36" t="s">
        <v>534</v>
      </c>
      <c r="V654" s="40">
        <v>45870</v>
      </c>
      <c r="W654" s="40">
        <v>45889</v>
      </c>
      <c r="X654" s="36">
        <v>0</v>
      </c>
      <c r="Y654" s="36"/>
      <c r="Z654" s="36">
        <v>1</v>
      </c>
      <c r="AA654" s="36">
        <v>6666666</v>
      </c>
      <c r="AB654" s="40">
        <v>46296</v>
      </c>
      <c r="AC654" s="36" t="s">
        <v>2196</v>
      </c>
      <c r="AD654" s="36" t="str">
        <f>VLOOKUP(D654,Oficial!A:C,3,0)</f>
        <v>Arrastre</v>
      </c>
    </row>
    <row r="655" spans="1:30" x14ac:dyDescent="0.25">
      <c r="A655" s="36" t="s">
        <v>27</v>
      </c>
      <c r="B655" s="36" t="s">
        <v>535</v>
      </c>
      <c r="C655" s="36" t="s">
        <v>28</v>
      </c>
      <c r="D655" s="36" t="s">
        <v>535</v>
      </c>
      <c r="E655" s="36" t="s">
        <v>30</v>
      </c>
      <c r="F655" s="36" t="s">
        <v>31</v>
      </c>
      <c r="G655" s="37" t="s">
        <v>536</v>
      </c>
      <c r="H655" s="36" t="s">
        <v>537</v>
      </c>
      <c r="I655" s="36" t="s">
        <v>538</v>
      </c>
      <c r="J655" s="36">
        <v>1</v>
      </c>
      <c r="K655" s="36" t="s">
        <v>496</v>
      </c>
      <c r="L655" s="36">
        <v>4</v>
      </c>
      <c r="M655" s="36">
        <v>1</v>
      </c>
      <c r="N655" s="38">
        <v>80000000</v>
      </c>
      <c r="O655" s="38">
        <v>6666666</v>
      </c>
      <c r="P655" s="36">
        <v>12</v>
      </c>
      <c r="Q655" s="36" t="s">
        <v>413</v>
      </c>
      <c r="R655" s="36" t="s">
        <v>531</v>
      </c>
      <c r="S655" s="36" t="s">
        <v>532</v>
      </c>
      <c r="T655" s="36" t="s">
        <v>533</v>
      </c>
      <c r="U655" s="36" t="s">
        <v>534</v>
      </c>
      <c r="V655" s="40">
        <v>45870</v>
      </c>
      <c r="W655" s="40">
        <v>45889</v>
      </c>
      <c r="X655" s="36">
        <v>0</v>
      </c>
      <c r="Y655" s="36"/>
      <c r="Z655" s="36">
        <v>1</v>
      </c>
      <c r="AA655" s="36">
        <v>6666666</v>
      </c>
      <c r="AB655" s="40">
        <v>46266</v>
      </c>
      <c r="AC655" s="36" t="s">
        <v>2196</v>
      </c>
      <c r="AD655" s="36" t="str">
        <f>VLOOKUP(D655,Oficial!A:C,3,0)</f>
        <v>Arrastre</v>
      </c>
    </row>
    <row r="656" spans="1:30" x14ac:dyDescent="0.25">
      <c r="A656" s="36" t="s">
        <v>27</v>
      </c>
      <c r="B656" s="36" t="s">
        <v>539</v>
      </c>
      <c r="C656" s="36" t="s">
        <v>28</v>
      </c>
      <c r="D656" s="36" t="s">
        <v>539</v>
      </c>
      <c r="E656" s="36" t="s">
        <v>30</v>
      </c>
      <c r="F656" s="36" t="s">
        <v>31</v>
      </c>
      <c r="G656" s="37" t="s">
        <v>540</v>
      </c>
      <c r="H656" s="36" t="s">
        <v>541</v>
      </c>
      <c r="I656" s="36" t="s">
        <v>542</v>
      </c>
      <c r="J656" s="36">
        <v>1</v>
      </c>
      <c r="K656" s="36" t="s">
        <v>543</v>
      </c>
      <c r="L656" s="36">
        <v>4</v>
      </c>
      <c r="M656" s="36">
        <v>40</v>
      </c>
      <c r="N656" s="38">
        <v>2000000</v>
      </c>
      <c r="O656" s="43">
        <v>3333333</v>
      </c>
      <c r="P656" s="36">
        <v>24</v>
      </c>
      <c r="Q656" s="36" t="s">
        <v>278</v>
      </c>
      <c r="R656" s="36" t="s">
        <v>55</v>
      </c>
      <c r="S656" s="36" t="s">
        <v>544</v>
      </c>
      <c r="T656" s="36" t="s">
        <v>57</v>
      </c>
      <c r="U656" s="36" t="s">
        <v>58</v>
      </c>
      <c r="V656" s="40">
        <v>45870</v>
      </c>
      <c r="W656" s="40">
        <v>45889</v>
      </c>
      <c r="X656" s="36">
        <v>0</v>
      </c>
      <c r="Y656" s="36"/>
      <c r="Z656" s="36">
        <v>1</v>
      </c>
      <c r="AA656" s="36">
        <v>3333333</v>
      </c>
      <c r="AB656" s="40">
        <v>46082</v>
      </c>
      <c r="AC656" s="36" t="s">
        <v>2196</v>
      </c>
      <c r="AD656" s="36" t="str">
        <f>VLOOKUP(D656,Oficial!A:C,3,0)</f>
        <v>Arrastre</v>
      </c>
    </row>
    <row r="657" spans="1:30" x14ac:dyDescent="0.25">
      <c r="A657" s="36" t="s">
        <v>27</v>
      </c>
      <c r="B657" s="36" t="s">
        <v>539</v>
      </c>
      <c r="C657" s="36" t="s">
        <v>28</v>
      </c>
      <c r="D657" s="36" t="s">
        <v>539</v>
      </c>
      <c r="E657" s="36" t="s">
        <v>30</v>
      </c>
      <c r="F657" s="36" t="s">
        <v>31</v>
      </c>
      <c r="G657" s="37" t="s">
        <v>540</v>
      </c>
      <c r="H657" s="36" t="s">
        <v>541</v>
      </c>
      <c r="I657" s="36" t="s">
        <v>542</v>
      </c>
      <c r="J657" s="36">
        <v>1</v>
      </c>
      <c r="K657" s="36" t="s">
        <v>543</v>
      </c>
      <c r="L657" s="36">
        <v>4</v>
      </c>
      <c r="M657" s="36">
        <v>40</v>
      </c>
      <c r="N657" s="38">
        <v>2000000</v>
      </c>
      <c r="O657" s="43">
        <v>3333333</v>
      </c>
      <c r="P657" s="36">
        <v>24</v>
      </c>
      <c r="Q657" s="36" t="s">
        <v>278</v>
      </c>
      <c r="R657" s="36" t="s">
        <v>55</v>
      </c>
      <c r="S657" s="36" t="s">
        <v>544</v>
      </c>
      <c r="T657" s="36" t="s">
        <v>57</v>
      </c>
      <c r="U657" s="36" t="s">
        <v>58</v>
      </c>
      <c r="V657" s="40">
        <v>45870</v>
      </c>
      <c r="W657" s="40">
        <v>45889</v>
      </c>
      <c r="X657" s="36">
        <v>0</v>
      </c>
      <c r="Y657" s="36"/>
      <c r="Z657" s="36">
        <v>1</v>
      </c>
      <c r="AA657" s="36">
        <v>3333333</v>
      </c>
      <c r="AB657" s="40">
        <v>46023</v>
      </c>
      <c r="AC657" s="36" t="s">
        <v>2196</v>
      </c>
      <c r="AD657" s="36" t="str">
        <f>VLOOKUP(D657,Oficial!A:C,3,0)</f>
        <v>Arrastre</v>
      </c>
    </row>
    <row r="658" spans="1:30" x14ac:dyDescent="0.25">
      <c r="A658" s="36" t="s">
        <v>27</v>
      </c>
      <c r="B658" s="36" t="s">
        <v>539</v>
      </c>
      <c r="C658" s="36" t="s">
        <v>28</v>
      </c>
      <c r="D658" s="36" t="s">
        <v>539</v>
      </c>
      <c r="E658" s="36" t="s">
        <v>30</v>
      </c>
      <c r="F658" s="36" t="s">
        <v>31</v>
      </c>
      <c r="G658" s="37" t="s">
        <v>540</v>
      </c>
      <c r="H658" s="36" t="s">
        <v>541</v>
      </c>
      <c r="I658" s="36" t="s">
        <v>542</v>
      </c>
      <c r="J658" s="36">
        <v>1</v>
      </c>
      <c r="K658" s="36" t="s">
        <v>543</v>
      </c>
      <c r="L658" s="36">
        <v>4</v>
      </c>
      <c r="M658" s="36">
        <v>40</v>
      </c>
      <c r="N658" s="38">
        <v>2000000</v>
      </c>
      <c r="O658" s="43">
        <v>3333333</v>
      </c>
      <c r="P658" s="36">
        <v>24</v>
      </c>
      <c r="Q658" s="36" t="s">
        <v>278</v>
      </c>
      <c r="R658" s="36" t="s">
        <v>55</v>
      </c>
      <c r="S658" s="36" t="s">
        <v>544</v>
      </c>
      <c r="T658" s="36" t="s">
        <v>57</v>
      </c>
      <c r="U658" s="36" t="s">
        <v>58</v>
      </c>
      <c r="V658" s="40">
        <v>45870</v>
      </c>
      <c r="W658" s="40">
        <v>45889</v>
      </c>
      <c r="X658" s="36">
        <v>0</v>
      </c>
      <c r="Y658" s="36"/>
      <c r="Z658" s="36">
        <v>1</v>
      </c>
      <c r="AA658" s="36">
        <v>3333333</v>
      </c>
      <c r="AB658" s="40">
        <v>46174</v>
      </c>
      <c r="AC658" s="36" t="s">
        <v>2196</v>
      </c>
      <c r="AD658" s="36" t="str">
        <f>VLOOKUP(D658,Oficial!A:C,3,0)</f>
        <v>Arrastre</v>
      </c>
    </row>
    <row r="659" spans="1:30" x14ac:dyDescent="0.25">
      <c r="A659" s="36" t="s">
        <v>27</v>
      </c>
      <c r="B659" s="36" t="s">
        <v>539</v>
      </c>
      <c r="C659" s="36" t="s">
        <v>28</v>
      </c>
      <c r="D659" s="36" t="s">
        <v>539</v>
      </c>
      <c r="E659" s="36" t="s">
        <v>30</v>
      </c>
      <c r="F659" s="36" t="s">
        <v>31</v>
      </c>
      <c r="G659" s="37" t="s">
        <v>540</v>
      </c>
      <c r="H659" s="36" t="s">
        <v>541</v>
      </c>
      <c r="I659" s="36" t="s">
        <v>542</v>
      </c>
      <c r="J659" s="36">
        <v>1</v>
      </c>
      <c r="K659" s="36" t="s">
        <v>543</v>
      </c>
      <c r="L659" s="36">
        <v>4</v>
      </c>
      <c r="M659" s="36">
        <v>40</v>
      </c>
      <c r="N659" s="38">
        <v>2000000</v>
      </c>
      <c r="O659" s="43">
        <v>3333333</v>
      </c>
      <c r="P659" s="36">
        <v>24</v>
      </c>
      <c r="Q659" s="36" t="s">
        <v>278</v>
      </c>
      <c r="R659" s="36" t="s">
        <v>55</v>
      </c>
      <c r="S659" s="36" t="s">
        <v>544</v>
      </c>
      <c r="T659" s="36" t="s">
        <v>57</v>
      </c>
      <c r="U659" s="36" t="s">
        <v>58</v>
      </c>
      <c r="V659" s="40">
        <v>45870</v>
      </c>
      <c r="W659" s="40">
        <v>45889</v>
      </c>
      <c r="X659" s="36">
        <v>0</v>
      </c>
      <c r="Y659" s="36"/>
      <c r="Z659" s="36">
        <v>1</v>
      </c>
      <c r="AA659" s="36">
        <v>3333333</v>
      </c>
      <c r="AB659" s="40">
        <v>46143</v>
      </c>
      <c r="AC659" s="36" t="s">
        <v>2196</v>
      </c>
      <c r="AD659" s="36" t="str">
        <f>VLOOKUP(D659,Oficial!A:C,3,0)</f>
        <v>Arrastre</v>
      </c>
    </row>
    <row r="660" spans="1:30" x14ac:dyDescent="0.25">
      <c r="A660" s="36" t="s">
        <v>27</v>
      </c>
      <c r="B660" s="36" t="s">
        <v>539</v>
      </c>
      <c r="C660" s="36" t="s">
        <v>28</v>
      </c>
      <c r="D660" s="36" t="s">
        <v>539</v>
      </c>
      <c r="E660" s="36" t="s">
        <v>30</v>
      </c>
      <c r="F660" s="36" t="s">
        <v>31</v>
      </c>
      <c r="G660" s="37" t="s">
        <v>540</v>
      </c>
      <c r="H660" s="36" t="s">
        <v>541</v>
      </c>
      <c r="I660" s="36" t="s">
        <v>542</v>
      </c>
      <c r="J660" s="36">
        <v>1</v>
      </c>
      <c r="K660" s="36" t="s">
        <v>543</v>
      </c>
      <c r="L660" s="36">
        <v>4</v>
      </c>
      <c r="M660" s="36">
        <v>40</v>
      </c>
      <c r="N660" s="38">
        <v>2000000</v>
      </c>
      <c r="O660" s="43">
        <v>3333333</v>
      </c>
      <c r="P660" s="36">
        <v>24</v>
      </c>
      <c r="Q660" s="36" t="s">
        <v>278</v>
      </c>
      <c r="R660" s="36" t="s">
        <v>55</v>
      </c>
      <c r="S660" s="36" t="s">
        <v>544</v>
      </c>
      <c r="T660" s="36" t="s">
        <v>57</v>
      </c>
      <c r="U660" s="36" t="s">
        <v>58</v>
      </c>
      <c r="V660" s="40">
        <v>45870</v>
      </c>
      <c r="W660" s="40">
        <v>45889</v>
      </c>
      <c r="X660" s="36">
        <v>0</v>
      </c>
      <c r="Y660" s="36"/>
      <c r="Z660" s="36">
        <v>1</v>
      </c>
      <c r="AA660" s="36">
        <v>3333333</v>
      </c>
      <c r="AB660" s="40">
        <v>46357</v>
      </c>
      <c r="AC660" s="36" t="s">
        <v>2196</v>
      </c>
      <c r="AD660" s="36" t="str">
        <f>VLOOKUP(D660,Oficial!A:C,3,0)</f>
        <v>Arrastre</v>
      </c>
    </row>
    <row r="661" spans="1:30" x14ac:dyDescent="0.25">
      <c r="A661" s="36" t="s">
        <v>27</v>
      </c>
      <c r="B661" s="36" t="s">
        <v>539</v>
      </c>
      <c r="C661" s="36" t="s">
        <v>28</v>
      </c>
      <c r="D661" s="36" t="s">
        <v>539</v>
      </c>
      <c r="E661" s="36" t="s">
        <v>30</v>
      </c>
      <c r="F661" s="36" t="s">
        <v>31</v>
      </c>
      <c r="G661" s="37" t="s">
        <v>540</v>
      </c>
      <c r="H661" s="36" t="s">
        <v>541</v>
      </c>
      <c r="I661" s="36" t="s">
        <v>542</v>
      </c>
      <c r="J661" s="36">
        <v>1</v>
      </c>
      <c r="K661" s="36" t="s">
        <v>543</v>
      </c>
      <c r="L661" s="36">
        <v>4</v>
      </c>
      <c r="M661" s="36">
        <v>40</v>
      </c>
      <c r="N661" s="38">
        <v>2000000</v>
      </c>
      <c r="O661" s="43">
        <v>3333333</v>
      </c>
      <c r="P661" s="36">
        <v>24</v>
      </c>
      <c r="Q661" s="36" t="s">
        <v>278</v>
      </c>
      <c r="R661" s="36" t="s">
        <v>55</v>
      </c>
      <c r="S661" s="36" t="s">
        <v>544</v>
      </c>
      <c r="T661" s="36" t="s">
        <v>57</v>
      </c>
      <c r="U661" s="36" t="s">
        <v>58</v>
      </c>
      <c r="V661" s="40">
        <v>45870</v>
      </c>
      <c r="W661" s="40">
        <v>45889</v>
      </c>
      <c r="X661" s="36">
        <v>0</v>
      </c>
      <c r="Y661" s="36"/>
      <c r="Z661" s="36">
        <v>1</v>
      </c>
      <c r="AA661" s="36">
        <v>3333333</v>
      </c>
      <c r="AB661" s="40">
        <v>46054</v>
      </c>
      <c r="AC661" s="36" t="s">
        <v>2196</v>
      </c>
      <c r="AD661" s="36" t="str">
        <f>VLOOKUP(D661,Oficial!A:C,3,0)</f>
        <v>Arrastre</v>
      </c>
    </row>
    <row r="662" spans="1:30" x14ac:dyDescent="0.25">
      <c r="A662" s="36" t="s">
        <v>27</v>
      </c>
      <c r="B662" s="36" t="s">
        <v>539</v>
      </c>
      <c r="C662" s="36" t="s">
        <v>28</v>
      </c>
      <c r="D662" s="36" t="s">
        <v>539</v>
      </c>
      <c r="E662" s="36" t="s">
        <v>30</v>
      </c>
      <c r="F662" s="36" t="s">
        <v>31</v>
      </c>
      <c r="G662" s="37" t="s">
        <v>540</v>
      </c>
      <c r="H662" s="36" t="s">
        <v>541</v>
      </c>
      <c r="I662" s="36" t="s">
        <v>542</v>
      </c>
      <c r="J662" s="36">
        <v>1</v>
      </c>
      <c r="K662" s="36" t="s">
        <v>543</v>
      </c>
      <c r="L662" s="36">
        <v>4</v>
      </c>
      <c r="M662" s="36">
        <v>40</v>
      </c>
      <c r="N662" s="38">
        <v>2000000</v>
      </c>
      <c r="O662" s="43">
        <v>3333333</v>
      </c>
      <c r="P662" s="36">
        <v>24</v>
      </c>
      <c r="Q662" s="36" t="s">
        <v>278</v>
      </c>
      <c r="R662" s="36" t="s">
        <v>55</v>
      </c>
      <c r="S662" s="36" t="s">
        <v>544</v>
      </c>
      <c r="T662" s="36" t="s">
        <v>57</v>
      </c>
      <c r="U662" s="36" t="s">
        <v>58</v>
      </c>
      <c r="V662" s="40">
        <v>45870</v>
      </c>
      <c r="W662" s="40">
        <v>45889</v>
      </c>
      <c r="X662" s="36">
        <v>0</v>
      </c>
      <c r="Y662" s="36"/>
      <c r="Z662" s="36">
        <v>1</v>
      </c>
      <c r="AA662" s="36">
        <v>3333333</v>
      </c>
      <c r="AB662" s="40">
        <v>46204</v>
      </c>
      <c r="AC662" s="36" t="s">
        <v>2196</v>
      </c>
      <c r="AD662" s="36" t="str">
        <f>VLOOKUP(D662,Oficial!A:C,3,0)</f>
        <v>Arrastre</v>
      </c>
    </row>
    <row r="663" spans="1:30" x14ac:dyDescent="0.25">
      <c r="A663" s="36" t="s">
        <v>27</v>
      </c>
      <c r="B663" s="36" t="s">
        <v>539</v>
      </c>
      <c r="C663" s="36" t="s">
        <v>28</v>
      </c>
      <c r="D663" s="36" t="s">
        <v>539</v>
      </c>
      <c r="E663" s="36" t="s">
        <v>30</v>
      </c>
      <c r="F663" s="36" t="s">
        <v>31</v>
      </c>
      <c r="G663" s="37" t="s">
        <v>540</v>
      </c>
      <c r="H663" s="36" t="s">
        <v>541</v>
      </c>
      <c r="I663" s="36" t="s">
        <v>542</v>
      </c>
      <c r="J663" s="36">
        <v>1</v>
      </c>
      <c r="K663" s="36" t="s">
        <v>543</v>
      </c>
      <c r="L663" s="36">
        <v>4</v>
      </c>
      <c r="M663" s="36">
        <v>40</v>
      </c>
      <c r="N663" s="38">
        <v>2000000</v>
      </c>
      <c r="O663" s="43">
        <v>3333333</v>
      </c>
      <c r="P663" s="36">
        <v>24</v>
      </c>
      <c r="Q663" s="36" t="s">
        <v>278</v>
      </c>
      <c r="R663" s="36" t="s">
        <v>55</v>
      </c>
      <c r="S663" s="36" t="s">
        <v>544</v>
      </c>
      <c r="T663" s="36" t="s">
        <v>57</v>
      </c>
      <c r="U663" s="36" t="s">
        <v>58</v>
      </c>
      <c r="V663" s="40">
        <v>45870</v>
      </c>
      <c r="W663" s="40">
        <v>45889</v>
      </c>
      <c r="X663" s="36">
        <v>0</v>
      </c>
      <c r="Y663" s="36"/>
      <c r="Z663" s="36">
        <v>1</v>
      </c>
      <c r="AA663" s="36">
        <v>3333333</v>
      </c>
      <c r="AB663" s="40">
        <v>46327</v>
      </c>
      <c r="AC663" s="36" t="s">
        <v>2196</v>
      </c>
      <c r="AD663" s="36" t="str">
        <f>VLOOKUP(D663,Oficial!A:C,3,0)</f>
        <v>Arrastre</v>
      </c>
    </row>
    <row r="664" spans="1:30" x14ac:dyDescent="0.25">
      <c r="A664" s="36" t="s">
        <v>27</v>
      </c>
      <c r="B664" s="36" t="s">
        <v>539</v>
      </c>
      <c r="C664" s="36" t="s">
        <v>28</v>
      </c>
      <c r="D664" s="36" t="s">
        <v>539</v>
      </c>
      <c r="E664" s="36" t="s">
        <v>30</v>
      </c>
      <c r="F664" s="36" t="s">
        <v>31</v>
      </c>
      <c r="G664" s="37" t="s">
        <v>540</v>
      </c>
      <c r="H664" s="36" t="s">
        <v>541</v>
      </c>
      <c r="I664" s="36" t="s">
        <v>542</v>
      </c>
      <c r="J664" s="36">
        <v>1</v>
      </c>
      <c r="K664" s="36" t="s">
        <v>543</v>
      </c>
      <c r="L664" s="36">
        <v>4</v>
      </c>
      <c r="M664" s="36">
        <v>40</v>
      </c>
      <c r="N664" s="38">
        <v>2000000</v>
      </c>
      <c r="O664" s="43">
        <v>3333333</v>
      </c>
      <c r="P664" s="36">
        <v>24</v>
      </c>
      <c r="Q664" s="36" t="s">
        <v>278</v>
      </c>
      <c r="R664" s="36" t="s">
        <v>55</v>
      </c>
      <c r="S664" s="36" t="s">
        <v>544</v>
      </c>
      <c r="T664" s="36" t="s">
        <v>57</v>
      </c>
      <c r="U664" s="36" t="s">
        <v>58</v>
      </c>
      <c r="V664" s="40">
        <v>45870</v>
      </c>
      <c r="W664" s="40">
        <v>45889</v>
      </c>
      <c r="X664" s="36">
        <v>0</v>
      </c>
      <c r="Y664" s="36"/>
      <c r="Z664" s="36">
        <v>1</v>
      </c>
      <c r="AA664" s="36">
        <v>3333333</v>
      </c>
      <c r="AB664" s="40">
        <v>46113</v>
      </c>
      <c r="AC664" s="36" t="s">
        <v>2196</v>
      </c>
      <c r="AD664" s="36" t="str">
        <f>VLOOKUP(D664,Oficial!A:C,3,0)</f>
        <v>Arrastre</v>
      </c>
    </row>
    <row r="665" spans="1:30" x14ac:dyDescent="0.25">
      <c r="A665" s="36" t="s">
        <v>27</v>
      </c>
      <c r="B665" s="36" t="s">
        <v>539</v>
      </c>
      <c r="C665" s="36" t="s">
        <v>28</v>
      </c>
      <c r="D665" s="36" t="s">
        <v>539</v>
      </c>
      <c r="E665" s="36" t="s">
        <v>30</v>
      </c>
      <c r="F665" s="36" t="s">
        <v>31</v>
      </c>
      <c r="G665" s="37" t="s">
        <v>540</v>
      </c>
      <c r="H665" s="36" t="s">
        <v>541</v>
      </c>
      <c r="I665" s="36" t="s">
        <v>542</v>
      </c>
      <c r="J665" s="36">
        <v>1</v>
      </c>
      <c r="K665" s="36" t="s">
        <v>543</v>
      </c>
      <c r="L665" s="36">
        <v>4</v>
      </c>
      <c r="M665" s="36">
        <v>40</v>
      </c>
      <c r="N665" s="38">
        <v>2000000</v>
      </c>
      <c r="O665" s="43">
        <v>3333333</v>
      </c>
      <c r="P665" s="36">
        <v>24</v>
      </c>
      <c r="Q665" s="36" t="s">
        <v>278</v>
      </c>
      <c r="R665" s="36" t="s">
        <v>55</v>
      </c>
      <c r="S665" s="36" t="s">
        <v>544</v>
      </c>
      <c r="T665" s="36" t="s">
        <v>57</v>
      </c>
      <c r="U665" s="36" t="s">
        <v>58</v>
      </c>
      <c r="V665" s="40">
        <v>45870</v>
      </c>
      <c r="W665" s="40">
        <v>45889</v>
      </c>
      <c r="X665" s="36">
        <v>0</v>
      </c>
      <c r="Y665" s="36"/>
      <c r="Z665" s="36">
        <v>1</v>
      </c>
      <c r="AA665" s="36">
        <v>3333333</v>
      </c>
      <c r="AB665" s="40">
        <v>46235</v>
      </c>
      <c r="AC665" s="36" t="s">
        <v>2196</v>
      </c>
      <c r="AD665" s="36" t="str">
        <f>VLOOKUP(D665,Oficial!A:C,3,0)</f>
        <v>Arrastre</v>
      </c>
    </row>
    <row r="666" spans="1:30" x14ac:dyDescent="0.25">
      <c r="A666" s="36" t="s">
        <v>27</v>
      </c>
      <c r="B666" s="36" t="s">
        <v>539</v>
      </c>
      <c r="C666" s="36" t="s">
        <v>28</v>
      </c>
      <c r="D666" s="36" t="s">
        <v>539</v>
      </c>
      <c r="E666" s="36" t="s">
        <v>30</v>
      </c>
      <c r="F666" s="36" t="s">
        <v>31</v>
      </c>
      <c r="G666" s="37" t="s">
        <v>540</v>
      </c>
      <c r="H666" s="36" t="s">
        <v>541</v>
      </c>
      <c r="I666" s="36" t="s">
        <v>542</v>
      </c>
      <c r="J666" s="36">
        <v>1</v>
      </c>
      <c r="K666" s="36" t="s">
        <v>543</v>
      </c>
      <c r="L666" s="36">
        <v>4</v>
      </c>
      <c r="M666" s="36">
        <v>40</v>
      </c>
      <c r="N666" s="38">
        <v>2000000</v>
      </c>
      <c r="O666" s="43">
        <v>3333333</v>
      </c>
      <c r="P666" s="36">
        <v>24</v>
      </c>
      <c r="Q666" s="36" t="s">
        <v>278</v>
      </c>
      <c r="R666" s="36" t="s">
        <v>55</v>
      </c>
      <c r="S666" s="36" t="s">
        <v>544</v>
      </c>
      <c r="T666" s="36" t="s">
        <v>57</v>
      </c>
      <c r="U666" s="36" t="s">
        <v>58</v>
      </c>
      <c r="V666" s="40">
        <v>45870</v>
      </c>
      <c r="W666" s="40">
        <v>45889</v>
      </c>
      <c r="X666" s="36">
        <v>0</v>
      </c>
      <c r="Y666" s="36"/>
      <c r="Z666" s="36">
        <v>1</v>
      </c>
      <c r="AA666" s="36">
        <v>3333333</v>
      </c>
      <c r="AB666" s="40">
        <v>46266</v>
      </c>
      <c r="AC666" s="36" t="s">
        <v>2196</v>
      </c>
      <c r="AD666" s="36" t="str">
        <f>VLOOKUP(D666,Oficial!A:C,3,0)</f>
        <v>Arrastre</v>
      </c>
    </row>
    <row r="667" spans="1:30" x14ac:dyDescent="0.25">
      <c r="A667" s="36" t="s">
        <v>27</v>
      </c>
      <c r="B667" s="36" t="s">
        <v>539</v>
      </c>
      <c r="C667" s="36" t="s">
        <v>28</v>
      </c>
      <c r="D667" s="36" t="s">
        <v>539</v>
      </c>
      <c r="E667" s="36" t="s">
        <v>30</v>
      </c>
      <c r="F667" s="36" t="s">
        <v>31</v>
      </c>
      <c r="G667" s="37" t="s">
        <v>540</v>
      </c>
      <c r="H667" s="36" t="s">
        <v>541</v>
      </c>
      <c r="I667" s="36" t="s">
        <v>542</v>
      </c>
      <c r="J667" s="36">
        <v>1</v>
      </c>
      <c r="K667" s="36" t="s">
        <v>543</v>
      </c>
      <c r="L667" s="36">
        <v>4</v>
      </c>
      <c r="M667" s="36">
        <v>40</v>
      </c>
      <c r="N667" s="38">
        <v>2000000</v>
      </c>
      <c r="O667" s="43">
        <v>3333333</v>
      </c>
      <c r="P667" s="36">
        <v>24</v>
      </c>
      <c r="Q667" s="36" t="s">
        <v>278</v>
      </c>
      <c r="R667" s="36" t="s">
        <v>55</v>
      </c>
      <c r="S667" s="36" t="s">
        <v>544</v>
      </c>
      <c r="T667" s="36" t="s">
        <v>57</v>
      </c>
      <c r="U667" s="36" t="s">
        <v>58</v>
      </c>
      <c r="V667" s="40">
        <v>45870</v>
      </c>
      <c r="W667" s="40">
        <v>45889</v>
      </c>
      <c r="X667" s="36">
        <v>0</v>
      </c>
      <c r="Y667" s="36"/>
      <c r="Z667" s="36">
        <v>1</v>
      </c>
      <c r="AA667" s="36">
        <v>3333333</v>
      </c>
      <c r="AB667" s="40">
        <v>46296</v>
      </c>
      <c r="AC667" s="36" t="s">
        <v>2196</v>
      </c>
      <c r="AD667" s="36" t="str">
        <f>VLOOKUP(D667,Oficial!A:C,3,0)</f>
        <v>Arrastre</v>
      </c>
    </row>
    <row r="668" spans="1:30" x14ac:dyDescent="0.25">
      <c r="A668" s="36" t="s">
        <v>27</v>
      </c>
      <c r="B668" s="36" t="s">
        <v>545</v>
      </c>
      <c r="C668" s="36" t="s">
        <v>374</v>
      </c>
      <c r="D668" s="36" t="s">
        <v>545</v>
      </c>
      <c r="E668" s="36" t="s">
        <v>30</v>
      </c>
      <c r="F668" s="36" t="s">
        <v>31</v>
      </c>
      <c r="G668" s="37" t="s">
        <v>409</v>
      </c>
      <c r="H668" s="36" t="s">
        <v>546</v>
      </c>
      <c r="I668" s="36" t="s">
        <v>547</v>
      </c>
      <c r="J668" s="36">
        <v>1</v>
      </c>
      <c r="K668" s="36" t="s">
        <v>496</v>
      </c>
      <c r="L668" s="36">
        <v>4</v>
      </c>
      <c r="M668" s="36">
        <v>1</v>
      </c>
      <c r="N668" s="38">
        <v>33600000</v>
      </c>
      <c r="O668" s="42">
        <v>2800000</v>
      </c>
      <c r="P668" s="36">
        <v>12</v>
      </c>
      <c r="Q668" s="36" t="s">
        <v>318</v>
      </c>
      <c r="R668" s="36" t="s">
        <v>414</v>
      </c>
      <c r="S668" s="36" t="s">
        <v>415</v>
      </c>
      <c r="T668" s="36" t="s">
        <v>416</v>
      </c>
      <c r="U668" s="36" t="s">
        <v>417</v>
      </c>
      <c r="V668" s="40">
        <v>45870</v>
      </c>
      <c r="W668" s="40">
        <v>45889</v>
      </c>
      <c r="X668" s="36">
        <v>0</v>
      </c>
      <c r="Y668" s="36"/>
      <c r="Z668" s="36">
        <v>1</v>
      </c>
      <c r="AA668" s="36">
        <v>2800000</v>
      </c>
      <c r="AB668" s="40">
        <v>46204</v>
      </c>
      <c r="AC668" s="36" t="s">
        <v>2196</v>
      </c>
      <c r="AD668" s="36" t="str">
        <f>VLOOKUP(D668,Oficial!A:C,3,0)</f>
        <v>Arrastre</v>
      </c>
    </row>
    <row r="669" spans="1:30" x14ac:dyDescent="0.25">
      <c r="A669" s="36" t="s">
        <v>27</v>
      </c>
      <c r="B669" s="36" t="s">
        <v>545</v>
      </c>
      <c r="C669" s="36" t="s">
        <v>374</v>
      </c>
      <c r="D669" s="36" t="s">
        <v>545</v>
      </c>
      <c r="E669" s="36" t="s">
        <v>30</v>
      </c>
      <c r="F669" s="36" t="s">
        <v>31</v>
      </c>
      <c r="G669" s="37" t="s">
        <v>409</v>
      </c>
      <c r="H669" s="36" t="s">
        <v>546</v>
      </c>
      <c r="I669" s="36" t="s">
        <v>547</v>
      </c>
      <c r="J669" s="36">
        <v>1</v>
      </c>
      <c r="K669" s="36" t="s">
        <v>496</v>
      </c>
      <c r="L669" s="36">
        <v>4</v>
      </c>
      <c r="M669" s="36">
        <v>1</v>
      </c>
      <c r="N669" s="38">
        <v>33600000</v>
      </c>
      <c r="O669" s="42">
        <v>2800000</v>
      </c>
      <c r="P669" s="36">
        <v>12</v>
      </c>
      <c r="Q669" s="36" t="s">
        <v>318</v>
      </c>
      <c r="R669" s="36" t="s">
        <v>414</v>
      </c>
      <c r="S669" s="36" t="s">
        <v>415</v>
      </c>
      <c r="T669" s="36" t="s">
        <v>416</v>
      </c>
      <c r="U669" s="36" t="s">
        <v>417</v>
      </c>
      <c r="V669" s="40">
        <v>45870</v>
      </c>
      <c r="W669" s="40">
        <v>45889</v>
      </c>
      <c r="X669" s="36">
        <v>0</v>
      </c>
      <c r="Y669" s="36"/>
      <c r="Z669" s="36">
        <v>1</v>
      </c>
      <c r="AA669" s="36">
        <v>2800000</v>
      </c>
      <c r="AB669" s="40">
        <v>46113</v>
      </c>
      <c r="AC669" s="36" t="s">
        <v>2196</v>
      </c>
      <c r="AD669" s="36" t="str">
        <f>VLOOKUP(D669,Oficial!A:C,3,0)</f>
        <v>Arrastre</v>
      </c>
    </row>
    <row r="670" spans="1:30" x14ac:dyDescent="0.25">
      <c r="A670" s="36" t="s">
        <v>27</v>
      </c>
      <c r="B670" s="36" t="s">
        <v>545</v>
      </c>
      <c r="C670" s="36" t="s">
        <v>374</v>
      </c>
      <c r="D670" s="36" t="s">
        <v>545</v>
      </c>
      <c r="E670" s="36" t="s">
        <v>30</v>
      </c>
      <c r="F670" s="36" t="s">
        <v>31</v>
      </c>
      <c r="G670" s="37" t="s">
        <v>409</v>
      </c>
      <c r="H670" s="36" t="s">
        <v>546</v>
      </c>
      <c r="I670" s="36" t="s">
        <v>547</v>
      </c>
      <c r="J670" s="36">
        <v>1</v>
      </c>
      <c r="K670" s="36" t="s">
        <v>496</v>
      </c>
      <c r="L670" s="36">
        <v>4</v>
      </c>
      <c r="M670" s="36">
        <v>1</v>
      </c>
      <c r="N670" s="38">
        <v>33600000</v>
      </c>
      <c r="O670" s="42">
        <v>2800000</v>
      </c>
      <c r="P670" s="36">
        <v>12</v>
      </c>
      <c r="Q670" s="36" t="s">
        <v>318</v>
      </c>
      <c r="R670" s="36" t="s">
        <v>414</v>
      </c>
      <c r="S670" s="36" t="s">
        <v>415</v>
      </c>
      <c r="T670" s="36" t="s">
        <v>416</v>
      </c>
      <c r="U670" s="36" t="s">
        <v>417</v>
      </c>
      <c r="V670" s="40">
        <v>45870</v>
      </c>
      <c r="W670" s="40">
        <v>45889</v>
      </c>
      <c r="X670" s="36">
        <v>0</v>
      </c>
      <c r="Y670" s="36"/>
      <c r="Z670" s="36">
        <v>1</v>
      </c>
      <c r="AA670" s="36">
        <v>2800000</v>
      </c>
      <c r="AB670" s="40">
        <v>46054</v>
      </c>
      <c r="AC670" s="36" t="s">
        <v>2196</v>
      </c>
      <c r="AD670" s="36" t="str">
        <f>VLOOKUP(D670,Oficial!A:C,3,0)</f>
        <v>Arrastre</v>
      </c>
    </row>
    <row r="671" spans="1:30" x14ac:dyDescent="0.25">
      <c r="A671" s="36" t="s">
        <v>27</v>
      </c>
      <c r="B671" s="36" t="s">
        <v>545</v>
      </c>
      <c r="C671" s="36" t="s">
        <v>374</v>
      </c>
      <c r="D671" s="36" t="s">
        <v>545</v>
      </c>
      <c r="E671" s="36" t="s">
        <v>30</v>
      </c>
      <c r="F671" s="36" t="s">
        <v>31</v>
      </c>
      <c r="G671" s="37" t="s">
        <v>409</v>
      </c>
      <c r="H671" s="36" t="s">
        <v>546</v>
      </c>
      <c r="I671" s="36" t="s">
        <v>547</v>
      </c>
      <c r="J671" s="36">
        <v>1</v>
      </c>
      <c r="K671" s="36" t="s">
        <v>496</v>
      </c>
      <c r="L671" s="36">
        <v>4</v>
      </c>
      <c r="M671" s="36">
        <v>1</v>
      </c>
      <c r="N671" s="38">
        <v>33600000</v>
      </c>
      <c r="O671" s="42">
        <v>2800000</v>
      </c>
      <c r="P671" s="36">
        <v>12</v>
      </c>
      <c r="Q671" s="36" t="s">
        <v>318</v>
      </c>
      <c r="R671" s="36" t="s">
        <v>414</v>
      </c>
      <c r="S671" s="36" t="s">
        <v>415</v>
      </c>
      <c r="T671" s="36" t="s">
        <v>416</v>
      </c>
      <c r="U671" s="36" t="s">
        <v>417</v>
      </c>
      <c r="V671" s="40">
        <v>45870</v>
      </c>
      <c r="W671" s="40">
        <v>45889</v>
      </c>
      <c r="X671" s="36">
        <v>0</v>
      </c>
      <c r="Y671" s="36"/>
      <c r="Z671" s="36">
        <v>1</v>
      </c>
      <c r="AA671" s="36">
        <v>2800000</v>
      </c>
      <c r="AB671" s="40">
        <v>46296</v>
      </c>
      <c r="AC671" s="36" t="s">
        <v>2196</v>
      </c>
      <c r="AD671" s="36" t="str">
        <f>VLOOKUP(D671,Oficial!A:C,3,0)</f>
        <v>Arrastre</v>
      </c>
    </row>
    <row r="672" spans="1:30" x14ac:dyDescent="0.25">
      <c r="A672" s="36" t="s">
        <v>27</v>
      </c>
      <c r="B672" s="36" t="s">
        <v>545</v>
      </c>
      <c r="C672" s="36" t="s">
        <v>374</v>
      </c>
      <c r="D672" s="36" t="s">
        <v>545</v>
      </c>
      <c r="E672" s="36" t="s">
        <v>30</v>
      </c>
      <c r="F672" s="36" t="s">
        <v>31</v>
      </c>
      <c r="G672" s="37" t="s">
        <v>409</v>
      </c>
      <c r="H672" s="36" t="s">
        <v>546</v>
      </c>
      <c r="I672" s="36" t="s">
        <v>547</v>
      </c>
      <c r="J672" s="36">
        <v>1</v>
      </c>
      <c r="K672" s="36" t="s">
        <v>496</v>
      </c>
      <c r="L672" s="36">
        <v>4</v>
      </c>
      <c r="M672" s="36">
        <v>1</v>
      </c>
      <c r="N672" s="38">
        <v>33600000</v>
      </c>
      <c r="O672" s="42">
        <v>2800000</v>
      </c>
      <c r="P672" s="36">
        <v>12</v>
      </c>
      <c r="Q672" s="36" t="s">
        <v>318</v>
      </c>
      <c r="R672" s="36" t="s">
        <v>414</v>
      </c>
      <c r="S672" s="36" t="s">
        <v>415</v>
      </c>
      <c r="T672" s="36" t="s">
        <v>416</v>
      </c>
      <c r="U672" s="36" t="s">
        <v>417</v>
      </c>
      <c r="V672" s="40">
        <v>45870</v>
      </c>
      <c r="W672" s="40">
        <v>45889</v>
      </c>
      <c r="X672" s="36">
        <v>0</v>
      </c>
      <c r="Y672" s="36"/>
      <c r="Z672" s="36">
        <v>1</v>
      </c>
      <c r="AA672" s="36">
        <v>2800000</v>
      </c>
      <c r="AB672" s="40">
        <v>46082</v>
      </c>
      <c r="AC672" s="36" t="s">
        <v>2196</v>
      </c>
      <c r="AD672" s="36" t="str">
        <f>VLOOKUP(D672,Oficial!A:C,3,0)</f>
        <v>Arrastre</v>
      </c>
    </row>
    <row r="673" spans="1:30" x14ac:dyDescent="0.25">
      <c r="A673" s="36" t="s">
        <v>27</v>
      </c>
      <c r="B673" s="36" t="s">
        <v>545</v>
      </c>
      <c r="C673" s="36" t="s">
        <v>374</v>
      </c>
      <c r="D673" s="36" t="s">
        <v>545</v>
      </c>
      <c r="E673" s="36" t="s">
        <v>30</v>
      </c>
      <c r="F673" s="36" t="s">
        <v>31</v>
      </c>
      <c r="G673" s="37" t="s">
        <v>409</v>
      </c>
      <c r="H673" s="36" t="s">
        <v>546</v>
      </c>
      <c r="I673" s="36" t="s">
        <v>547</v>
      </c>
      <c r="J673" s="36">
        <v>1</v>
      </c>
      <c r="K673" s="36" t="s">
        <v>496</v>
      </c>
      <c r="L673" s="36">
        <v>4</v>
      </c>
      <c r="M673" s="36">
        <v>1</v>
      </c>
      <c r="N673" s="38">
        <v>33600000</v>
      </c>
      <c r="O673" s="42">
        <v>2800000</v>
      </c>
      <c r="P673" s="36">
        <v>12</v>
      </c>
      <c r="Q673" s="36" t="s">
        <v>318</v>
      </c>
      <c r="R673" s="36" t="s">
        <v>414</v>
      </c>
      <c r="S673" s="36" t="s">
        <v>415</v>
      </c>
      <c r="T673" s="36" t="s">
        <v>416</v>
      </c>
      <c r="U673" s="36" t="s">
        <v>417</v>
      </c>
      <c r="V673" s="40">
        <v>45870</v>
      </c>
      <c r="W673" s="40">
        <v>45889</v>
      </c>
      <c r="X673" s="36">
        <v>0</v>
      </c>
      <c r="Y673" s="36"/>
      <c r="Z673" s="36">
        <v>1</v>
      </c>
      <c r="AA673" s="36">
        <v>2800000</v>
      </c>
      <c r="AB673" s="40">
        <v>46327</v>
      </c>
      <c r="AC673" s="36" t="s">
        <v>2196</v>
      </c>
      <c r="AD673" s="36" t="str">
        <f>VLOOKUP(D673,Oficial!A:C,3,0)</f>
        <v>Arrastre</v>
      </c>
    </row>
    <row r="674" spans="1:30" x14ac:dyDescent="0.25">
      <c r="A674" s="36" t="s">
        <v>27</v>
      </c>
      <c r="B674" s="36" t="s">
        <v>545</v>
      </c>
      <c r="C674" s="36" t="s">
        <v>374</v>
      </c>
      <c r="D674" s="36" t="s">
        <v>545</v>
      </c>
      <c r="E674" s="36" t="s">
        <v>30</v>
      </c>
      <c r="F674" s="36" t="s">
        <v>31</v>
      </c>
      <c r="G674" s="37" t="s">
        <v>409</v>
      </c>
      <c r="H674" s="36" t="s">
        <v>546</v>
      </c>
      <c r="I674" s="36" t="s">
        <v>547</v>
      </c>
      <c r="J674" s="36">
        <v>1</v>
      </c>
      <c r="K674" s="36" t="s">
        <v>496</v>
      </c>
      <c r="L674" s="36">
        <v>4</v>
      </c>
      <c r="M674" s="36">
        <v>1</v>
      </c>
      <c r="N674" s="38">
        <v>33600000</v>
      </c>
      <c r="O674" s="42">
        <v>2800000</v>
      </c>
      <c r="P674" s="36">
        <v>12</v>
      </c>
      <c r="Q674" s="36" t="s">
        <v>318</v>
      </c>
      <c r="R674" s="36" t="s">
        <v>414</v>
      </c>
      <c r="S674" s="36" t="s">
        <v>415</v>
      </c>
      <c r="T674" s="36" t="s">
        <v>416</v>
      </c>
      <c r="U674" s="36" t="s">
        <v>417</v>
      </c>
      <c r="V674" s="40">
        <v>45870</v>
      </c>
      <c r="W674" s="40">
        <v>45889</v>
      </c>
      <c r="X674" s="36">
        <v>0</v>
      </c>
      <c r="Y674" s="36"/>
      <c r="Z674" s="36">
        <v>1</v>
      </c>
      <c r="AA674" s="36">
        <v>2800000</v>
      </c>
      <c r="AB674" s="40">
        <v>46357</v>
      </c>
      <c r="AC674" s="36" t="s">
        <v>2196</v>
      </c>
      <c r="AD674" s="36" t="str">
        <f>VLOOKUP(D674,Oficial!A:C,3,0)</f>
        <v>Arrastre</v>
      </c>
    </row>
    <row r="675" spans="1:30" x14ac:dyDescent="0.25">
      <c r="A675" s="36" t="s">
        <v>27</v>
      </c>
      <c r="B675" s="36" t="s">
        <v>545</v>
      </c>
      <c r="C675" s="36" t="s">
        <v>374</v>
      </c>
      <c r="D675" s="36" t="s">
        <v>545</v>
      </c>
      <c r="E675" s="36" t="s">
        <v>30</v>
      </c>
      <c r="F675" s="36" t="s">
        <v>31</v>
      </c>
      <c r="G675" s="37" t="s">
        <v>409</v>
      </c>
      <c r="H675" s="36" t="s">
        <v>546</v>
      </c>
      <c r="I675" s="36" t="s">
        <v>547</v>
      </c>
      <c r="J675" s="36">
        <v>1</v>
      </c>
      <c r="K675" s="36" t="s">
        <v>496</v>
      </c>
      <c r="L675" s="36">
        <v>4</v>
      </c>
      <c r="M675" s="36">
        <v>1</v>
      </c>
      <c r="N675" s="38">
        <v>33600000</v>
      </c>
      <c r="O675" s="42">
        <v>2800000</v>
      </c>
      <c r="P675" s="36">
        <v>12</v>
      </c>
      <c r="Q675" s="36" t="s">
        <v>318</v>
      </c>
      <c r="R675" s="36" t="s">
        <v>414</v>
      </c>
      <c r="S675" s="36" t="s">
        <v>415</v>
      </c>
      <c r="T675" s="36" t="s">
        <v>416</v>
      </c>
      <c r="U675" s="36" t="s">
        <v>417</v>
      </c>
      <c r="V675" s="40">
        <v>45870</v>
      </c>
      <c r="W675" s="40">
        <v>45889</v>
      </c>
      <c r="X675" s="36">
        <v>0</v>
      </c>
      <c r="Y675" s="36"/>
      <c r="Z675" s="36">
        <v>1</v>
      </c>
      <c r="AA675" s="36">
        <v>2800000</v>
      </c>
      <c r="AB675" s="40">
        <v>46235</v>
      </c>
      <c r="AC675" s="36" t="s">
        <v>2196</v>
      </c>
      <c r="AD675" s="36" t="str">
        <f>VLOOKUP(D675,Oficial!A:C,3,0)</f>
        <v>Arrastre</v>
      </c>
    </row>
    <row r="676" spans="1:30" x14ac:dyDescent="0.25">
      <c r="A676" s="36" t="s">
        <v>27</v>
      </c>
      <c r="B676" s="36" t="s">
        <v>545</v>
      </c>
      <c r="C676" s="36" t="s">
        <v>374</v>
      </c>
      <c r="D676" s="36" t="s">
        <v>545</v>
      </c>
      <c r="E676" s="36" t="s">
        <v>30</v>
      </c>
      <c r="F676" s="36" t="s">
        <v>31</v>
      </c>
      <c r="G676" s="37" t="s">
        <v>409</v>
      </c>
      <c r="H676" s="36" t="s">
        <v>546</v>
      </c>
      <c r="I676" s="36" t="s">
        <v>547</v>
      </c>
      <c r="J676" s="36">
        <v>1</v>
      </c>
      <c r="K676" s="36" t="s">
        <v>496</v>
      </c>
      <c r="L676" s="36">
        <v>4</v>
      </c>
      <c r="M676" s="36">
        <v>1</v>
      </c>
      <c r="N676" s="38">
        <v>33600000</v>
      </c>
      <c r="O676" s="42">
        <v>2800000</v>
      </c>
      <c r="P676" s="36">
        <v>12</v>
      </c>
      <c r="Q676" s="36" t="s">
        <v>318</v>
      </c>
      <c r="R676" s="36" t="s">
        <v>414</v>
      </c>
      <c r="S676" s="36" t="s">
        <v>415</v>
      </c>
      <c r="T676" s="36" t="s">
        <v>416</v>
      </c>
      <c r="U676" s="36" t="s">
        <v>417</v>
      </c>
      <c r="V676" s="40">
        <v>45870</v>
      </c>
      <c r="W676" s="40">
        <v>45889</v>
      </c>
      <c r="X676" s="36">
        <v>0</v>
      </c>
      <c r="Y676" s="36"/>
      <c r="Z676" s="36">
        <v>1</v>
      </c>
      <c r="AA676" s="36">
        <v>2800000</v>
      </c>
      <c r="AB676" s="40">
        <v>46174</v>
      </c>
      <c r="AC676" s="36" t="s">
        <v>2196</v>
      </c>
      <c r="AD676" s="36" t="str">
        <f>VLOOKUP(D676,Oficial!A:C,3,0)</f>
        <v>Arrastre</v>
      </c>
    </row>
    <row r="677" spans="1:30" x14ac:dyDescent="0.25">
      <c r="A677" s="36" t="s">
        <v>27</v>
      </c>
      <c r="B677" s="36" t="s">
        <v>545</v>
      </c>
      <c r="C677" s="36" t="s">
        <v>374</v>
      </c>
      <c r="D677" s="36" t="s">
        <v>545</v>
      </c>
      <c r="E677" s="36" t="s">
        <v>30</v>
      </c>
      <c r="F677" s="36" t="s">
        <v>31</v>
      </c>
      <c r="G677" s="37" t="s">
        <v>409</v>
      </c>
      <c r="H677" s="36" t="s">
        <v>546</v>
      </c>
      <c r="I677" s="36" t="s">
        <v>547</v>
      </c>
      <c r="J677" s="36">
        <v>1</v>
      </c>
      <c r="K677" s="36" t="s">
        <v>496</v>
      </c>
      <c r="L677" s="36">
        <v>4</v>
      </c>
      <c r="M677" s="36">
        <v>1</v>
      </c>
      <c r="N677" s="38">
        <v>33600000</v>
      </c>
      <c r="O677" s="42">
        <v>2800000</v>
      </c>
      <c r="P677" s="36">
        <v>12</v>
      </c>
      <c r="Q677" s="36" t="s">
        <v>318</v>
      </c>
      <c r="R677" s="36" t="s">
        <v>414</v>
      </c>
      <c r="S677" s="36" t="s">
        <v>415</v>
      </c>
      <c r="T677" s="36" t="s">
        <v>416</v>
      </c>
      <c r="U677" s="36" t="s">
        <v>417</v>
      </c>
      <c r="V677" s="40">
        <v>45870</v>
      </c>
      <c r="W677" s="40">
        <v>45889</v>
      </c>
      <c r="X677" s="36">
        <v>0</v>
      </c>
      <c r="Y677" s="36"/>
      <c r="Z677" s="36">
        <v>1</v>
      </c>
      <c r="AA677" s="36">
        <v>2800000</v>
      </c>
      <c r="AB677" s="40">
        <v>46266</v>
      </c>
      <c r="AC677" s="36" t="s">
        <v>2196</v>
      </c>
      <c r="AD677" s="36" t="str">
        <f>VLOOKUP(D677,Oficial!A:C,3,0)</f>
        <v>Arrastre</v>
      </c>
    </row>
    <row r="678" spans="1:30" x14ac:dyDescent="0.25">
      <c r="A678" s="36" t="s">
        <v>27</v>
      </c>
      <c r="B678" s="36" t="s">
        <v>545</v>
      </c>
      <c r="C678" s="36" t="s">
        <v>374</v>
      </c>
      <c r="D678" s="36" t="s">
        <v>545</v>
      </c>
      <c r="E678" s="36" t="s">
        <v>30</v>
      </c>
      <c r="F678" s="36" t="s">
        <v>31</v>
      </c>
      <c r="G678" s="37" t="s">
        <v>409</v>
      </c>
      <c r="H678" s="36" t="s">
        <v>546</v>
      </c>
      <c r="I678" s="36" t="s">
        <v>547</v>
      </c>
      <c r="J678" s="36">
        <v>1</v>
      </c>
      <c r="K678" s="36" t="s">
        <v>496</v>
      </c>
      <c r="L678" s="36">
        <v>4</v>
      </c>
      <c r="M678" s="36">
        <v>1</v>
      </c>
      <c r="N678" s="38">
        <v>33600000</v>
      </c>
      <c r="O678" s="42">
        <v>2800000</v>
      </c>
      <c r="P678" s="36">
        <v>12</v>
      </c>
      <c r="Q678" s="36" t="s">
        <v>318</v>
      </c>
      <c r="R678" s="36" t="s">
        <v>414</v>
      </c>
      <c r="S678" s="36" t="s">
        <v>415</v>
      </c>
      <c r="T678" s="36" t="s">
        <v>416</v>
      </c>
      <c r="U678" s="36" t="s">
        <v>417</v>
      </c>
      <c r="V678" s="40">
        <v>45870</v>
      </c>
      <c r="W678" s="40">
        <v>45889</v>
      </c>
      <c r="X678" s="36">
        <v>0</v>
      </c>
      <c r="Y678" s="36"/>
      <c r="Z678" s="36">
        <v>1</v>
      </c>
      <c r="AA678" s="36">
        <v>2800000</v>
      </c>
      <c r="AB678" s="40">
        <v>46143</v>
      </c>
      <c r="AC678" s="36" t="s">
        <v>2196</v>
      </c>
      <c r="AD678" s="36" t="str">
        <f>VLOOKUP(D678,Oficial!A:C,3,0)</f>
        <v>Arrastre</v>
      </c>
    </row>
    <row r="679" spans="1:30" x14ac:dyDescent="0.25">
      <c r="A679" s="36" t="s">
        <v>27</v>
      </c>
      <c r="B679" s="36" t="s">
        <v>548</v>
      </c>
      <c r="C679" s="36" t="s">
        <v>28</v>
      </c>
      <c r="D679" s="36" t="s">
        <v>548</v>
      </c>
      <c r="E679" s="36" t="s">
        <v>30</v>
      </c>
      <c r="F679" s="36" t="s">
        <v>31</v>
      </c>
      <c r="G679" s="37" t="s">
        <v>549</v>
      </c>
      <c r="H679" s="36" t="s">
        <v>550</v>
      </c>
      <c r="I679" s="36" t="s">
        <v>551</v>
      </c>
      <c r="J679" s="36">
        <v>1</v>
      </c>
      <c r="K679" s="36" t="s">
        <v>496</v>
      </c>
      <c r="L679" s="36">
        <v>4</v>
      </c>
      <c r="M679" s="36">
        <v>1</v>
      </c>
      <c r="N679" s="38">
        <v>96100000</v>
      </c>
      <c r="O679" s="41">
        <v>8008333</v>
      </c>
      <c r="P679" s="36">
        <v>12</v>
      </c>
      <c r="Q679" s="36" t="s">
        <v>413</v>
      </c>
      <c r="R679" s="36" t="s">
        <v>55</v>
      </c>
      <c r="S679" s="36" t="s">
        <v>544</v>
      </c>
      <c r="T679" s="36" t="s">
        <v>57</v>
      </c>
      <c r="U679" s="36" t="s">
        <v>58</v>
      </c>
      <c r="V679" s="40">
        <v>45870</v>
      </c>
      <c r="W679" s="40">
        <v>45889</v>
      </c>
      <c r="X679" s="36">
        <v>0</v>
      </c>
      <c r="Y679" s="36"/>
      <c r="Z679" s="36">
        <v>1</v>
      </c>
      <c r="AA679" s="36">
        <v>8008333</v>
      </c>
      <c r="AB679" s="40">
        <v>46054</v>
      </c>
      <c r="AC679" s="36" t="s">
        <v>2196</v>
      </c>
      <c r="AD679" s="36" t="str">
        <f>VLOOKUP(D679,Oficial!A:C,3,0)</f>
        <v>Arrastre</v>
      </c>
    </row>
    <row r="680" spans="1:30" x14ac:dyDescent="0.25">
      <c r="A680" s="36" t="s">
        <v>27</v>
      </c>
      <c r="B680" s="36" t="s">
        <v>548</v>
      </c>
      <c r="C680" s="36" t="s">
        <v>28</v>
      </c>
      <c r="D680" s="36" t="s">
        <v>548</v>
      </c>
      <c r="E680" s="36" t="s">
        <v>30</v>
      </c>
      <c r="F680" s="36" t="s">
        <v>31</v>
      </c>
      <c r="G680" s="37" t="s">
        <v>549</v>
      </c>
      <c r="H680" s="36" t="s">
        <v>550</v>
      </c>
      <c r="I680" s="36" t="s">
        <v>551</v>
      </c>
      <c r="J680" s="36">
        <v>1</v>
      </c>
      <c r="K680" s="36" t="s">
        <v>496</v>
      </c>
      <c r="L680" s="36">
        <v>4</v>
      </c>
      <c r="M680" s="36">
        <v>1</v>
      </c>
      <c r="N680" s="38">
        <v>96100000</v>
      </c>
      <c r="O680" s="41">
        <v>8008333</v>
      </c>
      <c r="P680" s="36">
        <v>12</v>
      </c>
      <c r="Q680" s="36" t="s">
        <v>413</v>
      </c>
      <c r="R680" s="36" t="s">
        <v>55</v>
      </c>
      <c r="S680" s="36" t="s">
        <v>544</v>
      </c>
      <c r="T680" s="36" t="s">
        <v>57</v>
      </c>
      <c r="U680" s="36" t="s">
        <v>58</v>
      </c>
      <c r="V680" s="40">
        <v>45870</v>
      </c>
      <c r="W680" s="40">
        <v>45889</v>
      </c>
      <c r="X680" s="36">
        <v>0</v>
      </c>
      <c r="Y680" s="36"/>
      <c r="Z680" s="36">
        <v>1</v>
      </c>
      <c r="AA680" s="36">
        <v>8008333</v>
      </c>
      <c r="AB680" s="40">
        <v>46174</v>
      </c>
      <c r="AC680" s="36" t="s">
        <v>2196</v>
      </c>
      <c r="AD680" s="36" t="str">
        <f>VLOOKUP(D680,Oficial!A:C,3,0)</f>
        <v>Arrastre</v>
      </c>
    </row>
    <row r="681" spans="1:30" x14ac:dyDescent="0.25">
      <c r="A681" s="36" t="s">
        <v>27</v>
      </c>
      <c r="B681" s="36" t="s">
        <v>548</v>
      </c>
      <c r="C681" s="36" t="s">
        <v>28</v>
      </c>
      <c r="D681" s="36" t="s">
        <v>548</v>
      </c>
      <c r="E681" s="36" t="s">
        <v>30</v>
      </c>
      <c r="F681" s="36" t="s">
        <v>31</v>
      </c>
      <c r="G681" s="37" t="s">
        <v>549</v>
      </c>
      <c r="H681" s="36" t="s">
        <v>550</v>
      </c>
      <c r="I681" s="36" t="s">
        <v>551</v>
      </c>
      <c r="J681" s="36">
        <v>1</v>
      </c>
      <c r="K681" s="36" t="s">
        <v>496</v>
      </c>
      <c r="L681" s="36">
        <v>4</v>
      </c>
      <c r="M681" s="36">
        <v>1</v>
      </c>
      <c r="N681" s="38">
        <v>96100000</v>
      </c>
      <c r="O681" s="41">
        <v>8008337</v>
      </c>
      <c r="P681" s="36">
        <v>12</v>
      </c>
      <c r="Q681" s="36" t="s">
        <v>413</v>
      </c>
      <c r="R681" s="36" t="s">
        <v>55</v>
      </c>
      <c r="S681" s="36" t="s">
        <v>544</v>
      </c>
      <c r="T681" s="36" t="s">
        <v>57</v>
      </c>
      <c r="U681" s="36" t="s">
        <v>58</v>
      </c>
      <c r="V681" s="40">
        <v>45870</v>
      </c>
      <c r="W681" s="40">
        <v>45889</v>
      </c>
      <c r="X681" s="36">
        <v>0</v>
      </c>
      <c r="Y681" s="36"/>
      <c r="Z681" s="36">
        <v>1</v>
      </c>
      <c r="AA681" s="36">
        <v>8008337</v>
      </c>
      <c r="AB681" s="40">
        <v>46357</v>
      </c>
      <c r="AC681" s="36" t="s">
        <v>2196</v>
      </c>
      <c r="AD681" s="36" t="str">
        <f>VLOOKUP(D681,Oficial!A:C,3,0)</f>
        <v>Arrastre</v>
      </c>
    </row>
    <row r="682" spans="1:30" x14ac:dyDescent="0.25">
      <c r="A682" s="36" t="s">
        <v>27</v>
      </c>
      <c r="B682" s="36" t="s">
        <v>548</v>
      </c>
      <c r="C682" s="36" t="s">
        <v>28</v>
      </c>
      <c r="D682" s="36" t="s">
        <v>548</v>
      </c>
      <c r="E682" s="36" t="s">
        <v>30</v>
      </c>
      <c r="F682" s="36" t="s">
        <v>31</v>
      </c>
      <c r="G682" s="37" t="s">
        <v>549</v>
      </c>
      <c r="H682" s="36" t="s">
        <v>550</v>
      </c>
      <c r="I682" s="36" t="s">
        <v>551</v>
      </c>
      <c r="J682" s="36">
        <v>1</v>
      </c>
      <c r="K682" s="36" t="s">
        <v>496</v>
      </c>
      <c r="L682" s="36">
        <v>4</v>
      </c>
      <c r="M682" s="36">
        <v>1</v>
      </c>
      <c r="N682" s="38">
        <v>96100000</v>
      </c>
      <c r="O682" s="41">
        <v>8008333</v>
      </c>
      <c r="P682" s="36">
        <v>12</v>
      </c>
      <c r="Q682" s="36" t="s">
        <v>413</v>
      </c>
      <c r="R682" s="36" t="s">
        <v>55</v>
      </c>
      <c r="S682" s="36" t="s">
        <v>544</v>
      </c>
      <c r="T682" s="36" t="s">
        <v>57</v>
      </c>
      <c r="U682" s="36" t="s">
        <v>58</v>
      </c>
      <c r="V682" s="40">
        <v>45870</v>
      </c>
      <c r="W682" s="40">
        <v>45889</v>
      </c>
      <c r="X682" s="36">
        <v>0</v>
      </c>
      <c r="Y682" s="36"/>
      <c r="Z682" s="36">
        <v>1</v>
      </c>
      <c r="AA682" s="36">
        <v>8008333</v>
      </c>
      <c r="AB682" s="40">
        <v>46082</v>
      </c>
      <c r="AC682" s="36" t="s">
        <v>2196</v>
      </c>
      <c r="AD682" s="36" t="str">
        <f>VLOOKUP(D682,Oficial!A:C,3,0)</f>
        <v>Arrastre</v>
      </c>
    </row>
    <row r="683" spans="1:30" x14ac:dyDescent="0.25">
      <c r="A683" s="36" t="s">
        <v>27</v>
      </c>
      <c r="B683" s="36" t="s">
        <v>548</v>
      </c>
      <c r="C683" s="36" t="s">
        <v>28</v>
      </c>
      <c r="D683" s="36" t="s">
        <v>548</v>
      </c>
      <c r="E683" s="36" t="s">
        <v>30</v>
      </c>
      <c r="F683" s="36" t="s">
        <v>31</v>
      </c>
      <c r="G683" s="37" t="s">
        <v>549</v>
      </c>
      <c r="H683" s="36" t="s">
        <v>550</v>
      </c>
      <c r="I683" s="36" t="s">
        <v>551</v>
      </c>
      <c r="J683" s="36">
        <v>1</v>
      </c>
      <c r="K683" s="36" t="s">
        <v>496</v>
      </c>
      <c r="L683" s="36">
        <v>4</v>
      </c>
      <c r="M683" s="36">
        <v>1</v>
      </c>
      <c r="N683" s="38">
        <v>96100000</v>
      </c>
      <c r="O683" s="41">
        <v>8008333</v>
      </c>
      <c r="P683" s="36">
        <v>12</v>
      </c>
      <c r="Q683" s="36" t="s">
        <v>413</v>
      </c>
      <c r="R683" s="36" t="s">
        <v>55</v>
      </c>
      <c r="S683" s="36" t="s">
        <v>544</v>
      </c>
      <c r="T683" s="36" t="s">
        <v>57</v>
      </c>
      <c r="U683" s="36" t="s">
        <v>58</v>
      </c>
      <c r="V683" s="40">
        <v>45870</v>
      </c>
      <c r="W683" s="40">
        <v>45889</v>
      </c>
      <c r="X683" s="36">
        <v>0</v>
      </c>
      <c r="Y683" s="36"/>
      <c r="Z683" s="36">
        <v>1</v>
      </c>
      <c r="AA683" s="36">
        <v>8008333</v>
      </c>
      <c r="AB683" s="40">
        <v>46143</v>
      </c>
      <c r="AC683" s="36" t="s">
        <v>2196</v>
      </c>
      <c r="AD683" s="36" t="str">
        <f>VLOOKUP(D683,Oficial!A:C,3,0)</f>
        <v>Arrastre</v>
      </c>
    </row>
    <row r="684" spans="1:30" x14ac:dyDescent="0.25">
      <c r="A684" s="36" t="s">
        <v>27</v>
      </c>
      <c r="B684" s="36" t="s">
        <v>548</v>
      </c>
      <c r="C684" s="36" t="s">
        <v>28</v>
      </c>
      <c r="D684" s="36" t="s">
        <v>548</v>
      </c>
      <c r="E684" s="36" t="s">
        <v>30</v>
      </c>
      <c r="F684" s="36" t="s">
        <v>31</v>
      </c>
      <c r="G684" s="37" t="s">
        <v>549</v>
      </c>
      <c r="H684" s="36" t="s">
        <v>550</v>
      </c>
      <c r="I684" s="36" t="s">
        <v>551</v>
      </c>
      <c r="J684" s="36">
        <v>1</v>
      </c>
      <c r="K684" s="36" t="s">
        <v>496</v>
      </c>
      <c r="L684" s="36">
        <v>4</v>
      </c>
      <c r="M684" s="36">
        <v>1</v>
      </c>
      <c r="N684" s="38">
        <v>96100000</v>
      </c>
      <c r="O684" s="41">
        <v>8008333</v>
      </c>
      <c r="P684" s="36">
        <v>12</v>
      </c>
      <c r="Q684" s="36" t="s">
        <v>413</v>
      </c>
      <c r="R684" s="36" t="s">
        <v>55</v>
      </c>
      <c r="S684" s="36" t="s">
        <v>544</v>
      </c>
      <c r="T684" s="36" t="s">
        <v>57</v>
      </c>
      <c r="U684" s="36" t="s">
        <v>58</v>
      </c>
      <c r="V684" s="40">
        <v>45870</v>
      </c>
      <c r="W684" s="40">
        <v>45889</v>
      </c>
      <c r="X684" s="36">
        <v>0</v>
      </c>
      <c r="Y684" s="36"/>
      <c r="Z684" s="36">
        <v>1</v>
      </c>
      <c r="AA684" s="36">
        <v>8008333</v>
      </c>
      <c r="AB684" s="40">
        <v>46204</v>
      </c>
      <c r="AC684" s="36" t="s">
        <v>2196</v>
      </c>
      <c r="AD684" s="36" t="str">
        <f>VLOOKUP(D684,Oficial!A:C,3,0)</f>
        <v>Arrastre</v>
      </c>
    </row>
    <row r="685" spans="1:30" x14ac:dyDescent="0.25">
      <c r="A685" s="36" t="s">
        <v>27</v>
      </c>
      <c r="B685" s="36" t="s">
        <v>548</v>
      </c>
      <c r="C685" s="36" t="s">
        <v>28</v>
      </c>
      <c r="D685" s="36" t="s">
        <v>548</v>
      </c>
      <c r="E685" s="36" t="s">
        <v>30</v>
      </c>
      <c r="F685" s="36" t="s">
        <v>31</v>
      </c>
      <c r="G685" s="37" t="s">
        <v>549</v>
      </c>
      <c r="H685" s="36" t="s">
        <v>550</v>
      </c>
      <c r="I685" s="36" t="s">
        <v>551</v>
      </c>
      <c r="J685" s="36">
        <v>1</v>
      </c>
      <c r="K685" s="36" t="s">
        <v>496</v>
      </c>
      <c r="L685" s="36">
        <v>4</v>
      </c>
      <c r="M685" s="36">
        <v>1</v>
      </c>
      <c r="N685" s="38">
        <v>96100000</v>
      </c>
      <c r="O685" s="41">
        <v>8008333</v>
      </c>
      <c r="P685" s="36">
        <v>12</v>
      </c>
      <c r="Q685" s="36" t="s">
        <v>413</v>
      </c>
      <c r="R685" s="36" t="s">
        <v>55</v>
      </c>
      <c r="S685" s="36" t="s">
        <v>544</v>
      </c>
      <c r="T685" s="36" t="s">
        <v>57</v>
      </c>
      <c r="U685" s="36" t="s">
        <v>58</v>
      </c>
      <c r="V685" s="40">
        <v>45870</v>
      </c>
      <c r="W685" s="40">
        <v>45889</v>
      </c>
      <c r="X685" s="36">
        <v>0</v>
      </c>
      <c r="Y685" s="36"/>
      <c r="Z685" s="36">
        <v>1</v>
      </c>
      <c r="AA685" s="36">
        <v>8008333</v>
      </c>
      <c r="AB685" s="40">
        <v>46023</v>
      </c>
      <c r="AC685" s="36" t="s">
        <v>2196</v>
      </c>
      <c r="AD685" s="36" t="str">
        <f>VLOOKUP(D685,Oficial!A:C,3,0)</f>
        <v>Arrastre</v>
      </c>
    </row>
    <row r="686" spans="1:30" x14ac:dyDescent="0.25">
      <c r="A686" s="36" t="s">
        <v>27</v>
      </c>
      <c r="B686" s="36" t="s">
        <v>548</v>
      </c>
      <c r="C686" s="36" t="s">
        <v>28</v>
      </c>
      <c r="D686" s="36" t="s">
        <v>548</v>
      </c>
      <c r="E686" s="36" t="s">
        <v>30</v>
      </c>
      <c r="F686" s="36" t="s">
        <v>31</v>
      </c>
      <c r="G686" s="37" t="s">
        <v>549</v>
      </c>
      <c r="H686" s="36" t="s">
        <v>550</v>
      </c>
      <c r="I686" s="36" t="s">
        <v>551</v>
      </c>
      <c r="J686" s="36">
        <v>1</v>
      </c>
      <c r="K686" s="36" t="s">
        <v>496</v>
      </c>
      <c r="L686" s="36">
        <v>4</v>
      </c>
      <c r="M686" s="36">
        <v>1</v>
      </c>
      <c r="N686" s="38">
        <v>96100000</v>
      </c>
      <c r="O686" s="41">
        <v>8008333</v>
      </c>
      <c r="P686" s="36">
        <v>12</v>
      </c>
      <c r="Q686" s="36" t="s">
        <v>413</v>
      </c>
      <c r="R686" s="36" t="s">
        <v>55</v>
      </c>
      <c r="S686" s="36" t="s">
        <v>544</v>
      </c>
      <c r="T686" s="36" t="s">
        <v>57</v>
      </c>
      <c r="U686" s="36" t="s">
        <v>58</v>
      </c>
      <c r="V686" s="40">
        <v>45870</v>
      </c>
      <c r="W686" s="40">
        <v>45889</v>
      </c>
      <c r="X686" s="36">
        <v>0</v>
      </c>
      <c r="Y686" s="36"/>
      <c r="Z686" s="36">
        <v>1</v>
      </c>
      <c r="AA686" s="36">
        <v>8008333</v>
      </c>
      <c r="AB686" s="40">
        <v>46235</v>
      </c>
      <c r="AC686" s="36" t="s">
        <v>2196</v>
      </c>
      <c r="AD686" s="36" t="str">
        <f>VLOOKUP(D686,Oficial!A:C,3,0)</f>
        <v>Arrastre</v>
      </c>
    </row>
    <row r="687" spans="1:30" x14ac:dyDescent="0.25">
      <c r="A687" s="36" t="s">
        <v>27</v>
      </c>
      <c r="B687" s="36" t="s">
        <v>548</v>
      </c>
      <c r="C687" s="36" t="s">
        <v>28</v>
      </c>
      <c r="D687" s="36" t="s">
        <v>548</v>
      </c>
      <c r="E687" s="36" t="s">
        <v>30</v>
      </c>
      <c r="F687" s="36" t="s">
        <v>31</v>
      </c>
      <c r="G687" s="37" t="s">
        <v>549</v>
      </c>
      <c r="H687" s="36" t="s">
        <v>550</v>
      </c>
      <c r="I687" s="36" t="s">
        <v>551</v>
      </c>
      <c r="J687" s="36">
        <v>1</v>
      </c>
      <c r="K687" s="36" t="s">
        <v>496</v>
      </c>
      <c r="L687" s="36">
        <v>4</v>
      </c>
      <c r="M687" s="36">
        <v>1</v>
      </c>
      <c r="N687" s="38">
        <v>96100000</v>
      </c>
      <c r="O687" s="41">
        <v>8008333</v>
      </c>
      <c r="P687" s="36">
        <v>12</v>
      </c>
      <c r="Q687" s="36" t="s">
        <v>413</v>
      </c>
      <c r="R687" s="36" t="s">
        <v>55</v>
      </c>
      <c r="S687" s="36" t="s">
        <v>544</v>
      </c>
      <c r="T687" s="36" t="s">
        <v>57</v>
      </c>
      <c r="U687" s="36" t="s">
        <v>58</v>
      </c>
      <c r="V687" s="40">
        <v>45870</v>
      </c>
      <c r="W687" s="40">
        <v>45889</v>
      </c>
      <c r="X687" s="36">
        <v>0</v>
      </c>
      <c r="Y687" s="36"/>
      <c r="Z687" s="36">
        <v>1</v>
      </c>
      <c r="AA687" s="36">
        <v>8008333</v>
      </c>
      <c r="AB687" s="40">
        <v>46113</v>
      </c>
      <c r="AC687" s="36" t="s">
        <v>2196</v>
      </c>
      <c r="AD687" s="36" t="str">
        <f>VLOOKUP(D687,Oficial!A:C,3,0)</f>
        <v>Arrastre</v>
      </c>
    </row>
    <row r="688" spans="1:30" x14ac:dyDescent="0.25">
      <c r="A688" s="36" t="s">
        <v>27</v>
      </c>
      <c r="B688" s="36" t="s">
        <v>548</v>
      </c>
      <c r="C688" s="36" t="s">
        <v>28</v>
      </c>
      <c r="D688" s="36" t="s">
        <v>548</v>
      </c>
      <c r="E688" s="36" t="s">
        <v>30</v>
      </c>
      <c r="F688" s="36" t="s">
        <v>31</v>
      </c>
      <c r="G688" s="37" t="s">
        <v>549</v>
      </c>
      <c r="H688" s="36" t="s">
        <v>550</v>
      </c>
      <c r="I688" s="36" t="s">
        <v>551</v>
      </c>
      <c r="J688" s="36">
        <v>1</v>
      </c>
      <c r="K688" s="36" t="s">
        <v>496</v>
      </c>
      <c r="L688" s="36">
        <v>4</v>
      </c>
      <c r="M688" s="36">
        <v>1</v>
      </c>
      <c r="N688" s="38">
        <v>96100000</v>
      </c>
      <c r="O688" s="41">
        <v>8008333</v>
      </c>
      <c r="P688" s="36">
        <v>12</v>
      </c>
      <c r="Q688" s="36" t="s">
        <v>413</v>
      </c>
      <c r="R688" s="36" t="s">
        <v>55</v>
      </c>
      <c r="S688" s="36" t="s">
        <v>544</v>
      </c>
      <c r="T688" s="36" t="s">
        <v>57</v>
      </c>
      <c r="U688" s="36" t="s">
        <v>58</v>
      </c>
      <c r="V688" s="40">
        <v>45870</v>
      </c>
      <c r="W688" s="40">
        <v>45889</v>
      </c>
      <c r="X688" s="36">
        <v>0</v>
      </c>
      <c r="Y688" s="36"/>
      <c r="Z688" s="36">
        <v>1</v>
      </c>
      <c r="AA688" s="36">
        <v>8008333</v>
      </c>
      <c r="AB688" s="40">
        <v>46296</v>
      </c>
      <c r="AC688" s="36" t="s">
        <v>2196</v>
      </c>
      <c r="AD688" s="36" t="str">
        <f>VLOOKUP(D688,Oficial!A:C,3,0)</f>
        <v>Arrastre</v>
      </c>
    </row>
    <row r="689" spans="1:30" x14ac:dyDescent="0.25">
      <c r="A689" s="36" t="s">
        <v>27</v>
      </c>
      <c r="B689" s="36" t="s">
        <v>548</v>
      </c>
      <c r="C689" s="36" t="s">
        <v>28</v>
      </c>
      <c r="D689" s="36" t="s">
        <v>548</v>
      </c>
      <c r="E689" s="36" t="s">
        <v>30</v>
      </c>
      <c r="F689" s="36" t="s">
        <v>31</v>
      </c>
      <c r="G689" s="37" t="s">
        <v>549</v>
      </c>
      <c r="H689" s="36" t="s">
        <v>550</v>
      </c>
      <c r="I689" s="36" t="s">
        <v>551</v>
      </c>
      <c r="J689" s="36">
        <v>1</v>
      </c>
      <c r="K689" s="36" t="s">
        <v>496</v>
      </c>
      <c r="L689" s="36">
        <v>4</v>
      </c>
      <c r="M689" s="36">
        <v>1</v>
      </c>
      <c r="N689" s="38">
        <v>96100000</v>
      </c>
      <c r="O689" s="41">
        <v>8008333</v>
      </c>
      <c r="P689" s="36">
        <v>12</v>
      </c>
      <c r="Q689" s="36" t="s">
        <v>413</v>
      </c>
      <c r="R689" s="36" t="s">
        <v>55</v>
      </c>
      <c r="S689" s="36" t="s">
        <v>544</v>
      </c>
      <c r="T689" s="36" t="s">
        <v>57</v>
      </c>
      <c r="U689" s="36" t="s">
        <v>58</v>
      </c>
      <c r="V689" s="40">
        <v>45870</v>
      </c>
      <c r="W689" s="40">
        <v>45889</v>
      </c>
      <c r="X689" s="36">
        <v>0</v>
      </c>
      <c r="Y689" s="36"/>
      <c r="Z689" s="36">
        <v>1</v>
      </c>
      <c r="AA689" s="36">
        <v>8008333</v>
      </c>
      <c r="AB689" s="40">
        <v>46266</v>
      </c>
      <c r="AC689" s="36" t="s">
        <v>2196</v>
      </c>
      <c r="AD689" s="36" t="str">
        <f>VLOOKUP(D689,Oficial!A:C,3,0)</f>
        <v>Arrastre</v>
      </c>
    </row>
    <row r="690" spans="1:30" x14ac:dyDescent="0.25">
      <c r="A690" s="36" t="s">
        <v>27</v>
      </c>
      <c r="B690" s="36" t="s">
        <v>548</v>
      </c>
      <c r="C690" s="36" t="s">
        <v>28</v>
      </c>
      <c r="D690" s="36" t="s">
        <v>548</v>
      </c>
      <c r="E690" s="36" t="s">
        <v>30</v>
      </c>
      <c r="F690" s="36" t="s">
        <v>31</v>
      </c>
      <c r="G690" s="37" t="s">
        <v>549</v>
      </c>
      <c r="H690" s="36" t="s">
        <v>550</v>
      </c>
      <c r="I690" s="36" t="s">
        <v>551</v>
      </c>
      <c r="J690" s="36">
        <v>1</v>
      </c>
      <c r="K690" s="36" t="s">
        <v>496</v>
      </c>
      <c r="L690" s="36">
        <v>4</v>
      </c>
      <c r="M690" s="36">
        <v>1</v>
      </c>
      <c r="N690" s="38">
        <v>96100000</v>
      </c>
      <c r="O690" s="41">
        <v>8008333</v>
      </c>
      <c r="P690" s="36">
        <v>12</v>
      </c>
      <c r="Q690" s="36" t="s">
        <v>413</v>
      </c>
      <c r="R690" s="36" t="s">
        <v>55</v>
      </c>
      <c r="S690" s="36" t="s">
        <v>544</v>
      </c>
      <c r="T690" s="36" t="s">
        <v>57</v>
      </c>
      <c r="U690" s="36" t="s">
        <v>58</v>
      </c>
      <c r="V690" s="40">
        <v>45870</v>
      </c>
      <c r="W690" s="40">
        <v>45889</v>
      </c>
      <c r="X690" s="36">
        <v>0</v>
      </c>
      <c r="Y690" s="36"/>
      <c r="Z690" s="36">
        <v>1</v>
      </c>
      <c r="AA690" s="36">
        <v>8008333</v>
      </c>
      <c r="AB690" s="40">
        <v>46327</v>
      </c>
      <c r="AC690" s="36" t="s">
        <v>2196</v>
      </c>
      <c r="AD690" s="36" t="str">
        <f>VLOOKUP(D690,Oficial!A:C,3,0)</f>
        <v>Arrastre</v>
      </c>
    </row>
    <row r="691" spans="1:30" x14ac:dyDescent="0.25">
      <c r="A691" s="36" t="s">
        <v>27</v>
      </c>
      <c r="B691" s="36" t="s">
        <v>552</v>
      </c>
      <c r="C691" s="36" t="s">
        <v>28</v>
      </c>
      <c r="D691" s="36" t="s">
        <v>552</v>
      </c>
      <c r="E691" s="36" t="s">
        <v>30</v>
      </c>
      <c r="F691" s="36" t="s">
        <v>31</v>
      </c>
      <c r="G691" s="37" t="s">
        <v>549</v>
      </c>
      <c r="H691" s="36" t="s">
        <v>553</v>
      </c>
      <c r="I691" s="36" t="s">
        <v>554</v>
      </c>
      <c r="J691" s="36">
        <v>1</v>
      </c>
      <c r="K691" s="36" t="s">
        <v>512</v>
      </c>
      <c r="L691" s="36">
        <v>4</v>
      </c>
      <c r="M691" s="36">
        <v>1</v>
      </c>
      <c r="N691" s="38">
        <v>200400000</v>
      </c>
      <c r="O691" s="38">
        <v>8350000</v>
      </c>
      <c r="P691" s="36">
        <v>24</v>
      </c>
      <c r="Q691" s="36" t="s">
        <v>278</v>
      </c>
      <c r="R691" s="36" t="s">
        <v>122</v>
      </c>
      <c r="S691" s="36" t="s">
        <v>555</v>
      </c>
      <c r="T691" s="36" t="s">
        <v>57</v>
      </c>
      <c r="U691" s="36" t="s">
        <v>58</v>
      </c>
      <c r="V691" s="40">
        <v>45870</v>
      </c>
      <c r="W691" s="40">
        <v>45889</v>
      </c>
      <c r="X691" s="36">
        <v>1</v>
      </c>
      <c r="Y691" s="36" t="s">
        <v>556</v>
      </c>
      <c r="Z691" s="36">
        <v>1</v>
      </c>
      <c r="AA691" s="36">
        <v>8350000</v>
      </c>
      <c r="AB691" s="40">
        <v>46235</v>
      </c>
      <c r="AC691" s="36" t="s">
        <v>2196</v>
      </c>
      <c r="AD691" s="36" t="str">
        <f>VLOOKUP(D691,Oficial!A:C,3,0)</f>
        <v>Arrastre</v>
      </c>
    </row>
    <row r="692" spans="1:30" x14ac:dyDescent="0.25">
      <c r="A692" s="36" t="s">
        <v>27</v>
      </c>
      <c r="B692" s="36" t="s">
        <v>552</v>
      </c>
      <c r="C692" s="36" t="s">
        <v>28</v>
      </c>
      <c r="D692" s="36" t="s">
        <v>552</v>
      </c>
      <c r="E692" s="36" t="s">
        <v>30</v>
      </c>
      <c r="F692" s="36" t="s">
        <v>31</v>
      </c>
      <c r="G692" s="37" t="s">
        <v>549</v>
      </c>
      <c r="H692" s="36" t="s">
        <v>553</v>
      </c>
      <c r="I692" s="36" t="s">
        <v>554</v>
      </c>
      <c r="J692" s="36">
        <v>1</v>
      </c>
      <c r="K692" s="36" t="s">
        <v>512</v>
      </c>
      <c r="L692" s="36">
        <v>4</v>
      </c>
      <c r="M692" s="36">
        <v>1</v>
      </c>
      <c r="N692" s="38">
        <v>200400000</v>
      </c>
      <c r="O692" s="38">
        <v>8350000</v>
      </c>
      <c r="P692" s="36">
        <v>24</v>
      </c>
      <c r="Q692" s="36" t="s">
        <v>278</v>
      </c>
      <c r="R692" s="36" t="s">
        <v>122</v>
      </c>
      <c r="S692" s="36" t="s">
        <v>555</v>
      </c>
      <c r="T692" s="36" t="s">
        <v>57</v>
      </c>
      <c r="U692" s="36" t="s">
        <v>58</v>
      </c>
      <c r="V692" s="40">
        <v>45870</v>
      </c>
      <c r="W692" s="40">
        <v>45889</v>
      </c>
      <c r="X692" s="36">
        <v>1</v>
      </c>
      <c r="Y692" s="36" t="s">
        <v>556</v>
      </c>
      <c r="Z692" s="36">
        <v>1</v>
      </c>
      <c r="AA692" s="36">
        <v>8350000</v>
      </c>
      <c r="AB692" s="40">
        <v>46174</v>
      </c>
      <c r="AC692" s="36" t="s">
        <v>2196</v>
      </c>
      <c r="AD692" s="36" t="str">
        <f>VLOOKUP(D692,Oficial!A:C,3,0)</f>
        <v>Arrastre</v>
      </c>
    </row>
    <row r="693" spans="1:30" x14ac:dyDescent="0.25">
      <c r="A693" s="36" t="s">
        <v>27</v>
      </c>
      <c r="B693" s="36" t="s">
        <v>552</v>
      </c>
      <c r="C693" s="36" t="s">
        <v>28</v>
      </c>
      <c r="D693" s="36" t="s">
        <v>552</v>
      </c>
      <c r="E693" s="36" t="s">
        <v>30</v>
      </c>
      <c r="F693" s="36" t="s">
        <v>31</v>
      </c>
      <c r="G693" s="37" t="s">
        <v>549</v>
      </c>
      <c r="H693" s="36" t="s">
        <v>553</v>
      </c>
      <c r="I693" s="36" t="s">
        <v>554</v>
      </c>
      <c r="J693" s="36">
        <v>1</v>
      </c>
      <c r="K693" s="36" t="s">
        <v>512</v>
      </c>
      <c r="L693" s="36">
        <v>4</v>
      </c>
      <c r="M693" s="36">
        <v>1</v>
      </c>
      <c r="N693" s="38">
        <v>200400000</v>
      </c>
      <c r="O693" s="38">
        <v>8350000</v>
      </c>
      <c r="P693" s="36">
        <v>24</v>
      </c>
      <c r="Q693" s="36" t="s">
        <v>278</v>
      </c>
      <c r="R693" s="36" t="s">
        <v>122</v>
      </c>
      <c r="S693" s="36" t="s">
        <v>555</v>
      </c>
      <c r="T693" s="36" t="s">
        <v>57</v>
      </c>
      <c r="U693" s="36" t="s">
        <v>58</v>
      </c>
      <c r="V693" s="40">
        <v>45870</v>
      </c>
      <c r="W693" s="40">
        <v>45889</v>
      </c>
      <c r="X693" s="36">
        <v>1</v>
      </c>
      <c r="Y693" s="36" t="s">
        <v>556</v>
      </c>
      <c r="Z693" s="36">
        <v>1</v>
      </c>
      <c r="AA693" s="36">
        <v>8350000</v>
      </c>
      <c r="AB693" s="40">
        <v>46113</v>
      </c>
      <c r="AC693" s="36" t="s">
        <v>2196</v>
      </c>
      <c r="AD693" s="36" t="str">
        <f>VLOOKUP(D693,Oficial!A:C,3,0)</f>
        <v>Arrastre</v>
      </c>
    </row>
    <row r="694" spans="1:30" x14ac:dyDescent="0.25">
      <c r="A694" s="36" t="s">
        <v>27</v>
      </c>
      <c r="B694" s="36" t="s">
        <v>552</v>
      </c>
      <c r="C694" s="36" t="s">
        <v>28</v>
      </c>
      <c r="D694" s="36" t="s">
        <v>552</v>
      </c>
      <c r="E694" s="36" t="s">
        <v>30</v>
      </c>
      <c r="F694" s="36" t="s">
        <v>31</v>
      </c>
      <c r="G694" s="37" t="s">
        <v>549</v>
      </c>
      <c r="H694" s="36" t="s">
        <v>553</v>
      </c>
      <c r="I694" s="36" t="s">
        <v>554</v>
      </c>
      <c r="J694" s="36">
        <v>1</v>
      </c>
      <c r="K694" s="36" t="s">
        <v>512</v>
      </c>
      <c r="L694" s="36">
        <v>4</v>
      </c>
      <c r="M694" s="36">
        <v>1</v>
      </c>
      <c r="N694" s="38">
        <v>200400000</v>
      </c>
      <c r="O694" s="38">
        <v>8350000</v>
      </c>
      <c r="P694" s="36">
        <v>24</v>
      </c>
      <c r="Q694" s="36" t="s">
        <v>278</v>
      </c>
      <c r="R694" s="36" t="s">
        <v>122</v>
      </c>
      <c r="S694" s="36" t="s">
        <v>555</v>
      </c>
      <c r="T694" s="36" t="s">
        <v>57</v>
      </c>
      <c r="U694" s="36" t="s">
        <v>58</v>
      </c>
      <c r="V694" s="40">
        <v>45870</v>
      </c>
      <c r="W694" s="40">
        <v>45889</v>
      </c>
      <c r="X694" s="36">
        <v>1</v>
      </c>
      <c r="Y694" s="36" t="s">
        <v>556</v>
      </c>
      <c r="Z694" s="36">
        <v>1</v>
      </c>
      <c r="AA694" s="36">
        <v>8350000</v>
      </c>
      <c r="AB694" s="40">
        <v>46023</v>
      </c>
      <c r="AC694" s="36" t="s">
        <v>2196</v>
      </c>
      <c r="AD694" s="36" t="str">
        <f>VLOOKUP(D694,Oficial!A:C,3,0)</f>
        <v>Arrastre</v>
      </c>
    </row>
    <row r="695" spans="1:30" x14ac:dyDescent="0.25">
      <c r="A695" s="36" t="s">
        <v>27</v>
      </c>
      <c r="B695" s="36" t="s">
        <v>552</v>
      </c>
      <c r="C695" s="36" t="s">
        <v>28</v>
      </c>
      <c r="D695" s="36" t="s">
        <v>552</v>
      </c>
      <c r="E695" s="36" t="s">
        <v>30</v>
      </c>
      <c r="F695" s="36" t="s">
        <v>31</v>
      </c>
      <c r="G695" s="37" t="s">
        <v>549</v>
      </c>
      <c r="H695" s="36" t="s">
        <v>553</v>
      </c>
      <c r="I695" s="36" t="s">
        <v>554</v>
      </c>
      <c r="J695" s="36">
        <v>1</v>
      </c>
      <c r="K695" s="36" t="s">
        <v>512</v>
      </c>
      <c r="L695" s="36">
        <v>4</v>
      </c>
      <c r="M695" s="36">
        <v>1</v>
      </c>
      <c r="N695" s="38">
        <v>200400000</v>
      </c>
      <c r="O695" s="38">
        <v>8350000</v>
      </c>
      <c r="P695" s="36">
        <v>24</v>
      </c>
      <c r="Q695" s="36" t="s">
        <v>278</v>
      </c>
      <c r="R695" s="36" t="s">
        <v>122</v>
      </c>
      <c r="S695" s="36" t="s">
        <v>555</v>
      </c>
      <c r="T695" s="36" t="s">
        <v>57</v>
      </c>
      <c r="U695" s="36" t="s">
        <v>58</v>
      </c>
      <c r="V695" s="40">
        <v>45870</v>
      </c>
      <c r="W695" s="40">
        <v>45889</v>
      </c>
      <c r="X695" s="36">
        <v>1</v>
      </c>
      <c r="Y695" s="36" t="s">
        <v>556</v>
      </c>
      <c r="Z695" s="36">
        <v>1</v>
      </c>
      <c r="AA695" s="36">
        <v>8350000</v>
      </c>
      <c r="AB695" s="40">
        <v>46143</v>
      </c>
      <c r="AC695" s="36" t="s">
        <v>2196</v>
      </c>
      <c r="AD695" s="36" t="str">
        <f>VLOOKUP(D695,Oficial!A:C,3,0)</f>
        <v>Arrastre</v>
      </c>
    </row>
    <row r="696" spans="1:30" x14ac:dyDescent="0.25">
      <c r="A696" s="36" t="s">
        <v>27</v>
      </c>
      <c r="B696" s="36" t="s">
        <v>552</v>
      </c>
      <c r="C696" s="36" t="s">
        <v>28</v>
      </c>
      <c r="D696" s="36" t="s">
        <v>552</v>
      </c>
      <c r="E696" s="36" t="s">
        <v>30</v>
      </c>
      <c r="F696" s="36" t="s">
        <v>31</v>
      </c>
      <c r="G696" s="37" t="s">
        <v>549</v>
      </c>
      <c r="H696" s="36" t="s">
        <v>553</v>
      </c>
      <c r="I696" s="36" t="s">
        <v>554</v>
      </c>
      <c r="J696" s="36">
        <v>1</v>
      </c>
      <c r="K696" s="36" t="s">
        <v>512</v>
      </c>
      <c r="L696" s="36">
        <v>4</v>
      </c>
      <c r="M696" s="36">
        <v>1</v>
      </c>
      <c r="N696" s="38">
        <v>200400000</v>
      </c>
      <c r="O696" s="38">
        <v>8350000</v>
      </c>
      <c r="P696" s="36">
        <v>24</v>
      </c>
      <c r="Q696" s="36" t="s">
        <v>278</v>
      </c>
      <c r="R696" s="36" t="s">
        <v>122</v>
      </c>
      <c r="S696" s="36" t="s">
        <v>555</v>
      </c>
      <c r="T696" s="36" t="s">
        <v>57</v>
      </c>
      <c r="U696" s="36" t="s">
        <v>58</v>
      </c>
      <c r="V696" s="40">
        <v>45870</v>
      </c>
      <c r="W696" s="40">
        <v>45889</v>
      </c>
      <c r="X696" s="36">
        <v>1</v>
      </c>
      <c r="Y696" s="36" t="s">
        <v>556</v>
      </c>
      <c r="Z696" s="36">
        <v>1</v>
      </c>
      <c r="AA696" s="36">
        <v>8350000</v>
      </c>
      <c r="AB696" s="40">
        <v>46296</v>
      </c>
      <c r="AC696" s="36" t="s">
        <v>2196</v>
      </c>
      <c r="AD696" s="36" t="str">
        <f>VLOOKUP(D696,Oficial!A:C,3,0)</f>
        <v>Arrastre</v>
      </c>
    </row>
    <row r="697" spans="1:30" x14ac:dyDescent="0.25">
      <c r="A697" s="36" t="s">
        <v>27</v>
      </c>
      <c r="B697" s="36" t="s">
        <v>552</v>
      </c>
      <c r="C697" s="36" t="s">
        <v>28</v>
      </c>
      <c r="D697" s="36" t="s">
        <v>552</v>
      </c>
      <c r="E697" s="36" t="s">
        <v>30</v>
      </c>
      <c r="F697" s="36" t="s">
        <v>31</v>
      </c>
      <c r="G697" s="37" t="s">
        <v>549</v>
      </c>
      <c r="H697" s="36" t="s">
        <v>553</v>
      </c>
      <c r="I697" s="36" t="s">
        <v>554</v>
      </c>
      <c r="J697" s="36">
        <v>1</v>
      </c>
      <c r="K697" s="36" t="s">
        <v>512</v>
      </c>
      <c r="L697" s="36">
        <v>4</v>
      </c>
      <c r="M697" s="36">
        <v>1</v>
      </c>
      <c r="N697" s="38">
        <v>200400000</v>
      </c>
      <c r="O697" s="38">
        <v>8350000</v>
      </c>
      <c r="P697" s="36">
        <v>24</v>
      </c>
      <c r="Q697" s="36" t="s">
        <v>278</v>
      </c>
      <c r="R697" s="36" t="s">
        <v>122</v>
      </c>
      <c r="S697" s="36" t="s">
        <v>555</v>
      </c>
      <c r="T697" s="36" t="s">
        <v>57</v>
      </c>
      <c r="U697" s="36" t="s">
        <v>58</v>
      </c>
      <c r="V697" s="40">
        <v>45870</v>
      </c>
      <c r="W697" s="40">
        <v>45889</v>
      </c>
      <c r="X697" s="36">
        <v>1</v>
      </c>
      <c r="Y697" s="36" t="s">
        <v>556</v>
      </c>
      <c r="Z697" s="36">
        <v>1</v>
      </c>
      <c r="AA697" s="36">
        <v>8350000</v>
      </c>
      <c r="AB697" s="40">
        <v>46357</v>
      </c>
      <c r="AC697" s="36" t="s">
        <v>2196</v>
      </c>
      <c r="AD697" s="36" t="str">
        <f>VLOOKUP(D697,Oficial!A:C,3,0)</f>
        <v>Arrastre</v>
      </c>
    </row>
    <row r="698" spans="1:30" x14ac:dyDescent="0.25">
      <c r="A698" s="36" t="s">
        <v>27</v>
      </c>
      <c r="B698" s="36" t="s">
        <v>552</v>
      </c>
      <c r="C698" s="36" t="s">
        <v>28</v>
      </c>
      <c r="D698" s="36" t="s">
        <v>552</v>
      </c>
      <c r="E698" s="36" t="s">
        <v>30</v>
      </c>
      <c r="F698" s="36" t="s">
        <v>31</v>
      </c>
      <c r="G698" s="37" t="s">
        <v>549</v>
      </c>
      <c r="H698" s="36" t="s">
        <v>553</v>
      </c>
      <c r="I698" s="36" t="s">
        <v>554</v>
      </c>
      <c r="J698" s="36">
        <v>1</v>
      </c>
      <c r="K698" s="36" t="s">
        <v>512</v>
      </c>
      <c r="L698" s="36">
        <v>4</v>
      </c>
      <c r="M698" s="36">
        <v>1</v>
      </c>
      <c r="N698" s="38">
        <v>200400000</v>
      </c>
      <c r="O698" s="38">
        <v>8350000</v>
      </c>
      <c r="P698" s="36">
        <v>24</v>
      </c>
      <c r="Q698" s="36" t="s">
        <v>278</v>
      </c>
      <c r="R698" s="36" t="s">
        <v>122</v>
      </c>
      <c r="S698" s="36" t="s">
        <v>555</v>
      </c>
      <c r="T698" s="36" t="s">
        <v>57</v>
      </c>
      <c r="U698" s="36" t="s">
        <v>58</v>
      </c>
      <c r="V698" s="40">
        <v>45870</v>
      </c>
      <c r="W698" s="40">
        <v>45889</v>
      </c>
      <c r="X698" s="36">
        <v>1</v>
      </c>
      <c r="Y698" s="36" t="s">
        <v>556</v>
      </c>
      <c r="Z698" s="36">
        <v>1</v>
      </c>
      <c r="AA698" s="36">
        <v>8350000</v>
      </c>
      <c r="AB698" s="40">
        <v>46204</v>
      </c>
      <c r="AC698" s="36" t="s">
        <v>2196</v>
      </c>
      <c r="AD698" s="36" t="str">
        <f>VLOOKUP(D698,Oficial!A:C,3,0)</f>
        <v>Arrastre</v>
      </c>
    </row>
    <row r="699" spans="1:30" x14ac:dyDescent="0.25">
      <c r="A699" s="36" t="s">
        <v>27</v>
      </c>
      <c r="B699" s="36" t="s">
        <v>552</v>
      </c>
      <c r="C699" s="36" t="s">
        <v>28</v>
      </c>
      <c r="D699" s="36" t="s">
        <v>552</v>
      </c>
      <c r="E699" s="36" t="s">
        <v>30</v>
      </c>
      <c r="F699" s="36" t="s">
        <v>31</v>
      </c>
      <c r="G699" s="37" t="s">
        <v>549</v>
      </c>
      <c r="H699" s="36" t="s">
        <v>553</v>
      </c>
      <c r="I699" s="36" t="s">
        <v>554</v>
      </c>
      <c r="J699" s="36">
        <v>1</v>
      </c>
      <c r="K699" s="36" t="s">
        <v>512</v>
      </c>
      <c r="L699" s="36">
        <v>4</v>
      </c>
      <c r="M699" s="36">
        <v>1</v>
      </c>
      <c r="N699" s="38">
        <v>200400000</v>
      </c>
      <c r="O699" s="38">
        <v>8350000</v>
      </c>
      <c r="P699" s="36">
        <v>24</v>
      </c>
      <c r="Q699" s="36" t="s">
        <v>278</v>
      </c>
      <c r="R699" s="36" t="s">
        <v>122</v>
      </c>
      <c r="S699" s="36" t="s">
        <v>555</v>
      </c>
      <c r="T699" s="36" t="s">
        <v>57</v>
      </c>
      <c r="U699" s="36" t="s">
        <v>58</v>
      </c>
      <c r="V699" s="40">
        <v>45870</v>
      </c>
      <c r="W699" s="40">
        <v>45889</v>
      </c>
      <c r="X699" s="36">
        <v>1</v>
      </c>
      <c r="Y699" s="36" t="s">
        <v>556</v>
      </c>
      <c r="Z699" s="36">
        <v>1</v>
      </c>
      <c r="AA699" s="36">
        <v>8350000</v>
      </c>
      <c r="AB699" s="40">
        <v>46054</v>
      </c>
      <c r="AC699" s="36" t="s">
        <v>2196</v>
      </c>
      <c r="AD699" s="36" t="str">
        <f>VLOOKUP(D699,Oficial!A:C,3,0)</f>
        <v>Arrastre</v>
      </c>
    </row>
    <row r="700" spans="1:30" x14ac:dyDescent="0.25">
      <c r="A700" s="36" t="s">
        <v>27</v>
      </c>
      <c r="B700" s="36" t="s">
        <v>552</v>
      </c>
      <c r="C700" s="36" t="s">
        <v>28</v>
      </c>
      <c r="D700" s="36" t="s">
        <v>552</v>
      </c>
      <c r="E700" s="36" t="s">
        <v>30</v>
      </c>
      <c r="F700" s="36" t="s">
        <v>31</v>
      </c>
      <c r="G700" s="37" t="s">
        <v>549</v>
      </c>
      <c r="H700" s="36" t="s">
        <v>553</v>
      </c>
      <c r="I700" s="36" t="s">
        <v>554</v>
      </c>
      <c r="J700" s="36">
        <v>1</v>
      </c>
      <c r="K700" s="36" t="s">
        <v>512</v>
      </c>
      <c r="L700" s="36">
        <v>4</v>
      </c>
      <c r="M700" s="36">
        <v>1</v>
      </c>
      <c r="N700" s="38">
        <v>200400000</v>
      </c>
      <c r="O700" s="38">
        <v>8350000</v>
      </c>
      <c r="P700" s="36">
        <v>24</v>
      </c>
      <c r="Q700" s="36" t="s">
        <v>278</v>
      </c>
      <c r="R700" s="36" t="s">
        <v>122</v>
      </c>
      <c r="S700" s="36" t="s">
        <v>555</v>
      </c>
      <c r="T700" s="36" t="s">
        <v>57</v>
      </c>
      <c r="U700" s="36" t="s">
        <v>58</v>
      </c>
      <c r="V700" s="40">
        <v>45870</v>
      </c>
      <c r="W700" s="40">
        <v>45889</v>
      </c>
      <c r="X700" s="36">
        <v>1</v>
      </c>
      <c r="Y700" s="36" t="s">
        <v>556</v>
      </c>
      <c r="Z700" s="36">
        <v>1</v>
      </c>
      <c r="AA700" s="36">
        <v>8350000</v>
      </c>
      <c r="AB700" s="40">
        <v>46082</v>
      </c>
      <c r="AC700" s="36" t="s">
        <v>2196</v>
      </c>
      <c r="AD700" s="36" t="str">
        <f>VLOOKUP(D700,Oficial!A:C,3,0)</f>
        <v>Arrastre</v>
      </c>
    </row>
    <row r="701" spans="1:30" x14ac:dyDescent="0.25">
      <c r="A701" s="36" t="s">
        <v>27</v>
      </c>
      <c r="B701" s="36" t="s">
        <v>552</v>
      </c>
      <c r="C701" s="36" t="s">
        <v>28</v>
      </c>
      <c r="D701" s="36" t="s">
        <v>552</v>
      </c>
      <c r="E701" s="36" t="s">
        <v>30</v>
      </c>
      <c r="F701" s="36" t="s">
        <v>31</v>
      </c>
      <c r="G701" s="37" t="s">
        <v>549</v>
      </c>
      <c r="H701" s="36" t="s">
        <v>553</v>
      </c>
      <c r="I701" s="36" t="s">
        <v>554</v>
      </c>
      <c r="J701" s="36">
        <v>1</v>
      </c>
      <c r="K701" s="36" t="s">
        <v>512</v>
      </c>
      <c r="L701" s="36">
        <v>4</v>
      </c>
      <c r="M701" s="36">
        <v>1</v>
      </c>
      <c r="N701" s="38">
        <v>200400000</v>
      </c>
      <c r="O701" s="38">
        <v>8350000</v>
      </c>
      <c r="P701" s="36">
        <v>24</v>
      </c>
      <c r="Q701" s="36" t="s">
        <v>278</v>
      </c>
      <c r="R701" s="36" t="s">
        <v>122</v>
      </c>
      <c r="S701" s="36" t="s">
        <v>555</v>
      </c>
      <c r="T701" s="36" t="s">
        <v>57</v>
      </c>
      <c r="U701" s="36" t="s">
        <v>58</v>
      </c>
      <c r="V701" s="40">
        <v>45870</v>
      </c>
      <c r="W701" s="40">
        <v>45889</v>
      </c>
      <c r="X701" s="36">
        <v>1</v>
      </c>
      <c r="Y701" s="36" t="s">
        <v>556</v>
      </c>
      <c r="Z701" s="36">
        <v>1</v>
      </c>
      <c r="AA701" s="36">
        <v>8350000</v>
      </c>
      <c r="AB701" s="40">
        <v>46327</v>
      </c>
      <c r="AC701" s="36" t="s">
        <v>2196</v>
      </c>
      <c r="AD701" s="36" t="str">
        <f>VLOOKUP(D701,Oficial!A:C,3,0)</f>
        <v>Arrastre</v>
      </c>
    </row>
    <row r="702" spans="1:30" x14ac:dyDescent="0.25">
      <c r="A702" s="36" t="s">
        <v>27</v>
      </c>
      <c r="B702" s="36" t="s">
        <v>552</v>
      </c>
      <c r="C702" s="36" t="s">
        <v>28</v>
      </c>
      <c r="D702" s="36" t="s">
        <v>552</v>
      </c>
      <c r="E702" s="36" t="s">
        <v>30</v>
      </c>
      <c r="F702" s="36" t="s">
        <v>31</v>
      </c>
      <c r="G702" s="37" t="s">
        <v>549</v>
      </c>
      <c r="H702" s="36" t="s">
        <v>553</v>
      </c>
      <c r="I702" s="36" t="s">
        <v>554</v>
      </c>
      <c r="J702" s="36">
        <v>1</v>
      </c>
      <c r="K702" s="36" t="s">
        <v>512</v>
      </c>
      <c r="L702" s="36">
        <v>4</v>
      </c>
      <c r="M702" s="36">
        <v>1</v>
      </c>
      <c r="N702" s="38">
        <v>200400000</v>
      </c>
      <c r="O702" s="38">
        <v>8350000</v>
      </c>
      <c r="P702" s="36">
        <v>24</v>
      </c>
      <c r="Q702" s="36" t="s">
        <v>278</v>
      </c>
      <c r="R702" s="36" t="s">
        <v>122</v>
      </c>
      <c r="S702" s="36" t="s">
        <v>555</v>
      </c>
      <c r="T702" s="36" t="s">
        <v>57</v>
      </c>
      <c r="U702" s="36" t="s">
        <v>58</v>
      </c>
      <c r="V702" s="40">
        <v>45870</v>
      </c>
      <c r="W702" s="40">
        <v>45889</v>
      </c>
      <c r="X702" s="36">
        <v>1</v>
      </c>
      <c r="Y702" s="36" t="s">
        <v>556</v>
      </c>
      <c r="Z702" s="36">
        <v>1</v>
      </c>
      <c r="AA702" s="36">
        <v>8350000</v>
      </c>
      <c r="AB702" s="40">
        <v>46266</v>
      </c>
      <c r="AC702" s="36" t="s">
        <v>2196</v>
      </c>
      <c r="AD702" s="36" t="str">
        <f>VLOOKUP(D702,Oficial!A:C,3,0)</f>
        <v>Arrastre</v>
      </c>
    </row>
    <row r="703" spans="1:30" x14ac:dyDescent="0.25">
      <c r="A703" s="36" t="s">
        <v>27</v>
      </c>
      <c r="B703" s="36" t="s">
        <v>557</v>
      </c>
      <c r="C703" s="36" t="s">
        <v>28</v>
      </c>
      <c r="D703" s="36" t="s">
        <v>557</v>
      </c>
      <c r="E703" s="36" t="s">
        <v>30</v>
      </c>
      <c r="F703" s="36" t="s">
        <v>31</v>
      </c>
      <c r="G703" s="37" t="s">
        <v>549</v>
      </c>
      <c r="H703" s="36" t="s">
        <v>558</v>
      </c>
      <c r="I703" s="36" t="s">
        <v>559</v>
      </c>
      <c r="J703" s="36">
        <v>1</v>
      </c>
      <c r="K703" s="36" t="s">
        <v>496</v>
      </c>
      <c r="L703" s="36">
        <v>4</v>
      </c>
      <c r="M703" s="36">
        <v>1</v>
      </c>
      <c r="N703" s="38">
        <v>30000000</v>
      </c>
      <c r="O703" s="41">
        <v>2500000</v>
      </c>
      <c r="P703" s="36">
        <v>12</v>
      </c>
      <c r="Q703" s="36" t="s">
        <v>413</v>
      </c>
      <c r="R703" s="36" t="s">
        <v>122</v>
      </c>
      <c r="S703" s="36" t="s">
        <v>555</v>
      </c>
      <c r="T703" s="36" t="s">
        <v>57</v>
      </c>
      <c r="U703" s="36" t="s">
        <v>58</v>
      </c>
      <c r="V703" s="40">
        <v>45870</v>
      </c>
      <c r="W703" s="40">
        <v>45889</v>
      </c>
      <c r="X703" s="36">
        <v>0</v>
      </c>
      <c r="Y703" s="36"/>
      <c r="Z703" s="36">
        <v>1</v>
      </c>
      <c r="AA703" s="36">
        <v>2500000</v>
      </c>
      <c r="AB703" s="40">
        <v>46174</v>
      </c>
      <c r="AC703" s="36" t="s">
        <v>2196</v>
      </c>
      <c r="AD703" s="36" t="str">
        <f>VLOOKUP(D703,Oficial!A:C,3,0)</f>
        <v>Arrastre</v>
      </c>
    </row>
    <row r="704" spans="1:30" x14ac:dyDescent="0.25">
      <c r="A704" s="36" t="s">
        <v>27</v>
      </c>
      <c r="B704" s="36" t="s">
        <v>557</v>
      </c>
      <c r="C704" s="36" t="s">
        <v>28</v>
      </c>
      <c r="D704" s="36" t="s">
        <v>557</v>
      </c>
      <c r="E704" s="36" t="s">
        <v>30</v>
      </c>
      <c r="F704" s="36" t="s">
        <v>31</v>
      </c>
      <c r="G704" s="37" t="s">
        <v>549</v>
      </c>
      <c r="H704" s="36" t="s">
        <v>558</v>
      </c>
      <c r="I704" s="36" t="s">
        <v>559</v>
      </c>
      <c r="J704" s="36">
        <v>1</v>
      </c>
      <c r="K704" s="36" t="s">
        <v>496</v>
      </c>
      <c r="L704" s="36">
        <v>4</v>
      </c>
      <c r="M704" s="36">
        <v>1</v>
      </c>
      <c r="N704" s="38">
        <v>30000000</v>
      </c>
      <c r="O704" s="41">
        <v>2500000</v>
      </c>
      <c r="P704" s="36">
        <v>12</v>
      </c>
      <c r="Q704" s="36" t="s">
        <v>413</v>
      </c>
      <c r="R704" s="36" t="s">
        <v>122</v>
      </c>
      <c r="S704" s="36" t="s">
        <v>555</v>
      </c>
      <c r="T704" s="36" t="s">
        <v>57</v>
      </c>
      <c r="U704" s="36" t="s">
        <v>58</v>
      </c>
      <c r="V704" s="40">
        <v>45870</v>
      </c>
      <c r="W704" s="40">
        <v>45889</v>
      </c>
      <c r="X704" s="36">
        <v>0</v>
      </c>
      <c r="Y704" s="36"/>
      <c r="Z704" s="36">
        <v>1</v>
      </c>
      <c r="AA704" s="36">
        <v>2500000</v>
      </c>
      <c r="AB704" s="40">
        <v>46023</v>
      </c>
      <c r="AC704" s="36" t="s">
        <v>2196</v>
      </c>
      <c r="AD704" s="36" t="str">
        <f>VLOOKUP(D704,Oficial!A:C,3,0)</f>
        <v>Arrastre</v>
      </c>
    </row>
    <row r="705" spans="1:30" x14ac:dyDescent="0.25">
      <c r="A705" s="36" t="s">
        <v>27</v>
      </c>
      <c r="B705" s="36" t="s">
        <v>557</v>
      </c>
      <c r="C705" s="36" t="s">
        <v>28</v>
      </c>
      <c r="D705" s="36" t="s">
        <v>557</v>
      </c>
      <c r="E705" s="36" t="s">
        <v>30</v>
      </c>
      <c r="F705" s="36" t="s">
        <v>31</v>
      </c>
      <c r="G705" s="37" t="s">
        <v>549</v>
      </c>
      <c r="H705" s="36" t="s">
        <v>558</v>
      </c>
      <c r="I705" s="36" t="s">
        <v>559</v>
      </c>
      <c r="J705" s="36">
        <v>1</v>
      </c>
      <c r="K705" s="36" t="s">
        <v>496</v>
      </c>
      <c r="L705" s="36">
        <v>4</v>
      </c>
      <c r="M705" s="36">
        <v>1</v>
      </c>
      <c r="N705" s="38">
        <v>30000000</v>
      </c>
      <c r="O705" s="41">
        <v>2500000</v>
      </c>
      <c r="P705" s="36">
        <v>12</v>
      </c>
      <c r="Q705" s="36" t="s">
        <v>413</v>
      </c>
      <c r="R705" s="36" t="s">
        <v>122</v>
      </c>
      <c r="S705" s="36" t="s">
        <v>555</v>
      </c>
      <c r="T705" s="36" t="s">
        <v>57</v>
      </c>
      <c r="U705" s="36" t="s">
        <v>58</v>
      </c>
      <c r="V705" s="40">
        <v>45870</v>
      </c>
      <c r="W705" s="40">
        <v>45889</v>
      </c>
      <c r="X705" s="36">
        <v>0</v>
      </c>
      <c r="Y705" s="36"/>
      <c r="Z705" s="36">
        <v>1</v>
      </c>
      <c r="AA705" s="36">
        <v>2500000</v>
      </c>
      <c r="AB705" s="40">
        <v>46204</v>
      </c>
      <c r="AC705" s="36" t="s">
        <v>2196</v>
      </c>
      <c r="AD705" s="36" t="str">
        <f>VLOOKUP(D705,Oficial!A:C,3,0)</f>
        <v>Arrastre</v>
      </c>
    </row>
    <row r="706" spans="1:30" x14ac:dyDescent="0.25">
      <c r="A706" s="36" t="s">
        <v>27</v>
      </c>
      <c r="B706" s="36" t="s">
        <v>557</v>
      </c>
      <c r="C706" s="36" t="s">
        <v>28</v>
      </c>
      <c r="D706" s="36" t="s">
        <v>557</v>
      </c>
      <c r="E706" s="36" t="s">
        <v>30</v>
      </c>
      <c r="F706" s="36" t="s">
        <v>31</v>
      </c>
      <c r="G706" s="37" t="s">
        <v>549</v>
      </c>
      <c r="H706" s="36" t="s">
        <v>558</v>
      </c>
      <c r="I706" s="36" t="s">
        <v>559</v>
      </c>
      <c r="J706" s="36">
        <v>1</v>
      </c>
      <c r="K706" s="36" t="s">
        <v>496</v>
      </c>
      <c r="L706" s="36">
        <v>4</v>
      </c>
      <c r="M706" s="36">
        <v>1</v>
      </c>
      <c r="N706" s="38">
        <v>30000000</v>
      </c>
      <c r="O706" s="41">
        <v>2500000</v>
      </c>
      <c r="P706" s="36">
        <v>12</v>
      </c>
      <c r="Q706" s="36" t="s">
        <v>413</v>
      </c>
      <c r="R706" s="36" t="s">
        <v>122</v>
      </c>
      <c r="S706" s="36" t="s">
        <v>555</v>
      </c>
      <c r="T706" s="36" t="s">
        <v>57</v>
      </c>
      <c r="U706" s="36" t="s">
        <v>58</v>
      </c>
      <c r="V706" s="40">
        <v>45870</v>
      </c>
      <c r="W706" s="40">
        <v>45889</v>
      </c>
      <c r="X706" s="36">
        <v>0</v>
      </c>
      <c r="Y706" s="36"/>
      <c r="Z706" s="36">
        <v>1</v>
      </c>
      <c r="AA706" s="36">
        <v>2500000</v>
      </c>
      <c r="AB706" s="40">
        <v>46054</v>
      </c>
      <c r="AC706" s="36" t="s">
        <v>2196</v>
      </c>
      <c r="AD706" s="36" t="str">
        <f>VLOOKUP(D706,Oficial!A:C,3,0)</f>
        <v>Arrastre</v>
      </c>
    </row>
    <row r="707" spans="1:30" x14ac:dyDescent="0.25">
      <c r="A707" s="36" t="s">
        <v>27</v>
      </c>
      <c r="B707" s="36" t="s">
        <v>557</v>
      </c>
      <c r="C707" s="36" t="s">
        <v>28</v>
      </c>
      <c r="D707" s="36" t="s">
        <v>557</v>
      </c>
      <c r="E707" s="36" t="s">
        <v>30</v>
      </c>
      <c r="F707" s="36" t="s">
        <v>31</v>
      </c>
      <c r="G707" s="37" t="s">
        <v>549</v>
      </c>
      <c r="H707" s="36" t="s">
        <v>558</v>
      </c>
      <c r="I707" s="36" t="s">
        <v>559</v>
      </c>
      <c r="J707" s="36">
        <v>1</v>
      </c>
      <c r="K707" s="36" t="s">
        <v>496</v>
      </c>
      <c r="L707" s="36">
        <v>4</v>
      </c>
      <c r="M707" s="36">
        <v>1</v>
      </c>
      <c r="N707" s="38">
        <v>30000000</v>
      </c>
      <c r="O707" s="41">
        <v>2500000</v>
      </c>
      <c r="P707" s="36">
        <v>12</v>
      </c>
      <c r="Q707" s="36" t="s">
        <v>413</v>
      </c>
      <c r="R707" s="36" t="s">
        <v>122</v>
      </c>
      <c r="S707" s="36" t="s">
        <v>555</v>
      </c>
      <c r="T707" s="36" t="s">
        <v>57</v>
      </c>
      <c r="U707" s="36" t="s">
        <v>58</v>
      </c>
      <c r="V707" s="40">
        <v>45870</v>
      </c>
      <c r="W707" s="40">
        <v>45889</v>
      </c>
      <c r="X707" s="36">
        <v>0</v>
      </c>
      <c r="Y707" s="36"/>
      <c r="Z707" s="36">
        <v>1</v>
      </c>
      <c r="AA707" s="36">
        <v>2500000</v>
      </c>
      <c r="AB707" s="40">
        <v>46143</v>
      </c>
      <c r="AC707" s="36" t="s">
        <v>2196</v>
      </c>
      <c r="AD707" s="36" t="str">
        <f>VLOOKUP(D707,Oficial!A:C,3,0)</f>
        <v>Arrastre</v>
      </c>
    </row>
    <row r="708" spans="1:30" x14ac:dyDescent="0.25">
      <c r="A708" s="36" t="s">
        <v>27</v>
      </c>
      <c r="B708" s="36" t="s">
        <v>557</v>
      </c>
      <c r="C708" s="36" t="s">
        <v>28</v>
      </c>
      <c r="D708" s="36" t="s">
        <v>557</v>
      </c>
      <c r="E708" s="36" t="s">
        <v>30</v>
      </c>
      <c r="F708" s="36" t="s">
        <v>31</v>
      </c>
      <c r="G708" s="37" t="s">
        <v>549</v>
      </c>
      <c r="H708" s="36" t="s">
        <v>558</v>
      </c>
      <c r="I708" s="36" t="s">
        <v>559</v>
      </c>
      <c r="J708" s="36">
        <v>1</v>
      </c>
      <c r="K708" s="36" t="s">
        <v>496</v>
      </c>
      <c r="L708" s="36">
        <v>4</v>
      </c>
      <c r="M708" s="36">
        <v>1</v>
      </c>
      <c r="N708" s="38">
        <v>30000000</v>
      </c>
      <c r="O708" s="41">
        <v>2500000</v>
      </c>
      <c r="P708" s="36">
        <v>12</v>
      </c>
      <c r="Q708" s="36" t="s">
        <v>413</v>
      </c>
      <c r="R708" s="36" t="s">
        <v>122</v>
      </c>
      <c r="S708" s="36" t="s">
        <v>555</v>
      </c>
      <c r="T708" s="36" t="s">
        <v>57</v>
      </c>
      <c r="U708" s="36" t="s">
        <v>58</v>
      </c>
      <c r="V708" s="40">
        <v>45870</v>
      </c>
      <c r="W708" s="40">
        <v>45889</v>
      </c>
      <c r="X708" s="36">
        <v>0</v>
      </c>
      <c r="Y708" s="36"/>
      <c r="Z708" s="36">
        <v>1</v>
      </c>
      <c r="AA708" s="36">
        <v>2500000</v>
      </c>
      <c r="AB708" s="40">
        <v>46082</v>
      </c>
      <c r="AC708" s="36" t="s">
        <v>2196</v>
      </c>
      <c r="AD708" s="36" t="str">
        <f>VLOOKUP(D708,Oficial!A:C,3,0)</f>
        <v>Arrastre</v>
      </c>
    </row>
    <row r="709" spans="1:30" x14ac:dyDescent="0.25">
      <c r="A709" s="36" t="s">
        <v>27</v>
      </c>
      <c r="B709" s="36" t="s">
        <v>557</v>
      </c>
      <c r="C709" s="36" t="s">
        <v>28</v>
      </c>
      <c r="D709" s="36" t="s">
        <v>557</v>
      </c>
      <c r="E709" s="36" t="s">
        <v>30</v>
      </c>
      <c r="F709" s="36" t="s">
        <v>31</v>
      </c>
      <c r="G709" s="37" t="s">
        <v>549</v>
      </c>
      <c r="H709" s="36" t="s">
        <v>558</v>
      </c>
      <c r="I709" s="36" t="s">
        <v>559</v>
      </c>
      <c r="J709" s="36">
        <v>1</v>
      </c>
      <c r="K709" s="36" t="s">
        <v>496</v>
      </c>
      <c r="L709" s="36">
        <v>4</v>
      </c>
      <c r="M709" s="36">
        <v>1</v>
      </c>
      <c r="N709" s="38">
        <v>30000000</v>
      </c>
      <c r="O709" s="41">
        <v>2500000</v>
      </c>
      <c r="P709" s="36">
        <v>12</v>
      </c>
      <c r="Q709" s="36" t="s">
        <v>413</v>
      </c>
      <c r="R709" s="36" t="s">
        <v>122</v>
      </c>
      <c r="S709" s="36" t="s">
        <v>555</v>
      </c>
      <c r="T709" s="36" t="s">
        <v>57</v>
      </c>
      <c r="U709" s="36" t="s">
        <v>58</v>
      </c>
      <c r="V709" s="40">
        <v>45870</v>
      </c>
      <c r="W709" s="40">
        <v>45889</v>
      </c>
      <c r="X709" s="36">
        <v>0</v>
      </c>
      <c r="Y709" s="36"/>
      <c r="Z709" s="36">
        <v>1</v>
      </c>
      <c r="AA709" s="36">
        <v>2500000</v>
      </c>
      <c r="AB709" s="40">
        <v>46235</v>
      </c>
      <c r="AC709" s="36" t="s">
        <v>2196</v>
      </c>
      <c r="AD709" s="36" t="str">
        <f>VLOOKUP(D709,Oficial!A:C,3,0)</f>
        <v>Arrastre</v>
      </c>
    </row>
    <row r="710" spans="1:30" x14ac:dyDescent="0.25">
      <c r="A710" s="36" t="s">
        <v>27</v>
      </c>
      <c r="B710" s="36" t="s">
        <v>557</v>
      </c>
      <c r="C710" s="36" t="s">
        <v>28</v>
      </c>
      <c r="D710" s="36" t="s">
        <v>557</v>
      </c>
      <c r="E710" s="36" t="s">
        <v>30</v>
      </c>
      <c r="F710" s="36" t="s">
        <v>31</v>
      </c>
      <c r="G710" s="37" t="s">
        <v>549</v>
      </c>
      <c r="H710" s="36" t="s">
        <v>558</v>
      </c>
      <c r="I710" s="36" t="s">
        <v>559</v>
      </c>
      <c r="J710" s="36">
        <v>1</v>
      </c>
      <c r="K710" s="36" t="s">
        <v>496</v>
      </c>
      <c r="L710" s="36">
        <v>4</v>
      </c>
      <c r="M710" s="36">
        <v>1</v>
      </c>
      <c r="N710" s="38">
        <v>30000000</v>
      </c>
      <c r="O710" s="41">
        <v>2500000</v>
      </c>
      <c r="P710" s="36">
        <v>12</v>
      </c>
      <c r="Q710" s="36" t="s">
        <v>413</v>
      </c>
      <c r="R710" s="36" t="s">
        <v>122</v>
      </c>
      <c r="S710" s="36" t="s">
        <v>555</v>
      </c>
      <c r="T710" s="36" t="s">
        <v>57</v>
      </c>
      <c r="U710" s="36" t="s">
        <v>58</v>
      </c>
      <c r="V710" s="40">
        <v>45870</v>
      </c>
      <c r="W710" s="40">
        <v>45889</v>
      </c>
      <c r="X710" s="36">
        <v>0</v>
      </c>
      <c r="Y710" s="36"/>
      <c r="Z710" s="36">
        <v>1</v>
      </c>
      <c r="AA710" s="36">
        <v>2500000</v>
      </c>
      <c r="AB710" s="40">
        <v>46113</v>
      </c>
      <c r="AC710" s="36" t="s">
        <v>2196</v>
      </c>
      <c r="AD710" s="36" t="str">
        <f>VLOOKUP(D710,Oficial!A:C,3,0)</f>
        <v>Arrastre</v>
      </c>
    </row>
    <row r="711" spans="1:30" x14ac:dyDescent="0.25">
      <c r="A711" s="36" t="s">
        <v>27</v>
      </c>
      <c r="B711" s="36" t="s">
        <v>557</v>
      </c>
      <c r="C711" s="36" t="s">
        <v>28</v>
      </c>
      <c r="D711" s="36" t="s">
        <v>557</v>
      </c>
      <c r="E711" s="36" t="s">
        <v>30</v>
      </c>
      <c r="F711" s="36" t="s">
        <v>31</v>
      </c>
      <c r="G711" s="37" t="s">
        <v>549</v>
      </c>
      <c r="H711" s="36" t="s">
        <v>558</v>
      </c>
      <c r="I711" s="36" t="s">
        <v>559</v>
      </c>
      <c r="J711" s="36">
        <v>1</v>
      </c>
      <c r="K711" s="36" t="s">
        <v>496</v>
      </c>
      <c r="L711" s="36">
        <v>4</v>
      </c>
      <c r="M711" s="36">
        <v>1</v>
      </c>
      <c r="N711" s="38">
        <v>30000000</v>
      </c>
      <c r="O711" s="41">
        <v>2500000</v>
      </c>
      <c r="P711" s="36">
        <v>12</v>
      </c>
      <c r="Q711" s="36" t="s">
        <v>413</v>
      </c>
      <c r="R711" s="36" t="s">
        <v>122</v>
      </c>
      <c r="S711" s="36" t="s">
        <v>555</v>
      </c>
      <c r="T711" s="36" t="s">
        <v>57</v>
      </c>
      <c r="U711" s="36" t="s">
        <v>58</v>
      </c>
      <c r="V711" s="40">
        <v>45870</v>
      </c>
      <c r="W711" s="40">
        <v>45889</v>
      </c>
      <c r="X711" s="36">
        <v>0</v>
      </c>
      <c r="Y711" s="36"/>
      <c r="Z711" s="36">
        <v>1</v>
      </c>
      <c r="AA711" s="36">
        <v>2500000</v>
      </c>
      <c r="AB711" s="40">
        <v>46266</v>
      </c>
      <c r="AC711" s="36" t="s">
        <v>2196</v>
      </c>
      <c r="AD711" s="36" t="str">
        <f>VLOOKUP(D711,Oficial!A:C,3,0)</f>
        <v>Arrastre</v>
      </c>
    </row>
    <row r="712" spans="1:30" x14ac:dyDescent="0.25">
      <c r="A712" s="36" t="s">
        <v>27</v>
      </c>
      <c r="B712" s="36" t="s">
        <v>557</v>
      </c>
      <c r="C712" s="36" t="s">
        <v>28</v>
      </c>
      <c r="D712" s="36" t="s">
        <v>557</v>
      </c>
      <c r="E712" s="36" t="s">
        <v>30</v>
      </c>
      <c r="F712" s="36" t="s">
        <v>31</v>
      </c>
      <c r="G712" s="37" t="s">
        <v>549</v>
      </c>
      <c r="H712" s="36" t="s">
        <v>558</v>
      </c>
      <c r="I712" s="36" t="s">
        <v>559</v>
      </c>
      <c r="J712" s="36">
        <v>1</v>
      </c>
      <c r="K712" s="36" t="s">
        <v>496</v>
      </c>
      <c r="L712" s="36">
        <v>4</v>
      </c>
      <c r="M712" s="36">
        <v>1</v>
      </c>
      <c r="N712" s="38">
        <v>30000000</v>
      </c>
      <c r="O712" s="41">
        <v>2500000</v>
      </c>
      <c r="P712" s="36">
        <v>12</v>
      </c>
      <c r="Q712" s="36" t="s">
        <v>413</v>
      </c>
      <c r="R712" s="36" t="s">
        <v>122</v>
      </c>
      <c r="S712" s="36" t="s">
        <v>555</v>
      </c>
      <c r="T712" s="36" t="s">
        <v>57</v>
      </c>
      <c r="U712" s="36" t="s">
        <v>58</v>
      </c>
      <c r="V712" s="40">
        <v>45870</v>
      </c>
      <c r="W712" s="40">
        <v>45889</v>
      </c>
      <c r="X712" s="36">
        <v>0</v>
      </c>
      <c r="Y712" s="36"/>
      <c r="Z712" s="36">
        <v>1</v>
      </c>
      <c r="AA712" s="36">
        <v>2500000</v>
      </c>
      <c r="AB712" s="40">
        <v>46296</v>
      </c>
      <c r="AC712" s="36" t="s">
        <v>2196</v>
      </c>
      <c r="AD712" s="36" t="str">
        <f>VLOOKUP(D712,Oficial!A:C,3,0)</f>
        <v>Arrastre</v>
      </c>
    </row>
    <row r="713" spans="1:30" x14ac:dyDescent="0.25">
      <c r="A713" s="36" t="s">
        <v>27</v>
      </c>
      <c r="B713" s="36" t="s">
        <v>557</v>
      </c>
      <c r="C713" s="36" t="s">
        <v>28</v>
      </c>
      <c r="D713" s="36" t="s">
        <v>557</v>
      </c>
      <c r="E713" s="36" t="s">
        <v>30</v>
      </c>
      <c r="F713" s="36" t="s">
        <v>31</v>
      </c>
      <c r="G713" s="37" t="s">
        <v>549</v>
      </c>
      <c r="H713" s="36" t="s">
        <v>558</v>
      </c>
      <c r="I713" s="36" t="s">
        <v>559</v>
      </c>
      <c r="J713" s="36">
        <v>1</v>
      </c>
      <c r="K713" s="36" t="s">
        <v>496</v>
      </c>
      <c r="L713" s="36">
        <v>4</v>
      </c>
      <c r="M713" s="36">
        <v>1</v>
      </c>
      <c r="N713" s="38">
        <v>30000000</v>
      </c>
      <c r="O713" s="41">
        <v>2500000</v>
      </c>
      <c r="P713" s="36">
        <v>12</v>
      </c>
      <c r="Q713" s="36" t="s">
        <v>413</v>
      </c>
      <c r="R713" s="36" t="s">
        <v>122</v>
      </c>
      <c r="S713" s="36" t="s">
        <v>555</v>
      </c>
      <c r="T713" s="36" t="s">
        <v>57</v>
      </c>
      <c r="U713" s="36" t="s">
        <v>58</v>
      </c>
      <c r="V713" s="40">
        <v>45870</v>
      </c>
      <c r="W713" s="40">
        <v>45889</v>
      </c>
      <c r="X713" s="36">
        <v>0</v>
      </c>
      <c r="Y713" s="36"/>
      <c r="Z713" s="36">
        <v>1</v>
      </c>
      <c r="AA713" s="36">
        <v>2500000</v>
      </c>
      <c r="AB713" s="40">
        <v>46327</v>
      </c>
      <c r="AC713" s="36" t="s">
        <v>2196</v>
      </c>
      <c r="AD713" s="36" t="str">
        <f>VLOOKUP(D713,Oficial!A:C,3,0)</f>
        <v>Arrastre</v>
      </c>
    </row>
    <row r="714" spans="1:30" x14ac:dyDescent="0.25">
      <c r="A714" s="36" t="s">
        <v>27</v>
      </c>
      <c r="B714" s="36" t="s">
        <v>557</v>
      </c>
      <c r="C714" s="36" t="s">
        <v>28</v>
      </c>
      <c r="D714" s="36" t="s">
        <v>557</v>
      </c>
      <c r="E714" s="36" t="s">
        <v>30</v>
      </c>
      <c r="F714" s="36" t="s">
        <v>31</v>
      </c>
      <c r="G714" s="37" t="s">
        <v>549</v>
      </c>
      <c r="H714" s="36" t="s">
        <v>558</v>
      </c>
      <c r="I714" s="36" t="s">
        <v>559</v>
      </c>
      <c r="J714" s="36">
        <v>1</v>
      </c>
      <c r="K714" s="36" t="s">
        <v>496</v>
      </c>
      <c r="L714" s="36">
        <v>4</v>
      </c>
      <c r="M714" s="36">
        <v>1</v>
      </c>
      <c r="N714" s="38">
        <v>30000000</v>
      </c>
      <c r="O714" s="41">
        <v>2500000</v>
      </c>
      <c r="P714" s="36">
        <v>12</v>
      </c>
      <c r="Q714" s="36" t="s">
        <v>413</v>
      </c>
      <c r="R714" s="36" t="s">
        <v>122</v>
      </c>
      <c r="S714" s="36" t="s">
        <v>555</v>
      </c>
      <c r="T714" s="36" t="s">
        <v>57</v>
      </c>
      <c r="U714" s="36" t="s">
        <v>58</v>
      </c>
      <c r="V714" s="40">
        <v>45870</v>
      </c>
      <c r="W714" s="40">
        <v>45889</v>
      </c>
      <c r="X714" s="36">
        <v>0</v>
      </c>
      <c r="Y714" s="36"/>
      <c r="Z714" s="36">
        <v>1</v>
      </c>
      <c r="AA714" s="36">
        <v>2500000</v>
      </c>
      <c r="AB714" s="40">
        <v>46357</v>
      </c>
      <c r="AC714" s="36" t="s">
        <v>2196</v>
      </c>
      <c r="AD714" s="36" t="str">
        <f>VLOOKUP(D714,Oficial!A:C,3,0)</f>
        <v>Arrastre</v>
      </c>
    </row>
    <row r="715" spans="1:30" x14ac:dyDescent="0.25">
      <c r="A715" s="36" t="s">
        <v>27</v>
      </c>
      <c r="B715" s="36" t="s">
        <v>560</v>
      </c>
      <c r="C715" s="36" t="s">
        <v>28</v>
      </c>
      <c r="D715" s="36" t="s">
        <v>560</v>
      </c>
      <c r="E715" s="36" t="s">
        <v>30</v>
      </c>
      <c r="F715" s="36" t="s">
        <v>31</v>
      </c>
      <c r="G715" s="37" t="s">
        <v>561</v>
      </c>
      <c r="H715" s="36" t="s">
        <v>562</v>
      </c>
      <c r="I715" s="36" t="s">
        <v>563</v>
      </c>
      <c r="J715" s="36">
        <v>1</v>
      </c>
      <c r="K715" s="36" t="s">
        <v>564</v>
      </c>
      <c r="L715" s="36">
        <v>4</v>
      </c>
      <c r="M715" s="36">
        <v>36</v>
      </c>
      <c r="N715" s="38">
        <v>5777778</v>
      </c>
      <c r="O715" s="44">
        <v>5777778</v>
      </c>
      <c r="P715" s="36">
        <v>32</v>
      </c>
      <c r="Q715" s="36" t="s">
        <v>196</v>
      </c>
      <c r="R715" s="36" t="s">
        <v>565</v>
      </c>
      <c r="S715" s="36" t="s">
        <v>65</v>
      </c>
      <c r="T715" s="36" t="s">
        <v>566</v>
      </c>
      <c r="U715" s="36" t="s">
        <v>67</v>
      </c>
      <c r="V715" s="40">
        <v>45992</v>
      </c>
      <c r="W715" s="40">
        <v>45889</v>
      </c>
      <c r="X715" s="36">
        <v>0</v>
      </c>
      <c r="Y715" s="36"/>
      <c r="Z715" s="36">
        <v>1</v>
      </c>
      <c r="AA715" s="36">
        <v>5777778</v>
      </c>
      <c r="AB715" s="40">
        <v>46054</v>
      </c>
      <c r="AC715" s="36" t="s">
        <v>2196</v>
      </c>
      <c r="AD715" s="36" t="str">
        <f>VLOOKUP(D715,Oficial!A:C,3,0)</f>
        <v>Arrastre</v>
      </c>
    </row>
    <row r="716" spans="1:30" x14ac:dyDescent="0.25">
      <c r="A716" s="36" t="s">
        <v>27</v>
      </c>
      <c r="B716" s="36" t="s">
        <v>560</v>
      </c>
      <c r="C716" s="36" t="s">
        <v>28</v>
      </c>
      <c r="D716" s="36" t="s">
        <v>560</v>
      </c>
      <c r="E716" s="36" t="s">
        <v>30</v>
      </c>
      <c r="F716" s="36" t="s">
        <v>31</v>
      </c>
      <c r="G716" s="37" t="s">
        <v>561</v>
      </c>
      <c r="H716" s="36" t="s">
        <v>562</v>
      </c>
      <c r="I716" s="36" t="s">
        <v>563</v>
      </c>
      <c r="J716" s="36">
        <v>1</v>
      </c>
      <c r="K716" s="36" t="s">
        <v>564</v>
      </c>
      <c r="L716" s="36">
        <v>4</v>
      </c>
      <c r="M716" s="36">
        <v>36</v>
      </c>
      <c r="N716" s="38">
        <v>5777778</v>
      </c>
      <c r="O716" s="44">
        <v>5777778</v>
      </c>
      <c r="P716" s="36">
        <v>32</v>
      </c>
      <c r="Q716" s="36" t="s">
        <v>196</v>
      </c>
      <c r="R716" s="36" t="s">
        <v>565</v>
      </c>
      <c r="S716" s="36" t="s">
        <v>65</v>
      </c>
      <c r="T716" s="36" t="s">
        <v>566</v>
      </c>
      <c r="U716" s="36" t="s">
        <v>67</v>
      </c>
      <c r="V716" s="40">
        <v>45992</v>
      </c>
      <c r="W716" s="40">
        <v>45889</v>
      </c>
      <c r="X716" s="36">
        <v>0</v>
      </c>
      <c r="Y716" s="36"/>
      <c r="Z716" s="36">
        <v>1</v>
      </c>
      <c r="AA716" s="36">
        <v>5777778</v>
      </c>
      <c r="AB716" s="40">
        <v>46266</v>
      </c>
      <c r="AC716" s="36" t="s">
        <v>2196</v>
      </c>
      <c r="AD716" s="36" t="str">
        <f>VLOOKUP(D716,Oficial!A:C,3,0)</f>
        <v>Arrastre</v>
      </c>
    </row>
    <row r="717" spans="1:30" x14ac:dyDescent="0.25">
      <c r="A717" s="36" t="s">
        <v>27</v>
      </c>
      <c r="B717" s="36" t="s">
        <v>560</v>
      </c>
      <c r="C717" s="36" t="s">
        <v>28</v>
      </c>
      <c r="D717" s="36" t="s">
        <v>560</v>
      </c>
      <c r="E717" s="36" t="s">
        <v>30</v>
      </c>
      <c r="F717" s="36" t="s">
        <v>31</v>
      </c>
      <c r="G717" s="37" t="s">
        <v>561</v>
      </c>
      <c r="H717" s="36" t="s">
        <v>562</v>
      </c>
      <c r="I717" s="36" t="s">
        <v>563</v>
      </c>
      <c r="J717" s="36">
        <v>1</v>
      </c>
      <c r="K717" s="36" t="s">
        <v>564</v>
      </c>
      <c r="L717" s="36">
        <v>4</v>
      </c>
      <c r="M717" s="36">
        <v>36</v>
      </c>
      <c r="N717" s="38">
        <v>5777778</v>
      </c>
      <c r="O717" s="44">
        <v>5777778</v>
      </c>
      <c r="P717" s="36">
        <v>32</v>
      </c>
      <c r="Q717" s="36" t="s">
        <v>196</v>
      </c>
      <c r="R717" s="36" t="s">
        <v>565</v>
      </c>
      <c r="S717" s="36" t="s">
        <v>65</v>
      </c>
      <c r="T717" s="36" t="s">
        <v>566</v>
      </c>
      <c r="U717" s="36" t="s">
        <v>67</v>
      </c>
      <c r="V717" s="40">
        <v>45992</v>
      </c>
      <c r="W717" s="40">
        <v>45889</v>
      </c>
      <c r="X717" s="36">
        <v>0</v>
      </c>
      <c r="Y717" s="36"/>
      <c r="Z717" s="36">
        <v>1</v>
      </c>
      <c r="AA717" s="36">
        <v>5777778</v>
      </c>
      <c r="AB717" s="40">
        <v>46023</v>
      </c>
      <c r="AC717" s="36" t="s">
        <v>2196</v>
      </c>
      <c r="AD717" s="36" t="str">
        <f>VLOOKUP(D717,Oficial!A:C,3,0)</f>
        <v>Arrastre</v>
      </c>
    </row>
    <row r="718" spans="1:30" x14ac:dyDescent="0.25">
      <c r="A718" s="36" t="s">
        <v>27</v>
      </c>
      <c r="B718" s="36" t="s">
        <v>560</v>
      </c>
      <c r="C718" s="36" t="s">
        <v>28</v>
      </c>
      <c r="D718" s="36" t="s">
        <v>560</v>
      </c>
      <c r="E718" s="36" t="s">
        <v>30</v>
      </c>
      <c r="F718" s="36" t="s">
        <v>31</v>
      </c>
      <c r="G718" s="37" t="s">
        <v>561</v>
      </c>
      <c r="H718" s="36" t="s">
        <v>562</v>
      </c>
      <c r="I718" s="36" t="s">
        <v>563</v>
      </c>
      <c r="J718" s="36">
        <v>1</v>
      </c>
      <c r="K718" s="36" t="s">
        <v>564</v>
      </c>
      <c r="L718" s="36">
        <v>4</v>
      </c>
      <c r="M718" s="36">
        <v>36</v>
      </c>
      <c r="N718" s="38">
        <v>5777778</v>
      </c>
      <c r="O718" s="44">
        <v>5777778</v>
      </c>
      <c r="P718" s="36">
        <v>32</v>
      </c>
      <c r="Q718" s="36" t="s">
        <v>196</v>
      </c>
      <c r="R718" s="36" t="s">
        <v>565</v>
      </c>
      <c r="S718" s="36" t="s">
        <v>65</v>
      </c>
      <c r="T718" s="36" t="s">
        <v>566</v>
      </c>
      <c r="U718" s="36" t="s">
        <v>67</v>
      </c>
      <c r="V718" s="40">
        <v>45992</v>
      </c>
      <c r="W718" s="40">
        <v>45889</v>
      </c>
      <c r="X718" s="36">
        <v>0</v>
      </c>
      <c r="Y718" s="36"/>
      <c r="Z718" s="36">
        <v>1</v>
      </c>
      <c r="AA718" s="36">
        <v>5777778</v>
      </c>
      <c r="AB718" s="40">
        <v>46204</v>
      </c>
      <c r="AC718" s="36" t="s">
        <v>2196</v>
      </c>
      <c r="AD718" s="36" t="str">
        <f>VLOOKUP(D718,Oficial!A:C,3,0)</f>
        <v>Arrastre</v>
      </c>
    </row>
    <row r="719" spans="1:30" x14ac:dyDescent="0.25">
      <c r="A719" s="36" t="s">
        <v>27</v>
      </c>
      <c r="B719" s="36" t="s">
        <v>560</v>
      </c>
      <c r="C719" s="36" t="s">
        <v>28</v>
      </c>
      <c r="D719" s="36" t="s">
        <v>560</v>
      </c>
      <c r="E719" s="36" t="s">
        <v>30</v>
      </c>
      <c r="F719" s="36" t="s">
        <v>31</v>
      </c>
      <c r="G719" s="37" t="s">
        <v>561</v>
      </c>
      <c r="H719" s="36" t="s">
        <v>562</v>
      </c>
      <c r="I719" s="36" t="s">
        <v>563</v>
      </c>
      <c r="J719" s="36">
        <v>1</v>
      </c>
      <c r="K719" s="36" t="s">
        <v>564</v>
      </c>
      <c r="L719" s="36">
        <v>4</v>
      </c>
      <c r="M719" s="36">
        <v>36</v>
      </c>
      <c r="N719" s="38">
        <v>5777778</v>
      </c>
      <c r="O719" s="44">
        <v>5777778</v>
      </c>
      <c r="P719" s="36">
        <v>32</v>
      </c>
      <c r="Q719" s="36" t="s">
        <v>196</v>
      </c>
      <c r="R719" s="36" t="s">
        <v>565</v>
      </c>
      <c r="S719" s="36" t="s">
        <v>65</v>
      </c>
      <c r="T719" s="36" t="s">
        <v>566</v>
      </c>
      <c r="U719" s="36" t="s">
        <v>67</v>
      </c>
      <c r="V719" s="40">
        <v>45992</v>
      </c>
      <c r="W719" s="40">
        <v>45889</v>
      </c>
      <c r="X719" s="36">
        <v>0</v>
      </c>
      <c r="Y719" s="36"/>
      <c r="Z719" s="36">
        <v>1</v>
      </c>
      <c r="AA719" s="36">
        <v>5777778</v>
      </c>
      <c r="AB719" s="40">
        <v>46296</v>
      </c>
      <c r="AC719" s="36" t="s">
        <v>2196</v>
      </c>
      <c r="AD719" s="36" t="str">
        <f>VLOOKUP(D719,Oficial!A:C,3,0)</f>
        <v>Arrastre</v>
      </c>
    </row>
    <row r="720" spans="1:30" x14ac:dyDescent="0.25">
      <c r="A720" s="36" t="s">
        <v>27</v>
      </c>
      <c r="B720" s="36" t="s">
        <v>560</v>
      </c>
      <c r="C720" s="36" t="s">
        <v>28</v>
      </c>
      <c r="D720" s="36" t="s">
        <v>560</v>
      </c>
      <c r="E720" s="36" t="s">
        <v>30</v>
      </c>
      <c r="F720" s="36" t="s">
        <v>31</v>
      </c>
      <c r="G720" s="37" t="s">
        <v>561</v>
      </c>
      <c r="H720" s="36" t="s">
        <v>562</v>
      </c>
      <c r="I720" s="36" t="s">
        <v>563</v>
      </c>
      <c r="J720" s="36">
        <v>1</v>
      </c>
      <c r="K720" s="36" t="s">
        <v>564</v>
      </c>
      <c r="L720" s="36">
        <v>4</v>
      </c>
      <c r="M720" s="36">
        <v>36</v>
      </c>
      <c r="N720" s="38">
        <v>5777778</v>
      </c>
      <c r="O720" s="44">
        <v>5777778</v>
      </c>
      <c r="P720" s="36">
        <v>32</v>
      </c>
      <c r="Q720" s="36" t="s">
        <v>196</v>
      </c>
      <c r="R720" s="36" t="s">
        <v>565</v>
      </c>
      <c r="S720" s="36" t="s">
        <v>65</v>
      </c>
      <c r="T720" s="36" t="s">
        <v>566</v>
      </c>
      <c r="U720" s="36" t="s">
        <v>67</v>
      </c>
      <c r="V720" s="40">
        <v>45992</v>
      </c>
      <c r="W720" s="40">
        <v>45889</v>
      </c>
      <c r="X720" s="36">
        <v>0</v>
      </c>
      <c r="Y720" s="36"/>
      <c r="Z720" s="36">
        <v>1</v>
      </c>
      <c r="AA720" s="36">
        <v>5777778</v>
      </c>
      <c r="AB720" s="40">
        <v>46113</v>
      </c>
      <c r="AC720" s="36" t="s">
        <v>2196</v>
      </c>
      <c r="AD720" s="36" t="str">
        <f>VLOOKUP(D720,Oficial!A:C,3,0)</f>
        <v>Arrastre</v>
      </c>
    </row>
    <row r="721" spans="1:30" x14ac:dyDescent="0.25">
      <c r="A721" s="36" t="s">
        <v>27</v>
      </c>
      <c r="B721" s="36" t="s">
        <v>560</v>
      </c>
      <c r="C721" s="36" t="s">
        <v>28</v>
      </c>
      <c r="D721" s="36" t="s">
        <v>560</v>
      </c>
      <c r="E721" s="36" t="s">
        <v>30</v>
      </c>
      <c r="F721" s="36" t="s">
        <v>31</v>
      </c>
      <c r="G721" s="37" t="s">
        <v>561</v>
      </c>
      <c r="H721" s="36" t="s">
        <v>562</v>
      </c>
      <c r="I721" s="36" t="s">
        <v>563</v>
      </c>
      <c r="J721" s="36">
        <v>1</v>
      </c>
      <c r="K721" s="36" t="s">
        <v>564</v>
      </c>
      <c r="L721" s="36">
        <v>4</v>
      </c>
      <c r="M721" s="36">
        <v>36</v>
      </c>
      <c r="N721" s="38">
        <v>5777778</v>
      </c>
      <c r="O721" s="44">
        <v>5777778</v>
      </c>
      <c r="P721" s="36">
        <v>32</v>
      </c>
      <c r="Q721" s="36" t="s">
        <v>196</v>
      </c>
      <c r="R721" s="36" t="s">
        <v>565</v>
      </c>
      <c r="S721" s="36" t="s">
        <v>65</v>
      </c>
      <c r="T721" s="36" t="s">
        <v>566</v>
      </c>
      <c r="U721" s="36" t="s">
        <v>67</v>
      </c>
      <c r="V721" s="40">
        <v>45992</v>
      </c>
      <c r="W721" s="40">
        <v>45889</v>
      </c>
      <c r="X721" s="36">
        <v>0</v>
      </c>
      <c r="Y721" s="36"/>
      <c r="Z721" s="36">
        <v>1</v>
      </c>
      <c r="AA721" s="36">
        <v>5777778</v>
      </c>
      <c r="AB721" s="40">
        <v>46327</v>
      </c>
      <c r="AC721" s="36" t="s">
        <v>2196</v>
      </c>
      <c r="AD721" s="36" t="str">
        <f>VLOOKUP(D721,Oficial!A:C,3,0)</f>
        <v>Arrastre</v>
      </c>
    </row>
    <row r="722" spans="1:30" x14ac:dyDescent="0.25">
      <c r="A722" s="36" t="s">
        <v>27</v>
      </c>
      <c r="B722" s="36" t="s">
        <v>560</v>
      </c>
      <c r="C722" s="36" t="s">
        <v>28</v>
      </c>
      <c r="D722" s="36" t="s">
        <v>560</v>
      </c>
      <c r="E722" s="36" t="s">
        <v>30</v>
      </c>
      <c r="F722" s="36" t="s">
        <v>31</v>
      </c>
      <c r="G722" s="37" t="s">
        <v>561</v>
      </c>
      <c r="H722" s="36" t="s">
        <v>562</v>
      </c>
      <c r="I722" s="36" t="s">
        <v>563</v>
      </c>
      <c r="J722" s="36">
        <v>1</v>
      </c>
      <c r="K722" s="36" t="s">
        <v>564</v>
      </c>
      <c r="L722" s="36">
        <v>4</v>
      </c>
      <c r="M722" s="36">
        <v>36</v>
      </c>
      <c r="N722" s="38">
        <v>5777778</v>
      </c>
      <c r="O722" s="44">
        <v>5777778</v>
      </c>
      <c r="P722" s="36">
        <v>32</v>
      </c>
      <c r="Q722" s="36" t="s">
        <v>196</v>
      </c>
      <c r="R722" s="36" t="s">
        <v>565</v>
      </c>
      <c r="S722" s="36" t="s">
        <v>65</v>
      </c>
      <c r="T722" s="36" t="s">
        <v>566</v>
      </c>
      <c r="U722" s="36" t="s">
        <v>67</v>
      </c>
      <c r="V722" s="40">
        <v>45992</v>
      </c>
      <c r="W722" s="40">
        <v>45889</v>
      </c>
      <c r="X722" s="36">
        <v>0</v>
      </c>
      <c r="Y722" s="36"/>
      <c r="Z722" s="36">
        <v>1</v>
      </c>
      <c r="AA722" s="36">
        <v>5777778</v>
      </c>
      <c r="AB722" s="40">
        <v>46174</v>
      </c>
      <c r="AC722" s="36" t="s">
        <v>2196</v>
      </c>
      <c r="AD722" s="36" t="str">
        <f>VLOOKUP(D722,Oficial!A:C,3,0)</f>
        <v>Arrastre</v>
      </c>
    </row>
    <row r="723" spans="1:30" x14ac:dyDescent="0.25">
      <c r="A723" s="36" t="s">
        <v>27</v>
      </c>
      <c r="B723" s="36" t="s">
        <v>560</v>
      </c>
      <c r="C723" s="36" t="s">
        <v>28</v>
      </c>
      <c r="D723" s="36" t="s">
        <v>560</v>
      </c>
      <c r="E723" s="36" t="s">
        <v>30</v>
      </c>
      <c r="F723" s="36" t="s">
        <v>31</v>
      </c>
      <c r="G723" s="37" t="s">
        <v>561</v>
      </c>
      <c r="H723" s="36" t="s">
        <v>562</v>
      </c>
      <c r="I723" s="36" t="s">
        <v>563</v>
      </c>
      <c r="J723" s="36">
        <v>1</v>
      </c>
      <c r="K723" s="36" t="s">
        <v>564</v>
      </c>
      <c r="L723" s="36">
        <v>4</v>
      </c>
      <c r="M723" s="36">
        <v>36</v>
      </c>
      <c r="N723" s="38">
        <v>5777778</v>
      </c>
      <c r="O723" s="44">
        <v>5777778</v>
      </c>
      <c r="P723" s="36">
        <v>32</v>
      </c>
      <c r="Q723" s="36" t="s">
        <v>196</v>
      </c>
      <c r="R723" s="36" t="s">
        <v>565</v>
      </c>
      <c r="S723" s="36" t="s">
        <v>65</v>
      </c>
      <c r="T723" s="36" t="s">
        <v>566</v>
      </c>
      <c r="U723" s="36" t="s">
        <v>67</v>
      </c>
      <c r="V723" s="40">
        <v>45992</v>
      </c>
      <c r="W723" s="40">
        <v>45889</v>
      </c>
      <c r="X723" s="36">
        <v>0</v>
      </c>
      <c r="Y723" s="36"/>
      <c r="Z723" s="36">
        <v>1</v>
      </c>
      <c r="AA723" s="36">
        <v>5777778</v>
      </c>
      <c r="AB723" s="40">
        <v>46235</v>
      </c>
      <c r="AC723" s="36" t="s">
        <v>2196</v>
      </c>
      <c r="AD723" s="36" t="str">
        <f>VLOOKUP(D723,Oficial!A:C,3,0)</f>
        <v>Arrastre</v>
      </c>
    </row>
    <row r="724" spans="1:30" x14ac:dyDescent="0.25">
      <c r="A724" s="36" t="s">
        <v>27</v>
      </c>
      <c r="B724" s="36" t="s">
        <v>560</v>
      </c>
      <c r="C724" s="36" t="s">
        <v>28</v>
      </c>
      <c r="D724" s="36" t="s">
        <v>560</v>
      </c>
      <c r="E724" s="36" t="s">
        <v>30</v>
      </c>
      <c r="F724" s="36" t="s">
        <v>31</v>
      </c>
      <c r="G724" s="37" t="s">
        <v>561</v>
      </c>
      <c r="H724" s="36" t="s">
        <v>562</v>
      </c>
      <c r="I724" s="36" t="s">
        <v>563</v>
      </c>
      <c r="J724" s="36">
        <v>1</v>
      </c>
      <c r="K724" s="36" t="s">
        <v>564</v>
      </c>
      <c r="L724" s="36">
        <v>4</v>
      </c>
      <c r="M724" s="36">
        <v>36</v>
      </c>
      <c r="N724" s="38">
        <v>5777778</v>
      </c>
      <c r="O724" s="44">
        <v>5777778</v>
      </c>
      <c r="P724" s="36">
        <v>32</v>
      </c>
      <c r="Q724" s="36" t="s">
        <v>196</v>
      </c>
      <c r="R724" s="36" t="s">
        <v>565</v>
      </c>
      <c r="S724" s="36" t="s">
        <v>65</v>
      </c>
      <c r="T724" s="36" t="s">
        <v>566</v>
      </c>
      <c r="U724" s="36" t="s">
        <v>67</v>
      </c>
      <c r="V724" s="40">
        <v>45992</v>
      </c>
      <c r="W724" s="40">
        <v>45889</v>
      </c>
      <c r="X724" s="36">
        <v>0</v>
      </c>
      <c r="Y724" s="36"/>
      <c r="Z724" s="36">
        <v>1</v>
      </c>
      <c r="AA724" s="36">
        <v>5777778</v>
      </c>
      <c r="AB724" s="40">
        <v>46082</v>
      </c>
      <c r="AC724" s="36" t="s">
        <v>2196</v>
      </c>
      <c r="AD724" s="36" t="str">
        <f>VLOOKUP(D724,Oficial!A:C,3,0)</f>
        <v>Arrastre</v>
      </c>
    </row>
    <row r="725" spans="1:30" x14ac:dyDescent="0.25">
      <c r="A725" s="36" t="s">
        <v>27</v>
      </c>
      <c r="B725" s="36" t="s">
        <v>560</v>
      </c>
      <c r="C725" s="36" t="s">
        <v>28</v>
      </c>
      <c r="D725" s="36" t="s">
        <v>560</v>
      </c>
      <c r="E725" s="36" t="s">
        <v>30</v>
      </c>
      <c r="F725" s="36" t="s">
        <v>31</v>
      </c>
      <c r="G725" s="37" t="s">
        <v>561</v>
      </c>
      <c r="H725" s="36" t="s">
        <v>562</v>
      </c>
      <c r="I725" s="36" t="s">
        <v>563</v>
      </c>
      <c r="J725" s="36">
        <v>1</v>
      </c>
      <c r="K725" s="36" t="s">
        <v>564</v>
      </c>
      <c r="L725" s="36">
        <v>4</v>
      </c>
      <c r="M725" s="36">
        <v>36</v>
      </c>
      <c r="N725" s="38">
        <v>5777778</v>
      </c>
      <c r="O725" s="44">
        <v>5777778</v>
      </c>
      <c r="P725" s="36">
        <v>32</v>
      </c>
      <c r="Q725" s="36" t="s">
        <v>196</v>
      </c>
      <c r="R725" s="36" t="s">
        <v>565</v>
      </c>
      <c r="S725" s="36" t="s">
        <v>65</v>
      </c>
      <c r="T725" s="36" t="s">
        <v>566</v>
      </c>
      <c r="U725" s="36" t="s">
        <v>67</v>
      </c>
      <c r="V725" s="40">
        <v>45992</v>
      </c>
      <c r="W725" s="40">
        <v>45889</v>
      </c>
      <c r="X725" s="36">
        <v>0</v>
      </c>
      <c r="Y725" s="36"/>
      <c r="Z725" s="36">
        <v>1</v>
      </c>
      <c r="AA725" s="36">
        <v>5777778</v>
      </c>
      <c r="AB725" s="40">
        <v>46357</v>
      </c>
      <c r="AC725" s="36" t="s">
        <v>2196</v>
      </c>
      <c r="AD725" s="36" t="str">
        <f>VLOOKUP(D725,Oficial!A:C,3,0)</f>
        <v>Arrastre</v>
      </c>
    </row>
    <row r="726" spans="1:30" x14ac:dyDescent="0.25">
      <c r="A726" s="36" t="s">
        <v>27</v>
      </c>
      <c r="B726" s="36" t="s">
        <v>560</v>
      </c>
      <c r="C726" s="36" t="s">
        <v>28</v>
      </c>
      <c r="D726" s="36" t="s">
        <v>560</v>
      </c>
      <c r="E726" s="36" t="s">
        <v>30</v>
      </c>
      <c r="F726" s="36" t="s">
        <v>31</v>
      </c>
      <c r="G726" s="37" t="s">
        <v>561</v>
      </c>
      <c r="H726" s="36" t="s">
        <v>562</v>
      </c>
      <c r="I726" s="36" t="s">
        <v>563</v>
      </c>
      <c r="J726" s="36">
        <v>1</v>
      </c>
      <c r="K726" s="36" t="s">
        <v>564</v>
      </c>
      <c r="L726" s="36">
        <v>4</v>
      </c>
      <c r="M726" s="36">
        <v>36</v>
      </c>
      <c r="N726" s="38">
        <v>5777778</v>
      </c>
      <c r="O726" s="44">
        <v>5777778</v>
      </c>
      <c r="P726" s="36">
        <v>32</v>
      </c>
      <c r="Q726" s="36" t="s">
        <v>196</v>
      </c>
      <c r="R726" s="36" t="s">
        <v>565</v>
      </c>
      <c r="S726" s="36" t="s">
        <v>65</v>
      </c>
      <c r="T726" s="36" t="s">
        <v>566</v>
      </c>
      <c r="U726" s="36" t="s">
        <v>67</v>
      </c>
      <c r="V726" s="40">
        <v>45992</v>
      </c>
      <c r="W726" s="40">
        <v>45889</v>
      </c>
      <c r="X726" s="36">
        <v>0</v>
      </c>
      <c r="Y726" s="36"/>
      <c r="Z726" s="36">
        <v>1</v>
      </c>
      <c r="AA726" s="36">
        <v>5777778</v>
      </c>
      <c r="AB726" s="40">
        <v>46143</v>
      </c>
      <c r="AC726" s="36" t="s">
        <v>2196</v>
      </c>
      <c r="AD726" s="36" t="str">
        <f>VLOOKUP(D726,Oficial!A:C,3,0)</f>
        <v>Arrastre</v>
      </c>
    </row>
    <row r="727" spans="1:30" x14ac:dyDescent="0.25">
      <c r="A727" s="36" t="s">
        <v>27</v>
      </c>
      <c r="B727" s="36" t="s">
        <v>568</v>
      </c>
      <c r="C727" s="36" t="s">
        <v>567</v>
      </c>
      <c r="D727" s="36" t="s">
        <v>568</v>
      </c>
      <c r="E727" s="36" t="s">
        <v>30</v>
      </c>
      <c r="F727" s="36" t="s">
        <v>569</v>
      </c>
      <c r="G727" s="37">
        <v>32</v>
      </c>
      <c r="H727" s="36" t="s">
        <v>570</v>
      </c>
      <c r="I727" s="36" t="s">
        <v>571</v>
      </c>
      <c r="J727" s="36">
        <v>8</v>
      </c>
      <c r="K727" s="36" t="s">
        <v>572</v>
      </c>
      <c r="L727" s="36">
        <v>4</v>
      </c>
      <c r="M727" s="36">
        <v>1</v>
      </c>
      <c r="N727" s="38">
        <v>40000000</v>
      </c>
      <c r="O727" s="38">
        <v>40000000</v>
      </c>
      <c r="P727" s="36">
        <v>1</v>
      </c>
      <c r="Q727" s="40">
        <v>46113</v>
      </c>
      <c r="R727" s="36" t="s">
        <v>573</v>
      </c>
      <c r="S727" s="36" t="s">
        <v>574</v>
      </c>
      <c r="T727" s="36" t="s">
        <v>575</v>
      </c>
      <c r="U727" s="36" t="s">
        <v>576</v>
      </c>
      <c r="V727" s="40">
        <v>46113</v>
      </c>
      <c r="W727" s="36"/>
      <c r="X727" s="36">
        <v>0</v>
      </c>
      <c r="Y727" s="36"/>
      <c r="Z727" s="36">
        <v>0</v>
      </c>
      <c r="AA727" s="36">
        <v>0</v>
      </c>
      <c r="AB727" s="36"/>
      <c r="AC727" s="36" t="str">
        <f t="shared" ref="AC727:AC790" si="0">RIGHT(D727,4)</f>
        <v>PC26</v>
      </c>
      <c r="AD727" s="36" t="str">
        <f>VLOOKUP(D727,Oficial!A:C,3,0)</f>
        <v>Bienestar</v>
      </c>
    </row>
    <row r="728" spans="1:30" x14ac:dyDescent="0.25">
      <c r="A728" s="36" t="s">
        <v>27</v>
      </c>
      <c r="B728" s="36" t="s">
        <v>568</v>
      </c>
      <c r="C728" s="36" t="s">
        <v>567</v>
      </c>
      <c r="D728" s="36" t="s">
        <v>568</v>
      </c>
      <c r="E728" s="36" t="s">
        <v>30</v>
      </c>
      <c r="F728" s="36" t="s">
        <v>569</v>
      </c>
      <c r="G728" s="37">
        <v>32</v>
      </c>
      <c r="H728" s="36" t="s">
        <v>570</v>
      </c>
      <c r="I728" s="36" t="s">
        <v>571</v>
      </c>
      <c r="J728" s="36">
        <v>8</v>
      </c>
      <c r="K728" s="36" t="s">
        <v>577</v>
      </c>
      <c r="L728" s="36">
        <v>4</v>
      </c>
      <c r="M728" s="36">
        <v>1</v>
      </c>
      <c r="N728" s="38">
        <v>1000000</v>
      </c>
      <c r="O728" s="38">
        <v>1000000</v>
      </c>
      <c r="P728" s="36">
        <v>1</v>
      </c>
      <c r="Q728" s="40">
        <v>46174</v>
      </c>
      <c r="R728" s="36" t="s">
        <v>573</v>
      </c>
      <c r="S728" s="36" t="s">
        <v>574</v>
      </c>
      <c r="T728" s="36" t="s">
        <v>575</v>
      </c>
      <c r="U728" s="36" t="s">
        <v>576</v>
      </c>
      <c r="V728" s="40">
        <v>46174</v>
      </c>
      <c r="W728" s="36"/>
      <c r="X728" s="36">
        <v>0</v>
      </c>
      <c r="Y728" s="36"/>
      <c r="Z728" s="36">
        <v>0</v>
      </c>
      <c r="AA728" s="36">
        <v>0</v>
      </c>
      <c r="AB728" s="36"/>
      <c r="AC728" s="36" t="str">
        <f t="shared" si="0"/>
        <v>PC26</v>
      </c>
      <c r="AD728" s="36" t="str">
        <f>VLOOKUP(D728,Oficial!A:C,3,0)</f>
        <v>Bienestar</v>
      </c>
    </row>
    <row r="729" spans="1:30" x14ac:dyDescent="0.25">
      <c r="A729" s="36" t="s">
        <v>27</v>
      </c>
      <c r="B729" s="36" t="s">
        <v>568</v>
      </c>
      <c r="C729" s="36" t="s">
        <v>567</v>
      </c>
      <c r="D729" s="36" t="s">
        <v>568</v>
      </c>
      <c r="E729" s="36" t="s">
        <v>30</v>
      </c>
      <c r="F729" s="36" t="s">
        <v>569</v>
      </c>
      <c r="G729" s="37">
        <v>32</v>
      </c>
      <c r="H729" s="36" t="s">
        <v>570</v>
      </c>
      <c r="I729" s="36" t="s">
        <v>571</v>
      </c>
      <c r="J729" s="36">
        <v>8</v>
      </c>
      <c r="K729" s="36" t="s">
        <v>578</v>
      </c>
      <c r="L729" s="36">
        <v>4</v>
      </c>
      <c r="M729" s="36">
        <v>1</v>
      </c>
      <c r="N729" s="38">
        <v>2000000</v>
      </c>
      <c r="O729" s="38">
        <v>2000000</v>
      </c>
      <c r="P729" s="36">
        <v>1</v>
      </c>
      <c r="Q729" s="40">
        <v>46174</v>
      </c>
      <c r="R729" s="36" t="s">
        <v>573</v>
      </c>
      <c r="S729" s="36" t="s">
        <v>574</v>
      </c>
      <c r="T729" s="36" t="s">
        <v>575</v>
      </c>
      <c r="U729" s="36" t="s">
        <v>576</v>
      </c>
      <c r="V729" s="40">
        <v>46174</v>
      </c>
      <c r="W729" s="36"/>
      <c r="X729" s="36">
        <v>0</v>
      </c>
      <c r="Y729" s="36"/>
      <c r="Z729" s="36">
        <v>0</v>
      </c>
      <c r="AA729" s="36">
        <v>0</v>
      </c>
      <c r="AB729" s="36"/>
      <c r="AC729" s="36" t="str">
        <f t="shared" si="0"/>
        <v>PC26</v>
      </c>
      <c r="AD729" s="36" t="str">
        <f>VLOOKUP(D729,Oficial!A:C,3,0)</f>
        <v>Bienestar</v>
      </c>
    </row>
    <row r="730" spans="1:30" x14ac:dyDescent="0.25">
      <c r="A730" s="36" t="s">
        <v>27</v>
      </c>
      <c r="B730" s="36" t="s">
        <v>568</v>
      </c>
      <c r="C730" s="36" t="s">
        <v>567</v>
      </c>
      <c r="D730" s="36" t="s">
        <v>568</v>
      </c>
      <c r="E730" s="36" t="s">
        <v>30</v>
      </c>
      <c r="F730" s="36" t="s">
        <v>569</v>
      </c>
      <c r="G730" s="37">
        <v>32</v>
      </c>
      <c r="H730" s="36" t="s">
        <v>570</v>
      </c>
      <c r="I730" s="36" t="s">
        <v>571</v>
      </c>
      <c r="J730" s="36">
        <v>8</v>
      </c>
      <c r="K730" s="36" t="s">
        <v>579</v>
      </c>
      <c r="L730" s="36">
        <v>4</v>
      </c>
      <c r="M730" s="36">
        <v>1</v>
      </c>
      <c r="N730" s="38">
        <v>25000000</v>
      </c>
      <c r="O730" s="38">
        <v>25000000</v>
      </c>
      <c r="P730" s="36">
        <v>1</v>
      </c>
      <c r="Q730" s="40">
        <v>46266</v>
      </c>
      <c r="R730" s="36" t="s">
        <v>573</v>
      </c>
      <c r="S730" s="36" t="s">
        <v>574</v>
      </c>
      <c r="T730" s="36" t="s">
        <v>575</v>
      </c>
      <c r="U730" s="36" t="s">
        <v>576</v>
      </c>
      <c r="V730" s="40">
        <v>46266</v>
      </c>
      <c r="W730" s="36"/>
      <c r="X730" s="36">
        <v>0</v>
      </c>
      <c r="Y730" s="36"/>
      <c r="Z730" s="36">
        <v>0</v>
      </c>
      <c r="AA730" s="36">
        <v>0</v>
      </c>
      <c r="AB730" s="36"/>
      <c r="AC730" s="36" t="str">
        <f t="shared" si="0"/>
        <v>PC26</v>
      </c>
      <c r="AD730" s="36" t="str">
        <f>VLOOKUP(D730,Oficial!A:C,3,0)</f>
        <v>Bienestar</v>
      </c>
    </row>
    <row r="731" spans="1:30" x14ac:dyDescent="0.25">
      <c r="A731" s="36" t="s">
        <v>27</v>
      </c>
      <c r="B731" s="36" t="s">
        <v>568</v>
      </c>
      <c r="C731" s="36" t="s">
        <v>567</v>
      </c>
      <c r="D731" s="36" t="s">
        <v>568</v>
      </c>
      <c r="E731" s="36" t="s">
        <v>30</v>
      </c>
      <c r="F731" s="36" t="s">
        <v>569</v>
      </c>
      <c r="G731" s="37">
        <v>32</v>
      </c>
      <c r="H731" s="36" t="s">
        <v>570</v>
      </c>
      <c r="I731" s="36" t="s">
        <v>571</v>
      </c>
      <c r="J731" s="36">
        <v>8</v>
      </c>
      <c r="K731" s="36" t="s">
        <v>580</v>
      </c>
      <c r="L731" s="36">
        <v>4</v>
      </c>
      <c r="M731" s="36">
        <v>1</v>
      </c>
      <c r="N731" s="38">
        <v>35000000</v>
      </c>
      <c r="O731" s="38">
        <v>35000000</v>
      </c>
      <c r="P731" s="36">
        <v>1</v>
      </c>
      <c r="Q731" s="40">
        <v>46296</v>
      </c>
      <c r="R731" s="36" t="s">
        <v>573</v>
      </c>
      <c r="S731" s="36" t="s">
        <v>574</v>
      </c>
      <c r="T731" s="36" t="s">
        <v>575</v>
      </c>
      <c r="U731" s="36" t="s">
        <v>576</v>
      </c>
      <c r="V731" s="40">
        <v>46296</v>
      </c>
      <c r="W731" s="36"/>
      <c r="X731" s="36">
        <v>0</v>
      </c>
      <c r="Y731" s="36"/>
      <c r="Z731" s="36">
        <v>0</v>
      </c>
      <c r="AA731" s="36">
        <v>0</v>
      </c>
      <c r="AB731" s="36"/>
      <c r="AC731" s="36" t="str">
        <f t="shared" si="0"/>
        <v>PC26</v>
      </c>
      <c r="AD731" s="36" t="str">
        <f>VLOOKUP(D731,Oficial!A:C,3,0)</f>
        <v>Bienestar</v>
      </c>
    </row>
    <row r="732" spans="1:30" x14ac:dyDescent="0.25">
      <c r="A732" s="36" t="s">
        <v>27</v>
      </c>
      <c r="B732" s="36" t="s">
        <v>568</v>
      </c>
      <c r="C732" s="36" t="s">
        <v>567</v>
      </c>
      <c r="D732" s="36" t="s">
        <v>568</v>
      </c>
      <c r="E732" s="36" t="s">
        <v>30</v>
      </c>
      <c r="F732" s="36" t="s">
        <v>569</v>
      </c>
      <c r="G732" s="37">
        <v>32</v>
      </c>
      <c r="H732" s="36" t="s">
        <v>570</v>
      </c>
      <c r="I732" s="36" t="s">
        <v>571</v>
      </c>
      <c r="J732" s="36">
        <v>8</v>
      </c>
      <c r="K732" s="36" t="s">
        <v>581</v>
      </c>
      <c r="L732" s="36">
        <v>4</v>
      </c>
      <c r="M732" s="36">
        <v>1</v>
      </c>
      <c r="N732" s="38">
        <v>15000000</v>
      </c>
      <c r="O732" s="38">
        <v>15000000</v>
      </c>
      <c r="P732" s="36">
        <v>1</v>
      </c>
      <c r="Q732" s="40">
        <v>46327</v>
      </c>
      <c r="R732" s="36" t="s">
        <v>573</v>
      </c>
      <c r="S732" s="36" t="s">
        <v>574</v>
      </c>
      <c r="T732" s="36" t="s">
        <v>575</v>
      </c>
      <c r="U732" s="36" t="s">
        <v>576</v>
      </c>
      <c r="V732" s="40">
        <v>46327</v>
      </c>
      <c r="W732" s="36"/>
      <c r="X732" s="36">
        <v>0</v>
      </c>
      <c r="Y732" s="36"/>
      <c r="Z732" s="36">
        <v>0</v>
      </c>
      <c r="AA732" s="36">
        <v>0</v>
      </c>
      <c r="AB732" s="36"/>
      <c r="AC732" s="36" t="str">
        <f t="shared" si="0"/>
        <v>PC26</v>
      </c>
      <c r="AD732" s="36" t="str">
        <f>VLOOKUP(D732,Oficial!A:C,3,0)</f>
        <v>Bienestar</v>
      </c>
    </row>
    <row r="733" spans="1:30" x14ac:dyDescent="0.25">
      <c r="A733" s="36" t="s">
        <v>27</v>
      </c>
      <c r="B733" s="36" t="s">
        <v>568</v>
      </c>
      <c r="C733" s="36" t="s">
        <v>567</v>
      </c>
      <c r="D733" s="36" t="s">
        <v>568</v>
      </c>
      <c r="E733" s="36" t="s">
        <v>30</v>
      </c>
      <c r="F733" s="36" t="s">
        <v>569</v>
      </c>
      <c r="G733" s="37">
        <v>32</v>
      </c>
      <c r="H733" s="36" t="s">
        <v>570</v>
      </c>
      <c r="I733" s="36" t="s">
        <v>571</v>
      </c>
      <c r="J733" s="36">
        <v>8</v>
      </c>
      <c r="K733" s="36" t="s">
        <v>582</v>
      </c>
      <c r="L733" s="36">
        <v>4</v>
      </c>
      <c r="M733" s="36">
        <v>1</v>
      </c>
      <c r="N733" s="38">
        <v>20000000</v>
      </c>
      <c r="O733" s="38">
        <v>20000000</v>
      </c>
      <c r="P733" s="36">
        <v>1</v>
      </c>
      <c r="Q733" s="40">
        <v>46357</v>
      </c>
      <c r="R733" s="36" t="s">
        <v>573</v>
      </c>
      <c r="S733" s="36" t="s">
        <v>574</v>
      </c>
      <c r="T733" s="36" t="s">
        <v>575</v>
      </c>
      <c r="U733" s="36" t="s">
        <v>576</v>
      </c>
      <c r="V733" s="40">
        <v>46327</v>
      </c>
      <c r="W733" s="36"/>
      <c r="X733" s="36">
        <v>0</v>
      </c>
      <c r="Y733" s="36"/>
      <c r="Z733" s="36">
        <v>0</v>
      </c>
      <c r="AA733" s="36">
        <v>0</v>
      </c>
      <c r="AB733" s="36"/>
      <c r="AC733" s="36" t="str">
        <f t="shared" si="0"/>
        <v>PC26</v>
      </c>
      <c r="AD733" s="36" t="str">
        <f>VLOOKUP(D733,Oficial!A:C,3,0)</f>
        <v>Bienestar</v>
      </c>
    </row>
    <row r="734" spans="1:30" x14ac:dyDescent="0.25">
      <c r="A734" s="36" t="s">
        <v>27</v>
      </c>
      <c r="B734" s="36" t="s">
        <v>568</v>
      </c>
      <c r="C734" s="36" t="s">
        <v>567</v>
      </c>
      <c r="D734" s="36" t="s">
        <v>568</v>
      </c>
      <c r="E734" s="36" t="s">
        <v>30</v>
      </c>
      <c r="F734" s="36" t="s">
        <v>569</v>
      </c>
      <c r="G734" s="37">
        <v>32</v>
      </c>
      <c r="H734" s="36" t="s">
        <v>570</v>
      </c>
      <c r="I734" s="36" t="s">
        <v>571</v>
      </c>
      <c r="J734" s="36">
        <v>8</v>
      </c>
      <c r="K734" s="36" t="s">
        <v>583</v>
      </c>
      <c r="L734" s="36">
        <v>4</v>
      </c>
      <c r="M734" s="36">
        <v>1</v>
      </c>
      <c r="N734" s="38">
        <v>18000000</v>
      </c>
      <c r="O734" s="38">
        <v>18000000</v>
      </c>
      <c r="P734" s="36">
        <v>1</v>
      </c>
      <c r="Q734" s="40">
        <v>46357</v>
      </c>
      <c r="R734" s="36" t="s">
        <v>573</v>
      </c>
      <c r="S734" s="36" t="s">
        <v>574</v>
      </c>
      <c r="T734" s="36" t="s">
        <v>575</v>
      </c>
      <c r="U734" s="36" t="s">
        <v>576</v>
      </c>
      <c r="V734" s="40">
        <v>46327</v>
      </c>
      <c r="W734" s="36"/>
      <c r="X734" s="36">
        <v>0</v>
      </c>
      <c r="Y734" s="36"/>
      <c r="Z734" s="36">
        <v>0</v>
      </c>
      <c r="AA734" s="36">
        <v>0</v>
      </c>
      <c r="AB734" s="36"/>
      <c r="AC734" s="36" t="str">
        <f t="shared" si="0"/>
        <v>PC26</v>
      </c>
      <c r="AD734" s="36" t="str">
        <f>VLOOKUP(D734,Oficial!A:C,3,0)</f>
        <v>Bienestar</v>
      </c>
    </row>
    <row r="735" spans="1:30" x14ac:dyDescent="0.25">
      <c r="A735" s="36" t="s">
        <v>27</v>
      </c>
      <c r="B735" s="36" t="s">
        <v>584</v>
      </c>
      <c r="C735" s="36" t="s">
        <v>374</v>
      </c>
      <c r="D735" s="36" t="s">
        <v>584</v>
      </c>
      <c r="E735" s="36" t="s">
        <v>30</v>
      </c>
      <c r="F735" s="36" t="s">
        <v>569</v>
      </c>
      <c r="G735" s="37" t="s">
        <v>585</v>
      </c>
      <c r="H735" s="36" t="s">
        <v>586</v>
      </c>
      <c r="I735" s="36" t="s">
        <v>587</v>
      </c>
      <c r="J735" s="36">
        <v>1</v>
      </c>
      <c r="K735" s="36" t="s">
        <v>588</v>
      </c>
      <c r="L735" s="36">
        <v>4</v>
      </c>
      <c r="M735" s="36">
        <v>200</v>
      </c>
      <c r="N735" s="38">
        <v>281600</v>
      </c>
      <c r="O735" s="38">
        <v>56320000</v>
      </c>
      <c r="P735" s="36">
        <v>10</v>
      </c>
      <c r="Q735" s="36" t="s">
        <v>589</v>
      </c>
      <c r="R735" s="36" t="s">
        <v>590</v>
      </c>
      <c r="S735" s="36" t="s">
        <v>591</v>
      </c>
      <c r="T735" s="36" t="s">
        <v>592</v>
      </c>
      <c r="U735" s="36" t="s">
        <v>593</v>
      </c>
      <c r="V735" s="40">
        <v>46054</v>
      </c>
      <c r="W735" s="36"/>
      <c r="X735" s="36">
        <v>0</v>
      </c>
      <c r="Y735" s="36"/>
      <c r="Z735" s="36">
        <v>0</v>
      </c>
      <c r="AA735" s="36">
        <v>0</v>
      </c>
      <c r="AB735" s="36"/>
      <c r="AC735" s="36" t="str">
        <f t="shared" si="0"/>
        <v>PC26</v>
      </c>
      <c r="AD735" s="36" t="str">
        <f>VLOOKUP(D735,Oficial!A:C,3,0)</f>
        <v>Administración de Fondos</v>
      </c>
    </row>
    <row r="736" spans="1:30" x14ac:dyDescent="0.25">
      <c r="A736" s="36" t="s">
        <v>27</v>
      </c>
      <c r="B736" s="36" t="s">
        <v>595</v>
      </c>
      <c r="C736" s="36" t="s">
        <v>594</v>
      </c>
      <c r="D736" s="36" t="s">
        <v>595</v>
      </c>
      <c r="E736" s="36" t="s">
        <v>45</v>
      </c>
      <c r="F736" s="36" t="s">
        <v>569</v>
      </c>
      <c r="G736" s="37" t="s">
        <v>596</v>
      </c>
      <c r="H736" s="36" t="s">
        <v>597</v>
      </c>
      <c r="I736" s="36" t="s">
        <v>598</v>
      </c>
      <c r="J736" s="36">
        <v>6</v>
      </c>
      <c r="K736" s="36" t="s">
        <v>599</v>
      </c>
      <c r="L736" s="36">
        <v>4</v>
      </c>
      <c r="M736" s="36">
        <v>1</v>
      </c>
      <c r="N736" s="38">
        <v>28000000</v>
      </c>
      <c r="O736" s="38">
        <v>28000000</v>
      </c>
      <c r="P736" s="36">
        <v>1</v>
      </c>
      <c r="Q736" s="40">
        <v>46143</v>
      </c>
      <c r="R736" s="36" t="s">
        <v>590</v>
      </c>
      <c r="S736" s="36" t="s">
        <v>591</v>
      </c>
      <c r="T736" s="36" t="s">
        <v>592</v>
      </c>
      <c r="U736" s="36" t="s">
        <v>593</v>
      </c>
      <c r="V736" s="40">
        <v>46143</v>
      </c>
      <c r="W736" s="36"/>
      <c r="X736" s="36">
        <v>0</v>
      </c>
      <c r="Y736" s="36"/>
      <c r="Z736" s="36">
        <v>0</v>
      </c>
      <c r="AA736" s="36">
        <v>0</v>
      </c>
      <c r="AB736" s="36"/>
      <c r="AC736" s="36" t="str">
        <f t="shared" si="0"/>
        <v>PC26</v>
      </c>
      <c r="AD736" s="36" t="str">
        <f>VLOOKUP(D736,Oficial!A:C,3,0)</f>
        <v>Compras Convenio GORE Region de Los Lagos</v>
      </c>
    </row>
    <row r="737" spans="1:30" x14ac:dyDescent="0.25">
      <c r="A737" s="36" t="s">
        <v>27</v>
      </c>
      <c r="B737" s="36" t="s">
        <v>595</v>
      </c>
      <c r="C737" s="36" t="s">
        <v>594</v>
      </c>
      <c r="D737" s="36" t="s">
        <v>595</v>
      </c>
      <c r="E737" s="36" t="s">
        <v>45</v>
      </c>
      <c r="F737" s="36" t="s">
        <v>569</v>
      </c>
      <c r="G737" s="37" t="s">
        <v>596</v>
      </c>
      <c r="H737" s="36" t="s">
        <v>597</v>
      </c>
      <c r="I737" s="36" t="s">
        <v>598</v>
      </c>
      <c r="J737" s="36">
        <v>6</v>
      </c>
      <c r="K737" s="36" t="s">
        <v>600</v>
      </c>
      <c r="L737" s="36">
        <v>4</v>
      </c>
      <c r="M737" s="36">
        <v>4</v>
      </c>
      <c r="N737" s="38">
        <v>24000000</v>
      </c>
      <c r="O737" s="38">
        <v>96000000</v>
      </c>
      <c r="P737" s="36">
        <v>1</v>
      </c>
      <c r="Q737" s="40">
        <v>46143</v>
      </c>
      <c r="R737" s="36" t="s">
        <v>590</v>
      </c>
      <c r="S737" s="36" t="s">
        <v>591</v>
      </c>
      <c r="T737" s="36" t="s">
        <v>592</v>
      </c>
      <c r="U737" s="36" t="s">
        <v>593</v>
      </c>
      <c r="V737" s="40">
        <v>46143</v>
      </c>
      <c r="W737" s="36"/>
      <c r="X737" s="36">
        <v>0</v>
      </c>
      <c r="Y737" s="36"/>
      <c r="Z737" s="36">
        <v>0</v>
      </c>
      <c r="AA737" s="36">
        <v>0</v>
      </c>
      <c r="AB737" s="36"/>
      <c r="AC737" s="36" t="str">
        <f t="shared" si="0"/>
        <v>PC26</v>
      </c>
      <c r="AD737" s="36" t="str">
        <f>VLOOKUP(D737,Oficial!A:C,3,0)</f>
        <v>Compras Convenio GORE Region de Los Lagos</v>
      </c>
    </row>
    <row r="738" spans="1:30" x14ac:dyDescent="0.25">
      <c r="A738" s="36" t="s">
        <v>27</v>
      </c>
      <c r="B738" s="36" t="s">
        <v>595</v>
      </c>
      <c r="C738" s="36" t="s">
        <v>594</v>
      </c>
      <c r="D738" s="36" t="s">
        <v>595</v>
      </c>
      <c r="E738" s="36" t="s">
        <v>45</v>
      </c>
      <c r="F738" s="36" t="s">
        <v>569</v>
      </c>
      <c r="G738" s="37" t="s">
        <v>596</v>
      </c>
      <c r="H738" s="36" t="s">
        <v>597</v>
      </c>
      <c r="I738" s="36" t="s">
        <v>598</v>
      </c>
      <c r="J738" s="36">
        <v>6</v>
      </c>
      <c r="K738" s="36" t="s">
        <v>601</v>
      </c>
      <c r="L738" s="36">
        <v>4</v>
      </c>
      <c r="M738" s="36">
        <v>7</v>
      </c>
      <c r="N738" s="38">
        <v>3445000</v>
      </c>
      <c r="O738" s="38">
        <v>24115000</v>
      </c>
      <c r="P738" s="36">
        <v>1</v>
      </c>
      <c r="Q738" s="40">
        <v>46082</v>
      </c>
      <c r="R738" s="36" t="s">
        <v>590</v>
      </c>
      <c r="S738" s="36" t="s">
        <v>591</v>
      </c>
      <c r="T738" s="36" t="s">
        <v>592</v>
      </c>
      <c r="U738" s="36" t="s">
        <v>593</v>
      </c>
      <c r="V738" s="40">
        <v>46082</v>
      </c>
      <c r="W738" s="36"/>
      <c r="X738" s="36">
        <v>0</v>
      </c>
      <c r="Y738" s="36"/>
      <c r="Z738" s="36">
        <v>0</v>
      </c>
      <c r="AA738" s="36">
        <v>0</v>
      </c>
      <c r="AB738" s="36"/>
      <c r="AC738" s="36" t="str">
        <f t="shared" si="0"/>
        <v>PC26</v>
      </c>
      <c r="AD738" s="36" t="str">
        <f>VLOOKUP(D738,Oficial!A:C,3,0)</f>
        <v>Compras Convenio GORE Region de Los Lagos</v>
      </c>
    </row>
    <row r="739" spans="1:30" x14ac:dyDescent="0.25">
      <c r="A739" s="36" t="s">
        <v>27</v>
      </c>
      <c r="B739" s="36" t="s">
        <v>595</v>
      </c>
      <c r="C739" s="36" t="s">
        <v>594</v>
      </c>
      <c r="D739" s="36" t="s">
        <v>595</v>
      </c>
      <c r="E739" s="36" t="s">
        <v>45</v>
      </c>
      <c r="F739" s="36" t="s">
        <v>569</v>
      </c>
      <c r="G739" s="37" t="s">
        <v>596</v>
      </c>
      <c r="H739" s="36" t="s">
        <v>597</v>
      </c>
      <c r="I739" s="36" t="s">
        <v>598</v>
      </c>
      <c r="J739" s="36">
        <v>6</v>
      </c>
      <c r="K739" s="36" t="s">
        <v>602</v>
      </c>
      <c r="L739" s="36">
        <v>4</v>
      </c>
      <c r="M739" s="36">
        <v>7</v>
      </c>
      <c r="N739" s="38">
        <v>500000</v>
      </c>
      <c r="O739" s="38">
        <v>3500000</v>
      </c>
      <c r="P739" s="36">
        <v>1</v>
      </c>
      <c r="Q739" s="40">
        <v>46266</v>
      </c>
      <c r="R739" s="36" t="s">
        <v>590</v>
      </c>
      <c r="S739" s="36" t="s">
        <v>591</v>
      </c>
      <c r="T739" s="36" t="s">
        <v>592</v>
      </c>
      <c r="U739" s="36" t="s">
        <v>593</v>
      </c>
      <c r="V739" s="40">
        <v>46266</v>
      </c>
      <c r="W739" s="36"/>
      <c r="X739" s="36">
        <v>0</v>
      </c>
      <c r="Y739" s="36"/>
      <c r="Z739" s="36">
        <v>0</v>
      </c>
      <c r="AA739" s="36">
        <v>0</v>
      </c>
      <c r="AB739" s="36"/>
      <c r="AC739" s="36" t="str">
        <f t="shared" si="0"/>
        <v>PC26</v>
      </c>
      <c r="AD739" s="36" t="str">
        <f>VLOOKUP(D739,Oficial!A:C,3,0)</f>
        <v>Compras Convenio GORE Region de Los Lagos</v>
      </c>
    </row>
    <row r="740" spans="1:30" x14ac:dyDescent="0.25">
      <c r="A740" s="36" t="s">
        <v>27</v>
      </c>
      <c r="B740" s="36" t="s">
        <v>595</v>
      </c>
      <c r="C740" s="36" t="s">
        <v>594</v>
      </c>
      <c r="D740" s="36" t="s">
        <v>595</v>
      </c>
      <c r="E740" s="36" t="s">
        <v>45</v>
      </c>
      <c r="F740" s="36" t="s">
        <v>569</v>
      </c>
      <c r="G740" s="37" t="s">
        <v>596</v>
      </c>
      <c r="H740" s="36" t="s">
        <v>597</v>
      </c>
      <c r="I740" s="36" t="s">
        <v>598</v>
      </c>
      <c r="J740" s="36">
        <v>6</v>
      </c>
      <c r="K740" s="36" t="s">
        <v>603</v>
      </c>
      <c r="L740" s="36">
        <v>4</v>
      </c>
      <c r="M740" s="36">
        <v>7</v>
      </c>
      <c r="N740" s="38">
        <v>714286</v>
      </c>
      <c r="O740" s="38">
        <v>5000002</v>
      </c>
      <c r="P740" s="36">
        <v>1</v>
      </c>
      <c r="Q740" s="40">
        <v>46143</v>
      </c>
      <c r="R740" s="36" t="s">
        <v>590</v>
      </c>
      <c r="S740" s="36" t="s">
        <v>591</v>
      </c>
      <c r="T740" s="36" t="s">
        <v>592</v>
      </c>
      <c r="U740" s="36" t="s">
        <v>593</v>
      </c>
      <c r="V740" s="40">
        <v>46143</v>
      </c>
      <c r="W740" s="36"/>
      <c r="X740" s="36">
        <v>0</v>
      </c>
      <c r="Y740" s="36"/>
      <c r="Z740" s="36">
        <v>0</v>
      </c>
      <c r="AA740" s="36">
        <v>0</v>
      </c>
      <c r="AB740" s="36"/>
      <c r="AC740" s="36" t="str">
        <f t="shared" si="0"/>
        <v>PC26</v>
      </c>
      <c r="AD740" s="36" t="str">
        <f>VLOOKUP(D740,Oficial!A:C,3,0)</f>
        <v>Compras Convenio GORE Region de Los Lagos</v>
      </c>
    </row>
    <row r="741" spans="1:30" x14ac:dyDescent="0.25">
      <c r="A741" s="36" t="s">
        <v>27</v>
      </c>
      <c r="B741" s="36" t="s">
        <v>595</v>
      </c>
      <c r="C741" s="36" t="s">
        <v>594</v>
      </c>
      <c r="D741" s="36" t="s">
        <v>595</v>
      </c>
      <c r="E741" s="36" t="s">
        <v>45</v>
      </c>
      <c r="F741" s="36" t="s">
        <v>569</v>
      </c>
      <c r="G741" s="37" t="s">
        <v>596</v>
      </c>
      <c r="H741" s="36" t="s">
        <v>597</v>
      </c>
      <c r="I741" s="36" t="s">
        <v>598</v>
      </c>
      <c r="J741" s="36">
        <v>6</v>
      </c>
      <c r="K741" s="36" t="s">
        <v>604</v>
      </c>
      <c r="L741" s="36">
        <v>4</v>
      </c>
      <c r="M741" s="36">
        <v>7</v>
      </c>
      <c r="N741" s="38">
        <v>17428572</v>
      </c>
      <c r="O741" s="38">
        <v>122000004</v>
      </c>
      <c r="P741" s="36">
        <v>1</v>
      </c>
      <c r="Q741" s="40">
        <v>46143</v>
      </c>
      <c r="R741" s="36" t="s">
        <v>590</v>
      </c>
      <c r="S741" s="36" t="s">
        <v>591</v>
      </c>
      <c r="T741" s="36" t="s">
        <v>592</v>
      </c>
      <c r="U741" s="36" t="s">
        <v>593</v>
      </c>
      <c r="V741" s="40">
        <v>46143</v>
      </c>
      <c r="W741" s="36"/>
      <c r="X741" s="36">
        <v>0</v>
      </c>
      <c r="Y741" s="36"/>
      <c r="Z741" s="36">
        <v>0</v>
      </c>
      <c r="AA741" s="36">
        <v>0</v>
      </c>
      <c r="AB741" s="36"/>
      <c r="AC741" s="36" t="str">
        <f t="shared" si="0"/>
        <v>PC26</v>
      </c>
      <c r="AD741" s="36" t="str">
        <f>VLOOKUP(D741,Oficial!A:C,3,0)</f>
        <v>Compras Convenio GORE Region de Los Lagos</v>
      </c>
    </row>
    <row r="742" spans="1:30" x14ac:dyDescent="0.25">
      <c r="A742" s="36" t="s">
        <v>27</v>
      </c>
      <c r="B742" s="36" t="s">
        <v>605</v>
      </c>
      <c r="C742" s="36" t="s">
        <v>374</v>
      </c>
      <c r="D742" s="36" t="s">
        <v>605</v>
      </c>
      <c r="E742" s="36" t="s">
        <v>30</v>
      </c>
      <c r="F742" s="36" t="s">
        <v>569</v>
      </c>
      <c r="G742" s="37" t="s">
        <v>606</v>
      </c>
      <c r="H742" s="36" t="s">
        <v>607</v>
      </c>
      <c r="I742" s="36" t="s">
        <v>608</v>
      </c>
      <c r="J742" s="36">
        <v>2</v>
      </c>
      <c r="K742" s="36" t="s">
        <v>288</v>
      </c>
      <c r="L742" s="36">
        <v>4</v>
      </c>
      <c r="M742" s="36">
        <v>1</v>
      </c>
      <c r="N742" s="38">
        <v>30000000</v>
      </c>
      <c r="O742" s="38">
        <v>30000000</v>
      </c>
      <c r="P742" s="36">
        <v>1</v>
      </c>
      <c r="Q742" s="40">
        <v>46113</v>
      </c>
      <c r="R742" s="36" t="s">
        <v>609</v>
      </c>
      <c r="S742" s="36" t="s">
        <v>610</v>
      </c>
      <c r="T742" s="36" t="s">
        <v>611</v>
      </c>
      <c r="U742" s="36" t="s">
        <v>612</v>
      </c>
      <c r="V742" s="40">
        <v>46113</v>
      </c>
      <c r="W742" s="36"/>
      <c r="X742" s="36">
        <v>0</v>
      </c>
      <c r="Y742" s="36"/>
      <c r="Z742" s="36">
        <v>0</v>
      </c>
      <c r="AA742" s="36">
        <v>0</v>
      </c>
      <c r="AB742" s="36"/>
      <c r="AC742" s="36" t="str">
        <f t="shared" si="0"/>
        <v>PC26</v>
      </c>
      <c r="AD742" s="36" t="str">
        <f>VLOOKUP(D742,Oficial!A:C,3,0)</f>
        <v>Administración de Fondos</v>
      </c>
    </row>
    <row r="743" spans="1:30" x14ac:dyDescent="0.25">
      <c r="A743" s="36" t="s">
        <v>27</v>
      </c>
      <c r="B743" s="36" t="s">
        <v>605</v>
      </c>
      <c r="C743" s="36" t="s">
        <v>374</v>
      </c>
      <c r="D743" s="36" t="s">
        <v>605</v>
      </c>
      <c r="E743" s="36" t="s">
        <v>30</v>
      </c>
      <c r="F743" s="36" t="s">
        <v>569</v>
      </c>
      <c r="G743" s="37" t="s">
        <v>606</v>
      </c>
      <c r="H743" s="36" t="s">
        <v>607</v>
      </c>
      <c r="I743" s="36" t="s">
        <v>608</v>
      </c>
      <c r="J743" s="36">
        <v>2</v>
      </c>
      <c r="K743" s="36" t="s">
        <v>613</v>
      </c>
      <c r="L743" s="36">
        <v>4</v>
      </c>
      <c r="M743" s="36">
        <v>1</v>
      </c>
      <c r="N743" s="38">
        <v>30000000</v>
      </c>
      <c r="O743" s="38">
        <v>30000000</v>
      </c>
      <c r="P743" s="36">
        <v>1</v>
      </c>
      <c r="Q743" s="40">
        <v>46143</v>
      </c>
      <c r="R743" s="36" t="s">
        <v>609</v>
      </c>
      <c r="S743" s="36" t="s">
        <v>610</v>
      </c>
      <c r="T743" s="36" t="s">
        <v>611</v>
      </c>
      <c r="U743" s="36" t="s">
        <v>612</v>
      </c>
      <c r="V743" s="40">
        <v>46143</v>
      </c>
      <c r="W743" s="36"/>
      <c r="X743" s="36">
        <v>0</v>
      </c>
      <c r="Y743" s="36"/>
      <c r="Z743" s="36">
        <v>0</v>
      </c>
      <c r="AA743" s="36">
        <v>0</v>
      </c>
      <c r="AB743" s="36"/>
      <c r="AC743" s="36" t="str">
        <f t="shared" si="0"/>
        <v>PC26</v>
      </c>
      <c r="AD743" s="36" t="str">
        <f>VLOOKUP(D743,Oficial!A:C,3,0)</f>
        <v>Administración de Fondos</v>
      </c>
    </row>
    <row r="744" spans="1:30" x14ac:dyDescent="0.25">
      <c r="A744" s="36" t="s">
        <v>27</v>
      </c>
      <c r="B744" s="36" t="s">
        <v>614</v>
      </c>
      <c r="C744" s="36" t="s">
        <v>374</v>
      </c>
      <c r="D744" s="36" t="s">
        <v>614</v>
      </c>
      <c r="E744" s="36" t="s">
        <v>30</v>
      </c>
      <c r="F744" s="36" t="s">
        <v>569</v>
      </c>
      <c r="G744" s="37" t="s">
        <v>615</v>
      </c>
      <c r="H744" s="36" t="s">
        <v>616</v>
      </c>
      <c r="I744" s="36" t="s">
        <v>617</v>
      </c>
      <c r="J744" s="36">
        <v>1</v>
      </c>
      <c r="K744" s="36" t="s">
        <v>618</v>
      </c>
      <c r="L744" s="36">
        <v>4</v>
      </c>
      <c r="M744" s="36">
        <v>10</v>
      </c>
      <c r="N744" s="38">
        <v>41000</v>
      </c>
      <c r="O744" s="38">
        <v>410000</v>
      </c>
      <c r="P744" s="36">
        <v>1</v>
      </c>
      <c r="Q744" s="40">
        <v>46082</v>
      </c>
      <c r="R744" s="36" t="s">
        <v>590</v>
      </c>
      <c r="S744" s="36" t="s">
        <v>591</v>
      </c>
      <c r="T744" s="36" t="s">
        <v>592</v>
      </c>
      <c r="U744" s="36" t="s">
        <v>593</v>
      </c>
      <c r="V744" s="40">
        <v>46082</v>
      </c>
      <c r="W744" s="36"/>
      <c r="X744" s="36">
        <v>0</v>
      </c>
      <c r="Y744" s="36"/>
      <c r="Z744" s="36">
        <v>0</v>
      </c>
      <c r="AA744" s="36">
        <v>0</v>
      </c>
      <c r="AB744" s="36"/>
      <c r="AC744" s="36" t="str">
        <f t="shared" si="0"/>
        <v>PC26</v>
      </c>
      <c r="AD744" s="36" t="str">
        <f>VLOOKUP(D744,Oficial!A:C,3,0)</f>
        <v>Administración de Fondos</v>
      </c>
    </row>
    <row r="745" spans="1:30" x14ac:dyDescent="0.25">
      <c r="A745" s="36" t="s">
        <v>27</v>
      </c>
      <c r="B745" s="36" t="s">
        <v>619</v>
      </c>
      <c r="C745" s="36" t="s">
        <v>28</v>
      </c>
      <c r="D745" s="36" t="s">
        <v>619</v>
      </c>
      <c r="E745" s="36" t="s">
        <v>30</v>
      </c>
      <c r="F745" s="36" t="s">
        <v>569</v>
      </c>
      <c r="G745" s="37" t="s">
        <v>620</v>
      </c>
      <c r="H745" s="36" t="s">
        <v>621</v>
      </c>
      <c r="I745" s="36" t="s">
        <v>622</v>
      </c>
      <c r="J745" s="36">
        <v>1</v>
      </c>
      <c r="K745" s="36" t="s">
        <v>623</v>
      </c>
      <c r="L745" s="36">
        <v>4</v>
      </c>
      <c r="M745" s="36">
        <v>1</v>
      </c>
      <c r="N745" s="38">
        <v>1250000</v>
      </c>
      <c r="O745" s="38">
        <v>1250000</v>
      </c>
      <c r="P745" s="36">
        <v>1</v>
      </c>
      <c r="Q745" s="40">
        <v>46266</v>
      </c>
      <c r="R745" s="36" t="s">
        <v>624</v>
      </c>
      <c r="S745" s="36" t="s">
        <v>625</v>
      </c>
      <c r="T745" s="36" t="s">
        <v>626</v>
      </c>
      <c r="U745" s="36" t="s">
        <v>627</v>
      </c>
      <c r="V745" s="40">
        <v>46266</v>
      </c>
      <c r="W745" s="36"/>
      <c r="X745" s="36">
        <v>0</v>
      </c>
      <c r="Y745" s="36"/>
      <c r="Z745" s="36">
        <v>0</v>
      </c>
      <c r="AA745" s="36">
        <v>0</v>
      </c>
      <c r="AB745" s="36"/>
      <c r="AC745" s="36" t="str">
        <f t="shared" si="0"/>
        <v>PC26</v>
      </c>
      <c r="AD745" s="36" t="str">
        <f>VLOOKUP(D745,Oficial!A:C,3,0)</f>
        <v>Bienes y Servicios</v>
      </c>
    </row>
    <row r="746" spans="1:30" x14ac:dyDescent="0.25">
      <c r="A746" s="36" t="s">
        <v>27</v>
      </c>
      <c r="B746" s="36" t="s">
        <v>628</v>
      </c>
      <c r="C746" s="36" t="s">
        <v>28</v>
      </c>
      <c r="D746" s="36" t="s">
        <v>628</v>
      </c>
      <c r="E746" s="36" t="s">
        <v>30</v>
      </c>
      <c r="F746" s="36" t="s">
        <v>569</v>
      </c>
      <c r="G746" s="37" t="s">
        <v>483</v>
      </c>
      <c r="H746" s="36" t="s">
        <v>629</v>
      </c>
      <c r="I746" s="36" t="s">
        <v>630</v>
      </c>
      <c r="J746" s="36">
        <v>1</v>
      </c>
      <c r="K746" s="36" t="s">
        <v>631</v>
      </c>
      <c r="L746" s="36">
        <v>4</v>
      </c>
      <c r="M746" s="36">
        <v>15</v>
      </c>
      <c r="N746" s="38">
        <v>20000</v>
      </c>
      <c r="O746" s="38">
        <v>300000</v>
      </c>
      <c r="P746" s="36">
        <v>1</v>
      </c>
      <c r="Q746" s="40">
        <v>46174</v>
      </c>
      <c r="R746" s="36" t="s">
        <v>624</v>
      </c>
      <c r="S746" s="36" t="s">
        <v>625</v>
      </c>
      <c r="T746" s="36" t="s">
        <v>626</v>
      </c>
      <c r="U746" s="36" t="s">
        <v>627</v>
      </c>
      <c r="V746" s="40">
        <v>46174</v>
      </c>
      <c r="W746" s="36"/>
      <c r="X746" s="36">
        <v>0</v>
      </c>
      <c r="Y746" s="36"/>
      <c r="Z746" s="36">
        <v>0</v>
      </c>
      <c r="AA746" s="36">
        <v>0</v>
      </c>
      <c r="AB746" s="36"/>
      <c r="AC746" s="36" t="str">
        <f t="shared" si="0"/>
        <v>PC26</v>
      </c>
      <c r="AD746" s="36" t="str">
        <f>VLOOKUP(D746,Oficial!A:C,3,0)</f>
        <v>Bienes y Servicios</v>
      </c>
    </row>
    <row r="747" spans="1:30" x14ac:dyDescent="0.25">
      <c r="A747" s="36" t="s">
        <v>27</v>
      </c>
      <c r="B747" s="36" t="s">
        <v>632</v>
      </c>
      <c r="C747" s="36" t="s">
        <v>28</v>
      </c>
      <c r="D747" s="36" t="s">
        <v>632</v>
      </c>
      <c r="E747" s="36" t="s">
        <v>30</v>
      </c>
      <c r="F747" s="36" t="s">
        <v>569</v>
      </c>
      <c r="G747" s="37" t="s">
        <v>633</v>
      </c>
      <c r="H747" s="36" t="s">
        <v>634</v>
      </c>
      <c r="I747" s="36" t="s">
        <v>635</v>
      </c>
      <c r="J747" s="36">
        <v>1</v>
      </c>
      <c r="K747" s="36" t="s">
        <v>636</v>
      </c>
      <c r="L747" s="36">
        <v>4</v>
      </c>
      <c r="M747" s="36">
        <v>2</v>
      </c>
      <c r="N747" s="38">
        <v>660000</v>
      </c>
      <c r="O747" s="38">
        <v>1320000</v>
      </c>
      <c r="P747" s="36">
        <v>1</v>
      </c>
      <c r="Q747" s="40">
        <v>46204</v>
      </c>
      <c r="R747" s="36" t="s">
        <v>624</v>
      </c>
      <c r="S747" s="36" t="s">
        <v>625</v>
      </c>
      <c r="T747" s="36" t="s">
        <v>626</v>
      </c>
      <c r="U747" s="36" t="s">
        <v>627</v>
      </c>
      <c r="V747" s="40">
        <v>46204</v>
      </c>
      <c r="W747" s="36"/>
      <c r="X747" s="36">
        <v>0</v>
      </c>
      <c r="Y747" s="36"/>
      <c r="Z747" s="36">
        <v>0</v>
      </c>
      <c r="AA747" s="36">
        <v>0</v>
      </c>
      <c r="AB747" s="36"/>
      <c r="AC747" s="36" t="str">
        <f t="shared" si="0"/>
        <v>PC26</v>
      </c>
      <c r="AD747" s="36" t="str">
        <f>VLOOKUP(D747,Oficial!A:C,3,0)</f>
        <v>Bienes y Servicios</v>
      </c>
    </row>
    <row r="748" spans="1:30" x14ac:dyDescent="0.25">
      <c r="A748" s="36" t="s">
        <v>27</v>
      </c>
      <c r="B748" s="36" t="s">
        <v>637</v>
      </c>
      <c r="C748" s="36" t="s">
        <v>28</v>
      </c>
      <c r="D748" s="36" t="s">
        <v>637</v>
      </c>
      <c r="E748" s="36" t="s">
        <v>30</v>
      </c>
      <c r="F748" s="36" t="s">
        <v>569</v>
      </c>
      <c r="G748" s="37" t="s">
        <v>483</v>
      </c>
      <c r="H748" s="36" t="s">
        <v>638</v>
      </c>
      <c r="I748" s="36" t="s">
        <v>638</v>
      </c>
      <c r="J748" s="36">
        <v>1</v>
      </c>
      <c r="K748" s="36" t="s">
        <v>639</v>
      </c>
      <c r="L748" s="36">
        <v>4</v>
      </c>
      <c r="M748" s="36">
        <v>260</v>
      </c>
      <c r="N748" s="38">
        <v>7695</v>
      </c>
      <c r="O748" s="38">
        <v>2000700</v>
      </c>
      <c r="P748" s="36">
        <v>1</v>
      </c>
      <c r="Q748" s="40">
        <v>46082</v>
      </c>
      <c r="R748" s="36" t="s">
        <v>640</v>
      </c>
      <c r="S748" s="36" t="s">
        <v>641</v>
      </c>
      <c r="T748" s="36" t="s">
        <v>642</v>
      </c>
      <c r="U748" s="36" t="s">
        <v>643</v>
      </c>
      <c r="V748" s="40">
        <v>46082</v>
      </c>
      <c r="W748" s="36"/>
      <c r="X748" s="36">
        <v>0</v>
      </c>
      <c r="Y748" s="36"/>
      <c r="Z748" s="36">
        <v>0</v>
      </c>
      <c r="AA748" s="36">
        <v>0</v>
      </c>
      <c r="AB748" s="36"/>
      <c r="AC748" s="36" t="str">
        <f t="shared" si="0"/>
        <v>PC26</v>
      </c>
      <c r="AD748" s="36" t="str">
        <f>VLOOKUP(D748,Oficial!A:C,3,0)</f>
        <v>Bienes y Servicios</v>
      </c>
    </row>
    <row r="749" spans="1:30" x14ac:dyDescent="0.25">
      <c r="A749" s="36" t="s">
        <v>27</v>
      </c>
      <c r="B749" s="36" t="s">
        <v>644</v>
      </c>
      <c r="C749" s="36" t="s">
        <v>28</v>
      </c>
      <c r="D749" s="36" t="s">
        <v>644</v>
      </c>
      <c r="E749" s="36" t="s">
        <v>30</v>
      </c>
      <c r="F749" s="36" t="s">
        <v>569</v>
      </c>
      <c r="G749" s="37" t="s">
        <v>645</v>
      </c>
      <c r="H749" s="36" t="s">
        <v>646</v>
      </c>
      <c r="I749" s="36" t="s">
        <v>647</v>
      </c>
      <c r="J749" s="36">
        <v>1</v>
      </c>
      <c r="K749" s="36" t="s">
        <v>648</v>
      </c>
      <c r="L749" s="36">
        <v>4</v>
      </c>
      <c r="M749" s="36">
        <v>15</v>
      </c>
      <c r="N749" s="38">
        <v>100667</v>
      </c>
      <c r="O749" s="38">
        <v>1510005</v>
      </c>
      <c r="P749" s="36">
        <v>1</v>
      </c>
      <c r="Q749" s="40">
        <v>46082</v>
      </c>
      <c r="R749" s="36" t="s">
        <v>640</v>
      </c>
      <c r="S749" s="36" t="s">
        <v>641</v>
      </c>
      <c r="T749" s="36" t="s">
        <v>642</v>
      </c>
      <c r="U749" s="36" t="s">
        <v>643</v>
      </c>
      <c r="V749" s="40">
        <v>46082</v>
      </c>
      <c r="W749" s="36"/>
      <c r="X749" s="36">
        <v>0</v>
      </c>
      <c r="Y749" s="36"/>
      <c r="Z749" s="36">
        <v>0</v>
      </c>
      <c r="AA749" s="36">
        <v>0</v>
      </c>
      <c r="AB749" s="36"/>
      <c r="AC749" s="36" t="str">
        <f t="shared" si="0"/>
        <v>PC26</v>
      </c>
      <c r="AD749" s="36" t="str">
        <f>VLOOKUP(D749,Oficial!A:C,3,0)</f>
        <v>Bienes y Servicios</v>
      </c>
    </row>
    <row r="750" spans="1:30" x14ac:dyDescent="0.25">
      <c r="A750" s="36" t="s">
        <v>27</v>
      </c>
      <c r="B750" s="36" t="s">
        <v>649</v>
      </c>
      <c r="C750" s="36" t="s">
        <v>28</v>
      </c>
      <c r="D750" s="36" t="s">
        <v>649</v>
      </c>
      <c r="E750" s="36" t="s">
        <v>30</v>
      </c>
      <c r="F750" s="36" t="s">
        <v>569</v>
      </c>
      <c r="G750" s="37" t="s">
        <v>483</v>
      </c>
      <c r="H750" s="36" t="s">
        <v>650</v>
      </c>
      <c r="I750" s="36" t="s">
        <v>651</v>
      </c>
      <c r="J750" s="36">
        <v>2</v>
      </c>
      <c r="K750" s="36" t="s">
        <v>652</v>
      </c>
      <c r="L750" s="36">
        <v>4</v>
      </c>
      <c r="M750" s="36">
        <v>50</v>
      </c>
      <c r="N750" s="38">
        <v>450</v>
      </c>
      <c r="O750" s="38">
        <v>22500</v>
      </c>
      <c r="P750" s="36">
        <v>1</v>
      </c>
      <c r="Q750" s="40">
        <v>46082</v>
      </c>
      <c r="R750" s="36" t="s">
        <v>640</v>
      </c>
      <c r="S750" s="36" t="s">
        <v>641</v>
      </c>
      <c r="T750" s="36" t="s">
        <v>642</v>
      </c>
      <c r="U750" s="36" t="s">
        <v>643</v>
      </c>
      <c r="V750" s="40">
        <v>46082</v>
      </c>
      <c r="W750" s="36"/>
      <c r="X750" s="36">
        <v>0</v>
      </c>
      <c r="Y750" s="36"/>
      <c r="Z750" s="36">
        <v>0</v>
      </c>
      <c r="AA750" s="36">
        <v>0</v>
      </c>
      <c r="AB750" s="36"/>
      <c r="AC750" s="36" t="str">
        <f t="shared" si="0"/>
        <v>PC26</v>
      </c>
      <c r="AD750" s="36" t="str">
        <f>VLOOKUP(D750,Oficial!A:C,3,0)</f>
        <v>Bienes y Servicios</v>
      </c>
    </row>
    <row r="751" spans="1:30" x14ac:dyDescent="0.25">
      <c r="A751" s="36" t="s">
        <v>27</v>
      </c>
      <c r="B751" s="36" t="s">
        <v>649</v>
      </c>
      <c r="C751" s="36" t="s">
        <v>28</v>
      </c>
      <c r="D751" s="36" t="s">
        <v>649</v>
      </c>
      <c r="E751" s="36" t="s">
        <v>30</v>
      </c>
      <c r="F751" s="36" t="s">
        <v>569</v>
      </c>
      <c r="G751" s="37" t="s">
        <v>483</v>
      </c>
      <c r="H751" s="36" t="s">
        <v>650</v>
      </c>
      <c r="I751" s="36" t="s">
        <v>651</v>
      </c>
      <c r="J751" s="36">
        <v>2</v>
      </c>
      <c r="K751" s="36" t="s">
        <v>370</v>
      </c>
      <c r="L751" s="36">
        <v>4</v>
      </c>
      <c r="M751" s="36">
        <v>1</v>
      </c>
      <c r="N751" s="38">
        <v>850000</v>
      </c>
      <c r="O751" s="38">
        <v>850000</v>
      </c>
      <c r="P751" s="36">
        <v>1</v>
      </c>
      <c r="Q751" s="40">
        <v>46082</v>
      </c>
      <c r="R751" s="36" t="s">
        <v>640</v>
      </c>
      <c r="S751" s="36" t="s">
        <v>641</v>
      </c>
      <c r="T751" s="36" t="s">
        <v>642</v>
      </c>
      <c r="U751" s="36" t="s">
        <v>643</v>
      </c>
      <c r="V751" s="40">
        <v>46082</v>
      </c>
      <c r="W751" s="36"/>
      <c r="X751" s="36">
        <v>0</v>
      </c>
      <c r="Y751" s="36"/>
      <c r="Z751" s="36">
        <v>0</v>
      </c>
      <c r="AA751" s="36">
        <v>0</v>
      </c>
      <c r="AB751" s="36"/>
      <c r="AC751" s="36" t="str">
        <f t="shared" si="0"/>
        <v>PC26</v>
      </c>
      <c r="AD751" s="36" t="str">
        <f>VLOOKUP(D751,Oficial!A:C,3,0)</f>
        <v>Bienes y Servicios</v>
      </c>
    </row>
    <row r="752" spans="1:30" x14ac:dyDescent="0.25">
      <c r="A752" s="36" t="s">
        <v>27</v>
      </c>
      <c r="B752" s="36" t="s">
        <v>653</v>
      </c>
      <c r="C752" s="36" t="s">
        <v>28</v>
      </c>
      <c r="D752" s="36" t="s">
        <v>653</v>
      </c>
      <c r="E752" s="36" t="s">
        <v>30</v>
      </c>
      <c r="F752" s="36" t="s">
        <v>569</v>
      </c>
      <c r="G752" s="37" t="s">
        <v>654</v>
      </c>
      <c r="H752" s="36" t="s">
        <v>655</v>
      </c>
      <c r="I752" s="36" t="s">
        <v>656</v>
      </c>
      <c r="J752" s="36">
        <v>1</v>
      </c>
      <c r="K752" s="36" t="s">
        <v>370</v>
      </c>
      <c r="L752" s="36">
        <v>4</v>
      </c>
      <c r="M752" s="36">
        <v>120</v>
      </c>
      <c r="N752" s="38">
        <v>4500</v>
      </c>
      <c r="O752" s="38">
        <v>540000</v>
      </c>
      <c r="P752" s="36">
        <v>1</v>
      </c>
      <c r="Q752" s="40">
        <v>46327</v>
      </c>
      <c r="R752" s="36" t="s">
        <v>657</v>
      </c>
      <c r="S752" s="36" t="s">
        <v>658</v>
      </c>
      <c r="T752" s="36" t="s">
        <v>659</v>
      </c>
      <c r="U752" s="36" t="s">
        <v>660</v>
      </c>
      <c r="V752" s="40">
        <v>46327</v>
      </c>
      <c r="W752" s="36"/>
      <c r="X752" s="36">
        <v>0</v>
      </c>
      <c r="Y752" s="36"/>
      <c r="Z752" s="36">
        <v>0</v>
      </c>
      <c r="AA752" s="36">
        <v>0</v>
      </c>
      <c r="AB752" s="36"/>
      <c r="AC752" s="36" t="str">
        <f t="shared" si="0"/>
        <v>PC26</v>
      </c>
      <c r="AD752" s="36" t="str">
        <f>VLOOKUP(D752,Oficial!A:C,3,0)</f>
        <v>Bienes y Servicios</v>
      </c>
    </row>
    <row r="753" spans="1:30" x14ac:dyDescent="0.25">
      <c r="A753" s="36" t="s">
        <v>27</v>
      </c>
      <c r="B753" s="36" t="s">
        <v>661</v>
      </c>
      <c r="C753" s="36" t="s">
        <v>28</v>
      </c>
      <c r="D753" s="36" t="s">
        <v>661</v>
      </c>
      <c r="E753" s="36" t="s">
        <v>30</v>
      </c>
      <c r="F753" s="36" t="s">
        <v>569</v>
      </c>
      <c r="G753" s="37" t="s">
        <v>654</v>
      </c>
      <c r="H753" s="36" t="s">
        <v>662</v>
      </c>
      <c r="I753" s="36" t="s">
        <v>663</v>
      </c>
      <c r="J753" s="36">
        <v>6</v>
      </c>
      <c r="K753" s="36" t="s">
        <v>370</v>
      </c>
      <c r="L753" s="36">
        <v>4</v>
      </c>
      <c r="M753" s="36">
        <v>30</v>
      </c>
      <c r="N753" s="38">
        <v>4500</v>
      </c>
      <c r="O753" s="38">
        <v>135000</v>
      </c>
      <c r="P753" s="36">
        <v>1</v>
      </c>
      <c r="Q753" s="40">
        <v>46113</v>
      </c>
      <c r="R753" s="36" t="s">
        <v>657</v>
      </c>
      <c r="S753" s="36" t="s">
        <v>658</v>
      </c>
      <c r="T753" s="36" t="s">
        <v>659</v>
      </c>
      <c r="U753" s="36" t="s">
        <v>660</v>
      </c>
      <c r="V753" s="40">
        <v>46113</v>
      </c>
      <c r="W753" s="36"/>
      <c r="X753" s="36">
        <v>0</v>
      </c>
      <c r="Y753" s="36"/>
      <c r="Z753" s="36">
        <v>0</v>
      </c>
      <c r="AA753" s="36">
        <v>0</v>
      </c>
      <c r="AB753" s="36"/>
      <c r="AC753" s="36" t="str">
        <f t="shared" si="0"/>
        <v>PC26</v>
      </c>
      <c r="AD753" s="36" t="str">
        <f>VLOOKUP(D753,Oficial!A:C,3,0)</f>
        <v>Bienes y Servicios</v>
      </c>
    </row>
    <row r="754" spans="1:30" x14ac:dyDescent="0.25">
      <c r="A754" s="36" t="s">
        <v>27</v>
      </c>
      <c r="B754" s="36" t="s">
        <v>661</v>
      </c>
      <c r="C754" s="36" t="s">
        <v>28</v>
      </c>
      <c r="D754" s="36" t="s">
        <v>661</v>
      </c>
      <c r="E754" s="36" t="s">
        <v>30</v>
      </c>
      <c r="F754" s="36" t="s">
        <v>569</v>
      </c>
      <c r="G754" s="37" t="s">
        <v>654</v>
      </c>
      <c r="H754" s="36" t="s">
        <v>662</v>
      </c>
      <c r="I754" s="36" t="s">
        <v>663</v>
      </c>
      <c r="J754" s="36">
        <v>6</v>
      </c>
      <c r="K754" s="36" t="s">
        <v>370</v>
      </c>
      <c r="L754" s="36">
        <v>4</v>
      </c>
      <c r="M754" s="36">
        <v>90</v>
      </c>
      <c r="N754" s="38">
        <v>4500</v>
      </c>
      <c r="O754" s="38">
        <v>405000</v>
      </c>
      <c r="P754" s="36">
        <v>3</v>
      </c>
      <c r="Q754" s="36" t="s">
        <v>664</v>
      </c>
      <c r="R754" s="36" t="s">
        <v>657</v>
      </c>
      <c r="S754" s="36" t="s">
        <v>658</v>
      </c>
      <c r="T754" s="36" t="s">
        <v>659</v>
      </c>
      <c r="U754" s="36" t="s">
        <v>660</v>
      </c>
      <c r="V754" s="40">
        <v>46204</v>
      </c>
      <c r="W754" s="36"/>
      <c r="X754" s="36">
        <v>0</v>
      </c>
      <c r="Y754" s="36"/>
      <c r="Z754" s="36">
        <v>0</v>
      </c>
      <c r="AA754" s="36">
        <v>0</v>
      </c>
      <c r="AB754" s="36"/>
      <c r="AC754" s="36" t="str">
        <f t="shared" si="0"/>
        <v>PC26</v>
      </c>
      <c r="AD754" s="36" t="str">
        <f>VLOOKUP(D754,Oficial!A:C,3,0)</f>
        <v>Bienes y Servicios</v>
      </c>
    </row>
    <row r="755" spans="1:30" x14ac:dyDescent="0.25">
      <c r="A755" s="36" t="s">
        <v>27</v>
      </c>
      <c r="B755" s="36" t="s">
        <v>661</v>
      </c>
      <c r="C755" s="36" t="s">
        <v>28</v>
      </c>
      <c r="D755" s="36" t="s">
        <v>661</v>
      </c>
      <c r="E755" s="36" t="s">
        <v>30</v>
      </c>
      <c r="F755" s="36" t="s">
        <v>569</v>
      </c>
      <c r="G755" s="37" t="s">
        <v>654</v>
      </c>
      <c r="H755" s="36" t="s">
        <v>662</v>
      </c>
      <c r="I755" s="36" t="s">
        <v>663</v>
      </c>
      <c r="J755" s="36">
        <v>6</v>
      </c>
      <c r="K755" s="36" t="s">
        <v>359</v>
      </c>
      <c r="L755" s="36">
        <v>4</v>
      </c>
      <c r="M755" s="36">
        <v>30</v>
      </c>
      <c r="N755" s="38">
        <v>4500</v>
      </c>
      <c r="O755" s="38">
        <v>135000</v>
      </c>
      <c r="P755" s="36">
        <v>1</v>
      </c>
      <c r="Q755" s="40">
        <v>46113</v>
      </c>
      <c r="R755" s="36" t="s">
        <v>657</v>
      </c>
      <c r="S755" s="36" t="s">
        <v>658</v>
      </c>
      <c r="T755" s="36" t="s">
        <v>659</v>
      </c>
      <c r="U755" s="36" t="s">
        <v>660</v>
      </c>
      <c r="V755" s="40">
        <v>46113</v>
      </c>
      <c r="W755" s="36"/>
      <c r="X755" s="36">
        <v>0</v>
      </c>
      <c r="Y755" s="36"/>
      <c r="Z755" s="36">
        <v>0</v>
      </c>
      <c r="AA755" s="36">
        <v>0</v>
      </c>
      <c r="AB755" s="36"/>
      <c r="AC755" s="36" t="str">
        <f t="shared" si="0"/>
        <v>PC26</v>
      </c>
      <c r="AD755" s="36" t="str">
        <f>VLOOKUP(D755,Oficial!A:C,3,0)</f>
        <v>Bienes y Servicios</v>
      </c>
    </row>
    <row r="756" spans="1:30" x14ac:dyDescent="0.25">
      <c r="A756" s="36" t="s">
        <v>27</v>
      </c>
      <c r="B756" s="36" t="s">
        <v>661</v>
      </c>
      <c r="C756" s="36" t="s">
        <v>28</v>
      </c>
      <c r="D756" s="36" t="s">
        <v>661</v>
      </c>
      <c r="E756" s="36" t="s">
        <v>30</v>
      </c>
      <c r="F756" s="36" t="s">
        <v>569</v>
      </c>
      <c r="G756" s="37" t="s">
        <v>654</v>
      </c>
      <c r="H756" s="36" t="s">
        <v>662</v>
      </c>
      <c r="I756" s="36" t="s">
        <v>663</v>
      </c>
      <c r="J756" s="36">
        <v>6</v>
      </c>
      <c r="K756" s="36" t="s">
        <v>359</v>
      </c>
      <c r="L756" s="36">
        <v>4</v>
      </c>
      <c r="M756" s="36">
        <v>30</v>
      </c>
      <c r="N756" s="38">
        <v>4500</v>
      </c>
      <c r="O756" s="38">
        <v>135000</v>
      </c>
      <c r="P756" s="36">
        <v>1</v>
      </c>
      <c r="Q756" s="40">
        <v>46204</v>
      </c>
      <c r="R756" s="36" t="s">
        <v>657</v>
      </c>
      <c r="S756" s="36" t="s">
        <v>658</v>
      </c>
      <c r="T756" s="36" t="s">
        <v>659</v>
      </c>
      <c r="U756" s="36" t="s">
        <v>660</v>
      </c>
      <c r="V756" s="40">
        <v>46204</v>
      </c>
      <c r="W756" s="36"/>
      <c r="X756" s="36">
        <v>0</v>
      </c>
      <c r="Y756" s="36"/>
      <c r="Z756" s="36">
        <v>0</v>
      </c>
      <c r="AA756" s="36">
        <v>0</v>
      </c>
      <c r="AB756" s="36"/>
      <c r="AC756" s="36" t="str">
        <f t="shared" si="0"/>
        <v>PC26</v>
      </c>
      <c r="AD756" s="36" t="str">
        <f>VLOOKUP(D756,Oficial!A:C,3,0)</f>
        <v>Bienes y Servicios</v>
      </c>
    </row>
    <row r="757" spans="1:30" x14ac:dyDescent="0.25">
      <c r="A757" s="36" t="s">
        <v>27</v>
      </c>
      <c r="B757" s="36" t="s">
        <v>661</v>
      </c>
      <c r="C757" s="36" t="s">
        <v>28</v>
      </c>
      <c r="D757" s="36" t="s">
        <v>661</v>
      </c>
      <c r="E757" s="36" t="s">
        <v>30</v>
      </c>
      <c r="F757" s="36" t="s">
        <v>569</v>
      </c>
      <c r="G757" s="37" t="s">
        <v>654</v>
      </c>
      <c r="H757" s="36" t="s">
        <v>662</v>
      </c>
      <c r="I757" s="36" t="s">
        <v>663</v>
      </c>
      <c r="J757" s="36">
        <v>6</v>
      </c>
      <c r="K757" s="36" t="s">
        <v>359</v>
      </c>
      <c r="L757" s="36">
        <v>4</v>
      </c>
      <c r="M757" s="36">
        <v>30</v>
      </c>
      <c r="N757" s="38">
        <v>4500</v>
      </c>
      <c r="O757" s="38">
        <v>135000</v>
      </c>
      <c r="P757" s="36">
        <v>1</v>
      </c>
      <c r="Q757" s="40">
        <v>46266</v>
      </c>
      <c r="R757" s="36" t="s">
        <v>657</v>
      </c>
      <c r="S757" s="36" t="s">
        <v>658</v>
      </c>
      <c r="T757" s="36" t="s">
        <v>659</v>
      </c>
      <c r="U757" s="36" t="s">
        <v>660</v>
      </c>
      <c r="V757" s="40">
        <v>46266</v>
      </c>
      <c r="W757" s="36"/>
      <c r="X757" s="36">
        <v>0</v>
      </c>
      <c r="Y757" s="36"/>
      <c r="Z757" s="36">
        <v>0</v>
      </c>
      <c r="AA757" s="36">
        <v>0</v>
      </c>
      <c r="AB757" s="36"/>
      <c r="AC757" s="36" t="str">
        <f t="shared" si="0"/>
        <v>PC26</v>
      </c>
      <c r="AD757" s="36" t="str">
        <f>VLOOKUP(D757,Oficial!A:C,3,0)</f>
        <v>Bienes y Servicios</v>
      </c>
    </row>
    <row r="758" spans="1:30" x14ac:dyDescent="0.25">
      <c r="A758" s="36" t="s">
        <v>27</v>
      </c>
      <c r="B758" s="36" t="s">
        <v>661</v>
      </c>
      <c r="C758" s="36" t="s">
        <v>28</v>
      </c>
      <c r="D758" s="36" t="s">
        <v>661</v>
      </c>
      <c r="E758" s="36" t="s">
        <v>30</v>
      </c>
      <c r="F758" s="36" t="s">
        <v>569</v>
      </c>
      <c r="G758" s="37" t="s">
        <v>654</v>
      </c>
      <c r="H758" s="36" t="s">
        <v>662</v>
      </c>
      <c r="I758" s="36" t="s">
        <v>663</v>
      </c>
      <c r="J758" s="36">
        <v>6</v>
      </c>
      <c r="K758" s="36" t="s">
        <v>359</v>
      </c>
      <c r="L758" s="36">
        <v>4</v>
      </c>
      <c r="M758" s="36">
        <v>30</v>
      </c>
      <c r="N758" s="38">
        <v>4500</v>
      </c>
      <c r="O758" s="38">
        <v>135000</v>
      </c>
      <c r="P758" s="36">
        <v>1</v>
      </c>
      <c r="Q758" s="40">
        <v>46357</v>
      </c>
      <c r="R758" s="36" t="s">
        <v>657</v>
      </c>
      <c r="S758" s="36" t="s">
        <v>658</v>
      </c>
      <c r="T758" s="36" t="s">
        <v>659</v>
      </c>
      <c r="U758" s="36" t="s">
        <v>660</v>
      </c>
      <c r="V758" s="40">
        <v>46357</v>
      </c>
      <c r="W758" s="36"/>
      <c r="X758" s="36">
        <v>0</v>
      </c>
      <c r="Y758" s="36"/>
      <c r="Z758" s="36">
        <v>0</v>
      </c>
      <c r="AA758" s="36">
        <v>0</v>
      </c>
      <c r="AB758" s="36"/>
      <c r="AC758" s="36" t="str">
        <f t="shared" si="0"/>
        <v>PC26</v>
      </c>
      <c r="AD758" s="36" t="str">
        <f>VLOOKUP(D758,Oficial!A:C,3,0)</f>
        <v>Bienes y Servicios</v>
      </c>
    </row>
    <row r="759" spans="1:30" x14ac:dyDescent="0.25">
      <c r="A759" s="36" t="s">
        <v>27</v>
      </c>
      <c r="B759" s="36" t="s">
        <v>665</v>
      </c>
      <c r="C759" s="36" t="s">
        <v>28</v>
      </c>
      <c r="D759" s="36" t="s">
        <v>665</v>
      </c>
      <c r="E759" s="36" t="s">
        <v>30</v>
      </c>
      <c r="F759" s="36" t="s">
        <v>569</v>
      </c>
      <c r="G759" s="37" t="s">
        <v>666</v>
      </c>
      <c r="H759" s="36" t="s">
        <v>667</v>
      </c>
      <c r="I759" s="36" t="s">
        <v>668</v>
      </c>
      <c r="J759" s="36">
        <v>1</v>
      </c>
      <c r="K759" s="36" t="s">
        <v>669</v>
      </c>
      <c r="L759" s="36">
        <v>4</v>
      </c>
      <c r="M759" s="36">
        <v>6</v>
      </c>
      <c r="N759" s="38">
        <v>250000</v>
      </c>
      <c r="O759" s="38">
        <v>1500000</v>
      </c>
      <c r="P759" s="36">
        <v>1</v>
      </c>
      <c r="Q759" s="40">
        <v>46082</v>
      </c>
      <c r="R759" s="36" t="s">
        <v>657</v>
      </c>
      <c r="S759" s="36" t="s">
        <v>658</v>
      </c>
      <c r="T759" s="36" t="s">
        <v>659</v>
      </c>
      <c r="U759" s="36" t="s">
        <v>660</v>
      </c>
      <c r="V759" s="40">
        <v>46082</v>
      </c>
      <c r="W759" s="36"/>
      <c r="X759" s="36">
        <v>0</v>
      </c>
      <c r="Y759" s="36"/>
      <c r="Z759" s="36">
        <v>0</v>
      </c>
      <c r="AA759" s="36">
        <v>0</v>
      </c>
      <c r="AB759" s="36"/>
      <c r="AC759" s="36" t="str">
        <f t="shared" si="0"/>
        <v>PC26</v>
      </c>
      <c r="AD759" s="36" t="str">
        <f>VLOOKUP(D759,Oficial!A:C,3,0)</f>
        <v>Bienes y Servicios</v>
      </c>
    </row>
    <row r="760" spans="1:30" x14ac:dyDescent="0.25">
      <c r="A760" s="36" t="s">
        <v>27</v>
      </c>
      <c r="B760" s="36" t="s">
        <v>670</v>
      </c>
      <c r="C760" s="36" t="s">
        <v>28</v>
      </c>
      <c r="D760" s="36" t="s">
        <v>670</v>
      </c>
      <c r="E760" s="36" t="s">
        <v>30</v>
      </c>
      <c r="F760" s="36" t="s">
        <v>569</v>
      </c>
      <c r="G760" s="37" t="s">
        <v>483</v>
      </c>
      <c r="H760" s="36" t="s">
        <v>671</v>
      </c>
      <c r="I760" s="36" t="s">
        <v>672</v>
      </c>
      <c r="J760" s="36">
        <v>1</v>
      </c>
      <c r="K760" s="36" t="s">
        <v>673</v>
      </c>
      <c r="L760" s="36">
        <v>4</v>
      </c>
      <c r="M760" s="36">
        <v>10</v>
      </c>
      <c r="N760" s="38">
        <v>85000</v>
      </c>
      <c r="O760" s="38">
        <v>850000</v>
      </c>
      <c r="P760" s="36">
        <v>1</v>
      </c>
      <c r="Q760" s="40">
        <v>46023</v>
      </c>
      <c r="R760" s="36" t="s">
        <v>657</v>
      </c>
      <c r="S760" s="36" t="s">
        <v>658</v>
      </c>
      <c r="T760" s="36" t="s">
        <v>659</v>
      </c>
      <c r="U760" s="36" t="s">
        <v>660</v>
      </c>
      <c r="V760" s="40">
        <v>46023</v>
      </c>
      <c r="W760" s="36"/>
      <c r="X760" s="36">
        <v>0</v>
      </c>
      <c r="Y760" s="36"/>
      <c r="Z760" s="36">
        <v>0</v>
      </c>
      <c r="AA760" s="36">
        <v>0</v>
      </c>
      <c r="AB760" s="36"/>
      <c r="AC760" s="36" t="str">
        <f t="shared" si="0"/>
        <v>PC26</v>
      </c>
      <c r="AD760" s="36" t="str">
        <f>VLOOKUP(D760,Oficial!A:C,3,0)</f>
        <v>Bienes y Servicios</v>
      </c>
    </row>
    <row r="761" spans="1:30" x14ac:dyDescent="0.25">
      <c r="A761" s="36" t="s">
        <v>27</v>
      </c>
      <c r="B761" s="36" t="s">
        <v>674</v>
      </c>
      <c r="C761" s="36" t="s">
        <v>28</v>
      </c>
      <c r="D761" s="36" t="s">
        <v>674</v>
      </c>
      <c r="E761" s="36" t="s">
        <v>30</v>
      </c>
      <c r="F761" s="36" t="s">
        <v>569</v>
      </c>
      <c r="G761" s="37" t="s">
        <v>654</v>
      </c>
      <c r="H761" s="36" t="s">
        <v>675</v>
      </c>
      <c r="I761" s="36" t="s">
        <v>676</v>
      </c>
      <c r="J761" s="36">
        <v>2</v>
      </c>
      <c r="K761" s="36" t="s">
        <v>370</v>
      </c>
      <c r="L761" s="36">
        <v>4</v>
      </c>
      <c r="M761" s="36">
        <v>100</v>
      </c>
      <c r="N761" s="38">
        <v>4500</v>
      </c>
      <c r="O761" s="38">
        <v>450000</v>
      </c>
      <c r="P761" s="36">
        <v>1</v>
      </c>
      <c r="Q761" s="40">
        <v>46143</v>
      </c>
      <c r="R761" s="36" t="s">
        <v>657</v>
      </c>
      <c r="S761" s="36" t="s">
        <v>658</v>
      </c>
      <c r="T761" s="36" t="s">
        <v>659</v>
      </c>
      <c r="U761" s="36" t="s">
        <v>660</v>
      </c>
      <c r="V761" s="40">
        <v>46143</v>
      </c>
      <c r="W761" s="36"/>
      <c r="X761" s="36">
        <v>0</v>
      </c>
      <c r="Y761" s="36"/>
      <c r="Z761" s="36">
        <v>0</v>
      </c>
      <c r="AA761" s="36">
        <v>0</v>
      </c>
      <c r="AB761" s="36"/>
      <c r="AC761" s="36" t="str">
        <f t="shared" si="0"/>
        <v>PC26</v>
      </c>
      <c r="AD761" s="36" t="str">
        <f>VLOOKUP(D761,Oficial!A:C,3,0)</f>
        <v>Bienes y Servicios</v>
      </c>
    </row>
    <row r="762" spans="1:30" x14ac:dyDescent="0.25">
      <c r="A762" s="36" t="s">
        <v>27</v>
      </c>
      <c r="B762" s="36" t="s">
        <v>674</v>
      </c>
      <c r="C762" s="36" t="s">
        <v>28</v>
      </c>
      <c r="D762" s="36" t="s">
        <v>674</v>
      </c>
      <c r="E762" s="36" t="s">
        <v>30</v>
      </c>
      <c r="F762" s="36" t="s">
        <v>569</v>
      </c>
      <c r="G762" s="37" t="s">
        <v>654</v>
      </c>
      <c r="H762" s="36" t="s">
        <v>675</v>
      </c>
      <c r="I762" s="36" t="s">
        <v>676</v>
      </c>
      <c r="J762" s="36">
        <v>2</v>
      </c>
      <c r="K762" s="36" t="s">
        <v>370</v>
      </c>
      <c r="L762" s="36">
        <v>4</v>
      </c>
      <c r="M762" s="36">
        <v>100</v>
      </c>
      <c r="N762" s="38">
        <v>4500</v>
      </c>
      <c r="O762" s="38">
        <v>450000</v>
      </c>
      <c r="P762" s="36">
        <v>1</v>
      </c>
      <c r="Q762" s="40">
        <v>46143</v>
      </c>
      <c r="R762" s="36" t="s">
        <v>657</v>
      </c>
      <c r="S762" s="36" t="s">
        <v>658</v>
      </c>
      <c r="T762" s="36" t="s">
        <v>659</v>
      </c>
      <c r="U762" s="36" t="s">
        <v>660</v>
      </c>
      <c r="V762" s="40">
        <v>46327</v>
      </c>
      <c r="W762" s="36"/>
      <c r="X762" s="36">
        <v>0</v>
      </c>
      <c r="Y762" s="36"/>
      <c r="Z762" s="36">
        <v>0</v>
      </c>
      <c r="AA762" s="36">
        <v>0</v>
      </c>
      <c r="AB762" s="36"/>
      <c r="AC762" s="36" t="str">
        <f t="shared" si="0"/>
        <v>PC26</v>
      </c>
      <c r="AD762" s="36" t="str">
        <f>VLOOKUP(D762,Oficial!A:C,3,0)</f>
        <v>Bienes y Servicios</v>
      </c>
    </row>
    <row r="763" spans="1:30" x14ac:dyDescent="0.25">
      <c r="A763" s="36" t="s">
        <v>27</v>
      </c>
      <c r="B763" s="36" t="s">
        <v>677</v>
      </c>
      <c r="C763" s="36" t="s">
        <v>28</v>
      </c>
      <c r="D763" s="36" t="s">
        <v>677</v>
      </c>
      <c r="E763" s="36" t="s">
        <v>30</v>
      </c>
      <c r="F763" s="36" t="s">
        <v>569</v>
      </c>
      <c r="G763" s="37" t="s">
        <v>654</v>
      </c>
      <c r="H763" s="36" t="s">
        <v>678</v>
      </c>
      <c r="I763" s="36" t="s">
        <v>679</v>
      </c>
      <c r="J763" s="36">
        <v>1</v>
      </c>
      <c r="K763" s="36" t="s">
        <v>370</v>
      </c>
      <c r="L763" s="36">
        <v>4</v>
      </c>
      <c r="M763" s="36">
        <v>140</v>
      </c>
      <c r="N763" s="38">
        <v>4500</v>
      </c>
      <c r="O763" s="38">
        <v>630000</v>
      </c>
      <c r="P763" s="36">
        <v>1</v>
      </c>
      <c r="Q763" s="40">
        <v>46174</v>
      </c>
      <c r="R763" s="36" t="s">
        <v>657</v>
      </c>
      <c r="S763" s="36" t="s">
        <v>658</v>
      </c>
      <c r="T763" s="36" t="s">
        <v>659</v>
      </c>
      <c r="U763" s="36" t="s">
        <v>660</v>
      </c>
      <c r="V763" s="40">
        <v>46174</v>
      </c>
      <c r="W763" s="36"/>
      <c r="X763" s="36">
        <v>0</v>
      </c>
      <c r="Y763" s="36"/>
      <c r="Z763" s="36">
        <v>0</v>
      </c>
      <c r="AA763" s="36">
        <v>0</v>
      </c>
      <c r="AB763" s="36"/>
      <c r="AC763" s="36" t="str">
        <f t="shared" si="0"/>
        <v>PC26</v>
      </c>
      <c r="AD763" s="36" t="str">
        <f>VLOOKUP(D763,Oficial!A:C,3,0)</f>
        <v>Bienes y Servicios</v>
      </c>
    </row>
    <row r="764" spans="1:30" x14ac:dyDescent="0.25">
      <c r="A764" s="36" t="s">
        <v>27</v>
      </c>
      <c r="B764" s="36" t="s">
        <v>680</v>
      </c>
      <c r="C764" s="36" t="s">
        <v>28</v>
      </c>
      <c r="D764" s="36" t="s">
        <v>680</v>
      </c>
      <c r="E764" s="36" t="s">
        <v>30</v>
      </c>
      <c r="F764" s="36" t="s">
        <v>569</v>
      </c>
      <c r="G764" s="37" t="s">
        <v>654</v>
      </c>
      <c r="H764" s="36" t="s">
        <v>681</v>
      </c>
      <c r="I764" s="36" t="s">
        <v>682</v>
      </c>
      <c r="J764" s="36">
        <v>1</v>
      </c>
      <c r="K764" s="36" t="s">
        <v>370</v>
      </c>
      <c r="L764" s="36">
        <v>4</v>
      </c>
      <c r="M764" s="36">
        <v>30</v>
      </c>
      <c r="N764" s="38">
        <v>4500</v>
      </c>
      <c r="O764" s="38">
        <v>135000</v>
      </c>
      <c r="P764" s="36">
        <v>1</v>
      </c>
      <c r="Q764" s="40">
        <v>46235</v>
      </c>
      <c r="R764" s="36" t="s">
        <v>657</v>
      </c>
      <c r="S764" s="36" t="s">
        <v>658</v>
      </c>
      <c r="T764" s="36" t="s">
        <v>659</v>
      </c>
      <c r="U764" s="36" t="s">
        <v>660</v>
      </c>
      <c r="V764" s="40">
        <v>46235</v>
      </c>
      <c r="W764" s="36"/>
      <c r="X764" s="36">
        <v>0</v>
      </c>
      <c r="Y764" s="36"/>
      <c r="Z764" s="36">
        <v>0</v>
      </c>
      <c r="AA764" s="36">
        <v>0</v>
      </c>
      <c r="AB764" s="36"/>
      <c r="AC764" s="36" t="str">
        <f t="shared" si="0"/>
        <v>PC26</v>
      </c>
      <c r="AD764" s="36" t="str">
        <f>VLOOKUP(D764,Oficial!A:C,3,0)</f>
        <v>Bienes y Servicios</v>
      </c>
    </row>
    <row r="765" spans="1:30" x14ac:dyDescent="0.25">
      <c r="A765" s="36" t="s">
        <v>27</v>
      </c>
      <c r="B765" s="36" t="s">
        <v>683</v>
      </c>
      <c r="C765" s="36" t="s">
        <v>374</v>
      </c>
      <c r="D765" s="36" t="s">
        <v>683</v>
      </c>
      <c r="E765" s="36" t="s">
        <v>30</v>
      </c>
      <c r="F765" s="36" t="s">
        <v>569</v>
      </c>
      <c r="G765" s="37" t="s">
        <v>654</v>
      </c>
      <c r="H765" s="36" t="s">
        <v>684</v>
      </c>
      <c r="I765" s="36" t="s">
        <v>685</v>
      </c>
      <c r="J765" s="36">
        <v>1</v>
      </c>
      <c r="K765" s="36" t="s">
        <v>370</v>
      </c>
      <c r="L765" s="36">
        <v>4</v>
      </c>
      <c r="M765" s="36">
        <v>50</v>
      </c>
      <c r="N765" s="38">
        <v>4500</v>
      </c>
      <c r="O765" s="38">
        <v>225000</v>
      </c>
      <c r="P765" s="36">
        <v>1</v>
      </c>
      <c r="Q765" s="40">
        <v>46235</v>
      </c>
      <c r="R765" s="36" t="s">
        <v>657</v>
      </c>
      <c r="S765" s="36" t="s">
        <v>658</v>
      </c>
      <c r="T765" s="36" t="s">
        <v>659</v>
      </c>
      <c r="U765" s="36" t="s">
        <v>660</v>
      </c>
      <c r="V765" s="40">
        <v>46235</v>
      </c>
      <c r="W765" s="36"/>
      <c r="X765" s="36">
        <v>0</v>
      </c>
      <c r="Y765" s="36"/>
      <c r="Z765" s="36">
        <v>0</v>
      </c>
      <c r="AA765" s="36">
        <v>0</v>
      </c>
      <c r="AB765" s="36"/>
      <c r="AC765" s="36" t="str">
        <f t="shared" si="0"/>
        <v>PC26</v>
      </c>
      <c r="AD765" s="36" t="str">
        <f>VLOOKUP(D765,Oficial!A:C,3,0)</f>
        <v>Administración de Fondos</v>
      </c>
    </row>
    <row r="766" spans="1:30" x14ac:dyDescent="0.25">
      <c r="A766" s="36" t="s">
        <v>27</v>
      </c>
      <c r="B766" s="36" t="s">
        <v>686</v>
      </c>
      <c r="C766" s="36" t="s">
        <v>28</v>
      </c>
      <c r="D766" s="36" t="s">
        <v>686</v>
      </c>
      <c r="E766" s="36" t="s">
        <v>30</v>
      </c>
      <c r="F766" s="36" t="s">
        <v>569</v>
      </c>
      <c r="G766" s="37" t="s">
        <v>223</v>
      </c>
      <c r="H766" s="36" t="s">
        <v>687</v>
      </c>
      <c r="I766" s="36" t="s">
        <v>688</v>
      </c>
      <c r="J766" s="36">
        <v>3</v>
      </c>
      <c r="K766" s="36" t="s">
        <v>689</v>
      </c>
      <c r="L766" s="36">
        <v>4</v>
      </c>
      <c r="M766" s="36">
        <v>6</v>
      </c>
      <c r="N766" s="38">
        <v>12957500</v>
      </c>
      <c r="O766" s="38">
        <v>64787500</v>
      </c>
      <c r="P766" s="36">
        <v>12</v>
      </c>
      <c r="Q766" s="36" t="s">
        <v>690</v>
      </c>
      <c r="R766" s="36" t="s">
        <v>227</v>
      </c>
      <c r="S766" s="36" t="s">
        <v>691</v>
      </c>
      <c r="T766" s="36" t="s">
        <v>229</v>
      </c>
      <c r="U766" s="36" t="s">
        <v>230</v>
      </c>
      <c r="V766" s="40">
        <v>46082</v>
      </c>
      <c r="W766" s="36"/>
      <c r="X766" s="36">
        <v>0</v>
      </c>
      <c r="Y766" s="36"/>
      <c r="Z766" s="36">
        <v>0</v>
      </c>
      <c r="AA766" s="36">
        <v>0</v>
      </c>
      <c r="AB766" s="36"/>
      <c r="AC766" s="36" t="str">
        <f t="shared" si="0"/>
        <v>PC26</v>
      </c>
      <c r="AD766" s="36" t="str">
        <f>VLOOKUP(D766,Oficial!A:C,3,0)</f>
        <v>Bienes y Servicios</v>
      </c>
    </row>
    <row r="767" spans="1:30" x14ac:dyDescent="0.25">
      <c r="A767" s="36" t="s">
        <v>27</v>
      </c>
      <c r="B767" s="36" t="s">
        <v>686</v>
      </c>
      <c r="C767" s="36" t="s">
        <v>28</v>
      </c>
      <c r="D767" s="36" t="s">
        <v>686</v>
      </c>
      <c r="E767" s="36" t="s">
        <v>30</v>
      </c>
      <c r="F767" s="36" t="s">
        <v>569</v>
      </c>
      <c r="G767" s="37" t="s">
        <v>223</v>
      </c>
      <c r="H767" s="36" t="s">
        <v>687</v>
      </c>
      <c r="I767" s="36" t="s">
        <v>688</v>
      </c>
      <c r="J767" s="36">
        <v>3</v>
      </c>
      <c r="K767" s="36" t="s">
        <v>692</v>
      </c>
      <c r="L767" s="36">
        <v>4</v>
      </c>
      <c r="M767" s="36">
        <v>1</v>
      </c>
      <c r="N767" s="38">
        <v>19762925</v>
      </c>
      <c r="O767" s="38">
        <v>16469109</v>
      </c>
      <c r="P767" s="36">
        <v>12</v>
      </c>
      <c r="Q767" s="36" t="s">
        <v>690</v>
      </c>
      <c r="R767" s="36" t="s">
        <v>227</v>
      </c>
      <c r="S767" s="36" t="s">
        <v>691</v>
      </c>
      <c r="T767" s="36" t="s">
        <v>229</v>
      </c>
      <c r="U767" s="36" t="s">
        <v>230</v>
      </c>
      <c r="V767" s="40">
        <v>46082</v>
      </c>
      <c r="W767" s="36"/>
      <c r="X767" s="36">
        <v>0</v>
      </c>
      <c r="Y767" s="36"/>
      <c r="Z767" s="36">
        <v>0</v>
      </c>
      <c r="AA767" s="36">
        <v>0</v>
      </c>
      <c r="AB767" s="36"/>
      <c r="AC767" s="36" t="str">
        <f t="shared" si="0"/>
        <v>PC26</v>
      </c>
      <c r="AD767" s="36" t="str">
        <f>VLOOKUP(D767,Oficial!A:C,3,0)</f>
        <v>Bienes y Servicios</v>
      </c>
    </row>
    <row r="768" spans="1:30" x14ac:dyDescent="0.25">
      <c r="A768" s="36" t="s">
        <v>27</v>
      </c>
      <c r="B768" s="36" t="s">
        <v>686</v>
      </c>
      <c r="C768" s="36" t="s">
        <v>28</v>
      </c>
      <c r="D768" s="36" t="s">
        <v>686</v>
      </c>
      <c r="E768" s="36" t="s">
        <v>30</v>
      </c>
      <c r="F768" s="36" t="s">
        <v>569</v>
      </c>
      <c r="G768" s="37" t="s">
        <v>223</v>
      </c>
      <c r="H768" s="36" t="s">
        <v>687</v>
      </c>
      <c r="I768" s="36" t="s">
        <v>688</v>
      </c>
      <c r="J768" s="36">
        <v>3</v>
      </c>
      <c r="K768" s="36" t="s">
        <v>692</v>
      </c>
      <c r="L768" s="36">
        <v>4</v>
      </c>
      <c r="M768" s="36">
        <v>1</v>
      </c>
      <c r="N768" s="38">
        <v>23924290</v>
      </c>
      <c r="O768" s="38">
        <v>19936910</v>
      </c>
      <c r="P768" s="36">
        <v>12</v>
      </c>
      <c r="Q768" s="36" t="s">
        <v>690</v>
      </c>
      <c r="R768" s="36" t="s">
        <v>227</v>
      </c>
      <c r="S768" s="36" t="s">
        <v>691</v>
      </c>
      <c r="T768" s="36" t="s">
        <v>229</v>
      </c>
      <c r="U768" s="36" t="s">
        <v>230</v>
      </c>
      <c r="V768" s="40">
        <v>46082</v>
      </c>
      <c r="W768" s="36"/>
      <c r="X768" s="36">
        <v>0</v>
      </c>
      <c r="Y768" s="36"/>
      <c r="Z768" s="36">
        <v>0</v>
      </c>
      <c r="AA768" s="36">
        <v>0</v>
      </c>
      <c r="AB768" s="36"/>
      <c r="AC768" s="36" t="str">
        <f t="shared" si="0"/>
        <v>PC26</v>
      </c>
      <c r="AD768" s="36" t="str">
        <f>VLOOKUP(D768,Oficial!A:C,3,0)</f>
        <v>Bienes y Servicios</v>
      </c>
    </row>
    <row r="769" spans="1:30" x14ac:dyDescent="0.25">
      <c r="A769" s="36" t="s">
        <v>27</v>
      </c>
      <c r="B769" s="36" t="s">
        <v>693</v>
      </c>
      <c r="C769" s="36" t="s">
        <v>374</v>
      </c>
      <c r="D769" s="36" t="s">
        <v>693</v>
      </c>
      <c r="E769" s="36" t="s">
        <v>30</v>
      </c>
      <c r="F769" s="36" t="s">
        <v>569</v>
      </c>
      <c r="G769" s="37" t="s">
        <v>483</v>
      </c>
      <c r="H769" s="36" t="s">
        <v>694</v>
      </c>
      <c r="I769" s="36" t="s">
        <v>695</v>
      </c>
      <c r="J769" s="36">
        <v>1</v>
      </c>
      <c r="K769" s="36" t="s">
        <v>486</v>
      </c>
      <c r="L769" s="36">
        <v>4</v>
      </c>
      <c r="M769" s="36">
        <v>20</v>
      </c>
      <c r="N769" s="38">
        <v>13000</v>
      </c>
      <c r="O769" s="38">
        <v>260000</v>
      </c>
      <c r="P769" s="36">
        <v>1</v>
      </c>
      <c r="Q769" s="40">
        <v>46054</v>
      </c>
      <c r="R769" s="36" t="s">
        <v>657</v>
      </c>
      <c r="S769" s="36" t="s">
        <v>658</v>
      </c>
      <c r="T769" s="36" t="s">
        <v>659</v>
      </c>
      <c r="U769" s="36" t="s">
        <v>660</v>
      </c>
      <c r="V769" s="40">
        <v>46054</v>
      </c>
      <c r="W769" s="36"/>
      <c r="X769" s="36">
        <v>0</v>
      </c>
      <c r="Y769" s="36"/>
      <c r="Z769" s="36">
        <v>0</v>
      </c>
      <c r="AA769" s="36">
        <v>0</v>
      </c>
      <c r="AB769" s="36"/>
      <c r="AC769" s="36" t="str">
        <f t="shared" si="0"/>
        <v>PC26</v>
      </c>
      <c r="AD769" s="36" t="str">
        <f>VLOOKUP(D769,Oficial!A:C,3,0)</f>
        <v>Administración de Fondos</v>
      </c>
    </row>
    <row r="770" spans="1:30" x14ac:dyDescent="0.25">
      <c r="A770" s="36" t="s">
        <v>27</v>
      </c>
      <c r="B770" s="36" t="s">
        <v>696</v>
      </c>
      <c r="C770" s="36" t="s">
        <v>28</v>
      </c>
      <c r="D770" s="36" t="s">
        <v>696</v>
      </c>
      <c r="E770" s="36" t="s">
        <v>30</v>
      </c>
      <c r="F770" s="36" t="s">
        <v>569</v>
      </c>
      <c r="G770" s="37" t="s">
        <v>654</v>
      </c>
      <c r="H770" s="36" t="s">
        <v>697</v>
      </c>
      <c r="I770" s="36" t="s">
        <v>698</v>
      </c>
      <c r="J770" s="36">
        <v>1</v>
      </c>
      <c r="K770" s="36" t="s">
        <v>370</v>
      </c>
      <c r="L770" s="36">
        <v>4</v>
      </c>
      <c r="M770" s="36">
        <v>150</v>
      </c>
      <c r="N770" s="38">
        <v>4500</v>
      </c>
      <c r="O770" s="38">
        <v>675000</v>
      </c>
      <c r="P770" s="36">
        <v>1</v>
      </c>
      <c r="Q770" s="40">
        <v>46143</v>
      </c>
      <c r="R770" s="36" t="s">
        <v>657</v>
      </c>
      <c r="S770" s="36" t="s">
        <v>658</v>
      </c>
      <c r="T770" s="36" t="s">
        <v>659</v>
      </c>
      <c r="U770" s="36" t="s">
        <v>660</v>
      </c>
      <c r="V770" s="40">
        <v>46143</v>
      </c>
      <c r="W770" s="36"/>
      <c r="X770" s="36">
        <v>0</v>
      </c>
      <c r="Y770" s="36"/>
      <c r="Z770" s="36">
        <v>0</v>
      </c>
      <c r="AA770" s="36">
        <v>0</v>
      </c>
      <c r="AB770" s="36"/>
      <c r="AC770" s="36" t="str">
        <f t="shared" si="0"/>
        <v>PC26</v>
      </c>
      <c r="AD770" s="36" t="str">
        <f>VLOOKUP(D770,Oficial!A:C,3,0)</f>
        <v>Bienes y Servicios</v>
      </c>
    </row>
    <row r="771" spans="1:30" x14ac:dyDescent="0.25">
      <c r="A771" s="36" t="s">
        <v>27</v>
      </c>
      <c r="B771" s="36" t="s">
        <v>699</v>
      </c>
      <c r="C771" s="36" t="s">
        <v>374</v>
      </c>
      <c r="D771" s="36" t="s">
        <v>699</v>
      </c>
      <c r="E771" s="36" t="s">
        <v>30</v>
      </c>
      <c r="F771" s="36" t="s">
        <v>569</v>
      </c>
      <c r="G771" s="37" t="s">
        <v>654</v>
      </c>
      <c r="H771" s="36" t="s">
        <v>700</v>
      </c>
      <c r="I771" s="36" t="s">
        <v>701</v>
      </c>
      <c r="J771" s="36">
        <v>2</v>
      </c>
      <c r="K771" s="36" t="s">
        <v>370</v>
      </c>
      <c r="L771" s="36">
        <v>4</v>
      </c>
      <c r="M771" s="36">
        <v>100</v>
      </c>
      <c r="N771" s="38">
        <v>4500</v>
      </c>
      <c r="O771" s="38">
        <v>450000</v>
      </c>
      <c r="P771" s="36">
        <v>1</v>
      </c>
      <c r="Q771" s="40">
        <v>46174</v>
      </c>
      <c r="R771" s="36" t="s">
        <v>657</v>
      </c>
      <c r="S771" s="36" t="s">
        <v>658</v>
      </c>
      <c r="T771" s="36" t="s">
        <v>659</v>
      </c>
      <c r="U771" s="36" t="s">
        <v>660</v>
      </c>
      <c r="V771" s="40">
        <v>46174</v>
      </c>
      <c r="W771" s="36"/>
      <c r="X771" s="36">
        <v>0</v>
      </c>
      <c r="Y771" s="36"/>
      <c r="Z771" s="36">
        <v>0</v>
      </c>
      <c r="AA771" s="36">
        <v>0</v>
      </c>
      <c r="AB771" s="36"/>
      <c r="AC771" s="36" t="str">
        <f t="shared" si="0"/>
        <v>PC26</v>
      </c>
      <c r="AD771" s="36" t="str">
        <f>VLOOKUP(D771,Oficial!A:C,3,0)</f>
        <v>Administración de Fondos</v>
      </c>
    </row>
    <row r="772" spans="1:30" x14ac:dyDescent="0.25">
      <c r="A772" s="36" t="s">
        <v>27</v>
      </c>
      <c r="B772" s="36" t="s">
        <v>699</v>
      </c>
      <c r="C772" s="36" t="s">
        <v>374</v>
      </c>
      <c r="D772" s="36" t="s">
        <v>699</v>
      </c>
      <c r="E772" s="36" t="s">
        <v>30</v>
      </c>
      <c r="F772" s="36" t="s">
        <v>569</v>
      </c>
      <c r="G772" s="37" t="s">
        <v>654</v>
      </c>
      <c r="H772" s="36" t="s">
        <v>700</v>
      </c>
      <c r="I772" s="36" t="s">
        <v>701</v>
      </c>
      <c r="J772" s="36">
        <v>2</v>
      </c>
      <c r="K772" s="36" t="s">
        <v>370</v>
      </c>
      <c r="L772" s="36">
        <v>4</v>
      </c>
      <c r="M772" s="36">
        <v>100</v>
      </c>
      <c r="N772" s="38">
        <v>4500</v>
      </c>
      <c r="O772" s="38">
        <v>450000</v>
      </c>
      <c r="P772" s="36">
        <v>1</v>
      </c>
      <c r="Q772" s="40">
        <v>46357</v>
      </c>
      <c r="R772" s="36" t="s">
        <v>657</v>
      </c>
      <c r="S772" s="36" t="s">
        <v>658</v>
      </c>
      <c r="T772" s="36" t="s">
        <v>659</v>
      </c>
      <c r="U772" s="36" t="s">
        <v>660</v>
      </c>
      <c r="V772" s="40">
        <v>46357</v>
      </c>
      <c r="W772" s="36"/>
      <c r="X772" s="36">
        <v>0</v>
      </c>
      <c r="Y772" s="36"/>
      <c r="Z772" s="36">
        <v>0</v>
      </c>
      <c r="AA772" s="36">
        <v>0</v>
      </c>
      <c r="AB772" s="36"/>
      <c r="AC772" s="36" t="str">
        <f t="shared" si="0"/>
        <v>PC26</v>
      </c>
      <c r="AD772" s="36" t="str">
        <f>VLOOKUP(D772,Oficial!A:C,3,0)</f>
        <v>Administración de Fondos</v>
      </c>
    </row>
    <row r="773" spans="1:30" x14ac:dyDescent="0.25">
      <c r="A773" s="36" t="s">
        <v>27</v>
      </c>
      <c r="B773" s="36" t="s">
        <v>702</v>
      </c>
      <c r="C773" s="36" t="s">
        <v>374</v>
      </c>
      <c r="D773" s="36" t="s">
        <v>702</v>
      </c>
      <c r="E773" s="36" t="s">
        <v>30</v>
      </c>
      <c r="F773" s="36" t="s">
        <v>569</v>
      </c>
      <c r="G773" s="37" t="s">
        <v>654</v>
      </c>
      <c r="H773" s="36" t="s">
        <v>703</v>
      </c>
      <c r="I773" s="36" t="s">
        <v>704</v>
      </c>
      <c r="J773" s="36">
        <v>1</v>
      </c>
      <c r="K773" s="36" t="s">
        <v>705</v>
      </c>
      <c r="L773" s="36">
        <v>4</v>
      </c>
      <c r="M773" s="36">
        <v>100</v>
      </c>
      <c r="N773" s="38">
        <v>6250</v>
      </c>
      <c r="O773" s="38">
        <v>625000</v>
      </c>
      <c r="P773" s="36">
        <v>1</v>
      </c>
      <c r="Q773" s="40">
        <v>46266</v>
      </c>
      <c r="R773" s="36" t="s">
        <v>657</v>
      </c>
      <c r="S773" s="36" t="s">
        <v>658</v>
      </c>
      <c r="T773" s="36" t="s">
        <v>659</v>
      </c>
      <c r="U773" s="36" t="s">
        <v>660</v>
      </c>
      <c r="V773" s="40">
        <v>46266</v>
      </c>
      <c r="W773" s="36"/>
      <c r="X773" s="36">
        <v>0</v>
      </c>
      <c r="Y773" s="36"/>
      <c r="Z773" s="36">
        <v>0</v>
      </c>
      <c r="AA773" s="36">
        <v>0</v>
      </c>
      <c r="AB773" s="36"/>
      <c r="AC773" s="36" t="str">
        <f t="shared" si="0"/>
        <v>PC26</v>
      </c>
      <c r="AD773" s="36" t="str">
        <f>VLOOKUP(D773,Oficial!A:C,3,0)</f>
        <v>Administración de Fondos</v>
      </c>
    </row>
    <row r="774" spans="1:30" x14ac:dyDescent="0.25">
      <c r="A774" s="36" t="s">
        <v>27</v>
      </c>
      <c r="B774" s="36" t="s">
        <v>706</v>
      </c>
      <c r="C774" s="36" t="s">
        <v>28</v>
      </c>
      <c r="D774" s="36" t="s">
        <v>706</v>
      </c>
      <c r="E774" s="36" t="s">
        <v>30</v>
      </c>
      <c r="F774" s="36" t="s">
        <v>569</v>
      </c>
      <c r="G774" s="37" t="s">
        <v>483</v>
      </c>
      <c r="H774" s="36" t="s">
        <v>707</v>
      </c>
      <c r="I774" s="36" t="s">
        <v>708</v>
      </c>
      <c r="J774" s="36">
        <v>1</v>
      </c>
      <c r="K774" s="36" t="s">
        <v>486</v>
      </c>
      <c r="L774" s="36">
        <v>4</v>
      </c>
      <c r="M774" s="36">
        <v>100</v>
      </c>
      <c r="N774" s="38">
        <v>1900</v>
      </c>
      <c r="O774" s="38">
        <v>190000</v>
      </c>
      <c r="P774" s="36">
        <v>1</v>
      </c>
      <c r="Q774" s="40">
        <v>46082</v>
      </c>
      <c r="R774" s="36" t="s">
        <v>590</v>
      </c>
      <c r="S774" s="36" t="s">
        <v>591</v>
      </c>
      <c r="T774" s="36" t="s">
        <v>592</v>
      </c>
      <c r="U774" s="36" t="s">
        <v>593</v>
      </c>
      <c r="V774" s="40">
        <v>46082</v>
      </c>
      <c r="W774" s="36"/>
      <c r="X774" s="36">
        <v>0</v>
      </c>
      <c r="Y774" s="36"/>
      <c r="Z774" s="36">
        <v>0</v>
      </c>
      <c r="AA774" s="36">
        <v>0</v>
      </c>
      <c r="AB774" s="36"/>
      <c r="AC774" s="36" t="str">
        <f t="shared" si="0"/>
        <v>PC26</v>
      </c>
      <c r="AD774" s="36" t="str">
        <f>VLOOKUP(D774,Oficial!A:C,3,0)</f>
        <v>Bienes y Servicios</v>
      </c>
    </row>
    <row r="775" spans="1:30" x14ac:dyDescent="0.25">
      <c r="A775" s="36" t="s">
        <v>27</v>
      </c>
      <c r="B775" s="36" t="s">
        <v>709</v>
      </c>
      <c r="C775" s="36" t="s">
        <v>374</v>
      </c>
      <c r="D775" s="36" t="s">
        <v>709</v>
      </c>
      <c r="E775" s="36" t="s">
        <v>30</v>
      </c>
      <c r="F775" s="36" t="s">
        <v>569</v>
      </c>
      <c r="G775" s="37" t="s">
        <v>483</v>
      </c>
      <c r="H775" s="36" t="s">
        <v>710</v>
      </c>
      <c r="I775" s="36" t="s">
        <v>711</v>
      </c>
      <c r="J775" s="36">
        <v>1</v>
      </c>
      <c r="K775" s="36" t="s">
        <v>712</v>
      </c>
      <c r="L775" s="36">
        <v>4</v>
      </c>
      <c r="M775" s="36">
        <v>5</v>
      </c>
      <c r="N775" s="38">
        <v>30000</v>
      </c>
      <c r="O775" s="38">
        <v>150000</v>
      </c>
      <c r="P775" s="36">
        <v>1</v>
      </c>
      <c r="Q775" s="40">
        <v>46082</v>
      </c>
      <c r="R775" s="36" t="s">
        <v>590</v>
      </c>
      <c r="S775" s="36" t="s">
        <v>591</v>
      </c>
      <c r="T775" s="36" t="s">
        <v>592</v>
      </c>
      <c r="U775" s="36" t="s">
        <v>593</v>
      </c>
      <c r="V775" s="40">
        <v>46082</v>
      </c>
      <c r="W775" s="36"/>
      <c r="X775" s="36">
        <v>0</v>
      </c>
      <c r="Y775" s="36"/>
      <c r="Z775" s="36">
        <v>0</v>
      </c>
      <c r="AA775" s="36">
        <v>0</v>
      </c>
      <c r="AB775" s="36"/>
      <c r="AC775" s="36" t="str">
        <f t="shared" si="0"/>
        <v>PC26</v>
      </c>
      <c r="AD775" s="36" t="str">
        <f>VLOOKUP(D775,Oficial!A:C,3,0)</f>
        <v>Administración de Fondos</v>
      </c>
    </row>
    <row r="776" spans="1:30" x14ac:dyDescent="0.25">
      <c r="A776" s="36" t="s">
        <v>27</v>
      </c>
      <c r="B776" s="36" t="s">
        <v>713</v>
      </c>
      <c r="C776" s="36" t="s">
        <v>28</v>
      </c>
      <c r="D776" s="36" t="s">
        <v>713</v>
      </c>
      <c r="E776" s="36" t="s">
        <v>30</v>
      </c>
      <c r="F776" s="36" t="s">
        <v>569</v>
      </c>
      <c r="G776" s="37" t="s">
        <v>223</v>
      </c>
      <c r="H776" s="36" t="s">
        <v>714</v>
      </c>
      <c r="I776" s="36" t="s">
        <v>715</v>
      </c>
      <c r="J776" s="36">
        <v>1</v>
      </c>
      <c r="K776" s="36" t="s">
        <v>716</v>
      </c>
      <c r="L776" s="36">
        <v>4</v>
      </c>
      <c r="M776" s="36">
        <v>3</v>
      </c>
      <c r="N776" s="38">
        <v>39586574</v>
      </c>
      <c r="O776" s="38">
        <v>49483210</v>
      </c>
      <c r="P776" s="36">
        <v>24</v>
      </c>
      <c r="Q776" s="36" t="s">
        <v>717</v>
      </c>
      <c r="R776" s="36" t="s">
        <v>227</v>
      </c>
      <c r="S776" s="36" t="s">
        <v>691</v>
      </c>
      <c r="T776" s="36" t="s">
        <v>229</v>
      </c>
      <c r="U776" s="36" t="s">
        <v>230</v>
      </c>
      <c r="V776" s="40">
        <v>46082</v>
      </c>
      <c r="W776" s="36"/>
      <c r="X776" s="36">
        <v>0</v>
      </c>
      <c r="Y776" s="36"/>
      <c r="Z776" s="36">
        <v>0</v>
      </c>
      <c r="AA776" s="36">
        <v>0</v>
      </c>
      <c r="AB776" s="36"/>
      <c r="AC776" s="36" t="str">
        <f t="shared" si="0"/>
        <v>PC26</v>
      </c>
      <c r="AD776" s="36" t="str">
        <f>VLOOKUP(D776,Oficial!A:C,3,0)</f>
        <v>Bienes y Servicios</v>
      </c>
    </row>
    <row r="777" spans="1:30" x14ac:dyDescent="0.25">
      <c r="A777" s="36" t="s">
        <v>27</v>
      </c>
      <c r="B777" s="36" t="s">
        <v>718</v>
      </c>
      <c r="C777" s="36" t="s">
        <v>28</v>
      </c>
      <c r="D777" s="36" t="s">
        <v>718</v>
      </c>
      <c r="E777" s="36" t="s">
        <v>30</v>
      </c>
      <c r="F777" s="36" t="s">
        <v>569</v>
      </c>
      <c r="G777" s="37" t="s">
        <v>483</v>
      </c>
      <c r="H777" s="36" t="s">
        <v>719</v>
      </c>
      <c r="I777" s="36" t="s">
        <v>720</v>
      </c>
      <c r="J777" s="36">
        <v>1</v>
      </c>
      <c r="K777" s="36" t="s">
        <v>631</v>
      </c>
      <c r="L777" s="36">
        <v>4</v>
      </c>
      <c r="M777" s="36">
        <v>70</v>
      </c>
      <c r="N777" s="38">
        <v>6143</v>
      </c>
      <c r="O777" s="38">
        <v>430010</v>
      </c>
      <c r="P777" s="36">
        <v>1</v>
      </c>
      <c r="Q777" s="40">
        <v>46023</v>
      </c>
      <c r="R777" s="36" t="s">
        <v>657</v>
      </c>
      <c r="S777" s="36" t="s">
        <v>658</v>
      </c>
      <c r="T777" s="36" t="s">
        <v>659</v>
      </c>
      <c r="U777" s="36" t="s">
        <v>660</v>
      </c>
      <c r="V777" s="40">
        <v>46023</v>
      </c>
      <c r="W777" s="36"/>
      <c r="X777" s="36">
        <v>0</v>
      </c>
      <c r="Y777" s="36"/>
      <c r="Z777" s="36">
        <v>0</v>
      </c>
      <c r="AA777" s="36">
        <v>0</v>
      </c>
      <c r="AB777" s="36"/>
      <c r="AC777" s="36" t="str">
        <f t="shared" si="0"/>
        <v>PC26</v>
      </c>
      <c r="AD777" s="36" t="str">
        <f>VLOOKUP(D777,Oficial!A:C,3,0)</f>
        <v>Bienes y Servicios</v>
      </c>
    </row>
    <row r="778" spans="1:30" x14ac:dyDescent="0.25">
      <c r="A778" s="36" t="s">
        <v>27</v>
      </c>
      <c r="B778" s="36" t="s">
        <v>721</v>
      </c>
      <c r="C778" s="36" t="s">
        <v>28</v>
      </c>
      <c r="D778" s="36" t="s">
        <v>721</v>
      </c>
      <c r="E778" s="36" t="s">
        <v>30</v>
      </c>
      <c r="F778" s="36" t="s">
        <v>569</v>
      </c>
      <c r="G778" s="37" t="s">
        <v>223</v>
      </c>
      <c r="H778" s="36" t="s">
        <v>722</v>
      </c>
      <c r="I778" s="36" t="s">
        <v>723</v>
      </c>
      <c r="J778" s="36">
        <v>1</v>
      </c>
      <c r="K778" s="36" t="s">
        <v>716</v>
      </c>
      <c r="L778" s="36">
        <v>4</v>
      </c>
      <c r="M778" s="36">
        <v>10</v>
      </c>
      <c r="N778" s="38">
        <v>29722680</v>
      </c>
      <c r="O778" s="38">
        <v>247689000</v>
      </c>
      <c r="P778" s="36">
        <v>12</v>
      </c>
      <c r="Q778" s="36" t="s">
        <v>690</v>
      </c>
      <c r="R778" s="36" t="s">
        <v>227</v>
      </c>
      <c r="S778" s="36" t="s">
        <v>691</v>
      </c>
      <c r="T778" s="36" t="s">
        <v>229</v>
      </c>
      <c r="U778" s="36" t="s">
        <v>230</v>
      </c>
      <c r="V778" s="40">
        <v>46082</v>
      </c>
      <c r="W778" s="36"/>
      <c r="X778" s="36">
        <v>0</v>
      </c>
      <c r="Y778" s="36"/>
      <c r="Z778" s="36">
        <v>0</v>
      </c>
      <c r="AA778" s="36">
        <v>0</v>
      </c>
      <c r="AB778" s="36"/>
      <c r="AC778" s="36" t="str">
        <f t="shared" si="0"/>
        <v>PC26</v>
      </c>
      <c r="AD778" s="36" t="str">
        <f>VLOOKUP(D778,Oficial!A:C,3,0)</f>
        <v>Bienes y Servicios</v>
      </c>
    </row>
    <row r="779" spans="1:30" x14ac:dyDescent="0.25">
      <c r="A779" s="36" t="s">
        <v>27</v>
      </c>
      <c r="B779" s="36" t="s">
        <v>724</v>
      </c>
      <c r="C779" s="36" t="s">
        <v>28</v>
      </c>
      <c r="D779" s="36" t="s">
        <v>724</v>
      </c>
      <c r="E779" s="36" t="s">
        <v>30</v>
      </c>
      <c r="F779" s="36" t="s">
        <v>569</v>
      </c>
      <c r="G779" s="37" t="s">
        <v>725</v>
      </c>
      <c r="H779" s="36" t="s">
        <v>726</v>
      </c>
      <c r="I779" s="36" t="s">
        <v>727</v>
      </c>
      <c r="J779" s="36">
        <v>1</v>
      </c>
      <c r="K779" s="36" t="s">
        <v>728</v>
      </c>
      <c r="L779" s="36">
        <v>4</v>
      </c>
      <c r="M779" s="36">
        <v>338</v>
      </c>
      <c r="N779" s="38">
        <v>2929</v>
      </c>
      <c r="O779" s="38">
        <v>990002</v>
      </c>
      <c r="P779" s="36">
        <v>1</v>
      </c>
      <c r="Q779" s="40">
        <v>46082</v>
      </c>
      <c r="R779" s="36" t="s">
        <v>657</v>
      </c>
      <c r="S779" s="36" t="s">
        <v>658</v>
      </c>
      <c r="T779" s="36" t="s">
        <v>659</v>
      </c>
      <c r="U779" s="36" t="s">
        <v>660</v>
      </c>
      <c r="V779" s="40">
        <v>46082</v>
      </c>
      <c r="W779" s="36"/>
      <c r="X779" s="36">
        <v>0</v>
      </c>
      <c r="Y779" s="36"/>
      <c r="Z779" s="36">
        <v>0</v>
      </c>
      <c r="AA779" s="36">
        <v>0</v>
      </c>
      <c r="AB779" s="36"/>
      <c r="AC779" s="36" t="str">
        <f t="shared" si="0"/>
        <v>PC26</v>
      </c>
      <c r="AD779" s="36" t="str">
        <f>VLOOKUP(D779,Oficial!A:C,3,0)</f>
        <v>Bienes y Servicios</v>
      </c>
    </row>
    <row r="780" spans="1:30" x14ac:dyDescent="0.25">
      <c r="A780" s="36" t="s">
        <v>27</v>
      </c>
      <c r="B780" s="36" t="s">
        <v>729</v>
      </c>
      <c r="C780" s="36" t="s">
        <v>28</v>
      </c>
      <c r="D780" s="36" t="s">
        <v>729</v>
      </c>
      <c r="E780" s="36" t="s">
        <v>30</v>
      </c>
      <c r="F780" s="36" t="s">
        <v>569</v>
      </c>
      <c r="G780" s="37" t="s">
        <v>730</v>
      </c>
      <c r="H780" s="36" t="s">
        <v>731</v>
      </c>
      <c r="I780" s="36" t="s">
        <v>732</v>
      </c>
      <c r="J780" s="36">
        <v>1</v>
      </c>
      <c r="K780" s="36" t="s">
        <v>359</v>
      </c>
      <c r="L780" s="36">
        <v>4</v>
      </c>
      <c r="M780" s="36">
        <v>2107</v>
      </c>
      <c r="N780" s="38">
        <v>642</v>
      </c>
      <c r="O780" s="38">
        <v>1352694</v>
      </c>
      <c r="P780" s="36">
        <v>1</v>
      </c>
      <c r="Q780" s="40">
        <v>46082</v>
      </c>
      <c r="R780" s="36" t="s">
        <v>733</v>
      </c>
      <c r="S780" s="36" t="s">
        <v>734</v>
      </c>
      <c r="T780" s="36" t="s">
        <v>735</v>
      </c>
      <c r="U780" s="36" t="s">
        <v>736</v>
      </c>
      <c r="V780" s="40">
        <v>46082</v>
      </c>
      <c r="W780" s="36"/>
      <c r="X780" s="36">
        <v>0</v>
      </c>
      <c r="Y780" s="36"/>
      <c r="Z780" s="36">
        <v>0</v>
      </c>
      <c r="AA780" s="36">
        <v>0</v>
      </c>
      <c r="AB780" s="36"/>
      <c r="AC780" s="36" t="str">
        <f t="shared" si="0"/>
        <v>PC26</v>
      </c>
      <c r="AD780" s="36" t="str">
        <f>VLOOKUP(D780,Oficial!A:C,3,0)</f>
        <v>Bienes y Servicios</v>
      </c>
    </row>
    <row r="781" spans="1:30" x14ac:dyDescent="0.25">
      <c r="A781" s="36" t="s">
        <v>27</v>
      </c>
      <c r="B781" s="36" t="s">
        <v>737</v>
      </c>
      <c r="C781" s="36" t="s">
        <v>374</v>
      </c>
      <c r="D781" s="36" t="s">
        <v>737</v>
      </c>
      <c r="E781" s="36" t="s">
        <v>30</v>
      </c>
      <c r="F781" s="36" t="s">
        <v>569</v>
      </c>
      <c r="G781" s="37" t="s">
        <v>654</v>
      </c>
      <c r="H781" s="36" t="s">
        <v>738</v>
      </c>
      <c r="I781" s="36" t="s">
        <v>739</v>
      </c>
      <c r="J781" s="36">
        <v>2</v>
      </c>
      <c r="K781" s="36" t="s">
        <v>740</v>
      </c>
      <c r="L781" s="36">
        <v>4</v>
      </c>
      <c r="M781" s="36">
        <v>1200</v>
      </c>
      <c r="N781" s="38">
        <v>1894</v>
      </c>
      <c r="O781" s="38">
        <v>2272800</v>
      </c>
      <c r="P781" s="36">
        <v>1</v>
      </c>
      <c r="Q781" s="40">
        <v>46023</v>
      </c>
      <c r="R781" s="36" t="s">
        <v>657</v>
      </c>
      <c r="S781" s="36" t="s">
        <v>658</v>
      </c>
      <c r="T781" s="36" t="s">
        <v>659</v>
      </c>
      <c r="U781" s="36" t="s">
        <v>660</v>
      </c>
      <c r="V781" s="40">
        <v>46023</v>
      </c>
      <c r="W781" s="36"/>
      <c r="X781" s="36">
        <v>0</v>
      </c>
      <c r="Y781" s="36"/>
      <c r="Z781" s="36">
        <v>0</v>
      </c>
      <c r="AA781" s="36">
        <v>0</v>
      </c>
      <c r="AB781" s="36"/>
      <c r="AC781" s="36" t="str">
        <f t="shared" si="0"/>
        <v>PC26</v>
      </c>
      <c r="AD781" s="36" t="str">
        <f>VLOOKUP(D781,Oficial!A:C,3,0)</f>
        <v>Administración de Fondos</v>
      </c>
    </row>
    <row r="782" spans="1:30" x14ac:dyDescent="0.25">
      <c r="A782" s="36" t="s">
        <v>27</v>
      </c>
      <c r="B782" s="36" t="s">
        <v>737</v>
      </c>
      <c r="C782" s="36" t="s">
        <v>374</v>
      </c>
      <c r="D782" s="36" t="s">
        <v>737</v>
      </c>
      <c r="E782" s="36" t="s">
        <v>30</v>
      </c>
      <c r="F782" s="36" t="s">
        <v>569</v>
      </c>
      <c r="G782" s="37" t="s">
        <v>654</v>
      </c>
      <c r="H782" s="36" t="s">
        <v>738</v>
      </c>
      <c r="I782" s="36" t="s">
        <v>739</v>
      </c>
      <c r="J782" s="36">
        <v>2</v>
      </c>
      <c r="K782" s="36" t="s">
        <v>195</v>
      </c>
      <c r="L782" s="36">
        <v>4</v>
      </c>
      <c r="M782" s="36">
        <v>94</v>
      </c>
      <c r="N782" s="38">
        <v>5320</v>
      </c>
      <c r="O782" s="38">
        <v>500080</v>
      </c>
      <c r="P782" s="36">
        <v>1</v>
      </c>
      <c r="Q782" s="40">
        <v>46023</v>
      </c>
      <c r="R782" s="36" t="s">
        <v>657</v>
      </c>
      <c r="S782" s="36" t="s">
        <v>658</v>
      </c>
      <c r="T782" s="36" t="s">
        <v>659</v>
      </c>
      <c r="U782" s="36" t="s">
        <v>660</v>
      </c>
      <c r="V782" s="40">
        <v>46023</v>
      </c>
      <c r="W782" s="36"/>
      <c r="X782" s="36">
        <v>0</v>
      </c>
      <c r="Y782" s="36"/>
      <c r="Z782" s="36">
        <v>0</v>
      </c>
      <c r="AA782" s="36">
        <v>0</v>
      </c>
      <c r="AB782" s="36"/>
      <c r="AC782" s="36" t="str">
        <f t="shared" si="0"/>
        <v>PC26</v>
      </c>
      <c r="AD782" s="36" t="str">
        <f>VLOOKUP(D782,Oficial!A:C,3,0)</f>
        <v>Administración de Fondos</v>
      </c>
    </row>
    <row r="783" spans="1:30" x14ac:dyDescent="0.25">
      <c r="A783" s="36" t="s">
        <v>27</v>
      </c>
      <c r="B783" s="36" t="s">
        <v>741</v>
      </c>
      <c r="C783" s="36" t="s">
        <v>374</v>
      </c>
      <c r="D783" s="36" t="s">
        <v>741</v>
      </c>
      <c r="E783" s="36" t="s">
        <v>30</v>
      </c>
      <c r="F783" s="36" t="s">
        <v>569</v>
      </c>
      <c r="G783" s="37" t="s">
        <v>483</v>
      </c>
      <c r="H783" s="36" t="s">
        <v>742</v>
      </c>
      <c r="I783" s="36" t="s">
        <v>743</v>
      </c>
      <c r="J783" s="36">
        <v>1</v>
      </c>
      <c r="K783" s="36" t="s">
        <v>486</v>
      </c>
      <c r="L783" s="36">
        <v>4</v>
      </c>
      <c r="M783" s="36">
        <v>311</v>
      </c>
      <c r="N783" s="38">
        <v>4721</v>
      </c>
      <c r="O783" s="38">
        <v>1468231</v>
      </c>
      <c r="P783" s="36">
        <v>1</v>
      </c>
      <c r="Q783" s="40">
        <v>46082</v>
      </c>
      <c r="R783" s="36" t="s">
        <v>657</v>
      </c>
      <c r="S783" s="36" t="s">
        <v>658</v>
      </c>
      <c r="T783" s="36" t="s">
        <v>659</v>
      </c>
      <c r="U783" s="36" t="s">
        <v>660</v>
      </c>
      <c r="V783" s="40">
        <v>46082</v>
      </c>
      <c r="W783" s="36"/>
      <c r="X783" s="36">
        <v>0</v>
      </c>
      <c r="Y783" s="36"/>
      <c r="Z783" s="36">
        <v>0</v>
      </c>
      <c r="AA783" s="36">
        <v>0</v>
      </c>
      <c r="AB783" s="36"/>
      <c r="AC783" s="36" t="str">
        <f t="shared" si="0"/>
        <v>PC26</v>
      </c>
      <c r="AD783" s="36" t="str">
        <f>VLOOKUP(D783,Oficial!A:C,3,0)</f>
        <v>Administración de Fondos</v>
      </c>
    </row>
    <row r="784" spans="1:30" x14ac:dyDescent="0.25">
      <c r="A784" s="36" t="s">
        <v>27</v>
      </c>
      <c r="B784" s="36" t="s">
        <v>744</v>
      </c>
      <c r="C784" s="36" t="s">
        <v>28</v>
      </c>
      <c r="D784" s="36" t="s">
        <v>744</v>
      </c>
      <c r="E784" s="36" t="s">
        <v>30</v>
      </c>
      <c r="F784" s="36" t="s">
        <v>745</v>
      </c>
      <c r="G784" s="37" t="s">
        <v>645</v>
      </c>
      <c r="H784" s="36" t="s">
        <v>746</v>
      </c>
      <c r="I784" s="36" t="s">
        <v>747</v>
      </c>
      <c r="J784" s="36">
        <v>1</v>
      </c>
      <c r="K784" s="36" t="s">
        <v>748</v>
      </c>
      <c r="L784" s="36">
        <v>4</v>
      </c>
      <c r="M784" s="36">
        <v>20</v>
      </c>
      <c r="N784" s="38">
        <v>15000</v>
      </c>
      <c r="O784" s="38">
        <v>300000</v>
      </c>
      <c r="P784" s="36">
        <v>1</v>
      </c>
      <c r="Q784" s="40">
        <v>46023</v>
      </c>
      <c r="R784" s="36" t="s">
        <v>657</v>
      </c>
      <c r="S784" s="36" t="s">
        <v>658</v>
      </c>
      <c r="T784" s="36" t="s">
        <v>659</v>
      </c>
      <c r="U784" s="36" t="s">
        <v>660</v>
      </c>
      <c r="V784" s="40">
        <v>46023</v>
      </c>
      <c r="W784" s="36"/>
      <c r="X784" s="36">
        <v>0</v>
      </c>
      <c r="Y784" s="36"/>
      <c r="Z784" s="36">
        <v>0</v>
      </c>
      <c r="AA784" s="36">
        <v>0</v>
      </c>
      <c r="AB784" s="36"/>
      <c r="AC784" s="36" t="str">
        <f t="shared" si="0"/>
        <v>PC26</v>
      </c>
      <c r="AD784" s="36" t="str">
        <f>VLOOKUP(D784,Oficial!A:C,3,0)</f>
        <v>Bienes y Servicios</v>
      </c>
    </row>
    <row r="785" spans="1:30" x14ac:dyDescent="0.25">
      <c r="A785" s="36" t="s">
        <v>27</v>
      </c>
      <c r="B785" s="36" t="s">
        <v>749</v>
      </c>
      <c r="C785" s="36" t="s">
        <v>374</v>
      </c>
      <c r="D785" s="36" t="s">
        <v>749</v>
      </c>
      <c r="E785" s="36" t="s">
        <v>30</v>
      </c>
      <c r="F785" s="36" t="s">
        <v>745</v>
      </c>
      <c r="G785" s="37" t="s">
        <v>633</v>
      </c>
      <c r="H785" s="36" t="s">
        <v>750</v>
      </c>
      <c r="I785" s="36" t="s">
        <v>751</v>
      </c>
      <c r="J785" s="36">
        <v>1</v>
      </c>
      <c r="K785" s="36" t="s">
        <v>752</v>
      </c>
      <c r="L785" s="36">
        <v>4</v>
      </c>
      <c r="M785" s="36">
        <v>5</v>
      </c>
      <c r="N785" s="38">
        <v>70000</v>
      </c>
      <c r="O785" s="38">
        <v>350000</v>
      </c>
      <c r="P785" s="36">
        <v>1</v>
      </c>
      <c r="Q785" s="40">
        <v>46113</v>
      </c>
      <c r="R785" s="36" t="s">
        <v>657</v>
      </c>
      <c r="S785" s="36" t="s">
        <v>658</v>
      </c>
      <c r="T785" s="36" t="s">
        <v>659</v>
      </c>
      <c r="U785" s="36" t="s">
        <v>660</v>
      </c>
      <c r="V785" s="40">
        <v>46113</v>
      </c>
      <c r="W785" s="36"/>
      <c r="X785" s="36">
        <v>0</v>
      </c>
      <c r="Y785" s="36"/>
      <c r="Z785" s="36">
        <v>0</v>
      </c>
      <c r="AA785" s="36">
        <v>0</v>
      </c>
      <c r="AB785" s="36"/>
      <c r="AC785" s="36" t="str">
        <f t="shared" si="0"/>
        <v>PC26</v>
      </c>
      <c r="AD785" s="36" t="str">
        <f>VLOOKUP(D785,Oficial!A:C,3,0)</f>
        <v>Administración de Fondos</v>
      </c>
    </row>
    <row r="786" spans="1:30" x14ac:dyDescent="0.25">
      <c r="A786" s="36" t="s">
        <v>27</v>
      </c>
      <c r="B786" s="36" t="s">
        <v>753</v>
      </c>
      <c r="C786" s="36" t="s">
        <v>374</v>
      </c>
      <c r="D786" s="36" t="s">
        <v>753</v>
      </c>
      <c r="E786" s="36" t="s">
        <v>30</v>
      </c>
      <c r="F786" s="36" t="s">
        <v>569</v>
      </c>
      <c r="G786" s="37" t="s">
        <v>654</v>
      </c>
      <c r="H786" s="36" t="s">
        <v>754</v>
      </c>
      <c r="I786" s="36" t="s">
        <v>755</v>
      </c>
      <c r="J786" s="36">
        <v>1</v>
      </c>
      <c r="K786" s="36" t="s">
        <v>359</v>
      </c>
      <c r="L786" s="36">
        <v>4</v>
      </c>
      <c r="M786" s="36">
        <v>290</v>
      </c>
      <c r="N786" s="38">
        <v>4441</v>
      </c>
      <c r="O786" s="38">
        <v>1287890</v>
      </c>
      <c r="P786" s="36">
        <v>1</v>
      </c>
      <c r="Q786" s="40">
        <v>46082</v>
      </c>
      <c r="R786" s="36" t="s">
        <v>657</v>
      </c>
      <c r="S786" s="36" t="s">
        <v>658</v>
      </c>
      <c r="T786" s="36" t="s">
        <v>659</v>
      </c>
      <c r="U786" s="36" t="s">
        <v>660</v>
      </c>
      <c r="V786" s="40">
        <v>46082</v>
      </c>
      <c r="W786" s="36"/>
      <c r="X786" s="36">
        <v>0</v>
      </c>
      <c r="Y786" s="36"/>
      <c r="Z786" s="36">
        <v>0</v>
      </c>
      <c r="AA786" s="36">
        <v>0</v>
      </c>
      <c r="AB786" s="36"/>
      <c r="AC786" s="36" t="str">
        <f t="shared" si="0"/>
        <v>PC26</v>
      </c>
      <c r="AD786" s="36" t="str">
        <f>VLOOKUP(D786,Oficial!A:C,3,0)</f>
        <v>Administración de Fondos</v>
      </c>
    </row>
    <row r="787" spans="1:30" x14ac:dyDescent="0.25">
      <c r="A787" s="36" t="s">
        <v>27</v>
      </c>
      <c r="B787" s="36" t="s">
        <v>756</v>
      </c>
      <c r="C787" s="36" t="s">
        <v>28</v>
      </c>
      <c r="D787" s="36" t="s">
        <v>756</v>
      </c>
      <c r="E787" s="36" t="s">
        <v>30</v>
      </c>
      <c r="F787" s="36" t="s">
        <v>745</v>
      </c>
      <c r="G787" s="37" t="s">
        <v>757</v>
      </c>
      <c r="H787" s="36" t="s">
        <v>758</v>
      </c>
      <c r="I787" s="36" t="s">
        <v>759</v>
      </c>
      <c r="J787" s="36">
        <v>1</v>
      </c>
      <c r="K787" s="36" t="s">
        <v>760</v>
      </c>
      <c r="L787" s="36">
        <v>4</v>
      </c>
      <c r="M787" s="36">
        <v>100</v>
      </c>
      <c r="N787" s="38">
        <v>8000</v>
      </c>
      <c r="O787" s="38">
        <v>800000</v>
      </c>
      <c r="P787" s="36">
        <v>1</v>
      </c>
      <c r="Q787" s="40">
        <v>46296</v>
      </c>
      <c r="R787" s="36" t="s">
        <v>761</v>
      </c>
      <c r="S787" s="36" t="s">
        <v>762</v>
      </c>
      <c r="T787" s="36" t="s">
        <v>763</v>
      </c>
      <c r="U787" s="36" t="s">
        <v>764</v>
      </c>
      <c r="V787" s="40">
        <v>46296</v>
      </c>
      <c r="W787" s="36"/>
      <c r="X787" s="36">
        <v>0</v>
      </c>
      <c r="Y787" s="36"/>
      <c r="Z787" s="36">
        <v>0</v>
      </c>
      <c r="AA787" s="36">
        <v>0</v>
      </c>
      <c r="AB787" s="36"/>
      <c r="AC787" s="36" t="str">
        <f t="shared" si="0"/>
        <v>PC26</v>
      </c>
      <c r="AD787" s="36" t="str">
        <f>VLOOKUP(D787,Oficial!A:C,3,0)</f>
        <v>Bienes y Servicios</v>
      </c>
    </row>
    <row r="788" spans="1:30" x14ac:dyDescent="0.25">
      <c r="A788" s="36" t="s">
        <v>27</v>
      </c>
      <c r="B788" s="36" t="s">
        <v>765</v>
      </c>
      <c r="C788" s="36" t="s">
        <v>374</v>
      </c>
      <c r="D788" s="36" t="s">
        <v>765</v>
      </c>
      <c r="E788" s="36" t="s">
        <v>30</v>
      </c>
      <c r="F788" s="36" t="s">
        <v>569</v>
      </c>
      <c r="G788" s="37" t="s">
        <v>654</v>
      </c>
      <c r="H788" s="36" t="s">
        <v>766</v>
      </c>
      <c r="I788" s="36" t="s">
        <v>767</v>
      </c>
      <c r="J788" s="36">
        <v>4</v>
      </c>
      <c r="K788" s="36" t="s">
        <v>359</v>
      </c>
      <c r="L788" s="36">
        <v>4</v>
      </c>
      <c r="M788" s="36">
        <v>69</v>
      </c>
      <c r="N788" s="38">
        <v>2615</v>
      </c>
      <c r="O788" s="38">
        <v>180435</v>
      </c>
      <c r="P788" s="36">
        <v>1</v>
      </c>
      <c r="Q788" s="40">
        <v>46082</v>
      </c>
      <c r="R788" s="36" t="s">
        <v>768</v>
      </c>
      <c r="S788" s="36" t="s">
        <v>769</v>
      </c>
      <c r="T788" s="36" t="s">
        <v>770</v>
      </c>
      <c r="U788" s="36" t="s">
        <v>388</v>
      </c>
      <c r="V788" s="40">
        <v>46082</v>
      </c>
      <c r="W788" s="36"/>
      <c r="X788" s="36">
        <v>0</v>
      </c>
      <c r="Y788" s="36"/>
      <c r="Z788" s="36">
        <v>0</v>
      </c>
      <c r="AA788" s="36">
        <v>0</v>
      </c>
      <c r="AB788" s="36"/>
      <c r="AC788" s="36" t="str">
        <f t="shared" si="0"/>
        <v>PC26</v>
      </c>
      <c r="AD788" s="36" t="str">
        <f>VLOOKUP(D788,Oficial!A:C,3,0)</f>
        <v>Administración de Fondos</v>
      </c>
    </row>
    <row r="789" spans="1:30" x14ac:dyDescent="0.25">
      <c r="A789" s="36" t="s">
        <v>27</v>
      </c>
      <c r="B789" s="36" t="s">
        <v>765</v>
      </c>
      <c r="C789" s="36" t="s">
        <v>374</v>
      </c>
      <c r="D789" s="36" t="s">
        <v>765</v>
      </c>
      <c r="E789" s="36" t="s">
        <v>30</v>
      </c>
      <c r="F789" s="36" t="s">
        <v>569</v>
      </c>
      <c r="G789" s="37" t="s">
        <v>654</v>
      </c>
      <c r="H789" s="36" t="s">
        <v>766</v>
      </c>
      <c r="I789" s="36" t="s">
        <v>767</v>
      </c>
      <c r="J789" s="36">
        <v>4</v>
      </c>
      <c r="K789" s="36" t="s">
        <v>195</v>
      </c>
      <c r="L789" s="36">
        <v>4</v>
      </c>
      <c r="M789" s="36">
        <v>9</v>
      </c>
      <c r="N789" s="38">
        <v>2711</v>
      </c>
      <c r="O789" s="38">
        <v>24399</v>
      </c>
      <c r="P789" s="36">
        <v>1</v>
      </c>
      <c r="Q789" s="40">
        <v>46082</v>
      </c>
      <c r="R789" s="36" t="s">
        <v>768</v>
      </c>
      <c r="S789" s="36" t="s">
        <v>769</v>
      </c>
      <c r="T789" s="36" t="s">
        <v>770</v>
      </c>
      <c r="U789" s="36" t="s">
        <v>388</v>
      </c>
      <c r="V789" s="40">
        <v>46082</v>
      </c>
      <c r="W789" s="36"/>
      <c r="X789" s="36">
        <v>0</v>
      </c>
      <c r="Y789" s="36"/>
      <c r="Z789" s="36">
        <v>0</v>
      </c>
      <c r="AA789" s="36">
        <v>0</v>
      </c>
      <c r="AB789" s="36"/>
      <c r="AC789" s="36" t="str">
        <f t="shared" si="0"/>
        <v>PC26</v>
      </c>
      <c r="AD789" s="36" t="str">
        <f>VLOOKUP(D789,Oficial!A:C,3,0)</f>
        <v>Administración de Fondos</v>
      </c>
    </row>
    <row r="790" spans="1:30" x14ac:dyDescent="0.25">
      <c r="A790" s="36" t="s">
        <v>27</v>
      </c>
      <c r="B790" s="36" t="s">
        <v>765</v>
      </c>
      <c r="C790" s="36" t="s">
        <v>374</v>
      </c>
      <c r="D790" s="36" t="s">
        <v>765</v>
      </c>
      <c r="E790" s="36" t="s">
        <v>30</v>
      </c>
      <c r="F790" s="36" t="s">
        <v>569</v>
      </c>
      <c r="G790" s="37" t="s">
        <v>654</v>
      </c>
      <c r="H790" s="36" t="s">
        <v>766</v>
      </c>
      <c r="I790" s="36" t="s">
        <v>767</v>
      </c>
      <c r="J790" s="36">
        <v>4</v>
      </c>
      <c r="K790" s="36" t="s">
        <v>771</v>
      </c>
      <c r="L790" s="36">
        <v>4</v>
      </c>
      <c r="M790" s="36">
        <v>3</v>
      </c>
      <c r="N790" s="38">
        <v>9000</v>
      </c>
      <c r="O790" s="38">
        <v>27000</v>
      </c>
      <c r="P790" s="36">
        <v>1</v>
      </c>
      <c r="Q790" s="40">
        <v>46082</v>
      </c>
      <c r="R790" s="36" t="s">
        <v>768</v>
      </c>
      <c r="S790" s="36" t="s">
        <v>769</v>
      </c>
      <c r="T790" s="36" t="s">
        <v>770</v>
      </c>
      <c r="U790" s="36" t="s">
        <v>388</v>
      </c>
      <c r="V790" s="40">
        <v>46082</v>
      </c>
      <c r="W790" s="36"/>
      <c r="X790" s="36">
        <v>0</v>
      </c>
      <c r="Y790" s="36"/>
      <c r="Z790" s="36">
        <v>0</v>
      </c>
      <c r="AA790" s="36">
        <v>0</v>
      </c>
      <c r="AB790" s="36"/>
      <c r="AC790" s="36" t="str">
        <f t="shared" si="0"/>
        <v>PC26</v>
      </c>
      <c r="AD790" s="36" t="str">
        <f>VLOOKUP(D790,Oficial!A:C,3,0)</f>
        <v>Administración de Fondos</v>
      </c>
    </row>
    <row r="791" spans="1:30" x14ac:dyDescent="0.25">
      <c r="A791" s="36" t="s">
        <v>27</v>
      </c>
      <c r="B791" s="36" t="s">
        <v>765</v>
      </c>
      <c r="C791" s="36" t="s">
        <v>374</v>
      </c>
      <c r="D791" s="36" t="s">
        <v>765</v>
      </c>
      <c r="E791" s="36" t="s">
        <v>30</v>
      </c>
      <c r="F791" s="36" t="s">
        <v>569</v>
      </c>
      <c r="G791" s="37" t="s">
        <v>654</v>
      </c>
      <c r="H791" s="36" t="s">
        <v>766</v>
      </c>
      <c r="I791" s="36" t="s">
        <v>767</v>
      </c>
      <c r="J791" s="36">
        <v>4</v>
      </c>
      <c r="K791" s="36" t="s">
        <v>772</v>
      </c>
      <c r="L791" s="36">
        <v>4</v>
      </c>
      <c r="M791" s="36">
        <v>2</v>
      </c>
      <c r="N791" s="38">
        <v>26000</v>
      </c>
      <c r="O791" s="38">
        <v>52000</v>
      </c>
      <c r="P791" s="36">
        <v>1</v>
      </c>
      <c r="Q791" s="40">
        <v>46082</v>
      </c>
      <c r="R791" s="36" t="s">
        <v>768</v>
      </c>
      <c r="S791" s="36" t="s">
        <v>769</v>
      </c>
      <c r="T791" s="36" t="s">
        <v>770</v>
      </c>
      <c r="U791" s="36" t="s">
        <v>388</v>
      </c>
      <c r="V791" s="40">
        <v>46082</v>
      </c>
      <c r="W791" s="36"/>
      <c r="X791" s="36">
        <v>0</v>
      </c>
      <c r="Y791" s="36"/>
      <c r="Z791" s="36">
        <v>0</v>
      </c>
      <c r="AA791" s="36">
        <v>0</v>
      </c>
      <c r="AB791" s="36"/>
      <c r="AC791" s="36" t="str">
        <f t="shared" ref="AC791:AC854" si="1">RIGHT(D791,4)</f>
        <v>PC26</v>
      </c>
      <c r="AD791" s="36" t="str">
        <f>VLOOKUP(D791,Oficial!A:C,3,0)</f>
        <v>Administración de Fondos</v>
      </c>
    </row>
    <row r="792" spans="1:30" x14ac:dyDescent="0.25">
      <c r="A792" s="36" t="s">
        <v>27</v>
      </c>
      <c r="B792" s="36" t="s">
        <v>773</v>
      </c>
      <c r="C792" s="36" t="s">
        <v>28</v>
      </c>
      <c r="D792" s="36" t="s">
        <v>773</v>
      </c>
      <c r="E792" s="36" t="s">
        <v>30</v>
      </c>
      <c r="F792" s="36" t="s">
        <v>569</v>
      </c>
      <c r="G792" s="37" t="s">
        <v>615</v>
      </c>
      <c r="H792" s="36" t="s">
        <v>774</v>
      </c>
      <c r="I792" s="36" t="s">
        <v>775</v>
      </c>
      <c r="J792" s="36">
        <v>6</v>
      </c>
      <c r="K792" s="36" t="s">
        <v>776</v>
      </c>
      <c r="L792" s="36">
        <v>4</v>
      </c>
      <c r="M792" s="36">
        <v>18</v>
      </c>
      <c r="N792" s="38">
        <v>13334</v>
      </c>
      <c r="O792" s="38">
        <v>240012</v>
      </c>
      <c r="P792" s="36">
        <v>1</v>
      </c>
      <c r="Q792" s="40">
        <v>46054</v>
      </c>
      <c r="R792" s="36" t="s">
        <v>768</v>
      </c>
      <c r="S792" s="36" t="s">
        <v>769</v>
      </c>
      <c r="T792" s="36" t="s">
        <v>770</v>
      </c>
      <c r="U792" s="36" t="s">
        <v>388</v>
      </c>
      <c r="V792" s="40">
        <v>46054</v>
      </c>
      <c r="W792" s="36"/>
      <c r="X792" s="36">
        <v>0</v>
      </c>
      <c r="Y792" s="36"/>
      <c r="Z792" s="36">
        <v>0</v>
      </c>
      <c r="AA792" s="36">
        <v>0</v>
      </c>
      <c r="AB792" s="36"/>
      <c r="AC792" s="36" t="str">
        <f t="shared" si="1"/>
        <v>PC26</v>
      </c>
      <c r="AD792" s="36" t="str">
        <f>VLOOKUP(D792,Oficial!A:C,3,0)</f>
        <v>Bienes y Servicios</v>
      </c>
    </row>
    <row r="793" spans="1:30" x14ac:dyDescent="0.25">
      <c r="A793" s="36" t="s">
        <v>27</v>
      </c>
      <c r="B793" s="36" t="s">
        <v>773</v>
      </c>
      <c r="C793" s="36" t="s">
        <v>28</v>
      </c>
      <c r="D793" s="36" t="s">
        <v>773</v>
      </c>
      <c r="E793" s="36" t="s">
        <v>30</v>
      </c>
      <c r="F793" s="36" t="s">
        <v>569</v>
      </c>
      <c r="G793" s="37" t="s">
        <v>615</v>
      </c>
      <c r="H793" s="36" t="s">
        <v>774</v>
      </c>
      <c r="I793" s="36" t="s">
        <v>775</v>
      </c>
      <c r="J793" s="36">
        <v>6</v>
      </c>
      <c r="K793" s="36" t="s">
        <v>777</v>
      </c>
      <c r="L793" s="36">
        <v>4</v>
      </c>
      <c r="M793" s="36">
        <v>39</v>
      </c>
      <c r="N793" s="38">
        <v>17924</v>
      </c>
      <c r="O793" s="38">
        <v>699036</v>
      </c>
      <c r="P793" s="36">
        <v>1</v>
      </c>
      <c r="Q793" s="40">
        <v>46054</v>
      </c>
      <c r="R793" s="36" t="s">
        <v>768</v>
      </c>
      <c r="S793" s="36" t="s">
        <v>769</v>
      </c>
      <c r="T793" s="36" t="s">
        <v>770</v>
      </c>
      <c r="U793" s="36" t="s">
        <v>388</v>
      </c>
      <c r="V793" s="40">
        <v>46054</v>
      </c>
      <c r="W793" s="36"/>
      <c r="X793" s="36">
        <v>0</v>
      </c>
      <c r="Y793" s="36"/>
      <c r="Z793" s="36">
        <v>0</v>
      </c>
      <c r="AA793" s="36">
        <v>0</v>
      </c>
      <c r="AB793" s="36"/>
      <c r="AC793" s="36" t="str">
        <f t="shared" si="1"/>
        <v>PC26</v>
      </c>
      <c r="AD793" s="36" t="str">
        <f>VLOOKUP(D793,Oficial!A:C,3,0)</f>
        <v>Bienes y Servicios</v>
      </c>
    </row>
    <row r="794" spans="1:30" x14ac:dyDescent="0.25">
      <c r="A794" s="36" t="s">
        <v>27</v>
      </c>
      <c r="B794" s="36" t="s">
        <v>773</v>
      </c>
      <c r="C794" s="36" t="s">
        <v>28</v>
      </c>
      <c r="D794" s="36" t="s">
        <v>773</v>
      </c>
      <c r="E794" s="36" t="s">
        <v>30</v>
      </c>
      <c r="F794" s="36" t="s">
        <v>569</v>
      </c>
      <c r="G794" s="37" t="s">
        <v>615</v>
      </c>
      <c r="H794" s="36" t="s">
        <v>774</v>
      </c>
      <c r="I794" s="36" t="s">
        <v>775</v>
      </c>
      <c r="J794" s="36">
        <v>6</v>
      </c>
      <c r="K794" s="36" t="s">
        <v>778</v>
      </c>
      <c r="L794" s="36">
        <v>4</v>
      </c>
      <c r="M794" s="36">
        <v>2</v>
      </c>
      <c r="N794" s="38">
        <v>62000</v>
      </c>
      <c r="O794" s="38">
        <v>124000</v>
      </c>
      <c r="P794" s="36">
        <v>1</v>
      </c>
      <c r="Q794" s="40">
        <v>46054</v>
      </c>
      <c r="R794" s="36" t="s">
        <v>768</v>
      </c>
      <c r="S794" s="36" t="s">
        <v>769</v>
      </c>
      <c r="T794" s="36" t="s">
        <v>770</v>
      </c>
      <c r="U794" s="36" t="s">
        <v>388</v>
      </c>
      <c r="V794" s="40">
        <v>46054</v>
      </c>
      <c r="W794" s="36"/>
      <c r="X794" s="36">
        <v>0</v>
      </c>
      <c r="Y794" s="36"/>
      <c r="Z794" s="36">
        <v>0</v>
      </c>
      <c r="AA794" s="36">
        <v>0</v>
      </c>
      <c r="AB794" s="36"/>
      <c r="AC794" s="36" t="str">
        <f t="shared" si="1"/>
        <v>PC26</v>
      </c>
      <c r="AD794" s="36" t="str">
        <f>VLOOKUP(D794,Oficial!A:C,3,0)</f>
        <v>Bienes y Servicios</v>
      </c>
    </row>
    <row r="795" spans="1:30" x14ac:dyDescent="0.25">
      <c r="A795" s="36" t="s">
        <v>27</v>
      </c>
      <c r="B795" s="36" t="s">
        <v>773</v>
      </c>
      <c r="C795" s="36" t="s">
        <v>28</v>
      </c>
      <c r="D795" s="36" t="s">
        <v>773</v>
      </c>
      <c r="E795" s="36" t="s">
        <v>30</v>
      </c>
      <c r="F795" s="36" t="s">
        <v>569</v>
      </c>
      <c r="G795" s="37" t="s">
        <v>615</v>
      </c>
      <c r="H795" s="36" t="s">
        <v>774</v>
      </c>
      <c r="I795" s="36" t="s">
        <v>775</v>
      </c>
      <c r="J795" s="36">
        <v>6</v>
      </c>
      <c r="K795" s="36" t="s">
        <v>779</v>
      </c>
      <c r="L795" s="36">
        <v>4</v>
      </c>
      <c r="M795" s="36">
        <v>50</v>
      </c>
      <c r="N795" s="38">
        <v>1400</v>
      </c>
      <c r="O795" s="38">
        <v>70000</v>
      </c>
      <c r="P795" s="36">
        <v>1</v>
      </c>
      <c r="Q795" s="40">
        <v>46054</v>
      </c>
      <c r="R795" s="36" t="s">
        <v>768</v>
      </c>
      <c r="S795" s="36" t="s">
        <v>769</v>
      </c>
      <c r="T795" s="36" t="s">
        <v>770</v>
      </c>
      <c r="U795" s="36" t="s">
        <v>388</v>
      </c>
      <c r="V795" s="40">
        <v>46054</v>
      </c>
      <c r="W795" s="36"/>
      <c r="X795" s="36">
        <v>0</v>
      </c>
      <c r="Y795" s="36"/>
      <c r="Z795" s="36">
        <v>0</v>
      </c>
      <c r="AA795" s="36">
        <v>0</v>
      </c>
      <c r="AB795" s="36"/>
      <c r="AC795" s="36" t="str">
        <f t="shared" si="1"/>
        <v>PC26</v>
      </c>
      <c r="AD795" s="36" t="str">
        <f>VLOOKUP(D795,Oficial!A:C,3,0)</f>
        <v>Bienes y Servicios</v>
      </c>
    </row>
    <row r="796" spans="1:30" x14ac:dyDescent="0.25">
      <c r="A796" s="36" t="s">
        <v>27</v>
      </c>
      <c r="B796" s="36" t="s">
        <v>773</v>
      </c>
      <c r="C796" s="36" t="s">
        <v>28</v>
      </c>
      <c r="D796" s="36" t="s">
        <v>773</v>
      </c>
      <c r="E796" s="36" t="s">
        <v>30</v>
      </c>
      <c r="F796" s="36" t="s">
        <v>569</v>
      </c>
      <c r="G796" s="37" t="s">
        <v>615</v>
      </c>
      <c r="H796" s="36" t="s">
        <v>774</v>
      </c>
      <c r="I796" s="36" t="s">
        <v>775</v>
      </c>
      <c r="J796" s="36">
        <v>6</v>
      </c>
      <c r="K796" s="36" t="s">
        <v>780</v>
      </c>
      <c r="L796" s="36">
        <v>4</v>
      </c>
      <c r="M796" s="36">
        <v>1</v>
      </c>
      <c r="N796" s="38">
        <v>25000</v>
      </c>
      <c r="O796" s="38">
        <v>25000</v>
      </c>
      <c r="P796" s="36">
        <v>1</v>
      </c>
      <c r="Q796" s="40">
        <v>46054</v>
      </c>
      <c r="R796" s="36" t="s">
        <v>768</v>
      </c>
      <c r="S796" s="36" t="s">
        <v>769</v>
      </c>
      <c r="T796" s="36" t="s">
        <v>770</v>
      </c>
      <c r="U796" s="36" t="s">
        <v>388</v>
      </c>
      <c r="V796" s="40">
        <v>46054</v>
      </c>
      <c r="W796" s="36"/>
      <c r="X796" s="36">
        <v>0</v>
      </c>
      <c r="Y796" s="36"/>
      <c r="Z796" s="36">
        <v>0</v>
      </c>
      <c r="AA796" s="36">
        <v>0</v>
      </c>
      <c r="AB796" s="36"/>
      <c r="AC796" s="36" t="str">
        <f t="shared" si="1"/>
        <v>PC26</v>
      </c>
      <c r="AD796" s="36" t="str">
        <f>VLOOKUP(D796,Oficial!A:C,3,0)</f>
        <v>Bienes y Servicios</v>
      </c>
    </row>
    <row r="797" spans="1:30" x14ac:dyDescent="0.25">
      <c r="A797" s="36" t="s">
        <v>27</v>
      </c>
      <c r="B797" s="36" t="s">
        <v>773</v>
      </c>
      <c r="C797" s="36" t="s">
        <v>28</v>
      </c>
      <c r="D797" s="36" t="s">
        <v>773</v>
      </c>
      <c r="E797" s="36" t="s">
        <v>30</v>
      </c>
      <c r="F797" s="36" t="s">
        <v>569</v>
      </c>
      <c r="G797" s="37" t="s">
        <v>615</v>
      </c>
      <c r="H797" s="36" t="s">
        <v>774</v>
      </c>
      <c r="I797" s="36" t="s">
        <v>775</v>
      </c>
      <c r="J797" s="36">
        <v>6</v>
      </c>
      <c r="K797" s="36" t="s">
        <v>781</v>
      </c>
      <c r="L797" s="36">
        <v>4</v>
      </c>
      <c r="M797" s="36">
        <v>1</v>
      </c>
      <c r="N797" s="38">
        <v>8000</v>
      </c>
      <c r="O797" s="38">
        <v>8000</v>
      </c>
      <c r="P797" s="36">
        <v>1</v>
      </c>
      <c r="Q797" s="40">
        <v>46054</v>
      </c>
      <c r="R797" s="36" t="s">
        <v>768</v>
      </c>
      <c r="S797" s="36" t="s">
        <v>769</v>
      </c>
      <c r="T797" s="36" t="s">
        <v>770</v>
      </c>
      <c r="U797" s="36" t="s">
        <v>388</v>
      </c>
      <c r="V797" s="40">
        <v>46054</v>
      </c>
      <c r="W797" s="36"/>
      <c r="X797" s="36">
        <v>0</v>
      </c>
      <c r="Y797" s="36"/>
      <c r="Z797" s="36">
        <v>0</v>
      </c>
      <c r="AA797" s="36">
        <v>0</v>
      </c>
      <c r="AB797" s="36"/>
      <c r="AC797" s="36" t="str">
        <f t="shared" si="1"/>
        <v>PC26</v>
      </c>
      <c r="AD797" s="36" t="str">
        <f>VLOOKUP(D797,Oficial!A:C,3,0)</f>
        <v>Bienes y Servicios</v>
      </c>
    </row>
    <row r="798" spans="1:30" x14ac:dyDescent="0.25">
      <c r="A798" s="36" t="s">
        <v>27</v>
      </c>
      <c r="B798" s="36" t="s">
        <v>782</v>
      </c>
      <c r="C798" s="36" t="s">
        <v>374</v>
      </c>
      <c r="D798" s="36" t="s">
        <v>782</v>
      </c>
      <c r="E798" s="36" t="s">
        <v>30</v>
      </c>
      <c r="F798" s="36" t="s">
        <v>569</v>
      </c>
      <c r="G798" s="37" t="s">
        <v>783</v>
      </c>
      <c r="H798" s="36" t="s">
        <v>784</v>
      </c>
      <c r="I798" s="36" t="s">
        <v>785</v>
      </c>
      <c r="J798" s="36">
        <v>2</v>
      </c>
      <c r="K798" s="36" t="s">
        <v>359</v>
      </c>
      <c r="L798" s="36">
        <v>4</v>
      </c>
      <c r="M798" s="36">
        <v>86</v>
      </c>
      <c r="N798" s="38">
        <v>1379</v>
      </c>
      <c r="O798" s="38">
        <v>118594</v>
      </c>
      <c r="P798" s="36">
        <v>1</v>
      </c>
      <c r="Q798" s="40">
        <v>46023</v>
      </c>
      <c r="R798" s="36" t="s">
        <v>768</v>
      </c>
      <c r="S798" s="36" t="s">
        <v>769</v>
      </c>
      <c r="T798" s="36" t="s">
        <v>770</v>
      </c>
      <c r="U798" s="36" t="s">
        <v>388</v>
      </c>
      <c r="V798" s="40">
        <v>46023</v>
      </c>
      <c r="W798" s="36"/>
      <c r="X798" s="36">
        <v>0</v>
      </c>
      <c r="Y798" s="36"/>
      <c r="Z798" s="36">
        <v>0</v>
      </c>
      <c r="AA798" s="36">
        <v>0</v>
      </c>
      <c r="AB798" s="36"/>
      <c r="AC798" s="36" t="str">
        <f t="shared" si="1"/>
        <v>PC26</v>
      </c>
      <c r="AD798" s="36" t="str">
        <f>VLOOKUP(D798,Oficial!A:C,3,0)</f>
        <v>Administración de Fondos</v>
      </c>
    </row>
    <row r="799" spans="1:30" x14ac:dyDescent="0.25">
      <c r="A799" s="36" t="s">
        <v>27</v>
      </c>
      <c r="B799" s="36" t="s">
        <v>782</v>
      </c>
      <c r="C799" s="36" t="s">
        <v>374</v>
      </c>
      <c r="D799" s="36" t="s">
        <v>782</v>
      </c>
      <c r="E799" s="36" t="s">
        <v>30</v>
      </c>
      <c r="F799" s="36" t="s">
        <v>569</v>
      </c>
      <c r="G799" s="37" t="s">
        <v>783</v>
      </c>
      <c r="H799" s="36" t="s">
        <v>784</v>
      </c>
      <c r="I799" s="36" t="s">
        <v>785</v>
      </c>
      <c r="J799" s="36">
        <v>2</v>
      </c>
      <c r="K799" s="36" t="s">
        <v>786</v>
      </c>
      <c r="L799" s="36">
        <v>4</v>
      </c>
      <c r="M799" s="36">
        <v>2</v>
      </c>
      <c r="N799" s="38">
        <v>73915</v>
      </c>
      <c r="O799" s="38">
        <v>147830</v>
      </c>
      <c r="P799" s="36">
        <v>1</v>
      </c>
      <c r="Q799" s="40">
        <v>46023</v>
      </c>
      <c r="R799" s="36" t="s">
        <v>768</v>
      </c>
      <c r="S799" s="36" t="s">
        <v>769</v>
      </c>
      <c r="T799" s="36" t="s">
        <v>770</v>
      </c>
      <c r="U799" s="36" t="s">
        <v>388</v>
      </c>
      <c r="V799" s="40">
        <v>46023</v>
      </c>
      <c r="W799" s="36"/>
      <c r="X799" s="36">
        <v>0</v>
      </c>
      <c r="Y799" s="36"/>
      <c r="Z799" s="36">
        <v>0</v>
      </c>
      <c r="AA799" s="36">
        <v>0</v>
      </c>
      <c r="AB799" s="36"/>
      <c r="AC799" s="36" t="str">
        <f t="shared" si="1"/>
        <v>PC26</v>
      </c>
      <c r="AD799" s="36" t="str">
        <f>VLOOKUP(D799,Oficial!A:C,3,0)</f>
        <v>Administración de Fondos</v>
      </c>
    </row>
    <row r="800" spans="1:30" x14ac:dyDescent="0.25">
      <c r="A800" s="36" t="s">
        <v>27</v>
      </c>
      <c r="B800" s="36" t="s">
        <v>787</v>
      </c>
      <c r="C800" s="36" t="s">
        <v>28</v>
      </c>
      <c r="D800" s="36" t="s">
        <v>787</v>
      </c>
      <c r="E800" s="36" t="s">
        <v>30</v>
      </c>
      <c r="F800" s="36" t="s">
        <v>569</v>
      </c>
      <c r="G800" s="37" t="s">
        <v>654</v>
      </c>
      <c r="H800" s="36" t="s">
        <v>788</v>
      </c>
      <c r="I800" s="36" t="s">
        <v>789</v>
      </c>
      <c r="J800" s="36">
        <v>2</v>
      </c>
      <c r="K800" s="36" t="s">
        <v>359</v>
      </c>
      <c r="L800" s="36">
        <v>4</v>
      </c>
      <c r="M800" s="36">
        <v>821</v>
      </c>
      <c r="N800" s="38">
        <v>1122</v>
      </c>
      <c r="O800" s="38">
        <v>921162</v>
      </c>
      <c r="P800" s="36">
        <v>1</v>
      </c>
      <c r="Q800" s="40">
        <v>46082</v>
      </c>
      <c r="R800" s="36" t="s">
        <v>790</v>
      </c>
      <c r="S800" s="36" t="s">
        <v>791</v>
      </c>
      <c r="T800" s="36" t="s">
        <v>792</v>
      </c>
      <c r="U800" s="36" t="s">
        <v>793</v>
      </c>
      <c r="V800" s="40">
        <v>46082</v>
      </c>
      <c r="W800" s="36"/>
      <c r="X800" s="36">
        <v>0</v>
      </c>
      <c r="Y800" s="36"/>
      <c r="Z800" s="36">
        <v>0</v>
      </c>
      <c r="AA800" s="36">
        <v>0</v>
      </c>
      <c r="AB800" s="36"/>
      <c r="AC800" s="36" t="str">
        <f t="shared" si="1"/>
        <v>PC26</v>
      </c>
      <c r="AD800" s="36" t="str">
        <f>VLOOKUP(D800,Oficial!A:C,3,0)</f>
        <v>Bienes y Servicios</v>
      </c>
    </row>
    <row r="801" spans="1:30" x14ac:dyDescent="0.25">
      <c r="A801" s="36" t="s">
        <v>27</v>
      </c>
      <c r="B801" s="36" t="s">
        <v>787</v>
      </c>
      <c r="C801" s="36" t="s">
        <v>28</v>
      </c>
      <c r="D801" s="36" t="s">
        <v>787</v>
      </c>
      <c r="E801" s="36" t="s">
        <v>30</v>
      </c>
      <c r="F801" s="36" t="s">
        <v>569</v>
      </c>
      <c r="G801" s="37" t="s">
        <v>654</v>
      </c>
      <c r="H801" s="36" t="s">
        <v>788</v>
      </c>
      <c r="I801" s="36" t="s">
        <v>789</v>
      </c>
      <c r="J801" s="36">
        <v>2</v>
      </c>
      <c r="K801" s="36" t="s">
        <v>195</v>
      </c>
      <c r="L801" s="36">
        <v>4</v>
      </c>
      <c r="M801" s="36">
        <v>409</v>
      </c>
      <c r="N801" s="38">
        <v>211</v>
      </c>
      <c r="O801" s="38">
        <v>86299</v>
      </c>
      <c r="P801" s="36">
        <v>1</v>
      </c>
      <c r="Q801" s="40">
        <v>46082</v>
      </c>
      <c r="R801" s="36" t="s">
        <v>790</v>
      </c>
      <c r="S801" s="36" t="s">
        <v>791</v>
      </c>
      <c r="T801" s="36" t="s">
        <v>792</v>
      </c>
      <c r="U801" s="36" t="s">
        <v>793</v>
      </c>
      <c r="V801" s="40">
        <v>46082</v>
      </c>
      <c r="W801" s="36"/>
      <c r="X801" s="36">
        <v>0</v>
      </c>
      <c r="Y801" s="36"/>
      <c r="Z801" s="36">
        <v>0</v>
      </c>
      <c r="AA801" s="36">
        <v>0</v>
      </c>
      <c r="AB801" s="36"/>
      <c r="AC801" s="36" t="str">
        <f t="shared" si="1"/>
        <v>PC26</v>
      </c>
      <c r="AD801" s="36" t="str">
        <f>VLOOKUP(D801,Oficial!A:C,3,0)</f>
        <v>Bienes y Servicios</v>
      </c>
    </row>
    <row r="802" spans="1:30" x14ac:dyDescent="0.25">
      <c r="A802" s="36" t="s">
        <v>27</v>
      </c>
      <c r="B802" s="36" t="s">
        <v>794</v>
      </c>
      <c r="C802" s="36" t="s">
        <v>374</v>
      </c>
      <c r="D802" s="36" t="s">
        <v>794</v>
      </c>
      <c r="E802" s="36" t="s">
        <v>30</v>
      </c>
      <c r="F802" s="36" t="s">
        <v>569</v>
      </c>
      <c r="G802" s="37" t="s">
        <v>666</v>
      </c>
      <c r="H802" s="36" t="s">
        <v>795</v>
      </c>
      <c r="I802" s="36" t="s">
        <v>796</v>
      </c>
      <c r="J802" s="36">
        <v>3</v>
      </c>
      <c r="K802" s="36" t="s">
        <v>797</v>
      </c>
      <c r="L802" s="36">
        <v>4</v>
      </c>
      <c r="M802" s="36">
        <v>106</v>
      </c>
      <c r="N802" s="38">
        <v>4380</v>
      </c>
      <c r="O802" s="38">
        <v>464280</v>
      </c>
      <c r="P802" s="36">
        <v>1</v>
      </c>
      <c r="Q802" s="40">
        <v>46023</v>
      </c>
      <c r="R802" s="36" t="s">
        <v>768</v>
      </c>
      <c r="S802" s="36" t="s">
        <v>769</v>
      </c>
      <c r="T802" s="36" t="s">
        <v>770</v>
      </c>
      <c r="U802" s="36" t="s">
        <v>388</v>
      </c>
      <c r="V802" s="40">
        <v>46023</v>
      </c>
      <c r="W802" s="36"/>
      <c r="X802" s="36">
        <v>0</v>
      </c>
      <c r="Y802" s="36"/>
      <c r="Z802" s="36">
        <v>0</v>
      </c>
      <c r="AA802" s="36">
        <v>0</v>
      </c>
      <c r="AB802" s="36"/>
      <c r="AC802" s="36" t="str">
        <f t="shared" si="1"/>
        <v>PC26</v>
      </c>
      <c r="AD802" s="36" t="str">
        <f>VLOOKUP(D802,Oficial!A:C,3,0)</f>
        <v>Administración de Fondos</v>
      </c>
    </row>
    <row r="803" spans="1:30" x14ac:dyDescent="0.25">
      <c r="A803" s="36" t="s">
        <v>27</v>
      </c>
      <c r="B803" s="36" t="s">
        <v>794</v>
      </c>
      <c r="C803" s="36" t="s">
        <v>374</v>
      </c>
      <c r="D803" s="36" t="s">
        <v>794</v>
      </c>
      <c r="E803" s="36" t="s">
        <v>30</v>
      </c>
      <c r="F803" s="36" t="s">
        <v>569</v>
      </c>
      <c r="G803" s="37" t="s">
        <v>666</v>
      </c>
      <c r="H803" s="36" t="s">
        <v>795</v>
      </c>
      <c r="I803" s="36" t="s">
        <v>796</v>
      </c>
      <c r="J803" s="36">
        <v>3</v>
      </c>
      <c r="K803" s="36" t="s">
        <v>740</v>
      </c>
      <c r="L803" s="36">
        <v>4</v>
      </c>
      <c r="M803" s="36">
        <v>10</v>
      </c>
      <c r="N803" s="38">
        <v>2520</v>
      </c>
      <c r="O803" s="38">
        <v>25200</v>
      </c>
      <c r="P803" s="36">
        <v>1</v>
      </c>
      <c r="Q803" s="40">
        <v>46023</v>
      </c>
      <c r="R803" s="36" t="s">
        <v>768</v>
      </c>
      <c r="S803" s="36" t="s">
        <v>769</v>
      </c>
      <c r="T803" s="36" t="s">
        <v>770</v>
      </c>
      <c r="U803" s="36" t="s">
        <v>388</v>
      </c>
      <c r="V803" s="40">
        <v>46023</v>
      </c>
      <c r="W803" s="36"/>
      <c r="X803" s="36">
        <v>0</v>
      </c>
      <c r="Y803" s="36"/>
      <c r="Z803" s="36">
        <v>0</v>
      </c>
      <c r="AA803" s="36">
        <v>0</v>
      </c>
      <c r="AB803" s="36"/>
      <c r="AC803" s="36" t="str">
        <f t="shared" si="1"/>
        <v>PC26</v>
      </c>
      <c r="AD803" s="36" t="str">
        <f>VLOOKUP(D803,Oficial!A:C,3,0)</f>
        <v>Administración de Fondos</v>
      </c>
    </row>
    <row r="804" spans="1:30" x14ac:dyDescent="0.25">
      <c r="A804" s="36" t="s">
        <v>27</v>
      </c>
      <c r="B804" s="36" t="s">
        <v>794</v>
      </c>
      <c r="C804" s="36" t="s">
        <v>374</v>
      </c>
      <c r="D804" s="36" t="s">
        <v>794</v>
      </c>
      <c r="E804" s="36" t="s">
        <v>30</v>
      </c>
      <c r="F804" s="36" t="s">
        <v>569</v>
      </c>
      <c r="G804" s="37" t="s">
        <v>666</v>
      </c>
      <c r="H804" s="36" t="s">
        <v>795</v>
      </c>
      <c r="I804" s="36" t="s">
        <v>796</v>
      </c>
      <c r="J804" s="36">
        <v>3</v>
      </c>
      <c r="K804" s="36" t="s">
        <v>798</v>
      </c>
      <c r="L804" s="36">
        <v>4</v>
      </c>
      <c r="M804" s="36">
        <v>200</v>
      </c>
      <c r="N804" s="38">
        <v>68</v>
      </c>
      <c r="O804" s="38">
        <v>13600</v>
      </c>
      <c r="P804" s="36">
        <v>1</v>
      </c>
      <c r="Q804" s="40">
        <v>46023</v>
      </c>
      <c r="R804" s="36" t="s">
        <v>768</v>
      </c>
      <c r="S804" s="36" t="s">
        <v>769</v>
      </c>
      <c r="T804" s="36" t="s">
        <v>770</v>
      </c>
      <c r="U804" s="36" t="s">
        <v>388</v>
      </c>
      <c r="V804" s="40">
        <v>46023</v>
      </c>
      <c r="W804" s="36"/>
      <c r="X804" s="36">
        <v>0</v>
      </c>
      <c r="Y804" s="36"/>
      <c r="Z804" s="36">
        <v>0</v>
      </c>
      <c r="AA804" s="36">
        <v>0</v>
      </c>
      <c r="AB804" s="36"/>
      <c r="AC804" s="36" t="str">
        <f t="shared" si="1"/>
        <v>PC26</v>
      </c>
      <c r="AD804" s="36" t="str">
        <f>VLOOKUP(D804,Oficial!A:C,3,0)</f>
        <v>Administración de Fondos</v>
      </c>
    </row>
    <row r="805" spans="1:30" x14ac:dyDescent="0.25">
      <c r="A805" s="36" t="s">
        <v>27</v>
      </c>
      <c r="B805" s="36" t="s">
        <v>799</v>
      </c>
      <c r="C805" s="36" t="s">
        <v>374</v>
      </c>
      <c r="D805" s="36" t="s">
        <v>799</v>
      </c>
      <c r="E805" s="36" t="s">
        <v>30</v>
      </c>
      <c r="F805" s="36" t="s">
        <v>569</v>
      </c>
      <c r="G805" s="37" t="s">
        <v>800</v>
      </c>
      <c r="H805" s="36" t="s">
        <v>801</v>
      </c>
      <c r="I805" s="36" t="s">
        <v>802</v>
      </c>
      <c r="J805" s="36">
        <v>2</v>
      </c>
      <c r="K805" s="36" t="s">
        <v>786</v>
      </c>
      <c r="L805" s="36">
        <v>4</v>
      </c>
      <c r="M805" s="36">
        <v>42</v>
      </c>
      <c r="N805" s="38">
        <v>1729</v>
      </c>
      <c r="O805" s="38">
        <v>72618</v>
      </c>
      <c r="P805" s="36">
        <v>1</v>
      </c>
      <c r="Q805" s="40">
        <v>46054</v>
      </c>
      <c r="R805" s="36" t="s">
        <v>768</v>
      </c>
      <c r="S805" s="36" t="s">
        <v>769</v>
      </c>
      <c r="T805" s="36" t="s">
        <v>770</v>
      </c>
      <c r="U805" s="36" t="s">
        <v>388</v>
      </c>
      <c r="V805" s="40">
        <v>46054</v>
      </c>
      <c r="W805" s="36"/>
      <c r="X805" s="36">
        <v>0</v>
      </c>
      <c r="Y805" s="36"/>
      <c r="Z805" s="36">
        <v>0</v>
      </c>
      <c r="AA805" s="36">
        <v>0</v>
      </c>
      <c r="AB805" s="36"/>
      <c r="AC805" s="36" t="str">
        <f t="shared" si="1"/>
        <v>PC26</v>
      </c>
      <c r="AD805" s="36" t="str">
        <f>VLOOKUP(D805,Oficial!A:C,3,0)</f>
        <v>Administración de Fondos</v>
      </c>
    </row>
    <row r="806" spans="1:30" x14ac:dyDescent="0.25">
      <c r="A806" s="36" t="s">
        <v>27</v>
      </c>
      <c r="B806" s="36" t="s">
        <v>799</v>
      </c>
      <c r="C806" s="36" t="s">
        <v>374</v>
      </c>
      <c r="D806" s="36" t="s">
        <v>799</v>
      </c>
      <c r="E806" s="36" t="s">
        <v>30</v>
      </c>
      <c r="F806" s="36" t="s">
        <v>569</v>
      </c>
      <c r="G806" s="37" t="s">
        <v>800</v>
      </c>
      <c r="H806" s="36" t="s">
        <v>801</v>
      </c>
      <c r="I806" s="36" t="s">
        <v>802</v>
      </c>
      <c r="J806" s="36">
        <v>2</v>
      </c>
      <c r="K806" s="36" t="s">
        <v>359</v>
      </c>
      <c r="L806" s="36">
        <v>4</v>
      </c>
      <c r="M806" s="36">
        <v>1004</v>
      </c>
      <c r="N806" s="38">
        <v>13</v>
      </c>
      <c r="O806" s="38">
        <v>13052</v>
      </c>
      <c r="P806" s="36">
        <v>1</v>
      </c>
      <c r="Q806" s="40">
        <v>46054</v>
      </c>
      <c r="R806" s="36" t="s">
        <v>768</v>
      </c>
      <c r="S806" s="36" t="s">
        <v>769</v>
      </c>
      <c r="T806" s="36" t="s">
        <v>770</v>
      </c>
      <c r="U806" s="36" t="s">
        <v>388</v>
      </c>
      <c r="V806" s="40">
        <v>46054</v>
      </c>
      <c r="W806" s="36"/>
      <c r="X806" s="36">
        <v>0</v>
      </c>
      <c r="Y806" s="36"/>
      <c r="Z806" s="36">
        <v>0</v>
      </c>
      <c r="AA806" s="36">
        <v>0</v>
      </c>
      <c r="AB806" s="36"/>
      <c r="AC806" s="36" t="str">
        <f t="shared" si="1"/>
        <v>PC26</v>
      </c>
      <c r="AD806" s="36" t="str">
        <f>VLOOKUP(D806,Oficial!A:C,3,0)</f>
        <v>Administración de Fondos</v>
      </c>
    </row>
    <row r="807" spans="1:30" x14ac:dyDescent="0.25">
      <c r="A807" s="36" t="s">
        <v>27</v>
      </c>
      <c r="B807" s="36" t="s">
        <v>803</v>
      </c>
      <c r="C807" s="36" t="s">
        <v>594</v>
      </c>
      <c r="D807" s="36" t="s">
        <v>803</v>
      </c>
      <c r="E807" s="36" t="s">
        <v>30</v>
      </c>
      <c r="F807" s="36" t="s">
        <v>569</v>
      </c>
      <c r="G807" s="37" t="s">
        <v>804</v>
      </c>
      <c r="H807" s="36" t="s">
        <v>805</v>
      </c>
      <c r="I807" s="36" t="s">
        <v>806</v>
      </c>
      <c r="J807" s="36">
        <v>1</v>
      </c>
      <c r="K807" s="36" t="s">
        <v>807</v>
      </c>
      <c r="L807" s="36">
        <v>4</v>
      </c>
      <c r="M807" s="36">
        <v>1</v>
      </c>
      <c r="N807" s="38">
        <v>37000000</v>
      </c>
      <c r="O807" s="38">
        <v>37000000</v>
      </c>
      <c r="P807" s="36">
        <v>1</v>
      </c>
      <c r="Q807" s="40">
        <v>46266</v>
      </c>
      <c r="R807" s="36" t="s">
        <v>624</v>
      </c>
      <c r="S807" s="36" t="s">
        <v>625</v>
      </c>
      <c r="T807" s="36" t="s">
        <v>626</v>
      </c>
      <c r="U807" s="36" t="s">
        <v>627</v>
      </c>
      <c r="V807" s="40">
        <v>46266</v>
      </c>
      <c r="W807" s="36"/>
      <c r="X807" s="36">
        <v>0</v>
      </c>
      <c r="Y807" s="36"/>
      <c r="Z807" s="36">
        <v>0</v>
      </c>
      <c r="AA807" s="36">
        <v>0</v>
      </c>
      <c r="AB807" s="36"/>
      <c r="AC807" s="36" t="str">
        <f t="shared" si="1"/>
        <v>PC26</v>
      </c>
      <c r="AD807" s="36" t="str">
        <f>VLOOKUP(D807,Oficial!A:C,3,0)</f>
        <v>Compras Convenio GORE Region de Los Lagos</v>
      </c>
    </row>
    <row r="808" spans="1:30" x14ac:dyDescent="0.25">
      <c r="A808" s="36" t="s">
        <v>27</v>
      </c>
      <c r="B808" s="36" t="s">
        <v>808</v>
      </c>
      <c r="C808" s="36" t="s">
        <v>594</v>
      </c>
      <c r="D808" s="36" t="s">
        <v>808</v>
      </c>
      <c r="E808" s="36" t="s">
        <v>30</v>
      </c>
      <c r="F808" s="36" t="s">
        <v>569</v>
      </c>
      <c r="G808" s="37" t="s">
        <v>804</v>
      </c>
      <c r="H808" s="36" t="s">
        <v>809</v>
      </c>
      <c r="I808" s="36" t="s">
        <v>810</v>
      </c>
      <c r="J808" s="36">
        <v>1</v>
      </c>
      <c r="K808" s="36" t="s">
        <v>807</v>
      </c>
      <c r="L808" s="36">
        <v>4</v>
      </c>
      <c r="M808" s="36">
        <v>1</v>
      </c>
      <c r="N808" s="38">
        <v>37000000</v>
      </c>
      <c r="O808" s="38">
        <v>37000000</v>
      </c>
      <c r="P808" s="36">
        <v>1</v>
      </c>
      <c r="Q808" s="40">
        <v>46296</v>
      </c>
      <c r="R808" s="36" t="s">
        <v>624</v>
      </c>
      <c r="S808" s="36" t="s">
        <v>625</v>
      </c>
      <c r="T808" s="36" t="s">
        <v>626</v>
      </c>
      <c r="U808" s="36" t="s">
        <v>627</v>
      </c>
      <c r="V808" s="40">
        <v>46296</v>
      </c>
      <c r="W808" s="36"/>
      <c r="X808" s="36">
        <v>0</v>
      </c>
      <c r="Y808" s="36"/>
      <c r="Z808" s="36">
        <v>0</v>
      </c>
      <c r="AA808" s="36">
        <v>0</v>
      </c>
      <c r="AB808" s="36"/>
      <c r="AC808" s="36" t="str">
        <f t="shared" si="1"/>
        <v>PC26</v>
      </c>
      <c r="AD808" s="36" t="str">
        <f>VLOOKUP(D808,Oficial!A:C,3,0)</f>
        <v>Compras Convenio GORE Region de Los Lagos</v>
      </c>
    </row>
    <row r="809" spans="1:30" x14ac:dyDescent="0.25">
      <c r="A809" s="36" t="s">
        <v>27</v>
      </c>
      <c r="B809" s="36" t="s">
        <v>811</v>
      </c>
      <c r="C809" s="36" t="s">
        <v>28</v>
      </c>
      <c r="D809" s="36" t="s">
        <v>811</v>
      </c>
      <c r="E809" s="36" t="s">
        <v>30</v>
      </c>
      <c r="F809" s="36" t="s">
        <v>569</v>
      </c>
      <c r="G809" s="37" t="s">
        <v>812</v>
      </c>
      <c r="H809" s="36" t="s">
        <v>813</v>
      </c>
      <c r="I809" s="36" t="s">
        <v>814</v>
      </c>
      <c r="J809" s="36">
        <v>1</v>
      </c>
      <c r="K809" s="36" t="s">
        <v>815</v>
      </c>
      <c r="L809" s="36">
        <v>4</v>
      </c>
      <c r="M809" s="36">
        <v>100</v>
      </c>
      <c r="N809" s="38">
        <v>4000</v>
      </c>
      <c r="O809" s="38">
        <v>400000</v>
      </c>
      <c r="P809" s="36">
        <v>1</v>
      </c>
      <c r="Q809" s="40">
        <v>46082</v>
      </c>
      <c r="R809" s="36" t="s">
        <v>790</v>
      </c>
      <c r="S809" s="36" t="s">
        <v>791</v>
      </c>
      <c r="T809" s="36" t="s">
        <v>792</v>
      </c>
      <c r="U809" s="36" t="s">
        <v>793</v>
      </c>
      <c r="V809" s="40">
        <v>46082</v>
      </c>
      <c r="W809" s="36"/>
      <c r="X809" s="36">
        <v>0</v>
      </c>
      <c r="Y809" s="36"/>
      <c r="Z809" s="36">
        <v>0</v>
      </c>
      <c r="AA809" s="36">
        <v>0</v>
      </c>
      <c r="AB809" s="36"/>
      <c r="AC809" s="36" t="str">
        <f t="shared" si="1"/>
        <v>PC26</v>
      </c>
      <c r="AD809" s="36" t="str">
        <f>VLOOKUP(D809,Oficial!A:C,3,0)</f>
        <v>Bienes y Servicios</v>
      </c>
    </row>
    <row r="810" spans="1:30" x14ac:dyDescent="0.25">
      <c r="A810" s="36" t="s">
        <v>27</v>
      </c>
      <c r="B810" s="36" t="s">
        <v>816</v>
      </c>
      <c r="C810" s="36" t="s">
        <v>28</v>
      </c>
      <c r="D810" s="36" t="s">
        <v>816</v>
      </c>
      <c r="E810" s="36" t="s">
        <v>30</v>
      </c>
      <c r="F810" s="36" t="s">
        <v>569</v>
      </c>
      <c r="G810" s="37" t="s">
        <v>483</v>
      </c>
      <c r="H810" s="36" t="s">
        <v>817</v>
      </c>
      <c r="I810" s="36" t="s">
        <v>818</v>
      </c>
      <c r="J810" s="36">
        <v>5</v>
      </c>
      <c r="K810" s="36" t="s">
        <v>819</v>
      </c>
      <c r="L810" s="36">
        <v>4</v>
      </c>
      <c r="M810" s="36">
        <v>415</v>
      </c>
      <c r="N810" s="38">
        <v>3494</v>
      </c>
      <c r="O810" s="38">
        <v>1450010</v>
      </c>
      <c r="P810" s="36">
        <v>1</v>
      </c>
      <c r="Q810" s="40">
        <v>46113</v>
      </c>
      <c r="R810" s="36" t="s">
        <v>768</v>
      </c>
      <c r="S810" s="36" t="s">
        <v>769</v>
      </c>
      <c r="T810" s="36" t="s">
        <v>770</v>
      </c>
      <c r="U810" s="36" t="s">
        <v>388</v>
      </c>
      <c r="V810" s="40">
        <v>46113</v>
      </c>
      <c r="W810" s="36"/>
      <c r="X810" s="36">
        <v>0</v>
      </c>
      <c r="Y810" s="36"/>
      <c r="Z810" s="36">
        <v>0</v>
      </c>
      <c r="AA810" s="36">
        <v>0</v>
      </c>
      <c r="AB810" s="36"/>
      <c r="AC810" s="36" t="str">
        <f t="shared" si="1"/>
        <v>PC26</v>
      </c>
      <c r="AD810" s="36" t="str">
        <f>VLOOKUP(D810,Oficial!A:C,3,0)</f>
        <v>Bienes y Servicios</v>
      </c>
    </row>
    <row r="811" spans="1:30" x14ac:dyDescent="0.25">
      <c r="A811" s="36" t="s">
        <v>27</v>
      </c>
      <c r="B811" s="36" t="s">
        <v>816</v>
      </c>
      <c r="C811" s="36" t="s">
        <v>28</v>
      </c>
      <c r="D811" s="36" t="s">
        <v>816</v>
      </c>
      <c r="E811" s="36" t="s">
        <v>30</v>
      </c>
      <c r="F811" s="36" t="s">
        <v>569</v>
      </c>
      <c r="G811" s="37" t="s">
        <v>483</v>
      </c>
      <c r="H811" s="36" t="s">
        <v>817</v>
      </c>
      <c r="I811" s="36" t="s">
        <v>818</v>
      </c>
      <c r="J811" s="36">
        <v>5</v>
      </c>
      <c r="K811" s="36" t="s">
        <v>486</v>
      </c>
      <c r="L811" s="36">
        <v>4</v>
      </c>
      <c r="M811" s="36">
        <v>4</v>
      </c>
      <c r="N811" s="38">
        <v>62500</v>
      </c>
      <c r="O811" s="38">
        <v>250000</v>
      </c>
      <c r="P811" s="36">
        <v>1</v>
      </c>
      <c r="Q811" s="40">
        <v>46023</v>
      </c>
      <c r="R811" s="36" t="s">
        <v>768</v>
      </c>
      <c r="S811" s="36" t="s">
        <v>769</v>
      </c>
      <c r="T811" s="36" t="s">
        <v>770</v>
      </c>
      <c r="U811" s="36" t="s">
        <v>388</v>
      </c>
      <c r="V811" s="40">
        <v>46023</v>
      </c>
      <c r="W811" s="36"/>
      <c r="X811" s="36">
        <v>0</v>
      </c>
      <c r="Y811" s="36"/>
      <c r="Z811" s="36">
        <v>0</v>
      </c>
      <c r="AA811" s="36">
        <v>0</v>
      </c>
      <c r="AB811" s="36"/>
      <c r="AC811" s="36" t="str">
        <f t="shared" si="1"/>
        <v>PC26</v>
      </c>
      <c r="AD811" s="36" t="str">
        <f>VLOOKUP(D811,Oficial!A:C,3,0)</f>
        <v>Bienes y Servicios</v>
      </c>
    </row>
    <row r="812" spans="1:30" x14ac:dyDescent="0.25">
      <c r="A812" s="36" t="s">
        <v>27</v>
      </c>
      <c r="B812" s="36" t="s">
        <v>816</v>
      </c>
      <c r="C812" s="36" t="s">
        <v>28</v>
      </c>
      <c r="D812" s="36" t="s">
        <v>816</v>
      </c>
      <c r="E812" s="36" t="s">
        <v>30</v>
      </c>
      <c r="F812" s="36" t="s">
        <v>569</v>
      </c>
      <c r="G812" s="37" t="s">
        <v>483</v>
      </c>
      <c r="H812" s="36" t="s">
        <v>817</v>
      </c>
      <c r="I812" s="36" t="s">
        <v>818</v>
      </c>
      <c r="J812" s="36">
        <v>5</v>
      </c>
      <c r="K812" s="36" t="s">
        <v>820</v>
      </c>
      <c r="L812" s="36">
        <v>4</v>
      </c>
      <c r="M812" s="36">
        <v>2</v>
      </c>
      <c r="N812" s="38">
        <v>750000</v>
      </c>
      <c r="O812" s="38">
        <v>1500000</v>
      </c>
      <c r="P812" s="36">
        <v>1</v>
      </c>
      <c r="Q812" s="40">
        <v>46023</v>
      </c>
      <c r="R812" s="36" t="s">
        <v>768</v>
      </c>
      <c r="S812" s="36" t="s">
        <v>769</v>
      </c>
      <c r="T812" s="36" t="s">
        <v>770</v>
      </c>
      <c r="U812" s="36" t="s">
        <v>388</v>
      </c>
      <c r="V812" s="40">
        <v>46023</v>
      </c>
      <c r="W812" s="36"/>
      <c r="X812" s="36">
        <v>0</v>
      </c>
      <c r="Y812" s="36"/>
      <c r="Z812" s="36">
        <v>0</v>
      </c>
      <c r="AA812" s="36">
        <v>0</v>
      </c>
      <c r="AB812" s="36"/>
      <c r="AC812" s="36" t="str">
        <f t="shared" si="1"/>
        <v>PC26</v>
      </c>
      <c r="AD812" s="36" t="str">
        <f>VLOOKUP(D812,Oficial!A:C,3,0)</f>
        <v>Bienes y Servicios</v>
      </c>
    </row>
    <row r="813" spans="1:30" x14ac:dyDescent="0.25">
      <c r="A813" s="36" t="s">
        <v>27</v>
      </c>
      <c r="B813" s="36" t="s">
        <v>816</v>
      </c>
      <c r="C813" s="36" t="s">
        <v>28</v>
      </c>
      <c r="D813" s="36" t="s">
        <v>816</v>
      </c>
      <c r="E813" s="36" t="s">
        <v>30</v>
      </c>
      <c r="F813" s="36" t="s">
        <v>569</v>
      </c>
      <c r="G813" s="37" t="s">
        <v>483</v>
      </c>
      <c r="H813" s="36" t="s">
        <v>817</v>
      </c>
      <c r="I813" s="36" t="s">
        <v>818</v>
      </c>
      <c r="J813" s="36">
        <v>5</v>
      </c>
      <c r="K813" s="36" t="s">
        <v>821</v>
      </c>
      <c r="L813" s="36">
        <v>4</v>
      </c>
      <c r="M813" s="36">
        <v>146</v>
      </c>
      <c r="N813" s="38">
        <v>13014</v>
      </c>
      <c r="O813" s="38">
        <v>1900044</v>
      </c>
      <c r="P813" s="36">
        <v>1</v>
      </c>
      <c r="Q813" s="40">
        <v>46082</v>
      </c>
      <c r="R813" s="36" t="s">
        <v>768</v>
      </c>
      <c r="S813" s="36" t="s">
        <v>769</v>
      </c>
      <c r="T813" s="36" t="s">
        <v>770</v>
      </c>
      <c r="U813" s="36" t="s">
        <v>388</v>
      </c>
      <c r="V813" s="40">
        <v>46082</v>
      </c>
      <c r="W813" s="36"/>
      <c r="X813" s="36">
        <v>0</v>
      </c>
      <c r="Y813" s="36"/>
      <c r="Z813" s="36">
        <v>0</v>
      </c>
      <c r="AA813" s="36">
        <v>0</v>
      </c>
      <c r="AB813" s="36"/>
      <c r="AC813" s="36" t="str">
        <f t="shared" si="1"/>
        <v>PC26</v>
      </c>
      <c r="AD813" s="36" t="str">
        <f>VLOOKUP(D813,Oficial!A:C,3,0)</f>
        <v>Bienes y Servicios</v>
      </c>
    </row>
    <row r="814" spans="1:30" x14ac:dyDescent="0.25">
      <c r="A814" s="36" t="s">
        <v>27</v>
      </c>
      <c r="B814" s="36" t="s">
        <v>816</v>
      </c>
      <c r="C814" s="36" t="s">
        <v>28</v>
      </c>
      <c r="D814" s="36" t="s">
        <v>816</v>
      </c>
      <c r="E814" s="36" t="s">
        <v>30</v>
      </c>
      <c r="F814" s="36" t="s">
        <v>569</v>
      </c>
      <c r="G814" s="37" t="s">
        <v>483</v>
      </c>
      <c r="H814" s="36" t="s">
        <v>817</v>
      </c>
      <c r="I814" s="36" t="s">
        <v>818</v>
      </c>
      <c r="J814" s="36">
        <v>5</v>
      </c>
      <c r="K814" s="36" t="s">
        <v>821</v>
      </c>
      <c r="L814" s="36">
        <v>4</v>
      </c>
      <c r="M814" s="36">
        <v>6</v>
      </c>
      <c r="N814" s="38">
        <v>17334</v>
      </c>
      <c r="O814" s="38">
        <v>104004</v>
      </c>
      <c r="P814" s="36">
        <v>1</v>
      </c>
      <c r="Q814" s="40">
        <v>46023</v>
      </c>
      <c r="R814" s="36" t="s">
        <v>768</v>
      </c>
      <c r="S814" s="36" t="s">
        <v>769</v>
      </c>
      <c r="T814" s="36" t="s">
        <v>770</v>
      </c>
      <c r="U814" s="36" t="s">
        <v>388</v>
      </c>
      <c r="V814" s="40">
        <v>46023</v>
      </c>
      <c r="W814" s="36"/>
      <c r="X814" s="36">
        <v>0</v>
      </c>
      <c r="Y814" s="36"/>
      <c r="Z814" s="36">
        <v>0</v>
      </c>
      <c r="AA814" s="36">
        <v>0</v>
      </c>
      <c r="AB814" s="36"/>
      <c r="AC814" s="36" t="str">
        <f t="shared" si="1"/>
        <v>PC26</v>
      </c>
      <c r="AD814" s="36" t="str">
        <f>VLOOKUP(D814,Oficial!A:C,3,0)</f>
        <v>Bienes y Servicios</v>
      </c>
    </row>
    <row r="815" spans="1:30" x14ac:dyDescent="0.25">
      <c r="A815" s="36" t="s">
        <v>27</v>
      </c>
      <c r="B815" s="36" t="s">
        <v>822</v>
      </c>
      <c r="C815" s="36" t="s">
        <v>374</v>
      </c>
      <c r="D815" s="36" t="s">
        <v>822</v>
      </c>
      <c r="E815" s="36" t="s">
        <v>30</v>
      </c>
      <c r="F815" s="36" t="s">
        <v>569</v>
      </c>
      <c r="G815" s="37" t="s">
        <v>654</v>
      </c>
      <c r="H815" s="36" t="s">
        <v>823</v>
      </c>
      <c r="I815" s="36" t="s">
        <v>824</v>
      </c>
      <c r="J815" s="36">
        <v>3</v>
      </c>
      <c r="K815" s="36" t="s">
        <v>359</v>
      </c>
      <c r="L815" s="36">
        <v>4</v>
      </c>
      <c r="M815" s="36">
        <v>15</v>
      </c>
      <c r="N815" s="38">
        <v>9600</v>
      </c>
      <c r="O815" s="38">
        <v>144000</v>
      </c>
      <c r="P815" s="36">
        <v>1</v>
      </c>
      <c r="Q815" s="40">
        <v>46023</v>
      </c>
      <c r="R815" s="36" t="s">
        <v>768</v>
      </c>
      <c r="S815" s="36" t="s">
        <v>769</v>
      </c>
      <c r="T815" s="36" t="s">
        <v>770</v>
      </c>
      <c r="U815" s="36" t="s">
        <v>388</v>
      </c>
      <c r="V815" s="40">
        <v>46023</v>
      </c>
      <c r="W815" s="36"/>
      <c r="X815" s="36">
        <v>0</v>
      </c>
      <c r="Y815" s="36"/>
      <c r="Z815" s="36">
        <v>0</v>
      </c>
      <c r="AA815" s="36">
        <v>0</v>
      </c>
      <c r="AB815" s="36"/>
      <c r="AC815" s="36" t="str">
        <f t="shared" si="1"/>
        <v>PC26</v>
      </c>
      <c r="AD815" s="36" t="str">
        <f>VLOOKUP(D815,Oficial!A:C,3,0)</f>
        <v>Administración de Fondos</v>
      </c>
    </row>
    <row r="816" spans="1:30" x14ac:dyDescent="0.25">
      <c r="A816" s="36" t="s">
        <v>27</v>
      </c>
      <c r="B816" s="36" t="s">
        <v>822</v>
      </c>
      <c r="C816" s="36" t="s">
        <v>374</v>
      </c>
      <c r="D816" s="36" t="s">
        <v>822</v>
      </c>
      <c r="E816" s="36" t="s">
        <v>30</v>
      </c>
      <c r="F816" s="36" t="s">
        <v>569</v>
      </c>
      <c r="G816" s="37" t="s">
        <v>654</v>
      </c>
      <c r="H816" s="36" t="s">
        <v>823</v>
      </c>
      <c r="I816" s="36" t="s">
        <v>824</v>
      </c>
      <c r="J816" s="36">
        <v>3</v>
      </c>
      <c r="K816" s="36" t="s">
        <v>825</v>
      </c>
      <c r="L816" s="36">
        <v>4</v>
      </c>
      <c r="M816" s="36">
        <v>16</v>
      </c>
      <c r="N816" s="38">
        <v>11875</v>
      </c>
      <c r="O816" s="38">
        <v>190000</v>
      </c>
      <c r="P816" s="36">
        <v>1</v>
      </c>
      <c r="Q816" s="40">
        <v>46023</v>
      </c>
      <c r="R816" s="36" t="s">
        <v>768</v>
      </c>
      <c r="S816" s="36" t="s">
        <v>769</v>
      </c>
      <c r="T816" s="36" t="s">
        <v>770</v>
      </c>
      <c r="U816" s="36" t="s">
        <v>388</v>
      </c>
      <c r="V816" s="40">
        <v>46023</v>
      </c>
      <c r="W816" s="36"/>
      <c r="X816" s="36">
        <v>0</v>
      </c>
      <c r="Y816" s="36"/>
      <c r="Z816" s="36">
        <v>0</v>
      </c>
      <c r="AA816" s="36">
        <v>0</v>
      </c>
      <c r="AB816" s="36"/>
      <c r="AC816" s="36" t="str">
        <f t="shared" si="1"/>
        <v>PC26</v>
      </c>
      <c r="AD816" s="36" t="str">
        <f>VLOOKUP(D816,Oficial!A:C,3,0)</f>
        <v>Administración de Fondos</v>
      </c>
    </row>
    <row r="817" spans="1:30" x14ac:dyDescent="0.25">
      <c r="A817" s="36" t="s">
        <v>27</v>
      </c>
      <c r="B817" s="36" t="s">
        <v>822</v>
      </c>
      <c r="C817" s="36" t="s">
        <v>374</v>
      </c>
      <c r="D817" s="36" t="s">
        <v>822</v>
      </c>
      <c r="E817" s="36" t="s">
        <v>30</v>
      </c>
      <c r="F817" s="36" t="s">
        <v>569</v>
      </c>
      <c r="G817" s="37" t="s">
        <v>654</v>
      </c>
      <c r="H817" s="36" t="s">
        <v>823</v>
      </c>
      <c r="I817" s="36" t="s">
        <v>824</v>
      </c>
      <c r="J817" s="36">
        <v>3</v>
      </c>
      <c r="K817" s="36" t="s">
        <v>826</v>
      </c>
      <c r="L817" s="36">
        <v>4</v>
      </c>
      <c r="M817" s="36">
        <v>23</v>
      </c>
      <c r="N817" s="38">
        <v>5044</v>
      </c>
      <c r="O817" s="38">
        <v>116012</v>
      </c>
      <c r="P817" s="36">
        <v>1</v>
      </c>
      <c r="Q817" s="40">
        <v>46023</v>
      </c>
      <c r="R817" s="36" t="s">
        <v>768</v>
      </c>
      <c r="S817" s="36" t="s">
        <v>769</v>
      </c>
      <c r="T817" s="36" t="s">
        <v>770</v>
      </c>
      <c r="U817" s="36" t="s">
        <v>388</v>
      </c>
      <c r="V817" s="40">
        <v>46023</v>
      </c>
      <c r="W817" s="36"/>
      <c r="X817" s="36">
        <v>0</v>
      </c>
      <c r="Y817" s="36"/>
      <c r="Z817" s="36">
        <v>0</v>
      </c>
      <c r="AA817" s="36">
        <v>0</v>
      </c>
      <c r="AB817" s="36"/>
      <c r="AC817" s="36" t="str">
        <f t="shared" si="1"/>
        <v>PC26</v>
      </c>
      <c r="AD817" s="36" t="str">
        <f>VLOOKUP(D817,Oficial!A:C,3,0)</f>
        <v>Administración de Fondos</v>
      </c>
    </row>
    <row r="818" spans="1:30" x14ac:dyDescent="0.25">
      <c r="A818" s="36" t="s">
        <v>27</v>
      </c>
      <c r="B818" s="36" t="s">
        <v>827</v>
      </c>
      <c r="C818" s="36" t="s">
        <v>28</v>
      </c>
      <c r="D818" s="36" t="s">
        <v>827</v>
      </c>
      <c r="E818" s="36" t="s">
        <v>30</v>
      </c>
      <c r="F818" s="36" t="s">
        <v>569</v>
      </c>
      <c r="G818" s="37" t="s">
        <v>645</v>
      </c>
      <c r="H818" s="36" t="s">
        <v>828</v>
      </c>
      <c r="I818" s="36" t="s">
        <v>829</v>
      </c>
      <c r="J818" s="36">
        <v>4</v>
      </c>
      <c r="K818" s="36" t="s">
        <v>830</v>
      </c>
      <c r="L818" s="36">
        <v>4</v>
      </c>
      <c r="M818" s="36">
        <v>24</v>
      </c>
      <c r="N818" s="38">
        <v>7334</v>
      </c>
      <c r="O818" s="38">
        <v>176016</v>
      </c>
      <c r="P818" s="36">
        <v>1</v>
      </c>
      <c r="Q818" s="40">
        <v>46082</v>
      </c>
      <c r="R818" s="36" t="s">
        <v>761</v>
      </c>
      <c r="S818" s="36" t="s">
        <v>762</v>
      </c>
      <c r="T818" s="36" t="s">
        <v>763</v>
      </c>
      <c r="U818" s="36" t="s">
        <v>764</v>
      </c>
      <c r="V818" s="40">
        <v>46082</v>
      </c>
      <c r="W818" s="36"/>
      <c r="X818" s="36">
        <v>0</v>
      </c>
      <c r="Y818" s="36"/>
      <c r="Z818" s="36">
        <v>0</v>
      </c>
      <c r="AA818" s="36">
        <v>0</v>
      </c>
      <c r="AB818" s="36"/>
      <c r="AC818" s="36" t="str">
        <f t="shared" si="1"/>
        <v>PC26</v>
      </c>
      <c r="AD818" s="36" t="str">
        <f>VLOOKUP(D818,Oficial!A:C,3,0)</f>
        <v>Bienes y Servicios</v>
      </c>
    </row>
    <row r="819" spans="1:30" x14ac:dyDescent="0.25">
      <c r="A819" s="36" t="s">
        <v>27</v>
      </c>
      <c r="B819" s="36" t="s">
        <v>827</v>
      </c>
      <c r="C819" s="36" t="s">
        <v>28</v>
      </c>
      <c r="D819" s="36" t="s">
        <v>827</v>
      </c>
      <c r="E819" s="36" t="s">
        <v>30</v>
      </c>
      <c r="F819" s="36" t="s">
        <v>569</v>
      </c>
      <c r="G819" s="37" t="s">
        <v>645</v>
      </c>
      <c r="H819" s="36" t="s">
        <v>828</v>
      </c>
      <c r="I819" s="36" t="s">
        <v>829</v>
      </c>
      <c r="J819" s="36">
        <v>4</v>
      </c>
      <c r="K819" s="36" t="s">
        <v>831</v>
      </c>
      <c r="L819" s="36">
        <v>4</v>
      </c>
      <c r="M819" s="36">
        <v>500</v>
      </c>
      <c r="N819" s="38">
        <v>600</v>
      </c>
      <c r="O819" s="38">
        <v>300000</v>
      </c>
      <c r="P819" s="36">
        <v>1</v>
      </c>
      <c r="Q819" s="40">
        <v>46082</v>
      </c>
      <c r="R819" s="36" t="s">
        <v>761</v>
      </c>
      <c r="S819" s="36" t="s">
        <v>762</v>
      </c>
      <c r="T819" s="36" t="s">
        <v>763</v>
      </c>
      <c r="U819" s="36" t="s">
        <v>764</v>
      </c>
      <c r="V819" s="40">
        <v>46082</v>
      </c>
      <c r="W819" s="36"/>
      <c r="X819" s="36">
        <v>0</v>
      </c>
      <c r="Y819" s="36"/>
      <c r="Z819" s="36">
        <v>0</v>
      </c>
      <c r="AA819" s="36">
        <v>0</v>
      </c>
      <c r="AB819" s="36"/>
      <c r="AC819" s="36" t="str">
        <f t="shared" si="1"/>
        <v>PC26</v>
      </c>
      <c r="AD819" s="36" t="str">
        <f>VLOOKUP(D819,Oficial!A:C,3,0)</f>
        <v>Bienes y Servicios</v>
      </c>
    </row>
    <row r="820" spans="1:30" x14ac:dyDescent="0.25">
      <c r="A820" s="36" t="s">
        <v>27</v>
      </c>
      <c r="B820" s="36" t="s">
        <v>827</v>
      </c>
      <c r="C820" s="36" t="s">
        <v>28</v>
      </c>
      <c r="D820" s="36" t="s">
        <v>827</v>
      </c>
      <c r="E820" s="36" t="s">
        <v>30</v>
      </c>
      <c r="F820" s="36" t="s">
        <v>569</v>
      </c>
      <c r="G820" s="37" t="s">
        <v>645</v>
      </c>
      <c r="H820" s="36" t="s">
        <v>828</v>
      </c>
      <c r="I820" s="36" t="s">
        <v>829</v>
      </c>
      <c r="J820" s="36">
        <v>4</v>
      </c>
      <c r="K820" s="36" t="s">
        <v>832</v>
      </c>
      <c r="L820" s="36">
        <v>4</v>
      </c>
      <c r="M820" s="36">
        <v>2</v>
      </c>
      <c r="N820" s="38">
        <v>75000</v>
      </c>
      <c r="O820" s="38">
        <v>150000</v>
      </c>
      <c r="P820" s="36">
        <v>1</v>
      </c>
      <c r="Q820" s="40">
        <v>46023</v>
      </c>
      <c r="R820" s="36" t="s">
        <v>761</v>
      </c>
      <c r="S820" s="36" t="s">
        <v>762</v>
      </c>
      <c r="T820" s="36" t="s">
        <v>763</v>
      </c>
      <c r="U820" s="36" t="s">
        <v>764</v>
      </c>
      <c r="V820" s="40">
        <v>46023</v>
      </c>
      <c r="W820" s="36"/>
      <c r="X820" s="36">
        <v>0</v>
      </c>
      <c r="Y820" s="36"/>
      <c r="Z820" s="36">
        <v>0</v>
      </c>
      <c r="AA820" s="36">
        <v>0</v>
      </c>
      <c r="AB820" s="36"/>
      <c r="AC820" s="36" t="str">
        <f t="shared" si="1"/>
        <v>PC26</v>
      </c>
      <c r="AD820" s="36" t="str">
        <f>VLOOKUP(D820,Oficial!A:C,3,0)</f>
        <v>Bienes y Servicios</v>
      </c>
    </row>
    <row r="821" spans="1:30" x14ac:dyDescent="0.25">
      <c r="A821" s="36" t="s">
        <v>27</v>
      </c>
      <c r="B821" s="36" t="s">
        <v>827</v>
      </c>
      <c r="C821" s="36" t="s">
        <v>28</v>
      </c>
      <c r="D821" s="36" t="s">
        <v>827</v>
      </c>
      <c r="E821" s="36" t="s">
        <v>30</v>
      </c>
      <c r="F821" s="36" t="s">
        <v>569</v>
      </c>
      <c r="G821" s="37" t="s">
        <v>645</v>
      </c>
      <c r="H821" s="36" t="s">
        <v>828</v>
      </c>
      <c r="I821" s="36" t="s">
        <v>829</v>
      </c>
      <c r="J821" s="36">
        <v>4</v>
      </c>
      <c r="K821" s="36" t="s">
        <v>833</v>
      </c>
      <c r="L821" s="36">
        <v>4</v>
      </c>
      <c r="M821" s="36">
        <v>1550</v>
      </c>
      <c r="N821" s="38">
        <v>691</v>
      </c>
      <c r="O821" s="38">
        <v>1071050</v>
      </c>
      <c r="P821" s="36">
        <v>1</v>
      </c>
      <c r="Q821" s="40">
        <v>46082</v>
      </c>
      <c r="R821" s="36" t="s">
        <v>761</v>
      </c>
      <c r="S821" s="36" t="s">
        <v>762</v>
      </c>
      <c r="T821" s="36" t="s">
        <v>763</v>
      </c>
      <c r="U821" s="36" t="s">
        <v>764</v>
      </c>
      <c r="V821" s="40">
        <v>46082</v>
      </c>
      <c r="W821" s="36"/>
      <c r="X821" s="36">
        <v>0</v>
      </c>
      <c r="Y821" s="36"/>
      <c r="Z821" s="36">
        <v>0</v>
      </c>
      <c r="AA821" s="36">
        <v>0</v>
      </c>
      <c r="AB821" s="36"/>
      <c r="AC821" s="36" t="str">
        <f t="shared" si="1"/>
        <v>PC26</v>
      </c>
      <c r="AD821" s="36" t="str">
        <f>VLOOKUP(D821,Oficial!A:C,3,0)</f>
        <v>Bienes y Servicios</v>
      </c>
    </row>
    <row r="822" spans="1:30" x14ac:dyDescent="0.25">
      <c r="A822" s="36" t="s">
        <v>27</v>
      </c>
      <c r="B822" s="36" t="s">
        <v>834</v>
      </c>
      <c r="C822" s="36" t="s">
        <v>28</v>
      </c>
      <c r="D822" s="36" t="s">
        <v>834</v>
      </c>
      <c r="E822" s="36" t="s">
        <v>30</v>
      </c>
      <c r="F822" s="36" t="s">
        <v>569</v>
      </c>
      <c r="G822" s="37" t="s">
        <v>654</v>
      </c>
      <c r="H822" s="36" t="s">
        <v>835</v>
      </c>
      <c r="I822" s="36" t="s">
        <v>836</v>
      </c>
      <c r="J822" s="36">
        <v>1</v>
      </c>
      <c r="K822" s="36" t="s">
        <v>370</v>
      </c>
      <c r="L822" s="36">
        <v>4</v>
      </c>
      <c r="M822" s="36">
        <v>100</v>
      </c>
      <c r="N822" s="38">
        <v>4000</v>
      </c>
      <c r="O822" s="38">
        <v>400000</v>
      </c>
      <c r="P822" s="36">
        <v>1</v>
      </c>
      <c r="Q822" s="40">
        <v>46204</v>
      </c>
      <c r="R822" s="36" t="s">
        <v>790</v>
      </c>
      <c r="S822" s="36" t="s">
        <v>791</v>
      </c>
      <c r="T822" s="36" t="s">
        <v>792</v>
      </c>
      <c r="U822" s="36" t="s">
        <v>793</v>
      </c>
      <c r="V822" s="40">
        <v>46204</v>
      </c>
      <c r="W822" s="36"/>
      <c r="X822" s="36">
        <v>0</v>
      </c>
      <c r="Y822" s="36"/>
      <c r="Z822" s="36">
        <v>0</v>
      </c>
      <c r="AA822" s="36">
        <v>0</v>
      </c>
      <c r="AB822" s="36"/>
      <c r="AC822" s="36" t="str">
        <f t="shared" si="1"/>
        <v>PC26</v>
      </c>
      <c r="AD822" s="36" t="str">
        <f>VLOOKUP(D822,Oficial!A:C,3,0)</f>
        <v>Bienes y Servicios</v>
      </c>
    </row>
    <row r="823" spans="1:30" x14ac:dyDescent="0.25">
      <c r="A823" s="36" t="s">
        <v>27</v>
      </c>
      <c r="B823" s="36" t="s">
        <v>837</v>
      </c>
      <c r="C823" s="36" t="s">
        <v>28</v>
      </c>
      <c r="D823" s="36" t="s">
        <v>837</v>
      </c>
      <c r="E823" s="36" t="s">
        <v>30</v>
      </c>
      <c r="F823" s="36" t="s">
        <v>569</v>
      </c>
      <c r="G823" s="37" t="s">
        <v>645</v>
      </c>
      <c r="H823" s="36" t="s">
        <v>838</v>
      </c>
      <c r="I823" s="36" t="s">
        <v>839</v>
      </c>
      <c r="J823" s="36">
        <v>1</v>
      </c>
      <c r="K823" s="36" t="s">
        <v>840</v>
      </c>
      <c r="L823" s="36">
        <v>4</v>
      </c>
      <c r="M823" s="36">
        <v>1</v>
      </c>
      <c r="N823" s="38">
        <v>130000</v>
      </c>
      <c r="O823" s="38">
        <v>130000</v>
      </c>
      <c r="P823" s="36">
        <v>1</v>
      </c>
      <c r="Q823" s="40">
        <v>46023</v>
      </c>
      <c r="R823" s="36" t="s">
        <v>768</v>
      </c>
      <c r="S823" s="36" t="s">
        <v>769</v>
      </c>
      <c r="T823" s="36" t="s">
        <v>770</v>
      </c>
      <c r="U823" s="36" t="s">
        <v>388</v>
      </c>
      <c r="V823" s="40">
        <v>46023</v>
      </c>
      <c r="W823" s="36"/>
      <c r="X823" s="36">
        <v>0</v>
      </c>
      <c r="Y823" s="36"/>
      <c r="Z823" s="36">
        <v>0</v>
      </c>
      <c r="AA823" s="36">
        <v>0</v>
      </c>
      <c r="AB823" s="36"/>
      <c r="AC823" s="36" t="str">
        <f t="shared" si="1"/>
        <v>PC26</v>
      </c>
      <c r="AD823" s="36" t="str">
        <f>VLOOKUP(D823,Oficial!A:C,3,0)</f>
        <v>Bienes y Servicios</v>
      </c>
    </row>
    <row r="824" spans="1:30" x14ac:dyDescent="0.25">
      <c r="A824" s="36" t="s">
        <v>27</v>
      </c>
      <c r="B824" s="36" t="s">
        <v>841</v>
      </c>
      <c r="C824" s="36" t="s">
        <v>374</v>
      </c>
      <c r="D824" s="36" t="s">
        <v>841</v>
      </c>
      <c r="E824" s="36" t="s">
        <v>30</v>
      </c>
      <c r="F824" s="36" t="s">
        <v>569</v>
      </c>
      <c r="G824" s="37" t="s">
        <v>842</v>
      </c>
      <c r="H824" s="36" t="s">
        <v>843</v>
      </c>
      <c r="I824" s="36" t="s">
        <v>844</v>
      </c>
      <c r="J824" s="36">
        <v>2</v>
      </c>
      <c r="K824" s="36" t="s">
        <v>845</v>
      </c>
      <c r="L824" s="36">
        <v>4</v>
      </c>
      <c r="M824" s="36">
        <v>20</v>
      </c>
      <c r="N824" s="38">
        <v>5250</v>
      </c>
      <c r="O824" s="38">
        <v>105000</v>
      </c>
      <c r="P824" s="36">
        <v>1</v>
      </c>
      <c r="Q824" s="40">
        <v>46023</v>
      </c>
      <c r="R824" s="36" t="s">
        <v>768</v>
      </c>
      <c r="S824" s="36" t="s">
        <v>769</v>
      </c>
      <c r="T824" s="36" t="s">
        <v>770</v>
      </c>
      <c r="U824" s="36" t="s">
        <v>388</v>
      </c>
      <c r="V824" s="40">
        <v>46023</v>
      </c>
      <c r="W824" s="36"/>
      <c r="X824" s="36">
        <v>0</v>
      </c>
      <c r="Y824" s="36"/>
      <c r="Z824" s="36">
        <v>0</v>
      </c>
      <c r="AA824" s="36">
        <v>0</v>
      </c>
      <c r="AB824" s="36"/>
      <c r="AC824" s="36" t="str">
        <f t="shared" si="1"/>
        <v>PC26</v>
      </c>
      <c r="AD824" s="36" t="str">
        <f>VLOOKUP(D824,Oficial!A:C,3,0)</f>
        <v>Administración de Fondos</v>
      </c>
    </row>
    <row r="825" spans="1:30" x14ac:dyDescent="0.25">
      <c r="A825" s="36" t="s">
        <v>27</v>
      </c>
      <c r="B825" s="36" t="s">
        <v>841</v>
      </c>
      <c r="C825" s="36" t="s">
        <v>374</v>
      </c>
      <c r="D825" s="36" t="s">
        <v>841</v>
      </c>
      <c r="E825" s="36" t="s">
        <v>30</v>
      </c>
      <c r="F825" s="36" t="s">
        <v>569</v>
      </c>
      <c r="G825" s="37" t="s">
        <v>842</v>
      </c>
      <c r="H825" s="36" t="s">
        <v>843</v>
      </c>
      <c r="I825" s="36" t="s">
        <v>844</v>
      </c>
      <c r="J825" s="36">
        <v>2</v>
      </c>
      <c r="K825" s="36" t="s">
        <v>846</v>
      </c>
      <c r="L825" s="36">
        <v>4</v>
      </c>
      <c r="M825" s="36">
        <v>10</v>
      </c>
      <c r="N825" s="38">
        <v>4500</v>
      </c>
      <c r="O825" s="38">
        <v>45000</v>
      </c>
      <c r="P825" s="36">
        <v>1</v>
      </c>
      <c r="Q825" s="40">
        <v>46023</v>
      </c>
      <c r="R825" s="36" t="s">
        <v>768</v>
      </c>
      <c r="S825" s="36" t="s">
        <v>769</v>
      </c>
      <c r="T825" s="36" t="s">
        <v>770</v>
      </c>
      <c r="U825" s="36" t="s">
        <v>388</v>
      </c>
      <c r="V825" s="40">
        <v>46023</v>
      </c>
      <c r="W825" s="36"/>
      <c r="X825" s="36">
        <v>0</v>
      </c>
      <c r="Y825" s="36"/>
      <c r="Z825" s="36">
        <v>0</v>
      </c>
      <c r="AA825" s="36">
        <v>0</v>
      </c>
      <c r="AB825" s="36"/>
      <c r="AC825" s="36" t="str">
        <f t="shared" si="1"/>
        <v>PC26</v>
      </c>
      <c r="AD825" s="36" t="str">
        <f>VLOOKUP(D825,Oficial!A:C,3,0)</f>
        <v>Administración de Fondos</v>
      </c>
    </row>
    <row r="826" spans="1:30" x14ac:dyDescent="0.25">
      <c r="A826" s="36" t="s">
        <v>27</v>
      </c>
      <c r="B826" s="36" t="s">
        <v>847</v>
      </c>
      <c r="C826" s="36" t="s">
        <v>374</v>
      </c>
      <c r="D826" s="36" t="s">
        <v>847</v>
      </c>
      <c r="E826" s="36" t="s">
        <v>30</v>
      </c>
      <c r="F826" s="36" t="s">
        <v>569</v>
      </c>
      <c r="G826" s="37" t="s">
        <v>654</v>
      </c>
      <c r="H826" s="36" t="s">
        <v>848</v>
      </c>
      <c r="I826" s="36" t="s">
        <v>849</v>
      </c>
      <c r="J826" s="36">
        <v>2</v>
      </c>
      <c r="K826" s="36" t="s">
        <v>359</v>
      </c>
      <c r="L826" s="36">
        <v>4</v>
      </c>
      <c r="M826" s="36">
        <v>32</v>
      </c>
      <c r="N826" s="38">
        <v>1181</v>
      </c>
      <c r="O826" s="38">
        <v>37792</v>
      </c>
      <c r="P826" s="36">
        <v>1</v>
      </c>
      <c r="Q826" s="40">
        <v>46204</v>
      </c>
      <c r="R826" s="36" t="s">
        <v>768</v>
      </c>
      <c r="S826" s="36" t="s">
        <v>769</v>
      </c>
      <c r="T826" s="36" t="s">
        <v>770</v>
      </c>
      <c r="U826" s="36" t="s">
        <v>388</v>
      </c>
      <c r="V826" s="40">
        <v>46204</v>
      </c>
      <c r="W826" s="36"/>
      <c r="X826" s="36">
        <v>0</v>
      </c>
      <c r="Y826" s="36"/>
      <c r="Z826" s="36">
        <v>0</v>
      </c>
      <c r="AA826" s="36">
        <v>0</v>
      </c>
      <c r="AB826" s="36"/>
      <c r="AC826" s="36" t="str">
        <f t="shared" si="1"/>
        <v>PC26</v>
      </c>
      <c r="AD826" s="36" t="str">
        <f>VLOOKUP(D826,Oficial!A:C,3,0)</f>
        <v>Administración de Fondos</v>
      </c>
    </row>
    <row r="827" spans="1:30" x14ac:dyDescent="0.25">
      <c r="A827" s="36" t="s">
        <v>27</v>
      </c>
      <c r="B827" s="36" t="s">
        <v>847</v>
      </c>
      <c r="C827" s="36" t="s">
        <v>374</v>
      </c>
      <c r="D827" s="36" t="s">
        <v>847</v>
      </c>
      <c r="E827" s="36" t="s">
        <v>30</v>
      </c>
      <c r="F827" s="36" t="s">
        <v>569</v>
      </c>
      <c r="G827" s="37" t="s">
        <v>654</v>
      </c>
      <c r="H827" s="36" t="s">
        <v>848</v>
      </c>
      <c r="I827" s="36" t="s">
        <v>849</v>
      </c>
      <c r="J827" s="36">
        <v>2</v>
      </c>
      <c r="K827" s="36" t="s">
        <v>850</v>
      </c>
      <c r="L827" s="36">
        <v>4</v>
      </c>
      <c r="M827" s="36">
        <v>9</v>
      </c>
      <c r="N827" s="38">
        <v>3889</v>
      </c>
      <c r="O827" s="38">
        <v>35001</v>
      </c>
      <c r="P827" s="36">
        <v>1</v>
      </c>
      <c r="Q827" s="40">
        <v>46204</v>
      </c>
      <c r="R827" s="36" t="s">
        <v>768</v>
      </c>
      <c r="S827" s="36" t="s">
        <v>769</v>
      </c>
      <c r="T827" s="36" t="s">
        <v>770</v>
      </c>
      <c r="U827" s="36" t="s">
        <v>388</v>
      </c>
      <c r="V827" s="40">
        <v>46204</v>
      </c>
      <c r="W827" s="36"/>
      <c r="X827" s="36">
        <v>0</v>
      </c>
      <c r="Y827" s="36"/>
      <c r="Z827" s="36">
        <v>0</v>
      </c>
      <c r="AA827" s="36">
        <v>0</v>
      </c>
      <c r="AB827" s="36"/>
      <c r="AC827" s="36" t="str">
        <f t="shared" si="1"/>
        <v>PC26</v>
      </c>
      <c r="AD827" s="36" t="str">
        <f>VLOOKUP(D827,Oficial!A:C,3,0)</f>
        <v>Administración de Fondos</v>
      </c>
    </row>
    <row r="828" spans="1:30" x14ac:dyDescent="0.25">
      <c r="A828" s="36" t="s">
        <v>27</v>
      </c>
      <c r="B828" s="36" t="s">
        <v>851</v>
      </c>
      <c r="C828" s="36" t="s">
        <v>374</v>
      </c>
      <c r="D828" s="36" t="s">
        <v>851</v>
      </c>
      <c r="E828" s="36" t="s">
        <v>30</v>
      </c>
      <c r="F828" s="36" t="s">
        <v>569</v>
      </c>
      <c r="G828" s="37" t="s">
        <v>645</v>
      </c>
      <c r="H828" s="36" t="s">
        <v>852</v>
      </c>
      <c r="I828" s="36" t="s">
        <v>853</v>
      </c>
      <c r="J828" s="36">
        <v>3</v>
      </c>
      <c r="K828" s="36" t="s">
        <v>854</v>
      </c>
      <c r="L828" s="36">
        <v>4</v>
      </c>
      <c r="M828" s="36">
        <v>78</v>
      </c>
      <c r="N828" s="38">
        <v>949</v>
      </c>
      <c r="O828" s="38">
        <v>74022</v>
      </c>
      <c r="P828" s="36">
        <v>1</v>
      </c>
      <c r="Q828" s="40">
        <v>46235</v>
      </c>
      <c r="R828" s="36" t="s">
        <v>768</v>
      </c>
      <c r="S828" s="36" t="s">
        <v>769</v>
      </c>
      <c r="T828" s="36" t="s">
        <v>770</v>
      </c>
      <c r="U828" s="36" t="s">
        <v>388</v>
      </c>
      <c r="V828" s="40">
        <v>46235</v>
      </c>
      <c r="W828" s="36"/>
      <c r="X828" s="36">
        <v>0</v>
      </c>
      <c r="Y828" s="36"/>
      <c r="Z828" s="36">
        <v>0</v>
      </c>
      <c r="AA828" s="36">
        <v>0</v>
      </c>
      <c r="AB828" s="36"/>
      <c r="AC828" s="36" t="str">
        <f t="shared" si="1"/>
        <v>PC26</v>
      </c>
      <c r="AD828" s="36" t="str">
        <f>VLOOKUP(D828,Oficial!A:C,3,0)</f>
        <v>Administración de Fondos</v>
      </c>
    </row>
    <row r="829" spans="1:30" x14ac:dyDescent="0.25">
      <c r="A829" s="36" t="s">
        <v>27</v>
      </c>
      <c r="B829" s="36" t="s">
        <v>851</v>
      </c>
      <c r="C829" s="36" t="s">
        <v>374</v>
      </c>
      <c r="D829" s="36" t="s">
        <v>851</v>
      </c>
      <c r="E829" s="36" t="s">
        <v>30</v>
      </c>
      <c r="F829" s="36" t="s">
        <v>569</v>
      </c>
      <c r="G829" s="37" t="s">
        <v>645</v>
      </c>
      <c r="H829" s="36" t="s">
        <v>852</v>
      </c>
      <c r="I829" s="36" t="s">
        <v>853</v>
      </c>
      <c r="J829" s="36">
        <v>3</v>
      </c>
      <c r="K829" s="36" t="s">
        <v>602</v>
      </c>
      <c r="L829" s="36">
        <v>4</v>
      </c>
      <c r="M829" s="36">
        <v>1</v>
      </c>
      <c r="N829" s="38">
        <v>500000</v>
      </c>
      <c r="O829" s="38">
        <v>500000</v>
      </c>
      <c r="P829" s="36">
        <v>1</v>
      </c>
      <c r="Q829" s="40">
        <v>46235</v>
      </c>
      <c r="R829" s="36" t="s">
        <v>768</v>
      </c>
      <c r="S829" s="36" t="s">
        <v>769</v>
      </c>
      <c r="T829" s="36" t="s">
        <v>770</v>
      </c>
      <c r="U829" s="36" t="s">
        <v>388</v>
      </c>
      <c r="V829" s="40">
        <v>46235</v>
      </c>
      <c r="W829" s="36"/>
      <c r="X829" s="36">
        <v>0</v>
      </c>
      <c r="Y829" s="36"/>
      <c r="Z829" s="36">
        <v>0</v>
      </c>
      <c r="AA829" s="36">
        <v>0</v>
      </c>
      <c r="AB829" s="36"/>
      <c r="AC829" s="36" t="str">
        <f t="shared" si="1"/>
        <v>PC26</v>
      </c>
      <c r="AD829" s="36" t="str">
        <f>VLOOKUP(D829,Oficial!A:C,3,0)</f>
        <v>Administración de Fondos</v>
      </c>
    </row>
    <row r="830" spans="1:30" x14ac:dyDescent="0.25">
      <c r="A830" s="36" t="s">
        <v>27</v>
      </c>
      <c r="B830" s="36" t="s">
        <v>851</v>
      </c>
      <c r="C830" s="36" t="s">
        <v>374</v>
      </c>
      <c r="D830" s="36" t="s">
        <v>851</v>
      </c>
      <c r="E830" s="36" t="s">
        <v>30</v>
      </c>
      <c r="F830" s="36" t="s">
        <v>569</v>
      </c>
      <c r="G830" s="37" t="s">
        <v>645</v>
      </c>
      <c r="H830" s="36" t="s">
        <v>852</v>
      </c>
      <c r="I830" s="36" t="s">
        <v>853</v>
      </c>
      <c r="J830" s="36">
        <v>3</v>
      </c>
      <c r="K830" s="36" t="s">
        <v>855</v>
      </c>
      <c r="L830" s="36">
        <v>4</v>
      </c>
      <c r="M830" s="36">
        <v>10</v>
      </c>
      <c r="N830" s="38">
        <v>1500</v>
      </c>
      <c r="O830" s="38">
        <v>15000</v>
      </c>
      <c r="P830" s="36">
        <v>1</v>
      </c>
      <c r="Q830" s="40">
        <v>46235</v>
      </c>
      <c r="R830" s="36" t="s">
        <v>768</v>
      </c>
      <c r="S830" s="36" t="s">
        <v>769</v>
      </c>
      <c r="T830" s="36" t="s">
        <v>770</v>
      </c>
      <c r="U830" s="36" t="s">
        <v>388</v>
      </c>
      <c r="V830" s="40">
        <v>46235</v>
      </c>
      <c r="W830" s="36"/>
      <c r="X830" s="36">
        <v>0</v>
      </c>
      <c r="Y830" s="36"/>
      <c r="Z830" s="36">
        <v>0</v>
      </c>
      <c r="AA830" s="36">
        <v>0</v>
      </c>
      <c r="AB830" s="36"/>
      <c r="AC830" s="36" t="str">
        <f t="shared" si="1"/>
        <v>PC26</v>
      </c>
      <c r="AD830" s="36" t="str">
        <f>VLOOKUP(D830,Oficial!A:C,3,0)</f>
        <v>Administración de Fondos</v>
      </c>
    </row>
    <row r="831" spans="1:30" x14ac:dyDescent="0.25">
      <c r="A831" s="36" t="s">
        <v>27</v>
      </c>
      <c r="B831" s="36" t="s">
        <v>856</v>
      </c>
      <c r="C831" s="36" t="s">
        <v>374</v>
      </c>
      <c r="D831" s="36" t="s">
        <v>856</v>
      </c>
      <c r="E831" s="36" t="s">
        <v>30</v>
      </c>
      <c r="F831" s="36" t="s">
        <v>569</v>
      </c>
      <c r="G831" s="37" t="s">
        <v>800</v>
      </c>
      <c r="H831" s="36" t="s">
        <v>857</v>
      </c>
      <c r="I831" s="36" t="s">
        <v>858</v>
      </c>
      <c r="J831" s="36">
        <v>1</v>
      </c>
      <c r="K831" s="36" t="s">
        <v>859</v>
      </c>
      <c r="L831" s="36">
        <v>4</v>
      </c>
      <c r="M831" s="36">
        <v>6</v>
      </c>
      <c r="N831" s="38">
        <v>50000</v>
      </c>
      <c r="O831" s="38">
        <v>300000</v>
      </c>
      <c r="P831" s="36">
        <v>1</v>
      </c>
      <c r="Q831" s="40">
        <v>46082</v>
      </c>
      <c r="R831" s="36" t="s">
        <v>768</v>
      </c>
      <c r="S831" s="36" t="s">
        <v>769</v>
      </c>
      <c r="T831" s="36" t="s">
        <v>770</v>
      </c>
      <c r="U831" s="36" t="s">
        <v>388</v>
      </c>
      <c r="V831" s="40">
        <v>46082</v>
      </c>
      <c r="W831" s="36"/>
      <c r="X831" s="36">
        <v>0</v>
      </c>
      <c r="Y831" s="36"/>
      <c r="Z831" s="36">
        <v>0</v>
      </c>
      <c r="AA831" s="36">
        <v>0</v>
      </c>
      <c r="AB831" s="36"/>
      <c r="AC831" s="36" t="str">
        <f t="shared" si="1"/>
        <v>PC26</v>
      </c>
      <c r="AD831" s="36" t="str">
        <f>VLOOKUP(D831,Oficial!A:C,3,0)</f>
        <v>Administración de Fondos</v>
      </c>
    </row>
    <row r="832" spans="1:30" x14ac:dyDescent="0.25">
      <c r="A832" s="36" t="s">
        <v>27</v>
      </c>
      <c r="B832" s="36" t="s">
        <v>860</v>
      </c>
      <c r="C832" s="36" t="s">
        <v>28</v>
      </c>
      <c r="D832" s="36" t="s">
        <v>860</v>
      </c>
      <c r="E832" s="36" t="s">
        <v>30</v>
      </c>
      <c r="F832" s="36" t="s">
        <v>569</v>
      </c>
      <c r="G832" s="37" t="s">
        <v>483</v>
      </c>
      <c r="H832" s="36" t="s">
        <v>861</v>
      </c>
      <c r="I832" s="36" t="s">
        <v>862</v>
      </c>
      <c r="J832" s="36">
        <v>1</v>
      </c>
      <c r="K832" s="36" t="s">
        <v>863</v>
      </c>
      <c r="L832" s="36">
        <v>4</v>
      </c>
      <c r="M832" s="36">
        <v>177</v>
      </c>
      <c r="N832" s="38">
        <v>2091</v>
      </c>
      <c r="O832" s="38">
        <v>370107</v>
      </c>
      <c r="P832" s="36">
        <v>1</v>
      </c>
      <c r="Q832" s="40">
        <v>46023</v>
      </c>
      <c r="R832" s="36" t="s">
        <v>864</v>
      </c>
      <c r="S832" s="36" t="s">
        <v>865</v>
      </c>
      <c r="T832" s="36" t="s">
        <v>866</v>
      </c>
      <c r="U832" s="36" t="s">
        <v>867</v>
      </c>
      <c r="V832" s="40">
        <v>46023</v>
      </c>
      <c r="W832" s="36"/>
      <c r="X832" s="36">
        <v>0</v>
      </c>
      <c r="Y832" s="36"/>
      <c r="Z832" s="36">
        <v>0</v>
      </c>
      <c r="AA832" s="36">
        <v>0</v>
      </c>
      <c r="AB832" s="36"/>
      <c r="AC832" s="36" t="str">
        <f t="shared" si="1"/>
        <v>PC26</v>
      </c>
      <c r="AD832" s="36" t="str">
        <f>VLOOKUP(D832,Oficial!A:C,3,0)</f>
        <v>Bienes y Servicios</v>
      </c>
    </row>
    <row r="833" spans="1:30" x14ac:dyDescent="0.25">
      <c r="A833" s="36" t="s">
        <v>27</v>
      </c>
      <c r="B833" s="36" t="s">
        <v>868</v>
      </c>
      <c r="C833" s="36" t="s">
        <v>28</v>
      </c>
      <c r="D833" s="36" t="s">
        <v>868</v>
      </c>
      <c r="E833" s="36" t="s">
        <v>30</v>
      </c>
      <c r="F833" s="36" t="s">
        <v>569</v>
      </c>
      <c r="G833" s="37" t="s">
        <v>32</v>
      </c>
      <c r="H833" s="36" t="s">
        <v>869</v>
      </c>
      <c r="I833" s="36" t="s">
        <v>870</v>
      </c>
      <c r="J833" s="36">
        <v>1</v>
      </c>
      <c r="K833" s="36" t="s">
        <v>807</v>
      </c>
      <c r="L833" s="36">
        <v>4</v>
      </c>
      <c r="M833" s="36">
        <v>1</v>
      </c>
      <c r="N833" s="38">
        <v>3000000</v>
      </c>
      <c r="O833" s="38">
        <v>3000000</v>
      </c>
      <c r="P833" s="36">
        <v>1</v>
      </c>
      <c r="Q833" s="40">
        <v>46143</v>
      </c>
      <c r="R833" s="36" t="s">
        <v>624</v>
      </c>
      <c r="S833" s="36" t="s">
        <v>625</v>
      </c>
      <c r="T833" s="36" t="s">
        <v>626</v>
      </c>
      <c r="U833" s="36" t="s">
        <v>627</v>
      </c>
      <c r="V833" s="40">
        <v>46143</v>
      </c>
      <c r="W833" s="36"/>
      <c r="X833" s="36">
        <v>0</v>
      </c>
      <c r="Y833" s="36"/>
      <c r="Z833" s="36">
        <v>0</v>
      </c>
      <c r="AA833" s="36">
        <v>0</v>
      </c>
      <c r="AB833" s="36"/>
      <c r="AC833" s="36" t="str">
        <f t="shared" si="1"/>
        <v>PC26</v>
      </c>
      <c r="AD833" s="36" t="str">
        <f>VLOOKUP(D833,Oficial!A:C,3,0)</f>
        <v>Bienes y Servicios</v>
      </c>
    </row>
    <row r="834" spans="1:30" x14ac:dyDescent="0.25">
      <c r="A834" s="36" t="s">
        <v>27</v>
      </c>
      <c r="B834" s="36" t="s">
        <v>871</v>
      </c>
      <c r="C834" s="36" t="s">
        <v>28</v>
      </c>
      <c r="D834" s="36" t="s">
        <v>871</v>
      </c>
      <c r="E834" s="36" t="s">
        <v>30</v>
      </c>
      <c r="F834" s="36" t="s">
        <v>569</v>
      </c>
      <c r="G834" s="37" t="s">
        <v>800</v>
      </c>
      <c r="H834" s="36" t="s">
        <v>872</v>
      </c>
      <c r="I834" s="36" t="s">
        <v>873</v>
      </c>
      <c r="J834" s="36">
        <v>1</v>
      </c>
      <c r="K834" s="36" t="s">
        <v>874</v>
      </c>
      <c r="L834" s="36">
        <v>4</v>
      </c>
      <c r="M834" s="36">
        <v>26</v>
      </c>
      <c r="N834" s="38">
        <v>18154</v>
      </c>
      <c r="O834" s="38">
        <v>472004</v>
      </c>
      <c r="P834" s="36">
        <v>1</v>
      </c>
      <c r="Q834" s="40">
        <v>46204</v>
      </c>
      <c r="R834" s="36" t="s">
        <v>761</v>
      </c>
      <c r="S834" s="36" t="s">
        <v>762</v>
      </c>
      <c r="T834" s="36" t="s">
        <v>763</v>
      </c>
      <c r="U834" s="36" t="s">
        <v>764</v>
      </c>
      <c r="V834" s="40">
        <v>46204</v>
      </c>
      <c r="W834" s="36"/>
      <c r="X834" s="36">
        <v>0</v>
      </c>
      <c r="Y834" s="36"/>
      <c r="Z834" s="36">
        <v>0</v>
      </c>
      <c r="AA834" s="36">
        <v>0</v>
      </c>
      <c r="AB834" s="36"/>
      <c r="AC834" s="36" t="str">
        <f t="shared" si="1"/>
        <v>PC26</v>
      </c>
      <c r="AD834" s="36" t="str">
        <f>VLOOKUP(D834,Oficial!A:C,3,0)</f>
        <v>Bienes y Servicios</v>
      </c>
    </row>
    <row r="835" spans="1:30" x14ac:dyDescent="0.25">
      <c r="A835" s="36" t="s">
        <v>27</v>
      </c>
      <c r="B835" s="36" t="s">
        <v>875</v>
      </c>
      <c r="C835" s="36" t="s">
        <v>28</v>
      </c>
      <c r="D835" s="36" t="s">
        <v>875</v>
      </c>
      <c r="E835" s="36" t="s">
        <v>30</v>
      </c>
      <c r="F835" s="36" t="s">
        <v>569</v>
      </c>
      <c r="G835" s="37" t="s">
        <v>645</v>
      </c>
      <c r="H835" s="36" t="s">
        <v>876</v>
      </c>
      <c r="I835" s="36" t="s">
        <v>877</v>
      </c>
      <c r="J835" s="36">
        <v>1</v>
      </c>
      <c r="K835" s="36" t="s">
        <v>878</v>
      </c>
      <c r="L835" s="36">
        <v>4</v>
      </c>
      <c r="M835" s="36">
        <v>4</v>
      </c>
      <c r="N835" s="38">
        <v>150000</v>
      </c>
      <c r="O835" s="38">
        <v>600000</v>
      </c>
      <c r="P835" s="36">
        <v>1</v>
      </c>
      <c r="Q835" s="40">
        <v>46082</v>
      </c>
      <c r="R835" s="36" t="s">
        <v>761</v>
      </c>
      <c r="S835" s="36" t="s">
        <v>762</v>
      </c>
      <c r="T835" s="36" t="s">
        <v>763</v>
      </c>
      <c r="U835" s="36" t="s">
        <v>764</v>
      </c>
      <c r="V835" s="40">
        <v>46082</v>
      </c>
      <c r="W835" s="36"/>
      <c r="X835" s="36">
        <v>0</v>
      </c>
      <c r="Y835" s="36"/>
      <c r="Z835" s="36">
        <v>0</v>
      </c>
      <c r="AA835" s="36">
        <v>0</v>
      </c>
      <c r="AB835" s="36"/>
      <c r="AC835" s="36" t="str">
        <f t="shared" si="1"/>
        <v>PC26</v>
      </c>
      <c r="AD835" s="36" t="str">
        <f>VLOOKUP(D835,Oficial!A:C,3,0)</f>
        <v>Bienes y Servicios</v>
      </c>
    </row>
    <row r="836" spans="1:30" x14ac:dyDescent="0.25">
      <c r="A836" s="36" t="s">
        <v>27</v>
      </c>
      <c r="B836" s="36" t="s">
        <v>879</v>
      </c>
      <c r="C836" s="36" t="s">
        <v>28</v>
      </c>
      <c r="D836" s="36" t="s">
        <v>879</v>
      </c>
      <c r="E836" s="36" t="s">
        <v>30</v>
      </c>
      <c r="F836" s="36" t="s">
        <v>569</v>
      </c>
      <c r="G836" s="37" t="s">
        <v>104</v>
      </c>
      <c r="H836" s="36" t="s">
        <v>880</v>
      </c>
      <c r="I836" s="36" t="s">
        <v>881</v>
      </c>
      <c r="J836" s="36">
        <v>3</v>
      </c>
      <c r="K836" s="36" t="s">
        <v>882</v>
      </c>
      <c r="L836" s="36">
        <v>4</v>
      </c>
      <c r="M836" s="36">
        <v>28</v>
      </c>
      <c r="N836" s="38">
        <v>132143</v>
      </c>
      <c r="O836" s="38">
        <v>3700004</v>
      </c>
      <c r="P836" s="36">
        <v>1</v>
      </c>
      <c r="Q836" s="40">
        <v>46143</v>
      </c>
      <c r="R836" s="36" t="s">
        <v>761</v>
      </c>
      <c r="S836" s="36" t="s">
        <v>762</v>
      </c>
      <c r="T836" s="36" t="s">
        <v>763</v>
      </c>
      <c r="U836" s="36" t="s">
        <v>764</v>
      </c>
      <c r="V836" s="40">
        <v>46143</v>
      </c>
      <c r="W836" s="36"/>
      <c r="X836" s="36">
        <v>0</v>
      </c>
      <c r="Y836" s="36"/>
      <c r="Z836" s="36">
        <v>0</v>
      </c>
      <c r="AA836" s="36">
        <v>0</v>
      </c>
      <c r="AB836" s="36"/>
      <c r="AC836" s="36" t="str">
        <f t="shared" si="1"/>
        <v>PC26</v>
      </c>
      <c r="AD836" s="36" t="str">
        <f>VLOOKUP(D836,Oficial!A:C,3,0)</f>
        <v>Bienes y Servicios</v>
      </c>
    </row>
    <row r="837" spans="1:30" x14ac:dyDescent="0.25">
      <c r="A837" s="36" t="s">
        <v>27</v>
      </c>
      <c r="B837" s="36" t="s">
        <v>879</v>
      </c>
      <c r="C837" s="36" t="s">
        <v>28</v>
      </c>
      <c r="D837" s="36" t="s">
        <v>879</v>
      </c>
      <c r="E837" s="36" t="s">
        <v>30</v>
      </c>
      <c r="F837" s="36" t="s">
        <v>569</v>
      </c>
      <c r="G837" s="37" t="s">
        <v>104</v>
      </c>
      <c r="H837" s="36" t="s">
        <v>880</v>
      </c>
      <c r="I837" s="36" t="s">
        <v>881</v>
      </c>
      <c r="J837" s="36">
        <v>3</v>
      </c>
      <c r="K837" s="36" t="s">
        <v>883</v>
      </c>
      <c r="L837" s="36">
        <v>4</v>
      </c>
      <c r="M837" s="36">
        <v>60</v>
      </c>
      <c r="N837" s="38">
        <v>36667</v>
      </c>
      <c r="O837" s="38">
        <v>2200020</v>
      </c>
      <c r="P837" s="36">
        <v>1</v>
      </c>
      <c r="Q837" s="40">
        <v>46143</v>
      </c>
      <c r="R837" s="36" t="s">
        <v>761</v>
      </c>
      <c r="S837" s="36" t="s">
        <v>762</v>
      </c>
      <c r="T837" s="36" t="s">
        <v>763</v>
      </c>
      <c r="U837" s="36" t="s">
        <v>764</v>
      </c>
      <c r="V837" s="40">
        <v>46143</v>
      </c>
      <c r="W837" s="36"/>
      <c r="X837" s="36">
        <v>0</v>
      </c>
      <c r="Y837" s="36"/>
      <c r="Z837" s="36">
        <v>0</v>
      </c>
      <c r="AA837" s="36">
        <v>0</v>
      </c>
      <c r="AB837" s="36"/>
      <c r="AC837" s="36" t="str">
        <f t="shared" si="1"/>
        <v>PC26</v>
      </c>
      <c r="AD837" s="36" t="str">
        <f>VLOOKUP(D837,Oficial!A:C,3,0)</f>
        <v>Bienes y Servicios</v>
      </c>
    </row>
    <row r="838" spans="1:30" x14ac:dyDescent="0.25">
      <c r="A838" s="36" t="s">
        <v>27</v>
      </c>
      <c r="B838" s="36" t="s">
        <v>879</v>
      </c>
      <c r="C838" s="36" t="s">
        <v>28</v>
      </c>
      <c r="D838" s="36" t="s">
        <v>879</v>
      </c>
      <c r="E838" s="36" t="s">
        <v>30</v>
      </c>
      <c r="F838" s="36" t="s">
        <v>569</v>
      </c>
      <c r="G838" s="37" t="s">
        <v>104</v>
      </c>
      <c r="H838" s="36" t="s">
        <v>880</v>
      </c>
      <c r="I838" s="36" t="s">
        <v>881</v>
      </c>
      <c r="J838" s="36">
        <v>3</v>
      </c>
      <c r="K838" s="36" t="s">
        <v>62</v>
      </c>
      <c r="L838" s="36">
        <v>4</v>
      </c>
      <c r="M838" s="36">
        <v>2</v>
      </c>
      <c r="N838" s="38">
        <v>100000</v>
      </c>
      <c r="O838" s="38">
        <v>200000</v>
      </c>
      <c r="P838" s="36">
        <v>1</v>
      </c>
      <c r="Q838" s="40">
        <v>46143</v>
      </c>
      <c r="R838" s="36" t="s">
        <v>761</v>
      </c>
      <c r="S838" s="36" t="s">
        <v>762</v>
      </c>
      <c r="T838" s="36" t="s">
        <v>763</v>
      </c>
      <c r="U838" s="36" t="s">
        <v>764</v>
      </c>
      <c r="V838" s="40">
        <v>46143</v>
      </c>
      <c r="W838" s="36"/>
      <c r="X838" s="36">
        <v>0</v>
      </c>
      <c r="Y838" s="36"/>
      <c r="Z838" s="36">
        <v>0</v>
      </c>
      <c r="AA838" s="36">
        <v>0</v>
      </c>
      <c r="AB838" s="36"/>
      <c r="AC838" s="36" t="str">
        <f t="shared" si="1"/>
        <v>PC26</v>
      </c>
      <c r="AD838" s="36" t="str">
        <f>VLOOKUP(D838,Oficial!A:C,3,0)</f>
        <v>Bienes y Servicios</v>
      </c>
    </row>
    <row r="839" spans="1:30" x14ac:dyDescent="0.25">
      <c r="A839" s="36" t="s">
        <v>27</v>
      </c>
      <c r="B839" s="36" t="s">
        <v>884</v>
      </c>
      <c r="C839" s="36" t="s">
        <v>28</v>
      </c>
      <c r="D839" s="36" t="s">
        <v>884</v>
      </c>
      <c r="E839" s="36" t="s">
        <v>30</v>
      </c>
      <c r="F839" s="36" t="s">
        <v>569</v>
      </c>
      <c r="G839" s="37" t="s">
        <v>633</v>
      </c>
      <c r="H839" s="36" t="s">
        <v>885</v>
      </c>
      <c r="I839" s="36" t="s">
        <v>886</v>
      </c>
      <c r="J839" s="36">
        <v>3</v>
      </c>
      <c r="K839" s="36" t="s">
        <v>821</v>
      </c>
      <c r="L839" s="36">
        <v>4</v>
      </c>
      <c r="M839" s="36">
        <v>31</v>
      </c>
      <c r="N839" s="38">
        <v>33226</v>
      </c>
      <c r="O839" s="38">
        <v>1030006</v>
      </c>
      <c r="P839" s="36">
        <v>1</v>
      </c>
      <c r="Q839" s="40">
        <v>46113</v>
      </c>
      <c r="R839" s="36" t="s">
        <v>761</v>
      </c>
      <c r="S839" s="36" t="s">
        <v>762</v>
      </c>
      <c r="T839" s="36" t="s">
        <v>763</v>
      </c>
      <c r="U839" s="36" t="s">
        <v>764</v>
      </c>
      <c r="V839" s="40">
        <v>46113</v>
      </c>
      <c r="W839" s="36"/>
      <c r="X839" s="36">
        <v>0</v>
      </c>
      <c r="Y839" s="36"/>
      <c r="Z839" s="36">
        <v>0</v>
      </c>
      <c r="AA839" s="36">
        <v>0</v>
      </c>
      <c r="AB839" s="36"/>
      <c r="AC839" s="36" t="str">
        <f t="shared" si="1"/>
        <v>PC26</v>
      </c>
      <c r="AD839" s="36" t="str">
        <f>VLOOKUP(D839,Oficial!A:C,3,0)</f>
        <v>Bienes y Servicios</v>
      </c>
    </row>
    <row r="840" spans="1:30" x14ac:dyDescent="0.25">
      <c r="A840" s="36" t="s">
        <v>27</v>
      </c>
      <c r="B840" s="36" t="s">
        <v>884</v>
      </c>
      <c r="C840" s="36" t="s">
        <v>28</v>
      </c>
      <c r="D840" s="36" t="s">
        <v>884</v>
      </c>
      <c r="E840" s="36" t="s">
        <v>30</v>
      </c>
      <c r="F840" s="36" t="s">
        <v>569</v>
      </c>
      <c r="G840" s="37" t="s">
        <v>633</v>
      </c>
      <c r="H840" s="36" t="s">
        <v>885</v>
      </c>
      <c r="I840" s="36" t="s">
        <v>886</v>
      </c>
      <c r="J840" s="36">
        <v>3</v>
      </c>
      <c r="K840" s="36" t="s">
        <v>887</v>
      </c>
      <c r="L840" s="36">
        <v>4</v>
      </c>
      <c r="M840" s="36">
        <v>12</v>
      </c>
      <c r="N840" s="38">
        <v>75000</v>
      </c>
      <c r="O840" s="38">
        <v>900000</v>
      </c>
      <c r="P840" s="36">
        <v>1</v>
      </c>
      <c r="Q840" s="40">
        <v>46023</v>
      </c>
      <c r="R840" s="36" t="s">
        <v>761</v>
      </c>
      <c r="S840" s="36" t="s">
        <v>762</v>
      </c>
      <c r="T840" s="36" t="s">
        <v>763</v>
      </c>
      <c r="U840" s="36" t="s">
        <v>764</v>
      </c>
      <c r="V840" s="40">
        <v>46023</v>
      </c>
      <c r="W840" s="36"/>
      <c r="X840" s="36">
        <v>0</v>
      </c>
      <c r="Y840" s="36"/>
      <c r="Z840" s="36">
        <v>0</v>
      </c>
      <c r="AA840" s="36">
        <v>0</v>
      </c>
      <c r="AB840" s="36"/>
      <c r="AC840" s="36" t="str">
        <f t="shared" si="1"/>
        <v>PC26</v>
      </c>
      <c r="AD840" s="36" t="str">
        <f>VLOOKUP(D840,Oficial!A:C,3,0)</f>
        <v>Bienes y Servicios</v>
      </c>
    </row>
    <row r="841" spans="1:30" x14ac:dyDescent="0.25">
      <c r="A841" s="36" t="s">
        <v>27</v>
      </c>
      <c r="B841" s="36" t="s">
        <v>884</v>
      </c>
      <c r="C841" s="36" t="s">
        <v>28</v>
      </c>
      <c r="D841" s="36" t="s">
        <v>884</v>
      </c>
      <c r="E841" s="36" t="s">
        <v>30</v>
      </c>
      <c r="F841" s="36" t="s">
        <v>569</v>
      </c>
      <c r="G841" s="37" t="s">
        <v>633</v>
      </c>
      <c r="H841" s="36" t="s">
        <v>885</v>
      </c>
      <c r="I841" s="36" t="s">
        <v>886</v>
      </c>
      <c r="J841" s="36">
        <v>3</v>
      </c>
      <c r="K841" s="36" t="s">
        <v>883</v>
      </c>
      <c r="L841" s="36">
        <v>4</v>
      </c>
      <c r="M841" s="36">
        <v>20</v>
      </c>
      <c r="N841" s="38">
        <v>40000</v>
      </c>
      <c r="O841" s="38">
        <v>800000</v>
      </c>
      <c r="P841" s="36">
        <v>1</v>
      </c>
      <c r="Q841" s="40">
        <v>46174</v>
      </c>
      <c r="R841" s="36" t="s">
        <v>761</v>
      </c>
      <c r="S841" s="36" t="s">
        <v>762</v>
      </c>
      <c r="T841" s="36" t="s">
        <v>763</v>
      </c>
      <c r="U841" s="36" t="s">
        <v>764</v>
      </c>
      <c r="V841" s="40">
        <v>46174</v>
      </c>
      <c r="W841" s="36"/>
      <c r="X841" s="36">
        <v>0</v>
      </c>
      <c r="Y841" s="36"/>
      <c r="Z841" s="36">
        <v>0</v>
      </c>
      <c r="AA841" s="36">
        <v>0</v>
      </c>
      <c r="AB841" s="36"/>
      <c r="AC841" s="36" t="str">
        <f t="shared" si="1"/>
        <v>PC26</v>
      </c>
      <c r="AD841" s="36" t="str">
        <f>VLOOKUP(D841,Oficial!A:C,3,0)</f>
        <v>Bienes y Servicios</v>
      </c>
    </row>
    <row r="842" spans="1:30" x14ac:dyDescent="0.25">
      <c r="A842" s="36" t="s">
        <v>27</v>
      </c>
      <c r="B842" s="36" t="s">
        <v>888</v>
      </c>
      <c r="C842" s="36" t="s">
        <v>28</v>
      </c>
      <c r="D842" s="36" t="s">
        <v>888</v>
      </c>
      <c r="E842" s="36" t="s">
        <v>45</v>
      </c>
      <c r="F842" s="36" t="s">
        <v>569</v>
      </c>
      <c r="G842" s="37" t="s">
        <v>427</v>
      </c>
      <c r="H842" s="36" t="s">
        <v>889</v>
      </c>
      <c r="I842" s="36" t="s">
        <v>890</v>
      </c>
      <c r="J842" s="36">
        <v>1</v>
      </c>
      <c r="K842" s="36" t="s">
        <v>891</v>
      </c>
      <c r="L842" s="36">
        <v>4</v>
      </c>
      <c r="M842" s="36">
        <v>1</v>
      </c>
      <c r="N842" s="38">
        <v>75000000</v>
      </c>
      <c r="O842" s="38">
        <v>31250000</v>
      </c>
      <c r="P842" s="36">
        <v>12</v>
      </c>
      <c r="Q842" s="36" t="s">
        <v>892</v>
      </c>
      <c r="R842" s="36" t="s">
        <v>309</v>
      </c>
      <c r="S842" s="36" t="s">
        <v>893</v>
      </c>
      <c r="T842" s="36" t="s">
        <v>894</v>
      </c>
      <c r="U842" s="36" t="s">
        <v>312</v>
      </c>
      <c r="V842" s="40">
        <v>46204</v>
      </c>
      <c r="W842" s="36"/>
      <c r="X842" s="36">
        <v>0</v>
      </c>
      <c r="Y842" s="36"/>
      <c r="Z842" s="36">
        <v>0</v>
      </c>
      <c r="AA842" s="36">
        <v>0</v>
      </c>
      <c r="AB842" s="36"/>
      <c r="AC842" s="36" t="str">
        <f t="shared" si="1"/>
        <v>PC26</v>
      </c>
      <c r="AD842" s="36" t="str">
        <f>VLOOKUP(D842,Oficial!A:C,3,0)</f>
        <v>Bienes y Servicios</v>
      </c>
    </row>
    <row r="843" spans="1:30" x14ac:dyDescent="0.25">
      <c r="A843" s="36" t="s">
        <v>27</v>
      </c>
      <c r="B843" s="36" t="s">
        <v>895</v>
      </c>
      <c r="C843" s="36" t="s">
        <v>28</v>
      </c>
      <c r="D843" s="36" t="s">
        <v>895</v>
      </c>
      <c r="E843" s="36" t="s">
        <v>30</v>
      </c>
      <c r="F843" s="36" t="s">
        <v>569</v>
      </c>
      <c r="G843" s="37" t="s">
        <v>645</v>
      </c>
      <c r="H843" s="36" t="s">
        <v>896</v>
      </c>
      <c r="I843" s="36" t="s">
        <v>897</v>
      </c>
      <c r="J843" s="36">
        <v>1</v>
      </c>
      <c r="K843" s="36" t="s">
        <v>898</v>
      </c>
      <c r="L843" s="36">
        <v>4</v>
      </c>
      <c r="M843" s="36">
        <v>50</v>
      </c>
      <c r="N843" s="38">
        <v>4000</v>
      </c>
      <c r="O843" s="38">
        <v>200000</v>
      </c>
      <c r="P843" s="36">
        <v>1</v>
      </c>
      <c r="Q843" s="40">
        <v>46082</v>
      </c>
      <c r="R843" s="36" t="s">
        <v>899</v>
      </c>
      <c r="S843" s="36" t="s">
        <v>900</v>
      </c>
      <c r="T843" s="36" t="s">
        <v>901</v>
      </c>
      <c r="U843" s="36" t="s">
        <v>902</v>
      </c>
      <c r="V843" s="40">
        <v>46082</v>
      </c>
      <c r="W843" s="36"/>
      <c r="X843" s="36">
        <v>0</v>
      </c>
      <c r="Y843" s="36"/>
      <c r="Z843" s="36">
        <v>0</v>
      </c>
      <c r="AA843" s="36">
        <v>0</v>
      </c>
      <c r="AB843" s="36"/>
      <c r="AC843" s="36" t="str">
        <f t="shared" si="1"/>
        <v>PC26</v>
      </c>
      <c r="AD843" s="36" t="str">
        <f>VLOOKUP(D843,Oficial!A:C,3,0)</f>
        <v>Bienes y Servicios</v>
      </c>
    </row>
    <row r="844" spans="1:30" x14ac:dyDescent="0.25">
      <c r="A844" s="36" t="s">
        <v>27</v>
      </c>
      <c r="B844" s="36" t="s">
        <v>903</v>
      </c>
      <c r="C844" s="36" t="s">
        <v>28</v>
      </c>
      <c r="D844" s="36" t="s">
        <v>903</v>
      </c>
      <c r="E844" s="36" t="s">
        <v>30</v>
      </c>
      <c r="F844" s="36" t="s">
        <v>569</v>
      </c>
      <c r="G844" s="37" t="s">
        <v>654</v>
      </c>
      <c r="H844" s="36" t="s">
        <v>904</v>
      </c>
      <c r="I844" s="36" t="s">
        <v>905</v>
      </c>
      <c r="J844" s="36">
        <v>7</v>
      </c>
      <c r="K844" s="36" t="s">
        <v>359</v>
      </c>
      <c r="L844" s="36">
        <v>4</v>
      </c>
      <c r="M844" s="36">
        <v>1</v>
      </c>
      <c r="N844" s="38">
        <v>107000</v>
      </c>
      <c r="O844" s="38">
        <v>107000</v>
      </c>
      <c r="P844" s="36">
        <v>1</v>
      </c>
      <c r="Q844" s="40">
        <v>46054</v>
      </c>
      <c r="R844" s="36" t="s">
        <v>906</v>
      </c>
      <c r="S844" s="36" t="s">
        <v>907</v>
      </c>
      <c r="T844" s="36" t="s">
        <v>908</v>
      </c>
      <c r="U844" s="36" t="s">
        <v>909</v>
      </c>
      <c r="V844" s="40">
        <v>46054</v>
      </c>
      <c r="W844" s="36"/>
      <c r="X844" s="36">
        <v>0</v>
      </c>
      <c r="Y844" s="36"/>
      <c r="Z844" s="36">
        <v>0</v>
      </c>
      <c r="AA844" s="36">
        <v>0</v>
      </c>
      <c r="AB844" s="36"/>
      <c r="AC844" s="36" t="str">
        <f t="shared" si="1"/>
        <v>PC26</v>
      </c>
      <c r="AD844" s="36" t="str">
        <f>VLOOKUP(D844,Oficial!A:C,3,0)</f>
        <v>Bienes y Servicios</v>
      </c>
    </row>
    <row r="845" spans="1:30" x14ac:dyDescent="0.25">
      <c r="A845" s="36" t="s">
        <v>27</v>
      </c>
      <c r="B845" s="36" t="s">
        <v>903</v>
      </c>
      <c r="C845" s="36" t="s">
        <v>28</v>
      </c>
      <c r="D845" s="36" t="s">
        <v>903</v>
      </c>
      <c r="E845" s="36" t="s">
        <v>30</v>
      </c>
      <c r="F845" s="36" t="s">
        <v>569</v>
      </c>
      <c r="G845" s="37" t="s">
        <v>654</v>
      </c>
      <c r="H845" s="36" t="s">
        <v>904</v>
      </c>
      <c r="I845" s="36" t="s">
        <v>905</v>
      </c>
      <c r="J845" s="36">
        <v>7</v>
      </c>
      <c r="K845" s="36" t="s">
        <v>602</v>
      </c>
      <c r="L845" s="36">
        <v>4</v>
      </c>
      <c r="M845" s="36">
        <v>3</v>
      </c>
      <c r="N845" s="38">
        <v>466667</v>
      </c>
      <c r="O845" s="38">
        <v>1400001</v>
      </c>
      <c r="P845" s="36">
        <v>1</v>
      </c>
      <c r="Q845" s="40">
        <v>46143</v>
      </c>
      <c r="R845" s="36" t="s">
        <v>906</v>
      </c>
      <c r="S845" s="36" t="s">
        <v>907</v>
      </c>
      <c r="T845" s="36" t="s">
        <v>908</v>
      </c>
      <c r="U845" s="36" t="s">
        <v>909</v>
      </c>
      <c r="V845" s="40">
        <v>46143</v>
      </c>
      <c r="W845" s="36"/>
      <c r="X845" s="36">
        <v>0</v>
      </c>
      <c r="Y845" s="36"/>
      <c r="Z845" s="36">
        <v>0</v>
      </c>
      <c r="AA845" s="36">
        <v>0</v>
      </c>
      <c r="AB845" s="36"/>
      <c r="AC845" s="36" t="str">
        <f t="shared" si="1"/>
        <v>PC26</v>
      </c>
      <c r="AD845" s="36" t="str">
        <f>VLOOKUP(D845,Oficial!A:C,3,0)</f>
        <v>Bienes y Servicios</v>
      </c>
    </row>
    <row r="846" spans="1:30" x14ac:dyDescent="0.25">
      <c r="A846" s="36" t="s">
        <v>27</v>
      </c>
      <c r="B846" s="36" t="s">
        <v>903</v>
      </c>
      <c r="C846" s="36" t="s">
        <v>28</v>
      </c>
      <c r="D846" s="36" t="s">
        <v>903</v>
      </c>
      <c r="E846" s="36" t="s">
        <v>30</v>
      </c>
      <c r="F846" s="36" t="s">
        <v>569</v>
      </c>
      <c r="G846" s="37" t="s">
        <v>654</v>
      </c>
      <c r="H846" s="36" t="s">
        <v>904</v>
      </c>
      <c r="I846" s="36" t="s">
        <v>905</v>
      </c>
      <c r="J846" s="36">
        <v>7</v>
      </c>
      <c r="K846" s="36" t="s">
        <v>910</v>
      </c>
      <c r="L846" s="36">
        <v>4</v>
      </c>
      <c r="M846" s="36">
        <v>30</v>
      </c>
      <c r="N846" s="38">
        <v>1500000</v>
      </c>
      <c r="O846" s="38">
        <v>45000000</v>
      </c>
      <c r="P846" s="36">
        <v>1</v>
      </c>
      <c r="Q846" s="40">
        <v>46143</v>
      </c>
      <c r="R846" s="36" t="s">
        <v>906</v>
      </c>
      <c r="S846" s="36" t="s">
        <v>907</v>
      </c>
      <c r="T846" s="36" t="s">
        <v>908</v>
      </c>
      <c r="U846" s="36" t="s">
        <v>909</v>
      </c>
      <c r="V846" s="40">
        <v>46143</v>
      </c>
      <c r="W846" s="36"/>
      <c r="X846" s="36">
        <v>0</v>
      </c>
      <c r="Y846" s="36"/>
      <c r="Z846" s="36">
        <v>0</v>
      </c>
      <c r="AA846" s="36">
        <v>0</v>
      </c>
      <c r="AB846" s="36"/>
      <c r="AC846" s="36" t="str">
        <f t="shared" si="1"/>
        <v>PC26</v>
      </c>
      <c r="AD846" s="36" t="str">
        <f>VLOOKUP(D846,Oficial!A:C,3,0)</f>
        <v>Bienes y Servicios</v>
      </c>
    </row>
    <row r="847" spans="1:30" x14ac:dyDescent="0.25">
      <c r="A847" s="36" t="s">
        <v>27</v>
      </c>
      <c r="B847" s="36" t="s">
        <v>903</v>
      </c>
      <c r="C847" s="36" t="s">
        <v>28</v>
      </c>
      <c r="D847" s="36" t="s">
        <v>903</v>
      </c>
      <c r="E847" s="36" t="s">
        <v>30</v>
      </c>
      <c r="F847" s="36" t="s">
        <v>569</v>
      </c>
      <c r="G847" s="37" t="s">
        <v>654</v>
      </c>
      <c r="H847" s="36" t="s">
        <v>904</v>
      </c>
      <c r="I847" s="36" t="s">
        <v>905</v>
      </c>
      <c r="J847" s="36">
        <v>7</v>
      </c>
      <c r="K847" s="36" t="s">
        <v>911</v>
      </c>
      <c r="L847" s="36">
        <v>4</v>
      </c>
      <c r="M847" s="36">
        <v>25</v>
      </c>
      <c r="N847" s="38">
        <v>1000</v>
      </c>
      <c r="O847" s="38">
        <v>25000</v>
      </c>
      <c r="P847" s="36">
        <v>1</v>
      </c>
      <c r="Q847" s="40">
        <v>46143</v>
      </c>
      <c r="R847" s="36" t="s">
        <v>906</v>
      </c>
      <c r="S847" s="36" t="s">
        <v>907</v>
      </c>
      <c r="T847" s="36" t="s">
        <v>908</v>
      </c>
      <c r="U847" s="36" t="s">
        <v>909</v>
      </c>
      <c r="V847" s="40">
        <v>46143</v>
      </c>
      <c r="W847" s="36"/>
      <c r="X847" s="36">
        <v>0</v>
      </c>
      <c r="Y847" s="36"/>
      <c r="Z847" s="36">
        <v>0</v>
      </c>
      <c r="AA847" s="36">
        <v>0</v>
      </c>
      <c r="AB847" s="36"/>
      <c r="AC847" s="36" t="str">
        <f t="shared" si="1"/>
        <v>PC26</v>
      </c>
      <c r="AD847" s="36" t="str">
        <f>VLOOKUP(D847,Oficial!A:C,3,0)</f>
        <v>Bienes y Servicios</v>
      </c>
    </row>
    <row r="848" spans="1:30" x14ac:dyDescent="0.25">
      <c r="A848" s="36" t="s">
        <v>27</v>
      </c>
      <c r="B848" s="36" t="s">
        <v>903</v>
      </c>
      <c r="C848" s="36" t="s">
        <v>28</v>
      </c>
      <c r="D848" s="36" t="s">
        <v>903</v>
      </c>
      <c r="E848" s="36" t="s">
        <v>30</v>
      </c>
      <c r="F848" s="36" t="s">
        <v>569</v>
      </c>
      <c r="G848" s="37" t="s">
        <v>654</v>
      </c>
      <c r="H848" s="36" t="s">
        <v>904</v>
      </c>
      <c r="I848" s="36" t="s">
        <v>905</v>
      </c>
      <c r="J848" s="36">
        <v>7</v>
      </c>
      <c r="K848" s="36" t="s">
        <v>912</v>
      </c>
      <c r="L848" s="36">
        <v>4</v>
      </c>
      <c r="M848" s="36">
        <v>50</v>
      </c>
      <c r="N848" s="38">
        <v>300</v>
      </c>
      <c r="O848" s="38">
        <v>15000</v>
      </c>
      <c r="P848" s="36">
        <v>1</v>
      </c>
      <c r="Q848" s="40">
        <v>46054</v>
      </c>
      <c r="R848" s="36" t="s">
        <v>906</v>
      </c>
      <c r="S848" s="36" t="s">
        <v>907</v>
      </c>
      <c r="T848" s="36" t="s">
        <v>908</v>
      </c>
      <c r="U848" s="36" t="s">
        <v>909</v>
      </c>
      <c r="V848" s="40">
        <v>46054</v>
      </c>
      <c r="W848" s="36"/>
      <c r="X848" s="36">
        <v>0</v>
      </c>
      <c r="Y848" s="36"/>
      <c r="Z848" s="36">
        <v>0</v>
      </c>
      <c r="AA848" s="36">
        <v>0</v>
      </c>
      <c r="AB848" s="36"/>
      <c r="AC848" s="36" t="str">
        <f t="shared" si="1"/>
        <v>PC26</v>
      </c>
      <c r="AD848" s="36" t="str">
        <f>VLOOKUP(D848,Oficial!A:C,3,0)</f>
        <v>Bienes y Servicios</v>
      </c>
    </row>
    <row r="849" spans="1:30" x14ac:dyDescent="0.25">
      <c r="A849" s="36" t="s">
        <v>27</v>
      </c>
      <c r="B849" s="36" t="s">
        <v>903</v>
      </c>
      <c r="C849" s="36" t="s">
        <v>28</v>
      </c>
      <c r="D849" s="36" t="s">
        <v>903</v>
      </c>
      <c r="E849" s="36" t="s">
        <v>30</v>
      </c>
      <c r="F849" s="36" t="s">
        <v>569</v>
      </c>
      <c r="G849" s="37" t="s">
        <v>654</v>
      </c>
      <c r="H849" s="36" t="s">
        <v>904</v>
      </c>
      <c r="I849" s="36" t="s">
        <v>905</v>
      </c>
      <c r="J849" s="36">
        <v>7</v>
      </c>
      <c r="K849" s="36" t="s">
        <v>913</v>
      </c>
      <c r="L849" s="36">
        <v>4</v>
      </c>
      <c r="M849" s="36">
        <v>2</v>
      </c>
      <c r="N849" s="38">
        <v>60000</v>
      </c>
      <c r="O849" s="38">
        <v>120000</v>
      </c>
      <c r="P849" s="36">
        <v>1</v>
      </c>
      <c r="Q849" s="40">
        <v>46327</v>
      </c>
      <c r="R849" s="36" t="s">
        <v>906</v>
      </c>
      <c r="S849" s="36" t="s">
        <v>907</v>
      </c>
      <c r="T849" s="36" t="s">
        <v>908</v>
      </c>
      <c r="U849" s="36" t="s">
        <v>909</v>
      </c>
      <c r="V849" s="40">
        <v>46327</v>
      </c>
      <c r="W849" s="36"/>
      <c r="X849" s="36">
        <v>0</v>
      </c>
      <c r="Y849" s="36"/>
      <c r="Z849" s="36">
        <v>0</v>
      </c>
      <c r="AA849" s="36">
        <v>0</v>
      </c>
      <c r="AB849" s="36"/>
      <c r="AC849" s="36" t="str">
        <f t="shared" si="1"/>
        <v>PC26</v>
      </c>
      <c r="AD849" s="36" t="str">
        <f>VLOOKUP(D849,Oficial!A:C,3,0)</f>
        <v>Bienes y Servicios</v>
      </c>
    </row>
    <row r="850" spans="1:30" x14ac:dyDescent="0.25">
      <c r="A850" s="36" t="s">
        <v>27</v>
      </c>
      <c r="B850" s="36" t="s">
        <v>903</v>
      </c>
      <c r="C850" s="36" t="s">
        <v>28</v>
      </c>
      <c r="D850" s="36" t="s">
        <v>903</v>
      </c>
      <c r="E850" s="36" t="s">
        <v>30</v>
      </c>
      <c r="F850" s="36" t="s">
        <v>569</v>
      </c>
      <c r="G850" s="37" t="s">
        <v>654</v>
      </c>
      <c r="H850" s="36" t="s">
        <v>904</v>
      </c>
      <c r="I850" s="36" t="s">
        <v>905</v>
      </c>
      <c r="J850" s="36">
        <v>7</v>
      </c>
      <c r="K850" s="36" t="s">
        <v>914</v>
      </c>
      <c r="L850" s="36">
        <v>4</v>
      </c>
      <c r="M850" s="36">
        <v>200</v>
      </c>
      <c r="N850" s="38">
        <v>50</v>
      </c>
      <c r="O850" s="38">
        <v>10000</v>
      </c>
      <c r="P850" s="36">
        <v>1</v>
      </c>
      <c r="Q850" s="40">
        <v>46054</v>
      </c>
      <c r="R850" s="36" t="s">
        <v>906</v>
      </c>
      <c r="S850" s="36" t="s">
        <v>907</v>
      </c>
      <c r="T850" s="36" t="s">
        <v>908</v>
      </c>
      <c r="U850" s="36" t="s">
        <v>909</v>
      </c>
      <c r="V850" s="40">
        <v>46054</v>
      </c>
      <c r="W850" s="36"/>
      <c r="X850" s="36">
        <v>0</v>
      </c>
      <c r="Y850" s="36"/>
      <c r="Z850" s="36">
        <v>0</v>
      </c>
      <c r="AA850" s="36">
        <v>0</v>
      </c>
      <c r="AB850" s="36"/>
      <c r="AC850" s="36" t="str">
        <f t="shared" si="1"/>
        <v>PC26</v>
      </c>
      <c r="AD850" s="36" t="str">
        <f>VLOOKUP(D850,Oficial!A:C,3,0)</f>
        <v>Bienes y Servicios</v>
      </c>
    </row>
    <row r="851" spans="1:30" x14ac:dyDescent="0.25">
      <c r="A851" s="36" t="s">
        <v>27</v>
      </c>
      <c r="B851" s="36" t="s">
        <v>915</v>
      </c>
      <c r="C851" s="36" t="s">
        <v>374</v>
      </c>
      <c r="D851" s="36" t="s">
        <v>915</v>
      </c>
      <c r="E851" s="36" t="s">
        <v>30</v>
      </c>
      <c r="F851" s="36" t="s">
        <v>569</v>
      </c>
      <c r="G851" s="37" t="s">
        <v>654</v>
      </c>
      <c r="H851" s="36" t="s">
        <v>916</v>
      </c>
      <c r="I851" s="36" t="s">
        <v>917</v>
      </c>
      <c r="J851" s="36">
        <v>4</v>
      </c>
      <c r="K851" s="36" t="s">
        <v>602</v>
      </c>
      <c r="L851" s="36">
        <v>4</v>
      </c>
      <c r="M851" s="36">
        <v>1</v>
      </c>
      <c r="N851" s="38">
        <v>250000</v>
      </c>
      <c r="O851" s="38">
        <v>250000</v>
      </c>
      <c r="P851" s="36">
        <v>1</v>
      </c>
      <c r="Q851" s="40">
        <v>46327</v>
      </c>
      <c r="R851" s="36" t="s">
        <v>768</v>
      </c>
      <c r="S851" s="36" t="s">
        <v>769</v>
      </c>
      <c r="T851" s="36" t="s">
        <v>770</v>
      </c>
      <c r="U851" s="36" t="s">
        <v>388</v>
      </c>
      <c r="V851" s="40">
        <v>46327</v>
      </c>
      <c r="W851" s="36"/>
      <c r="X851" s="36">
        <v>0</v>
      </c>
      <c r="Y851" s="36"/>
      <c r="Z851" s="36">
        <v>0</v>
      </c>
      <c r="AA851" s="36">
        <v>0</v>
      </c>
      <c r="AB851" s="36"/>
      <c r="AC851" s="36" t="str">
        <f t="shared" si="1"/>
        <v>PC26</v>
      </c>
      <c r="AD851" s="36" t="str">
        <f>VLOOKUP(D851,Oficial!A:C,3,0)</f>
        <v>Administración de Fondos</v>
      </c>
    </row>
    <row r="852" spans="1:30" x14ac:dyDescent="0.25">
      <c r="A852" s="36" t="s">
        <v>27</v>
      </c>
      <c r="B852" s="36" t="s">
        <v>915</v>
      </c>
      <c r="C852" s="36" t="s">
        <v>374</v>
      </c>
      <c r="D852" s="36" t="s">
        <v>915</v>
      </c>
      <c r="E852" s="36" t="s">
        <v>30</v>
      </c>
      <c r="F852" s="36" t="s">
        <v>569</v>
      </c>
      <c r="G852" s="37" t="s">
        <v>654</v>
      </c>
      <c r="H852" s="36" t="s">
        <v>916</v>
      </c>
      <c r="I852" s="36" t="s">
        <v>917</v>
      </c>
      <c r="J852" s="36">
        <v>4</v>
      </c>
      <c r="K852" s="36" t="s">
        <v>359</v>
      </c>
      <c r="L852" s="36">
        <v>4</v>
      </c>
      <c r="M852" s="36">
        <v>110</v>
      </c>
      <c r="N852" s="38">
        <v>775</v>
      </c>
      <c r="O852" s="38">
        <v>85250</v>
      </c>
      <c r="P852" s="36">
        <v>1</v>
      </c>
      <c r="Q852" s="40">
        <v>46327</v>
      </c>
      <c r="R852" s="36" t="s">
        <v>768</v>
      </c>
      <c r="S852" s="36" t="s">
        <v>769</v>
      </c>
      <c r="T852" s="36" t="s">
        <v>770</v>
      </c>
      <c r="U852" s="36" t="s">
        <v>388</v>
      </c>
      <c r="V852" s="40">
        <v>46327</v>
      </c>
      <c r="W852" s="36"/>
      <c r="X852" s="36">
        <v>0</v>
      </c>
      <c r="Y852" s="36"/>
      <c r="Z852" s="36">
        <v>0</v>
      </c>
      <c r="AA852" s="36">
        <v>0</v>
      </c>
      <c r="AB852" s="36"/>
      <c r="AC852" s="36" t="str">
        <f t="shared" si="1"/>
        <v>PC26</v>
      </c>
      <c r="AD852" s="36" t="str">
        <f>VLOOKUP(D852,Oficial!A:C,3,0)</f>
        <v>Administración de Fondos</v>
      </c>
    </row>
    <row r="853" spans="1:30" x14ac:dyDescent="0.25">
      <c r="A853" s="36" t="s">
        <v>27</v>
      </c>
      <c r="B853" s="36" t="s">
        <v>915</v>
      </c>
      <c r="C853" s="36" t="s">
        <v>374</v>
      </c>
      <c r="D853" s="36" t="s">
        <v>915</v>
      </c>
      <c r="E853" s="36" t="s">
        <v>30</v>
      </c>
      <c r="F853" s="36" t="s">
        <v>569</v>
      </c>
      <c r="G853" s="37" t="s">
        <v>654</v>
      </c>
      <c r="H853" s="36" t="s">
        <v>916</v>
      </c>
      <c r="I853" s="36" t="s">
        <v>917</v>
      </c>
      <c r="J853" s="36">
        <v>4</v>
      </c>
      <c r="K853" s="36" t="s">
        <v>786</v>
      </c>
      <c r="L853" s="36">
        <v>4</v>
      </c>
      <c r="M853" s="36">
        <v>31</v>
      </c>
      <c r="N853" s="38">
        <v>1320</v>
      </c>
      <c r="O853" s="38">
        <v>40920</v>
      </c>
      <c r="P853" s="36">
        <v>1</v>
      </c>
      <c r="Q853" s="40">
        <v>46327</v>
      </c>
      <c r="R853" s="36" t="s">
        <v>768</v>
      </c>
      <c r="S853" s="36" t="s">
        <v>769</v>
      </c>
      <c r="T853" s="36" t="s">
        <v>770</v>
      </c>
      <c r="U853" s="36" t="s">
        <v>388</v>
      </c>
      <c r="V853" s="40">
        <v>46327</v>
      </c>
      <c r="W853" s="36"/>
      <c r="X853" s="36">
        <v>0</v>
      </c>
      <c r="Y853" s="36"/>
      <c r="Z853" s="36">
        <v>0</v>
      </c>
      <c r="AA853" s="36">
        <v>0</v>
      </c>
      <c r="AB853" s="36"/>
      <c r="AC853" s="36" t="str">
        <f t="shared" si="1"/>
        <v>PC26</v>
      </c>
      <c r="AD853" s="36" t="str">
        <f>VLOOKUP(D853,Oficial!A:C,3,0)</f>
        <v>Administración de Fondos</v>
      </c>
    </row>
    <row r="854" spans="1:30" x14ac:dyDescent="0.25">
      <c r="A854" s="36" t="s">
        <v>27</v>
      </c>
      <c r="B854" s="36" t="s">
        <v>915</v>
      </c>
      <c r="C854" s="36" t="s">
        <v>374</v>
      </c>
      <c r="D854" s="36" t="s">
        <v>915</v>
      </c>
      <c r="E854" s="36" t="s">
        <v>30</v>
      </c>
      <c r="F854" s="36" t="s">
        <v>569</v>
      </c>
      <c r="G854" s="37" t="s">
        <v>654</v>
      </c>
      <c r="H854" s="36" t="s">
        <v>916</v>
      </c>
      <c r="I854" s="36" t="s">
        <v>917</v>
      </c>
      <c r="J854" s="36">
        <v>4</v>
      </c>
      <c r="K854" s="36" t="s">
        <v>918</v>
      </c>
      <c r="L854" s="36">
        <v>4</v>
      </c>
      <c r="M854" s="36">
        <v>30</v>
      </c>
      <c r="N854" s="38">
        <v>790</v>
      </c>
      <c r="O854" s="38">
        <v>23700</v>
      </c>
      <c r="P854" s="36">
        <v>1</v>
      </c>
      <c r="Q854" s="40">
        <v>46327</v>
      </c>
      <c r="R854" s="36" t="s">
        <v>768</v>
      </c>
      <c r="S854" s="36" t="s">
        <v>769</v>
      </c>
      <c r="T854" s="36" t="s">
        <v>770</v>
      </c>
      <c r="U854" s="36" t="s">
        <v>388</v>
      </c>
      <c r="V854" s="40">
        <v>46327</v>
      </c>
      <c r="W854" s="36"/>
      <c r="X854" s="36">
        <v>0</v>
      </c>
      <c r="Y854" s="36"/>
      <c r="Z854" s="36">
        <v>0</v>
      </c>
      <c r="AA854" s="36">
        <v>0</v>
      </c>
      <c r="AB854" s="36"/>
      <c r="AC854" s="36" t="str">
        <f t="shared" si="1"/>
        <v>PC26</v>
      </c>
      <c r="AD854" s="36" t="str">
        <f>VLOOKUP(D854,Oficial!A:C,3,0)</f>
        <v>Administración de Fondos</v>
      </c>
    </row>
    <row r="855" spans="1:30" x14ac:dyDescent="0.25">
      <c r="A855" s="36" t="s">
        <v>27</v>
      </c>
      <c r="B855" s="36" t="s">
        <v>919</v>
      </c>
      <c r="C855" s="36" t="s">
        <v>374</v>
      </c>
      <c r="D855" s="36" t="s">
        <v>919</v>
      </c>
      <c r="E855" s="36" t="s">
        <v>30</v>
      </c>
      <c r="F855" s="36" t="s">
        <v>569</v>
      </c>
      <c r="G855" s="37" t="s">
        <v>800</v>
      </c>
      <c r="H855" s="36" t="s">
        <v>920</v>
      </c>
      <c r="I855" s="36" t="s">
        <v>921</v>
      </c>
      <c r="J855" s="36">
        <v>1</v>
      </c>
      <c r="K855" s="36" t="s">
        <v>786</v>
      </c>
      <c r="L855" s="36">
        <v>4</v>
      </c>
      <c r="M855" s="36">
        <v>26</v>
      </c>
      <c r="N855" s="38">
        <v>6116</v>
      </c>
      <c r="O855" s="38">
        <v>159016</v>
      </c>
      <c r="P855" s="36">
        <v>1</v>
      </c>
      <c r="Q855" s="40">
        <v>46023</v>
      </c>
      <c r="R855" s="36" t="s">
        <v>768</v>
      </c>
      <c r="S855" s="36" t="s">
        <v>769</v>
      </c>
      <c r="T855" s="36" t="s">
        <v>770</v>
      </c>
      <c r="U855" s="36" t="s">
        <v>388</v>
      </c>
      <c r="V855" s="40">
        <v>46023</v>
      </c>
      <c r="W855" s="36"/>
      <c r="X855" s="36">
        <v>0</v>
      </c>
      <c r="Y855" s="36"/>
      <c r="Z855" s="36">
        <v>0</v>
      </c>
      <c r="AA855" s="36">
        <v>0</v>
      </c>
      <c r="AB855" s="36"/>
      <c r="AC855" s="36" t="str">
        <f t="shared" ref="AC855:AC918" si="2">RIGHT(D855,4)</f>
        <v>PC26</v>
      </c>
      <c r="AD855" s="36" t="str">
        <f>VLOOKUP(D855,Oficial!A:C,3,0)</f>
        <v>Administración de Fondos</v>
      </c>
    </row>
    <row r="856" spans="1:30" x14ac:dyDescent="0.25">
      <c r="A856" s="36" t="s">
        <v>27</v>
      </c>
      <c r="B856" s="36" t="s">
        <v>922</v>
      </c>
      <c r="C856" s="36" t="s">
        <v>28</v>
      </c>
      <c r="D856" s="36" t="s">
        <v>922</v>
      </c>
      <c r="E856" s="36" t="s">
        <v>30</v>
      </c>
      <c r="F856" s="36" t="s">
        <v>569</v>
      </c>
      <c r="G856" s="37" t="s">
        <v>757</v>
      </c>
      <c r="H856" s="36" t="s">
        <v>923</v>
      </c>
      <c r="I856" s="36" t="s">
        <v>924</v>
      </c>
      <c r="J856" s="36">
        <v>1</v>
      </c>
      <c r="K856" s="36" t="s">
        <v>891</v>
      </c>
      <c r="L856" s="36">
        <v>4</v>
      </c>
      <c r="M856" s="36">
        <v>1</v>
      </c>
      <c r="N856" s="38">
        <v>35000000</v>
      </c>
      <c r="O856" s="38">
        <v>23333328</v>
      </c>
      <c r="P856" s="36">
        <v>12</v>
      </c>
      <c r="Q856" s="36" t="s">
        <v>925</v>
      </c>
      <c r="R856" s="36" t="s">
        <v>926</v>
      </c>
      <c r="S856" s="36" t="s">
        <v>893</v>
      </c>
      <c r="T856" s="36" t="s">
        <v>894</v>
      </c>
      <c r="U856" s="36" t="s">
        <v>312</v>
      </c>
      <c r="V856" s="40">
        <v>46143</v>
      </c>
      <c r="W856" s="36"/>
      <c r="X856" s="36">
        <v>0</v>
      </c>
      <c r="Y856" s="36"/>
      <c r="Z856" s="36">
        <v>0</v>
      </c>
      <c r="AA856" s="36">
        <v>0</v>
      </c>
      <c r="AB856" s="36"/>
      <c r="AC856" s="36" t="str">
        <f t="shared" si="2"/>
        <v>PC26</v>
      </c>
      <c r="AD856" s="36" t="str">
        <f>VLOOKUP(D856,Oficial!A:C,3,0)</f>
        <v>Bienes y Servicios</v>
      </c>
    </row>
    <row r="857" spans="1:30" x14ac:dyDescent="0.25">
      <c r="A857" s="36" t="s">
        <v>27</v>
      </c>
      <c r="B857" s="36" t="s">
        <v>927</v>
      </c>
      <c r="C857" s="36" t="s">
        <v>374</v>
      </c>
      <c r="D857" s="36" t="s">
        <v>927</v>
      </c>
      <c r="E857" s="36" t="s">
        <v>30</v>
      </c>
      <c r="F857" s="36" t="s">
        <v>569</v>
      </c>
      <c r="G857" s="37" t="s">
        <v>137</v>
      </c>
      <c r="H857" s="36" t="s">
        <v>928</v>
      </c>
      <c r="I857" s="36" t="s">
        <v>929</v>
      </c>
      <c r="J857" s="36">
        <v>3</v>
      </c>
      <c r="K857" s="36" t="s">
        <v>602</v>
      </c>
      <c r="L857" s="36">
        <v>4</v>
      </c>
      <c r="M857" s="36">
        <v>2</v>
      </c>
      <c r="N857" s="38">
        <v>350000</v>
      </c>
      <c r="O857" s="38">
        <v>700000</v>
      </c>
      <c r="P857" s="36">
        <v>1</v>
      </c>
      <c r="Q857" s="40">
        <v>46054</v>
      </c>
      <c r="R857" s="36" t="s">
        <v>768</v>
      </c>
      <c r="S857" s="36" t="s">
        <v>769</v>
      </c>
      <c r="T857" s="36" t="s">
        <v>770</v>
      </c>
      <c r="U857" s="36" t="s">
        <v>388</v>
      </c>
      <c r="V857" s="40">
        <v>46054</v>
      </c>
      <c r="W857" s="36"/>
      <c r="X857" s="36">
        <v>0</v>
      </c>
      <c r="Y857" s="36"/>
      <c r="Z857" s="36">
        <v>0</v>
      </c>
      <c r="AA857" s="36">
        <v>0</v>
      </c>
      <c r="AB857" s="36"/>
      <c r="AC857" s="36" t="str">
        <f t="shared" si="2"/>
        <v>PC26</v>
      </c>
      <c r="AD857" s="36" t="str">
        <f>VLOOKUP(D857,Oficial!A:C,3,0)</f>
        <v>Administración de Fondos</v>
      </c>
    </row>
    <row r="858" spans="1:30" x14ac:dyDescent="0.25">
      <c r="A858" s="36" t="s">
        <v>27</v>
      </c>
      <c r="B858" s="36" t="s">
        <v>927</v>
      </c>
      <c r="C858" s="36" t="s">
        <v>374</v>
      </c>
      <c r="D858" s="36" t="s">
        <v>927</v>
      </c>
      <c r="E858" s="36" t="s">
        <v>30</v>
      </c>
      <c r="F858" s="36" t="s">
        <v>569</v>
      </c>
      <c r="G858" s="37" t="s">
        <v>137</v>
      </c>
      <c r="H858" s="36" t="s">
        <v>928</v>
      </c>
      <c r="I858" s="36" t="s">
        <v>929</v>
      </c>
      <c r="J858" s="36">
        <v>3</v>
      </c>
      <c r="K858" s="36" t="s">
        <v>359</v>
      </c>
      <c r="L858" s="36">
        <v>4</v>
      </c>
      <c r="M858" s="36">
        <v>173</v>
      </c>
      <c r="N858" s="38">
        <v>2267</v>
      </c>
      <c r="O858" s="38">
        <v>392191</v>
      </c>
      <c r="P858" s="36">
        <v>1</v>
      </c>
      <c r="Q858" s="40">
        <v>46054</v>
      </c>
      <c r="R858" s="36" t="s">
        <v>768</v>
      </c>
      <c r="S858" s="36" t="s">
        <v>769</v>
      </c>
      <c r="T858" s="36" t="s">
        <v>770</v>
      </c>
      <c r="U858" s="36" t="s">
        <v>388</v>
      </c>
      <c r="V858" s="40">
        <v>46054</v>
      </c>
      <c r="W858" s="36"/>
      <c r="X858" s="36">
        <v>0</v>
      </c>
      <c r="Y858" s="36"/>
      <c r="Z858" s="36">
        <v>0</v>
      </c>
      <c r="AA858" s="36">
        <v>0</v>
      </c>
      <c r="AB858" s="36"/>
      <c r="AC858" s="36" t="str">
        <f t="shared" si="2"/>
        <v>PC26</v>
      </c>
      <c r="AD858" s="36" t="str">
        <f>VLOOKUP(D858,Oficial!A:C,3,0)</f>
        <v>Administración de Fondos</v>
      </c>
    </row>
    <row r="859" spans="1:30" x14ac:dyDescent="0.25">
      <c r="A859" s="36" t="s">
        <v>27</v>
      </c>
      <c r="B859" s="36" t="s">
        <v>927</v>
      </c>
      <c r="C859" s="36" t="s">
        <v>374</v>
      </c>
      <c r="D859" s="36" t="s">
        <v>927</v>
      </c>
      <c r="E859" s="36" t="s">
        <v>30</v>
      </c>
      <c r="F859" s="36" t="s">
        <v>569</v>
      </c>
      <c r="G859" s="37" t="s">
        <v>137</v>
      </c>
      <c r="H859" s="36" t="s">
        <v>928</v>
      </c>
      <c r="I859" s="36" t="s">
        <v>929</v>
      </c>
      <c r="J859" s="36">
        <v>3</v>
      </c>
      <c r="K859" s="36" t="s">
        <v>855</v>
      </c>
      <c r="L859" s="36">
        <v>4</v>
      </c>
      <c r="M859" s="36">
        <v>400</v>
      </c>
      <c r="N859" s="38">
        <v>99</v>
      </c>
      <c r="O859" s="38">
        <v>39600</v>
      </c>
      <c r="P859" s="36">
        <v>1</v>
      </c>
      <c r="Q859" s="40">
        <v>46054</v>
      </c>
      <c r="R859" s="36" t="s">
        <v>768</v>
      </c>
      <c r="S859" s="36" t="s">
        <v>769</v>
      </c>
      <c r="T859" s="36" t="s">
        <v>770</v>
      </c>
      <c r="U859" s="36" t="s">
        <v>388</v>
      </c>
      <c r="V859" s="40">
        <v>46054</v>
      </c>
      <c r="W859" s="36"/>
      <c r="X859" s="36">
        <v>0</v>
      </c>
      <c r="Y859" s="36"/>
      <c r="Z859" s="36">
        <v>0</v>
      </c>
      <c r="AA859" s="36">
        <v>0</v>
      </c>
      <c r="AB859" s="36"/>
      <c r="AC859" s="36" t="str">
        <f t="shared" si="2"/>
        <v>PC26</v>
      </c>
      <c r="AD859" s="36" t="str">
        <f>VLOOKUP(D859,Oficial!A:C,3,0)</f>
        <v>Administración de Fondos</v>
      </c>
    </row>
    <row r="860" spans="1:30" x14ac:dyDescent="0.25">
      <c r="A860" s="36" t="s">
        <v>27</v>
      </c>
      <c r="B860" s="36" t="s">
        <v>930</v>
      </c>
      <c r="C860" s="36" t="s">
        <v>28</v>
      </c>
      <c r="D860" s="36" t="s">
        <v>930</v>
      </c>
      <c r="E860" s="36" t="s">
        <v>30</v>
      </c>
      <c r="F860" s="36" t="s">
        <v>569</v>
      </c>
      <c r="G860" s="37" t="s">
        <v>645</v>
      </c>
      <c r="H860" s="36" t="s">
        <v>931</v>
      </c>
      <c r="I860" s="36" t="s">
        <v>932</v>
      </c>
      <c r="J860" s="36">
        <v>1</v>
      </c>
      <c r="K860" s="36" t="s">
        <v>933</v>
      </c>
      <c r="L860" s="36">
        <v>4</v>
      </c>
      <c r="M860" s="36">
        <v>1328</v>
      </c>
      <c r="N860" s="38">
        <v>513</v>
      </c>
      <c r="O860" s="38">
        <v>681264</v>
      </c>
      <c r="P860" s="36">
        <v>1</v>
      </c>
      <c r="Q860" s="40">
        <v>46023</v>
      </c>
      <c r="R860" s="36" t="s">
        <v>934</v>
      </c>
      <c r="S860" s="36" t="s">
        <v>935</v>
      </c>
      <c r="T860" s="36" t="s">
        <v>936</v>
      </c>
      <c r="U860" s="36" t="s">
        <v>937</v>
      </c>
      <c r="V860" s="40">
        <v>46023</v>
      </c>
      <c r="W860" s="36"/>
      <c r="X860" s="36">
        <v>0</v>
      </c>
      <c r="Y860" s="36"/>
      <c r="Z860" s="36">
        <v>0</v>
      </c>
      <c r="AA860" s="36">
        <v>0</v>
      </c>
      <c r="AB860" s="36"/>
      <c r="AC860" s="36" t="str">
        <f t="shared" si="2"/>
        <v>PC26</v>
      </c>
      <c r="AD860" s="36" t="str">
        <f>VLOOKUP(D860,Oficial!A:C,3,0)</f>
        <v>Bienes y Servicios</v>
      </c>
    </row>
    <row r="861" spans="1:30" x14ac:dyDescent="0.25">
      <c r="A861" s="36" t="s">
        <v>27</v>
      </c>
      <c r="B861" s="36" t="s">
        <v>938</v>
      </c>
      <c r="C861" s="36" t="s">
        <v>28</v>
      </c>
      <c r="D861" s="36" t="s">
        <v>938</v>
      </c>
      <c r="E861" s="36" t="s">
        <v>30</v>
      </c>
      <c r="F861" s="36" t="s">
        <v>569</v>
      </c>
      <c r="G861" s="37" t="s">
        <v>725</v>
      </c>
      <c r="H861" s="36" t="s">
        <v>939</v>
      </c>
      <c r="I861" s="36" t="s">
        <v>940</v>
      </c>
      <c r="J861" s="36">
        <v>3</v>
      </c>
      <c r="K861" s="36" t="s">
        <v>941</v>
      </c>
      <c r="L861" s="36">
        <v>4</v>
      </c>
      <c r="M861" s="36">
        <v>750</v>
      </c>
      <c r="N861" s="38">
        <v>2230</v>
      </c>
      <c r="O861" s="38">
        <v>1672500</v>
      </c>
      <c r="P861" s="36">
        <v>1</v>
      </c>
      <c r="Q861" s="40">
        <v>46113</v>
      </c>
      <c r="R861" s="36" t="s">
        <v>942</v>
      </c>
      <c r="S861" s="36" t="s">
        <v>943</v>
      </c>
      <c r="T861" s="36" t="s">
        <v>944</v>
      </c>
      <c r="U861" s="36" t="s">
        <v>475</v>
      </c>
      <c r="V861" s="40">
        <v>46113</v>
      </c>
      <c r="W861" s="36"/>
      <c r="X861" s="36">
        <v>0</v>
      </c>
      <c r="Y861" s="36"/>
      <c r="Z861" s="36">
        <v>0</v>
      </c>
      <c r="AA861" s="36">
        <v>0</v>
      </c>
      <c r="AB861" s="36"/>
      <c r="AC861" s="36" t="str">
        <f t="shared" si="2"/>
        <v>PC26</v>
      </c>
      <c r="AD861" s="36" t="str">
        <f>VLOOKUP(D861,Oficial!A:C,3,0)</f>
        <v>Bienes y Servicios</v>
      </c>
    </row>
    <row r="862" spans="1:30" x14ac:dyDescent="0.25">
      <c r="A862" s="36" t="s">
        <v>27</v>
      </c>
      <c r="B862" s="36" t="s">
        <v>938</v>
      </c>
      <c r="C862" s="36" t="s">
        <v>28</v>
      </c>
      <c r="D862" s="36" t="s">
        <v>938</v>
      </c>
      <c r="E862" s="36" t="s">
        <v>30</v>
      </c>
      <c r="F862" s="36" t="s">
        <v>569</v>
      </c>
      <c r="G862" s="37" t="s">
        <v>725</v>
      </c>
      <c r="H862" s="36" t="s">
        <v>939</v>
      </c>
      <c r="I862" s="36" t="s">
        <v>940</v>
      </c>
      <c r="J862" s="36">
        <v>3</v>
      </c>
      <c r="K862" s="36" t="s">
        <v>945</v>
      </c>
      <c r="L862" s="36">
        <v>4</v>
      </c>
      <c r="M862" s="36">
        <v>702</v>
      </c>
      <c r="N862" s="38">
        <v>11618</v>
      </c>
      <c r="O862" s="38">
        <v>8155836</v>
      </c>
      <c r="P862" s="36">
        <v>1</v>
      </c>
      <c r="Q862" s="40">
        <v>46113</v>
      </c>
      <c r="R862" s="36" t="s">
        <v>942</v>
      </c>
      <c r="S862" s="36" t="s">
        <v>943</v>
      </c>
      <c r="T862" s="36" t="s">
        <v>944</v>
      </c>
      <c r="U862" s="36" t="s">
        <v>475</v>
      </c>
      <c r="V862" s="40">
        <v>46113</v>
      </c>
      <c r="W862" s="36"/>
      <c r="X862" s="36">
        <v>0</v>
      </c>
      <c r="Y862" s="36"/>
      <c r="Z862" s="36">
        <v>0</v>
      </c>
      <c r="AA862" s="36">
        <v>0</v>
      </c>
      <c r="AB862" s="36"/>
      <c r="AC862" s="36" t="str">
        <f t="shared" si="2"/>
        <v>PC26</v>
      </c>
      <c r="AD862" s="36" t="str">
        <f>VLOOKUP(D862,Oficial!A:C,3,0)</f>
        <v>Bienes y Servicios</v>
      </c>
    </row>
    <row r="863" spans="1:30" x14ac:dyDescent="0.25">
      <c r="A863" s="36" t="s">
        <v>27</v>
      </c>
      <c r="B863" s="36" t="s">
        <v>938</v>
      </c>
      <c r="C863" s="36" t="s">
        <v>28</v>
      </c>
      <c r="D863" s="36" t="s">
        <v>938</v>
      </c>
      <c r="E863" s="36" t="s">
        <v>30</v>
      </c>
      <c r="F863" s="36" t="s">
        <v>569</v>
      </c>
      <c r="G863" s="37" t="s">
        <v>725</v>
      </c>
      <c r="H863" s="36" t="s">
        <v>939</v>
      </c>
      <c r="I863" s="36" t="s">
        <v>940</v>
      </c>
      <c r="J863" s="36">
        <v>3</v>
      </c>
      <c r="K863" s="36" t="s">
        <v>946</v>
      </c>
      <c r="L863" s="36">
        <v>4</v>
      </c>
      <c r="M863" s="36">
        <v>200</v>
      </c>
      <c r="N863" s="38">
        <v>10875</v>
      </c>
      <c r="O863" s="38">
        <v>2175000</v>
      </c>
      <c r="P863" s="36">
        <v>1</v>
      </c>
      <c r="Q863" s="40">
        <v>46113</v>
      </c>
      <c r="R863" s="36" t="s">
        <v>942</v>
      </c>
      <c r="S863" s="36" t="s">
        <v>943</v>
      </c>
      <c r="T863" s="36" t="s">
        <v>944</v>
      </c>
      <c r="U863" s="36" t="s">
        <v>475</v>
      </c>
      <c r="V863" s="40">
        <v>46113</v>
      </c>
      <c r="W863" s="36"/>
      <c r="X863" s="36">
        <v>0</v>
      </c>
      <c r="Y863" s="36"/>
      <c r="Z863" s="36">
        <v>0</v>
      </c>
      <c r="AA863" s="36">
        <v>0</v>
      </c>
      <c r="AB863" s="36"/>
      <c r="AC863" s="36" t="str">
        <f t="shared" si="2"/>
        <v>PC26</v>
      </c>
      <c r="AD863" s="36" t="str">
        <f>VLOOKUP(D863,Oficial!A:C,3,0)</f>
        <v>Bienes y Servicios</v>
      </c>
    </row>
    <row r="864" spans="1:30" x14ac:dyDescent="0.25">
      <c r="A864" s="36" t="s">
        <v>27</v>
      </c>
      <c r="B864" s="36" t="s">
        <v>947</v>
      </c>
      <c r="C864" s="36" t="s">
        <v>28</v>
      </c>
      <c r="D864" s="36" t="s">
        <v>947</v>
      </c>
      <c r="E864" s="36" t="s">
        <v>30</v>
      </c>
      <c r="F864" s="36" t="s">
        <v>569</v>
      </c>
      <c r="G864" s="37" t="s">
        <v>483</v>
      </c>
      <c r="H864" s="36" t="s">
        <v>948</v>
      </c>
      <c r="I864" s="36" t="s">
        <v>949</v>
      </c>
      <c r="J864" s="36">
        <v>2</v>
      </c>
      <c r="K864" s="36" t="s">
        <v>486</v>
      </c>
      <c r="L864" s="36">
        <v>4</v>
      </c>
      <c r="M864" s="36">
        <v>3248</v>
      </c>
      <c r="N864" s="38">
        <v>157</v>
      </c>
      <c r="O864" s="38">
        <v>509936</v>
      </c>
      <c r="P864" s="36">
        <v>1</v>
      </c>
      <c r="Q864" s="40">
        <v>46082</v>
      </c>
      <c r="R864" s="36" t="s">
        <v>950</v>
      </c>
      <c r="S864" s="36" t="s">
        <v>951</v>
      </c>
      <c r="T864" s="36" t="s">
        <v>952</v>
      </c>
      <c r="U864" s="36" t="s">
        <v>293</v>
      </c>
      <c r="V864" s="40">
        <v>46082</v>
      </c>
      <c r="W864" s="36"/>
      <c r="X864" s="36">
        <v>0</v>
      </c>
      <c r="Y864" s="36"/>
      <c r="Z864" s="36">
        <v>0</v>
      </c>
      <c r="AA864" s="36">
        <v>0</v>
      </c>
      <c r="AB864" s="36"/>
      <c r="AC864" s="36" t="str">
        <f t="shared" si="2"/>
        <v>PC26</v>
      </c>
      <c r="AD864" s="36" t="str">
        <f>VLOOKUP(D864,Oficial!A:C,3,0)</f>
        <v>Bienes y Servicios</v>
      </c>
    </row>
    <row r="865" spans="1:30" x14ac:dyDescent="0.25">
      <c r="A865" s="36" t="s">
        <v>27</v>
      </c>
      <c r="B865" s="36" t="s">
        <v>947</v>
      </c>
      <c r="C865" s="36" t="s">
        <v>28</v>
      </c>
      <c r="D865" s="36" t="s">
        <v>947</v>
      </c>
      <c r="E865" s="36" t="s">
        <v>30</v>
      </c>
      <c r="F865" s="36" t="s">
        <v>569</v>
      </c>
      <c r="G865" s="37" t="s">
        <v>483</v>
      </c>
      <c r="H865" s="36" t="s">
        <v>948</v>
      </c>
      <c r="I865" s="36" t="s">
        <v>949</v>
      </c>
      <c r="J865" s="36">
        <v>2</v>
      </c>
      <c r="K865" s="36" t="s">
        <v>953</v>
      </c>
      <c r="L865" s="36">
        <v>4</v>
      </c>
      <c r="M865" s="36">
        <v>4</v>
      </c>
      <c r="N865" s="38">
        <v>12000</v>
      </c>
      <c r="O865" s="38">
        <v>48000</v>
      </c>
      <c r="P865" s="36">
        <v>1</v>
      </c>
      <c r="Q865" s="40">
        <v>46082</v>
      </c>
      <c r="R865" s="36" t="s">
        <v>950</v>
      </c>
      <c r="S865" s="36" t="s">
        <v>951</v>
      </c>
      <c r="T865" s="36" t="s">
        <v>952</v>
      </c>
      <c r="U865" s="36" t="s">
        <v>293</v>
      </c>
      <c r="V865" s="40">
        <v>46082</v>
      </c>
      <c r="W865" s="36"/>
      <c r="X865" s="36">
        <v>0</v>
      </c>
      <c r="Y865" s="36"/>
      <c r="Z865" s="36">
        <v>0</v>
      </c>
      <c r="AA865" s="36">
        <v>0</v>
      </c>
      <c r="AB865" s="36"/>
      <c r="AC865" s="36" t="str">
        <f t="shared" si="2"/>
        <v>PC26</v>
      </c>
      <c r="AD865" s="36" t="str">
        <f>VLOOKUP(D865,Oficial!A:C,3,0)</f>
        <v>Bienes y Servicios</v>
      </c>
    </row>
    <row r="866" spans="1:30" x14ac:dyDescent="0.25">
      <c r="A866" s="36" t="s">
        <v>27</v>
      </c>
      <c r="B866" s="36" t="s">
        <v>954</v>
      </c>
      <c r="C866" s="36" t="s">
        <v>28</v>
      </c>
      <c r="D866" s="36" t="s">
        <v>954</v>
      </c>
      <c r="E866" s="36" t="s">
        <v>30</v>
      </c>
      <c r="F866" s="36" t="s">
        <v>569</v>
      </c>
      <c r="G866" s="37" t="s">
        <v>645</v>
      </c>
      <c r="H866" s="36" t="s">
        <v>955</v>
      </c>
      <c r="I866" s="36" t="s">
        <v>956</v>
      </c>
      <c r="J866" s="36">
        <v>3</v>
      </c>
      <c r="K866" s="36" t="s">
        <v>957</v>
      </c>
      <c r="L866" s="36">
        <v>4</v>
      </c>
      <c r="M866" s="36">
        <v>2</v>
      </c>
      <c r="N866" s="38">
        <v>110000</v>
      </c>
      <c r="O866" s="38">
        <v>220000</v>
      </c>
      <c r="P866" s="36">
        <v>1</v>
      </c>
      <c r="Q866" s="40">
        <v>46235</v>
      </c>
      <c r="R866" s="36" t="s">
        <v>958</v>
      </c>
      <c r="S866" s="36" t="s">
        <v>959</v>
      </c>
      <c r="T866" s="36" t="s">
        <v>960</v>
      </c>
      <c r="U866" s="36" t="s">
        <v>961</v>
      </c>
      <c r="V866" s="40">
        <v>46235</v>
      </c>
      <c r="W866" s="36"/>
      <c r="X866" s="36">
        <v>0</v>
      </c>
      <c r="Y866" s="36"/>
      <c r="Z866" s="36">
        <v>0</v>
      </c>
      <c r="AA866" s="36">
        <v>0</v>
      </c>
      <c r="AB866" s="36"/>
      <c r="AC866" s="36" t="str">
        <f t="shared" si="2"/>
        <v>PC26</v>
      </c>
      <c r="AD866" s="36" t="str">
        <f>VLOOKUP(D866,Oficial!A:C,3,0)</f>
        <v>Bienes y Servicios</v>
      </c>
    </row>
    <row r="867" spans="1:30" x14ac:dyDescent="0.25">
      <c r="A867" s="36" t="s">
        <v>27</v>
      </c>
      <c r="B867" s="36" t="s">
        <v>954</v>
      </c>
      <c r="C867" s="36" t="s">
        <v>28</v>
      </c>
      <c r="D867" s="36" t="s">
        <v>954</v>
      </c>
      <c r="E867" s="36" t="s">
        <v>30</v>
      </c>
      <c r="F867" s="36" t="s">
        <v>569</v>
      </c>
      <c r="G867" s="37" t="s">
        <v>645</v>
      </c>
      <c r="H867" s="36" t="s">
        <v>955</v>
      </c>
      <c r="I867" s="36" t="s">
        <v>956</v>
      </c>
      <c r="J867" s="36">
        <v>3</v>
      </c>
      <c r="K867" s="36" t="s">
        <v>359</v>
      </c>
      <c r="L867" s="36">
        <v>4</v>
      </c>
      <c r="M867" s="36">
        <v>240</v>
      </c>
      <c r="N867" s="38">
        <v>771</v>
      </c>
      <c r="O867" s="38">
        <v>185040</v>
      </c>
      <c r="P867" s="36">
        <v>1</v>
      </c>
      <c r="Q867" s="40">
        <v>46235</v>
      </c>
      <c r="R867" s="36" t="s">
        <v>958</v>
      </c>
      <c r="S867" s="36" t="s">
        <v>959</v>
      </c>
      <c r="T867" s="36" t="s">
        <v>960</v>
      </c>
      <c r="U867" s="36" t="s">
        <v>961</v>
      </c>
      <c r="V867" s="40">
        <v>46235</v>
      </c>
      <c r="W867" s="36"/>
      <c r="X867" s="36">
        <v>0</v>
      </c>
      <c r="Y867" s="36"/>
      <c r="Z867" s="36">
        <v>0</v>
      </c>
      <c r="AA867" s="36">
        <v>0</v>
      </c>
      <c r="AB867" s="36"/>
      <c r="AC867" s="36" t="str">
        <f t="shared" si="2"/>
        <v>PC26</v>
      </c>
      <c r="AD867" s="36" t="str">
        <f>VLOOKUP(D867,Oficial!A:C,3,0)</f>
        <v>Bienes y Servicios</v>
      </c>
    </row>
    <row r="868" spans="1:30" x14ac:dyDescent="0.25">
      <c r="A868" s="36" t="s">
        <v>27</v>
      </c>
      <c r="B868" s="36" t="s">
        <v>954</v>
      </c>
      <c r="C868" s="36" t="s">
        <v>28</v>
      </c>
      <c r="D868" s="36" t="s">
        <v>954</v>
      </c>
      <c r="E868" s="36" t="s">
        <v>30</v>
      </c>
      <c r="F868" s="36" t="s">
        <v>569</v>
      </c>
      <c r="G868" s="37" t="s">
        <v>645</v>
      </c>
      <c r="H868" s="36" t="s">
        <v>955</v>
      </c>
      <c r="I868" s="36" t="s">
        <v>956</v>
      </c>
      <c r="J868" s="36">
        <v>3</v>
      </c>
      <c r="K868" s="36" t="s">
        <v>962</v>
      </c>
      <c r="L868" s="36">
        <v>4</v>
      </c>
      <c r="M868" s="36">
        <v>220</v>
      </c>
      <c r="N868" s="38">
        <v>1228</v>
      </c>
      <c r="O868" s="38">
        <v>270160</v>
      </c>
      <c r="P868" s="36">
        <v>1</v>
      </c>
      <c r="Q868" s="40">
        <v>46235</v>
      </c>
      <c r="R868" s="36" t="s">
        <v>958</v>
      </c>
      <c r="S868" s="36" t="s">
        <v>959</v>
      </c>
      <c r="T868" s="36" t="s">
        <v>960</v>
      </c>
      <c r="U868" s="36" t="s">
        <v>961</v>
      </c>
      <c r="V868" s="40">
        <v>46235</v>
      </c>
      <c r="W868" s="36"/>
      <c r="X868" s="36">
        <v>0</v>
      </c>
      <c r="Y868" s="36"/>
      <c r="Z868" s="36">
        <v>0</v>
      </c>
      <c r="AA868" s="36">
        <v>0</v>
      </c>
      <c r="AB868" s="36"/>
      <c r="AC868" s="36" t="str">
        <f t="shared" si="2"/>
        <v>PC26</v>
      </c>
      <c r="AD868" s="36" t="str">
        <f>VLOOKUP(D868,Oficial!A:C,3,0)</f>
        <v>Bienes y Servicios</v>
      </c>
    </row>
    <row r="869" spans="1:30" x14ac:dyDescent="0.25">
      <c r="A869" s="36" t="s">
        <v>27</v>
      </c>
      <c r="B869" s="36" t="s">
        <v>963</v>
      </c>
      <c r="C869" s="36" t="s">
        <v>28</v>
      </c>
      <c r="D869" s="36" t="s">
        <v>963</v>
      </c>
      <c r="E869" s="36" t="s">
        <v>30</v>
      </c>
      <c r="F869" s="36" t="s">
        <v>569</v>
      </c>
      <c r="G869" s="37" t="s">
        <v>215</v>
      </c>
      <c r="H869" s="36" t="s">
        <v>964</v>
      </c>
      <c r="I869" s="36" t="s">
        <v>965</v>
      </c>
      <c r="J869" s="36">
        <v>1</v>
      </c>
      <c r="K869" s="36" t="s">
        <v>623</v>
      </c>
      <c r="L869" s="36">
        <v>4</v>
      </c>
      <c r="M869" s="36">
        <v>9</v>
      </c>
      <c r="N869" s="38">
        <v>77778</v>
      </c>
      <c r="O869" s="38">
        <v>700002</v>
      </c>
      <c r="P869" s="36">
        <v>1</v>
      </c>
      <c r="Q869" s="40">
        <v>46054</v>
      </c>
      <c r="R869" s="36" t="s">
        <v>768</v>
      </c>
      <c r="S869" s="36" t="s">
        <v>966</v>
      </c>
      <c r="T869" s="36" t="s">
        <v>967</v>
      </c>
      <c r="U869" s="36" t="s">
        <v>968</v>
      </c>
      <c r="V869" s="40">
        <v>46054</v>
      </c>
      <c r="W869" s="36"/>
      <c r="X869" s="36">
        <v>0</v>
      </c>
      <c r="Y869" s="36"/>
      <c r="Z869" s="36">
        <v>0</v>
      </c>
      <c r="AA869" s="36">
        <v>0</v>
      </c>
      <c r="AB869" s="36"/>
      <c r="AC869" s="36" t="str">
        <f t="shared" si="2"/>
        <v>PC26</v>
      </c>
      <c r="AD869" s="36" t="str">
        <f>VLOOKUP(D869,Oficial!A:C,3,0)</f>
        <v>Bienes y Servicios</v>
      </c>
    </row>
    <row r="870" spans="1:30" x14ac:dyDescent="0.25">
      <c r="A870" s="36" t="s">
        <v>27</v>
      </c>
      <c r="B870" s="36" t="s">
        <v>969</v>
      </c>
      <c r="C870" s="36" t="s">
        <v>28</v>
      </c>
      <c r="D870" s="36" t="s">
        <v>969</v>
      </c>
      <c r="E870" s="36" t="s">
        <v>30</v>
      </c>
      <c r="F870" s="36" t="s">
        <v>569</v>
      </c>
      <c r="G870" s="37" t="s">
        <v>215</v>
      </c>
      <c r="H870" s="36" t="s">
        <v>970</v>
      </c>
      <c r="I870" s="36" t="s">
        <v>971</v>
      </c>
      <c r="J870" s="36">
        <v>1</v>
      </c>
      <c r="K870" s="36" t="s">
        <v>623</v>
      </c>
      <c r="L870" s="36">
        <v>4</v>
      </c>
      <c r="M870" s="36">
        <v>12</v>
      </c>
      <c r="N870" s="38">
        <v>583334</v>
      </c>
      <c r="O870" s="38">
        <v>7000008</v>
      </c>
      <c r="P870" s="36">
        <v>1</v>
      </c>
      <c r="Q870" s="40">
        <v>46054</v>
      </c>
      <c r="R870" s="36" t="s">
        <v>768</v>
      </c>
      <c r="S870" s="36" t="s">
        <v>966</v>
      </c>
      <c r="T870" s="36" t="s">
        <v>967</v>
      </c>
      <c r="U870" s="36" t="s">
        <v>968</v>
      </c>
      <c r="V870" s="40">
        <v>46054</v>
      </c>
      <c r="W870" s="36"/>
      <c r="X870" s="36">
        <v>0</v>
      </c>
      <c r="Y870" s="36"/>
      <c r="Z870" s="36">
        <v>0</v>
      </c>
      <c r="AA870" s="36">
        <v>0</v>
      </c>
      <c r="AB870" s="36"/>
      <c r="AC870" s="36" t="str">
        <f t="shared" si="2"/>
        <v>PC26</v>
      </c>
      <c r="AD870" s="36" t="str">
        <f>VLOOKUP(D870,Oficial!A:C,3,0)</f>
        <v>Bienes y Servicios</v>
      </c>
    </row>
    <row r="871" spans="1:30" x14ac:dyDescent="0.25">
      <c r="A871" s="36" t="s">
        <v>27</v>
      </c>
      <c r="B871" s="36" t="s">
        <v>972</v>
      </c>
      <c r="C871" s="36" t="s">
        <v>28</v>
      </c>
      <c r="D871" s="36" t="s">
        <v>972</v>
      </c>
      <c r="E871" s="36" t="s">
        <v>30</v>
      </c>
      <c r="F871" s="36" t="s">
        <v>569</v>
      </c>
      <c r="G871" s="37" t="s">
        <v>215</v>
      </c>
      <c r="H871" s="36" t="s">
        <v>973</v>
      </c>
      <c r="I871" s="36" t="s">
        <v>974</v>
      </c>
      <c r="J871" s="36">
        <v>1</v>
      </c>
      <c r="K871" s="36" t="s">
        <v>623</v>
      </c>
      <c r="L871" s="36">
        <v>4</v>
      </c>
      <c r="M871" s="36">
        <v>1</v>
      </c>
      <c r="N871" s="38">
        <v>800000</v>
      </c>
      <c r="O871" s="38">
        <v>800000</v>
      </c>
      <c r="P871" s="36">
        <v>1</v>
      </c>
      <c r="Q871" s="40">
        <v>46082</v>
      </c>
      <c r="R871" s="36" t="s">
        <v>768</v>
      </c>
      <c r="S871" s="36" t="s">
        <v>966</v>
      </c>
      <c r="T871" s="36" t="s">
        <v>967</v>
      </c>
      <c r="U871" s="36" t="s">
        <v>968</v>
      </c>
      <c r="V871" s="40">
        <v>46082</v>
      </c>
      <c r="W871" s="36"/>
      <c r="X871" s="36">
        <v>0</v>
      </c>
      <c r="Y871" s="36"/>
      <c r="Z871" s="36">
        <v>0</v>
      </c>
      <c r="AA871" s="36">
        <v>0</v>
      </c>
      <c r="AB871" s="36"/>
      <c r="AC871" s="36" t="str">
        <f t="shared" si="2"/>
        <v>PC26</v>
      </c>
      <c r="AD871" s="36" t="str">
        <f>VLOOKUP(D871,Oficial!A:C,3,0)</f>
        <v>Bienes y Servicios</v>
      </c>
    </row>
    <row r="872" spans="1:30" x14ac:dyDescent="0.25">
      <c r="A872" s="36" t="s">
        <v>27</v>
      </c>
      <c r="B872" s="36" t="s">
        <v>975</v>
      </c>
      <c r="C872" s="36" t="s">
        <v>28</v>
      </c>
      <c r="D872" s="36" t="s">
        <v>975</v>
      </c>
      <c r="E872" s="36" t="s">
        <v>30</v>
      </c>
      <c r="F872" s="36" t="s">
        <v>569</v>
      </c>
      <c r="G872" s="37" t="s">
        <v>215</v>
      </c>
      <c r="H872" s="36" t="s">
        <v>976</v>
      </c>
      <c r="I872" s="36" t="s">
        <v>977</v>
      </c>
      <c r="J872" s="36">
        <v>1</v>
      </c>
      <c r="K872" s="36" t="s">
        <v>623</v>
      </c>
      <c r="L872" s="36">
        <v>4</v>
      </c>
      <c r="M872" s="36">
        <v>1</v>
      </c>
      <c r="N872" s="38">
        <v>3500000</v>
      </c>
      <c r="O872" s="38">
        <v>3500000</v>
      </c>
      <c r="P872" s="36">
        <v>1</v>
      </c>
      <c r="Q872" s="40">
        <v>46054</v>
      </c>
      <c r="R872" s="36" t="s">
        <v>768</v>
      </c>
      <c r="S872" s="36" t="s">
        <v>966</v>
      </c>
      <c r="T872" s="36" t="s">
        <v>967</v>
      </c>
      <c r="U872" s="36" t="s">
        <v>968</v>
      </c>
      <c r="V872" s="40">
        <v>46054</v>
      </c>
      <c r="W872" s="36"/>
      <c r="X872" s="36">
        <v>0</v>
      </c>
      <c r="Y872" s="36"/>
      <c r="Z872" s="36">
        <v>0</v>
      </c>
      <c r="AA872" s="36">
        <v>0</v>
      </c>
      <c r="AB872" s="36"/>
      <c r="AC872" s="36" t="str">
        <f t="shared" si="2"/>
        <v>PC26</v>
      </c>
      <c r="AD872" s="36" t="str">
        <f>VLOOKUP(D872,Oficial!A:C,3,0)</f>
        <v>Bienes y Servicios</v>
      </c>
    </row>
    <row r="873" spans="1:30" x14ac:dyDescent="0.25">
      <c r="A873" s="36" t="s">
        <v>27</v>
      </c>
      <c r="B873" s="36" t="s">
        <v>978</v>
      </c>
      <c r="C873" s="36" t="s">
        <v>28</v>
      </c>
      <c r="D873" s="36" t="s">
        <v>978</v>
      </c>
      <c r="E873" s="36" t="s">
        <v>30</v>
      </c>
      <c r="F873" s="36" t="s">
        <v>569</v>
      </c>
      <c r="G873" s="37" t="s">
        <v>215</v>
      </c>
      <c r="H873" s="36" t="s">
        <v>979</v>
      </c>
      <c r="I873" s="36" t="s">
        <v>980</v>
      </c>
      <c r="J873" s="36">
        <v>1</v>
      </c>
      <c r="K873" s="36" t="s">
        <v>623</v>
      </c>
      <c r="L873" s="36">
        <v>4</v>
      </c>
      <c r="M873" s="36">
        <v>1</v>
      </c>
      <c r="N873" s="38">
        <v>2000000</v>
      </c>
      <c r="O873" s="38">
        <v>2000000</v>
      </c>
      <c r="P873" s="36">
        <v>1</v>
      </c>
      <c r="Q873" s="40">
        <v>46082</v>
      </c>
      <c r="R873" s="36" t="s">
        <v>768</v>
      </c>
      <c r="S873" s="36" t="s">
        <v>966</v>
      </c>
      <c r="T873" s="36" t="s">
        <v>967</v>
      </c>
      <c r="U873" s="36" t="s">
        <v>968</v>
      </c>
      <c r="V873" s="40">
        <v>46082</v>
      </c>
      <c r="W873" s="36"/>
      <c r="X873" s="36">
        <v>0</v>
      </c>
      <c r="Y873" s="36"/>
      <c r="Z873" s="36">
        <v>0</v>
      </c>
      <c r="AA873" s="36">
        <v>0</v>
      </c>
      <c r="AB873" s="36"/>
      <c r="AC873" s="36" t="str">
        <f t="shared" si="2"/>
        <v>PC26</v>
      </c>
      <c r="AD873" s="36" t="str">
        <f>VLOOKUP(D873,Oficial!A:C,3,0)</f>
        <v>Bienes y Servicios</v>
      </c>
    </row>
    <row r="874" spans="1:30" x14ac:dyDescent="0.25">
      <c r="A874" s="36" t="s">
        <v>27</v>
      </c>
      <c r="B874" s="36" t="s">
        <v>981</v>
      </c>
      <c r="C874" s="36" t="s">
        <v>28</v>
      </c>
      <c r="D874" s="36" t="s">
        <v>981</v>
      </c>
      <c r="E874" s="36" t="s">
        <v>30</v>
      </c>
      <c r="F874" s="36" t="s">
        <v>569</v>
      </c>
      <c r="G874" s="37" t="s">
        <v>215</v>
      </c>
      <c r="H874" s="36" t="s">
        <v>982</v>
      </c>
      <c r="I874" s="36" t="s">
        <v>983</v>
      </c>
      <c r="J874" s="36">
        <v>1</v>
      </c>
      <c r="K874" s="36" t="s">
        <v>623</v>
      </c>
      <c r="L874" s="36">
        <v>4</v>
      </c>
      <c r="M874" s="36">
        <v>6</v>
      </c>
      <c r="N874" s="38">
        <v>133334</v>
      </c>
      <c r="O874" s="38">
        <v>800004</v>
      </c>
      <c r="P874" s="36">
        <v>1</v>
      </c>
      <c r="Q874" s="40">
        <v>46113</v>
      </c>
      <c r="R874" s="36" t="s">
        <v>768</v>
      </c>
      <c r="S874" s="36" t="s">
        <v>966</v>
      </c>
      <c r="T874" s="36" t="s">
        <v>967</v>
      </c>
      <c r="U874" s="36" t="s">
        <v>968</v>
      </c>
      <c r="V874" s="40">
        <v>46113</v>
      </c>
      <c r="W874" s="36"/>
      <c r="X874" s="36">
        <v>0</v>
      </c>
      <c r="Y874" s="36"/>
      <c r="Z874" s="36">
        <v>0</v>
      </c>
      <c r="AA874" s="36">
        <v>0</v>
      </c>
      <c r="AB874" s="36"/>
      <c r="AC874" s="36" t="str">
        <f t="shared" si="2"/>
        <v>PC26</v>
      </c>
      <c r="AD874" s="36" t="str">
        <f>VLOOKUP(D874,Oficial!A:C,3,0)</f>
        <v>Bienes y Servicios</v>
      </c>
    </row>
    <row r="875" spans="1:30" x14ac:dyDescent="0.25">
      <c r="A875" s="36" t="s">
        <v>27</v>
      </c>
      <c r="B875" s="36" t="s">
        <v>984</v>
      </c>
      <c r="C875" s="36" t="s">
        <v>28</v>
      </c>
      <c r="D875" s="36" t="s">
        <v>984</v>
      </c>
      <c r="E875" s="36" t="s">
        <v>30</v>
      </c>
      <c r="F875" s="36" t="s">
        <v>569</v>
      </c>
      <c r="G875" s="37" t="s">
        <v>215</v>
      </c>
      <c r="H875" s="36" t="s">
        <v>985</v>
      </c>
      <c r="I875" s="36" t="s">
        <v>986</v>
      </c>
      <c r="J875" s="36">
        <v>1</v>
      </c>
      <c r="K875" s="36" t="s">
        <v>623</v>
      </c>
      <c r="L875" s="36">
        <v>4</v>
      </c>
      <c r="M875" s="36">
        <v>1</v>
      </c>
      <c r="N875" s="38">
        <v>600000</v>
      </c>
      <c r="O875" s="38">
        <v>600000</v>
      </c>
      <c r="P875" s="36">
        <v>1</v>
      </c>
      <c r="Q875" s="40">
        <v>46023</v>
      </c>
      <c r="R875" s="36" t="s">
        <v>768</v>
      </c>
      <c r="S875" s="36" t="s">
        <v>966</v>
      </c>
      <c r="T875" s="36" t="s">
        <v>967</v>
      </c>
      <c r="U875" s="36" t="s">
        <v>968</v>
      </c>
      <c r="V875" s="40">
        <v>46023</v>
      </c>
      <c r="W875" s="36"/>
      <c r="X875" s="36">
        <v>0</v>
      </c>
      <c r="Y875" s="36"/>
      <c r="Z875" s="36">
        <v>0</v>
      </c>
      <c r="AA875" s="36">
        <v>0</v>
      </c>
      <c r="AB875" s="36"/>
      <c r="AC875" s="36" t="str">
        <f t="shared" si="2"/>
        <v>PC26</v>
      </c>
      <c r="AD875" s="36" t="str">
        <f>VLOOKUP(D875,Oficial!A:C,3,0)</f>
        <v>Bienes y Servicios</v>
      </c>
    </row>
    <row r="876" spans="1:30" x14ac:dyDescent="0.25">
      <c r="A876" s="36" t="s">
        <v>27</v>
      </c>
      <c r="B876" s="36" t="s">
        <v>987</v>
      </c>
      <c r="C876" s="36" t="s">
        <v>28</v>
      </c>
      <c r="D876" s="36" t="s">
        <v>987</v>
      </c>
      <c r="E876" s="36" t="s">
        <v>30</v>
      </c>
      <c r="F876" s="36" t="s">
        <v>569</v>
      </c>
      <c r="G876" s="37" t="s">
        <v>215</v>
      </c>
      <c r="H876" s="36" t="s">
        <v>988</v>
      </c>
      <c r="I876" s="36" t="s">
        <v>989</v>
      </c>
      <c r="J876" s="36">
        <v>1</v>
      </c>
      <c r="K876" s="36" t="s">
        <v>623</v>
      </c>
      <c r="L876" s="36">
        <v>4</v>
      </c>
      <c r="M876" s="36">
        <v>1</v>
      </c>
      <c r="N876" s="38">
        <v>4000000</v>
      </c>
      <c r="O876" s="38">
        <v>4000000</v>
      </c>
      <c r="P876" s="36">
        <v>1</v>
      </c>
      <c r="Q876" s="40">
        <v>46204</v>
      </c>
      <c r="R876" s="36" t="s">
        <v>768</v>
      </c>
      <c r="S876" s="36" t="s">
        <v>966</v>
      </c>
      <c r="T876" s="36" t="s">
        <v>967</v>
      </c>
      <c r="U876" s="36" t="s">
        <v>968</v>
      </c>
      <c r="V876" s="40">
        <v>46204</v>
      </c>
      <c r="W876" s="36"/>
      <c r="X876" s="36">
        <v>0</v>
      </c>
      <c r="Y876" s="36"/>
      <c r="Z876" s="36">
        <v>0</v>
      </c>
      <c r="AA876" s="36">
        <v>0</v>
      </c>
      <c r="AB876" s="36"/>
      <c r="AC876" s="36" t="str">
        <f t="shared" si="2"/>
        <v>PC26</v>
      </c>
      <c r="AD876" s="36" t="str">
        <f>VLOOKUP(D876,Oficial!A:C,3,0)</f>
        <v>Bienes y Servicios</v>
      </c>
    </row>
    <row r="877" spans="1:30" x14ac:dyDescent="0.25">
      <c r="A877" s="36" t="s">
        <v>27</v>
      </c>
      <c r="B877" s="36" t="s">
        <v>990</v>
      </c>
      <c r="C877" s="36" t="s">
        <v>28</v>
      </c>
      <c r="D877" s="36" t="s">
        <v>990</v>
      </c>
      <c r="E877" s="36" t="s">
        <v>30</v>
      </c>
      <c r="F877" s="36" t="s">
        <v>569</v>
      </c>
      <c r="G877" s="37" t="s">
        <v>215</v>
      </c>
      <c r="H877" s="36" t="s">
        <v>991</v>
      </c>
      <c r="I877" s="36" t="s">
        <v>992</v>
      </c>
      <c r="J877" s="36">
        <v>1</v>
      </c>
      <c r="K877" s="36" t="s">
        <v>623</v>
      </c>
      <c r="L877" s="36">
        <v>4</v>
      </c>
      <c r="M877" s="36">
        <v>1</v>
      </c>
      <c r="N877" s="38">
        <v>5500000</v>
      </c>
      <c r="O877" s="38">
        <v>5500000</v>
      </c>
      <c r="P877" s="36">
        <v>1</v>
      </c>
      <c r="Q877" s="40">
        <v>46082</v>
      </c>
      <c r="R877" s="36" t="s">
        <v>768</v>
      </c>
      <c r="S877" s="36" t="s">
        <v>966</v>
      </c>
      <c r="T877" s="36" t="s">
        <v>967</v>
      </c>
      <c r="U877" s="36" t="s">
        <v>968</v>
      </c>
      <c r="V877" s="40">
        <v>46082</v>
      </c>
      <c r="W877" s="36"/>
      <c r="X877" s="36">
        <v>0</v>
      </c>
      <c r="Y877" s="36"/>
      <c r="Z877" s="36">
        <v>0</v>
      </c>
      <c r="AA877" s="36">
        <v>0</v>
      </c>
      <c r="AB877" s="36"/>
      <c r="AC877" s="36" t="str">
        <f t="shared" si="2"/>
        <v>PC26</v>
      </c>
      <c r="AD877" s="36" t="str">
        <f>VLOOKUP(D877,Oficial!A:C,3,0)</f>
        <v>Bienes y Servicios</v>
      </c>
    </row>
    <row r="878" spans="1:30" x14ac:dyDescent="0.25">
      <c r="A878" s="36" t="s">
        <v>27</v>
      </c>
      <c r="B878" s="36" t="s">
        <v>993</v>
      </c>
      <c r="C878" s="36" t="s">
        <v>28</v>
      </c>
      <c r="D878" s="36" t="s">
        <v>993</v>
      </c>
      <c r="E878" s="36" t="s">
        <v>30</v>
      </c>
      <c r="F878" s="36" t="s">
        <v>569</v>
      </c>
      <c r="G878" s="37" t="s">
        <v>215</v>
      </c>
      <c r="H878" s="36" t="s">
        <v>994</v>
      </c>
      <c r="I878" s="36" t="s">
        <v>995</v>
      </c>
      <c r="J878" s="36">
        <v>1</v>
      </c>
      <c r="K878" s="36" t="s">
        <v>623</v>
      </c>
      <c r="L878" s="36">
        <v>4</v>
      </c>
      <c r="M878" s="36">
        <v>1</v>
      </c>
      <c r="N878" s="38">
        <v>3000000</v>
      </c>
      <c r="O878" s="38">
        <v>3000000</v>
      </c>
      <c r="P878" s="36">
        <v>1</v>
      </c>
      <c r="Q878" s="40">
        <v>46113</v>
      </c>
      <c r="R878" s="36" t="s">
        <v>768</v>
      </c>
      <c r="S878" s="36" t="s">
        <v>966</v>
      </c>
      <c r="T878" s="36" t="s">
        <v>967</v>
      </c>
      <c r="U878" s="36" t="s">
        <v>968</v>
      </c>
      <c r="V878" s="40">
        <v>46113</v>
      </c>
      <c r="W878" s="36"/>
      <c r="X878" s="36">
        <v>0</v>
      </c>
      <c r="Y878" s="36"/>
      <c r="Z878" s="36">
        <v>0</v>
      </c>
      <c r="AA878" s="36">
        <v>0</v>
      </c>
      <c r="AB878" s="36"/>
      <c r="AC878" s="36" t="str">
        <f t="shared" si="2"/>
        <v>PC26</v>
      </c>
      <c r="AD878" s="36" t="str">
        <f>VLOOKUP(D878,Oficial!A:C,3,0)</f>
        <v>Bienes y Servicios</v>
      </c>
    </row>
    <row r="879" spans="1:30" x14ac:dyDescent="0.25">
      <c r="A879" s="36" t="s">
        <v>27</v>
      </c>
      <c r="B879" s="36" t="s">
        <v>996</v>
      </c>
      <c r="C879" s="36" t="s">
        <v>28</v>
      </c>
      <c r="D879" s="36" t="s">
        <v>996</v>
      </c>
      <c r="E879" s="36" t="s">
        <v>30</v>
      </c>
      <c r="F879" s="36" t="s">
        <v>569</v>
      </c>
      <c r="G879" s="37" t="s">
        <v>483</v>
      </c>
      <c r="H879" s="36" t="s">
        <v>997</v>
      </c>
      <c r="I879" s="36" t="s">
        <v>998</v>
      </c>
      <c r="J879" s="36">
        <v>1</v>
      </c>
      <c r="K879" s="36" t="s">
        <v>486</v>
      </c>
      <c r="L879" s="36">
        <v>4</v>
      </c>
      <c r="M879" s="36">
        <v>4</v>
      </c>
      <c r="N879" s="38">
        <v>15000</v>
      </c>
      <c r="O879" s="38">
        <v>60000</v>
      </c>
      <c r="P879" s="36">
        <v>1</v>
      </c>
      <c r="Q879" s="40">
        <v>46023</v>
      </c>
      <c r="R879" s="36" t="s">
        <v>934</v>
      </c>
      <c r="S879" s="36" t="s">
        <v>935</v>
      </c>
      <c r="T879" s="36" t="s">
        <v>999</v>
      </c>
      <c r="U879" s="36" t="s">
        <v>937</v>
      </c>
      <c r="V879" s="40">
        <v>46023</v>
      </c>
      <c r="W879" s="36"/>
      <c r="X879" s="36">
        <v>0</v>
      </c>
      <c r="Y879" s="36"/>
      <c r="Z879" s="36">
        <v>0</v>
      </c>
      <c r="AA879" s="36">
        <v>0</v>
      </c>
      <c r="AB879" s="36"/>
      <c r="AC879" s="36" t="str">
        <f t="shared" si="2"/>
        <v>PC26</v>
      </c>
      <c r="AD879" s="36" t="str">
        <f>VLOOKUP(D879,Oficial!A:C,3,0)</f>
        <v>Bienes y Servicios</v>
      </c>
    </row>
    <row r="880" spans="1:30" x14ac:dyDescent="0.25">
      <c r="A880" s="36" t="s">
        <v>27</v>
      </c>
      <c r="B880" s="36" t="s">
        <v>1000</v>
      </c>
      <c r="C880" s="36" t="s">
        <v>28</v>
      </c>
      <c r="D880" s="36" t="s">
        <v>1000</v>
      </c>
      <c r="E880" s="36" t="s">
        <v>30</v>
      </c>
      <c r="F880" s="36" t="s">
        <v>569</v>
      </c>
      <c r="G880" s="37" t="s">
        <v>215</v>
      </c>
      <c r="H880" s="36" t="s">
        <v>1001</v>
      </c>
      <c r="I880" s="36" t="s">
        <v>1002</v>
      </c>
      <c r="J880" s="36">
        <v>1</v>
      </c>
      <c r="K880" s="36" t="s">
        <v>623</v>
      </c>
      <c r="L880" s="36">
        <v>4</v>
      </c>
      <c r="M880" s="36">
        <v>1</v>
      </c>
      <c r="N880" s="38">
        <v>1500000</v>
      </c>
      <c r="O880" s="38">
        <v>1500000</v>
      </c>
      <c r="P880" s="36">
        <v>1</v>
      </c>
      <c r="Q880" s="40">
        <v>46174</v>
      </c>
      <c r="R880" s="36" t="s">
        <v>768</v>
      </c>
      <c r="S880" s="36" t="s">
        <v>966</v>
      </c>
      <c r="T880" s="36" t="s">
        <v>967</v>
      </c>
      <c r="U880" s="36" t="s">
        <v>968</v>
      </c>
      <c r="V880" s="40">
        <v>46204</v>
      </c>
      <c r="W880" s="36"/>
      <c r="X880" s="36">
        <v>0</v>
      </c>
      <c r="Y880" s="36"/>
      <c r="Z880" s="36">
        <v>0</v>
      </c>
      <c r="AA880" s="36">
        <v>0</v>
      </c>
      <c r="AB880" s="36"/>
      <c r="AC880" s="36" t="str">
        <f t="shared" si="2"/>
        <v>PC26</v>
      </c>
      <c r="AD880" s="36" t="str">
        <f>VLOOKUP(D880,Oficial!A:C,3,0)</f>
        <v>Bienes y Servicios</v>
      </c>
    </row>
    <row r="881" spans="1:30" x14ac:dyDescent="0.25">
      <c r="A881" s="36" t="s">
        <v>27</v>
      </c>
      <c r="B881" s="36" t="s">
        <v>1003</v>
      </c>
      <c r="C881" s="36" t="s">
        <v>28</v>
      </c>
      <c r="D881" s="36" t="s">
        <v>1003</v>
      </c>
      <c r="E881" s="36" t="s">
        <v>30</v>
      </c>
      <c r="F881" s="36" t="s">
        <v>569</v>
      </c>
      <c r="G881" s="37" t="s">
        <v>439</v>
      </c>
      <c r="H881" s="36" t="s">
        <v>1004</v>
      </c>
      <c r="I881" s="36" t="s">
        <v>1005</v>
      </c>
      <c r="J881" s="36">
        <v>1</v>
      </c>
      <c r="K881" s="36" t="s">
        <v>1006</v>
      </c>
      <c r="L881" s="36">
        <v>4</v>
      </c>
      <c r="M881" s="36">
        <v>2500</v>
      </c>
      <c r="N881" s="38">
        <v>7000</v>
      </c>
      <c r="O881" s="38">
        <v>17500000</v>
      </c>
      <c r="P881" s="36">
        <v>4</v>
      </c>
      <c r="Q881" s="36" t="s">
        <v>1007</v>
      </c>
      <c r="R881" s="36" t="s">
        <v>768</v>
      </c>
      <c r="S881" s="36" t="s">
        <v>966</v>
      </c>
      <c r="T881" s="36" t="s">
        <v>967</v>
      </c>
      <c r="U881" s="36" t="s">
        <v>968</v>
      </c>
      <c r="V881" s="40">
        <v>46082</v>
      </c>
      <c r="W881" s="36"/>
      <c r="X881" s="36">
        <v>0</v>
      </c>
      <c r="Y881" s="36"/>
      <c r="Z881" s="36">
        <v>0</v>
      </c>
      <c r="AA881" s="36">
        <v>0</v>
      </c>
      <c r="AB881" s="36"/>
      <c r="AC881" s="36" t="str">
        <f t="shared" si="2"/>
        <v>PC26</v>
      </c>
      <c r="AD881" s="36" t="str">
        <f>VLOOKUP(D881,Oficial!A:C,3,0)</f>
        <v>Bienes y Servicios</v>
      </c>
    </row>
    <row r="882" spans="1:30" x14ac:dyDescent="0.25">
      <c r="A882" s="36" t="s">
        <v>27</v>
      </c>
      <c r="B882" s="36" t="s">
        <v>1008</v>
      </c>
      <c r="C882" s="36" t="s">
        <v>28</v>
      </c>
      <c r="D882" s="36" t="s">
        <v>1008</v>
      </c>
      <c r="E882" s="36" t="s">
        <v>30</v>
      </c>
      <c r="F882" s="36" t="s">
        <v>569</v>
      </c>
      <c r="G882" s="37" t="s">
        <v>1009</v>
      </c>
      <c r="H882" s="36" t="s">
        <v>1010</v>
      </c>
      <c r="I882" s="36" t="s">
        <v>1011</v>
      </c>
      <c r="J882" s="36">
        <v>1</v>
      </c>
      <c r="K882" s="36" t="s">
        <v>1012</v>
      </c>
      <c r="L882" s="36">
        <v>4</v>
      </c>
      <c r="M882" s="36">
        <v>700</v>
      </c>
      <c r="N882" s="38">
        <v>2600</v>
      </c>
      <c r="O882" s="38">
        <v>1820000</v>
      </c>
      <c r="P882" s="36">
        <v>1</v>
      </c>
      <c r="Q882" s="40">
        <v>46143</v>
      </c>
      <c r="R882" s="36" t="s">
        <v>768</v>
      </c>
      <c r="S882" s="36" t="s">
        <v>966</v>
      </c>
      <c r="T882" s="36" t="s">
        <v>967</v>
      </c>
      <c r="U882" s="36" t="s">
        <v>968</v>
      </c>
      <c r="V882" s="40">
        <v>46143</v>
      </c>
      <c r="W882" s="36"/>
      <c r="X882" s="36">
        <v>0</v>
      </c>
      <c r="Y882" s="36"/>
      <c r="Z882" s="36">
        <v>0</v>
      </c>
      <c r="AA882" s="36">
        <v>0</v>
      </c>
      <c r="AB882" s="36"/>
      <c r="AC882" s="36" t="str">
        <f t="shared" si="2"/>
        <v>PC26</v>
      </c>
      <c r="AD882" s="36" t="str">
        <f>VLOOKUP(D882,Oficial!A:C,3,0)</f>
        <v>Bienes y Servicios</v>
      </c>
    </row>
    <row r="883" spans="1:30" x14ac:dyDescent="0.25">
      <c r="A883" s="36" t="s">
        <v>27</v>
      </c>
      <c r="B883" s="36" t="s">
        <v>1013</v>
      </c>
      <c r="C883" s="36" t="s">
        <v>28</v>
      </c>
      <c r="D883" s="36" t="s">
        <v>1013</v>
      </c>
      <c r="E883" s="36" t="s">
        <v>30</v>
      </c>
      <c r="F883" s="36" t="s">
        <v>569</v>
      </c>
      <c r="G883" s="37" t="s">
        <v>215</v>
      </c>
      <c r="H883" s="36" t="s">
        <v>1014</v>
      </c>
      <c r="I883" s="36" t="s">
        <v>1015</v>
      </c>
      <c r="J883" s="36">
        <v>1</v>
      </c>
      <c r="K883" s="36" t="s">
        <v>623</v>
      </c>
      <c r="L883" s="36">
        <v>4</v>
      </c>
      <c r="M883" s="36">
        <v>60</v>
      </c>
      <c r="N883" s="38">
        <v>20000</v>
      </c>
      <c r="O883" s="38">
        <v>1200000</v>
      </c>
      <c r="P883" s="36">
        <v>1</v>
      </c>
      <c r="Q883" s="40">
        <v>46082</v>
      </c>
      <c r="R883" s="36" t="s">
        <v>768</v>
      </c>
      <c r="S883" s="36" t="s">
        <v>966</v>
      </c>
      <c r="T883" s="36" t="s">
        <v>967</v>
      </c>
      <c r="U883" s="36" t="s">
        <v>968</v>
      </c>
      <c r="V883" s="40">
        <v>46082</v>
      </c>
      <c r="W883" s="36"/>
      <c r="X883" s="36">
        <v>0</v>
      </c>
      <c r="Y883" s="36"/>
      <c r="Z883" s="36">
        <v>0</v>
      </c>
      <c r="AA883" s="36">
        <v>0</v>
      </c>
      <c r="AB883" s="36"/>
      <c r="AC883" s="36" t="str">
        <f t="shared" si="2"/>
        <v>PC26</v>
      </c>
      <c r="AD883" s="36" t="str">
        <f>VLOOKUP(D883,Oficial!A:C,3,0)</f>
        <v>Bienes y Servicios</v>
      </c>
    </row>
    <row r="884" spans="1:30" x14ac:dyDescent="0.25">
      <c r="A884" s="36" t="s">
        <v>27</v>
      </c>
      <c r="B884" s="36" t="s">
        <v>1016</v>
      </c>
      <c r="C884" s="36" t="s">
        <v>28</v>
      </c>
      <c r="D884" s="36" t="s">
        <v>1016</v>
      </c>
      <c r="E884" s="36" t="s">
        <v>30</v>
      </c>
      <c r="F884" s="36" t="s">
        <v>569</v>
      </c>
      <c r="G884" s="37" t="s">
        <v>215</v>
      </c>
      <c r="H884" s="36" t="s">
        <v>1017</v>
      </c>
      <c r="I884" s="36" t="s">
        <v>1018</v>
      </c>
      <c r="J884" s="36">
        <v>1</v>
      </c>
      <c r="K884" s="36" t="s">
        <v>623</v>
      </c>
      <c r="L884" s="36">
        <v>4</v>
      </c>
      <c r="M884" s="36">
        <v>36</v>
      </c>
      <c r="N884" s="38">
        <v>69445</v>
      </c>
      <c r="O884" s="38">
        <v>2500020</v>
      </c>
      <c r="P884" s="36">
        <v>1</v>
      </c>
      <c r="Q884" s="40">
        <v>46174</v>
      </c>
      <c r="R884" s="36" t="s">
        <v>768</v>
      </c>
      <c r="S884" s="36" t="s">
        <v>966</v>
      </c>
      <c r="T884" s="36" t="s">
        <v>967</v>
      </c>
      <c r="U884" s="36" t="s">
        <v>968</v>
      </c>
      <c r="V884" s="40">
        <v>46174</v>
      </c>
      <c r="W884" s="36"/>
      <c r="X884" s="36">
        <v>0</v>
      </c>
      <c r="Y884" s="36"/>
      <c r="Z884" s="36">
        <v>0</v>
      </c>
      <c r="AA884" s="36">
        <v>0</v>
      </c>
      <c r="AB884" s="36"/>
      <c r="AC884" s="36" t="str">
        <f t="shared" si="2"/>
        <v>PC26</v>
      </c>
      <c r="AD884" s="36" t="str">
        <f>VLOOKUP(D884,Oficial!A:C,3,0)</f>
        <v>Bienes y Servicios</v>
      </c>
    </row>
    <row r="885" spans="1:30" x14ac:dyDescent="0.25">
      <c r="A885" s="36" t="s">
        <v>27</v>
      </c>
      <c r="B885" s="36" t="s">
        <v>1019</v>
      </c>
      <c r="C885" s="36" t="s">
        <v>28</v>
      </c>
      <c r="D885" s="36" t="s">
        <v>1019</v>
      </c>
      <c r="E885" s="36" t="s">
        <v>30</v>
      </c>
      <c r="F885" s="36" t="s">
        <v>569</v>
      </c>
      <c r="G885" s="37" t="s">
        <v>215</v>
      </c>
      <c r="H885" s="36" t="s">
        <v>1020</v>
      </c>
      <c r="I885" s="36" t="s">
        <v>1021</v>
      </c>
      <c r="J885" s="36">
        <v>1</v>
      </c>
      <c r="K885" s="36" t="s">
        <v>121</v>
      </c>
      <c r="L885" s="36">
        <v>4</v>
      </c>
      <c r="M885" s="36">
        <v>25</v>
      </c>
      <c r="N885" s="38">
        <v>100000</v>
      </c>
      <c r="O885" s="38">
        <v>2500000</v>
      </c>
      <c r="P885" s="36">
        <v>1</v>
      </c>
      <c r="Q885" s="40">
        <v>46235</v>
      </c>
      <c r="R885" s="36" t="s">
        <v>768</v>
      </c>
      <c r="S885" s="36" t="s">
        <v>966</v>
      </c>
      <c r="T885" s="36" t="s">
        <v>967</v>
      </c>
      <c r="U885" s="36" t="s">
        <v>968</v>
      </c>
      <c r="V885" s="40">
        <v>46235</v>
      </c>
      <c r="W885" s="36"/>
      <c r="X885" s="36">
        <v>0</v>
      </c>
      <c r="Y885" s="36"/>
      <c r="Z885" s="36">
        <v>0</v>
      </c>
      <c r="AA885" s="36">
        <v>0</v>
      </c>
      <c r="AB885" s="36"/>
      <c r="AC885" s="36" t="str">
        <f t="shared" si="2"/>
        <v>PC26</v>
      </c>
      <c r="AD885" s="36" t="str">
        <f>VLOOKUP(D885,Oficial!A:C,3,0)</f>
        <v>Bienes y Servicios</v>
      </c>
    </row>
    <row r="886" spans="1:30" x14ac:dyDescent="0.25">
      <c r="A886" s="36" t="s">
        <v>27</v>
      </c>
      <c r="B886" s="36" t="s">
        <v>1022</v>
      </c>
      <c r="C886" s="36" t="s">
        <v>28</v>
      </c>
      <c r="D886" s="36" t="s">
        <v>1022</v>
      </c>
      <c r="E886" s="36" t="s">
        <v>30</v>
      </c>
      <c r="F886" s="36" t="s">
        <v>569</v>
      </c>
      <c r="G886" s="37" t="s">
        <v>215</v>
      </c>
      <c r="H886" s="36" t="s">
        <v>1023</v>
      </c>
      <c r="I886" s="36" t="s">
        <v>1024</v>
      </c>
      <c r="J886" s="36">
        <v>1</v>
      </c>
      <c r="K886" s="36" t="s">
        <v>623</v>
      </c>
      <c r="L886" s="36">
        <v>4</v>
      </c>
      <c r="M886" s="36">
        <v>160</v>
      </c>
      <c r="N886" s="38">
        <v>15625</v>
      </c>
      <c r="O886" s="38">
        <v>2500000</v>
      </c>
      <c r="P886" s="36">
        <v>1</v>
      </c>
      <c r="Q886" s="40">
        <v>46235</v>
      </c>
      <c r="R886" s="36" t="s">
        <v>768</v>
      </c>
      <c r="S886" s="36" t="s">
        <v>966</v>
      </c>
      <c r="T886" s="36" t="s">
        <v>967</v>
      </c>
      <c r="U886" s="36" t="s">
        <v>968</v>
      </c>
      <c r="V886" s="40">
        <v>46235</v>
      </c>
      <c r="W886" s="36"/>
      <c r="X886" s="36">
        <v>0</v>
      </c>
      <c r="Y886" s="36"/>
      <c r="Z886" s="36">
        <v>0</v>
      </c>
      <c r="AA886" s="36">
        <v>0</v>
      </c>
      <c r="AB886" s="36"/>
      <c r="AC886" s="36" t="str">
        <f t="shared" si="2"/>
        <v>PC26</v>
      </c>
      <c r="AD886" s="36" t="str">
        <f>VLOOKUP(D886,Oficial!A:C,3,0)</f>
        <v>Bienes y Servicios</v>
      </c>
    </row>
    <row r="887" spans="1:30" x14ac:dyDescent="0.25">
      <c r="A887" s="36" t="s">
        <v>27</v>
      </c>
      <c r="B887" s="36" t="s">
        <v>1025</v>
      </c>
      <c r="C887" s="36" t="s">
        <v>28</v>
      </c>
      <c r="D887" s="36" t="s">
        <v>1025</v>
      </c>
      <c r="E887" s="36" t="s">
        <v>30</v>
      </c>
      <c r="F887" s="36" t="s">
        <v>569</v>
      </c>
      <c r="G887" s="37" t="s">
        <v>314</v>
      </c>
      <c r="H887" s="36" t="s">
        <v>1026</v>
      </c>
      <c r="I887" s="36" t="s">
        <v>1027</v>
      </c>
      <c r="J887" s="36">
        <v>1</v>
      </c>
      <c r="K887" s="36" t="s">
        <v>1028</v>
      </c>
      <c r="L887" s="36">
        <v>4</v>
      </c>
      <c r="M887" s="36">
        <v>1</v>
      </c>
      <c r="N887" s="38">
        <v>18300000</v>
      </c>
      <c r="O887" s="38">
        <v>0</v>
      </c>
      <c r="P887" s="36">
        <v>12</v>
      </c>
      <c r="Q887" s="36" t="s">
        <v>1029</v>
      </c>
      <c r="R887" s="36" t="s">
        <v>768</v>
      </c>
      <c r="S887" s="36" t="s">
        <v>769</v>
      </c>
      <c r="T887" s="36" t="s">
        <v>770</v>
      </c>
      <c r="U887" s="36" t="s">
        <v>388</v>
      </c>
      <c r="V887" s="40">
        <v>46327</v>
      </c>
      <c r="W887" s="36"/>
      <c r="X887" s="36">
        <v>0</v>
      </c>
      <c r="Y887" s="36"/>
      <c r="Z887" s="36">
        <v>0</v>
      </c>
      <c r="AA887" s="36">
        <v>0</v>
      </c>
      <c r="AB887" s="36"/>
      <c r="AC887" s="36" t="str">
        <f t="shared" si="2"/>
        <v>PC26</v>
      </c>
      <c r="AD887" s="36" t="str">
        <f>VLOOKUP(D887,Oficial!A:C,3,0)</f>
        <v>Bienes y Servicios</v>
      </c>
    </row>
    <row r="888" spans="1:30" x14ac:dyDescent="0.25">
      <c r="A888" s="36" t="s">
        <v>27</v>
      </c>
      <c r="B888" s="36" t="s">
        <v>1030</v>
      </c>
      <c r="C888" s="36" t="s">
        <v>374</v>
      </c>
      <c r="D888" s="36" t="s">
        <v>1030</v>
      </c>
      <c r="E888" s="36" t="s">
        <v>30</v>
      </c>
      <c r="F888" s="36" t="s">
        <v>569</v>
      </c>
      <c r="G888" s="37" t="s">
        <v>1031</v>
      </c>
      <c r="H888" s="36" t="s">
        <v>1032</v>
      </c>
      <c r="I888" s="36" t="s">
        <v>1033</v>
      </c>
      <c r="J888" s="36">
        <v>2</v>
      </c>
      <c r="K888" s="36" t="s">
        <v>1034</v>
      </c>
      <c r="L888" s="36">
        <v>4</v>
      </c>
      <c r="M888" s="36">
        <v>1</v>
      </c>
      <c r="N888" s="38">
        <v>21200000</v>
      </c>
      <c r="O888" s="38">
        <v>21200000</v>
      </c>
      <c r="P888" s="36">
        <v>1</v>
      </c>
      <c r="Q888" s="40">
        <v>46082</v>
      </c>
      <c r="R888" s="36" t="s">
        <v>1035</v>
      </c>
      <c r="S888" s="36" t="s">
        <v>1036</v>
      </c>
      <c r="T888" s="36" t="s">
        <v>1037</v>
      </c>
      <c r="U888" s="36" t="s">
        <v>1038</v>
      </c>
      <c r="V888" s="40">
        <v>46082</v>
      </c>
      <c r="W888" s="36"/>
      <c r="X888" s="36">
        <v>0</v>
      </c>
      <c r="Y888" s="36"/>
      <c r="Z888" s="36">
        <v>0</v>
      </c>
      <c r="AA888" s="36">
        <v>0</v>
      </c>
      <c r="AB888" s="36"/>
      <c r="AC888" s="36" t="str">
        <f t="shared" si="2"/>
        <v>PC26</v>
      </c>
      <c r="AD888" s="36" t="str">
        <f>VLOOKUP(D888,Oficial!A:C,3,0)</f>
        <v>Administración de Fondos</v>
      </c>
    </row>
    <row r="889" spans="1:30" x14ac:dyDescent="0.25">
      <c r="A889" s="36" t="s">
        <v>27</v>
      </c>
      <c r="B889" s="36" t="s">
        <v>1030</v>
      </c>
      <c r="C889" s="36" t="s">
        <v>374</v>
      </c>
      <c r="D889" s="36" t="s">
        <v>1030</v>
      </c>
      <c r="E889" s="36" t="s">
        <v>30</v>
      </c>
      <c r="F889" s="36" t="s">
        <v>569</v>
      </c>
      <c r="G889" s="37" t="s">
        <v>1031</v>
      </c>
      <c r="H889" s="36" t="s">
        <v>1032</v>
      </c>
      <c r="I889" s="36" t="s">
        <v>1033</v>
      </c>
      <c r="J889" s="36">
        <v>2</v>
      </c>
      <c r="K889" s="36" t="s">
        <v>359</v>
      </c>
      <c r="L889" s="36">
        <v>4</v>
      </c>
      <c r="M889" s="36">
        <v>1</v>
      </c>
      <c r="N889" s="38">
        <v>9200000</v>
      </c>
      <c r="O889" s="38">
        <v>9200000</v>
      </c>
      <c r="P889" s="36">
        <v>1</v>
      </c>
      <c r="Q889" s="40">
        <v>46082</v>
      </c>
      <c r="R889" s="36" t="s">
        <v>1035</v>
      </c>
      <c r="S889" s="36" t="s">
        <v>1036</v>
      </c>
      <c r="T889" s="36" t="s">
        <v>1037</v>
      </c>
      <c r="U889" s="36" t="s">
        <v>1038</v>
      </c>
      <c r="V889" s="40">
        <v>46082</v>
      </c>
      <c r="W889" s="36"/>
      <c r="X889" s="36">
        <v>0</v>
      </c>
      <c r="Y889" s="36"/>
      <c r="Z889" s="36">
        <v>0</v>
      </c>
      <c r="AA889" s="36">
        <v>0</v>
      </c>
      <c r="AB889" s="36"/>
      <c r="AC889" s="36" t="str">
        <f t="shared" si="2"/>
        <v>PC26</v>
      </c>
      <c r="AD889" s="36" t="str">
        <f>VLOOKUP(D889,Oficial!A:C,3,0)</f>
        <v>Administración de Fondos</v>
      </c>
    </row>
    <row r="890" spans="1:30" x14ac:dyDescent="0.25">
      <c r="A890" s="36" t="s">
        <v>27</v>
      </c>
      <c r="B890" s="36" t="s">
        <v>1039</v>
      </c>
      <c r="C890" s="36" t="s">
        <v>28</v>
      </c>
      <c r="D890" s="36" t="s">
        <v>1039</v>
      </c>
      <c r="E890" s="36" t="s">
        <v>30</v>
      </c>
      <c r="F890" s="36" t="s">
        <v>569</v>
      </c>
      <c r="G890" s="37" t="s">
        <v>483</v>
      </c>
      <c r="H890" s="36" t="s">
        <v>1040</v>
      </c>
      <c r="I890" s="36" t="s">
        <v>1041</v>
      </c>
      <c r="J890" s="36">
        <v>1</v>
      </c>
      <c r="K890" s="36" t="s">
        <v>486</v>
      </c>
      <c r="L890" s="36">
        <v>4</v>
      </c>
      <c r="M890" s="36">
        <v>134</v>
      </c>
      <c r="N890" s="38">
        <v>6095</v>
      </c>
      <c r="O890" s="38">
        <v>816730</v>
      </c>
      <c r="P890" s="36">
        <v>1</v>
      </c>
      <c r="Q890" s="40">
        <v>46082</v>
      </c>
      <c r="R890" s="36" t="s">
        <v>768</v>
      </c>
      <c r="S890" s="36" t="s">
        <v>769</v>
      </c>
      <c r="T890" s="36" t="s">
        <v>770</v>
      </c>
      <c r="U890" s="36" t="s">
        <v>388</v>
      </c>
      <c r="V890" s="40">
        <v>46082</v>
      </c>
      <c r="W890" s="36"/>
      <c r="X890" s="36">
        <v>0</v>
      </c>
      <c r="Y890" s="36"/>
      <c r="Z890" s="36">
        <v>0</v>
      </c>
      <c r="AA890" s="36">
        <v>0</v>
      </c>
      <c r="AB890" s="36"/>
      <c r="AC890" s="36" t="str">
        <f t="shared" si="2"/>
        <v>PC26</v>
      </c>
      <c r="AD890" s="36" t="str">
        <f>VLOOKUP(D890,Oficial!A:C,3,0)</f>
        <v>Bienes y Servicios</v>
      </c>
    </row>
    <row r="891" spans="1:30" x14ac:dyDescent="0.25">
      <c r="A891" s="36" t="s">
        <v>27</v>
      </c>
      <c r="B891" s="36" t="s">
        <v>1042</v>
      </c>
      <c r="C891" s="36" t="s">
        <v>28</v>
      </c>
      <c r="D891" s="36" t="s">
        <v>1042</v>
      </c>
      <c r="E891" s="36" t="s">
        <v>30</v>
      </c>
      <c r="F891" s="36" t="s">
        <v>569</v>
      </c>
      <c r="G891" s="37" t="s">
        <v>1043</v>
      </c>
      <c r="H891" s="36" t="s">
        <v>1044</v>
      </c>
      <c r="I891" s="36" t="s">
        <v>1045</v>
      </c>
      <c r="J891" s="36">
        <v>1</v>
      </c>
      <c r="K891" s="36" t="s">
        <v>1012</v>
      </c>
      <c r="L891" s="36">
        <v>4</v>
      </c>
      <c r="M891" s="36">
        <v>1</v>
      </c>
      <c r="N891" s="38">
        <v>60000000</v>
      </c>
      <c r="O891" s="38">
        <v>60000000</v>
      </c>
      <c r="P891" s="36">
        <v>12</v>
      </c>
      <c r="Q891" s="36" t="s">
        <v>413</v>
      </c>
      <c r="R891" s="36" t="s">
        <v>531</v>
      </c>
      <c r="S891" s="36" t="s">
        <v>532</v>
      </c>
      <c r="T891" s="36" t="s">
        <v>1046</v>
      </c>
      <c r="U891" s="36" t="s">
        <v>534</v>
      </c>
      <c r="V891" s="40">
        <v>46023</v>
      </c>
      <c r="W891" s="36"/>
      <c r="X891" s="36">
        <v>0</v>
      </c>
      <c r="Y891" s="36"/>
      <c r="Z891" s="36">
        <v>0</v>
      </c>
      <c r="AA891" s="36">
        <v>0</v>
      </c>
      <c r="AB891" s="36"/>
      <c r="AC891" s="36" t="str">
        <f t="shared" si="2"/>
        <v>PC26</v>
      </c>
      <c r="AD891" s="36" t="str">
        <f>VLOOKUP(D891,Oficial!A:C,3,0)</f>
        <v>Bienes y Servicios</v>
      </c>
    </row>
    <row r="892" spans="1:30" x14ac:dyDescent="0.25">
      <c r="A892" s="36" t="s">
        <v>27</v>
      </c>
      <c r="B892" s="36" t="s">
        <v>1047</v>
      </c>
      <c r="C892" s="36" t="s">
        <v>28</v>
      </c>
      <c r="D892" s="36" t="s">
        <v>1047</v>
      </c>
      <c r="E892" s="36" t="s">
        <v>30</v>
      </c>
      <c r="F892" s="36" t="s">
        <v>569</v>
      </c>
      <c r="G892" s="37" t="s">
        <v>1048</v>
      </c>
      <c r="H892" s="36" t="s">
        <v>1049</v>
      </c>
      <c r="I892" s="36" t="s">
        <v>1050</v>
      </c>
      <c r="J892" s="36">
        <v>1</v>
      </c>
      <c r="K892" s="36" t="s">
        <v>1012</v>
      </c>
      <c r="L892" s="36">
        <v>4</v>
      </c>
      <c r="M892" s="36">
        <v>1</v>
      </c>
      <c r="N892" s="38">
        <v>11000000</v>
      </c>
      <c r="O892" s="38">
        <v>11000000</v>
      </c>
      <c r="P892" s="36">
        <v>12</v>
      </c>
      <c r="Q892" s="36" t="s">
        <v>413</v>
      </c>
      <c r="R892" s="36" t="s">
        <v>531</v>
      </c>
      <c r="S892" s="36" t="s">
        <v>1051</v>
      </c>
      <c r="T892" s="36" t="s">
        <v>1046</v>
      </c>
      <c r="U892" s="36" t="s">
        <v>534</v>
      </c>
      <c r="V892" s="40">
        <v>46023</v>
      </c>
      <c r="W892" s="36"/>
      <c r="X892" s="36">
        <v>0</v>
      </c>
      <c r="Y892" s="36"/>
      <c r="Z892" s="36">
        <v>0</v>
      </c>
      <c r="AA892" s="36">
        <v>0</v>
      </c>
      <c r="AB892" s="36"/>
      <c r="AC892" s="36" t="str">
        <f t="shared" si="2"/>
        <v>PC26</v>
      </c>
      <c r="AD892" s="36" t="str">
        <f>VLOOKUP(D892,Oficial!A:C,3,0)</f>
        <v>Bienes y Servicios</v>
      </c>
    </row>
    <row r="893" spans="1:30" x14ac:dyDescent="0.25">
      <c r="A893" s="36" t="s">
        <v>27</v>
      </c>
      <c r="B893" s="36" t="s">
        <v>1052</v>
      </c>
      <c r="C893" s="36" t="s">
        <v>374</v>
      </c>
      <c r="D893" s="36" t="s">
        <v>1052</v>
      </c>
      <c r="E893" s="36" t="s">
        <v>30</v>
      </c>
      <c r="F893" s="36" t="s">
        <v>569</v>
      </c>
      <c r="G893" s="37" t="s">
        <v>654</v>
      </c>
      <c r="H893" s="36" t="s">
        <v>1053</v>
      </c>
      <c r="I893" s="36" t="s">
        <v>1054</v>
      </c>
      <c r="J893" s="36">
        <v>2</v>
      </c>
      <c r="K893" s="36" t="s">
        <v>359</v>
      </c>
      <c r="L893" s="36">
        <v>4</v>
      </c>
      <c r="M893" s="36">
        <v>68</v>
      </c>
      <c r="N893" s="38">
        <v>2595</v>
      </c>
      <c r="O893" s="38">
        <v>176460</v>
      </c>
      <c r="P893" s="36">
        <v>1</v>
      </c>
      <c r="Q893" s="40">
        <v>46082</v>
      </c>
      <c r="R893" s="36" t="s">
        <v>768</v>
      </c>
      <c r="S893" s="36" t="s">
        <v>769</v>
      </c>
      <c r="T893" s="36" t="s">
        <v>770</v>
      </c>
      <c r="U893" s="36" t="s">
        <v>388</v>
      </c>
      <c r="V893" s="40">
        <v>46082</v>
      </c>
      <c r="W893" s="36"/>
      <c r="X893" s="36">
        <v>0</v>
      </c>
      <c r="Y893" s="36"/>
      <c r="Z893" s="36">
        <v>0</v>
      </c>
      <c r="AA893" s="36">
        <v>0</v>
      </c>
      <c r="AB893" s="36"/>
      <c r="AC893" s="36" t="str">
        <f t="shared" si="2"/>
        <v>PC26</v>
      </c>
      <c r="AD893" s="36" t="str">
        <f>VLOOKUP(D893,Oficial!A:C,3,0)</f>
        <v>Administración de Fondos</v>
      </c>
    </row>
    <row r="894" spans="1:30" x14ac:dyDescent="0.25">
      <c r="A894" s="36" t="s">
        <v>27</v>
      </c>
      <c r="B894" s="36" t="s">
        <v>1052</v>
      </c>
      <c r="C894" s="36" t="s">
        <v>374</v>
      </c>
      <c r="D894" s="36" t="s">
        <v>1052</v>
      </c>
      <c r="E894" s="36" t="s">
        <v>30</v>
      </c>
      <c r="F894" s="36" t="s">
        <v>569</v>
      </c>
      <c r="G894" s="37" t="s">
        <v>654</v>
      </c>
      <c r="H894" s="36" t="s">
        <v>1053</v>
      </c>
      <c r="I894" s="36" t="s">
        <v>1054</v>
      </c>
      <c r="J894" s="36">
        <v>2</v>
      </c>
      <c r="K894" s="36" t="s">
        <v>855</v>
      </c>
      <c r="L894" s="36">
        <v>4</v>
      </c>
      <c r="M894" s="36">
        <v>5</v>
      </c>
      <c r="N894" s="38">
        <v>7080</v>
      </c>
      <c r="O894" s="38">
        <v>35400</v>
      </c>
      <c r="P894" s="36">
        <v>1</v>
      </c>
      <c r="Q894" s="40">
        <v>46082</v>
      </c>
      <c r="R894" s="36" t="s">
        <v>768</v>
      </c>
      <c r="S894" s="36" t="s">
        <v>769</v>
      </c>
      <c r="T894" s="36" t="s">
        <v>770</v>
      </c>
      <c r="U894" s="36" t="s">
        <v>388</v>
      </c>
      <c r="V894" s="40">
        <v>46082</v>
      </c>
      <c r="W894" s="36"/>
      <c r="X894" s="36">
        <v>0</v>
      </c>
      <c r="Y894" s="36"/>
      <c r="Z894" s="36">
        <v>0</v>
      </c>
      <c r="AA894" s="36">
        <v>0</v>
      </c>
      <c r="AB894" s="36"/>
      <c r="AC894" s="36" t="str">
        <f t="shared" si="2"/>
        <v>PC26</v>
      </c>
      <c r="AD894" s="36" t="str">
        <f>VLOOKUP(D894,Oficial!A:C,3,0)</f>
        <v>Administración de Fondos</v>
      </c>
    </row>
    <row r="895" spans="1:30" x14ac:dyDescent="0.25">
      <c r="A895" s="36" t="s">
        <v>27</v>
      </c>
      <c r="B895" s="36" t="s">
        <v>1055</v>
      </c>
      <c r="C895" s="36" t="s">
        <v>374</v>
      </c>
      <c r="D895" s="36" t="s">
        <v>1055</v>
      </c>
      <c r="E895" s="36" t="s">
        <v>30</v>
      </c>
      <c r="F895" s="36" t="s">
        <v>569</v>
      </c>
      <c r="G895" s="37" t="s">
        <v>654</v>
      </c>
      <c r="H895" s="36" t="s">
        <v>1056</v>
      </c>
      <c r="I895" s="36" t="s">
        <v>1057</v>
      </c>
      <c r="J895" s="36">
        <v>4</v>
      </c>
      <c r="K895" s="36" t="s">
        <v>359</v>
      </c>
      <c r="L895" s="36">
        <v>4</v>
      </c>
      <c r="M895" s="36">
        <v>68</v>
      </c>
      <c r="N895" s="38">
        <v>2595</v>
      </c>
      <c r="O895" s="38">
        <v>176460</v>
      </c>
      <c r="P895" s="36">
        <v>1</v>
      </c>
      <c r="Q895" s="40">
        <v>46082</v>
      </c>
      <c r="R895" s="36" t="s">
        <v>768</v>
      </c>
      <c r="S895" s="36" t="s">
        <v>769</v>
      </c>
      <c r="T895" s="36" t="s">
        <v>770</v>
      </c>
      <c r="U895" s="36" t="s">
        <v>388</v>
      </c>
      <c r="V895" s="40">
        <v>46082</v>
      </c>
      <c r="W895" s="36"/>
      <c r="X895" s="36">
        <v>0</v>
      </c>
      <c r="Y895" s="36"/>
      <c r="Z895" s="36">
        <v>0</v>
      </c>
      <c r="AA895" s="36">
        <v>0</v>
      </c>
      <c r="AB895" s="36"/>
      <c r="AC895" s="36" t="str">
        <f t="shared" si="2"/>
        <v>PC26</v>
      </c>
      <c r="AD895" s="36" t="str">
        <f>VLOOKUP(D895,Oficial!A:C,3,0)</f>
        <v>Administración de Fondos</v>
      </c>
    </row>
    <row r="896" spans="1:30" x14ac:dyDescent="0.25">
      <c r="A896" s="36" t="s">
        <v>27</v>
      </c>
      <c r="B896" s="36" t="s">
        <v>1055</v>
      </c>
      <c r="C896" s="36" t="s">
        <v>374</v>
      </c>
      <c r="D896" s="36" t="s">
        <v>1055</v>
      </c>
      <c r="E896" s="36" t="s">
        <v>30</v>
      </c>
      <c r="F896" s="36" t="s">
        <v>569</v>
      </c>
      <c r="G896" s="37" t="s">
        <v>654</v>
      </c>
      <c r="H896" s="36" t="s">
        <v>1056</v>
      </c>
      <c r="I896" s="36" t="s">
        <v>1057</v>
      </c>
      <c r="J896" s="36">
        <v>4</v>
      </c>
      <c r="K896" s="36" t="s">
        <v>855</v>
      </c>
      <c r="L896" s="36">
        <v>4</v>
      </c>
      <c r="M896" s="36">
        <v>4</v>
      </c>
      <c r="N896" s="38">
        <v>5100</v>
      </c>
      <c r="O896" s="38">
        <v>20400</v>
      </c>
      <c r="P896" s="36">
        <v>1</v>
      </c>
      <c r="Q896" s="40">
        <v>46082</v>
      </c>
      <c r="R896" s="36" t="s">
        <v>768</v>
      </c>
      <c r="S896" s="36" t="s">
        <v>769</v>
      </c>
      <c r="T896" s="36" t="s">
        <v>770</v>
      </c>
      <c r="U896" s="36" t="s">
        <v>388</v>
      </c>
      <c r="V896" s="40">
        <v>46082</v>
      </c>
      <c r="W896" s="36"/>
      <c r="X896" s="36">
        <v>0</v>
      </c>
      <c r="Y896" s="36"/>
      <c r="Z896" s="36">
        <v>0</v>
      </c>
      <c r="AA896" s="36">
        <v>0</v>
      </c>
      <c r="AB896" s="36"/>
      <c r="AC896" s="36" t="str">
        <f t="shared" si="2"/>
        <v>PC26</v>
      </c>
      <c r="AD896" s="36" t="str">
        <f>VLOOKUP(D896,Oficial!A:C,3,0)</f>
        <v>Administración de Fondos</v>
      </c>
    </row>
    <row r="897" spans="1:30" x14ac:dyDescent="0.25">
      <c r="A897" s="36" t="s">
        <v>27</v>
      </c>
      <c r="B897" s="36" t="s">
        <v>1055</v>
      </c>
      <c r="C897" s="36" t="s">
        <v>374</v>
      </c>
      <c r="D897" s="36" t="s">
        <v>1055</v>
      </c>
      <c r="E897" s="36" t="s">
        <v>30</v>
      </c>
      <c r="F897" s="36" t="s">
        <v>569</v>
      </c>
      <c r="G897" s="37" t="s">
        <v>654</v>
      </c>
      <c r="H897" s="36" t="s">
        <v>1056</v>
      </c>
      <c r="I897" s="36" t="s">
        <v>1057</v>
      </c>
      <c r="J897" s="36">
        <v>4</v>
      </c>
      <c r="K897" s="36" t="s">
        <v>486</v>
      </c>
      <c r="L897" s="36">
        <v>4</v>
      </c>
      <c r="M897" s="36">
        <v>1</v>
      </c>
      <c r="N897" s="38">
        <v>15000</v>
      </c>
      <c r="O897" s="38">
        <v>15000</v>
      </c>
      <c r="P897" s="36">
        <v>1</v>
      </c>
      <c r="Q897" s="40">
        <v>46082</v>
      </c>
      <c r="R897" s="36" t="s">
        <v>768</v>
      </c>
      <c r="S897" s="36" t="s">
        <v>769</v>
      </c>
      <c r="T897" s="36" t="s">
        <v>770</v>
      </c>
      <c r="U897" s="36" t="s">
        <v>388</v>
      </c>
      <c r="V897" s="40">
        <v>46082</v>
      </c>
      <c r="W897" s="36"/>
      <c r="X897" s="36">
        <v>0</v>
      </c>
      <c r="Y897" s="36"/>
      <c r="Z897" s="36">
        <v>0</v>
      </c>
      <c r="AA897" s="36">
        <v>0</v>
      </c>
      <c r="AB897" s="36"/>
      <c r="AC897" s="36" t="str">
        <f t="shared" si="2"/>
        <v>PC26</v>
      </c>
      <c r="AD897" s="36" t="str">
        <f>VLOOKUP(D897,Oficial!A:C,3,0)</f>
        <v>Administración de Fondos</v>
      </c>
    </row>
    <row r="898" spans="1:30" x14ac:dyDescent="0.25">
      <c r="A898" s="36" t="s">
        <v>27</v>
      </c>
      <c r="B898" s="36" t="s">
        <v>1055</v>
      </c>
      <c r="C898" s="36" t="s">
        <v>374</v>
      </c>
      <c r="D898" s="36" t="s">
        <v>1055</v>
      </c>
      <c r="E898" s="36" t="s">
        <v>30</v>
      </c>
      <c r="F898" s="36" t="s">
        <v>569</v>
      </c>
      <c r="G898" s="37" t="s">
        <v>654</v>
      </c>
      <c r="H898" s="36" t="s">
        <v>1056</v>
      </c>
      <c r="I898" s="36" t="s">
        <v>1057</v>
      </c>
      <c r="J898" s="36">
        <v>4</v>
      </c>
      <c r="K898" s="36" t="s">
        <v>1058</v>
      </c>
      <c r="L898" s="36">
        <v>4</v>
      </c>
      <c r="M898" s="36">
        <v>2</v>
      </c>
      <c r="N898" s="38">
        <v>26000</v>
      </c>
      <c r="O898" s="38">
        <v>52000</v>
      </c>
      <c r="P898" s="36">
        <v>1</v>
      </c>
      <c r="Q898" s="40">
        <v>46082</v>
      </c>
      <c r="R898" s="36" t="s">
        <v>768</v>
      </c>
      <c r="S898" s="36" t="s">
        <v>769</v>
      </c>
      <c r="T898" s="36" t="s">
        <v>770</v>
      </c>
      <c r="U898" s="36" t="s">
        <v>388</v>
      </c>
      <c r="V898" s="40">
        <v>46082</v>
      </c>
      <c r="W898" s="36"/>
      <c r="X898" s="36">
        <v>0</v>
      </c>
      <c r="Y898" s="36"/>
      <c r="Z898" s="36">
        <v>0</v>
      </c>
      <c r="AA898" s="36">
        <v>0</v>
      </c>
      <c r="AB898" s="36"/>
      <c r="AC898" s="36" t="str">
        <f t="shared" si="2"/>
        <v>PC26</v>
      </c>
      <c r="AD898" s="36" t="str">
        <f>VLOOKUP(D898,Oficial!A:C,3,0)</f>
        <v>Administración de Fondos</v>
      </c>
    </row>
    <row r="899" spans="1:30" x14ac:dyDescent="0.25">
      <c r="A899" s="36" t="s">
        <v>27</v>
      </c>
      <c r="B899" s="36" t="s">
        <v>1059</v>
      </c>
      <c r="C899" s="36" t="s">
        <v>28</v>
      </c>
      <c r="D899" s="36" t="s">
        <v>1059</v>
      </c>
      <c r="E899" s="36" t="s">
        <v>30</v>
      </c>
      <c r="F899" s="36" t="s">
        <v>569</v>
      </c>
      <c r="G899" s="37" t="s">
        <v>367</v>
      </c>
      <c r="H899" s="36" t="s">
        <v>1060</v>
      </c>
      <c r="I899" s="36" t="s">
        <v>1061</v>
      </c>
      <c r="J899" s="36">
        <v>2</v>
      </c>
      <c r="K899" s="36" t="s">
        <v>1062</v>
      </c>
      <c r="L899" s="36">
        <v>4</v>
      </c>
      <c r="M899" s="36">
        <v>50</v>
      </c>
      <c r="N899" s="38">
        <v>8000</v>
      </c>
      <c r="O899" s="38">
        <v>400000</v>
      </c>
      <c r="P899" s="36">
        <v>1</v>
      </c>
      <c r="Q899" s="40">
        <v>46296</v>
      </c>
      <c r="R899" s="36" t="s">
        <v>790</v>
      </c>
      <c r="S899" s="36" t="s">
        <v>791</v>
      </c>
      <c r="T899" s="36" t="s">
        <v>792</v>
      </c>
      <c r="U899" s="36" t="s">
        <v>793</v>
      </c>
      <c r="V899" s="40">
        <v>46296</v>
      </c>
      <c r="W899" s="36"/>
      <c r="X899" s="36">
        <v>0</v>
      </c>
      <c r="Y899" s="36"/>
      <c r="Z899" s="36">
        <v>0</v>
      </c>
      <c r="AA899" s="36">
        <v>0</v>
      </c>
      <c r="AB899" s="36"/>
      <c r="AC899" s="36" t="str">
        <f t="shared" si="2"/>
        <v>PC26</v>
      </c>
      <c r="AD899" s="36" t="str">
        <f>VLOOKUP(D899,Oficial!A:C,3,0)</f>
        <v>Bienes y Servicios</v>
      </c>
    </row>
    <row r="900" spans="1:30" x14ac:dyDescent="0.25">
      <c r="A900" s="36" t="s">
        <v>27</v>
      </c>
      <c r="B900" s="36" t="s">
        <v>1059</v>
      </c>
      <c r="C900" s="36" t="s">
        <v>28</v>
      </c>
      <c r="D900" s="36" t="s">
        <v>1059</v>
      </c>
      <c r="E900" s="36" t="s">
        <v>30</v>
      </c>
      <c r="F900" s="36" t="s">
        <v>569</v>
      </c>
      <c r="G900" s="37" t="s">
        <v>367</v>
      </c>
      <c r="H900" s="36" t="s">
        <v>1060</v>
      </c>
      <c r="I900" s="36" t="s">
        <v>1061</v>
      </c>
      <c r="J900" s="36">
        <v>2</v>
      </c>
      <c r="K900" s="36" t="s">
        <v>486</v>
      </c>
      <c r="L900" s="36">
        <v>4</v>
      </c>
      <c r="M900" s="36">
        <v>26</v>
      </c>
      <c r="N900" s="38">
        <v>4231</v>
      </c>
      <c r="O900" s="38">
        <v>110006</v>
      </c>
      <c r="P900" s="36">
        <v>1</v>
      </c>
      <c r="Q900" s="40">
        <v>46296</v>
      </c>
      <c r="R900" s="36" t="s">
        <v>790</v>
      </c>
      <c r="S900" s="36" t="s">
        <v>791</v>
      </c>
      <c r="T900" s="36" t="s">
        <v>792</v>
      </c>
      <c r="U900" s="36" t="s">
        <v>793</v>
      </c>
      <c r="V900" s="40">
        <v>46296</v>
      </c>
      <c r="W900" s="36"/>
      <c r="X900" s="36">
        <v>0</v>
      </c>
      <c r="Y900" s="36"/>
      <c r="Z900" s="36">
        <v>0</v>
      </c>
      <c r="AA900" s="36">
        <v>0</v>
      </c>
      <c r="AB900" s="36"/>
      <c r="AC900" s="36" t="str">
        <f t="shared" si="2"/>
        <v>PC26</v>
      </c>
      <c r="AD900" s="36" t="str">
        <f>VLOOKUP(D900,Oficial!A:C,3,0)</f>
        <v>Bienes y Servicios</v>
      </c>
    </row>
    <row r="901" spans="1:30" x14ac:dyDescent="0.25">
      <c r="A901" s="36" t="s">
        <v>27</v>
      </c>
      <c r="B901" s="36" t="s">
        <v>1063</v>
      </c>
      <c r="C901" s="36" t="s">
        <v>28</v>
      </c>
      <c r="D901" s="36" t="s">
        <v>1063</v>
      </c>
      <c r="E901" s="36" t="s">
        <v>30</v>
      </c>
      <c r="F901" s="36" t="s">
        <v>569</v>
      </c>
      <c r="G901" s="37" t="s">
        <v>654</v>
      </c>
      <c r="H901" s="36" t="s">
        <v>1064</v>
      </c>
      <c r="I901" s="36" t="s">
        <v>1065</v>
      </c>
      <c r="J901" s="36">
        <v>2</v>
      </c>
      <c r="K901" s="36" t="s">
        <v>602</v>
      </c>
      <c r="L901" s="36">
        <v>4</v>
      </c>
      <c r="M901" s="36">
        <v>50</v>
      </c>
      <c r="N901" s="38">
        <v>8000</v>
      </c>
      <c r="O901" s="38">
        <v>400000</v>
      </c>
      <c r="P901" s="36">
        <v>1</v>
      </c>
      <c r="Q901" s="40">
        <v>46296</v>
      </c>
      <c r="R901" s="36" t="s">
        <v>790</v>
      </c>
      <c r="S901" s="36" t="s">
        <v>791</v>
      </c>
      <c r="T901" s="36" t="s">
        <v>792</v>
      </c>
      <c r="U901" s="36" t="s">
        <v>793</v>
      </c>
      <c r="V901" s="40">
        <v>46296</v>
      </c>
      <c r="W901" s="36"/>
      <c r="X901" s="36">
        <v>0</v>
      </c>
      <c r="Y901" s="36"/>
      <c r="Z901" s="36">
        <v>0</v>
      </c>
      <c r="AA901" s="36">
        <v>0</v>
      </c>
      <c r="AB901" s="36"/>
      <c r="AC901" s="36" t="str">
        <f t="shared" si="2"/>
        <v>PC26</v>
      </c>
      <c r="AD901" s="36" t="str">
        <f>VLOOKUP(D901,Oficial!A:C,3,0)</f>
        <v>Bienes y Servicios</v>
      </c>
    </row>
    <row r="902" spans="1:30" x14ac:dyDescent="0.25">
      <c r="A902" s="36" t="s">
        <v>27</v>
      </c>
      <c r="B902" s="36" t="s">
        <v>1063</v>
      </c>
      <c r="C902" s="36" t="s">
        <v>28</v>
      </c>
      <c r="D902" s="36" t="s">
        <v>1063</v>
      </c>
      <c r="E902" s="36" t="s">
        <v>30</v>
      </c>
      <c r="F902" s="36" t="s">
        <v>569</v>
      </c>
      <c r="G902" s="37" t="s">
        <v>654</v>
      </c>
      <c r="H902" s="36" t="s">
        <v>1064</v>
      </c>
      <c r="I902" s="36" t="s">
        <v>1065</v>
      </c>
      <c r="J902" s="36">
        <v>2</v>
      </c>
      <c r="K902" s="36" t="s">
        <v>486</v>
      </c>
      <c r="L902" s="36">
        <v>4</v>
      </c>
      <c r="M902" s="36">
        <v>50</v>
      </c>
      <c r="N902" s="38">
        <v>1000</v>
      </c>
      <c r="O902" s="38">
        <v>50000</v>
      </c>
      <c r="P902" s="36">
        <v>1</v>
      </c>
      <c r="Q902" s="40">
        <v>46296</v>
      </c>
      <c r="R902" s="36" t="s">
        <v>790</v>
      </c>
      <c r="S902" s="36" t="s">
        <v>791</v>
      </c>
      <c r="T902" s="36" t="s">
        <v>792</v>
      </c>
      <c r="U902" s="36" t="s">
        <v>793</v>
      </c>
      <c r="V902" s="40">
        <v>46296</v>
      </c>
      <c r="W902" s="36"/>
      <c r="X902" s="36">
        <v>0</v>
      </c>
      <c r="Y902" s="36"/>
      <c r="Z902" s="36">
        <v>0</v>
      </c>
      <c r="AA902" s="36">
        <v>0</v>
      </c>
      <c r="AB902" s="36"/>
      <c r="AC902" s="36" t="str">
        <f t="shared" si="2"/>
        <v>PC26</v>
      </c>
      <c r="AD902" s="36" t="str">
        <f>VLOOKUP(D902,Oficial!A:C,3,0)</f>
        <v>Bienes y Servicios</v>
      </c>
    </row>
    <row r="903" spans="1:30" x14ac:dyDescent="0.25">
      <c r="A903" s="36" t="s">
        <v>27</v>
      </c>
      <c r="B903" s="36" t="s">
        <v>1066</v>
      </c>
      <c r="C903" s="36" t="s">
        <v>374</v>
      </c>
      <c r="D903" s="36" t="s">
        <v>1066</v>
      </c>
      <c r="E903" s="36" t="s">
        <v>30</v>
      </c>
      <c r="F903" s="36" t="s">
        <v>569</v>
      </c>
      <c r="G903" s="37" t="s">
        <v>654</v>
      </c>
      <c r="H903" s="36" t="s">
        <v>1067</v>
      </c>
      <c r="I903" s="36" t="s">
        <v>1068</v>
      </c>
      <c r="J903" s="36">
        <v>2</v>
      </c>
      <c r="K903" s="36" t="s">
        <v>602</v>
      </c>
      <c r="L903" s="36">
        <v>4</v>
      </c>
      <c r="M903" s="36">
        <v>200</v>
      </c>
      <c r="N903" s="38">
        <v>7500</v>
      </c>
      <c r="O903" s="38">
        <v>1500000</v>
      </c>
      <c r="P903" s="36">
        <v>1</v>
      </c>
      <c r="Q903" s="40">
        <v>46296</v>
      </c>
      <c r="R903" s="36" t="s">
        <v>790</v>
      </c>
      <c r="S903" s="36" t="s">
        <v>791</v>
      </c>
      <c r="T903" s="36" t="s">
        <v>792</v>
      </c>
      <c r="U903" s="36" t="s">
        <v>793</v>
      </c>
      <c r="V903" s="40">
        <v>46296</v>
      </c>
      <c r="W903" s="36"/>
      <c r="X903" s="36">
        <v>0</v>
      </c>
      <c r="Y903" s="36"/>
      <c r="Z903" s="36">
        <v>0</v>
      </c>
      <c r="AA903" s="36">
        <v>0</v>
      </c>
      <c r="AB903" s="36"/>
      <c r="AC903" s="36" t="str">
        <f t="shared" si="2"/>
        <v>PC26</v>
      </c>
      <c r="AD903" s="36" t="str">
        <f>VLOOKUP(D903,Oficial!A:C,3,0)</f>
        <v>Administración de Fondos</v>
      </c>
    </row>
    <row r="904" spans="1:30" x14ac:dyDescent="0.25">
      <c r="A904" s="36" t="s">
        <v>27</v>
      </c>
      <c r="B904" s="36" t="s">
        <v>1066</v>
      </c>
      <c r="C904" s="36" t="s">
        <v>374</v>
      </c>
      <c r="D904" s="36" t="s">
        <v>1066</v>
      </c>
      <c r="E904" s="36" t="s">
        <v>30</v>
      </c>
      <c r="F904" s="36" t="s">
        <v>569</v>
      </c>
      <c r="G904" s="37" t="s">
        <v>654</v>
      </c>
      <c r="H904" s="36" t="s">
        <v>1067</v>
      </c>
      <c r="I904" s="36" t="s">
        <v>1068</v>
      </c>
      <c r="J904" s="36">
        <v>2</v>
      </c>
      <c r="K904" s="36" t="s">
        <v>486</v>
      </c>
      <c r="L904" s="36">
        <v>4</v>
      </c>
      <c r="M904" s="36">
        <v>50</v>
      </c>
      <c r="N904" s="38">
        <v>5000</v>
      </c>
      <c r="O904" s="38">
        <v>250000</v>
      </c>
      <c r="P904" s="36">
        <v>1</v>
      </c>
      <c r="Q904" s="40">
        <v>46296</v>
      </c>
      <c r="R904" s="36" t="s">
        <v>790</v>
      </c>
      <c r="S904" s="36" t="s">
        <v>791</v>
      </c>
      <c r="T904" s="36" t="s">
        <v>792</v>
      </c>
      <c r="U904" s="36" t="s">
        <v>793</v>
      </c>
      <c r="V904" s="40">
        <v>46266</v>
      </c>
      <c r="W904" s="36"/>
      <c r="X904" s="36">
        <v>0</v>
      </c>
      <c r="Y904" s="36"/>
      <c r="Z904" s="36">
        <v>0</v>
      </c>
      <c r="AA904" s="36">
        <v>0</v>
      </c>
      <c r="AB904" s="36"/>
      <c r="AC904" s="36" t="str">
        <f t="shared" si="2"/>
        <v>PC26</v>
      </c>
      <c r="AD904" s="36" t="str">
        <f>VLOOKUP(D904,Oficial!A:C,3,0)</f>
        <v>Administración de Fondos</v>
      </c>
    </row>
    <row r="905" spans="1:30" x14ac:dyDescent="0.25">
      <c r="A905" s="36" t="s">
        <v>27</v>
      </c>
      <c r="B905" s="36" t="s">
        <v>1069</v>
      </c>
      <c r="C905" s="36" t="s">
        <v>28</v>
      </c>
      <c r="D905" s="36" t="s">
        <v>1069</v>
      </c>
      <c r="E905" s="36" t="s">
        <v>30</v>
      </c>
      <c r="F905" s="36" t="s">
        <v>569</v>
      </c>
      <c r="G905" s="37" t="s">
        <v>483</v>
      </c>
      <c r="H905" s="36" t="s">
        <v>1070</v>
      </c>
      <c r="I905" s="36" t="s">
        <v>1071</v>
      </c>
      <c r="J905" s="36">
        <v>1</v>
      </c>
      <c r="K905" s="36" t="s">
        <v>819</v>
      </c>
      <c r="L905" s="36">
        <v>4</v>
      </c>
      <c r="M905" s="36">
        <v>150</v>
      </c>
      <c r="N905" s="38">
        <v>3000</v>
      </c>
      <c r="O905" s="38">
        <v>450000</v>
      </c>
      <c r="P905" s="36">
        <v>1</v>
      </c>
      <c r="Q905" s="40">
        <v>46023</v>
      </c>
      <c r="R905" s="36" t="s">
        <v>934</v>
      </c>
      <c r="S905" s="36" t="s">
        <v>935</v>
      </c>
      <c r="T905" s="36" t="s">
        <v>936</v>
      </c>
      <c r="U905" s="36" t="s">
        <v>937</v>
      </c>
      <c r="V905" s="40">
        <v>46023</v>
      </c>
      <c r="W905" s="36"/>
      <c r="X905" s="36">
        <v>0</v>
      </c>
      <c r="Y905" s="36"/>
      <c r="Z905" s="36">
        <v>0</v>
      </c>
      <c r="AA905" s="36">
        <v>0</v>
      </c>
      <c r="AB905" s="36"/>
      <c r="AC905" s="36" t="str">
        <f t="shared" si="2"/>
        <v>PC26</v>
      </c>
      <c r="AD905" s="36" t="str">
        <f>VLOOKUP(D905,Oficial!A:C,3,0)</f>
        <v>Bienes y Servicios</v>
      </c>
    </row>
    <row r="906" spans="1:30" x14ac:dyDescent="0.25">
      <c r="A906" s="36" t="s">
        <v>27</v>
      </c>
      <c r="B906" s="36" t="s">
        <v>1072</v>
      </c>
      <c r="C906" s="36" t="s">
        <v>28</v>
      </c>
      <c r="D906" s="36" t="s">
        <v>1072</v>
      </c>
      <c r="E906" s="36" t="s">
        <v>30</v>
      </c>
      <c r="F906" s="36" t="s">
        <v>569</v>
      </c>
      <c r="G906" s="37" t="s">
        <v>483</v>
      </c>
      <c r="H906" s="36" t="s">
        <v>1073</v>
      </c>
      <c r="I906" s="36" t="s">
        <v>1074</v>
      </c>
      <c r="J906" s="36">
        <v>1</v>
      </c>
      <c r="K906" s="36" t="s">
        <v>486</v>
      </c>
      <c r="L906" s="36">
        <v>4</v>
      </c>
      <c r="M906" s="36">
        <v>8</v>
      </c>
      <c r="N906" s="38">
        <v>21125</v>
      </c>
      <c r="O906" s="38">
        <v>169000</v>
      </c>
      <c r="P906" s="36">
        <v>1</v>
      </c>
      <c r="Q906" s="40">
        <v>46054</v>
      </c>
      <c r="R906" s="36" t="s">
        <v>1075</v>
      </c>
      <c r="S906" s="36" t="s">
        <v>1076</v>
      </c>
      <c r="T906" s="36" t="s">
        <v>1077</v>
      </c>
      <c r="U906" s="36" t="s">
        <v>1078</v>
      </c>
      <c r="V906" s="40">
        <v>46054</v>
      </c>
      <c r="W906" s="36"/>
      <c r="X906" s="36">
        <v>0</v>
      </c>
      <c r="Y906" s="36"/>
      <c r="Z906" s="36">
        <v>0</v>
      </c>
      <c r="AA906" s="36">
        <v>0</v>
      </c>
      <c r="AB906" s="36"/>
      <c r="AC906" s="36" t="str">
        <f t="shared" si="2"/>
        <v>PC26</v>
      </c>
      <c r="AD906" s="36" t="str">
        <f>VLOOKUP(D906,Oficial!A:C,3,0)</f>
        <v>Bienes y Servicios</v>
      </c>
    </row>
    <row r="907" spans="1:30" x14ac:dyDescent="0.25">
      <c r="A907" s="36" t="s">
        <v>27</v>
      </c>
      <c r="B907" s="36" t="s">
        <v>1079</v>
      </c>
      <c r="C907" s="36" t="s">
        <v>28</v>
      </c>
      <c r="D907" s="36" t="s">
        <v>1079</v>
      </c>
      <c r="E907" s="36" t="s">
        <v>30</v>
      </c>
      <c r="F907" s="36" t="s">
        <v>569</v>
      </c>
      <c r="G907" s="37" t="s">
        <v>1080</v>
      </c>
      <c r="H907" s="36" t="s">
        <v>1081</v>
      </c>
      <c r="I907" s="36" t="s">
        <v>1082</v>
      </c>
      <c r="J907" s="36">
        <v>1</v>
      </c>
      <c r="K907" s="36" t="s">
        <v>1083</v>
      </c>
      <c r="L907" s="36">
        <v>4</v>
      </c>
      <c r="M907" s="36">
        <v>4</v>
      </c>
      <c r="N907" s="38">
        <v>25000</v>
      </c>
      <c r="O907" s="38">
        <v>100000</v>
      </c>
      <c r="P907" s="36">
        <v>1</v>
      </c>
      <c r="Q907" s="40">
        <v>46082</v>
      </c>
      <c r="R907" s="36" t="s">
        <v>1075</v>
      </c>
      <c r="S907" s="36" t="s">
        <v>1076</v>
      </c>
      <c r="T907" s="36" t="s">
        <v>1077</v>
      </c>
      <c r="U907" s="36" t="s">
        <v>1084</v>
      </c>
      <c r="V907" s="40">
        <v>46082</v>
      </c>
      <c r="W907" s="36"/>
      <c r="X907" s="36">
        <v>0</v>
      </c>
      <c r="Y907" s="36"/>
      <c r="Z907" s="36">
        <v>0</v>
      </c>
      <c r="AA907" s="36">
        <v>0</v>
      </c>
      <c r="AB907" s="36"/>
      <c r="AC907" s="36" t="str">
        <f t="shared" si="2"/>
        <v>PC26</v>
      </c>
      <c r="AD907" s="36" t="str">
        <f>VLOOKUP(D907,Oficial!A:C,3,0)</f>
        <v>Bienes y Servicios</v>
      </c>
    </row>
    <row r="908" spans="1:30" x14ac:dyDescent="0.25">
      <c r="A908" s="36" t="s">
        <v>27</v>
      </c>
      <c r="B908" s="36" t="s">
        <v>1085</v>
      </c>
      <c r="C908" s="36" t="s">
        <v>28</v>
      </c>
      <c r="D908" s="36" t="s">
        <v>1085</v>
      </c>
      <c r="E908" s="36" t="s">
        <v>30</v>
      </c>
      <c r="F908" s="36" t="s">
        <v>569</v>
      </c>
      <c r="G908" s="37" t="s">
        <v>606</v>
      </c>
      <c r="H908" s="36" t="s">
        <v>1086</v>
      </c>
      <c r="I908" s="36" t="s">
        <v>1087</v>
      </c>
      <c r="J908" s="36">
        <v>1</v>
      </c>
      <c r="K908" s="36" t="s">
        <v>1088</v>
      </c>
      <c r="L908" s="36">
        <v>4</v>
      </c>
      <c r="M908" s="36">
        <v>4300</v>
      </c>
      <c r="N908" s="38">
        <v>82</v>
      </c>
      <c r="O908" s="38">
        <v>352600</v>
      </c>
      <c r="P908" s="36">
        <v>1</v>
      </c>
      <c r="Q908" s="40">
        <v>46023</v>
      </c>
      <c r="R908" s="36" t="s">
        <v>934</v>
      </c>
      <c r="S908" s="36" t="s">
        <v>935</v>
      </c>
      <c r="T908" s="36" t="s">
        <v>936</v>
      </c>
      <c r="U908" s="36" t="s">
        <v>937</v>
      </c>
      <c r="V908" s="40">
        <v>46023</v>
      </c>
      <c r="W908" s="36"/>
      <c r="X908" s="36">
        <v>0</v>
      </c>
      <c r="Y908" s="36"/>
      <c r="Z908" s="36">
        <v>0</v>
      </c>
      <c r="AA908" s="36">
        <v>0</v>
      </c>
      <c r="AB908" s="36"/>
      <c r="AC908" s="36" t="str">
        <f t="shared" si="2"/>
        <v>PC26</v>
      </c>
      <c r="AD908" s="36" t="str">
        <f>VLOOKUP(D908,Oficial!A:C,3,0)</f>
        <v>Bienes y Servicios</v>
      </c>
    </row>
    <row r="909" spans="1:30" x14ac:dyDescent="0.25">
      <c r="A909" s="36" t="s">
        <v>27</v>
      </c>
      <c r="B909" s="36" t="s">
        <v>1089</v>
      </c>
      <c r="C909" s="36" t="s">
        <v>28</v>
      </c>
      <c r="D909" s="36" t="s">
        <v>1089</v>
      </c>
      <c r="E909" s="36" t="s">
        <v>30</v>
      </c>
      <c r="F909" s="36" t="s">
        <v>569</v>
      </c>
      <c r="G909" s="37" t="s">
        <v>842</v>
      </c>
      <c r="H909" s="36" t="s">
        <v>1090</v>
      </c>
      <c r="I909" s="36" t="s">
        <v>1091</v>
      </c>
      <c r="J909" s="36">
        <v>1</v>
      </c>
      <c r="K909" s="36" t="s">
        <v>781</v>
      </c>
      <c r="L909" s="36">
        <v>4</v>
      </c>
      <c r="M909" s="36">
        <v>6</v>
      </c>
      <c r="N909" s="38">
        <v>8334</v>
      </c>
      <c r="O909" s="38">
        <v>50004</v>
      </c>
      <c r="P909" s="36">
        <v>1</v>
      </c>
      <c r="Q909" s="40">
        <v>46054</v>
      </c>
      <c r="R909" s="36" t="s">
        <v>934</v>
      </c>
      <c r="S909" s="36" t="s">
        <v>935</v>
      </c>
      <c r="T909" s="36" t="s">
        <v>936</v>
      </c>
      <c r="U909" s="36" t="s">
        <v>937</v>
      </c>
      <c r="V909" s="40">
        <v>46054</v>
      </c>
      <c r="W909" s="36"/>
      <c r="X909" s="36">
        <v>0</v>
      </c>
      <c r="Y909" s="36"/>
      <c r="Z909" s="36">
        <v>0</v>
      </c>
      <c r="AA909" s="36">
        <v>0</v>
      </c>
      <c r="AB909" s="36"/>
      <c r="AC909" s="36" t="str">
        <f t="shared" si="2"/>
        <v>PC26</v>
      </c>
      <c r="AD909" s="36" t="str">
        <f>VLOOKUP(D909,Oficial!A:C,3,0)</f>
        <v>Bienes y Servicios</v>
      </c>
    </row>
    <row r="910" spans="1:30" x14ac:dyDescent="0.25">
      <c r="A910" s="36" t="s">
        <v>27</v>
      </c>
      <c r="B910" s="36" t="s">
        <v>1092</v>
      </c>
      <c r="C910" s="36" t="s">
        <v>28</v>
      </c>
      <c r="D910" s="36" t="s">
        <v>1092</v>
      </c>
      <c r="E910" s="36" t="s">
        <v>30</v>
      </c>
      <c r="F910" s="36" t="s">
        <v>569</v>
      </c>
      <c r="G910" s="37" t="s">
        <v>483</v>
      </c>
      <c r="H910" s="36" t="s">
        <v>1093</v>
      </c>
      <c r="I910" s="36" t="s">
        <v>1094</v>
      </c>
      <c r="J910" s="36">
        <v>1</v>
      </c>
      <c r="K910" s="36" t="s">
        <v>486</v>
      </c>
      <c r="L910" s="36">
        <v>4</v>
      </c>
      <c r="M910" s="36">
        <v>302</v>
      </c>
      <c r="N910" s="38">
        <v>2067</v>
      </c>
      <c r="O910" s="38">
        <v>624234</v>
      </c>
      <c r="P910" s="36">
        <v>1</v>
      </c>
      <c r="Q910" s="40">
        <v>46296</v>
      </c>
      <c r="R910" s="36" t="s">
        <v>1095</v>
      </c>
      <c r="S910" s="36" t="s">
        <v>1096</v>
      </c>
      <c r="T910" s="36" t="s">
        <v>1097</v>
      </c>
      <c r="U910" s="36" t="s">
        <v>1098</v>
      </c>
      <c r="V910" s="40">
        <v>46296</v>
      </c>
      <c r="W910" s="36"/>
      <c r="X910" s="36">
        <v>0</v>
      </c>
      <c r="Y910" s="36"/>
      <c r="Z910" s="36">
        <v>0</v>
      </c>
      <c r="AA910" s="36">
        <v>0</v>
      </c>
      <c r="AB910" s="36"/>
      <c r="AC910" s="36" t="str">
        <f t="shared" si="2"/>
        <v>PC26</v>
      </c>
      <c r="AD910" s="36" t="str">
        <f>VLOOKUP(D910,Oficial!A:C,3,0)</f>
        <v>Bienes y Servicios</v>
      </c>
    </row>
    <row r="911" spans="1:30" x14ac:dyDescent="0.25">
      <c r="A911" s="36" t="s">
        <v>27</v>
      </c>
      <c r="B911" s="36" t="s">
        <v>1099</v>
      </c>
      <c r="C911" s="36" t="s">
        <v>28</v>
      </c>
      <c r="D911" s="36" t="s">
        <v>1099</v>
      </c>
      <c r="E911" s="36" t="s">
        <v>30</v>
      </c>
      <c r="F911" s="36" t="s">
        <v>569</v>
      </c>
      <c r="G911" s="37" t="s">
        <v>654</v>
      </c>
      <c r="H911" s="36" t="s">
        <v>1100</v>
      </c>
      <c r="I911" s="36" t="s">
        <v>1101</v>
      </c>
      <c r="J911" s="36">
        <v>2</v>
      </c>
      <c r="K911" s="36" t="s">
        <v>359</v>
      </c>
      <c r="L911" s="36">
        <v>4</v>
      </c>
      <c r="M911" s="36">
        <v>242</v>
      </c>
      <c r="N911" s="38">
        <v>509</v>
      </c>
      <c r="O911" s="38">
        <v>123178</v>
      </c>
      <c r="P911" s="36">
        <v>1</v>
      </c>
      <c r="Q911" s="40">
        <v>46174</v>
      </c>
      <c r="R911" s="36" t="s">
        <v>457</v>
      </c>
      <c r="S911" s="36" t="s">
        <v>1102</v>
      </c>
      <c r="T911" s="36" t="s">
        <v>1097</v>
      </c>
      <c r="U911" s="36" t="s">
        <v>460</v>
      </c>
      <c r="V911" s="40">
        <v>46174</v>
      </c>
      <c r="W911" s="36"/>
      <c r="X911" s="36">
        <v>0</v>
      </c>
      <c r="Y911" s="36"/>
      <c r="Z911" s="36">
        <v>0</v>
      </c>
      <c r="AA911" s="36">
        <v>0</v>
      </c>
      <c r="AB911" s="36"/>
      <c r="AC911" s="36" t="str">
        <f t="shared" si="2"/>
        <v>PC26</v>
      </c>
      <c r="AD911" s="36" t="str">
        <f>VLOOKUP(D911,Oficial!A:C,3,0)</f>
        <v>Bienes y Servicios</v>
      </c>
    </row>
    <row r="912" spans="1:30" x14ac:dyDescent="0.25">
      <c r="A912" s="36" t="s">
        <v>27</v>
      </c>
      <c r="B912" s="36" t="s">
        <v>1099</v>
      </c>
      <c r="C912" s="36" t="s">
        <v>28</v>
      </c>
      <c r="D912" s="36" t="s">
        <v>1099</v>
      </c>
      <c r="E912" s="36" t="s">
        <v>30</v>
      </c>
      <c r="F912" s="36" t="s">
        <v>569</v>
      </c>
      <c r="G912" s="37" t="s">
        <v>654</v>
      </c>
      <c r="H912" s="36" t="s">
        <v>1100</v>
      </c>
      <c r="I912" s="36" t="s">
        <v>1101</v>
      </c>
      <c r="J912" s="36">
        <v>2</v>
      </c>
      <c r="K912" s="36" t="s">
        <v>855</v>
      </c>
      <c r="L912" s="36">
        <v>4</v>
      </c>
      <c r="M912" s="36">
        <v>210</v>
      </c>
      <c r="N912" s="38">
        <v>286</v>
      </c>
      <c r="O912" s="38">
        <v>60060</v>
      </c>
      <c r="P912" s="36">
        <v>1</v>
      </c>
      <c r="Q912" s="40">
        <v>46174</v>
      </c>
      <c r="R912" s="36" t="s">
        <v>457</v>
      </c>
      <c r="S912" s="36" t="s">
        <v>1102</v>
      </c>
      <c r="T912" s="36" t="s">
        <v>1097</v>
      </c>
      <c r="U912" s="36" t="s">
        <v>460</v>
      </c>
      <c r="V912" s="40">
        <v>46174</v>
      </c>
      <c r="W912" s="36"/>
      <c r="X912" s="36">
        <v>0</v>
      </c>
      <c r="Y912" s="36"/>
      <c r="Z912" s="36">
        <v>0</v>
      </c>
      <c r="AA912" s="36">
        <v>0</v>
      </c>
      <c r="AB912" s="36"/>
      <c r="AC912" s="36" t="str">
        <f t="shared" si="2"/>
        <v>PC26</v>
      </c>
      <c r="AD912" s="36" t="str">
        <f>VLOOKUP(D912,Oficial!A:C,3,0)</f>
        <v>Bienes y Servicios</v>
      </c>
    </row>
    <row r="913" spans="1:30" x14ac:dyDescent="0.25">
      <c r="A913" s="36" t="s">
        <v>27</v>
      </c>
      <c r="B913" s="36" t="s">
        <v>1103</v>
      </c>
      <c r="C913" s="36" t="s">
        <v>28</v>
      </c>
      <c r="D913" s="36" t="s">
        <v>1103</v>
      </c>
      <c r="E913" s="36" t="s">
        <v>30</v>
      </c>
      <c r="F913" s="36" t="s">
        <v>569</v>
      </c>
      <c r="G913" s="37" t="s">
        <v>804</v>
      </c>
      <c r="H913" s="36" t="s">
        <v>1104</v>
      </c>
      <c r="I913" s="36" t="s">
        <v>1105</v>
      </c>
      <c r="J913" s="36">
        <v>1</v>
      </c>
      <c r="K913" s="36" t="s">
        <v>807</v>
      </c>
      <c r="L913" s="36">
        <v>4</v>
      </c>
      <c r="M913" s="36">
        <v>7</v>
      </c>
      <c r="N913" s="38">
        <v>813715</v>
      </c>
      <c r="O913" s="38">
        <v>5696005</v>
      </c>
      <c r="P913" s="36">
        <v>1</v>
      </c>
      <c r="Q913" s="40">
        <v>46296</v>
      </c>
      <c r="R913" s="36" t="s">
        <v>1106</v>
      </c>
      <c r="S913" s="36" t="s">
        <v>1107</v>
      </c>
      <c r="T913" s="36" t="s">
        <v>1108</v>
      </c>
      <c r="U913" s="36" t="s">
        <v>1109</v>
      </c>
      <c r="V913" s="40">
        <v>46296</v>
      </c>
      <c r="W913" s="36"/>
      <c r="X913" s="36">
        <v>0</v>
      </c>
      <c r="Y913" s="36"/>
      <c r="Z913" s="36">
        <v>0</v>
      </c>
      <c r="AA913" s="36">
        <v>0</v>
      </c>
      <c r="AB913" s="36"/>
      <c r="AC913" s="36" t="str">
        <f t="shared" si="2"/>
        <v>PC26</v>
      </c>
      <c r="AD913" s="36" t="str">
        <f>VLOOKUP(D913,Oficial!A:C,3,0)</f>
        <v>Bienes y Servicios</v>
      </c>
    </row>
    <row r="914" spans="1:30" x14ac:dyDescent="0.25">
      <c r="A914" s="36" t="s">
        <v>27</v>
      </c>
      <c r="B914" s="36" t="s">
        <v>1110</v>
      </c>
      <c r="C914" s="36" t="s">
        <v>28</v>
      </c>
      <c r="D914" s="36" t="s">
        <v>1110</v>
      </c>
      <c r="E914" s="36" t="s">
        <v>30</v>
      </c>
      <c r="F914" s="36" t="s">
        <v>569</v>
      </c>
      <c r="G914" s="37" t="s">
        <v>654</v>
      </c>
      <c r="H914" s="36" t="s">
        <v>1111</v>
      </c>
      <c r="I914" s="36" t="s">
        <v>1112</v>
      </c>
      <c r="J914" s="36">
        <v>2</v>
      </c>
      <c r="K914" s="36" t="s">
        <v>359</v>
      </c>
      <c r="L914" s="36">
        <v>4</v>
      </c>
      <c r="M914" s="36">
        <v>138</v>
      </c>
      <c r="N914" s="38">
        <v>1087</v>
      </c>
      <c r="O914" s="38">
        <v>150006</v>
      </c>
      <c r="P914" s="36">
        <v>1</v>
      </c>
      <c r="Q914" s="40">
        <v>46204</v>
      </c>
      <c r="R914" s="36" t="s">
        <v>457</v>
      </c>
      <c r="S914" s="36" t="s">
        <v>1102</v>
      </c>
      <c r="T914" s="36" t="s">
        <v>1097</v>
      </c>
      <c r="U914" s="36" t="s">
        <v>460</v>
      </c>
      <c r="V914" s="40">
        <v>46204</v>
      </c>
      <c r="W914" s="36"/>
      <c r="X914" s="36">
        <v>0</v>
      </c>
      <c r="Y914" s="36"/>
      <c r="Z914" s="36">
        <v>0</v>
      </c>
      <c r="AA914" s="36">
        <v>0</v>
      </c>
      <c r="AB914" s="36"/>
      <c r="AC914" s="36" t="str">
        <f t="shared" si="2"/>
        <v>PC26</v>
      </c>
      <c r="AD914" s="36" t="str">
        <f>VLOOKUP(D914,Oficial!A:C,3,0)</f>
        <v>Bienes y Servicios</v>
      </c>
    </row>
    <row r="915" spans="1:30" x14ac:dyDescent="0.25">
      <c r="A915" s="36" t="s">
        <v>27</v>
      </c>
      <c r="B915" s="36" t="s">
        <v>1110</v>
      </c>
      <c r="C915" s="36" t="s">
        <v>28</v>
      </c>
      <c r="D915" s="36" t="s">
        <v>1110</v>
      </c>
      <c r="E915" s="36" t="s">
        <v>30</v>
      </c>
      <c r="F915" s="36" t="s">
        <v>569</v>
      </c>
      <c r="G915" s="37" t="s">
        <v>654</v>
      </c>
      <c r="H915" s="36" t="s">
        <v>1111</v>
      </c>
      <c r="I915" s="36" t="s">
        <v>1112</v>
      </c>
      <c r="J915" s="36">
        <v>2</v>
      </c>
      <c r="K915" s="36" t="s">
        <v>962</v>
      </c>
      <c r="L915" s="36">
        <v>4</v>
      </c>
      <c r="M915" s="36">
        <v>70</v>
      </c>
      <c r="N915" s="38">
        <v>1072</v>
      </c>
      <c r="O915" s="38">
        <v>75040</v>
      </c>
      <c r="P915" s="36">
        <v>1</v>
      </c>
      <c r="Q915" s="40">
        <v>46204</v>
      </c>
      <c r="R915" s="36" t="s">
        <v>457</v>
      </c>
      <c r="S915" s="36" t="s">
        <v>1102</v>
      </c>
      <c r="T915" s="36" t="s">
        <v>1097</v>
      </c>
      <c r="U915" s="36" t="s">
        <v>460</v>
      </c>
      <c r="V915" s="40">
        <v>46204</v>
      </c>
      <c r="W915" s="36"/>
      <c r="X915" s="36">
        <v>0</v>
      </c>
      <c r="Y915" s="36"/>
      <c r="Z915" s="36">
        <v>0</v>
      </c>
      <c r="AA915" s="36">
        <v>0</v>
      </c>
      <c r="AB915" s="36"/>
      <c r="AC915" s="36" t="str">
        <f t="shared" si="2"/>
        <v>PC26</v>
      </c>
      <c r="AD915" s="36" t="str">
        <f>VLOOKUP(D915,Oficial!A:C,3,0)</f>
        <v>Bienes y Servicios</v>
      </c>
    </row>
    <row r="916" spans="1:30" x14ac:dyDescent="0.25">
      <c r="A916" s="36" t="s">
        <v>27</v>
      </c>
      <c r="B916" s="36" t="s">
        <v>1113</v>
      </c>
      <c r="C916" s="36" t="s">
        <v>28</v>
      </c>
      <c r="D916" s="36" t="s">
        <v>1113</v>
      </c>
      <c r="E916" s="36" t="s">
        <v>30</v>
      </c>
      <c r="F916" s="36" t="s">
        <v>569</v>
      </c>
      <c r="G916" s="37" t="s">
        <v>1114</v>
      </c>
      <c r="H916" s="36" t="s">
        <v>1115</v>
      </c>
      <c r="I916" s="36" t="s">
        <v>1116</v>
      </c>
      <c r="J916" s="36">
        <v>1</v>
      </c>
      <c r="K916" s="36" t="s">
        <v>1117</v>
      </c>
      <c r="L916" s="36">
        <v>4</v>
      </c>
      <c r="M916" s="36">
        <v>1</v>
      </c>
      <c r="N916" s="38">
        <v>2783713888</v>
      </c>
      <c r="O916" s="38">
        <v>371161848</v>
      </c>
      <c r="P916" s="36">
        <v>32</v>
      </c>
      <c r="Q916" s="36" t="s">
        <v>1118</v>
      </c>
      <c r="R916" s="36" t="s">
        <v>309</v>
      </c>
      <c r="S916" s="36" t="s">
        <v>893</v>
      </c>
      <c r="T916" s="36" t="s">
        <v>894</v>
      </c>
      <c r="U916" s="36" t="s">
        <v>312</v>
      </c>
      <c r="V916" s="40">
        <v>46113</v>
      </c>
      <c r="W916" s="36"/>
      <c r="X916" s="36">
        <v>0</v>
      </c>
      <c r="Y916" s="36"/>
      <c r="Z916" s="36">
        <v>0</v>
      </c>
      <c r="AA916" s="36">
        <v>0</v>
      </c>
      <c r="AB916" s="36"/>
      <c r="AC916" s="36" t="str">
        <f t="shared" si="2"/>
        <v>PC26</v>
      </c>
      <c r="AD916" s="36" t="str">
        <f>VLOOKUP(D916,Oficial!A:C,3,0)</f>
        <v>Bienes y Servicios</v>
      </c>
    </row>
    <row r="917" spans="1:30" x14ac:dyDescent="0.25">
      <c r="A917" s="36" t="s">
        <v>27</v>
      </c>
      <c r="B917" s="36" t="s">
        <v>1119</v>
      </c>
      <c r="C917" s="36" t="s">
        <v>28</v>
      </c>
      <c r="D917" s="36" t="s">
        <v>1119</v>
      </c>
      <c r="E917" s="36" t="s">
        <v>30</v>
      </c>
      <c r="F917" s="36" t="s">
        <v>569</v>
      </c>
      <c r="G917" s="37" t="s">
        <v>104</v>
      </c>
      <c r="H917" s="36" t="s">
        <v>1120</v>
      </c>
      <c r="I917" s="36" t="s">
        <v>1120</v>
      </c>
      <c r="J917" s="36">
        <v>1</v>
      </c>
      <c r="K917" s="36" t="s">
        <v>1121</v>
      </c>
      <c r="L917" s="36">
        <v>4</v>
      </c>
      <c r="M917" s="36">
        <v>3</v>
      </c>
      <c r="N917" s="38">
        <v>200000</v>
      </c>
      <c r="O917" s="38">
        <v>600000</v>
      </c>
      <c r="P917" s="36">
        <v>1</v>
      </c>
      <c r="Q917" s="40">
        <v>46082</v>
      </c>
      <c r="R917" s="36" t="s">
        <v>1122</v>
      </c>
      <c r="S917" s="36" t="s">
        <v>1123</v>
      </c>
      <c r="T917" s="36" t="s">
        <v>1124</v>
      </c>
      <c r="U917" s="36" t="s">
        <v>1125</v>
      </c>
      <c r="V917" s="40">
        <v>46082</v>
      </c>
      <c r="W917" s="36"/>
      <c r="X917" s="36">
        <v>0</v>
      </c>
      <c r="Y917" s="36"/>
      <c r="Z917" s="36">
        <v>0</v>
      </c>
      <c r="AA917" s="36">
        <v>0</v>
      </c>
      <c r="AB917" s="36"/>
      <c r="AC917" s="36" t="str">
        <f t="shared" si="2"/>
        <v>PC26</v>
      </c>
      <c r="AD917" s="36" t="str">
        <f>VLOOKUP(D917,Oficial!A:C,3,0)</f>
        <v>Bienes y Servicios</v>
      </c>
    </row>
    <row r="918" spans="1:30" x14ac:dyDescent="0.25">
      <c r="A918" s="36" t="s">
        <v>27</v>
      </c>
      <c r="B918" s="36" t="s">
        <v>1126</v>
      </c>
      <c r="C918" s="36" t="s">
        <v>28</v>
      </c>
      <c r="D918" s="36" t="s">
        <v>1126</v>
      </c>
      <c r="E918" s="36" t="s">
        <v>30</v>
      </c>
      <c r="F918" s="36" t="s">
        <v>569</v>
      </c>
      <c r="G918" s="37" t="s">
        <v>483</v>
      </c>
      <c r="H918" s="36" t="s">
        <v>1127</v>
      </c>
      <c r="I918" s="36" t="s">
        <v>1128</v>
      </c>
      <c r="J918" s="36">
        <v>1</v>
      </c>
      <c r="K918" s="36" t="s">
        <v>1129</v>
      </c>
      <c r="L918" s="36">
        <v>4</v>
      </c>
      <c r="M918" s="36">
        <v>10000</v>
      </c>
      <c r="N918" s="38">
        <v>170</v>
      </c>
      <c r="O918" s="38">
        <v>1700000</v>
      </c>
      <c r="P918" s="36">
        <v>1</v>
      </c>
      <c r="Q918" s="40">
        <v>46082</v>
      </c>
      <c r="R918" s="36" t="s">
        <v>1122</v>
      </c>
      <c r="S918" s="36" t="s">
        <v>1123</v>
      </c>
      <c r="T918" s="36" t="s">
        <v>1124</v>
      </c>
      <c r="U918" s="36" t="s">
        <v>1125</v>
      </c>
      <c r="V918" s="40">
        <v>46082</v>
      </c>
      <c r="W918" s="36"/>
      <c r="X918" s="36">
        <v>0</v>
      </c>
      <c r="Y918" s="36"/>
      <c r="Z918" s="36">
        <v>0</v>
      </c>
      <c r="AA918" s="36">
        <v>0</v>
      </c>
      <c r="AB918" s="36"/>
      <c r="AC918" s="36" t="str">
        <f t="shared" si="2"/>
        <v>PC26</v>
      </c>
      <c r="AD918" s="36" t="str">
        <f>VLOOKUP(D918,Oficial!A:C,3,0)</f>
        <v>Bienes y Servicios</v>
      </c>
    </row>
    <row r="919" spans="1:30" x14ac:dyDescent="0.25">
      <c r="A919" s="36" t="s">
        <v>27</v>
      </c>
      <c r="B919" s="36" t="s">
        <v>1130</v>
      </c>
      <c r="C919" s="36" t="s">
        <v>28</v>
      </c>
      <c r="D919" s="36" t="s">
        <v>1130</v>
      </c>
      <c r="E919" s="36" t="s">
        <v>30</v>
      </c>
      <c r="F919" s="36" t="s">
        <v>569</v>
      </c>
      <c r="G919" s="37" t="s">
        <v>1080</v>
      </c>
      <c r="H919" s="36" t="s">
        <v>1131</v>
      </c>
      <c r="I919" s="36" t="s">
        <v>1132</v>
      </c>
      <c r="J919" s="36">
        <v>1</v>
      </c>
      <c r="K919" s="36" t="s">
        <v>1133</v>
      </c>
      <c r="L919" s="36">
        <v>4</v>
      </c>
      <c r="M919" s="36">
        <v>64</v>
      </c>
      <c r="N919" s="38">
        <v>26094</v>
      </c>
      <c r="O919" s="38">
        <v>1670016</v>
      </c>
      <c r="P919" s="36">
        <v>1</v>
      </c>
      <c r="Q919" s="40">
        <v>46082</v>
      </c>
      <c r="R919" s="36" t="s">
        <v>1122</v>
      </c>
      <c r="S919" s="36" t="s">
        <v>1123</v>
      </c>
      <c r="T919" s="36" t="s">
        <v>1124</v>
      </c>
      <c r="U919" s="36" t="s">
        <v>1125</v>
      </c>
      <c r="V919" s="40">
        <v>46082</v>
      </c>
      <c r="W919" s="36"/>
      <c r="X919" s="36">
        <v>0</v>
      </c>
      <c r="Y919" s="36"/>
      <c r="Z919" s="36">
        <v>0</v>
      </c>
      <c r="AA919" s="36">
        <v>0</v>
      </c>
      <c r="AB919" s="36"/>
      <c r="AC919" s="36" t="str">
        <f t="shared" ref="AC919:AC982" si="3">RIGHT(D919,4)</f>
        <v>PC26</v>
      </c>
      <c r="AD919" s="36" t="str">
        <f>VLOOKUP(D919,Oficial!A:C,3,0)</f>
        <v>Bienes y Servicios</v>
      </c>
    </row>
    <row r="920" spans="1:30" x14ac:dyDescent="0.25">
      <c r="A920" s="36" t="s">
        <v>27</v>
      </c>
      <c r="B920" s="36" t="s">
        <v>1134</v>
      </c>
      <c r="C920" s="36" t="s">
        <v>28</v>
      </c>
      <c r="D920" s="36" t="s">
        <v>1134</v>
      </c>
      <c r="E920" s="36" t="s">
        <v>30</v>
      </c>
      <c r="F920" s="36" t="s">
        <v>569</v>
      </c>
      <c r="G920" s="37" t="s">
        <v>215</v>
      </c>
      <c r="H920" s="36" t="s">
        <v>1135</v>
      </c>
      <c r="I920" s="36" t="s">
        <v>1136</v>
      </c>
      <c r="J920" s="36">
        <v>1</v>
      </c>
      <c r="K920" s="36" t="s">
        <v>1137</v>
      </c>
      <c r="L920" s="36">
        <v>4</v>
      </c>
      <c r="M920" s="36">
        <v>3</v>
      </c>
      <c r="N920" s="38">
        <v>300000</v>
      </c>
      <c r="O920" s="38">
        <v>900000</v>
      </c>
      <c r="P920" s="36">
        <v>1</v>
      </c>
      <c r="Q920" s="40">
        <v>46082</v>
      </c>
      <c r="R920" s="36" t="s">
        <v>1122</v>
      </c>
      <c r="S920" s="36" t="s">
        <v>1123</v>
      </c>
      <c r="T920" s="36" t="s">
        <v>1124</v>
      </c>
      <c r="U920" s="36" t="s">
        <v>1125</v>
      </c>
      <c r="V920" s="40">
        <v>46082</v>
      </c>
      <c r="W920" s="36"/>
      <c r="X920" s="36">
        <v>0</v>
      </c>
      <c r="Y920" s="36"/>
      <c r="Z920" s="36">
        <v>0</v>
      </c>
      <c r="AA920" s="36">
        <v>0</v>
      </c>
      <c r="AB920" s="36"/>
      <c r="AC920" s="36" t="str">
        <f t="shared" si="3"/>
        <v>PC26</v>
      </c>
      <c r="AD920" s="36" t="str">
        <f>VLOOKUP(D920,Oficial!A:C,3,0)</f>
        <v>Bienes y Servicios</v>
      </c>
    </row>
    <row r="921" spans="1:30" x14ac:dyDescent="0.25">
      <c r="A921" s="36" t="s">
        <v>27</v>
      </c>
      <c r="B921" s="36" t="s">
        <v>1138</v>
      </c>
      <c r="C921" s="36" t="s">
        <v>28</v>
      </c>
      <c r="D921" s="36" t="s">
        <v>1138</v>
      </c>
      <c r="E921" s="36" t="s">
        <v>30</v>
      </c>
      <c r="F921" s="36" t="s">
        <v>569</v>
      </c>
      <c r="G921" s="37" t="s">
        <v>1139</v>
      </c>
      <c r="H921" s="36" t="s">
        <v>1140</v>
      </c>
      <c r="I921" s="36" t="s">
        <v>1141</v>
      </c>
      <c r="J921" s="36">
        <v>1</v>
      </c>
      <c r="K921" s="36" t="s">
        <v>1142</v>
      </c>
      <c r="L921" s="36">
        <v>4</v>
      </c>
      <c r="M921" s="36">
        <v>15</v>
      </c>
      <c r="N921" s="38">
        <v>233334</v>
      </c>
      <c r="O921" s="38">
        <v>3500010</v>
      </c>
      <c r="P921" s="36">
        <v>1</v>
      </c>
      <c r="Q921" s="40">
        <v>46082</v>
      </c>
      <c r="R921" s="36" t="s">
        <v>1122</v>
      </c>
      <c r="S921" s="36" t="s">
        <v>1123</v>
      </c>
      <c r="T921" s="36" t="s">
        <v>1124</v>
      </c>
      <c r="U921" s="36" t="s">
        <v>1125</v>
      </c>
      <c r="V921" s="40">
        <v>46082</v>
      </c>
      <c r="W921" s="36"/>
      <c r="X921" s="36">
        <v>0</v>
      </c>
      <c r="Y921" s="36"/>
      <c r="Z921" s="36">
        <v>0</v>
      </c>
      <c r="AA921" s="36">
        <v>0</v>
      </c>
      <c r="AB921" s="36"/>
      <c r="AC921" s="36" t="str">
        <f t="shared" si="3"/>
        <v>PC26</v>
      </c>
      <c r="AD921" s="36" t="str">
        <f>VLOOKUP(D921,Oficial!A:C,3,0)</f>
        <v>Bienes y Servicios</v>
      </c>
    </row>
    <row r="922" spans="1:30" x14ac:dyDescent="0.25">
      <c r="A922" s="36" t="s">
        <v>27</v>
      </c>
      <c r="B922" s="36" t="s">
        <v>1143</v>
      </c>
      <c r="C922" s="36" t="s">
        <v>374</v>
      </c>
      <c r="D922" s="36" t="s">
        <v>1143</v>
      </c>
      <c r="E922" s="36" t="s">
        <v>30</v>
      </c>
      <c r="F922" s="36" t="s">
        <v>569</v>
      </c>
      <c r="G922" s="37" t="s">
        <v>654</v>
      </c>
      <c r="H922" s="36" t="s">
        <v>1144</v>
      </c>
      <c r="I922" s="36" t="s">
        <v>1145</v>
      </c>
      <c r="J922" s="36">
        <v>4</v>
      </c>
      <c r="K922" s="36" t="s">
        <v>359</v>
      </c>
      <c r="L922" s="36">
        <v>4</v>
      </c>
      <c r="M922" s="36">
        <v>16</v>
      </c>
      <c r="N922" s="38">
        <v>5594</v>
      </c>
      <c r="O922" s="38">
        <v>89504</v>
      </c>
      <c r="P922" s="36">
        <v>1</v>
      </c>
      <c r="Q922" s="40">
        <v>46235</v>
      </c>
      <c r="R922" s="36" t="s">
        <v>768</v>
      </c>
      <c r="S922" s="36" t="s">
        <v>769</v>
      </c>
      <c r="T922" s="36" t="s">
        <v>770</v>
      </c>
      <c r="U922" s="36" t="s">
        <v>388</v>
      </c>
      <c r="V922" s="40">
        <v>46235</v>
      </c>
      <c r="W922" s="36"/>
      <c r="X922" s="36">
        <v>0</v>
      </c>
      <c r="Y922" s="36"/>
      <c r="Z922" s="36">
        <v>0</v>
      </c>
      <c r="AA922" s="36">
        <v>0</v>
      </c>
      <c r="AB922" s="36"/>
      <c r="AC922" s="36" t="str">
        <f t="shared" si="3"/>
        <v>PC26</v>
      </c>
      <c r="AD922" s="36" t="str">
        <f>VLOOKUP(D922,Oficial!A:C,3,0)</f>
        <v>Administración de Fondos</v>
      </c>
    </row>
    <row r="923" spans="1:30" x14ac:dyDescent="0.25">
      <c r="A923" s="36" t="s">
        <v>27</v>
      </c>
      <c r="B923" s="36" t="s">
        <v>1143</v>
      </c>
      <c r="C923" s="36" t="s">
        <v>374</v>
      </c>
      <c r="D923" s="36" t="s">
        <v>1143</v>
      </c>
      <c r="E923" s="36" t="s">
        <v>30</v>
      </c>
      <c r="F923" s="36" t="s">
        <v>569</v>
      </c>
      <c r="G923" s="37" t="s">
        <v>654</v>
      </c>
      <c r="H923" s="36" t="s">
        <v>1144</v>
      </c>
      <c r="I923" s="36" t="s">
        <v>1145</v>
      </c>
      <c r="J923" s="36">
        <v>4</v>
      </c>
      <c r="K923" s="36" t="s">
        <v>1146</v>
      </c>
      <c r="L923" s="36">
        <v>4</v>
      </c>
      <c r="M923" s="36">
        <v>5</v>
      </c>
      <c r="N923" s="38">
        <v>5000</v>
      </c>
      <c r="O923" s="38">
        <v>25000</v>
      </c>
      <c r="P923" s="36">
        <v>1</v>
      </c>
      <c r="Q923" s="40">
        <v>46235</v>
      </c>
      <c r="R923" s="36" t="s">
        <v>768</v>
      </c>
      <c r="S923" s="36" t="s">
        <v>769</v>
      </c>
      <c r="T923" s="36" t="s">
        <v>770</v>
      </c>
      <c r="U923" s="36" t="s">
        <v>388</v>
      </c>
      <c r="V923" s="40">
        <v>46235</v>
      </c>
      <c r="W923" s="36"/>
      <c r="X923" s="36">
        <v>0</v>
      </c>
      <c r="Y923" s="36"/>
      <c r="Z923" s="36">
        <v>0</v>
      </c>
      <c r="AA923" s="36">
        <v>0</v>
      </c>
      <c r="AB923" s="36"/>
      <c r="AC923" s="36" t="str">
        <f t="shared" si="3"/>
        <v>PC26</v>
      </c>
      <c r="AD923" s="36" t="str">
        <f>VLOOKUP(D923,Oficial!A:C,3,0)</f>
        <v>Administración de Fondos</v>
      </c>
    </row>
    <row r="924" spans="1:30" x14ac:dyDescent="0.25">
      <c r="A924" s="36" t="s">
        <v>27</v>
      </c>
      <c r="B924" s="36" t="s">
        <v>1143</v>
      </c>
      <c r="C924" s="36" t="s">
        <v>374</v>
      </c>
      <c r="D924" s="36" t="s">
        <v>1143</v>
      </c>
      <c r="E924" s="36" t="s">
        <v>30</v>
      </c>
      <c r="F924" s="36" t="s">
        <v>569</v>
      </c>
      <c r="G924" s="37" t="s">
        <v>654</v>
      </c>
      <c r="H924" s="36" t="s">
        <v>1144</v>
      </c>
      <c r="I924" s="36" t="s">
        <v>1145</v>
      </c>
      <c r="J924" s="36">
        <v>4</v>
      </c>
      <c r="K924" s="36" t="s">
        <v>1147</v>
      </c>
      <c r="L924" s="36">
        <v>4</v>
      </c>
      <c r="M924" s="36">
        <v>5</v>
      </c>
      <c r="N924" s="38">
        <v>5000</v>
      </c>
      <c r="O924" s="38">
        <v>25000</v>
      </c>
      <c r="P924" s="36">
        <v>1</v>
      </c>
      <c r="Q924" s="40">
        <v>46235</v>
      </c>
      <c r="R924" s="36" t="s">
        <v>768</v>
      </c>
      <c r="S924" s="36" t="s">
        <v>769</v>
      </c>
      <c r="T924" s="36" t="s">
        <v>770</v>
      </c>
      <c r="U924" s="36" t="s">
        <v>388</v>
      </c>
      <c r="V924" s="40">
        <v>46235</v>
      </c>
      <c r="W924" s="36"/>
      <c r="X924" s="36">
        <v>0</v>
      </c>
      <c r="Y924" s="36"/>
      <c r="Z924" s="36">
        <v>0</v>
      </c>
      <c r="AA924" s="36">
        <v>0</v>
      </c>
      <c r="AB924" s="36"/>
      <c r="AC924" s="36" t="str">
        <f t="shared" si="3"/>
        <v>PC26</v>
      </c>
      <c r="AD924" s="36" t="str">
        <f>VLOOKUP(D924,Oficial!A:C,3,0)</f>
        <v>Administración de Fondos</v>
      </c>
    </row>
    <row r="925" spans="1:30" x14ac:dyDescent="0.25">
      <c r="A925" s="36" t="s">
        <v>27</v>
      </c>
      <c r="B925" s="36" t="s">
        <v>1143</v>
      </c>
      <c r="C925" s="36" t="s">
        <v>374</v>
      </c>
      <c r="D925" s="36" t="s">
        <v>1143</v>
      </c>
      <c r="E925" s="36" t="s">
        <v>30</v>
      </c>
      <c r="F925" s="36" t="s">
        <v>569</v>
      </c>
      <c r="G925" s="37" t="s">
        <v>654</v>
      </c>
      <c r="H925" s="36" t="s">
        <v>1144</v>
      </c>
      <c r="I925" s="36" t="s">
        <v>1145</v>
      </c>
      <c r="J925" s="36">
        <v>4</v>
      </c>
      <c r="K925" s="36" t="s">
        <v>1148</v>
      </c>
      <c r="L925" s="36">
        <v>4</v>
      </c>
      <c r="M925" s="36">
        <v>10</v>
      </c>
      <c r="N925" s="38">
        <v>11000</v>
      </c>
      <c r="O925" s="38">
        <v>110000</v>
      </c>
      <c r="P925" s="36">
        <v>1</v>
      </c>
      <c r="Q925" s="40">
        <v>46235</v>
      </c>
      <c r="R925" s="36" t="s">
        <v>768</v>
      </c>
      <c r="S925" s="36" t="s">
        <v>769</v>
      </c>
      <c r="T925" s="36" t="s">
        <v>770</v>
      </c>
      <c r="U925" s="36" t="s">
        <v>388</v>
      </c>
      <c r="V925" s="40">
        <v>46235</v>
      </c>
      <c r="W925" s="36"/>
      <c r="X925" s="36">
        <v>0</v>
      </c>
      <c r="Y925" s="36"/>
      <c r="Z925" s="36">
        <v>0</v>
      </c>
      <c r="AA925" s="36">
        <v>0</v>
      </c>
      <c r="AB925" s="36"/>
      <c r="AC925" s="36" t="str">
        <f t="shared" si="3"/>
        <v>PC26</v>
      </c>
      <c r="AD925" s="36" t="str">
        <f>VLOOKUP(D925,Oficial!A:C,3,0)</f>
        <v>Administración de Fondos</v>
      </c>
    </row>
    <row r="926" spans="1:30" x14ac:dyDescent="0.25">
      <c r="A926" s="36" t="s">
        <v>27</v>
      </c>
      <c r="B926" s="36" t="s">
        <v>1149</v>
      </c>
      <c r="C926" s="36" t="s">
        <v>374</v>
      </c>
      <c r="D926" s="36" t="s">
        <v>1149</v>
      </c>
      <c r="E926" s="36" t="s">
        <v>30</v>
      </c>
      <c r="F926" s="36" t="s">
        <v>569</v>
      </c>
      <c r="G926" s="37" t="s">
        <v>654</v>
      </c>
      <c r="H926" s="36" t="s">
        <v>1150</v>
      </c>
      <c r="I926" s="36" t="s">
        <v>1151</v>
      </c>
      <c r="J926" s="36">
        <v>3</v>
      </c>
      <c r="K926" s="36" t="s">
        <v>602</v>
      </c>
      <c r="L926" s="36">
        <v>4</v>
      </c>
      <c r="M926" s="36">
        <v>15</v>
      </c>
      <c r="N926" s="38">
        <v>18000</v>
      </c>
      <c r="O926" s="38">
        <v>270000</v>
      </c>
      <c r="P926" s="36">
        <v>1</v>
      </c>
      <c r="Q926" s="40">
        <v>46113</v>
      </c>
      <c r="R926" s="36" t="s">
        <v>1152</v>
      </c>
      <c r="S926" s="36" t="s">
        <v>1153</v>
      </c>
      <c r="T926" s="36" t="s">
        <v>1154</v>
      </c>
      <c r="U926" s="36" t="s">
        <v>1155</v>
      </c>
      <c r="V926" s="40">
        <v>46113</v>
      </c>
      <c r="W926" s="36"/>
      <c r="X926" s="36">
        <v>0</v>
      </c>
      <c r="Y926" s="36"/>
      <c r="Z926" s="36">
        <v>0</v>
      </c>
      <c r="AA926" s="36">
        <v>0</v>
      </c>
      <c r="AB926" s="36"/>
      <c r="AC926" s="36" t="str">
        <f t="shared" si="3"/>
        <v>PC26</v>
      </c>
      <c r="AD926" s="36" t="str">
        <f>VLOOKUP(D926,Oficial!A:C,3,0)</f>
        <v>Administración de Fondos</v>
      </c>
    </row>
    <row r="927" spans="1:30" x14ac:dyDescent="0.25">
      <c r="A927" s="36" t="s">
        <v>27</v>
      </c>
      <c r="B927" s="36" t="s">
        <v>1149</v>
      </c>
      <c r="C927" s="36" t="s">
        <v>374</v>
      </c>
      <c r="D927" s="36" t="s">
        <v>1149</v>
      </c>
      <c r="E927" s="36" t="s">
        <v>30</v>
      </c>
      <c r="F927" s="36" t="s">
        <v>569</v>
      </c>
      <c r="G927" s="37" t="s">
        <v>654</v>
      </c>
      <c r="H927" s="36" t="s">
        <v>1150</v>
      </c>
      <c r="I927" s="36" t="s">
        <v>1151</v>
      </c>
      <c r="J927" s="36">
        <v>3</v>
      </c>
      <c r="K927" s="36" t="s">
        <v>831</v>
      </c>
      <c r="L927" s="36">
        <v>4</v>
      </c>
      <c r="M927" s="36">
        <v>100</v>
      </c>
      <c r="N927" s="38">
        <v>500</v>
      </c>
      <c r="O927" s="38">
        <v>50000</v>
      </c>
      <c r="P927" s="36">
        <v>1</v>
      </c>
      <c r="Q927" s="40">
        <v>46113</v>
      </c>
      <c r="R927" s="36" t="s">
        <v>1152</v>
      </c>
      <c r="S927" s="36" t="s">
        <v>1153</v>
      </c>
      <c r="T927" s="36" t="s">
        <v>1154</v>
      </c>
      <c r="U927" s="36" t="s">
        <v>1155</v>
      </c>
      <c r="V927" s="40">
        <v>46113</v>
      </c>
      <c r="W927" s="36"/>
      <c r="X927" s="36">
        <v>0</v>
      </c>
      <c r="Y927" s="36"/>
      <c r="Z927" s="36">
        <v>0</v>
      </c>
      <c r="AA927" s="36">
        <v>0</v>
      </c>
      <c r="AB927" s="36"/>
      <c r="AC927" s="36" t="str">
        <f t="shared" si="3"/>
        <v>PC26</v>
      </c>
      <c r="AD927" s="36" t="str">
        <f>VLOOKUP(D927,Oficial!A:C,3,0)</f>
        <v>Administración de Fondos</v>
      </c>
    </row>
    <row r="928" spans="1:30" x14ac:dyDescent="0.25">
      <c r="A928" s="36" t="s">
        <v>27</v>
      </c>
      <c r="B928" s="36" t="s">
        <v>1149</v>
      </c>
      <c r="C928" s="36" t="s">
        <v>374</v>
      </c>
      <c r="D928" s="36" t="s">
        <v>1149</v>
      </c>
      <c r="E928" s="36" t="s">
        <v>30</v>
      </c>
      <c r="F928" s="36" t="s">
        <v>569</v>
      </c>
      <c r="G928" s="37" t="s">
        <v>654</v>
      </c>
      <c r="H928" s="36" t="s">
        <v>1150</v>
      </c>
      <c r="I928" s="36" t="s">
        <v>1151</v>
      </c>
      <c r="J928" s="36">
        <v>3</v>
      </c>
      <c r="K928" s="36" t="s">
        <v>486</v>
      </c>
      <c r="L928" s="36">
        <v>4</v>
      </c>
      <c r="M928" s="36">
        <v>272</v>
      </c>
      <c r="N928" s="38">
        <v>1295</v>
      </c>
      <c r="O928" s="38">
        <v>352240</v>
      </c>
      <c r="P928" s="36">
        <v>1</v>
      </c>
      <c r="Q928" s="40">
        <v>46113</v>
      </c>
      <c r="R928" s="36" t="s">
        <v>1152</v>
      </c>
      <c r="S928" s="36" t="s">
        <v>1153</v>
      </c>
      <c r="T928" s="36" t="s">
        <v>1154</v>
      </c>
      <c r="U928" s="36" t="s">
        <v>1155</v>
      </c>
      <c r="V928" s="40">
        <v>46113</v>
      </c>
      <c r="W928" s="36"/>
      <c r="X928" s="36">
        <v>0</v>
      </c>
      <c r="Y928" s="36"/>
      <c r="Z928" s="36">
        <v>0</v>
      </c>
      <c r="AA928" s="36">
        <v>0</v>
      </c>
      <c r="AB928" s="36"/>
      <c r="AC928" s="36" t="str">
        <f t="shared" si="3"/>
        <v>PC26</v>
      </c>
      <c r="AD928" s="36" t="str">
        <f>VLOOKUP(D928,Oficial!A:C,3,0)</f>
        <v>Administración de Fondos</v>
      </c>
    </row>
    <row r="929" spans="1:30" x14ac:dyDescent="0.25">
      <c r="A929" s="36" t="s">
        <v>27</v>
      </c>
      <c r="B929" s="36" t="s">
        <v>1156</v>
      </c>
      <c r="C929" s="36" t="s">
        <v>28</v>
      </c>
      <c r="D929" s="36" t="s">
        <v>1156</v>
      </c>
      <c r="E929" s="36" t="s">
        <v>30</v>
      </c>
      <c r="F929" s="36" t="s">
        <v>569</v>
      </c>
      <c r="G929" s="37" t="s">
        <v>1157</v>
      </c>
      <c r="H929" s="36" t="s">
        <v>1158</v>
      </c>
      <c r="I929" s="36" t="s">
        <v>1159</v>
      </c>
      <c r="J929" s="36">
        <v>5</v>
      </c>
      <c r="K929" s="36" t="s">
        <v>1160</v>
      </c>
      <c r="L929" s="36">
        <v>4</v>
      </c>
      <c r="M929" s="36">
        <v>4</v>
      </c>
      <c r="N929" s="38">
        <v>1112500</v>
      </c>
      <c r="O929" s="38">
        <v>4450000</v>
      </c>
      <c r="P929" s="36">
        <v>3</v>
      </c>
      <c r="Q929" s="36" t="s">
        <v>1161</v>
      </c>
      <c r="R929" s="36" t="s">
        <v>1162</v>
      </c>
      <c r="S929" s="36" t="s">
        <v>1163</v>
      </c>
      <c r="T929" s="36" t="s">
        <v>259</v>
      </c>
      <c r="U929" s="36" t="s">
        <v>260</v>
      </c>
      <c r="V929" s="40">
        <v>46082</v>
      </c>
      <c r="W929" s="36"/>
      <c r="X929" s="36">
        <v>0</v>
      </c>
      <c r="Y929" s="36"/>
      <c r="Z929" s="36">
        <v>0</v>
      </c>
      <c r="AA929" s="36">
        <v>0</v>
      </c>
      <c r="AB929" s="36"/>
      <c r="AC929" s="36" t="str">
        <f t="shared" si="3"/>
        <v>PC26</v>
      </c>
      <c r="AD929" s="36" t="str">
        <f>VLOOKUP(D929,Oficial!A:C,3,0)</f>
        <v>Bienes y Servicios</v>
      </c>
    </row>
    <row r="930" spans="1:30" x14ac:dyDescent="0.25">
      <c r="A930" s="36" t="s">
        <v>27</v>
      </c>
      <c r="B930" s="36" t="s">
        <v>1156</v>
      </c>
      <c r="C930" s="36" t="s">
        <v>28</v>
      </c>
      <c r="D930" s="36" t="s">
        <v>1156</v>
      </c>
      <c r="E930" s="36" t="s">
        <v>30</v>
      </c>
      <c r="F930" s="36" t="s">
        <v>569</v>
      </c>
      <c r="G930" s="37" t="s">
        <v>1157</v>
      </c>
      <c r="H930" s="36" t="s">
        <v>1158</v>
      </c>
      <c r="I930" s="36" t="s">
        <v>1159</v>
      </c>
      <c r="J930" s="36">
        <v>5</v>
      </c>
      <c r="K930" s="36" t="s">
        <v>1164</v>
      </c>
      <c r="L930" s="36">
        <v>4</v>
      </c>
      <c r="M930" s="36">
        <v>6</v>
      </c>
      <c r="N930" s="38">
        <v>616667</v>
      </c>
      <c r="O930" s="38">
        <v>3700002</v>
      </c>
      <c r="P930" s="36">
        <v>1</v>
      </c>
      <c r="Q930" s="40">
        <v>46174</v>
      </c>
      <c r="R930" s="36" t="s">
        <v>1162</v>
      </c>
      <c r="S930" s="36" t="s">
        <v>1163</v>
      </c>
      <c r="T930" s="36" t="s">
        <v>259</v>
      </c>
      <c r="U930" s="36" t="s">
        <v>260</v>
      </c>
      <c r="V930" s="40">
        <v>46174</v>
      </c>
      <c r="W930" s="36"/>
      <c r="X930" s="36">
        <v>0</v>
      </c>
      <c r="Y930" s="36"/>
      <c r="Z930" s="36">
        <v>0</v>
      </c>
      <c r="AA930" s="36">
        <v>0</v>
      </c>
      <c r="AB930" s="36"/>
      <c r="AC930" s="36" t="str">
        <f t="shared" si="3"/>
        <v>PC26</v>
      </c>
      <c r="AD930" s="36" t="str">
        <f>VLOOKUP(D930,Oficial!A:C,3,0)</f>
        <v>Bienes y Servicios</v>
      </c>
    </row>
    <row r="931" spans="1:30" x14ac:dyDescent="0.25">
      <c r="A931" s="36" t="s">
        <v>27</v>
      </c>
      <c r="B931" s="36" t="s">
        <v>1156</v>
      </c>
      <c r="C931" s="36" t="s">
        <v>28</v>
      </c>
      <c r="D931" s="36" t="s">
        <v>1156</v>
      </c>
      <c r="E931" s="36" t="s">
        <v>30</v>
      </c>
      <c r="F931" s="36" t="s">
        <v>569</v>
      </c>
      <c r="G931" s="37" t="s">
        <v>1157</v>
      </c>
      <c r="H931" s="36" t="s">
        <v>1158</v>
      </c>
      <c r="I931" s="36" t="s">
        <v>1159</v>
      </c>
      <c r="J931" s="36">
        <v>5</v>
      </c>
      <c r="K931" s="36" t="s">
        <v>1165</v>
      </c>
      <c r="L931" s="36">
        <v>4</v>
      </c>
      <c r="M931" s="36">
        <v>1</v>
      </c>
      <c r="N931" s="38">
        <v>3000000</v>
      </c>
      <c r="O931" s="38">
        <v>3000000</v>
      </c>
      <c r="P931" s="36">
        <v>1</v>
      </c>
      <c r="Q931" s="40">
        <v>46174</v>
      </c>
      <c r="R931" s="36" t="s">
        <v>1162</v>
      </c>
      <c r="S931" s="36" t="s">
        <v>1163</v>
      </c>
      <c r="T931" s="36" t="s">
        <v>259</v>
      </c>
      <c r="U931" s="36" t="s">
        <v>260</v>
      </c>
      <c r="V931" s="40">
        <v>46174</v>
      </c>
      <c r="W931" s="36"/>
      <c r="X931" s="36">
        <v>0</v>
      </c>
      <c r="Y931" s="36"/>
      <c r="Z931" s="36">
        <v>0</v>
      </c>
      <c r="AA931" s="36">
        <v>0</v>
      </c>
      <c r="AB931" s="36"/>
      <c r="AC931" s="36" t="str">
        <f t="shared" si="3"/>
        <v>PC26</v>
      </c>
      <c r="AD931" s="36" t="str">
        <f>VLOOKUP(D931,Oficial!A:C,3,0)</f>
        <v>Bienes y Servicios</v>
      </c>
    </row>
    <row r="932" spans="1:30" x14ac:dyDescent="0.25">
      <c r="A932" s="36" t="s">
        <v>27</v>
      </c>
      <c r="B932" s="36" t="s">
        <v>1156</v>
      </c>
      <c r="C932" s="36" t="s">
        <v>28</v>
      </c>
      <c r="D932" s="36" t="s">
        <v>1156</v>
      </c>
      <c r="E932" s="36" t="s">
        <v>30</v>
      </c>
      <c r="F932" s="36" t="s">
        <v>569</v>
      </c>
      <c r="G932" s="37" t="s">
        <v>1157</v>
      </c>
      <c r="H932" s="36" t="s">
        <v>1158</v>
      </c>
      <c r="I932" s="36" t="s">
        <v>1159</v>
      </c>
      <c r="J932" s="36">
        <v>5</v>
      </c>
      <c r="K932" s="36" t="s">
        <v>1166</v>
      </c>
      <c r="L932" s="36">
        <v>4</v>
      </c>
      <c r="M932" s="36">
        <v>1</v>
      </c>
      <c r="N932" s="38">
        <v>600000</v>
      </c>
      <c r="O932" s="38">
        <v>600000</v>
      </c>
      <c r="P932" s="36">
        <v>1</v>
      </c>
      <c r="Q932" s="40">
        <v>46174</v>
      </c>
      <c r="R932" s="36" t="s">
        <v>1162</v>
      </c>
      <c r="S932" s="36" t="s">
        <v>1163</v>
      </c>
      <c r="T932" s="36" t="s">
        <v>259</v>
      </c>
      <c r="U932" s="36" t="s">
        <v>260</v>
      </c>
      <c r="V932" s="40">
        <v>46174</v>
      </c>
      <c r="W932" s="36"/>
      <c r="X932" s="36">
        <v>0</v>
      </c>
      <c r="Y932" s="36"/>
      <c r="Z932" s="36">
        <v>0</v>
      </c>
      <c r="AA932" s="36">
        <v>0</v>
      </c>
      <c r="AB932" s="36"/>
      <c r="AC932" s="36" t="str">
        <f t="shared" si="3"/>
        <v>PC26</v>
      </c>
      <c r="AD932" s="36" t="str">
        <f>VLOOKUP(D932,Oficial!A:C,3,0)</f>
        <v>Bienes y Servicios</v>
      </c>
    </row>
    <row r="933" spans="1:30" x14ac:dyDescent="0.25">
      <c r="A933" s="36" t="s">
        <v>27</v>
      </c>
      <c r="B933" s="36" t="s">
        <v>1156</v>
      </c>
      <c r="C933" s="36" t="s">
        <v>28</v>
      </c>
      <c r="D933" s="36" t="s">
        <v>1156</v>
      </c>
      <c r="E933" s="36" t="s">
        <v>30</v>
      </c>
      <c r="F933" s="36" t="s">
        <v>569</v>
      </c>
      <c r="G933" s="37" t="s">
        <v>1157</v>
      </c>
      <c r="H933" s="36" t="s">
        <v>1158</v>
      </c>
      <c r="I933" s="36" t="s">
        <v>1159</v>
      </c>
      <c r="J933" s="36">
        <v>5</v>
      </c>
      <c r="K933" s="36" t="s">
        <v>1167</v>
      </c>
      <c r="L933" s="36">
        <v>4</v>
      </c>
      <c r="M933" s="36">
        <v>1</v>
      </c>
      <c r="N933" s="38">
        <v>6000000</v>
      </c>
      <c r="O933" s="38">
        <v>6000000</v>
      </c>
      <c r="P933" s="36">
        <v>1</v>
      </c>
      <c r="Q933" s="40">
        <v>46174</v>
      </c>
      <c r="R933" s="36" t="s">
        <v>1162</v>
      </c>
      <c r="S933" s="36" t="s">
        <v>1163</v>
      </c>
      <c r="T933" s="36" t="s">
        <v>259</v>
      </c>
      <c r="U933" s="36" t="s">
        <v>260</v>
      </c>
      <c r="V933" s="40">
        <v>46174</v>
      </c>
      <c r="W933" s="36"/>
      <c r="X933" s="36">
        <v>0</v>
      </c>
      <c r="Y933" s="36"/>
      <c r="Z933" s="36">
        <v>0</v>
      </c>
      <c r="AA933" s="36">
        <v>0</v>
      </c>
      <c r="AB933" s="36"/>
      <c r="AC933" s="36" t="str">
        <f t="shared" si="3"/>
        <v>PC26</v>
      </c>
      <c r="AD933" s="36" t="str">
        <f>VLOOKUP(D933,Oficial!A:C,3,0)</f>
        <v>Bienes y Servicios</v>
      </c>
    </row>
    <row r="934" spans="1:30" x14ac:dyDescent="0.25">
      <c r="A934" s="36" t="s">
        <v>27</v>
      </c>
      <c r="B934" s="36" t="s">
        <v>1168</v>
      </c>
      <c r="C934" s="36" t="s">
        <v>28</v>
      </c>
      <c r="D934" s="36" t="s">
        <v>1168</v>
      </c>
      <c r="E934" s="36" t="s">
        <v>30</v>
      </c>
      <c r="F934" s="36" t="s">
        <v>569</v>
      </c>
      <c r="G934" s="37" t="s">
        <v>645</v>
      </c>
      <c r="H934" s="36" t="s">
        <v>1169</v>
      </c>
      <c r="I934" s="36" t="s">
        <v>1170</v>
      </c>
      <c r="J934" s="36">
        <v>1</v>
      </c>
      <c r="K934" s="36" t="s">
        <v>496</v>
      </c>
      <c r="L934" s="36">
        <v>4</v>
      </c>
      <c r="M934" s="36">
        <v>346</v>
      </c>
      <c r="N934" s="38">
        <v>89596</v>
      </c>
      <c r="O934" s="38">
        <v>0</v>
      </c>
      <c r="P934" s="36">
        <v>12</v>
      </c>
      <c r="Q934" s="36" t="s">
        <v>1029</v>
      </c>
      <c r="R934" s="36" t="s">
        <v>1162</v>
      </c>
      <c r="S934" s="36" t="s">
        <v>1163</v>
      </c>
      <c r="T934" s="36" t="s">
        <v>259</v>
      </c>
      <c r="U934" s="36" t="s">
        <v>260</v>
      </c>
      <c r="V934" s="40">
        <v>46266</v>
      </c>
      <c r="W934" s="36"/>
      <c r="X934" s="36">
        <v>0</v>
      </c>
      <c r="Y934" s="36"/>
      <c r="Z934" s="36">
        <v>0</v>
      </c>
      <c r="AA934" s="36">
        <v>0</v>
      </c>
      <c r="AB934" s="36"/>
      <c r="AC934" s="36" t="str">
        <f t="shared" si="3"/>
        <v>PC26</v>
      </c>
      <c r="AD934" s="36" t="str">
        <f>VLOOKUP(D934,Oficial!A:C,3,0)</f>
        <v>Bienes y Servicios</v>
      </c>
    </row>
    <row r="935" spans="1:30" x14ac:dyDescent="0.25">
      <c r="A935" s="36" t="s">
        <v>27</v>
      </c>
      <c r="B935" s="36" t="s">
        <v>1171</v>
      </c>
      <c r="C935" s="36" t="s">
        <v>374</v>
      </c>
      <c r="D935" s="36" t="s">
        <v>1171</v>
      </c>
      <c r="E935" s="36" t="s">
        <v>30</v>
      </c>
      <c r="F935" s="36" t="s">
        <v>569</v>
      </c>
      <c r="G935" s="37" t="s">
        <v>800</v>
      </c>
      <c r="H935" s="36" t="s">
        <v>1172</v>
      </c>
      <c r="I935" s="36" t="s">
        <v>1173</v>
      </c>
      <c r="J935" s="36">
        <v>4</v>
      </c>
      <c r="K935" s="36" t="s">
        <v>874</v>
      </c>
      <c r="L935" s="36">
        <v>4</v>
      </c>
      <c r="M935" s="36">
        <v>1</v>
      </c>
      <c r="N935" s="38">
        <v>1350000</v>
      </c>
      <c r="O935" s="38">
        <v>1350000</v>
      </c>
      <c r="P935" s="36">
        <v>1</v>
      </c>
      <c r="Q935" s="40">
        <v>46174</v>
      </c>
      <c r="R935" s="36" t="s">
        <v>1152</v>
      </c>
      <c r="S935" s="36" t="s">
        <v>1153</v>
      </c>
      <c r="T935" s="36" t="s">
        <v>1154</v>
      </c>
      <c r="U935" s="36" t="s">
        <v>1155</v>
      </c>
      <c r="V935" s="40">
        <v>46174</v>
      </c>
      <c r="W935" s="36"/>
      <c r="X935" s="36">
        <v>0</v>
      </c>
      <c r="Y935" s="36"/>
      <c r="Z935" s="36">
        <v>0</v>
      </c>
      <c r="AA935" s="36">
        <v>0</v>
      </c>
      <c r="AB935" s="36"/>
      <c r="AC935" s="36" t="str">
        <f t="shared" si="3"/>
        <v>PC26</v>
      </c>
      <c r="AD935" s="36" t="str">
        <f>VLOOKUP(D935,Oficial!A:C,3,0)</f>
        <v>Administración de Fondos</v>
      </c>
    </row>
    <row r="936" spans="1:30" x14ac:dyDescent="0.25">
      <c r="A936" s="36" t="s">
        <v>27</v>
      </c>
      <c r="B936" s="36" t="s">
        <v>1171</v>
      </c>
      <c r="C936" s="36" t="s">
        <v>374</v>
      </c>
      <c r="D936" s="36" t="s">
        <v>1171</v>
      </c>
      <c r="E936" s="36" t="s">
        <v>30</v>
      </c>
      <c r="F936" s="36" t="s">
        <v>569</v>
      </c>
      <c r="G936" s="37" t="s">
        <v>800</v>
      </c>
      <c r="H936" s="36" t="s">
        <v>1172</v>
      </c>
      <c r="I936" s="36" t="s">
        <v>1173</v>
      </c>
      <c r="J936" s="36">
        <v>4</v>
      </c>
      <c r="K936" s="36" t="s">
        <v>1174</v>
      </c>
      <c r="L936" s="36">
        <v>4</v>
      </c>
      <c r="M936" s="36">
        <v>98</v>
      </c>
      <c r="N936" s="38">
        <v>10152</v>
      </c>
      <c r="O936" s="38">
        <v>994896</v>
      </c>
      <c r="P936" s="36">
        <v>1</v>
      </c>
      <c r="Q936" s="40">
        <v>46174</v>
      </c>
      <c r="R936" s="36" t="s">
        <v>1152</v>
      </c>
      <c r="S936" s="36" t="s">
        <v>1153</v>
      </c>
      <c r="T936" s="36" t="s">
        <v>1154</v>
      </c>
      <c r="U936" s="36" t="s">
        <v>1155</v>
      </c>
      <c r="V936" s="40">
        <v>46174</v>
      </c>
      <c r="W936" s="36"/>
      <c r="X936" s="36">
        <v>0</v>
      </c>
      <c r="Y936" s="36"/>
      <c r="Z936" s="36">
        <v>0</v>
      </c>
      <c r="AA936" s="36">
        <v>0</v>
      </c>
      <c r="AB936" s="36"/>
      <c r="AC936" s="36" t="str">
        <f t="shared" si="3"/>
        <v>PC26</v>
      </c>
      <c r="AD936" s="36" t="str">
        <f>VLOOKUP(D936,Oficial!A:C,3,0)</f>
        <v>Administración de Fondos</v>
      </c>
    </row>
    <row r="937" spans="1:30" x14ac:dyDescent="0.25">
      <c r="A937" s="36" t="s">
        <v>27</v>
      </c>
      <c r="B937" s="36" t="s">
        <v>1171</v>
      </c>
      <c r="C937" s="36" t="s">
        <v>374</v>
      </c>
      <c r="D937" s="36" t="s">
        <v>1171</v>
      </c>
      <c r="E937" s="36" t="s">
        <v>30</v>
      </c>
      <c r="F937" s="36" t="s">
        <v>569</v>
      </c>
      <c r="G937" s="37" t="s">
        <v>800</v>
      </c>
      <c r="H937" s="36" t="s">
        <v>1172</v>
      </c>
      <c r="I937" s="36" t="s">
        <v>1173</v>
      </c>
      <c r="J937" s="36">
        <v>4</v>
      </c>
      <c r="K937" s="36" t="s">
        <v>780</v>
      </c>
      <c r="L937" s="36">
        <v>4</v>
      </c>
      <c r="M937" s="36">
        <v>5</v>
      </c>
      <c r="N937" s="38">
        <v>10000</v>
      </c>
      <c r="O937" s="38">
        <v>50000</v>
      </c>
      <c r="P937" s="36">
        <v>1</v>
      </c>
      <c r="Q937" s="40">
        <v>46174</v>
      </c>
      <c r="R937" s="36" t="s">
        <v>1152</v>
      </c>
      <c r="S937" s="36" t="s">
        <v>1153</v>
      </c>
      <c r="T937" s="36" t="s">
        <v>1154</v>
      </c>
      <c r="U937" s="36" t="s">
        <v>1155</v>
      </c>
      <c r="V937" s="40">
        <v>46174</v>
      </c>
      <c r="W937" s="36"/>
      <c r="X937" s="36">
        <v>0</v>
      </c>
      <c r="Y937" s="36"/>
      <c r="Z937" s="36">
        <v>0</v>
      </c>
      <c r="AA937" s="36">
        <v>0</v>
      </c>
      <c r="AB937" s="36"/>
      <c r="AC937" s="36" t="str">
        <f t="shared" si="3"/>
        <v>PC26</v>
      </c>
      <c r="AD937" s="36" t="str">
        <f>VLOOKUP(D937,Oficial!A:C,3,0)</f>
        <v>Administración de Fondos</v>
      </c>
    </row>
    <row r="938" spans="1:30" x14ac:dyDescent="0.25">
      <c r="A938" s="36" t="s">
        <v>27</v>
      </c>
      <c r="B938" s="36" t="s">
        <v>1171</v>
      </c>
      <c r="C938" s="36" t="s">
        <v>374</v>
      </c>
      <c r="D938" s="36" t="s">
        <v>1171</v>
      </c>
      <c r="E938" s="36" t="s">
        <v>30</v>
      </c>
      <c r="F938" s="36" t="s">
        <v>569</v>
      </c>
      <c r="G938" s="37" t="s">
        <v>800</v>
      </c>
      <c r="H938" s="36" t="s">
        <v>1172</v>
      </c>
      <c r="I938" s="36" t="s">
        <v>1173</v>
      </c>
      <c r="J938" s="36">
        <v>4</v>
      </c>
      <c r="K938" s="36" t="s">
        <v>1175</v>
      </c>
      <c r="L938" s="36">
        <v>4</v>
      </c>
      <c r="M938" s="36">
        <v>1</v>
      </c>
      <c r="N938" s="38">
        <v>580665</v>
      </c>
      <c r="O938" s="38">
        <v>580665</v>
      </c>
      <c r="P938" s="36">
        <v>1</v>
      </c>
      <c r="Q938" s="40">
        <v>46174</v>
      </c>
      <c r="R938" s="36" t="s">
        <v>1152</v>
      </c>
      <c r="S938" s="36" t="s">
        <v>1153</v>
      </c>
      <c r="T938" s="36" t="s">
        <v>1154</v>
      </c>
      <c r="U938" s="36" t="s">
        <v>1155</v>
      </c>
      <c r="V938" s="40">
        <v>46174</v>
      </c>
      <c r="W938" s="36"/>
      <c r="X938" s="36">
        <v>0</v>
      </c>
      <c r="Y938" s="36"/>
      <c r="Z938" s="36">
        <v>0</v>
      </c>
      <c r="AA938" s="36">
        <v>0</v>
      </c>
      <c r="AB938" s="36"/>
      <c r="AC938" s="36" t="str">
        <f t="shared" si="3"/>
        <v>PC26</v>
      </c>
      <c r="AD938" s="36" t="str">
        <f>VLOOKUP(D938,Oficial!A:C,3,0)</f>
        <v>Administración de Fondos</v>
      </c>
    </row>
    <row r="939" spans="1:30" x14ac:dyDescent="0.25">
      <c r="A939" s="36" t="s">
        <v>27</v>
      </c>
      <c r="B939" s="36" t="s">
        <v>1176</v>
      </c>
      <c r="C939" s="36" t="s">
        <v>28</v>
      </c>
      <c r="D939" s="36" t="s">
        <v>1176</v>
      </c>
      <c r="E939" s="36" t="s">
        <v>30</v>
      </c>
      <c r="F939" s="36" t="s">
        <v>569</v>
      </c>
      <c r="G939" s="37" t="s">
        <v>645</v>
      </c>
      <c r="H939" s="36" t="s">
        <v>1177</v>
      </c>
      <c r="I939" s="36" t="s">
        <v>1178</v>
      </c>
      <c r="J939" s="36">
        <v>1</v>
      </c>
      <c r="K939" s="36" t="s">
        <v>1179</v>
      </c>
      <c r="L939" s="36">
        <v>4</v>
      </c>
      <c r="M939" s="36">
        <v>15</v>
      </c>
      <c r="N939" s="38">
        <v>46400</v>
      </c>
      <c r="O939" s="38">
        <v>696000</v>
      </c>
      <c r="P939" s="36">
        <v>1</v>
      </c>
      <c r="Q939" s="40">
        <v>46082</v>
      </c>
      <c r="R939" s="36" t="s">
        <v>1180</v>
      </c>
      <c r="S939" s="36" t="s">
        <v>1181</v>
      </c>
      <c r="T939" s="36" t="s">
        <v>936</v>
      </c>
      <c r="U939" s="36" t="s">
        <v>1182</v>
      </c>
      <c r="V939" s="40">
        <v>46082</v>
      </c>
      <c r="W939" s="36"/>
      <c r="X939" s="36">
        <v>0</v>
      </c>
      <c r="Y939" s="36"/>
      <c r="Z939" s="36">
        <v>0</v>
      </c>
      <c r="AA939" s="36">
        <v>0</v>
      </c>
      <c r="AB939" s="36"/>
      <c r="AC939" s="36" t="str">
        <f t="shared" si="3"/>
        <v>PC26</v>
      </c>
      <c r="AD939" s="36" t="str">
        <f>VLOOKUP(D939,Oficial!A:C,3,0)</f>
        <v>Bienes y Servicios</v>
      </c>
    </row>
    <row r="940" spans="1:30" x14ac:dyDescent="0.25">
      <c r="A940" s="36" t="s">
        <v>27</v>
      </c>
      <c r="B940" s="36" t="s">
        <v>1183</v>
      </c>
      <c r="C940" s="36" t="s">
        <v>28</v>
      </c>
      <c r="D940" s="36" t="s">
        <v>1183</v>
      </c>
      <c r="E940" s="36" t="s">
        <v>30</v>
      </c>
      <c r="F940" s="36" t="s">
        <v>569</v>
      </c>
      <c r="G940" s="37" t="s">
        <v>1184</v>
      </c>
      <c r="H940" s="36" t="s">
        <v>1185</v>
      </c>
      <c r="I940" s="36" t="s">
        <v>1186</v>
      </c>
      <c r="J940" s="36">
        <v>1</v>
      </c>
      <c r="K940" s="36" t="s">
        <v>1187</v>
      </c>
      <c r="L940" s="36">
        <v>4</v>
      </c>
      <c r="M940" s="36">
        <v>1505</v>
      </c>
      <c r="N940" s="38">
        <v>1917</v>
      </c>
      <c r="O940" s="38">
        <v>2885085</v>
      </c>
      <c r="P940" s="36">
        <v>1</v>
      </c>
      <c r="Q940" s="40">
        <v>46143</v>
      </c>
      <c r="R940" s="36" t="s">
        <v>790</v>
      </c>
      <c r="S940" s="36" t="s">
        <v>791</v>
      </c>
      <c r="T940" s="36" t="s">
        <v>792</v>
      </c>
      <c r="U940" s="36" t="s">
        <v>793</v>
      </c>
      <c r="V940" s="40">
        <v>46143</v>
      </c>
      <c r="W940" s="36"/>
      <c r="X940" s="36">
        <v>0</v>
      </c>
      <c r="Y940" s="36"/>
      <c r="Z940" s="36">
        <v>0</v>
      </c>
      <c r="AA940" s="36">
        <v>0</v>
      </c>
      <c r="AB940" s="36"/>
      <c r="AC940" s="36" t="str">
        <f t="shared" si="3"/>
        <v>PC26</v>
      </c>
      <c r="AD940" s="36" t="str">
        <f>VLOOKUP(D940,Oficial!A:C,3,0)</f>
        <v>Bienes y Servicios</v>
      </c>
    </row>
    <row r="941" spans="1:30" x14ac:dyDescent="0.25">
      <c r="A941" s="36" t="s">
        <v>27</v>
      </c>
      <c r="B941" s="36" t="s">
        <v>1188</v>
      </c>
      <c r="C941" s="36" t="s">
        <v>28</v>
      </c>
      <c r="D941" s="36" t="s">
        <v>1188</v>
      </c>
      <c r="E941" s="36" t="s">
        <v>30</v>
      </c>
      <c r="F941" s="36" t="s">
        <v>569</v>
      </c>
      <c r="G941" s="37" t="s">
        <v>654</v>
      </c>
      <c r="H941" s="36" t="s">
        <v>1189</v>
      </c>
      <c r="I941" s="36" t="s">
        <v>1190</v>
      </c>
      <c r="J941" s="36">
        <v>5</v>
      </c>
      <c r="K941" s="36" t="s">
        <v>602</v>
      </c>
      <c r="L941" s="36">
        <v>4</v>
      </c>
      <c r="M941" s="36">
        <v>1</v>
      </c>
      <c r="N941" s="38">
        <v>1500000</v>
      </c>
      <c r="O941" s="38">
        <v>1500000</v>
      </c>
      <c r="P941" s="36">
        <v>1</v>
      </c>
      <c r="Q941" s="40">
        <v>46296</v>
      </c>
      <c r="R941" s="36" t="s">
        <v>790</v>
      </c>
      <c r="S941" s="36" t="s">
        <v>791</v>
      </c>
      <c r="T941" s="36" t="s">
        <v>792</v>
      </c>
      <c r="U941" s="36" t="s">
        <v>793</v>
      </c>
      <c r="V941" s="40">
        <v>46296</v>
      </c>
      <c r="W941" s="36"/>
      <c r="X941" s="36">
        <v>0</v>
      </c>
      <c r="Y941" s="36"/>
      <c r="Z941" s="36">
        <v>0</v>
      </c>
      <c r="AA941" s="36">
        <v>0</v>
      </c>
      <c r="AB941" s="36"/>
      <c r="AC941" s="36" t="str">
        <f t="shared" si="3"/>
        <v>PC26</v>
      </c>
      <c r="AD941" s="36" t="str">
        <f>VLOOKUP(D941,Oficial!A:C,3,0)</f>
        <v>Bienes y Servicios</v>
      </c>
    </row>
    <row r="942" spans="1:30" x14ac:dyDescent="0.25">
      <c r="A942" s="36" t="s">
        <v>27</v>
      </c>
      <c r="B942" s="36" t="s">
        <v>1188</v>
      </c>
      <c r="C942" s="36" t="s">
        <v>28</v>
      </c>
      <c r="D942" s="36" t="s">
        <v>1188</v>
      </c>
      <c r="E942" s="36" t="s">
        <v>30</v>
      </c>
      <c r="F942" s="36" t="s">
        <v>569</v>
      </c>
      <c r="G942" s="37" t="s">
        <v>654</v>
      </c>
      <c r="H942" s="36" t="s">
        <v>1189</v>
      </c>
      <c r="I942" s="36" t="s">
        <v>1190</v>
      </c>
      <c r="J942" s="36">
        <v>5</v>
      </c>
      <c r="K942" s="36" t="s">
        <v>1191</v>
      </c>
      <c r="L942" s="36">
        <v>4</v>
      </c>
      <c r="M942" s="36">
        <v>1</v>
      </c>
      <c r="N942" s="38">
        <v>1000000</v>
      </c>
      <c r="O942" s="38">
        <v>1000000</v>
      </c>
      <c r="P942" s="36">
        <v>1</v>
      </c>
      <c r="Q942" s="40">
        <v>46296</v>
      </c>
      <c r="R942" s="36" t="s">
        <v>790</v>
      </c>
      <c r="S942" s="36" t="s">
        <v>791</v>
      </c>
      <c r="T942" s="36" t="s">
        <v>792</v>
      </c>
      <c r="U942" s="36" t="s">
        <v>793</v>
      </c>
      <c r="V942" s="40">
        <v>46296</v>
      </c>
      <c r="W942" s="36"/>
      <c r="X942" s="36">
        <v>0</v>
      </c>
      <c r="Y942" s="36"/>
      <c r="Z942" s="36">
        <v>0</v>
      </c>
      <c r="AA942" s="36">
        <v>0</v>
      </c>
      <c r="AB942" s="36"/>
      <c r="AC942" s="36" t="str">
        <f t="shared" si="3"/>
        <v>PC26</v>
      </c>
      <c r="AD942" s="36" t="str">
        <f>VLOOKUP(D942,Oficial!A:C,3,0)</f>
        <v>Bienes y Servicios</v>
      </c>
    </row>
    <row r="943" spans="1:30" x14ac:dyDescent="0.25">
      <c r="A943" s="36" t="s">
        <v>27</v>
      </c>
      <c r="B943" s="36" t="s">
        <v>1188</v>
      </c>
      <c r="C943" s="36" t="s">
        <v>28</v>
      </c>
      <c r="D943" s="36" t="s">
        <v>1188</v>
      </c>
      <c r="E943" s="36" t="s">
        <v>30</v>
      </c>
      <c r="F943" s="36" t="s">
        <v>569</v>
      </c>
      <c r="G943" s="37" t="s">
        <v>654</v>
      </c>
      <c r="H943" s="36" t="s">
        <v>1189</v>
      </c>
      <c r="I943" s="36" t="s">
        <v>1190</v>
      </c>
      <c r="J943" s="36">
        <v>5</v>
      </c>
      <c r="K943" s="36" t="s">
        <v>486</v>
      </c>
      <c r="L943" s="36">
        <v>4</v>
      </c>
      <c r="M943" s="36">
        <v>600</v>
      </c>
      <c r="N943" s="38">
        <v>500</v>
      </c>
      <c r="O943" s="38">
        <v>300000</v>
      </c>
      <c r="P943" s="36">
        <v>1</v>
      </c>
      <c r="Q943" s="40">
        <v>46296</v>
      </c>
      <c r="R943" s="36" t="s">
        <v>790</v>
      </c>
      <c r="S943" s="36" t="s">
        <v>791</v>
      </c>
      <c r="T943" s="36" t="s">
        <v>792</v>
      </c>
      <c r="U943" s="36" t="s">
        <v>793</v>
      </c>
      <c r="V943" s="40">
        <v>46296</v>
      </c>
      <c r="W943" s="36"/>
      <c r="X943" s="36">
        <v>0</v>
      </c>
      <c r="Y943" s="36"/>
      <c r="Z943" s="36">
        <v>0</v>
      </c>
      <c r="AA943" s="36">
        <v>0</v>
      </c>
      <c r="AB943" s="36"/>
      <c r="AC943" s="36" t="str">
        <f t="shared" si="3"/>
        <v>PC26</v>
      </c>
      <c r="AD943" s="36" t="str">
        <f>VLOOKUP(D943,Oficial!A:C,3,0)</f>
        <v>Bienes y Servicios</v>
      </c>
    </row>
    <row r="944" spans="1:30" x14ac:dyDescent="0.25">
      <c r="A944" s="36" t="s">
        <v>27</v>
      </c>
      <c r="B944" s="36" t="s">
        <v>1188</v>
      </c>
      <c r="C944" s="36" t="s">
        <v>28</v>
      </c>
      <c r="D944" s="36" t="s">
        <v>1188</v>
      </c>
      <c r="E944" s="36" t="s">
        <v>30</v>
      </c>
      <c r="F944" s="36" t="s">
        <v>569</v>
      </c>
      <c r="G944" s="37" t="s">
        <v>654</v>
      </c>
      <c r="H944" s="36" t="s">
        <v>1189</v>
      </c>
      <c r="I944" s="36" t="s">
        <v>1190</v>
      </c>
      <c r="J944" s="36">
        <v>5</v>
      </c>
      <c r="K944" s="36" t="s">
        <v>855</v>
      </c>
      <c r="L944" s="36">
        <v>4</v>
      </c>
      <c r="M944" s="36">
        <v>303</v>
      </c>
      <c r="N944" s="38">
        <v>156</v>
      </c>
      <c r="O944" s="38">
        <v>47268</v>
      </c>
      <c r="P944" s="36">
        <v>1</v>
      </c>
      <c r="Q944" s="40">
        <v>46296</v>
      </c>
      <c r="R944" s="36" t="s">
        <v>790</v>
      </c>
      <c r="S944" s="36" t="s">
        <v>791</v>
      </c>
      <c r="T944" s="36" t="s">
        <v>792</v>
      </c>
      <c r="U944" s="36" t="s">
        <v>793</v>
      </c>
      <c r="V944" s="40">
        <v>46296</v>
      </c>
      <c r="W944" s="36"/>
      <c r="X944" s="36">
        <v>0</v>
      </c>
      <c r="Y944" s="36"/>
      <c r="Z944" s="36">
        <v>0</v>
      </c>
      <c r="AA944" s="36">
        <v>0</v>
      </c>
      <c r="AB944" s="36"/>
      <c r="AC944" s="36" t="str">
        <f t="shared" si="3"/>
        <v>PC26</v>
      </c>
      <c r="AD944" s="36" t="str">
        <f>VLOOKUP(D944,Oficial!A:C,3,0)</f>
        <v>Bienes y Servicios</v>
      </c>
    </row>
    <row r="945" spans="1:30" x14ac:dyDescent="0.25">
      <c r="A945" s="36" t="s">
        <v>27</v>
      </c>
      <c r="B945" s="36" t="s">
        <v>1188</v>
      </c>
      <c r="C945" s="36" t="s">
        <v>28</v>
      </c>
      <c r="D945" s="36" t="s">
        <v>1188</v>
      </c>
      <c r="E945" s="36" t="s">
        <v>30</v>
      </c>
      <c r="F945" s="36" t="s">
        <v>569</v>
      </c>
      <c r="G945" s="37" t="s">
        <v>654</v>
      </c>
      <c r="H945" s="36" t="s">
        <v>1189</v>
      </c>
      <c r="I945" s="36" t="s">
        <v>1190</v>
      </c>
      <c r="J945" s="36">
        <v>5</v>
      </c>
      <c r="K945" s="36" t="s">
        <v>1192</v>
      </c>
      <c r="L945" s="36">
        <v>4</v>
      </c>
      <c r="M945" s="36">
        <v>300</v>
      </c>
      <c r="N945" s="38">
        <v>500</v>
      </c>
      <c r="O945" s="38">
        <v>150000</v>
      </c>
      <c r="P945" s="36">
        <v>1</v>
      </c>
      <c r="Q945" s="40">
        <v>46296</v>
      </c>
      <c r="R945" s="36" t="s">
        <v>790</v>
      </c>
      <c r="S945" s="36" t="s">
        <v>791</v>
      </c>
      <c r="T945" s="36" t="s">
        <v>792</v>
      </c>
      <c r="U945" s="36" t="s">
        <v>793</v>
      </c>
      <c r="V945" s="40">
        <v>46296</v>
      </c>
      <c r="W945" s="36"/>
      <c r="X945" s="36">
        <v>0</v>
      </c>
      <c r="Y945" s="36"/>
      <c r="Z945" s="36">
        <v>0</v>
      </c>
      <c r="AA945" s="36">
        <v>0</v>
      </c>
      <c r="AB945" s="36"/>
      <c r="AC945" s="36" t="str">
        <f t="shared" si="3"/>
        <v>PC26</v>
      </c>
      <c r="AD945" s="36" t="str">
        <f>VLOOKUP(D945,Oficial!A:C,3,0)</f>
        <v>Bienes y Servicios</v>
      </c>
    </row>
    <row r="946" spans="1:30" x14ac:dyDescent="0.25">
      <c r="A946" s="36" t="s">
        <v>27</v>
      </c>
      <c r="B946" s="36" t="s">
        <v>1193</v>
      </c>
      <c r="C946" s="36" t="s">
        <v>374</v>
      </c>
      <c r="D946" s="36" t="s">
        <v>1193</v>
      </c>
      <c r="E946" s="36" t="s">
        <v>30</v>
      </c>
      <c r="F946" s="36" t="s">
        <v>569</v>
      </c>
      <c r="G946" s="37" t="s">
        <v>730</v>
      </c>
      <c r="H946" s="36" t="s">
        <v>1194</v>
      </c>
      <c r="I946" s="36" t="s">
        <v>1195</v>
      </c>
      <c r="J946" s="36">
        <v>2</v>
      </c>
      <c r="K946" s="36" t="s">
        <v>602</v>
      </c>
      <c r="L946" s="36">
        <v>4</v>
      </c>
      <c r="M946" s="36">
        <v>1</v>
      </c>
      <c r="N946" s="38">
        <v>750000</v>
      </c>
      <c r="O946" s="38">
        <v>750000</v>
      </c>
      <c r="P946" s="36">
        <v>1</v>
      </c>
      <c r="Q946" s="40">
        <v>46204</v>
      </c>
      <c r="R946" s="36" t="s">
        <v>733</v>
      </c>
      <c r="S946" s="36" t="s">
        <v>734</v>
      </c>
      <c r="T946" s="36" t="s">
        <v>735</v>
      </c>
      <c r="U946" s="36" t="s">
        <v>736</v>
      </c>
      <c r="V946" s="40">
        <v>46204</v>
      </c>
      <c r="W946" s="36"/>
      <c r="X946" s="36">
        <v>0</v>
      </c>
      <c r="Y946" s="36"/>
      <c r="Z946" s="36">
        <v>0</v>
      </c>
      <c r="AA946" s="36">
        <v>0</v>
      </c>
      <c r="AB946" s="36"/>
      <c r="AC946" s="36" t="str">
        <f t="shared" si="3"/>
        <v>PC26</v>
      </c>
      <c r="AD946" s="36" t="str">
        <f>VLOOKUP(D946,Oficial!A:C,3,0)</f>
        <v>Administración de Fondos</v>
      </c>
    </row>
    <row r="947" spans="1:30" x14ac:dyDescent="0.25">
      <c r="A947" s="36" t="s">
        <v>27</v>
      </c>
      <c r="B947" s="36" t="s">
        <v>1193</v>
      </c>
      <c r="C947" s="36" t="s">
        <v>374</v>
      </c>
      <c r="D947" s="36" t="s">
        <v>1193</v>
      </c>
      <c r="E947" s="36" t="s">
        <v>30</v>
      </c>
      <c r="F947" s="36" t="s">
        <v>569</v>
      </c>
      <c r="G947" s="37" t="s">
        <v>730</v>
      </c>
      <c r="H947" s="36" t="s">
        <v>1194</v>
      </c>
      <c r="I947" s="36" t="s">
        <v>1195</v>
      </c>
      <c r="J947" s="36">
        <v>2</v>
      </c>
      <c r="K947" s="36" t="s">
        <v>602</v>
      </c>
      <c r="L947" s="36">
        <v>4</v>
      </c>
      <c r="M947" s="36">
        <v>1</v>
      </c>
      <c r="N947" s="38">
        <v>750000</v>
      </c>
      <c r="O947" s="38">
        <v>750000</v>
      </c>
      <c r="P947" s="36">
        <v>1</v>
      </c>
      <c r="Q947" s="40">
        <v>46296</v>
      </c>
      <c r="R947" s="36" t="s">
        <v>733</v>
      </c>
      <c r="S947" s="36" t="s">
        <v>734</v>
      </c>
      <c r="T947" s="36" t="s">
        <v>735</v>
      </c>
      <c r="U947" s="36" t="s">
        <v>736</v>
      </c>
      <c r="V947" s="40">
        <v>46296</v>
      </c>
      <c r="W947" s="36"/>
      <c r="X947" s="36">
        <v>0</v>
      </c>
      <c r="Y947" s="36"/>
      <c r="Z947" s="36">
        <v>0</v>
      </c>
      <c r="AA947" s="36">
        <v>0</v>
      </c>
      <c r="AB947" s="36"/>
      <c r="AC947" s="36" t="str">
        <f t="shared" si="3"/>
        <v>PC26</v>
      </c>
      <c r="AD947" s="36" t="str">
        <f>VLOOKUP(D947,Oficial!A:C,3,0)</f>
        <v>Administración de Fondos</v>
      </c>
    </row>
    <row r="948" spans="1:30" x14ac:dyDescent="0.25">
      <c r="A948" s="36" t="s">
        <v>27</v>
      </c>
      <c r="B948" s="36" t="s">
        <v>1196</v>
      </c>
      <c r="C948" s="36" t="s">
        <v>594</v>
      </c>
      <c r="D948" s="36" t="s">
        <v>1196</v>
      </c>
      <c r="E948" s="36" t="s">
        <v>30</v>
      </c>
      <c r="F948" s="36" t="s">
        <v>569</v>
      </c>
      <c r="G948" s="37" t="s">
        <v>804</v>
      </c>
      <c r="H948" s="36" t="s">
        <v>1197</v>
      </c>
      <c r="I948" s="36" t="s">
        <v>1198</v>
      </c>
      <c r="J948" s="36">
        <v>1</v>
      </c>
      <c r="K948" s="36" t="s">
        <v>1199</v>
      </c>
      <c r="L948" s="36">
        <v>4</v>
      </c>
      <c r="M948" s="36">
        <v>6</v>
      </c>
      <c r="N948" s="38">
        <v>571667</v>
      </c>
      <c r="O948" s="38">
        <v>3430002</v>
      </c>
      <c r="P948" s="36">
        <v>1</v>
      </c>
      <c r="Q948" s="40">
        <v>46357</v>
      </c>
      <c r="R948" s="36" t="s">
        <v>1200</v>
      </c>
      <c r="S948" s="36" t="s">
        <v>1201</v>
      </c>
      <c r="T948" s="36" t="s">
        <v>1202</v>
      </c>
      <c r="U948" s="36" t="s">
        <v>1203</v>
      </c>
      <c r="V948" s="40">
        <v>46357</v>
      </c>
      <c r="W948" s="36"/>
      <c r="X948" s="36">
        <v>0</v>
      </c>
      <c r="Y948" s="36"/>
      <c r="Z948" s="36">
        <v>0</v>
      </c>
      <c r="AA948" s="36">
        <v>0</v>
      </c>
      <c r="AB948" s="36"/>
      <c r="AC948" s="36" t="str">
        <f t="shared" si="3"/>
        <v>PC26</v>
      </c>
      <c r="AD948" s="36" t="str">
        <f>VLOOKUP(D948,Oficial!A:C,3,0)</f>
        <v>Compras Convenio GORE Region de Los Lagos</v>
      </c>
    </row>
    <row r="949" spans="1:30" x14ac:dyDescent="0.25">
      <c r="A949" s="36" t="s">
        <v>27</v>
      </c>
      <c r="B949" s="36" t="s">
        <v>1204</v>
      </c>
      <c r="C949" s="36" t="s">
        <v>594</v>
      </c>
      <c r="D949" s="36" t="s">
        <v>1204</v>
      </c>
      <c r="E949" s="36" t="s">
        <v>30</v>
      </c>
      <c r="F949" s="36" t="s">
        <v>569</v>
      </c>
      <c r="G949" s="37" t="s">
        <v>804</v>
      </c>
      <c r="H949" s="36" t="s">
        <v>1205</v>
      </c>
      <c r="I949" s="36" t="s">
        <v>1206</v>
      </c>
      <c r="J949" s="36">
        <v>1</v>
      </c>
      <c r="K949" s="36" t="s">
        <v>807</v>
      </c>
      <c r="L949" s="36">
        <v>4</v>
      </c>
      <c r="M949" s="36">
        <v>1</v>
      </c>
      <c r="N949" s="38">
        <v>37000000</v>
      </c>
      <c r="O949" s="38">
        <v>37000000</v>
      </c>
      <c r="P949" s="36">
        <v>1</v>
      </c>
      <c r="Q949" s="40">
        <v>46327</v>
      </c>
      <c r="R949" s="36" t="s">
        <v>624</v>
      </c>
      <c r="S949" s="36" t="s">
        <v>625</v>
      </c>
      <c r="T949" s="36" t="s">
        <v>626</v>
      </c>
      <c r="U949" s="36" t="s">
        <v>627</v>
      </c>
      <c r="V949" s="40">
        <v>46327</v>
      </c>
      <c r="W949" s="36"/>
      <c r="X949" s="36">
        <v>0</v>
      </c>
      <c r="Y949" s="36"/>
      <c r="Z949" s="36">
        <v>0</v>
      </c>
      <c r="AA949" s="36">
        <v>0</v>
      </c>
      <c r="AB949" s="36"/>
      <c r="AC949" s="36" t="str">
        <f t="shared" si="3"/>
        <v>PC26</v>
      </c>
      <c r="AD949" s="36" t="str">
        <f>VLOOKUP(D949,Oficial!A:C,3,0)</f>
        <v>Compras Convenio GORE Region de Los Lagos</v>
      </c>
    </row>
    <row r="950" spans="1:30" x14ac:dyDescent="0.25">
      <c r="A950" s="36" t="s">
        <v>27</v>
      </c>
      <c r="B950" s="36" t="s">
        <v>1207</v>
      </c>
      <c r="C950" s="36" t="s">
        <v>28</v>
      </c>
      <c r="D950" s="36" t="s">
        <v>1207</v>
      </c>
      <c r="E950" s="36" t="s">
        <v>30</v>
      </c>
      <c r="F950" s="36" t="s">
        <v>569</v>
      </c>
      <c r="G950" s="37" t="s">
        <v>725</v>
      </c>
      <c r="H950" s="36" t="s">
        <v>1208</v>
      </c>
      <c r="I950" s="36" t="s">
        <v>1209</v>
      </c>
      <c r="J950" s="36">
        <v>1</v>
      </c>
      <c r="K950" s="36" t="s">
        <v>1210</v>
      </c>
      <c r="L950" s="36">
        <v>4</v>
      </c>
      <c r="M950" s="36">
        <v>41</v>
      </c>
      <c r="N950" s="38">
        <v>4830</v>
      </c>
      <c r="O950" s="38">
        <v>198030</v>
      </c>
      <c r="P950" s="36">
        <v>1</v>
      </c>
      <c r="Q950" s="40">
        <v>46113</v>
      </c>
      <c r="R950" s="36" t="s">
        <v>1211</v>
      </c>
      <c r="S950" s="36" t="s">
        <v>320</v>
      </c>
      <c r="T950" s="36" t="s">
        <v>1212</v>
      </c>
      <c r="U950" s="36" t="s">
        <v>322</v>
      </c>
      <c r="V950" s="40">
        <v>46082</v>
      </c>
      <c r="W950" s="36"/>
      <c r="X950" s="36">
        <v>0</v>
      </c>
      <c r="Y950" s="36"/>
      <c r="Z950" s="36">
        <v>0</v>
      </c>
      <c r="AA950" s="36">
        <v>0</v>
      </c>
      <c r="AB950" s="36"/>
      <c r="AC950" s="36" t="str">
        <f t="shared" si="3"/>
        <v>PC26</v>
      </c>
      <c r="AD950" s="36" t="str">
        <f>VLOOKUP(D950,Oficial!A:C,3,0)</f>
        <v>Bienes y Servicios</v>
      </c>
    </row>
    <row r="951" spans="1:30" x14ac:dyDescent="0.25">
      <c r="A951" s="36" t="s">
        <v>27</v>
      </c>
      <c r="B951" s="36" t="s">
        <v>1213</v>
      </c>
      <c r="C951" s="36" t="s">
        <v>28</v>
      </c>
      <c r="D951" s="36" t="s">
        <v>1213</v>
      </c>
      <c r="E951" s="36" t="s">
        <v>30</v>
      </c>
      <c r="F951" s="36" t="s">
        <v>569</v>
      </c>
      <c r="G951" s="37" t="s">
        <v>654</v>
      </c>
      <c r="H951" s="36" t="s">
        <v>1214</v>
      </c>
      <c r="I951" s="36" t="s">
        <v>1215</v>
      </c>
      <c r="J951" s="36">
        <v>1</v>
      </c>
      <c r="K951" s="36" t="s">
        <v>1216</v>
      </c>
      <c r="L951" s="36">
        <v>4</v>
      </c>
      <c r="M951" s="36">
        <v>91</v>
      </c>
      <c r="N951" s="38">
        <v>1391</v>
      </c>
      <c r="O951" s="38">
        <v>126581</v>
      </c>
      <c r="P951" s="36">
        <v>1</v>
      </c>
      <c r="Q951" s="40">
        <v>46023</v>
      </c>
      <c r="R951" s="36" t="s">
        <v>395</v>
      </c>
      <c r="S951" s="36" t="s">
        <v>1217</v>
      </c>
      <c r="T951" s="36" t="s">
        <v>1218</v>
      </c>
      <c r="U951" s="36" t="s">
        <v>398</v>
      </c>
      <c r="V951" s="40">
        <v>46023</v>
      </c>
      <c r="W951" s="36"/>
      <c r="X951" s="36">
        <v>0</v>
      </c>
      <c r="Y951" s="36"/>
      <c r="Z951" s="36">
        <v>0</v>
      </c>
      <c r="AA951" s="36">
        <v>0</v>
      </c>
      <c r="AB951" s="36"/>
      <c r="AC951" s="36" t="str">
        <f t="shared" si="3"/>
        <v>PC26</v>
      </c>
      <c r="AD951" s="36" t="str">
        <f>VLOOKUP(D951,Oficial!A:C,3,0)</f>
        <v>Bienes y Servicios</v>
      </c>
    </row>
    <row r="952" spans="1:30" x14ac:dyDescent="0.25">
      <c r="A952" s="36" t="s">
        <v>27</v>
      </c>
      <c r="B952" s="36" t="s">
        <v>1219</v>
      </c>
      <c r="C952" s="36" t="s">
        <v>28</v>
      </c>
      <c r="D952" s="36" t="s">
        <v>1219</v>
      </c>
      <c r="E952" s="36" t="s">
        <v>30</v>
      </c>
      <c r="F952" s="36" t="s">
        <v>569</v>
      </c>
      <c r="G952" s="37" t="s">
        <v>645</v>
      </c>
      <c r="H952" s="36" t="s">
        <v>1220</v>
      </c>
      <c r="I952" s="36" t="s">
        <v>1221</v>
      </c>
      <c r="J952" s="36">
        <v>2</v>
      </c>
      <c r="K952" s="36" t="s">
        <v>1222</v>
      </c>
      <c r="L952" s="36">
        <v>4</v>
      </c>
      <c r="M952" s="36">
        <v>4</v>
      </c>
      <c r="N952" s="38">
        <v>31750</v>
      </c>
      <c r="O952" s="38">
        <v>127000</v>
      </c>
      <c r="P952" s="36">
        <v>1</v>
      </c>
      <c r="Q952" s="40">
        <v>46023</v>
      </c>
      <c r="R952" s="36" t="s">
        <v>395</v>
      </c>
      <c r="S952" s="36" t="s">
        <v>1217</v>
      </c>
      <c r="T952" s="36" t="s">
        <v>1218</v>
      </c>
      <c r="U952" s="36" t="s">
        <v>398</v>
      </c>
      <c r="V952" s="40">
        <v>46023</v>
      </c>
      <c r="W952" s="36"/>
      <c r="X952" s="36">
        <v>0</v>
      </c>
      <c r="Y952" s="36"/>
      <c r="Z952" s="36">
        <v>0</v>
      </c>
      <c r="AA952" s="36">
        <v>0</v>
      </c>
      <c r="AB952" s="36"/>
      <c r="AC952" s="36" t="str">
        <f t="shared" si="3"/>
        <v>PC26</v>
      </c>
      <c r="AD952" s="36" t="str">
        <f>VLOOKUP(D952,Oficial!A:C,3,0)</f>
        <v>Bienes y Servicios</v>
      </c>
    </row>
    <row r="953" spans="1:30" x14ac:dyDescent="0.25">
      <c r="A953" s="36" t="s">
        <v>27</v>
      </c>
      <c r="B953" s="36" t="s">
        <v>1219</v>
      </c>
      <c r="C953" s="36" t="s">
        <v>28</v>
      </c>
      <c r="D953" s="36" t="s">
        <v>1219</v>
      </c>
      <c r="E953" s="36" t="s">
        <v>30</v>
      </c>
      <c r="F953" s="36" t="s">
        <v>569</v>
      </c>
      <c r="G953" s="37" t="s">
        <v>645</v>
      </c>
      <c r="H953" s="36" t="s">
        <v>1220</v>
      </c>
      <c r="I953" s="36" t="s">
        <v>1221</v>
      </c>
      <c r="J953" s="36">
        <v>2</v>
      </c>
      <c r="K953" s="36" t="s">
        <v>1223</v>
      </c>
      <c r="L953" s="36">
        <v>4</v>
      </c>
      <c r="M953" s="36">
        <v>1</v>
      </c>
      <c r="N953" s="38">
        <v>45000</v>
      </c>
      <c r="O953" s="38">
        <v>45000</v>
      </c>
      <c r="P953" s="36">
        <v>1</v>
      </c>
      <c r="Q953" s="40">
        <v>46023</v>
      </c>
      <c r="R953" s="36" t="s">
        <v>395</v>
      </c>
      <c r="S953" s="36" t="s">
        <v>1217</v>
      </c>
      <c r="T953" s="36" t="s">
        <v>1218</v>
      </c>
      <c r="U953" s="36" t="s">
        <v>398</v>
      </c>
      <c r="V953" s="40">
        <v>46023</v>
      </c>
      <c r="W953" s="36"/>
      <c r="X953" s="36">
        <v>0</v>
      </c>
      <c r="Y953" s="36"/>
      <c r="Z953" s="36">
        <v>0</v>
      </c>
      <c r="AA953" s="36">
        <v>0</v>
      </c>
      <c r="AB953" s="36"/>
      <c r="AC953" s="36" t="str">
        <f t="shared" si="3"/>
        <v>PC26</v>
      </c>
      <c r="AD953" s="36" t="str">
        <f>VLOOKUP(D953,Oficial!A:C,3,0)</f>
        <v>Bienes y Servicios</v>
      </c>
    </row>
    <row r="954" spans="1:30" x14ac:dyDescent="0.25">
      <c r="A954" s="36" t="s">
        <v>27</v>
      </c>
      <c r="B954" s="36" t="s">
        <v>1224</v>
      </c>
      <c r="C954" s="36" t="s">
        <v>28</v>
      </c>
      <c r="D954" s="36" t="s">
        <v>1224</v>
      </c>
      <c r="E954" s="36" t="s">
        <v>30</v>
      </c>
      <c r="F954" s="36" t="s">
        <v>569</v>
      </c>
      <c r="G954" s="37" t="s">
        <v>483</v>
      </c>
      <c r="H954" s="36" t="s">
        <v>1225</v>
      </c>
      <c r="I954" s="36" t="s">
        <v>1226</v>
      </c>
      <c r="J954" s="36">
        <v>2</v>
      </c>
      <c r="K954" s="36" t="s">
        <v>486</v>
      </c>
      <c r="L954" s="36">
        <v>4</v>
      </c>
      <c r="M954" s="36">
        <v>29</v>
      </c>
      <c r="N954" s="38">
        <v>23966</v>
      </c>
      <c r="O954" s="38">
        <v>695014</v>
      </c>
      <c r="P954" s="36">
        <v>1</v>
      </c>
      <c r="Q954" s="40">
        <v>46113</v>
      </c>
      <c r="R954" s="36" t="s">
        <v>1211</v>
      </c>
      <c r="S954" s="36" t="s">
        <v>320</v>
      </c>
      <c r="T954" s="36" t="s">
        <v>1212</v>
      </c>
      <c r="U954" s="36" t="s">
        <v>322</v>
      </c>
      <c r="V954" s="40">
        <v>46113</v>
      </c>
      <c r="W954" s="36"/>
      <c r="X954" s="36">
        <v>0</v>
      </c>
      <c r="Y954" s="36"/>
      <c r="Z954" s="36">
        <v>0</v>
      </c>
      <c r="AA954" s="36">
        <v>0</v>
      </c>
      <c r="AB954" s="36"/>
      <c r="AC954" s="36" t="str">
        <f t="shared" si="3"/>
        <v>PC26</v>
      </c>
      <c r="AD954" s="36" t="str">
        <f>VLOOKUP(D954,Oficial!A:C,3,0)</f>
        <v>Bienes y Servicios</v>
      </c>
    </row>
    <row r="955" spans="1:30" x14ac:dyDescent="0.25">
      <c r="A955" s="36" t="s">
        <v>27</v>
      </c>
      <c r="B955" s="36" t="s">
        <v>1224</v>
      </c>
      <c r="C955" s="36" t="s">
        <v>28</v>
      </c>
      <c r="D955" s="36" t="s">
        <v>1224</v>
      </c>
      <c r="E955" s="36" t="s">
        <v>30</v>
      </c>
      <c r="F955" s="36" t="s">
        <v>569</v>
      </c>
      <c r="G955" s="37" t="s">
        <v>483</v>
      </c>
      <c r="H955" s="36" t="s">
        <v>1225</v>
      </c>
      <c r="I955" s="36" t="s">
        <v>1226</v>
      </c>
      <c r="J955" s="36">
        <v>2</v>
      </c>
      <c r="K955" s="36" t="s">
        <v>1227</v>
      </c>
      <c r="L955" s="36">
        <v>4</v>
      </c>
      <c r="M955" s="36">
        <v>1</v>
      </c>
      <c r="N955" s="38">
        <v>20000</v>
      </c>
      <c r="O955" s="38">
        <v>20000</v>
      </c>
      <c r="P955" s="36">
        <v>1</v>
      </c>
      <c r="Q955" s="40">
        <v>46113</v>
      </c>
      <c r="R955" s="36" t="s">
        <v>1211</v>
      </c>
      <c r="S955" s="36" t="s">
        <v>320</v>
      </c>
      <c r="T955" s="36" t="s">
        <v>1212</v>
      </c>
      <c r="U955" s="36" t="s">
        <v>322</v>
      </c>
      <c r="V955" s="40">
        <v>46113</v>
      </c>
      <c r="W955" s="36"/>
      <c r="X955" s="36">
        <v>0</v>
      </c>
      <c r="Y955" s="36"/>
      <c r="Z955" s="36">
        <v>0</v>
      </c>
      <c r="AA955" s="36">
        <v>0</v>
      </c>
      <c r="AB955" s="36"/>
      <c r="AC955" s="36" t="str">
        <f t="shared" si="3"/>
        <v>PC26</v>
      </c>
      <c r="AD955" s="36" t="str">
        <f>VLOOKUP(D955,Oficial!A:C,3,0)</f>
        <v>Bienes y Servicios</v>
      </c>
    </row>
    <row r="956" spans="1:30" x14ac:dyDescent="0.25">
      <c r="A956" s="36" t="s">
        <v>27</v>
      </c>
      <c r="B956" s="36" t="s">
        <v>1228</v>
      </c>
      <c r="C956" s="36" t="s">
        <v>28</v>
      </c>
      <c r="D956" s="36" t="s">
        <v>1228</v>
      </c>
      <c r="E956" s="36" t="s">
        <v>30</v>
      </c>
      <c r="F956" s="36" t="s">
        <v>569</v>
      </c>
      <c r="G956" s="37" t="s">
        <v>483</v>
      </c>
      <c r="H956" s="36" t="s">
        <v>1229</v>
      </c>
      <c r="I956" s="36" t="s">
        <v>1230</v>
      </c>
      <c r="J956" s="36">
        <v>2</v>
      </c>
      <c r="K956" s="36" t="s">
        <v>781</v>
      </c>
      <c r="L956" s="36">
        <v>4</v>
      </c>
      <c r="M956" s="36">
        <v>1</v>
      </c>
      <c r="N956" s="38">
        <v>30000</v>
      </c>
      <c r="O956" s="38">
        <v>30000</v>
      </c>
      <c r="P956" s="36">
        <v>1</v>
      </c>
      <c r="Q956" s="40">
        <v>46023</v>
      </c>
      <c r="R956" s="36" t="s">
        <v>1231</v>
      </c>
      <c r="S956" s="36" t="s">
        <v>1232</v>
      </c>
      <c r="T956" s="36" t="s">
        <v>566</v>
      </c>
      <c r="U956" s="36" t="s">
        <v>67</v>
      </c>
      <c r="V956" s="40">
        <v>46023</v>
      </c>
      <c r="W956" s="36"/>
      <c r="X956" s="36">
        <v>0</v>
      </c>
      <c r="Y956" s="36"/>
      <c r="Z956" s="36">
        <v>0</v>
      </c>
      <c r="AA956" s="36">
        <v>0</v>
      </c>
      <c r="AB956" s="36"/>
      <c r="AC956" s="36" t="str">
        <f t="shared" si="3"/>
        <v>PC26</v>
      </c>
      <c r="AD956" s="36" t="str">
        <f>VLOOKUP(D956,Oficial!A:C,3,0)</f>
        <v>Bienes y Servicios</v>
      </c>
    </row>
    <row r="957" spans="1:30" x14ac:dyDescent="0.25">
      <c r="A957" s="36" t="s">
        <v>27</v>
      </c>
      <c r="B957" s="36" t="s">
        <v>1228</v>
      </c>
      <c r="C957" s="36" t="s">
        <v>28</v>
      </c>
      <c r="D957" s="36" t="s">
        <v>1228</v>
      </c>
      <c r="E957" s="36" t="s">
        <v>30</v>
      </c>
      <c r="F957" s="36" t="s">
        <v>569</v>
      </c>
      <c r="G957" s="37" t="s">
        <v>483</v>
      </c>
      <c r="H957" s="36" t="s">
        <v>1229</v>
      </c>
      <c r="I957" s="36" t="s">
        <v>1230</v>
      </c>
      <c r="J957" s="36">
        <v>2</v>
      </c>
      <c r="K957" s="36" t="s">
        <v>1233</v>
      </c>
      <c r="L957" s="36">
        <v>4</v>
      </c>
      <c r="M957" s="36">
        <v>2</v>
      </c>
      <c r="N957" s="38">
        <v>450000</v>
      </c>
      <c r="O957" s="38">
        <v>900000</v>
      </c>
      <c r="P957" s="36">
        <v>1</v>
      </c>
      <c r="Q957" s="40">
        <v>46023</v>
      </c>
      <c r="R957" s="36" t="s">
        <v>1231</v>
      </c>
      <c r="S957" s="36" t="s">
        <v>1232</v>
      </c>
      <c r="T957" s="36" t="s">
        <v>566</v>
      </c>
      <c r="U957" s="36" t="s">
        <v>67</v>
      </c>
      <c r="V957" s="40">
        <v>46023</v>
      </c>
      <c r="W957" s="36"/>
      <c r="X957" s="36">
        <v>0</v>
      </c>
      <c r="Y957" s="36"/>
      <c r="Z957" s="36">
        <v>0</v>
      </c>
      <c r="AA957" s="36">
        <v>0</v>
      </c>
      <c r="AB957" s="36"/>
      <c r="AC957" s="36" t="str">
        <f t="shared" si="3"/>
        <v>PC26</v>
      </c>
      <c r="AD957" s="36" t="str">
        <f>VLOOKUP(D957,Oficial!A:C,3,0)</f>
        <v>Bienes y Servicios</v>
      </c>
    </row>
    <row r="958" spans="1:30" x14ac:dyDescent="0.25">
      <c r="A958" s="36" t="s">
        <v>27</v>
      </c>
      <c r="B958" s="36" t="s">
        <v>1234</v>
      </c>
      <c r="C958" s="36" t="s">
        <v>28</v>
      </c>
      <c r="D958" s="36" t="s">
        <v>1234</v>
      </c>
      <c r="E958" s="36" t="s">
        <v>30</v>
      </c>
      <c r="F958" s="36" t="s">
        <v>569</v>
      </c>
      <c r="G958" s="37" t="s">
        <v>32</v>
      </c>
      <c r="H958" s="36" t="s">
        <v>1235</v>
      </c>
      <c r="I958" s="36" t="s">
        <v>1236</v>
      </c>
      <c r="J958" s="36">
        <v>1</v>
      </c>
      <c r="K958" s="36" t="s">
        <v>1237</v>
      </c>
      <c r="L958" s="36">
        <v>4</v>
      </c>
      <c r="M958" s="36">
        <v>1</v>
      </c>
      <c r="N958" s="38">
        <v>1400000</v>
      </c>
      <c r="O958" s="38">
        <v>1400000</v>
      </c>
      <c r="P958" s="36">
        <v>1</v>
      </c>
      <c r="Q958" s="40">
        <v>46054</v>
      </c>
      <c r="R958" s="36" t="s">
        <v>1231</v>
      </c>
      <c r="S958" s="36" t="s">
        <v>1232</v>
      </c>
      <c r="T958" s="36" t="s">
        <v>566</v>
      </c>
      <c r="U958" s="36" t="s">
        <v>67</v>
      </c>
      <c r="V958" s="40">
        <v>46023</v>
      </c>
      <c r="W958" s="36"/>
      <c r="X958" s="36">
        <v>0</v>
      </c>
      <c r="Y958" s="36"/>
      <c r="Z958" s="36">
        <v>0</v>
      </c>
      <c r="AA958" s="36">
        <v>0</v>
      </c>
      <c r="AB958" s="36"/>
      <c r="AC958" s="36" t="str">
        <f t="shared" si="3"/>
        <v>PC26</v>
      </c>
      <c r="AD958" s="36" t="str">
        <f>VLOOKUP(D958,Oficial!A:C,3,0)</f>
        <v>Bienes y Servicios</v>
      </c>
    </row>
    <row r="959" spans="1:30" x14ac:dyDescent="0.25">
      <c r="A959" s="36" t="s">
        <v>27</v>
      </c>
      <c r="B959" s="36" t="s">
        <v>1239</v>
      </c>
      <c r="C959" s="36" t="s">
        <v>1238</v>
      </c>
      <c r="D959" s="36" t="s">
        <v>1239</v>
      </c>
      <c r="E959" s="36" t="s">
        <v>30</v>
      </c>
      <c r="F959" s="36" t="s">
        <v>569</v>
      </c>
      <c r="G959" s="37" t="s">
        <v>1240</v>
      </c>
      <c r="H959" s="36" t="s">
        <v>1241</v>
      </c>
      <c r="I959" s="36" t="s">
        <v>1242</v>
      </c>
      <c r="J959" s="36">
        <v>1</v>
      </c>
      <c r="K959" s="36" t="s">
        <v>1243</v>
      </c>
      <c r="L959" s="36">
        <v>4</v>
      </c>
      <c r="M959" s="36">
        <v>1</v>
      </c>
      <c r="N959" s="38">
        <v>108183000</v>
      </c>
      <c r="O959" s="38">
        <v>108183000</v>
      </c>
      <c r="P959" s="36">
        <v>1</v>
      </c>
      <c r="Q959" s="40">
        <v>46113</v>
      </c>
      <c r="R959" s="36" t="s">
        <v>122</v>
      </c>
      <c r="S959" s="36" t="s">
        <v>544</v>
      </c>
      <c r="T959" s="36" t="s">
        <v>1244</v>
      </c>
      <c r="U959" s="36" t="s">
        <v>58</v>
      </c>
      <c r="V959" s="40">
        <v>46113</v>
      </c>
      <c r="W959" s="36"/>
      <c r="X959" s="36">
        <v>0</v>
      </c>
      <c r="Y959" s="36"/>
      <c r="Z959" s="36">
        <v>0</v>
      </c>
      <c r="AA959" s="36">
        <v>0</v>
      </c>
      <c r="AB959" s="36"/>
      <c r="AC959" s="36" t="str">
        <f t="shared" si="3"/>
        <v>PC26</v>
      </c>
      <c r="AD959" s="36" t="str">
        <f>VLOOKUP(D959,Oficial!A:C,3,0)</f>
        <v>Activos Fijos</v>
      </c>
    </row>
    <row r="960" spans="1:30" x14ac:dyDescent="0.25">
      <c r="A960" s="36" t="s">
        <v>27</v>
      </c>
      <c r="B960" s="36" t="s">
        <v>1245</v>
      </c>
      <c r="C960" s="36" t="s">
        <v>28</v>
      </c>
      <c r="D960" s="36" t="s">
        <v>1245</v>
      </c>
      <c r="E960" s="36" t="s">
        <v>30</v>
      </c>
      <c r="F960" s="36" t="s">
        <v>569</v>
      </c>
      <c r="G960" s="37" t="s">
        <v>1246</v>
      </c>
      <c r="H960" s="36" t="s">
        <v>1247</v>
      </c>
      <c r="I960" s="36" t="s">
        <v>1248</v>
      </c>
      <c r="J960" s="36">
        <v>3</v>
      </c>
      <c r="K960" s="36" t="s">
        <v>1249</v>
      </c>
      <c r="L960" s="36">
        <v>4</v>
      </c>
      <c r="M960" s="36">
        <v>2</v>
      </c>
      <c r="N960" s="38">
        <v>80000</v>
      </c>
      <c r="O960" s="38">
        <v>160000</v>
      </c>
      <c r="P960" s="36">
        <v>1</v>
      </c>
      <c r="Q960" s="40">
        <v>46054</v>
      </c>
      <c r="R960" s="36" t="s">
        <v>122</v>
      </c>
      <c r="S960" s="36" t="s">
        <v>544</v>
      </c>
      <c r="T960" s="36" t="s">
        <v>1244</v>
      </c>
      <c r="U960" s="36" t="s">
        <v>58</v>
      </c>
      <c r="V960" s="40">
        <v>46054</v>
      </c>
      <c r="W960" s="36"/>
      <c r="X960" s="36">
        <v>0</v>
      </c>
      <c r="Y960" s="36"/>
      <c r="Z960" s="36">
        <v>0</v>
      </c>
      <c r="AA960" s="36">
        <v>0</v>
      </c>
      <c r="AB960" s="36"/>
      <c r="AC960" s="36" t="str">
        <f t="shared" si="3"/>
        <v>PC26</v>
      </c>
      <c r="AD960" s="36" t="str">
        <f>VLOOKUP(D960,Oficial!A:C,3,0)</f>
        <v>Bienes y Servicios</v>
      </c>
    </row>
    <row r="961" spans="1:30" x14ac:dyDescent="0.25">
      <c r="A961" s="36" t="s">
        <v>27</v>
      </c>
      <c r="B961" s="36" t="s">
        <v>1245</v>
      </c>
      <c r="C961" s="36" t="s">
        <v>28</v>
      </c>
      <c r="D961" s="36" t="s">
        <v>1245</v>
      </c>
      <c r="E961" s="36" t="s">
        <v>30</v>
      </c>
      <c r="F961" s="36" t="s">
        <v>569</v>
      </c>
      <c r="G961" s="37" t="s">
        <v>1246</v>
      </c>
      <c r="H961" s="36" t="s">
        <v>1247</v>
      </c>
      <c r="I961" s="36" t="s">
        <v>1248</v>
      </c>
      <c r="J961" s="36">
        <v>3</v>
      </c>
      <c r="K961" s="36" t="s">
        <v>1250</v>
      </c>
      <c r="L961" s="36">
        <v>4</v>
      </c>
      <c r="M961" s="36">
        <v>26</v>
      </c>
      <c r="N961" s="38">
        <v>15000</v>
      </c>
      <c r="O961" s="38">
        <v>390000</v>
      </c>
      <c r="P961" s="36">
        <v>1</v>
      </c>
      <c r="Q961" s="40">
        <v>46054</v>
      </c>
      <c r="R961" s="36" t="s">
        <v>122</v>
      </c>
      <c r="S961" s="36" t="s">
        <v>544</v>
      </c>
      <c r="T961" s="36" t="s">
        <v>1244</v>
      </c>
      <c r="U961" s="36" t="s">
        <v>58</v>
      </c>
      <c r="V961" s="40">
        <v>46054</v>
      </c>
      <c r="W961" s="36"/>
      <c r="X961" s="36">
        <v>0</v>
      </c>
      <c r="Y961" s="36"/>
      <c r="Z961" s="36">
        <v>0</v>
      </c>
      <c r="AA961" s="36">
        <v>0</v>
      </c>
      <c r="AB961" s="36"/>
      <c r="AC961" s="36" t="str">
        <f t="shared" si="3"/>
        <v>PC26</v>
      </c>
      <c r="AD961" s="36" t="str">
        <f>VLOOKUP(D961,Oficial!A:C,3,0)</f>
        <v>Bienes y Servicios</v>
      </c>
    </row>
    <row r="962" spans="1:30" x14ac:dyDescent="0.25">
      <c r="A962" s="36" t="s">
        <v>27</v>
      </c>
      <c r="B962" s="36" t="s">
        <v>1245</v>
      </c>
      <c r="C962" s="36" t="s">
        <v>28</v>
      </c>
      <c r="D962" s="36" t="s">
        <v>1245</v>
      </c>
      <c r="E962" s="36" t="s">
        <v>30</v>
      </c>
      <c r="F962" s="36" t="s">
        <v>569</v>
      </c>
      <c r="G962" s="37" t="s">
        <v>1246</v>
      </c>
      <c r="H962" s="36" t="s">
        <v>1247</v>
      </c>
      <c r="I962" s="36" t="s">
        <v>1248</v>
      </c>
      <c r="J962" s="36">
        <v>3</v>
      </c>
      <c r="K962" s="36" t="s">
        <v>1251</v>
      </c>
      <c r="L962" s="36">
        <v>4</v>
      </c>
      <c r="M962" s="36">
        <v>2</v>
      </c>
      <c r="N962" s="38">
        <v>30000</v>
      </c>
      <c r="O962" s="38">
        <v>60000</v>
      </c>
      <c r="P962" s="36">
        <v>1</v>
      </c>
      <c r="Q962" s="40">
        <v>46054</v>
      </c>
      <c r="R962" s="36" t="s">
        <v>122</v>
      </c>
      <c r="S962" s="36" t="s">
        <v>544</v>
      </c>
      <c r="T962" s="36" t="s">
        <v>1244</v>
      </c>
      <c r="U962" s="36" t="s">
        <v>58</v>
      </c>
      <c r="V962" s="40">
        <v>46054</v>
      </c>
      <c r="W962" s="36"/>
      <c r="X962" s="36">
        <v>0</v>
      </c>
      <c r="Y962" s="36"/>
      <c r="Z962" s="36">
        <v>0</v>
      </c>
      <c r="AA962" s="36">
        <v>0</v>
      </c>
      <c r="AB962" s="36"/>
      <c r="AC962" s="36" t="str">
        <f t="shared" si="3"/>
        <v>PC26</v>
      </c>
      <c r="AD962" s="36" t="str">
        <f>VLOOKUP(D962,Oficial!A:C,3,0)</f>
        <v>Bienes y Servicios</v>
      </c>
    </row>
    <row r="963" spans="1:30" x14ac:dyDescent="0.25">
      <c r="A963" s="36" t="s">
        <v>27</v>
      </c>
      <c r="B963" s="36" t="s">
        <v>1252</v>
      </c>
      <c r="C963" s="36" t="s">
        <v>28</v>
      </c>
      <c r="D963" s="36" t="s">
        <v>1252</v>
      </c>
      <c r="E963" s="36" t="s">
        <v>30</v>
      </c>
      <c r="F963" s="36" t="s">
        <v>569</v>
      </c>
      <c r="G963" s="37" t="s">
        <v>483</v>
      </c>
      <c r="H963" s="36" t="s">
        <v>1253</v>
      </c>
      <c r="I963" s="36" t="s">
        <v>1254</v>
      </c>
      <c r="J963" s="36">
        <v>1</v>
      </c>
      <c r="K963" s="36" t="s">
        <v>140</v>
      </c>
      <c r="L963" s="36">
        <v>4</v>
      </c>
      <c r="M963" s="36">
        <v>400</v>
      </c>
      <c r="N963" s="38">
        <v>130</v>
      </c>
      <c r="O963" s="38">
        <v>52000</v>
      </c>
      <c r="P963" s="36">
        <v>1</v>
      </c>
      <c r="Q963" s="40">
        <v>46054</v>
      </c>
      <c r="R963" s="36" t="s">
        <v>1255</v>
      </c>
      <c r="S963" s="36" t="s">
        <v>1256</v>
      </c>
      <c r="T963" s="36" t="s">
        <v>1257</v>
      </c>
      <c r="U963" s="36" t="s">
        <v>1258</v>
      </c>
      <c r="V963" s="40">
        <v>46054</v>
      </c>
      <c r="W963" s="36"/>
      <c r="X963" s="36">
        <v>0</v>
      </c>
      <c r="Y963" s="36"/>
      <c r="Z963" s="36">
        <v>0</v>
      </c>
      <c r="AA963" s="36">
        <v>0</v>
      </c>
      <c r="AB963" s="36"/>
      <c r="AC963" s="36" t="str">
        <f t="shared" si="3"/>
        <v>PC26</v>
      </c>
      <c r="AD963" s="36" t="str">
        <f>VLOOKUP(D963,Oficial!A:C,3,0)</f>
        <v>Bienes y Servicios</v>
      </c>
    </row>
    <row r="964" spans="1:30" x14ac:dyDescent="0.25">
      <c r="A964" s="36" t="s">
        <v>27</v>
      </c>
      <c r="B964" s="36" t="s">
        <v>1259</v>
      </c>
      <c r="C964" s="36" t="s">
        <v>28</v>
      </c>
      <c r="D964" s="36" t="s">
        <v>1259</v>
      </c>
      <c r="E964" s="36" t="s">
        <v>30</v>
      </c>
      <c r="F964" s="36" t="s">
        <v>569</v>
      </c>
      <c r="G964" s="37" t="s">
        <v>615</v>
      </c>
      <c r="H964" s="36" t="s">
        <v>1260</v>
      </c>
      <c r="I964" s="36" t="s">
        <v>1261</v>
      </c>
      <c r="J964" s="36">
        <v>2</v>
      </c>
      <c r="K964" s="36" t="s">
        <v>1262</v>
      </c>
      <c r="L964" s="36">
        <v>4</v>
      </c>
      <c r="M964" s="36">
        <v>1700</v>
      </c>
      <c r="N964" s="38">
        <v>53</v>
      </c>
      <c r="O964" s="38">
        <v>90100</v>
      </c>
      <c r="P964" s="36">
        <v>1</v>
      </c>
      <c r="Q964" s="40">
        <v>46023</v>
      </c>
      <c r="R964" s="36" t="s">
        <v>395</v>
      </c>
      <c r="S964" s="36" t="s">
        <v>1217</v>
      </c>
      <c r="T964" s="36" t="s">
        <v>1218</v>
      </c>
      <c r="U964" s="36" t="s">
        <v>398</v>
      </c>
      <c r="V964" s="40">
        <v>46023</v>
      </c>
      <c r="W964" s="36"/>
      <c r="X964" s="36">
        <v>0</v>
      </c>
      <c r="Y964" s="36"/>
      <c r="Z964" s="36">
        <v>0</v>
      </c>
      <c r="AA964" s="36">
        <v>0</v>
      </c>
      <c r="AB964" s="36"/>
      <c r="AC964" s="36" t="str">
        <f t="shared" si="3"/>
        <v>PC26</v>
      </c>
      <c r="AD964" s="36" t="str">
        <f>VLOOKUP(D964,Oficial!A:C,3,0)</f>
        <v>Bienes y Servicios</v>
      </c>
    </row>
    <row r="965" spans="1:30" x14ac:dyDescent="0.25">
      <c r="A965" s="36" t="s">
        <v>27</v>
      </c>
      <c r="B965" s="36" t="s">
        <v>1259</v>
      </c>
      <c r="C965" s="36" t="s">
        <v>28</v>
      </c>
      <c r="D965" s="36" t="s">
        <v>1259</v>
      </c>
      <c r="E965" s="36" t="s">
        <v>30</v>
      </c>
      <c r="F965" s="36" t="s">
        <v>569</v>
      </c>
      <c r="G965" s="37" t="s">
        <v>615</v>
      </c>
      <c r="H965" s="36" t="s">
        <v>1260</v>
      </c>
      <c r="I965" s="36" t="s">
        <v>1261</v>
      </c>
      <c r="J965" s="36">
        <v>2</v>
      </c>
      <c r="K965" s="36" t="s">
        <v>1263</v>
      </c>
      <c r="L965" s="36">
        <v>4</v>
      </c>
      <c r="M965" s="36">
        <v>125</v>
      </c>
      <c r="N965" s="38">
        <v>2240</v>
      </c>
      <c r="O965" s="38">
        <v>280000</v>
      </c>
      <c r="P965" s="36">
        <v>1</v>
      </c>
      <c r="Q965" s="40">
        <v>46023</v>
      </c>
      <c r="R965" s="36" t="s">
        <v>395</v>
      </c>
      <c r="S965" s="36" t="s">
        <v>1217</v>
      </c>
      <c r="T965" s="36" t="s">
        <v>1218</v>
      </c>
      <c r="U965" s="36" t="s">
        <v>398</v>
      </c>
      <c r="V965" s="40">
        <v>46023</v>
      </c>
      <c r="W965" s="36"/>
      <c r="X965" s="36">
        <v>0</v>
      </c>
      <c r="Y965" s="36"/>
      <c r="Z965" s="36">
        <v>0</v>
      </c>
      <c r="AA965" s="36">
        <v>0</v>
      </c>
      <c r="AB965" s="36"/>
      <c r="AC965" s="36" t="str">
        <f t="shared" si="3"/>
        <v>PC26</v>
      </c>
      <c r="AD965" s="36" t="str">
        <f>VLOOKUP(D965,Oficial!A:C,3,0)</f>
        <v>Bienes y Servicios</v>
      </c>
    </row>
    <row r="966" spans="1:30" x14ac:dyDescent="0.25">
      <c r="A966" s="36" t="s">
        <v>27</v>
      </c>
      <c r="B966" s="36" t="s">
        <v>1264</v>
      </c>
      <c r="C966" s="36" t="s">
        <v>374</v>
      </c>
      <c r="D966" s="36" t="s">
        <v>1264</v>
      </c>
      <c r="E966" s="36" t="s">
        <v>30</v>
      </c>
      <c r="F966" s="36" t="s">
        <v>569</v>
      </c>
      <c r="G966" s="37" t="s">
        <v>1265</v>
      </c>
      <c r="H966" s="36" t="s">
        <v>1266</v>
      </c>
      <c r="I966" s="36" t="s">
        <v>1267</v>
      </c>
      <c r="J966" s="36">
        <v>3</v>
      </c>
      <c r="K966" s="36" t="s">
        <v>786</v>
      </c>
      <c r="L966" s="36">
        <v>4</v>
      </c>
      <c r="M966" s="36">
        <v>187</v>
      </c>
      <c r="N966" s="38">
        <v>1313</v>
      </c>
      <c r="O966" s="38">
        <v>245531</v>
      </c>
      <c r="P966" s="36">
        <v>1</v>
      </c>
      <c r="Q966" s="40">
        <v>46082</v>
      </c>
      <c r="R966" s="36" t="s">
        <v>768</v>
      </c>
      <c r="S966" s="36" t="s">
        <v>769</v>
      </c>
      <c r="T966" s="36" t="s">
        <v>770</v>
      </c>
      <c r="U966" s="36" t="s">
        <v>388</v>
      </c>
      <c r="V966" s="40">
        <v>46082</v>
      </c>
      <c r="W966" s="36"/>
      <c r="X966" s="36">
        <v>0</v>
      </c>
      <c r="Y966" s="36"/>
      <c r="Z966" s="36">
        <v>0</v>
      </c>
      <c r="AA966" s="36">
        <v>0</v>
      </c>
      <c r="AB966" s="36"/>
      <c r="AC966" s="36" t="str">
        <f t="shared" si="3"/>
        <v>PC26</v>
      </c>
      <c r="AD966" s="36" t="str">
        <f>VLOOKUP(D966,Oficial!A:C,3,0)</f>
        <v>Administración de Fondos</v>
      </c>
    </row>
    <row r="967" spans="1:30" x14ac:dyDescent="0.25">
      <c r="A967" s="36" t="s">
        <v>27</v>
      </c>
      <c r="B967" s="36" t="s">
        <v>1264</v>
      </c>
      <c r="C967" s="36" t="s">
        <v>374</v>
      </c>
      <c r="D967" s="36" t="s">
        <v>1264</v>
      </c>
      <c r="E967" s="36" t="s">
        <v>30</v>
      </c>
      <c r="F967" s="36" t="s">
        <v>569</v>
      </c>
      <c r="G967" s="37" t="s">
        <v>1265</v>
      </c>
      <c r="H967" s="36" t="s">
        <v>1266</v>
      </c>
      <c r="I967" s="36" t="s">
        <v>1267</v>
      </c>
      <c r="J967" s="36">
        <v>3</v>
      </c>
      <c r="K967" s="36" t="s">
        <v>1268</v>
      </c>
      <c r="L967" s="36">
        <v>4</v>
      </c>
      <c r="M967" s="36">
        <v>6</v>
      </c>
      <c r="N967" s="38">
        <v>2600</v>
      </c>
      <c r="O967" s="38">
        <v>15600</v>
      </c>
      <c r="P967" s="36">
        <v>1</v>
      </c>
      <c r="Q967" s="40">
        <v>46082</v>
      </c>
      <c r="R967" s="36" t="s">
        <v>768</v>
      </c>
      <c r="S967" s="36" t="s">
        <v>769</v>
      </c>
      <c r="T967" s="36" t="s">
        <v>770</v>
      </c>
      <c r="U967" s="36" t="s">
        <v>388</v>
      </c>
      <c r="V967" s="40">
        <v>46082</v>
      </c>
      <c r="W967" s="36"/>
      <c r="X967" s="36">
        <v>0</v>
      </c>
      <c r="Y967" s="36"/>
      <c r="Z967" s="36">
        <v>0</v>
      </c>
      <c r="AA967" s="36">
        <v>0</v>
      </c>
      <c r="AB967" s="36"/>
      <c r="AC967" s="36" t="str">
        <f t="shared" si="3"/>
        <v>PC26</v>
      </c>
      <c r="AD967" s="36" t="str">
        <f>VLOOKUP(D967,Oficial!A:C,3,0)</f>
        <v>Administración de Fondos</v>
      </c>
    </row>
    <row r="968" spans="1:30" x14ac:dyDescent="0.25">
      <c r="A968" s="36" t="s">
        <v>27</v>
      </c>
      <c r="B968" s="36" t="s">
        <v>1264</v>
      </c>
      <c r="C968" s="36" t="s">
        <v>374</v>
      </c>
      <c r="D968" s="36" t="s">
        <v>1264</v>
      </c>
      <c r="E968" s="36" t="s">
        <v>30</v>
      </c>
      <c r="F968" s="36" t="s">
        <v>569</v>
      </c>
      <c r="G968" s="37" t="s">
        <v>1265</v>
      </c>
      <c r="H968" s="36" t="s">
        <v>1266</v>
      </c>
      <c r="I968" s="36" t="s">
        <v>1267</v>
      </c>
      <c r="J968" s="36">
        <v>3</v>
      </c>
      <c r="K968" s="36" t="s">
        <v>772</v>
      </c>
      <c r="L968" s="36">
        <v>4</v>
      </c>
      <c r="M968" s="36">
        <v>4</v>
      </c>
      <c r="N968" s="38">
        <v>4000</v>
      </c>
      <c r="O968" s="38">
        <v>16000</v>
      </c>
      <c r="P968" s="36">
        <v>1</v>
      </c>
      <c r="Q968" s="40">
        <v>46082</v>
      </c>
      <c r="R968" s="36" t="s">
        <v>768</v>
      </c>
      <c r="S968" s="36" t="s">
        <v>769</v>
      </c>
      <c r="T968" s="36" t="s">
        <v>770</v>
      </c>
      <c r="U968" s="36" t="s">
        <v>388</v>
      </c>
      <c r="V968" s="40">
        <v>46082</v>
      </c>
      <c r="W968" s="36"/>
      <c r="X968" s="36">
        <v>0</v>
      </c>
      <c r="Y968" s="36"/>
      <c r="Z968" s="36">
        <v>0</v>
      </c>
      <c r="AA968" s="36">
        <v>0</v>
      </c>
      <c r="AB968" s="36"/>
      <c r="AC968" s="36" t="str">
        <f t="shared" si="3"/>
        <v>PC26</v>
      </c>
      <c r="AD968" s="36" t="str">
        <f>VLOOKUP(D968,Oficial!A:C,3,0)</f>
        <v>Administración de Fondos</v>
      </c>
    </row>
    <row r="969" spans="1:30" x14ac:dyDescent="0.25">
      <c r="A969" s="36" t="s">
        <v>27</v>
      </c>
      <c r="B969" s="36" t="s">
        <v>1269</v>
      </c>
      <c r="C969" s="36" t="s">
        <v>28</v>
      </c>
      <c r="D969" s="36" t="s">
        <v>1269</v>
      </c>
      <c r="E969" s="36" t="s">
        <v>30</v>
      </c>
      <c r="F969" s="36" t="s">
        <v>569</v>
      </c>
      <c r="G969" s="37" t="s">
        <v>483</v>
      </c>
      <c r="H969" s="36" t="s">
        <v>1270</v>
      </c>
      <c r="I969" s="36" t="s">
        <v>1271</v>
      </c>
      <c r="J969" s="36">
        <v>5</v>
      </c>
      <c r="K969" s="36" t="s">
        <v>1272</v>
      </c>
      <c r="L969" s="36">
        <v>4</v>
      </c>
      <c r="M969" s="36">
        <v>200</v>
      </c>
      <c r="N969" s="38">
        <v>990</v>
      </c>
      <c r="O969" s="38">
        <v>198000</v>
      </c>
      <c r="P969" s="36">
        <v>1</v>
      </c>
      <c r="Q969" s="40">
        <v>46023</v>
      </c>
      <c r="R969" s="36" t="s">
        <v>1273</v>
      </c>
      <c r="S969" s="36" t="s">
        <v>1201</v>
      </c>
      <c r="T969" s="36" t="s">
        <v>1274</v>
      </c>
      <c r="U969" s="36" t="s">
        <v>1275</v>
      </c>
      <c r="V969" s="40">
        <v>46023</v>
      </c>
      <c r="W969" s="36"/>
      <c r="X969" s="36">
        <v>0</v>
      </c>
      <c r="Y969" s="36"/>
      <c r="Z969" s="36">
        <v>0</v>
      </c>
      <c r="AA969" s="36">
        <v>0</v>
      </c>
      <c r="AB969" s="36"/>
      <c r="AC969" s="36" t="str">
        <f t="shared" si="3"/>
        <v>PC26</v>
      </c>
      <c r="AD969" s="36" t="str">
        <f>VLOOKUP(D969,Oficial!A:C,3,0)</f>
        <v>Bienes y Servicios</v>
      </c>
    </row>
    <row r="970" spans="1:30" x14ac:dyDescent="0.25">
      <c r="A970" s="36" t="s">
        <v>27</v>
      </c>
      <c r="B970" s="36" t="s">
        <v>1269</v>
      </c>
      <c r="C970" s="36" t="s">
        <v>28</v>
      </c>
      <c r="D970" s="36" t="s">
        <v>1269</v>
      </c>
      <c r="E970" s="36" t="s">
        <v>30</v>
      </c>
      <c r="F970" s="36" t="s">
        <v>569</v>
      </c>
      <c r="G970" s="37" t="s">
        <v>483</v>
      </c>
      <c r="H970" s="36" t="s">
        <v>1270</v>
      </c>
      <c r="I970" s="36" t="s">
        <v>1271</v>
      </c>
      <c r="J970" s="36">
        <v>5</v>
      </c>
      <c r="K970" s="36" t="s">
        <v>1276</v>
      </c>
      <c r="L970" s="36">
        <v>4</v>
      </c>
      <c r="M970" s="36">
        <v>200</v>
      </c>
      <c r="N970" s="38">
        <v>530</v>
      </c>
      <c r="O970" s="38">
        <v>106000</v>
      </c>
      <c r="P970" s="36">
        <v>1</v>
      </c>
      <c r="Q970" s="40">
        <v>46023</v>
      </c>
      <c r="R970" s="36" t="s">
        <v>1273</v>
      </c>
      <c r="S970" s="36" t="s">
        <v>1201</v>
      </c>
      <c r="T970" s="36" t="s">
        <v>1274</v>
      </c>
      <c r="U970" s="36" t="s">
        <v>1275</v>
      </c>
      <c r="V970" s="40">
        <v>46023</v>
      </c>
      <c r="W970" s="36"/>
      <c r="X970" s="36">
        <v>0</v>
      </c>
      <c r="Y970" s="36"/>
      <c r="Z970" s="36">
        <v>0</v>
      </c>
      <c r="AA970" s="36">
        <v>0</v>
      </c>
      <c r="AB970" s="36"/>
      <c r="AC970" s="36" t="str">
        <f t="shared" si="3"/>
        <v>PC26</v>
      </c>
      <c r="AD970" s="36" t="str">
        <f>VLOOKUP(D970,Oficial!A:C,3,0)</f>
        <v>Bienes y Servicios</v>
      </c>
    </row>
    <row r="971" spans="1:30" x14ac:dyDescent="0.25">
      <c r="A971" s="36" t="s">
        <v>27</v>
      </c>
      <c r="B971" s="36" t="s">
        <v>1269</v>
      </c>
      <c r="C971" s="36" t="s">
        <v>28</v>
      </c>
      <c r="D971" s="36" t="s">
        <v>1269</v>
      </c>
      <c r="E971" s="36" t="s">
        <v>30</v>
      </c>
      <c r="F971" s="36" t="s">
        <v>569</v>
      </c>
      <c r="G971" s="37" t="s">
        <v>483</v>
      </c>
      <c r="H971" s="36" t="s">
        <v>1270</v>
      </c>
      <c r="I971" s="36" t="s">
        <v>1271</v>
      </c>
      <c r="J971" s="36">
        <v>5</v>
      </c>
      <c r="K971" s="36" t="s">
        <v>1277</v>
      </c>
      <c r="L971" s="36">
        <v>4</v>
      </c>
      <c r="M971" s="36">
        <v>4</v>
      </c>
      <c r="N971" s="38">
        <v>41000</v>
      </c>
      <c r="O971" s="38">
        <v>164000</v>
      </c>
      <c r="P971" s="36">
        <v>1</v>
      </c>
      <c r="Q971" s="40">
        <v>46082</v>
      </c>
      <c r="R971" s="36" t="s">
        <v>1273</v>
      </c>
      <c r="S971" s="36" t="s">
        <v>1201</v>
      </c>
      <c r="T971" s="36" t="s">
        <v>1274</v>
      </c>
      <c r="U971" s="36" t="s">
        <v>1275</v>
      </c>
      <c r="V971" s="40">
        <v>46082</v>
      </c>
      <c r="W971" s="36"/>
      <c r="X971" s="36">
        <v>0</v>
      </c>
      <c r="Y971" s="36"/>
      <c r="Z971" s="36">
        <v>0</v>
      </c>
      <c r="AA971" s="36">
        <v>0</v>
      </c>
      <c r="AB971" s="36"/>
      <c r="AC971" s="36" t="str">
        <f t="shared" si="3"/>
        <v>PC26</v>
      </c>
      <c r="AD971" s="36" t="str">
        <f>VLOOKUP(D971,Oficial!A:C,3,0)</f>
        <v>Bienes y Servicios</v>
      </c>
    </row>
    <row r="972" spans="1:30" x14ac:dyDescent="0.25">
      <c r="A972" s="36" t="s">
        <v>27</v>
      </c>
      <c r="B972" s="36" t="s">
        <v>1269</v>
      </c>
      <c r="C972" s="36" t="s">
        <v>28</v>
      </c>
      <c r="D972" s="36" t="s">
        <v>1269</v>
      </c>
      <c r="E972" s="36" t="s">
        <v>30</v>
      </c>
      <c r="F972" s="36" t="s">
        <v>569</v>
      </c>
      <c r="G972" s="37" t="s">
        <v>483</v>
      </c>
      <c r="H972" s="36" t="s">
        <v>1270</v>
      </c>
      <c r="I972" s="36" t="s">
        <v>1271</v>
      </c>
      <c r="J972" s="36">
        <v>5</v>
      </c>
      <c r="K972" s="36" t="s">
        <v>1278</v>
      </c>
      <c r="L972" s="36">
        <v>4</v>
      </c>
      <c r="M972" s="36">
        <v>500</v>
      </c>
      <c r="N972" s="38">
        <v>120</v>
      </c>
      <c r="O972" s="38">
        <v>60000</v>
      </c>
      <c r="P972" s="36">
        <v>1</v>
      </c>
      <c r="Q972" s="40">
        <v>46082</v>
      </c>
      <c r="R972" s="36" t="s">
        <v>1273</v>
      </c>
      <c r="S972" s="36" t="s">
        <v>1201</v>
      </c>
      <c r="T972" s="36" t="s">
        <v>1274</v>
      </c>
      <c r="U972" s="36" t="s">
        <v>1275</v>
      </c>
      <c r="V972" s="40">
        <v>46082</v>
      </c>
      <c r="W972" s="36"/>
      <c r="X972" s="36">
        <v>0</v>
      </c>
      <c r="Y972" s="36"/>
      <c r="Z972" s="36">
        <v>0</v>
      </c>
      <c r="AA972" s="36">
        <v>0</v>
      </c>
      <c r="AB972" s="36"/>
      <c r="AC972" s="36" t="str">
        <f t="shared" si="3"/>
        <v>PC26</v>
      </c>
      <c r="AD972" s="36" t="str">
        <f>VLOOKUP(D972,Oficial!A:C,3,0)</f>
        <v>Bienes y Servicios</v>
      </c>
    </row>
    <row r="973" spans="1:30" x14ac:dyDescent="0.25">
      <c r="A973" s="36" t="s">
        <v>27</v>
      </c>
      <c r="B973" s="36" t="s">
        <v>1269</v>
      </c>
      <c r="C973" s="36" t="s">
        <v>28</v>
      </c>
      <c r="D973" s="36" t="s">
        <v>1269</v>
      </c>
      <c r="E973" s="36" t="s">
        <v>30</v>
      </c>
      <c r="F973" s="36" t="s">
        <v>569</v>
      </c>
      <c r="G973" s="37" t="s">
        <v>483</v>
      </c>
      <c r="H973" s="36" t="s">
        <v>1270</v>
      </c>
      <c r="I973" s="36" t="s">
        <v>1271</v>
      </c>
      <c r="J973" s="36">
        <v>5</v>
      </c>
      <c r="K973" s="36" t="s">
        <v>1279</v>
      </c>
      <c r="L973" s="36">
        <v>5</v>
      </c>
      <c r="M973" s="36">
        <v>3</v>
      </c>
      <c r="N973" s="38">
        <v>25000</v>
      </c>
      <c r="O973" s="38">
        <v>75000</v>
      </c>
      <c r="P973" s="36">
        <v>1</v>
      </c>
      <c r="Q973" s="40">
        <v>46082</v>
      </c>
      <c r="R973" s="36" t="s">
        <v>1273</v>
      </c>
      <c r="S973" s="36" t="s">
        <v>1201</v>
      </c>
      <c r="T973" s="36" t="s">
        <v>1274</v>
      </c>
      <c r="U973" s="36" t="s">
        <v>1275</v>
      </c>
      <c r="V973" s="40">
        <v>46082</v>
      </c>
      <c r="W973" s="36"/>
      <c r="X973" s="36">
        <v>0</v>
      </c>
      <c r="Y973" s="36"/>
      <c r="Z973" s="36">
        <v>0</v>
      </c>
      <c r="AA973" s="36">
        <v>0</v>
      </c>
      <c r="AB973" s="36"/>
      <c r="AC973" s="36" t="str">
        <f t="shared" si="3"/>
        <v>PC26</v>
      </c>
      <c r="AD973" s="36" t="str">
        <f>VLOOKUP(D973,Oficial!A:C,3,0)</f>
        <v>Bienes y Servicios</v>
      </c>
    </row>
    <row r="974" spans="1:30" x14ac:dyDescent="0.25">
      <c r="A974" s="36" t="s">
        <v>27</v>
      </c>
      <c r="B974" s="36" t="s">
        <v>1280</v>
      </c>
      <c r="C974" s="36" t="s">
        <v>594</v>
      </c>
      <c r="D974" s="36" t="s">
        <v>1280</v>
      </c>
      <c r="E974" s="36" t="s">
        <v>30</v>
      </c>
      <c r="F974" s="36" t="s">
        <v>569</v>
      </c>
      <c r="G974" s="37" t="s">
        <v>804</v>
      </c>
      <c r="H974" s="36" t="s">
        <v>1281</v>
      </c>
      <c r="I974" s="36" t="s">
        <v>1282</v>
      </c>
      <c r="J974" s="36">
        <v>1</v>
      </c>
      <c r="K974" s="36" t="s">
        <v>807</v>
      </c>
      <c r="L974" s="36">
        <v>4</v>
      </c>
      <c r="M974" s="36">
        <v>1</v>
      </c>
      <c r="N974" s="38">
        <v>25000000</v>
      </c>
      <c r="O974" s="38">
        <v>25000000</v>
      </c>
      <c r="P974" s="36">
        <v>1</v>
      </c>
      <c r="Q974" s="40">
        <v>46296</v>
      </c>
      <c r="R974" s="36" t="s">
        <v>624</v>
      </c>
      <c r="S974" s="36" t="s">
        <v>625</v>
      </c>
      <c r="T974" s="36" t="s">
        <v>626</v>
      </c>
      <c r="U974" s="36" t="s">
        <v>627</v>
      </c>
      <c r="V974" s="40">
        <v>46296</v>
      </c>
      <c r="W974" s="36"/>
      <c r="X974" s="36">
        <v>0</v>
      </c>
      <c r="Y974" s="36"/>
      <c r="Z974" s="36">
        <v>0</v>
      </c>
      <c r="AA974" s="36">
        <v>0</v>
      </c>
      <c r="AB974" s="36"/>
      <c r="AC974" s="36" t="str">
        <f t="shared" si="3"/>
        <v>PC26</v>
      </c>
      <c r="AD974" s="36" t="str">
        <f>VLOOKUP(D974,Oficial!A:C,3,0)</f>
        <v>Compras Convenio GORE Region de Los Lagos</v>
      </c>
    </row>
    <row r="975" spans="1:30" x14ac:dyDescent="0.25">
      <c r="A975" s="36" t="s">
        <v>27</v>
      </c>
      <c r="B975" s="36" t="s">
        <v>1283</v>
      </c>
      <c r="C975" s="36" t="s">
        <v>594</v>
      </c>
      <c r="D975" s="36" t="s">
        <v>1283</v>
      </c>
      <c r="E975" s="36" t="s">
        <v>30</v>
      </c>
      <c r="F975" s="36" t="s">
        <v>569</v>
      </c>
      <c r="G975" s="37" t="s">
        <v>804</v>
      </c>
      <c r="H975" s="36" t="s">
        <v>1284</v>
      </c>
      <c r="I975" s="36" t="s">
        <v>1285</v>
      </c>
      <c r="J975" s="36">
        <v>1</v>
      </c>
      <c r="K975" s="36" t="s">
        <v>807</v>
      </c>
      <c r="L975" s="36">
        <v>4</v>
      </c>
      <c r="M975" s="36">
        <v>1</v>
      </c>
      <c r="N975" s="38">
        <v>37000000</v>
      </c>
      <c r="O975" s="38">
        <v>37000000</v>
      </c>
      <c r="P975" s="36">
        <v>1</v>
      </c>
      <c r="Q975" s="40">
        <v>46327</v>
      </c>
      <c r="R975" s="36" t="s">
        <v>624</v>
      </c>
      <c r="S975" s="36" t="s">
        <v>625</v>
      </c>
      <c r="T975" s="36" t="s">
        <v>626</v>
      </c>
      <c r="U975" s="36" t="s">
        <v>627</v>
      </c>
      <c r="V975" s="40">
        <v>46327</v>
      </c>
      <c r="W975" s="36"/>
      <c r="X975" s="36">
        <v>0</v>
      </c>
      <c r="Y975" s="36"/>
      <c r="Z975" s="36">
        <v>0</v>
      </c>
      <c r="AA975" s="36">
        <v>0</v>
      </c>
      <c r="AB975" s="36"/>
      <c r="AC975" s="36" t="str">
        <f t="shared" si="3"/>
        <v>PC26</v>
      </c>
      <c r="AD975" s="36" t="str">
        <f>VLOOKUP(D975,Oficial!A:C,3,0)</f>
        <v>Compras Convenio GORE Region de Los Lagos</v>
      </c>
    </row>
    <row r="976" spans="1:30" x14ac:dyDescent="0.25">
      <c r="A976" s="36" t="s">
        <v>27</v>
      </c>
      <c r="B976" s="36" t="s">
        <v>1286</v>
      </c>
      <c r="C976" s="36" t="s">
        <v>594</v>
      </c>
      <c r="D976" s="36" t="s">
        <v>1286</v>
      </c>
      <c r="E976" s="36" t="s">
        <v>30</v>
      </c>
      <c r="F976" s="36" t="s">
        <v>569</v>
      </c>
      <c r="G976" s="37" t="s">
        <v>804</v>
      </c>
      <c r="H976" s="36" t="s">
        <v>1287</v>
      </c>
      <c r="I976" s="36" t="s">
        <v>1288</v>
      </c>
      <c r="J976" s="36">
        <v>1</v>
      </c>
      <c r="K976" s="36" t="s">
        <v>807</v>
      </c>
      <c r="L976" s="36">
        <v>4</v>
      </c>
      <c r="M976" s="36">
        <v>1</v>
      </c>
      <c r="N976" s="38">
        <v>60000000</v>
      </c>
      <c r="O976" s="38">
        <v>60000000</v>
      </c>
      <c r="P976" s="36">
        <v>1</v>
      </c>
      <c r="Q976" s="40">
        <v>46235</v>
      </c>
      <c r="R976" s="36" t="s">
        <v>624</v>
      </c>
      <c r="S976" s="36" t="s">
        <v>625</v>
      </c>
      <c r="T976" s="36" t="s">
        <v>626</v>
      </c>
      <c r="U976" s="36" t="s">
        <v>627</v>
      </c>
      <c r="V976" s="40">
        <v>46235</v>
      </c>
      <c r="W976" s="36"/>
      <c r="X976" s="36">
        <v>0</v>
      </c>
      <c r="Y976" s="36"/>
      <c r="Z976" s="36">
        <v>0</v>
      </c>
      <c r="AA976" s="36">
        <v>0</v>
      </c>
      <c r="AB976" s="36"/>
      <c r="AC976" s="36" t="str">
        <f t="shared" si="3"/>
        <v>PC26</v>
      </c>
      <c r="AD976" s="36" t="str">
        <f>VLOOKUP(D976,Oficial!A:C,3,0)</f>
        <v>Compras Convenio GORE Region de Los Lagos</v>
      </c>
    </row>
    <row r="977" spans="1:30" x14ac:dyDescent="0.25">
      <c r="A977" s="36" t="s">
        <v>27</v>
      </c>
      <c r="B977" s="36" t="s">
        <v>1289</v>
      </c>
      <c r="C977" s="36" t="s">
        <v>1238</v>
      </c>
      <c r="D977" s="36" t="s">
        <v>1289</v>
      </c>
      <c r="E977" s="36" t="s">
        <v>30</v>
      </c>
      <c r="F977" s="36" t="s">
        <v>569</v>
      </c>
      <c r="G977" s="37" t="s">
        <v>1290</v>
      </c>
      <c r="H977" s="36" t="s">
        <v>1291</v>
      </c>
      <c r="I977" s="36" t="s">
        <v>1292</v>
      </c>
      <c r="J977" s="36">
        <v>1</v>
      </c>
      <c r="K977" s="36" t="s">
        <v>1293</v>
      </c>
      <c r="L977" s="36">
        <v>4</v>
      </c>
      <c r="M977" s="36">
        <v>15</v>
      </c>
      <c r="N977" s="38">
        <v>266667</v>
      </c>
      <c r="O977" s="38">
        <v>4000005</v>
      </c>
      <c r="P977" s="36">
        <v>1</v>
      </c>
      <c r="Q977" s="40">
        <v>46023</v>
      </c>
      <c r="R977" s="36" t="s">
        <v>768</v>
      </c>
      <c r="S977" s="36" t="s">
        <v>769</v>
      </c>
      <c r="T977" s="36" t="s">
        <v>1294</v>
      </c>
      <c r="U977" s="36" t="s">
        <v>388</v>
      </c>
      <c r="V977" s="40">
        <v>46023</v>
      </c>
      <c r="W977" s="36"/>
      <c r="X977" s="36">
        <v>0</v>
      </c>
      <c r="Y977" s="36"/>
      <c r="Z977" s="36">
        <v>0</v>
      </c>
      <c r="AA977" s="36">
        <v>0</v>
      </c>
      <c r="AB977" s="36"/>
      <c r="AC977" s="36" t="str">
        <f t="shared" si="3"/>
        <v>PC26</v>
      </c>
      <c r="AD977" s="36" t="str">
        <f>VLOOKUP(D977,Oficial!A:C,3,0)</f>
        <v>Activos Fijos</v>
      </c>
    </row>
    <row r="978" spans="1:30" x14ac:dyDescent="0.25">
      <c r="A978" s="36" t="s">
        <v>27</v>
      </c>
      <c r="B978" s="36" t="s">
        <v>1295</v>
      </c>
      <c r="C978" s="36" t="s">
        <v>1238</v>
      </c>
      <c r="D978" s="36" t="s">
        <v>1295</v>
      </c>
      <c r="E978" s="36" t="s">
        <v>30</v>
      </c>
      <c r="F978" s="36" t="s">
        <v>569</v>
      </c>
      <c r="G978" s="37" t="s">
        <v>1296</v>
      </c>
      <c r="H978" s="36" t="s">
        <v>1297</v>
      </c>
      <c r="I978" s="36" t="s">
        <v>1298</v>
      </c>
      <c r="J978" s="36">
        <v>2</v>
      </c>
      <c r="K978" s="36" t="s">
        <v>1175</v>
      </c>
      <c r="L978" s="36">
        <v>4</v>
      </c>
      <c r="M978" s="36">
        <v>1</v>
      </c>
      <c r="N978" s="38">
        <v>75964000</v>
      </c>
      <c r="O978" s="38">
        <v>75964000</v>
      </c>
      <c r="P978" s="36">
        <v>1</v>
      </c>
      <c r="Q978" s="40">
        <v>46113</v>
      </c>
      <c r="R978" s="36" t="s">
        <v>1299</v>
      </c>
      <c r="S978" s="36" t="s">
        <v>1300</v>
      </c>
      <c r="T978" s="36" t="s">
        <v>1301</v>
      </c>
      <c r="U978" s="36" t="s">
        <v>1302</v>
      </c>
      <c r="V978" s="40">
        <v>46113</v>
      </c>
      <c r="W978" s="36"/>
      <c r="X978" s="36">
        <v>0</v>
      </c>
      <c r="Y978" s="36"/>
      <c r="Z978" s="36">
        <v>0</v>
      </c>
      <c r="AA978" s="36">
        <v>0</v>
      </c>
      <c r="AB978" s="36"/>
      <c r="AC978" s="36" t="str">
        <f t="shared" si="3"/>
        <v>PC26</v>
      </c>
      <c r="AD978" s="36" t="str">
        <f>VLOOKUP(D978,Oficial!A:C,3,0)</f>
        <v>Activos Fijos</v>
      </c>
    </row>
    <row r="979" spans="1:30" x14ac:dyDescent="0.25">
      <c r="A979" s="36" t="s">
        <v>27</v>
      </c>
      <c r="B979" s="36" t="s">
        <v>1295</v>
      </c>
      <c r="C979" s="36" t="s">
        <v>1238</v>
      </c>
      <c r="D979" s="36" t="s">
        <v>1295</v>
      </c>
      <c r="E979" s="36" t="s">
        <v>30</v>
      </c>
      <c r="F979" s="36" t="s">
        <v>569</v>
      </c>
      <c r="G979" s="37" t="s">
        <v>1296</v>
      </c>
      <c r="H979" s="36" t="s">
        <v>1297</v>
      </c>
      <c r="I979" s="36" t="s">
        <v>1298</v>
      </c>
      <c r="J979" s="36">
        <v>2</v>
      </c>
      <c r="K979" s="36" t="s">
        <v>1303</v>
      </c>
      <c r="L979" s="36">
        <v>4</v>
      </c>
      <c r="M979" s="36">
        <v>1</v>
      </c>
      <c r="N979" s="38">
        <v>66699000</v>
      </c>
      <c r="O979" s="38">
        <v>66699000</v>
      </c>
      <c r="P979" s="36">
        <v>1</v>
      </c>
      <c r="Q979" s="40">
        <v>46113</v>
      </c>
      <c r="R979" s="36" t="s">
        <v>1299</v>
      </c>
      <c r="S979" s="36" t="s">
        <v>1300</v>
      </c>
      <c r="T979" s="36" t="s">
        <v>1301</v>
      </c>
      <c r="U979" s="36" t="s">
        <v>1302</v>
      </c>
      <c r="V979" s="40">
        <v>46113</v>
      </c>
      <c r="W979" s="36"/>
      <c r="X979" s="36">
        <v>0</v>
      </c>
      <c r="Y979" s="36"/>
      <c r="Z979" s="36">
        <v>0</v>
      </c>
      <c r="AA979" s="36">
        <v>0</v>
      </c>
      <c r="AB979" s="36"/>
      <c r="AC979" s="36" t="str">
        <f t="shared" si="3"/>
        <v>PC26</v>
      </c>
      <c r="AD979" s="36" t="str">
        <f>VLOOKUP(D979,Oficial!A:C,3,0)</f>
        <v>Activos Fijos</v>
      </c>
    </row>
    <row r="980" spans="1:30" x14ac:dyDescent="0.25">
      <c r="A980" s="36" t="s">
        <v>27</v>
      </c>
      <c r="B980" s="36" t="s">
        <v>1305</v>
      </c>
      <c r="C980" s="36" t="s">
        <v>1304</v>
      </c>
      <c r="D980" s="36" t="s">
        <v>1305</v>
      </c>
      <c r="E980" s="36" t="s">
        <v>30</v>
      </c>
      <c r="F980" s="36" t="s">
        <v>569</v>
      </c>
      <c r="G980" s="37">
        <v>31</v>
      </c>
      <c r="H980" s="36" t="s">
        <v>1306</v>
      </c>
      <c r="I980" s="36" t="s">
        <v>1307</v>
      </c>
      <c r="J980" s="36">
        <v>1</v>
      </c>
      <c r="K980" s="36" t="s">
        <v>807</v>
      </c>
      <c r="L980" s="36">
        <v>4</v>
      </c>
      <c r="M980" s="36">
        <v>1</v>
      </c>
      <c r="N980" s="38">
        <v>1680000000</v>
      </c>
      <c r="O980" s="38">
        <v>1680000000</v>
      </c>
      <c r="P980" s="36">
        <v>1</v>
      </c>
      <c r="Q980" s="40">
        <v>46327</v>
      </c>
      <c r="R980" s="36" t="s">
        <v>624</v>
      </c>
      <c r="S980" s="36" t="s">
        <v>625</v>
      </c>
      <c r="T980" s="36" t="s">
        <v>626</v>
      </c>
      <c r="U980" s="36" t="s">
        <v>627</v>
      </c>
      <c r="V980" s="40">
        <v>46266</v>
      </c>
      <c r="W980" s="36"/>
      <c r="X980" s="36">
        <v>0</v>
      </c>
      <c r="Y980" s="36"/>
      <c r="Z980" s="36">
        <v>0</v>
      </c>
      <c r="AA980" s="36">
        <v>0</v>
      </c>
      <c r="AB980" s="36"/>
      <c r="AC980" s="36" t="str">
        <f t="shared" si="3"/>
        <v>PC26</v>
      </c>
      <c r="AD980" s="36" t="str">
        <f>VLOOKUP(D980,Oficial!A:C,3,0)</f>
        <v>Obras Civiles</v>
      </c>
    </row>
    <row r="981" spans="1:30" x14ac:dyDescent="0.25">
      <c r="A981" s="36" t="s">
        <v>27</v>
      </c>
      <c r="B981" s="36" t="s">
        <v>1308</v>
      </c>
      <c r="C981" s="36" t="s">
        <v>1304</v>
      </c>
      <c r="D981" s="36" t="s">
        <v>1308</v>
      </c>
      <c r="E981" s="36" t="s">
        <v>30</v>
      </c>
      <c r="F981" s="36" t="s">
        <v>569</v>
      </c>
      <c r="G981" s="37" t="s">
        <v>804</v>
      </c>
      <c r="H981" s="36" t="s">
        <v>1309</v>
      </c>
      <c r="I981" s="36" t="s">
        <v>1310</v>
      </c>
      <c r="J981" s="36">
        <v>1</v>
      </c>
      <c r="K981" s="36" t="s">
        <v>807</v>
      </c>
      <c r="L981" s="36">
        <v>4</v>
      </c>
      <c r="M981" s="36">
        <v>1</v>
      </c>
      <c r="N981" s="38">
        <v>80000000</v>
      </c>
      <c r="O981" s="38">
        <v>80000000</v>
      </c>
      <c r="P981" s="36">
        <v>1</v>
      </c>
      <c r="Q981" s="40">
        <v>46327</v>
      </c>
      <c r="R981" s="36" t="s">
        <v>624</v>
      </c>
      <c r="S981" s="36" t="s">
        <v>625</v>
      </c>
      <c r="T981" s="36" t="s">
        <v>626</v>
      </c>
      <c r="U981" s="36" t="s">
        <v>627</v>
      </c>
      <c r="V981" s="40">
        <v>46327</v>
      </c>
      <c r="W981" s="36"/>
      <c r="X981" s="36">
        <v>0</v>
      </c>
      <c r="Y981" s="36"/>
      <c r="Z981" s="36">
        <v>0</v>
      </c>
      <c r="AA981" s="36">
        <v>0</v>
      </c>
      <c r="AB981" s="36"/>
      <c r="AC981" s="36" t="str">
        <f t="shared" si="3"/>
        <v>PC26</v>
      </c>
      <c r="AD981" s="36" t="str">
        <f>VLOOKUP(D981,Oficial!A:C,3,0)</f>
        <v>Obras Civiles</v>
      </c>
    </row>
    <row r="982" spans="1:30" x14ac:dyDescent="0.25">
      <c r="A982" s="36" t="s">
        <v>27</v>
      </c>
      <c r="B982" s="36" t="s">
        <v>1311</v>
      </c>
      <c r="C982" s="36" t="s">
        <v>1304</v>
      </c>
      <c r="D982" s="36" t="s">
        <v>1311</v>
      </c>
      <c r="E982" s="36" t="s">
        <v>30</v>
      </c>
      <c r="F982" s="36" t="s">
        <v>569</v>
      </c>
      <c r="G982" s="37" t="s">
        <v>1312</v>
      </c>
      <c r="H982" s="36" t="s">
        <v>1313</v>
      </c>
      <c r="I982" s="36" t="s">
        <v>1314</v>
      </c>
      <c r="J982" s="36">
        <v>1</v>
      </c>
      <c r="K982" s="36" t="s">
        <v>807</v>
      </c>
      <c r="L982" s="36">
        <v>4</v>
      </c>
      <c r="M982" s="36">
        <v>1</v>
      </c>
      <c r="N982" s="38">
        <v>250000000</v>
      </c>
      <c r="O982" s="38">
        <v>250000000</v>
      </c>
      <c r="P982" s="36">
        <v>1</v>
      </c>
      <c r="Q982" s="40">
        <v>46327</v>
      </c>
      <c r="R982" s="36" t="s">
        <v>1315</v>
      </c>
      <c r="S982" s="36" t="s">
        <v>1316</v>
      </c>
      <c r="T982" s="36" t="s">
        <v>1317</v>
      </c>
      <c r="U982" s="36" t="s">
        <v>1318</v>
      </c>
      <c r="V982" s="40">
        <v>46266</v>
      </c>
      <c r="W982" s="36"/>
      <c r="X982" s="36">
        <v>0</v>
      </c>
      <c r="Y982" s="36"/>
      <c r="Z982" s="36">
        <v>0</v>
      </c>
      <c r="AA982" s="36">
        <v>0</v>
      </c>
      <c r="AB982" s="36"/>
      <c r="AC982" s="36" t="str">
        <f t="shared" si="3"/>
        <v>PC26</v>
      </c>
      <c r="AD982" s="36" t="str">
        <f>VLOOKUP(D982,Oficial!A:C,3,0)</f>
        <v>Obras Civiles</v>
      </c>
    </row>
    <row r="983" spans="1:30" x14ac:dyDescent="0.25">
      <c r="A983" s="36" t="s">
        <v>27</v>
      </c>
      <c r="B983" s="36" t="s">
        <v>1319</v>
      </c>
      <c r="C983" s="36" t="s">
        <v>1304</v>
      </c>
      <c r="D983" s="36" t="s">
        <v>1319</v>
      </c>
      <c r="E983" s="36" t="s">
        <v>30</v>
      </c>
      <c r="F983" s="36" t="s">
        <v>569</v>
      </c>
      <c r="G983" s="37" t="s">
        <v>804</v>
      </c>
      <c r="H983" s="36" t="s">
        <v>1320</v>
      </c>
      <c r="I983" s="36" t="s">
        <v>1321</v>
      </c>
      <c r="J983" s="36">
        <v>1</v>
      </c>
      <c r="K983" s="36" t="s">
        <v>807</v>
      </c>
      <c r="L983" s="36">
        <v>4</v>
      </c>
      <c r="M983" s="36">
        <v>1</v>
      </c>
      <c r="N983" s="38">
        <v>55000000</v>
      </c>
      <c r="O983" s="38">
        <v>55000000</v>
      </c>
      <c r="P983" s="36">
        <v>1</v>
      </c>
      <c r="Q983" s="40">
        <v>46266</v>
      </c>
      <c r="R983" s="36" t="s">
        <v>624</v>
      </c>
      <c r="S983" s="36" t="s">
        <v>625</v>
      </c>
      <c r="T983" s="36" t="s">
        <v>626</v>
      </c>
      <c r="U983" s="36" t="s">
        <v>627</v>
      </c>
      <c r="V983" s="40">
        <v>46235</v>
      </c>
      <c r="W983" s="36"/>
      <c r="X983" s="36">
        <v>0</v>
      </c>
      <c r="Y983" s="36"/>
      <c r="Z983" s="36">
        <v>0</v>
      </c>
      <c r="AA983" s="36">
        <v>0</v>
      </c>
      <c r="AB983" s="36"/>
      <c r="AC983" s="36" t="str">
        <f t="shared" ref="AC983:AC1046" si="4">RIGHT(D983,4)</f>
        <v>PC26</v>
      </c>
      <c r="AD983" s="36" t="str">
        <f>VLOOKUP(D983,Oficial!A:C,3,0)</f>
        <v>Obras Civiles</v>
      </c>
    </row>
    <row r="984" spans="1:30" x14ac:dyDescent="0.25">
      <c r="A984" s="36" t="s">
        <v>27</v>
      </c>
      <c r="B984" s="36" t="s">
        <v>1322</v>
      </c>
      <c r="C984" s="36" t="s">
        <v>1304</v>
      </c>
      <c r="D984" s="36" t="s">
        <v>1322</v>
      </c>
      <c r="E984" s="36" t="s">
        <v>30</v>
      </c>
      <c r="F984" s="36" t="s">
        <v>569</v>
      </c>
      <c r="G984" s="37" t="s">
        <v>804</v>
      </c>
      <c r="H984" s="36" t="s">
        <v>1323</v>
      </c>
      <c r="I984" s="36" t="s">
        <v>1324</v>
      </c>
      <c r="J984" s="36">
        <v>1</v>
      </c>
      <c r="K984" s="36" t="s">
        <v>807</v>
      </c>
      <c r="L984" s="36">
        <v>4</v>
      </c>
      <c r="M984" s="36">
        <v>1</v>
      </c>
      <c r="N984" s="38">
        <v>80000000</v>
      </c>
      <c r="O984" s="38">
        <v>80000000</v>
      </c>
      <c r="P984" s="36">
        <v>1</v>
      </c>
      <c r="Q984" s="40">
        <v>46296</v>
      </c>
      <c r="R984" s="36" t="s">
        <v>1325</v>
      </c>
      <c r="S984" s="36" t="s">
        <v>1326</v>
      </c>
      <c r="T984" s="36" t="s">
        <v>866</v>
      </c>
      <c r="U984" s="36" t="s">
        <v>1327</v>
      </c>
      <c r="V984" s="40">
        <v>46296</v>
      </c>
      <c r="W984" s="36"/>
      <c r="X984" s="36">
        <v>0</v>
      </c>
      <c r="Y984" s="36"/>
      <c r="Z984" s="36">
        <v>0</v>
      </c>
      <c r="AA984" s="36">
        <v>0</v>
      </c>
      <c r="AB984" s="36"/>
      <c r="AC984" s="36" t="str">
        <f t="shared" si="4"/>
        <v>PC26</v>
      </c>
      <c r="AD984" s="36" t="str">
        <f>VLOOKUP(D984,Oficial!A:C,3,0)</f>
        <v>Obras Civiles</v>
      </c>
    </row>
    <row r="985" spans="1:30" x14ac:dyDescent="0.25">
      <c r="A985" s="36" t="s">
        <v>27</v>
      </c>
      <c r="B985" s="36" t="s">
        <v>1328</v>
      </c>
      <c r="C985" s="36" t="s">
        <v>1304</v>
      </c>
      <c r="D985" s="36" t="s">
        <v>1328</v>
      </c>
      <c r="E985" s="36" t="s">
        <v>30</v>
      </c>
      <c r="F985" s="36" t="s">
        <v>569</v>
      </c>
      <c r="G985" s="37" t="s">
        <v>804</v>
      </c>
      <c r="H985" s="36" t="s">
        <v>1329</v>
      </c>
      <c r="I985" s="36" t="s">
        <v>1330</v>
      </c>
      <c r="J985" s="36">
        <v>1</v>
      </c>
      <c r="K985" s="36" t="s">
        <v>807</v>
      </c>
      <c r="L985" s="36">
        <v>4</v>
      </c>
      <c r="M985" s="36">
        <v>1</v>
      </c>
      <c r="N985" s="38">
        <v>80000000</v>
      </c>
      <c r="O985" s="38">
        <v>80000000</v>
      </c>
      <c r="P985" s="36">
        <v>1</v>
      </c>
      <c r="Q985" s="40">
        <v>46296</v>
      </c>
      <c r="R985" s="36" t="s">
        <v>1325</v>
      </c>
      <c r="S985" s="36" t="s">
        <v>1326</v>
      </c>
      <c r="T985" s="36" t="s">
        <v>999</v>
      </c>
      <c r="U985" s="36" t="s">
        <v>1327</v>
      </c>
      <c r="V985" s="40">
        <v>46296</v>
      </c>
      <c r="W985" s="36"/>
      <c r="X985" s="36">
        <v>0</v>
      </c>
      <c r="Y985" s="36"/>
      <c r="Z985" s="36">
        <v>0</v>
      </c>
      <c r="AA985" s="36">
        <v>0</v>
      </c>
      <c r="AB985" s="36"/>
      <c r="AC985" s="36" t="str">
        <f t="shared" si="4"/>
        <v>PC26</v>
      </c>
      <c r="AD985" s="36" t="str">
        <f>VLOOKUP(D985,Oficial!A:C,3,0)</f>
        <v>Obras Civiles</v>
      </c>
    </row>
    <row r="986" spans="1:30" x14ac:dyDescent="0.25">
      <c r="A986" s="36" t="s">
        <v>27</v>
      </c>
      <c r="B986" s="36" t="s">
        <v>1331</v>
      </c>
      <c r="C986" s="36" t="s">
        <v>1304</v>
      </c>
      <c r="D986" s="36" t="s">
        <v>1331</v>
      </c>
      <c r="E986" s="36" t="s">
        <v>30</v>
      </c>
      <c r="F986" s="36" t="s">
        <v>569</v>
      </c>
      <c r="G986" s="37" t="s">
        <v>804</v>
      </c>
      <c r="H986" s="36" t="s">
        <v>1332</v>
      </c>
      <c r="I986" s="36" t="s">
        <v>1333</v>
      </c>
      <c r="J986" s="36">
        <v>1</v>
      </c>
      <c r="K986" s="36" t="s">
        <v>807</v>
      </c>
      <c r="L986" s="36">
        <v>4</v>
      </c>
      <c r="M986" s="36">
        <v>1</v>
      </c>
      <c r="N986" s="38">
        <v>90000000</v>
      </c>
      <c r="O986" s="38">
        <v>90000000</v>
      </c>
      <c r="P986" s="36">
        <v>1</v>
      </c>
      <c r="Q986" s="40">
        <v>46296</v>
      </c>
      <c r="R986" s="36" t="s">
        <v>624</v>
      </c>
      <c r="S986" s="36" t="s">
        <v>625</v>
      </c>
      <c r="T986" s="36" t="s">
        <v>626</v>
      </c>
      <c r="U986" s="36" t="s">
        <v>627</v>
      </c>
      <c r="V986" s="40">
        <v>46296</v>
      </c>
      <c r="W986" s="36"/>
      <c r="X986" s="36">
        <v>0</v>
      </c>
      <c r="Y986" s="36"/>
      <c r="Z986" s="36">
        <v>0</v>
      </c>
      <c r="AA986" s="36">
        <v>0</v>
      </c>
      <c r="AB986" s="36"/>
      <c r="AC986" s="36" t="str">
        <f t="shared" si="4"/>
        <v>PC26</v>
      </c>
      <c r="AD986" s="36" t="str">
        <f>VLOOKUP(D986,Oficial!A:C,3,0)</f>
        <v>Obras Civiles</v>
      </c>
    </row>
    <row r="987" spans="1:30" x14ac:dyDescent="0.25">
      <c r="A987" s="36" t="s">
        <v>27</v>
      </c>
      <c r="B987" s="36" t="s">
        <v>1334</v>
      </c>
      <c r="C987" s="36" t="s">
        <v>1304</v>
      </c>
      <c r="D987" s="36" t="s">
        <v>1334</v>
      </c>
      <c r="E987" s="36" t="s">
        <v>30</v>
      </c>
      <c r="F987" s="36" t="s">
        <v>569</v>
      </c>
      <c r="G987" s="37" t="s">
        <v>804</v>
      </c>
      <c r="H987" s="36" t="s">
        <v>1335</v>
      </c>
      <c r="I987" s="36" t="s">
        <v>1336</v>
      </c>
      <c r="J987" s="36">
        <v>1</v>
      </c>
      <c r="K987" s="36" t="s">
        <v>807</v>
      </c>
      <c r="L987" s="36">
        <v>4</v>
      </c>
      <c r="M987" s="36">
        <v>14</v>
      </c>
      <c r="N987" s="38">
        <v>701054</v>
      </c>
      <c r="O987" s="38">
        <v>9814756</v>
      </c>
      <c r="P987" s="36">
        <v>1</v>
      </c>
      <c r="Q987" s="40">
        <v>46357</v>
      </c>
      <c r="R987" s="36" t="s">
        <v>1337</v>
      </c>
      <c r="S987" s="36" t="s">
        <v>1107</v>
      </c>
      <c r="T987" s="36" t="s">
        <v>1202</v>
      </c>
      <c r="U987" s="36" t="s">
        <v>1338</v>
      </c>
      <c r="V987" s="40">
        <v>46357</v>
      </c>
      <c r="W987" s="36"/>
      <c r="X987" s="36">
        <v>0</v>
      </c>
      <c r="Y987" s="36"/>
      <c r="Z987" s="36">
        <v>0</v>
      </c>
      <c r="AA987" s="36">
        <v>0</v>
      </c>
      <c r="AB987" s="36"/>
      <c r="AC987" s="36" t="str">
        <f t="shared" si="4"/>
        <v>PC26</v>
      </c>
      <c r="AD987" s="36" t="str">
        <f>VLOOKUP(D987,Oficial!A:C,3,0)</f>
        <v>Obras Civiles</v>
      </c>
    </row>
    <row r="988" spans="1:30" x14ac:dyDescent="0.25">
      <c r="A988" s="36" t="s">
        <v>27</v>
      </c>
      <c r="B988" s="36" t="s">
        <v>1339</v>
      </c>
      <c r="C988" s="36" t="s">
        <v>1304</v>
      </c>
      <c r="D988" s="36" t="s">
        <v>1339</v>
      </c>
      <c r="E988" s="36" t="s">
        <v>30</v>
      </c>
      <c r="F988" s="36" t="s">
        <v>569</v>
      </c>
      <c r="G988" s="37" t="s">
        <v>804</v>
      </c>
      <c r="H988" s="36" t="s">
        <v>1340</v>
      </c>
      <c r="I988" s="36" t="s">
        <v>1341</v>
      </c>
      <c r="J988" s="36">
        <v>1</v>
      </c>
      <c r="K988" s="36" t="s">
        <v>807</v>
      </c>
      <c r="L988" s="36">
        <v>4</v>
      </c>
      <c r="M988" s="36">
        <v>1</v>
      </c>
      <c r="N988" s="38">
        <v>525000</v>
      </c>
      <c r="O988" s="38">
        <v>525000</v>
      </c>
      <c r="P988" s="36">
        <v>1</v>
      </c>
      <c r="Q988" s="40">
        <v>46174</v>
      </c>
      <c r="R988" s="36" t="s">
        <v>1342</v>
      </c>
      <c r="S988" s="36" t="s">
        <v>1343</v>
      </c>
      <c r="T988" s="36" t="s">
        <v>1202</v>
      </c>
      <c r="U988" s="36" t="s">
        <v>1344</v>
      </c>
      <c r="V988" s="40">
        <v>46174</v>
      </c>
      <c r="W988" s="36"/>
      <c r="X988" s="36">
        <v>0</v>
      </c>
      <c r="Y988" s="36"/>
      <c r="Z988" s="36">
        <v>0</v>
      </c>
      <c r="AA988" s="36">
        <v>0</v>
      </c>
      <c r="AB988" s="36"/>
      <c r="AC988" s="36" t="str">
        <f t="shared" si="4"/>
        <v>PC26</v>
      </c>
      <c r="AD988" s="36" t="str">
        <f>VLOOKUP(D988,Oficial!A:C,3,0)</f>
        <v>Obras Civiles</v>
      </c>
    </row>
    <row r="989" spans="1:30" x14ac:dyDescent="0.25">
      <c r="A989" s="36" t="s">
        <v>27</v>
      </c>
      <c r="B989" s="36" t="s">
        <v>1345</v>
      </c>
      <c r="C989" s="36" t="s">
        <v>28</v>
      </c>
      <c r="D989" s="36" t="s">
        <v>1345</v>
      </c>
      <c r="E989" s="36" t="s">
        <v>30</v>
      </c>
      <c r="F989" s="36" t="s">
        <v>569</v>
      </c>
      <c r="G989" s="37" t="s">
        <v>1346</v>
      </c>
      <c r="H989" s="36" t="s">
        <v>1347</v>
      </c>
      <c r="I989" s="36" t="s">
        <v>1348</v>
      </c>
      <c r="J989" s="36">
        <v>1</v>
      </c>
      <c r="K989" s="36" t="s">
        <v>1133</v>
      </c>
      <c r="L989" s="36">
        <v>4</v>
      </c>
      <c r="M989" s="36">
        <v>1</v>
      </c>
      <c r="N989" s="38">
        <v>150000</v>
      </c>
      <c r="O989" s="38">
        <v>150000</v>
      </c>
      <c r="P989" s="36">
        <v>1</v>
      </c>
      <c r="Q989" s="40">
        <v>46113</v>
      </c>
      <c r="R989" s="36" t="s">
        <v>1299</v>
      </c>
      <c r="S989" s="36" t="s">
        <v>1300</v>
      </c>
      <c r="T989" s="36" t="s">
        <v>1301</v>
      </c>
      <c r="U989" s="36" t="s">
        <v>1302</v>
      </c>
      <c r="V989" s="40">
        <v>46113</v>
      </c>
      <c r="W989" s="36"/>
      <c r="X989" s="36">
        <v>0</v>
      </c>
      <c r="Y989" s="36"/>
      <c r="Z989" s="36">
        <v>0</v>
      </c>
      <c r="AA989" s="36">
        <v>0</v>
      </c>
      <c r="AB989" s="36"/>
      <c r="AC989" s="36" t="str">
        <f t="shared" si="4"/>
        <v>PC26</v>
      </c>
      <c r="AD989" s="36" t="str">
        <f>VLOOKUP(D989,Oficial!A:C,3,0)</f>
        <v>Bienes y Servicios</v>
      </c>
    </row>
    <row r="990" spans="1:30" x14ac:dyDescent="0.25">
      <c r="A990" s="36" t="s">
        <v>27</v>
      </c>
      <c r="B990" s="36" t="s">
        <v>1349</v>
      </c>
      <c r="C990" s="36" t="s">
        <v>1238</v>
      </c>
      <c r="D990" s="36" t="s">
        <v>1349</v>
      </c>
      <c r="E990" s="36" t="s">
        <v>30</v>
      </c>
      <c r="F990" s="36" t="s">
        <v>569</v>
      </c>
      <c r="G990" s="37" t="s">
        <v>596</v>
      </c>
      <c r="H990" s="36" t="s">
        <v>1350</v>
      </c>
      <c r="I990" s="36" t="s">
        <v>1351</v>
      </c>
      <c r="J990" s="36">
        <v>2</v>
      </c>
      <c r="K990" s="36" t="s">
        <v>1175</v>
      </c>
      <c r="L990" s="36">
        <v>4</v>
      </c>
      <c r="M990" s="36">
        <v>1</v>
      </c>
      <c r="N990" s="38">
        <v>10000000</v>
      </c>
      <c r="O990" s="38">
        <v>10000000</v>
      </c>
      <c r="P990" s="36">
        <v>1</v>
      </c>
      <c r="Q990" s="40">
        <v>46113</v>
      </c>
      <c r="R990" s="36" t="s">
        <v>1299</v>
      </c>
      <c r="S990" s="36" t="s">
        <v>1300</v>
      </c>
      <c r="T990" s="36" t="s">
        <v>1301</v>
      </c>
      <c r="U990" s="36" t="s">
        <v>1302</v>
      </c>
      <c r="V990" s="40">
        <v>46113</v>
      </c>
      <c r="W990" s="36"/>
      <c r="X990" s="36">
        <v>0</v>
      </c>
      <c r="Y990" s="36"/>
      <c r="Z990" s="36">
        <v>0</v>
      </c>
      <c r="AA990" s="36">
        <v>0</v>
      </c>
      <c r="AB990" s="36"/>
      <c r="AC990" s="36" t="str">
        <f t="shared" si="4"/>
        <v>PC26</v>
      </c>
      <c r="AD990" s="36" t="str">
        <f>VLOOKUP(D990,Oficial!A:C,3,0)</f>
        <v>Activos Fijos</v>
      </c>
    </row>
    <row r="991" spans="1:30" x14ac:dyDescent="0.25">
      <c r="A991" s="36" t="s">
        <v>27</v>
      </c>
      <c r="B991" s="36" t="s">
        <v>1349</v>
      </c>
      <c r="C991" s="36" t="s">
        <v>1238</v>
      </c>
      <c r="D991" s="36" t="s">
        <v>1349</v>
      </c>
      <c r="E991" s="36" t="s">
        <v>30</v>
      </c>
      <c r="F991" s="36" t="s">
        <v>569</v>
      </c>
      <c r="G991" s="37" t="s">
        <v>596</v>
      </c>
      <c r="H991" s="36" t="s">
        <v>1350</v>
      </c>
      <c r="I991" s="36" t="s">
        <v>1351</v>
      </c>
      <c r="J991" s="36">
        <v>2</v>
      </c>
      <c r="K991" s="36" t="s">
        <v>1303</v>
      </c>
      <c r="L991" s="36">
        <v>4</v>
      </c>
      <c r="M991" s="36">
        <v>1</v>
      </c>
      <c r="N991" s="38">
        <v>200000000</v>
      </c>
      <c r="O991" s="38">
        <v>200000000</v>
      </c>
      <c r="P991" s="36">
        <v>1</v>
      </c>
      <c r="Q991" s="40">
        <v>46113</v>
      </c>
      <c r="R991" s="36" t="s">
        <v>1299</v>
      </c>
      <c r="S991" s="36" t="s">
        <v>1300</v>
      </c>
      <c r="T991" s="36" t="s">
        <v>1301</v>
      </c>
      <c r="U991" s="36" t="s">
        <v>1302</v>
      </c>
      <c r="V991" s="40">
        <v>46113</v>
      </c>
      <c r="W991" s="36"/>
      <c r="X991" s="36">
        <v>0</v>
      </c>
      <c r="Y991" s="36"/>
      <c r="Z991" s="36">
        <v>0</v>
      </c>
      <c r="AA991" s="36">
        <v>0</v>
      </c>
      <c r="AB991" s="36"/>
      <c r="AC991" s="36" t="str">
        <f t="shared" si="4"/>
        <v>PC26</v>
      </c>
      <c r="AD991" s="36" t="str">
        <f>VLOOKUP(D991,Oficial!A:C,3,0)</f>
        <v>Activos Fijos</v>
      </c>
    </row>
    <row r="992" spans="1:30" x14ac:dyDescent="0.25">
      <c r="A992" s="36" t="s">
        <v>27</v>
      </c>
      <c r="B992" s="36" t="s">
        <v>1352</v>
      </c>
      <c r="C992" s="36" t="s">
        <v>1238</v>
      </c>
      <c r="D992" s="36" t="s">
        <v>1352</v>
      </c>
      <c r="E992" s="36" t="s">
        <v>30</v>
      </c>
      <c r="F992" s="36" t="s">
        <v>569</v>
      </c>
      <c r="G992" s="37" t="s">
        <v>1296</v>
      </c>
      <c r="H992" s="36" t="s">
        <v>1353</v>
      </c>
      <c r="I992" s="36" t="s">
        <v>1354</v>
      </c>
      <c r="J992" s="36">
        <v>2</v>
      </c>
      <c r="K992" s="36" t="s">
        <v>1175</v>
      </c>
      <c r="L992" s="36">
        <v>4</v>
      </c>
      <c r="M992" s="36">
        <v>1</v>
      </c>
      <c r="N992" s="38">
        <v>86892000</v>
      </c>
      <c r="O992" s="38">
        <v>86892000</v>
      </c>
      <c r="P992" s="36">
        <v>1</v>
      </c>
      <c r="Q992" s="40">
        <v>46204</v>
      </c>
      <c r="R992" s="36" t="s">
        <v>1299</v>
      </c>
      <c r="S992" s="36" t="s">
        <v>1300</v>
      </c>
      <c r="T992" s="36" t="s">
        <v>1301</v>
      </c>
      <c r="U992" s="36" t="s">
        <v>1302</v>
      </c>
      <c r="V992" s="40">
        <v>46204</v>
      </c>
      <c r="W992" s="36"/>
      <c r="X992" s="36">
        <v>0</v>
      </c>
      <c r="Y992" s="36"/>
      <c r="Z992" s="36">
        <v>0</v>
      </c>
      <c r="AA992" s="36">
        <v>0</v>
      </c>
      <c r="AB992" s="36"/>
      <c r="AC992" s="36" t="str">
        <f t="shared" si="4"/>
        <v>PC26</v>
      </c>
      <c r="AD992" s="36" t="str">
        <f>VLOOKUP(D992,Oficial!A:C,3,0)</f>
        <v>Activos Fijos</v>
      </c>
    </row>
    <row r="993" spans="1:30" x14ac:dyDescent="0.25">
      <c r="A993" s="36" t="s">
        <v>27</v>
      </c>
      <c r="B993" s="36" t="s">
        <v>1352</v>
      </c>
      <c r="C993" s="36" t="s">
        <v>1238</v>
      </c>
      <c r="D993" s="36" t="s">
        <v>1352</v>
      </c>
      <c r="E993" s="36" t="s">
        <v>30</v>
      </c>
      <c r="F993" s="36" t="s">
        <v>569</v>
      </c>
      <c r="G993" s="37" t="s">
        <v>1296</v>
      </c>
      <c r="H993" s="36" t="s">
        <v>1353</v>
      </c>
      <c r="I993" s="36" t="s">
        <v>1354</v>
      </c>
      <c r="J993" s="36">
        <v>2</v>
      </c>
      <c r="K993" s="36" t="s">
        <v>1303</v>
      </c>
      <c r="L993" s="36">
        <v>4</v>
      </c>
      <c r="M993" s="36">
        <v>1</v>
      </c>
      <c r="N993" s="38">
        <v>42183000</v>
      </c>
      <c r="O993" s="38">
        <v>42183000</v>
      </c>
      <c r="P993" s="36">
        <v>1</v>
      </c>
      <c r="Q993" s="40">
        <v>46204</v>
      </c>
      <c r="R993" s="36" t="s">
        <v>1299</v>
      </c>
      <c r="S993" s="36" t="s">
        <v>1300</v>
      </c>
      <c r="T993" s="36" t="s">
        <v>1301</v>
      </c>
      <c r="U993" s="36" t="s">
        <v>1302</v>
      </c>
      <c r="V993" s="40">
        <v>46204</v>
      </c>
      <c r="W993" s="36"/>
      <c r="X993" s="36">
        <v>0</v>
      </c>
      <c r="Y993" s="36"/>
      <c r="Z993" s="36">
        <v>0</v>
      </c>
      <c r="AA993" s="36">
        <v>0</v>
      </c>
      <c r="AB993" s="36"/>
      <c r="AC993" s="36" t="str">
        <f t="shared" si="4"/>
        <v>PC26</v>
      </c>
      <c r="AD993" s="36" t="str">
        <f>VLOOKUP(D993,Oficial!A:C,3,0)</f>
        <v>Activos Fijos</v>
      </c>
    </row>
    <row r="994" spans="1:30" x14ac:dyDescent="0.25">
      <c r="A994" s="36" t="s">
        <v>27</v>
      </c>
      <c r="B994" s="36" t="s">
        <v>1355</v>
      </c>
      <c r="C994" s="36" t="s">
        <v>594</v>
      </c>
      <c r="D994" s="36" t="s">
        <v>1355</v>
      </c>
      <c r="E994" s="36" t="s">
        <v>30</v>
      </c>
      <c r="F994" s="36" t="s">
        <v>569</v>
      </c>
      <c r="G994" s="37" t="s">
        <v>1296</v>
      </c>
      <c r="H994" s="36" t="s">
        <v>1356</v>
      </c>
      <c r="I994" s="36" t="s">
        <v>1354</v>
      </c>
      <c r="J994" s="36">
        <v>2</v>
      </c>
      <c r="K994" s="36" t="s">
        <v>1175</v>
      </c>
      <c r="L994" s="36">
        <v>4</v>
      </c>
      <c r="M994" s="36">
        <v>1</v>
      </c>
      <c r="N994" s="38">
        <v>9566000</v>
      </c>
      <c r="O994" s="38">
        <v>9566000</v>
      </c>
      <c r="P994" s="36">
        <v>1</v>
      </c>
      <c r="Q994" s="40">
        <v>46204</v>
      </c>
      <c r="R994" s="36" t="s">
        <v>1299</v>
      </c>
      <c r="S994" s="36" t="s">
        <v>1300</v>
      </c>
      <c r="T994" s="36" t="s">
        <v>1301</v>
      </c>
      <c r="U994" s="36" t="s">
        <v>1302</v>
      </c>
      <c r="V994" s="40">
        <v>46204</v>
      </c>
      <c r="W994" s="36"/>
      <c r="X994" s="36">
        <v>0</v>
      </c>
      <c r="Y994" s="36"/>
      <c r="Z994" s="36">
        <v>0</v>
      </c>
      <c r="AA994" s="36">
        <v>0</v>
      </c>
      <c r="AB994" s="36"/>
      <c r="AC994" s="36" t="str">
        <f t="shared" si="4"/>
        <v>PC26</v>
      </c>
      <c r="AD994" s="36" t="str">
        <f>VLOOKUP(D994,Oficial!A:C,3,0)</f>
        <v>Compras Convenio GORE Region de Los Lagos</v>
      </c>
    </row>
    <row r="995" spans="1:30" x14ac:dyDescent="0.25">
      <c r="A995" s="36" t="s">
        <v>27</v>
      </c>
      <c r="B995" s="36" t="s">
        <v>1355</v>
      </c>
      <c r="C995" s="36" t="s">
        <v>594</v>
      </c>
      <c r="D995" s="36" t="s">
        <v>1355</v>
      </c>
      <c r="E995" s="36" t="s">
        <v>30</v>
      </c>
      <c r="F995" s="36" t="s">
        <v>569</v>
      </c>
      <c r="G995" s="37" t="s">
        <v>1296</v>
      </c>
      <c r="H995" s="36" t="s">
        <v>1356</v>
      </c>
      <c r="I995" s="36" t="s">
        <v>1354</v>
      </c>
      <c r="J995" s="36">
        <v>2</v>
      </c>
      <c r="K995" s="36" t="s">
        <v>1303</v>
      </c>
      <c r="L995" s="36">
        <v>4</v>
      </c>
      <c r="M995" s="36">
        <v>1</v>
      </c>
      <c r="N995" s="38">
        <v>7621000</v>
      </c>
      <c r="O995" s="38">
        <v>7621000</v>
      </c>
      <c r="P995" s="36">
        <v>1</v>
      </c>
      <c r="Q995" s="40">
        <v>46204</v>
      </c>
      <c r="R995" s="36" t="s">
        <v>1299</v>
      </c>
      <c r="S995" s="36" t="s">
        <v>1300</v>
      </c>
      <c r="T995" s="36" t="s">
        <v>1301</v>
      </c>
      <c r="U995" s="36" t="s">
        <v>1302</v>
      </c>
      <c r="V995" s="40">
        <v>46204</v>
      </c>
      <c r="W995" s="36"/>
      <c r="X995" s="36">
        <v>0</v>
      </c>
      <c r="Y995" s="36"/>
      <c r="Z995" s="36">
        <v>0</v>
      </c>
      <c r="AA995" s="36">
        <v>0</v>
      </c>
      <c r="AB995" s="36"/>
      <c r="AC995" s="36" t="str">
        <f t="shared" si="4"/>
        <v>PC26</v>
      </c>
      <c r="AD995" s="36" t="str">
        <f>VLOOKUP(D995,Oficial!A:C,3,0)</f>
        <v>Compras Convenio GORE Region de Los Lagos</v>
      </c>
    </row>
    <row r="996" spans="1:30" x14ac:dyDescent="0.25">
      <c r="A996" s="36" t="s">
        <v>27</v>
      </c>
      <c r="B996" s="36" t="s">
        <v>1357</v>
      </c>
      <c r="C996" s="36" t="s">
        <v>594</v>
      </c>
      <c r="D996" s="36" t="s">
        <v>1357</v>
      </c>
      <c r="E996" s="36" t="s">
        <v>30</v>
      </c>
      <c r="F996" s="36" t="s">
        <v>569</v>
      </c>
      <c r="G996" s="37" t="s">
        <v>1296</v>
      </c>
      <c r="H996" s="36" t="s">
        <v>1358</v>
      </c>
      <c r="I996" s="36" t="s">
        <v>1359</v>
      </c>
      <c r="J996" s="36">
        <v>2</v>
      </c>
      <c r="K996" s="36" t="s">
        <v>1175</v>
      </c>
      <c r="L996" s="36">
        <v>4</v>
      </c>
      <c r="M996" s="36">
        <v>1</v>
      </c>
      <c r="N996" s="38">
        <v>97703000</v>
      </c>
      <c r="O996" s="38">
        <v>97703000</v>
      </c>
      <c r="P996" s="36">
        <v>1</v>
      </c>
      <c r="Q996" s="40">
        <v>46174</v>
      </c>
      <c r="R996" s="36" t="s">
        <v>1299</v>
      </c>
      <c r="S996" s="36" t="s">
        <v>1300</v>
      </c>
      <c r="T996" s="36" t="s">
        <v>1301</v>
      </c>
      <c r="U996" s="36" t="s">
        <v>1302</v>
      </c>
      <c r="V996" s="40">
        <v>46174</v>
      </c>
      <c r="W996" s="36"/>
      <c r="X996" s="36">
        <v>0</v>
      </c>
      <c r="Y996" s="36"/>
      <c r="Z996" s="36">
        <v>0</v>
      </c>
      <c r="AA996" s="36">
        <v>0</v>
      </c>
      <c r="AB996" s="36"/>
      <c r="AC996" s="36" t="str">
        <f t="shared" si="4"/>
        <v>PC26</v>
      </c>
      <c r="AD996" s="36" t="str">
        <f>VLOOKUP(D996,Oficial!A:C,3,0)</f>
        <v>Compras Convenio GORE Region de Los Lagos</v>
      </c>
    </row>
    <row r="997" spans="1:30" x14ac:dyDescent="0.25">
      <c r="A997" s="36" t="s">
        <v>27</v>
      </c>
      <c r="B997" s="36" t="s">
        <v>1357</v>
      </c>
      <c r="C997" s="36" t="s">
        <v>594</v>
      </c>
      <c r="D997" s="36" t="s">
        <v>1357</v>
      </c>
      <c r="E997" s="36" t="s">
        <v>30</v>
      </c>
      <c r="F997" s="36" t="s">
        <v>569</v>
      </c>
      <c r="G997" s="37" t="s">
        <v>1296</v>
      </c>
      <c r="H997" s="36" t="s">
        <v>1358</v>
      </c>
      <c r="I997" s="36" t="s">
        <v>1359</v>
      </c>
      <c r="J997" s="36">
        <v>2</v>
      </c>
      <c r="K997" s="36" t="s">
        <v>1303</v>
      </c>
      <c r="L997" s="36">
        <v>4</v>
      </c>
      <c r="M997" s="36">
        <v>1</v>
      </c>
      <c r="N997" s="38">
        <v>196076000</v>
      </c>
      <c r="O997" s="38">
        <v>196076000</v>
      </c>
      <c r="P997" s="36">
        <v>1</v>
      </c>
      <c r="Q997" s="40">
        <v>46174</v>
      </c>
      <c r="R997" s="36" t="s">
        <v>1299</v>
      </c>
      <c r="S997" s="36" t="s">
        <v>1300</v>
      </c>
      <c r="T997" s="36" t="s">
        <v>1301</v>
      </c>
      <c r="U997" s="36" t="s">
        <v>1302</v>
      </c>
      <c r="V997" s="40">
        <v>46174</v>
      </c>
      <c r="W997" s="36"/>
      <c r="X997" s="36">
        <v>0</v>
      </c>
      <c r="Y997" s="36"/>
      <c r="Z997" s="36">
        <v>0</v>
      </c>
      <c r="AA997" s="36">
        <v>0</v>
      </c>
      <c r="AB997" s="36"/>
      <c r="AC997" s="36" t="str">
        <f t="shared" si="4"/>
        <v>PC26</v>
      </c>
      <c r="AD997" s="36" t="str">
        <f>VLOOKUP(D997,Oficial!A:C,3,0)</f>
        <v>Compras Convenio GORE Region de Los Lagos</v>
      </c>
    </row>
    <row r="998" spans="1:30" x14ac:dyDescent="0.25">
      <c r="A998" s="36" t="s">
        <v>27</v>
      </c>
      <c r="B998" s="36" t="s">
        <v>1360</v>
      </c>
      <c r="C998" s="36" t="s">
        <v>594</v>
      </c>
      <c r="D998" s="36" t="s">
        <v>1360</v>
      </c>
      <c r="E998" s="36" t="s">
        <v>30</v>
      </c>
      <c r="F998" s="36" t="s">
        <v>569</v>
      </c>
      <c r="G998" s="37" t="s">
        <v>804</v>
      </c>
      <c r="H998" s="36" t="s">
        <v>1361</v>
      </c>
      <c r="I998" s="36" t="s">
        <v>1362</v>
      </c>
      <c r="J998" s="36">
        <v>1</v>
      </c>
      <c r="K998" s="36" t="s">
        <v>807</v>
      </c>
      <c r="L998" s="36">
        <v>4</v>
      </c>
      <c r="M998" s="36">
        <v>1</v>
      </c>
      <c r="N998" s="38">
        <v>37000000</v>
      </c>
      <c r="O998" s="38">
        <v>37000000</v>
      </c>
      <c r="P998" s="36">
        <v>1</v>
      </c>
      <c r="Q998" s="40">
        <v>46266</v>
      </c>
      <c r="R998" s="36" t="s">
        <v>624</v>
      </c>
      <c r="S998" s="36" t="s">
        <v>625</v>
      </c>
      <c r="T998" s="36" t="s">
        <v>626</v>
      </c>
      <c r="U998" s="36" t="s">
        <v>627</v>
      </c>
      <c r="V998" s="40">
        <v>46266</v>
      </c>
      <c r="W998" s="36"/>
      <c r="X998" s="36">
        <v>0</v>
      </c>
      <c r="Y998" s="36"/>
      <c r="Z998" s="36">
        <v>0</v>
      </c>
      <c r="AA998" s="36">
        <v>0</v>
      </c>
      <c r="AB998" s="36"/>
      <c r="AC998" s="36" t="str">
        <f t="shared" si="4"/>
        <v>PC26</v>
      </c>
      <c r="AD998" s="36" t="str">
        <f>VLOOKUP(D998,Oficial!A:C,3,0)</f>
        <v>Compras Convenio GORE Region de Los Lagos</v>
      </c>
    </row>
    <row r="999" spans="1:30" x14ac:dyDescent="0.25">
      <c r="A999" s="36" t="s">
        <v>27</v>
      </c>
      <c r="B999" s="36" t="s">
        <v>1363</v>
      </c>
      <c r="C999" s="36" t="s">
        <v>594</v>
      </c>
      <c r="D999" s="36" t="s">
        <v>1363</v>
      </c>
      <c r="E999" s="36" t="s">
        <v>30</v>
      </c>
      <c r="F999" s="36" t="s">
        <v>569</v>
      </c>
      <c r="G999" s="37" t="s">
        <v>1296</v>
      </c>
      <c r="H999" s="36" t="s">
        <v>1364</v>
      </c>
      <c r="I999" s="36" t="s">
        <v>1365</v>
      </c>
      <c r="J999" s="36">
        <v>2</v>
      </c>
      <c r="K999" s="36" t="s">
        <v>1175</v>
      </c>
      <c r="L999" s="36">
        <v>4</v>
      </c>
      <c r="M999" s="36">
        <v>1</v>
      </c>
      <c r="N999" s="38">
        <v>44778000</v>
      </c>
      <c r="O999" s="38">
        <v>44778000</v>
      </c>
      <c r="P999" s="36">
        <v>1</v>
      </c>
      <c r="Q999" s="40">
        <v>46143</v>
      </c>
      <c r="R999" s="36" t="s">
        <v>1299</v>
      </c>
      <c r="S999" s="36" t="s">
        <v>1300</v>
      </c>
      <c r="T999" s="36" t="s">
        <v>1301</v>
      </c>
      <c r="U999" s="36" t="s">
        <v>1302</v>
      </c>
      <c r="V999" s="40">
        <v>46143</v>
      </c>
      <c r="W999" s="36"/>
      <c r="X999" s="36">
        <v>0</v>
      </c>
      <c r="Y999" s="36"/>
      <c r="Z999" s="36">
        <v>0</v>
      </c>
      <c r="AA999" s="36">
        <v>0</v>
      </c>
      <c r="AB999" s="36"/>
      <c r="AC999" s="36" t="str">
        <f t="shared" si="4"/>
        <v>PC26</v>
      </c>
      <c r="AD999" s="36" t="str">
        <f>VLOOKUP(D999,Oficial!A:C,3,0)</f>
        <v>Compras Convenio GORE Region de Los Lagos</v>
      </c>
    </row>
    <row r="1000" spans="1:30" x14ac:dyDescent="0.25">
      <c r="A1000" s="36" t="s">
        <v>27</v>
      </c>
      <c r="B1000" s="36" t="s">
        <v>1363</v>
      </c>
      <c r="C1000" s="36" t="s">
        <v>594</v>
      </c>
      <c r="D1000" s="36" t="s">
        <v>1363</v>
      </c>
      <c r="E1000" s="36" t="s">
        <v>30</v>
      </c>
      <c r="F1000" s="36" t="s">
        <v>569</v>
      </c>
      <c r="G1000" s="37" t="s">
        <v>1296</v>
      </c>
      <c r="H1000" s="36" t="s">
        <v>1364</v>
      </c>
      <c r="I1000" s="36" t="s">
        <v>1365</v>
      </c>
      <c r="J1000" s="36">
        <v>2</v>
      </c>
      <c r="K1000" s="36" t="s">
        <v>1303</v>
      </c>
      <c r="L1000" s="36">
        <v>4</v>
      </c>
      <c r="M1000" s="36">
        <v>1</v>
      </c>
      <c r="N1000" s="38">
        <v>57632000</v>
      </c>
      <c r="O1000" s="38">
        <v>57632000</v>
      </c>
      <c r="P1000" s="36">
        <v>1</v>
      </c>
      <c r="Q1000" s="40">
        <v>46143</v>
      </c>
      <c r="R1000" s="36" t="s">
        <v>1299</v>
      </c>
      <c r="S1000" s="36" t="s">
        <v>1300</v>
      </c>
      <c r="T1000" s="36" t="s">
        <v>1301</v>
      </c>
      <c r="U1000" s="36" t="s">
        <v>1302</v>
      </c>
      <c r="V1000" s="40">
        <v>46143</v>
      </c>
      <c r="W1000" s="36"/>
      <c r="X1000" s="36">
        <v>0</v>
      </c>
      <c r="Y1000" s="36"/>
      <c r="Z1000" s="36">
        <v>0</v>
      </c>
      <c r="AA1000" s="36">
        <v>0</v>
      </c>
      <c r="AB1000" s="36"/>
      <c r="AC1000" s="36" t="str">
        <f t="shared" si="4"/>
        <v>PC26</v>
      </c>
      <c r="AD1000" s="36" t="str">
        <f>VLOOKUP(D1000,Oficial!A:C,3,0)</f>
        <v>Compras Convenio GORE Region de Los Lagos</v>
      </c>
    </row>
    <row r="1001" spans="1:30" x14ac:dyDescent="0.25">
      <c r="A1001" s="36" t="s">
        <v>27</v>
      </c>
      <c r="B1001" s="36" t="s">
        <v>1366</v>
      </c>
      <c r="C1001" s="36" t="s">
        <v>594</v>
      </c>
      <c r="D1001" s="36" t="s">
        <v>1366</v>
      </c>
      <c r="E1001" s="36" t="s">
        <v>30</v>
      </c>
      <c r="F1001" s="36" t="s">
        <v>569</v>
      </c>
      <c r="G1001" s="37" t="s">
        <v>804</v>
      </c>
      <c r="H1001" s="36" t="s">
        <v>1367</v>
      </c>
      <c r="I1001" s="36" t="s">
        <v>1368</v>
      </c>
      <c r="J1001" s="36">
        <v>1</v>
      </c>
      <c r="K1001" s="36" t="s">
        <v>807</v>
      </c>
      <c r="L1001" s="36">
        <v>4</v>
      </c>
      <c r="M1001" s="36">
        <v>1</v>
      </c>
      <c r="N1001" s="38">
        <v>103000000</v>
      </c>
      <c r="O1001" s="38">
        <v>103000000</v>
      </c>
      <c r="P1001" s="36">
        <v>1</v>
      </c>
      <c r="Q1001" s="40">
        <v>46266</v>
      </c>
      <c r="R1001" s="36" t="s">
        <v>624</v>
      </c>
      <c r="S1001" s="36" t="s">
        <v>625</v>
      </c>
      <c r="T1001" s="36" t="s">
        <v>626</v>
      </c>
      <c r="U1001" s="36" t="s">
        <v>627</v>
      </c>
      <c r="V1001" s="40">
        <v>46266</v>
      </c>
      <c r="W1001" s="36"/>
      <c r="X1001" s="36">
        <v>0</v>
      </c>
      <c r="Y1001" s="36"/>
      <c r="Z1001" s="36">
        <v>0</v>
      </c>
      <c r="AA1001" s="36">
        <v>0</v>
      </c>
      <c r="AB1001" s="36"/>
      <c r="AC1001" s="36" t="str">
        <f t="shared" si="4"/>
        <v>PC26</v>
      </c>
      <c r="AD1001" s="36" t="str">
        <f>VLOOKUP(D1001,Oficial!A:C,3,0)</f>
        <v>Compras Convenio GORE Region de Los Lagos</v>
      </c>
    </row>
    <row r="1002" spans="1:30" x14ac:dyDescent="0.25">
      <c r="A1002" s="36" t="s">
        <v>27</v>
      </c>
      <c r="B1002" s="36" t="s">
        <v>1369</v>
      </c>
      <c r="C1002" s="36" t="s">
        <v>1238</v>
      </c>
      <c r="D1002" s="36" t="s">
        <v>1369</v>
      </c>
      <c r="E1002" s="36" t="s">
        <v>30</v>
      </c>
      <c r="F1002" s="36" t="s">
        <v>569</v>
      </c>
      <c r="G1002" s="37" t="s">
        <v>1296</v>
      </c>
      <c r="H1002" s="36" t="s">
        <v>1370</v>
      </c>
      <c r="I1002" s="36" t="s">
        <v>1351</v>
      </c>
      <c r="J1002" s="36">
        <v>2</v>
      </c>
      <c r="K1002" s="36" t="s">
        <v>1175</v>
      </c>
      <c r="L1002" s="36">
        <v>4</v>
      </c>
      <c r="M1002" s="36">
        <v>1</v>
      </c>
      <c r="N1002" s="38">
        <v>704255000</v>
      </c>
      <c r="O1002" s="38">
        <v>704255000</v>
      </c>
      <c r="P1002" s="36">
        <v>1</v>
      </c>
      <c r="Q1002" s="40">
        <v>46113</v>
      </c>
      <c r="R1002" s="36" t="s">
        <v>1299</v>
      </c>
      <c r="S1002" s="36" t="s">
        <v>1300</v>
      </c>
      <c r="T1002" s="36" t="s">
        <v>1301</v>
      </c>
      <c r="U1002" s="36" t="s">
        <v>1302</v>
      </c>
      <c r="V1002" s="40">
        <v>46113</v>
      </c>
      <c r="W1002" s="36"/>
      <c r="X1002" s="36">
        <v>0</v>
      </c>
      <c r="Y1002" s="36"/>
      <c r="Z1002" s="36">
        <v>0</v>
      </c>
      <c r="AA1002" s="36">
        <v>0</v>
      </c>
      <c r="AB1002" s="36"/>
      <c r="AC1002" s="36" t="str">
        <f t="shared" si="4"/>
        <v>PC26</v>
      </c>
      <c r="AD1002" s="36" t="str">
        <f>VLOOKUP(D1002,Oficial!A:C,3,0)</f>
        <v>Activos Fijos</v>
      </c>
    </row>
    <row r="1003" spans="1:30" x14ac:dyDescent="0.25">
      <c r="A1003" s="36" t="s">
        <v>27</v>
      </c>
      <c r="B1003" s="36" t="s">
        <v>1369</v>
      </c>
      <c r="C1003" s="36" t="s">
        <v>1238</v>
      </c>
      <c r="D1003" s="36" t="s">
        <v>1369</v>
      </c>
      <c r="E1003" s="36" t="s">
        <v>30</v>
      </c>
      <c r="F1003" s="36" t="s">
        <v>569</v>
      </c>
      <c r="G1003" s="37" t="s">
        <v>1296</v>
      </c>
      <c r="H1003" s="36" t="s">
        <v>1370</v>
      </c>
      <c r="I1003" s="36" t="s">
        <v>1351</v>
      </c>
      <c r="J1003" s="36">
        <v>2</v>
      </c>
      <c r="K1003" s="36" t="s">
        <v>1303</v>
      </c>
      <c r="L1003" s="36">
        <v>4</v>
      </c>
      <c r="M1003" s="36">
        <v>1</v>
      </c>
      <c r="N1003" s="38">
        <v>874576000</v>
      </c>
      <c r="O1003" s="38">
        <v>874576000</v>
      </c>
      <c r="P1003" s="36">
        <v>1</v>
      </c>
      <c r="Q1003" s="40">
        <v>46113</v>
      </c>
      <c r="R1003" s="36" t="s">
        <v>1299</v>
      </c>
      <c r="S1003" s="36" t="s">
        <v>1300</v>
      </c>
      <c r="T1003" s="36" t="s">
        <v>1301</v>
      </c>
      <c r="U1003" s="36" t="s">
        <v>1302</v>
      </c>
      <c r="V1003" s="40">
        <v>46113</v>
      </c>
      <c r="W1003" s="36"/>
      <c r="X1003" s="36">
        <v>0</v>
      </c>
      <c r="Y1003" s="36"/>
      <c r="Z1003" s="36">
        <v>0</v>
      </c>
      <c r="AA1003" s="36">
        <v>0</v>
      </c>
      <c r="AB1003" s="36"/>
      <c r="AC1003" s="36" t="str">
        <f t="shared" si="4"/>
        <v>PC26</v>
      </c>
      <c r="AD1003" s="36" t="str">
        <f>VLOOKUP(D1003,Oficial!A:C,3,0)</f>
        <v>Activos Fijos</v>
      </c>
    </row>
    <row r="1004" spans="1:30" x14ac:dyDescent="0.25">
      <c r="A1004" s="36" t="s">
        <v>27</v>
      </c>
      <c r="B1004" s="36" t="s">
        <v>1371</v>
      </c>
      <c r="C1004" s="36" t="s">
        <v>1304</v>
      </c>
      <c r="D1004" s="36" t="s">
        <v>1371</v>
      </c>
      <c r="E1004" s="36" t="s">
        <v>45</v>
      </c>
      <c r="F1004" s="36" t="s">
        <v>569</v>
      </c>
      <c r="G1004" s="37" t="s">
        <v>1372</v>
      </c>
      <c r="H1004" s="36" t="s">
        <v>1373</v>
      </c>
      <c r="I1004" s="36" t="s">
        <v>1374</v>
      </c>
      <c r="J1004" s="36">
        <v>1</v>
      </c>
      <c r="K1004" s="36" t="s">
        <v>1375</v>
      </c>
      <c r="L1004" s="36">
        <v>4</v>
      </c>
      <c r="M1004" s="36">
        <v>1</v>
      </c>
      <c r="N1004" s="38">
        <v>1058222000</v>
      </c>
      <c r="O1004" s="38">
        <v>1058222000</v>
      </c>
      <c r="P1004" s="36">
        <v>1</v>
      </c>
      <c r="Q1004" s="40">
        <v>46174</v>
      </c>
      <c r="R1004" s="36" t="s">
        <v>1200</v>
      </c>
      <c r="S1004" s="36" t="s">
        <v>1201</v>
      </c>
      <c r="T1004" s="36" t="s">
        <v>1202</v>
      </c>
      <c r="U1004" s="36" t="s">
        <v>1203</v>
      </c>
      <c r="V1004" s="40">
        <v>46113</v>
      </c>
      <c r="W1004" s="36"/>
      <c r="X1004" s="36">
        <v>0</v>
      </c>
      <c r="Y1004" s="36"/>
      <c r="Z1004" s="36">
        <v>0</v>
      </c>
      <c r="AA1004" s="36">
        <v>0</v>
      </c>
      <c r="AB1004" s="36"/>
      <c r="AC1004" s="36" t="str">
        <f t="shared" si="4"/>
        <v>PC26</v>
      </c>
      <c r="AD1004" s="36" t="str">
        <f>VLOOKUP(D1004,Oficial!A:C,3,0)</f>
        <v>Obras Civiles</v>
      </c>
    </row>
    <row r="1005" spans="1:30" x14ac:dyDescent="0.25">
      <c r="A1005" s="36" t="s">
        <v>27</v>
      </c>
      <c r="B1005" s="36" t="s">
        <v>1376</v>
      </c>
      <c r="C1005" s="36" t="s">
        <v>1304</v>
      </c>
      <c r="D1005" s="36" t="s">
        <v>1376</v>
      </c>
      <c r="E1005" s="36" t="s">
        <v>30</v>
      </c>
      <c r="F1005" s="36" t="s">
        <v>569</v>
      </c>
      <c r="G1005" s="37" t="s">
        <v>1372</v>
      </c>
      <c r="H1005" s="36" t="s">
        <v>1377</v>
      </c>
      <c r="I1005" s="36" t="s">
        <v>1378</v>
      </c>
      <c r="J1005" s="36">
        <v>1</v>
      </c>
      <c r="K1005" s="36" t="s">
        <v>1375</v>
      </c>
      <c r="L1005" s="36">
        <v>4</v>
      </c>
      <c r="M1005" s="36">
        <v>1</v>
      </c>
      <c r="N1005" s="38">
        <v>916961000</v>
      </c>
      <c r="O1005" s="38">
        <v>916961000</v>
      </c>
      <c r="P1005" s="36">
        <v>1</v>
      </c>
      <c r="Q1005" s="40">
        <v>46174</v>
      </c>
      <c r="R1005" s="36" t="s">
        <v>1200</v>
      </c>
      <c r="S1005" s="36" t="s">
        <v>1201</v>
      </c>
      <c r="T1005" s="36" t="s">
        <v>1202</v>
      </c>
      <c r="U1005" s="36" t="s">
        <v>1203</v>
      </c>
      <c r="V1005" s="40">
        <v>46113</v>
      </c>
      <c r="W1005" s="36"/>
      <c r="X1005" s="36">
        <v>0</v>
      </c>
      <c r="Y1005" s="36"/>
      <c r="Z1005" s="36">
        <v>0</v>
      </c>
      <c r="AA1005" s="36">
        <v>0</v>
      </c>
      <c r="AB1005" s="36"/>
      <c r="AC1005" s="36" t="str">
        <f t="shared" si="4"/>
        <v>PC26</v>
      </c>
      <c r="AD1005" s="36" t="str">
        <f>VLOOKUP(D1005,Oficial!A:C,3,0)</f>
        <v>Obras Civiles</v>
      </c>
    </row>
    <row r="1006" spans="1:30" x14ac:dyDescent="0.25">
      <c r="A1006" s="36" t="s">
        <v>27</v>
      </c>
      <c r="B1006" s="36" t="s">
        <v>1379</v>
      </c>
      <c r="C1006" s="36" t="s">
        <v>1304</v>
      </c>
      <c r="D1006" s="36" t="s">
        <v>1379</v>
      </c>
      <c r="E1006" s="36" t="s">
        <v>45</v>
      </c>
      <c r="F1006" s="36" t="s">
        <v>569</v>
      </c>
      <c r="G1006" s="37" t="s">
        <v>1372</v>
      </c>
      <c r="H1006" s="36" t="s">
        <v>1380</v>
      </c>
      <c r="I1006" s="36" t="s">
        <v>1381</v>
      </c>
      <c r="J1006" s="36">
        <v>1</v>
      </c>
      <c r="K1006" s="36" t="s">
        <v>1375</v>
      </c>
      <c r="L1006" s="36">
        <v>4</v>
      </c>
      <c r="M1006" s="36">
        <v>1</v>
      </c>
      <c r="N1006" s="38">
        <v>888441000</v>
      </c>
      <c r="O1006" s="38">
        <v>888441000</v>
      </c>
      <c r="P1006" s="36">
        <v>1</v>
      </c>
      <c r="Q1006" s="40">
        <v>46113</v>
      </c>
      <c r="R1006" s="36" t="s">
        <v>1200</v>
      </c>
      <c r="S1006" s="36" t="s">
        <v>1201</v>
      </c>
      <c r="T1006" s="36" t="s">
        <v>1202</v>
      </c>
      <c r="U1006" s="36" t="s">
        <v>1203</v>
      </c>
      <c r="V1006" s="40">
        <v>46113</v>
      </c>
      <c r="W1006" s="36"/>
      <c r="X1006" s="36">
        <v>0</v>
      </c>
      <c r="Y1006" s="36"/>
      <c r="Z1006" s="36">
        <v>0</v>
      </c>
      <c r="AA1006" s="36">
        <v>0</v>
      </c>
      <c r="AB1006" s="36"/>
      <c r="AC1006" s="36" t="str">
        <f t="shared" si="4"/>
        <v>PC26</v>
      </c>
      <c r="AD1006" s="36" t="str">
        <f>VLOOKUP(D1006,Oficial!A:C,3,0)</f>
        <v>Obras Civiles</v>
      </c>
    </row>
    <row r="1007" spans="1:30" x14ac:dyDescent="0.25">
      <c r="A1007" s="36" t="s">
        <v>27</v>
      </c>
      <c r="B1007" s="36" t="s">
        <v>1382</v>
      </c>
      <c r="C1007" s="36" t="s">
        <v>594</v>
      </c>
      <c r="D1007" s="36" t="s">
        <v>1382</v>
      </c>
      <c r="E1007" s="36" t="s">
        <v>30</v>
      </c>
      <c r="F1007" s="36" t="s">
        <v>569</v>
      </c>
      <c r="G1007" s="37" t="s">
        <v>1296</v>
      </c>
      <c r="H1007" s="36" t="s">
        <v>1383</v>
      </c>
      <c r="I1007" s="36" t="s">
        <v>1384</v>
      </c>
      <c r="J1007" s="36">
        <v>1</v>
      </c>
      <c r="K1007" s="36" t="s">
        <v>1175</v>
      </c>
      <c r="L1007" s="36">
        <v>4</v>
      </c>
      <c r="M1007" s="36">
        <v>1</v>
      </c>
      <c r="N1007" s="38">
        <v>6442000</v>
      </c>
      <c r="O1007" s="38">
        <v>6442000</v>
      </c>
      <c r="P1007" s="36">
        <v>1</v>
      </c>
      <c r="Q1007" s="40">
        <v>46113</v>
      </c>
      <c r="R1007" s="36" t="s">
        <v>1299</v>
      </c>
      <c r="S1007" s="36" t="s">
        <v>1300</v>
      </c>
      <c r="T1007" s="36" t="s">
        <v>1301</v>
      </c>
      <c r="U1007" s="36" t="s">
        <v>1302</v>
      </c>
      <c r="V1007" s="40">
        <v>46113</v>
      </c>
      <c r="W1007" s="36"/>
      <c r="X1007" s="36">
        <v>0</v>
      </c>
      <c r="Y1007" s="36"/>
      <c r="Z1007" s="36">
        <v>0</v>
      </c>
      <c r="AA1007" s="36">
        <v>0</v>
      </c>
      <c r="AB1007" s="36"/>
      <c r="AC1007" s="36" t="str">
        <f t="shared" si="4"/>
        <v>PC26</v>
      </c>
      <c r="AD1007" s="36" t="str">
        <f>VLOOKUP(D1007,Oficial!A:C,3,0)</f>
        <v>Compras Convenio GORE Region de Los Lagos</v>
      </c>
    </row>
    <row r="1008" spans="1:30" x14ac:dyDescent="0.25">
      <c r="A1008" s="36" t="s">
        <v>27</v>
      </c>
      <c r="B1008" s="36" t="s">
        <v>1385</v>
      </c>
      <c r="C1008" s="36" t="s">
        <v>1238</v>
      </c>
      <c r="D1008" s="36" t="s">
        <v>1385</v>
      </c>
      <c r="E1008" s="36" t="s">
        <v>30</v>
      </c>
      <c r="F1008" s="36" t="s">
        <v>569</v>
      </c>
      <c r="G1008" s="37" t="s">
        <v>1296</v>
      </c>
      <c r="H1008" s="36" t="s">
        <v>1386</v>
      </c>
      <c r="I1008" s="36" t="s">
        <v>1351</v>
      </c>
      <c r="J1008" s="36">
        <v>2</v>
      </c>
      <c r="K1008" s="36" t="s">
        <v>1175</v>
      </c>
      <c r="L1008" s="36">
        <v>4</v>
      </c>
      <c r="M1008" s="36">
        <v>1</v>
      </c>
      <c r="N1008" s="38">
        <v>64156000</v>
      </c>
      <c r="O1008" s="38">
        <v>64156000</v>
      </c>
      <c r="P1008" s="36">
        <v>1</v>
      </c>
      <c r="Q1008" s="40">
        <v>46113</v>
      </c>
      <c r="R1008" s="36" t="s">
        <v>1299</v>
      </c>
      <c r="S1008" s="36" t="s">
        <v>1300</v>
      </c>
      <c r="T1008" s="36" t="s">
        <v>1301</v>
      </c>
      <c r="U1008" s="36" t="s">
        <v>1302</v>
      </c>
      <c r="V1008" s="40">
        <v>46113</v>
      </c>
      <c r="W1008" s="36"/>
      <c r="X1008" s="36">
        <v>0</v>
      </c>
      <c r="Y1008" s="36"/>
      <c r="Z1008" s="36">
        <v>0</v>
      </c>
      <c r="AA1008" s="36">
        <v>0</v>
      </c>
      <c r="AB1008" s="36"/>
      <c r="AC1008" s="36" t="str">
        <f t="shared" si="4"/>
        <v>PC26</v>
      </c>
      <c r="AD1008" s="36" t="str">
        <f>VLOOKUP(D1008,Oficial!A:C,3,0)</f>
        <v>Activos Fijos</v>
      </c>
    </row>
    <row r="1009" spans="1:30" x14ac:dyDescent="0.25">
      <c r="A1009" s="36" t="s">
        <v>27</v>
      </c>
      <c r="B1009" s="36" t="s">
        <v>1385</v>
      </c>
      <c r="C1009" s="36" t="s">
        <v>1238</v>
      </c>
      <c r="D1009" s="36" t="s">
        <v>1385</v>
      </c>
      <c r="E1009" s="36" t="s">
        <v>30</v>
      </c>
      <c r="F1009" s="36" t="s">
        <v>569</v>
      </c>
      <c r="G1009" s="37" t="s">
        <v>1296</v>
      </c>
      <c r="H1009" s="36" t="s">
        <v>1386</v>
      </c>
      <c r="I1009" s="36" t="s">
        <v>1351</v>
      </c>
      <c r="J1009" s="36">
        <v>2</v>
      </c>
      <c r="K1009" s="36" t="s">
        <v>1303</v>
      </c>
      <c r="L1009" s="36">
        <v>4</v>
      </c>
      <c r="M1009" s="36">
        <v>1</v>
      </c>
      <c r="N1009" s="38">
        <v>1904912000</v>
      </c>
      <c r="O1009" s="38">
        <v>1904912000</v>
      </c>
      <c r="P1009" s="36">
        <v>1</v>
      </c>
      <c r="Q1009" s="40">
        <v>46113</v>
      </c>
      <c r="R1009" s="36" t="s">
        <v>1299</v>
      </c>
      <c r="S1009" s="36" t="s">
        <v>1300</v>
      </c>
      <c r="T1009" s="36" t="s">
        <v>1301</v>
      </c>
      <c r="U1009" s="36" t="s">
        <v>1302</v>
      </c>
      <c r="V1009" s="40">
        <v>46113</v>
      </c>
      <c r="W1009" s="36"/>
      <c r="X1009" s="36">
        <v>0</v>
      </c>
      <c r="Y1009" s="36"/>
      <c r="Z1009" s="36">
        <v>0</v>
      </c>
      <c r="AA1009" s="36">
        <v>0</v>
      </c>
      <c r="AB1009" s="36"/>
      <c r="AC1009" s="36" t="str">
        <f t="shared" si="4"/>
        <v>PC26</v>
      </c>
      <c r="AD1009" s="36" t="str">
        <f>VLOOKUP(D1009,Oficial!A:C,3,0)</f>
        <v>Activos Fijos</v>
      </c>
    </row>
    <row r="1010" spans="1:30" x14ac:dyDescent="0.25">
      <c r="A1010" s="36" t="s">
        <v>27</v>
      </c>
      <c r="B1010" s="36" t="s">
        <v>1387</v>
      </c>
      <c r="C1010" s="36" t="s">
        <v>1238</v>
      </c>
      <c r="D1010" s="36" t="s">
        <v>1387</v>
      </c>
      <c r="E1010" s="36" t="s">
        <v>45</v>
      </c>
      <c r="F1010" s="36" t="s">
        <v>569</v>
      </c>
      <c r="G1010" s="37" t="s">
        <v>1296</v>
      </c>
      <c r="H1010" s="36" t="s">
        <v>1388</v>
      </c>
      <c r="I1010" s="36" t="s">
        <v>1351</v>
      </c>
      <c r="J1010" s="36">
        <v>2</v>
      </c>
      <c r="K1010" s="36" t="s">
        <v>1175</v>
      </c>
      <c r="L1010" s="36">
        <v>4</v>
      </c>
      <c r="M1010" s="36">
        <v>1</v>
      </c>
      <c r="N1010" s="38">
        <v>12678000</v>
      </c>
      <c r="O1010" s="38">
        <v>12678000</v>
      </c>
      <c r="P1010" s="36">
        <v>1</v>
      </c>
      <c r="Q1010" s="40">
        <v>46113</v>
      </c>
      <c r="R1010" s="36" t="s">
        <v>1299</v>
      </c>
      <c r="S1010" s="36" t="s">
        <v>1300</v>
      </c>
      <c r="T1010" s="36" t="s">
        <v>1301</v>
      </c>
      <c r="U1010" s="36" t="s">
        <v>1302</v>
      </c>
      <c r="V1010" s="40">
        <v>46113</v>
      </c>
      <c r="W1010" s="36"/>
      <c r="X1010" s="36">
        <v>0</v>
      </c>
      <c r="Y1010" s="36"/>
      <c r="Z1010" s="36">
        <v>0</v>
      </c>
      <c r="AA1010" s="36">
        <v>0</v>
      </c>
      <c r="AB1010" s="36"/>
      <c r="AC1010" s="36" t="str">
        <f t="shared" si="4"/>
        <v>PC26</v>
      </c>
      <c r="AD1010" s="36" t="str">
        <f>VLOOKUP(D1010,Oficial!A:C,3,0)</f>
        <v>Activos Fijos</v>
      </c>
    </row>
    <row r="1011" spans="1:30" x14ac:dyDescent="0.25">
      <c r="A1011" s="36" t="s">
        <v>27</v>
      </c>
      <c r="B1011" s="36" t="s">
        <v>1387</v>
      </c>
      <c r="C1011" s="36" t="s">
        <v>1238</v>
      </c>
      <c r="D1011" s="36" t="s">
        <v>1387</v>
      </c>
      <c r="E1011" s="36" t="s">
        <v>45</v>
      </c>
      <c r="F1011" s="36" t="s">
        <v>569</v>
      </c>
      <c r="G1011" s="37" t="s">
        <v>1296</v>
      </c>
      <c r="H1011" s="36" t="s">
        <v>1388</v>
      </c>
      <c r="I1011" s="36" t="s">
        <v>1351</v>
      </c>
      <c r="J1011" s="36">
        <v>2</v>
      </c>
      <c r="K1011" s="36" t="s">
        <v>1303</v>
      </c>
      <c r="L1011" s="36">
        <v>4</v>
      </c>
      <c r="M1011" s="36">
        <v>1</v>
      </c>
      <c r="N1011" s="38">
        <v>5954000</v>
      </c>
      <c r="O1011" s="38">
        <v>5954000</v>
      </c>
      <c r="P1011" s="36">
        <v>1</v>
      </c>
      <c r="Q1011" s="40">
        <v>46113</v>
      </c>
      <c r="R1011" s="36" t="s">
        <v>1299</v>
      </c>
      <c r="S1011" s="36" t="s">
        <v>1300</v>
      </c>
      <c r="T1011" s="36" t="s">
        <v>1301</v>
      </c>
      <c r="U1011" s="36" t="s">
        <v>1302</v>
      </c>
      <c r="V1011" s="40">
        <v>46113</v>
      </c>
      <c r="W1011" s="36"/>
      <c r="X1011" s="36">
        <v>0</v>
      </c>
      <c r="Y1011" s="36"/>
      <c r="Z1011" s="36">
        <v>0</v>
      </c>
      <c r="AA1011" s="36">
        <v>0</v>
      </c>
      <c r="AB1011" s="36"/>
      <c r="AC1011" s="36" t="str">
        <f t="shared" si="4"/>
        <v>PC26</v>
      </c>
      <c r="AD1011" s="36" t="str">
        <f>VLOOKUP(D1011,Oficial!A:C,3,0)</f>
        <v>Activos Fijos</v>
      </c>
    </row>
    <row r="1012" spans="1:30" x14ac:dyDescent="0.25">
      <c r="A1012" s="36" t="s">
        <v>27</v>
      </c>
      <c r="B1012" s="36" t="s">
        <v>1389</v>
      </c>
      <c r="C1012" s="36" t="s">
        <v>1304</v>
      </c>
      <c r="D1012" s="36" t="s">
        <v>1389</v>
      </c>
      <c r="E1012" s="36" t="s">
        <v>45</v>
      </c>
      <c r="F1012" s="36" t="s">
        <v>569</v>
      </c>
      <c r="G1012" s="37" t="s">
        <v>804</v>
      </c>
      <c r="H1012" s="36" t="s">
        <v>1390</v>
      </c>
      <c r="I1012" s="36" t="s">
        <v>1391</v>
      </c>
      <c r="J1012" s="36">
        <v>1</v>
      </c>
      <c r="K1012" s="36" t="s">
        <v>807</v>
      </c>
      <c r="L1012" s="36">
        <v>4</v>
      </c>
      <c r="M1012" s="36">
        <v>1</v>
      </c>
      <c r="N1012" s="38">
        <v>630000</v>
      </c>
      <c r="O1012" s="38">
        <v>630000</v>
      </c>
      <c r="P1012" s="36">
        <v>1</v>
      </c>
      <c r="Q1012" s="40">
        <v>46174</v>
      </c>
      <c r="R1012" s="36" t="s">
        <v>1342</v>
      </c>
      <c r="S1012" s="36" t="s">
        <v>1392</v>
      </c>
      <c r="T1012" s="36" t="s">
        <v>1202</v>
      </c>
      <c r="U1012" s="36" t="s">
        <v>1344</v>
      </c>
      <c r="V1012" s="40">
        <v>46174</v>
      </c>
      <c r="W1012" s="36"/>
      <c r="X1012" s="36">
        <v>0</v>
      </c>
      <c r="Y1012" s="36"/>
      <c r="Z1012" s="36">
        <v>0</v>
      </c>
      <c r="AA1012" s="36">
        <v>0</v>
      </c>
      <c r="AB1012" s="36"/>
      <c r="AC1012" s="36" t="str">
        <f t="shared" si="4"/>
        <v>PC26</v>
      </c>
      <c r="AD1012" s="36" t="str">
        <f>VLOOKUP(D1012,Oficial!A:C,3,0)</f>
        <v>Obras Civiles</v>
      </c>
    </row>
    <row r="1013" spans="1:30" x14ac:dyDescent="0.25">
      <c r="A1013" s="36" t="s">
        <v>27</v>
      </c>
      <c r="B1013" s="36" t="s">
        <v>1393</v>
      </c>
      <c r="C1013" s="36" t="s">
        <v>1238</v>
      </c>
      <c r="D1013" s="36" t="s">
        <v>1393</v>
      </c>
      <c r="E1013" s="36" t="s">
        <v>30</v>
      </c>
      <c r="F1013" s="36" t="s">
        <v>569</v>
      </c>
      <c r="G1013" s="37" t="s">
        <v>596</v>
      </c>
      <c r="H1013" s="36" t="s">
        <v>1394</v>
      </c>
      <c r="I1013" s="36" t="s">
        <v>1351</v>
      </c>
      <c r="J1013" s="36">
        <v>2</v>
      </c>
      <c r="K1013" s="36" t="s">
        <v>1175</v>
      </c>
      <c r="L1013" s="36">
        <v>4</v>
      </c>
      <c r="M1013" s="36">
        <v>1</v>
      </c>
      <c r="N1013" s="38">
        <v>30000000</v>
      </c>
      <c r="O1013" s="38">
        <v>30000000</v>
      </c>
      <c r="P1013" s="36">
        <v>1</v>
      </c>
      <c r="Q1013" s="40">
        <v>46113</v>
      </c>
      <c r="R1013" s="36" t="s">
        <v>1299</v>
      </c>
      <c r="S1013" s="36" t="s">
        <v>1300</v>
      </c>
      <c r="T1013" s="36" t="s">
        <v>1301</v>
      </c>
      <c r="U1013" s="36" t="s">
        <v>1302</v>
      </c>
      <c r="V1013" s="40">
        <v>46113</v>
      </c>
      <c r="W1013" s="36"/>
      <c r="X1013" s="36">
        <v>0</v>
      </c>
      <c r="Y1013" s="36"/>
      <c r="Z1013" s="36">
        <v>0</v>
      </c>
      <c r="AA1013" s="36">
        <v>0</v>
      </c>
      <c r="AB1013" s="36"/>
      <c r="AC1013" s="36" t="str">
        <f t="shared" si="4"/>
        <v>PC26</v>
      </c>
      <c r="AD1013" s="36" t="str">
        <f>VLOOKUP(D1013,Oficial!A:C,3,0)</f>
        <v>Activos Fijos</v>
      </c>
    </row>
    <row r="1014" spans="1:30" x14ac:dyDescent="0.25">
      <c r="A1014" s="36" t="s">
        <v>27</v>
      </c>
      <c r="B1014" s="36" t="s">
        <v>1393</v>
      </c>
      <c r="C1014" s="36" t="s">
        <v>1238</v>
      </c>
      <c r="D1014" s="36" t="s">
        <v>1393</v>
      </c>
      <c r="E1014" s="36" t="s">
        <v>30</v>
      </c>
      <c r="F1014" s="36" t="s">
        <v>569</v>
      </c>
      <c r="G1014" s="37" t="s">
        <v>596</v>
      </c>
      <c r="H1014" s="36" t="s">
        <v>1394</v>
      </c>
      <c r="I1014" s="36" t="s">
        <v>1351</v>
      </c>
      <c r="J1014" s="36">
        <v>2</v>
      </c>
      <c r="K1014" s="36" t="s">
        <v>1303</v>
      </c>
      <c r="L1014" s="36">
        <v>4</v>
      </c>
      <c r="M1014" s="36">
        <v>1</v>
      </c>
      <c r="N1014" s="38">
        <v>250000000</v>
      </c>
      <c r="O1014" s="38">
        <v>250000000</v>
      </c>
      <c r="P1014" s="36">
        <v>1</v>
      </c>
      <c r="Q1014" s="40">
        <v>46113</v>
      </c>
      <c r="R1014" s="36" t="s">
        <v>1299</v>
      </c>
      <c r="S1014" s="36" t="s">
        <v>1300</v>
      </c>
      <c r="T1014" s="36" t="s">
        <v>1301</v>
      </c>
      <c r="U1014" s="36" t="s">
        <v>1302</v>
      </c>
      <c r="V1014" s="40">
        <v>46113</v>
      </c>
      <c r="W1014" s="36"/>
      <c r="X1014" s="36">
        <v>0</v>
      </c>
      <c r="Y1014" s="36"/>
      <c r="Z1014" s="36">
        <v>0</v>
      </c>
      <c r="AA1014" s="36">
        <v>0</v>
      </c>
      <c r="AB1014" s="36"/>
      <c r="AC1014" s="36" t="str">
        <f t="shared" si="4"/>
        <v>PC26</v>
      </c>
      <c r="AD1014" s="36" t="str">
        <f>VLOOKUP(D1014,Oficial!A:C,3,0)</f>
        <v>Activos Fijos</v>
      </c>
    </row>
    <row r="1015" spans="1:30" x14ac:dyDescent="0.25">
      <c r="A1015" s="36" t="s">
        <v>27</v>
      </c>
      <c r="B1015" s="36" t="s">
        <v>1395</v>
      </c>
      <c r="C1015" s="36" t="s">
        <v>28</v>
      </c>
      <c r="D1015" s="36" t="s">
        <v>1395</v>
      </c>
      <c r="E1015" s="36" t="s">
        <v>30</v>
      </c>
      <c r="F1015" s="36" t="s">
        <v>569</v>
      </c>
      <c r="G1015" s="37" t="s">
        <v>1246</v>
      </c>
      <c r="H1015" s="36" t="s">
        <v>1396</v>
      </c>
      <c r="I1015" s="36" t="s">
        <v>1397</v>
      </c>
      <c r="J1015" s="36">
        <v>1</v>
      </c>
      <c r="K1015" s="36" t="s">
        <v>1133</v>
      </c>
      <c r="L1015" s="36">
        <v>4</v>
      </c>
      <c r="M1015" s="36">
        <v>6</v>
      </c>
      <c r="N1015" s="38">
        <v>83334</v>
      </c>
      <c r="O1015" s="38">
        <v>500004</v>
      </c>
      <c r="P1015" s="36">
        <v>1</v>
      </c>
      <c r="Q1015" s="40">
        <v>46054</v>
      </c>
      <c r="R1015" s="36" t="s">
        <v>1231</v>
      </c>
      <c r="S1015" s="36" t="s">
        <v>1232</v>
      </c>
      <c r="T1015" s="36" t="s">
        <v>566</v>
      </c>
      <c r="U1015" s="36" t="s">
        <v>67</v>
      </c>
      <c r="V1015" s="40">
        <v>46054</v>
      </c>
      <c r="W1015" s="36"/>
      <c r="X1015" s="36">
        <v>0</v>
      </c>
      <c r="Y1015" s="36"/>
      <c r="Z1015" s="36">
        <v>0</v>
      </c>
      <c r="AA1015" s="36">
        <v>0</v>
      </c>
      <c r="AB1015" s="36"/>
      <c r="AC1015" s="36" t="str">
        <f t="shared" si="4"/>
        <v>PC26</v>
      </c>
      <c r="AD1015" s="36" t="str">
        <f>VLOOKUP(D1015,Oficial!A:C,3,0)</f>
        <v>Bienes y Servicios</v>
      </c>
    </row>
    <row r="1016" spans="1:30" x14ac:dyDescent="0.25">
      <c r="A1016" s="36" t="s">
        <v>27</v>
      </c>
      <c r="B1016" s="36" t="s">
        <v>1398</v>
      </c>
      <c r="C1016" s="36" t="s">
        <v>1238</v>
      </c>
      <c r="D1016" s="36" t="s">
        <v>1398</v>
      </c>
      <c r="E1016" s="36" t="s">
        <v>30</v>
      </c>
      <c r="F1016" s="36" t="s">
        <v>569</v>
      </c>
      <c r="G1016" s="37" t="s">
        <v>596</v>
      </c>
      <c r="H1016" s="36" t="s">
        <v>1399</v>
      </c>
      <c r="I1016" s="36" t="s">
        <v>1400</v>
      </c>
      <c r="J1016" s="36">
        <v>2</v>
      </c>
      <c r="K1016" s="36" t="s">
        <v>1175</v>
      </c>
      <c r="L1016" s="36">
        <v>4</v>
      </c>
      <c r="M1016" s="36">
        <v>1</v>
      </c>
      <c r="N1016" s="38">
        <v>6000000</v>
      </c>
      <c r="O1016" s="38">
        <v>6000000</v>
      </c>
      <c r="P1016" s="36">
        <v>1</v>
      </c>
      <c r="Q1016" s="40">
        <v>46143</v>
      </c>
      <c r="R1016" s="36" t="s">
        <v>1299</v>
      </c>
      <c r="S1016" s="36" t="s">
        <v>1300</v>
      </c>
      <c r="T1016" s="36" t="s">
        <v>1301</v>
      </c>
      <c r="U1016" s="36" t="s">
        <v>1302</v>
      </c>
      <c r="V1016" s="40">
        <v>46143</v>
      </c>
      <c r="W1016" s="36"/>
      <c r="X1016" s="36">
        <v>0</v>
      </c>
      <c r="Y1016" s="36"/>
      <c r="Z1016" s="36">
        <v>0</v>
      </c>
      <c r="AA1016" s="36">
        <v>0</v>
      </c>
      <c r="AB1016" s="36"/>
      <c r="AC1016" s="36" t="str">
        <f t="shared" si="4"/>
        <v>PC26</v>
      </c>
      <c r="AD1016" s="36" t="str">
        <f>VLOOKUP(D1016,Oficial!A:C,3,0)</f>
        <v>Activos Fijos</v>
      </c>
    </row>
    <row r="1017" spans="1:30" x14ac:dyDescent="0.25">
      <c r="A1017" s="36" t="s">
        <v>27</v>
      </c>
      <c r="B1017" s="36" t="s">
        <v>1398</v>
      </c>
      <c r="C1017" s="36" t="s">
        <v>1238</v>
      </c>
      <c r="D1017" s="36" t="s">
        <v>1398</v>
      </c>
      <c r="E1017" s="36" t="s">
        <v>30</v>
      </c>
      <c r="F1017" s="36" t="s">
        <v>569</v>
      </c>
      <c r="G1017" s="37" t="s">
        <v>596</v>
      </c>
      <c r="H1017" s="36" t="s">
        <v>1399</v>
      </c>
      <c r="I1017" s="36" t="s">
        <v>1400</v>
      </c>
      <c r="J1017" s="36">
        <v>2</v>
      </c>
      <c r="K1017" s="36" t="s">
        <v>1303</v>
      </c>
      <c r="L1017" s="36">
        <v>4</v>
      </c>
      <c r="M1017" s="36">
        <v>1</v>
      </c>
      <c r="N1017" s="38">
        <v>55000000</v>
      </c>
      <c r="O1017" s="38">
        <v>55000000</v>
      </c>
      <c r="P1017" s="36">
        <v>1</v>
      </c>
      <c r="Q1017" s="40">
        <v>46143</v>
      </c>
      <c r="R1017" s="36" t="s">
        <v>1299</v>
      </c>
      <c r="S1017" s="36" t="s">
        <v>1300</v>
      </c>
      <c r="T1017" s="36" t="s">
        <v>1301</v>
      </c>
      <c r="U1017" s="36" t="s">
        <v>1302</v>
      </c>
      <c r="V1017" s="40">
        <v>46143</v>
      </c>
      <c r="W1017" s="36"/>
      <c r="X1017" s="36">
        <v>0</v>
      </c>
      <c r="Y1017" s="36"/>
      <c r="Z1017" s="36">
        <v>0</v>
      </c>
      <c r="AA1017" s="36">
        <v>0</v>
      </c>
      <c r="AB1017" s="36"/>
      <c r="AC1017" s="36" t="str">
        <f t="shared" si="4"/>
        <v>PC26</v>
      </c>
      <c r="AD1017" s="36" t="str">
        <f>VLOOKUP(D1017,Oficial!A:C,3,0)</f>
        <v>Activos Fijos</v>
      </c>
    </row>
    <row r="1018" spans="1:30" x14ac:dyDescent="0.25">
      <c r="A1018" s="36" t="s">
        <v>27</v>
      </c>
      <c r="B1018" s="36" t="s">
        <v>1401</v>
      </c>
      <c r="C1018" s="36" t="s">
        <v>594</v>
      </c>
      <c r="D1018" s="36" t="s">
        <v>1401</v>
      </c>
      <c r="E1018" s="36" t="s">
        <v>45</v>
      </c>
      <c r="F1018" s="36" t="s">
        <v>569</v>
      </c>
      <c r="G1018" s="37" t="s">
        <v>1296</v>
      </c>
      <c r="H1018" s="36" t="s">
        <v>1402</v>
      </c>
      <c r="I1018" s="36" t="s">
        <v>1365</v>
      </c>
      <c r="J1018" s="36">
        <v>2</v>
      </c>
      <c r="K1018" s="36" t="s">
        <v>1175</v>
      </c>
      <c r="L1018" s="36">
        <v>4</v>
      </c>
      <c r="M1018" s="36">
        <v>1</v>
      </c>
      <c r="N1018" s="38">
        <v>40289000</v>
      </c>
      <c r="O1018" s="38">
        <v>40289000</v>
      </c>
      <c r="P1018" s="36">
        <v>1</v>
      </c>
      <c r="Q1018" s="40">
        <v>46143</v>
      </c>
      <c r="R1018" s="36" t="s">
        <v>1299</v>
      </c>
      <c r="S1018" s="36" t="s">
        <v>1300</v>
      </c>
      <c r="T1018" s="36" t="s">
        <v>1301</v>
      </c>
      <c r="U1018" s="36" t="s">
        <v>1302</v>
      </c>
      <c r="V1018" s="40">
        <v>46143</v>
      </c>
      <c r="W1018" s="36"/>
      <c r="X1018" s="36">
        <v>0</v>
      </c>
      <c r="Y1018" s="36"/>
      <c r="Z1018" s="36">
        <v>0</v>
      </c>
      <c r="AA1018" s="36">
        <v>0</v>
      </c>
      <c r="AB1018" s="36"/>
      <c r="AC1018" s="36" t="str">
        <f t="shared" si="4"/>
        <v>PC26</v>
      </c>
      <c r="AD1018" s="36" t="str">
        <f>VLOOKUP(D1018,Oficial!A:C,3,0)</f>
        <v>Compras Convenio GORE Region de Los Lagos</v>
      </c>
    </row>
    <row r="1019" spans="1:30" x14ac:dyDescent="0.25">
      <c r="A1019" s="36" t="s">
        <v>27</v>
      </c>
      <c r="B1019" s="36" t="s">
        <v>1401</v>
      </c>
      <c r="C1019" s="36" t="s">
        <v>594</v>
      </c>
      <c r="D1019" s="36" t="s">
        <v>1401</v>
      </c>
      <c r="E1019" s="36" t="s">
        <v>45</v>
      </c>
      <c r="F1019" s="36" t="s">
        <v>569</v>
      </c>
      <c r="G1019" s="37" t="s">
        <v>1296</v>
      </c>
      <c r="H1019" s="36" t="s">
        <v>1402</v>
      </c>
      <c r="I1019" s="36" t="s">
        <v>1365</v>
      </c>
      <c r="J1019" s="36">
        <v>2</v>
      </c>
      <c r="K1019" s="36" t="s">
        <v>1303</v>
      </c>
      <c r="L1019" s="36">
        <v>4</v>
      </c>
      <c r="M1019" s="36">
        <v>1</v>
      </c>
      <c r="N1019" s="38">
        <v>316236000</v>
      </c>
      <c r="O1019" s="38">
        <v>316236000</v>
      </c>
      <c r="P1019" s="36">
        <v>1</v>
      </c>
      <c r="Q1019" s="40">
        <v>46143</v>
      </c>
      <c r="R1019" s="36" t="s">
        <v>1299</v>
      </c>
      <c r="S1019" s="36" t="s">
        <v>1300</v>
      </c>
      <c r="T1019" s="36" t="s">
        <v>1301</v>
      </c>
      <c r="U1019" s="36" t="s">
        <v>1302</v>
      </c>
      <c r="V1019" s="40">
        <v>46143</v>
      </c>
      <c r="W1019" s="36"/>
      <c r="X1019" s="36">
        <v>0</v>
      </c>
      <c r="Y1019" s="36"/>
      <c r="Z1019" s="36">
        <v>0</v>
      </c>
      <c r="AA1019" s="36">
        <v>0</v>
      </c>
      <c r="AB1019" s="36"/>
      <c r="AC1019" s="36" t="str">
        <f t="shared" si="4"/>
        <v>PC26</v>
      </c>
      <c r="AD1019" s="36" t="str">
        <f>VLOOKUP(D1019,Oficial!A:C,3,0)</f>
        <v>Compras Convenio GORE Region de Los Lagos</v>
      </c>
    </row>
    <row r="1020" spans="1:30" x14ac:dyDescent="0.25">
      <c r="A1020" s="36" t="s">
        <v>27</v>
      </c>
      <c r="B1020" s="36" t="s">
        <v>1403</v>
      </c>
      <c r="C1020" s="36" t="s">
        <v>28</v>
      </c>
      <c r="D1020" s="36" t="s">
        <v>1403</v>
      </c>
      <c r="E1020" s="36" t="s">
        <v>30</v>
      </c>
      <c r="F1020" s="36" t="s">
        <v>569</v>
      </c>
      <c r="G1020" s="37" t="s">
        <v>654</v>
      </c>
      <c r="H1020" s="36" t="s">
        <v>1404</v>
      </c>
      <c r="I1020" s="36" t="s">
        <v>1405</v>
      </c>
      <c r="J1020" s="36">
        <v>3</v>
      </c>
      <c r="K1020" s="36" t="s">
        <v>359</v>
      </c>
      <c r="L1020" s="36">
        <v>4</v>
      </c>
      <c r="M1020" s="36">
        <v>74</v>
      </c>
      <c r="N1020" s="38">
        <v>2076</v>
      </c>
      <c r="O1020" s="38">
        <v>153624</v>
      </c>
      <c r="P1020" s="36">
        <v>1</v>
      </c>
      <c r="Q1020" s="40">
        <v>46327</v>
      </c>
      <c r="R1020" s="36" t="s">
        <v>1035</v>
      </c>
      <c r="S1020" s="36" t="s">
        <v>1036</v>
      </c>
      <c r="T1020" s="36" t="s">
        <v>1037</v>
      </c>
      <c r="U1020" s="36" t="s">
        <v>1038</v>
      </c>
      <c r="V1020" s="40">
        <v>46327</v>
      </c>
      <c r="W1020" s="36"/>
      <c r="X1020" s="36">
        <v>0</v>
      </c>
      <c r="Y1020" s="36"/>
      <c r="Z1020" s="36">
        <v>0</v>
      </c>
      <c r="AA1020" s="36">
        <v>0</v>
      </c>
      <c r="AB1020" s="36"/>
      <c r="AC1020" s="36" t="str">
        <f t="shared" si="4"/>
        <v>PC26</v>
      </c>
      <c r="AD1020" s="36" t="str">
        <f>VLOOKUP(D1020,Oficial!A:C,3,0)</f>
        <v>Bienes y Servicios</v>
      </c>
    </row>
    <row r="1021" spans="1:30" x14ac:dyDescent="0.25">
      <c r="A1021" s="36" t="s">
        <v>27</v>
      </c>
      <c r="B1021" s="36" t="s">
        <v>1403</v>
      </c>
      <c r="C1021" s="36" t="s">
        <v>28</v>
      </c>
      <c r="D1021" s="36" t="s">
        <v>1403</v>
      </c>
      <c r="E1021" s="36" t="s">
        <v>30</v>
      </c>
      <c r="F1021" s="36" t="s">
        <v>569</v>
      </c>
      <c r="G1021" s="37" t="s">
        <v>654</v>
      </c>
      <c r="H1021" s="36" t="s">
        <v>1404</v>
      </c>
      <c r="I1021" s="36" t="s">
        <v>1405</v>
      </c>
      <c r="J1021" s="36">
        <v>3</v>
      </c>
      <c r="K1021" s="36" t="s">
        <v>855</v>
      </c>
      <c r="L1021" s="36">
        <v>4</v>
      </c>
      <c r="M1021" s="36">
        <v>100</v>
      </c>
      <c r="N1021" s="38">
        <v>170</v>
      </c>
      <c r="O1021" s="38">
        <v>17000</v>
      </c>
      <c r="P1021" s="36">
        <v>1</v>
      </c>
      <c r="Q1021" s="40">
        <v>46327</v>
      </c>
      <c r="R1021" s="36" t="s">
        <v>1035</v>
      </c>
      <c r="S1021" s="36" t="s">
        <v>1036</v>
      </c>
      <c r="T1021" s="36" t="s">
        <v>1037</v>
      </c>
      <c r="U1021" s="36" t="s">
        <v>1038</v>
      </c>
      <c r="V1021" s="40">
        <v>46327</v>
      </c>
      <c r="W1021" s="36"/>
      <c r="X1021" s="36">
        <v>0</v>
      </c>
      <c r="Y1021" s="36"/>
      <c r="Z1021" s="36">
        <v>0</v>
      </c>
      <c r="AA1021" s="36">
        <v>0</v>
      </c>
      <c r="AB1021" s="36"/>
      <c r="AC1021" s="36" t="str">
        <f t="shared" si="4"/>
        <v>PC26</v>
      </c>
      <c r="AD1021" s="36" t="str">
        <f>VLOOKUP(D1021,Oficial!A:C,3,0)</f>
        <v>Bienes y Servicios</v>
      </c>
    </row>
    <row r="1022" spans="1:30" x14ac:dyDescent="0.25">
      <c r="A1022" s="36" t="s">
        <v>27</v>
      </c>
      <c r="B1022" s="36" t="s">
        <v>1403</v>
      </c>
      <c r="C1022" s="36" t="s">
        <v>28</v>
      </c>
      <c r="D1022" s="36" t="s">
        <v>1403</v>
      </c>
      <c r="E1022" s="36" t="s">
        <v>30</v>
      </c>
      <c r="F1022" s="36" t="s">
        <v>569</v>
      </c>
      <c r="G1022" s="37" t="s">
        <v>654</v>
      </c>
      <c r="H1022" s="36" t="s">
        <v>1404</v>
      </c>
      <c r="I1022" s="36" t="s">
        <v>1405</v>
      </c>
      <c r="J1022" s="36">
        <v>3</v>
      </c>
      <c r="K1022" s="36" t="s">
        <v>1406</v>
      </c>
      <c r="L1022" s="36">
        <v>4</v>
      </c>
      <c r="M1022" s="36">
        <v>2</v>
      </c>
      <c r="N1022" s="38">
        <v>1500</v>
      </c>
      <c r="O1022" s="38">
        <v>3000</v>
      </c>
      <c r="P1022" s="36">
        <v>1</v>
      </c>
      <c r="Q1022" s="40">
        <v>46327</v>
      </c>
      <c r="R1022" s="36" t="s">
        <v>1035</v>
      </c>
      <c r="S1022" s="36" t="s">
        <v>1036</v>
      </c>
      <c r="T1022" s="36" t="s">
        <v>1037</v>
      </c>
      <c r="U1022" s="36" t="s">
        <v>1038</v>
      </c>
      <c r="V1022" s="40">
        <v>46327</v>
      </c>
      <c r="W1022" s="36"/>
      <c r="X1022" s="36">
        <v>0</v>
      </c>
      <c r="Y1022" s="36"/>
      <c r="Z1022" s="36">
        <v>0</v>
      </c>
      <c r="AA1022" s="36">
        <v>0</v>
      </c>
      <c r="AB1022" s="36"/>
      <c r="AC1022" s="36" t="str">
        <f t="shared" si="4"/>
        <v>PC26</v>
      </c>
      <c r="AD1022" s="36" t="str">
        <f>VLOOKUP(D1022,Oficial!A:C,3,0)</f>
        <v>Bienes y Servicios</v>
      </c>
    </row>
    <row r="1023" spans="1:30" x14ac:dyDescent="0.25">
      <c r="A1023" s="36" t="s">
        <v>27</v>
      </c>
      <c r="B1023" s="36" t="s">
        <v>1407</v>
      </c>
      <c r="C1023" s="36" t="s">
        <v>28</v>
      </c>
      <c r="D1023" s="36" t="s">
        <v>1407</v>
      </c>
      <c r="E1023" s="36" t="s">
        <v>30</v>
      </c>
      <c r="F1023" s="36" t="s">
        <v>569</v>
      </c>
      <c r="G1023" s="37" t="s">
        <v>800</v>
      </c>
      <c r="H1023" s="36" t="s">
        <v>1408</v>
      </c>
      <c r="I1023" s="36" t="s">
        <v>1409</v>
      </c>
      <c r="J1023" s="36">
        <v>1</v>
      </c>
      <c r="K1023" s="36" t="s">
        <v>1410</v>
      </c>
      <c r="L1023" s="36">
        <v>4</v>
      </c>
      <c r="M1023" s="36">
        <v>1</v>
      </c>
      <c r="N1023" s="38">
        <v>80000</v>
      </c>
      <c r="O1023" s="38">
        <v>80000</v>
      </c>
      <c r="P1023" s="36">
        <v>1</v>
      </c>
      <c r="Q1023" s="40">
        <v>46082</v>
      </c>
      <c r="R1023" s="36" t="s">
        <v>590</v>
      </c>
      <c r="S1023" s="36" t="s">
        <v>591</v>
      </c>
      <c r="T1023" s="36" t="s">
        <v>592</v>
      </c>
      <c r="U1023" s="36" t="s">
        <v>593</v>
      </c>
      <c r="V1023" s="40">
        <v>46082</v>
      </c>
      <c r="W1023" s="36"/>
      <c r="X1023" s="36">
        <v>0</v>
      </c>
      <c r="Y1023" s="36"/>
      <c r="Z1023" s="36">
        <v>0</v>
      </c>
      <c r="AA1023" s="36">
        <v>0</v>
      </c>
      <c r="AB1023" s="36"/>
      <c r="AC1023" s="36" t="str">
        <f t="shared" si="4"/>
        <v>PC26</v>
      </c>
      <c r="AD1023" s="36" t="str">
        <f>VLOOKUP(D1023,Oficial!A:C,3,0)</f>
        <v>Bienes y Servicios</v>
      </c>
    </row>
    <row r="1024" spans="1:30" x14ac:dyDescent="0.25">
      <c r="A1024" s="36" t="s">
        <v>27</v>
      </c>
      <c r="B1024" s="36" t="s">
        <v>1411</v>
      </c>
      <c r="C1024" s="36" t="s">
        <v>28</v>
      </c>
      <c r="D1024" s="36" t="s">
        <v>1411</v>
      </c>
      <c r="E1024" s="36" t="s">
        <v>30</v>
      </c>
      <c r="F1024" s="36" t="s">
        <v>569</v>
      </c>
      <c r="G1024" s="37" t="s">
        <v>1412</v>
      </c>
      <c r="H1024" s="36" t="s">
        <v>1413</v>
      </c>
      <c r="I1024" s="36" t="s">
        <v>1414</v>
      </c>
      <c r="J1024" s="36">
        <v>1</v>
      </c>
      <c r="K1024" s="36" t="s">
        <v>882</v>
      </c>
      <c r="L1024" s="36">
        <v>4</v>
      </c>
      <c r="M1024" s="36">
        <v>1</v>
      </c>
      <c r="N1024" s="38">
        <v>2000000</v>
      </c>
      <c r="O1024" s="38">
        <v>2000000</v>
      </c>
      <c r="P1024" s="36">
        <v>1</v>
      </c>
      <c r="Q1024" s="40">
        <v>46174</v>
      </c>
      <c r="R1024" s="36" t="s">
        <v>1415</v>
      </c>
      <c r="S1024" s="36" t="s">
        <v>1201</v>
      </c>
      <c r="T1024" s="36" t="s">
        <v>1108</v>
      </c>
      <c r="U1024" s="36" t="s">
        <v>516</v>
      </c>
      <c r="V1024" s="40">
        <v>46174</v>
      </c>
      <c r="W1024" s="36"/>
      <c r="X1024" s="36">
        <v>0</v>
      </c>
      <c r="Y1024" s="36"/>
      <c r="Z1024" s="36">
        <v>0</v>
      </c>
      <c r="AA1024" s="36">
        <v>0</v>
      </c>
      <c r="AB1024" s="36"/>
      <c r="AC1024" s="36" t="str">
        <f t="shared" si="4"/>
        <v>PC26</v>
      </c>
      <c r="AD1024" s="36" t="str">
        <f>VLOOKUP(D1024,Oficial!A:C,3,0)</f>
        <v>Bienes y Servicios</v>
      </c>
    </row>
    <row r="1025" spans="1:30" x14ac:dyDescent="0.25">
      <c r="A1025" s="36" t="s">
        <v>27</v>
      </c>
      <c r="B1025" s="36" t="s">
        <v>1416</v>
      </c>
      <c r="C1025" s="36" t="s">
        <v>28</v>
      </c>
      <c r="D1025" s="36" t="s">
        <v>1416</v>
      </c>
      <c r="E1025" s="36" t="s">
        <v>30</v>
      </c>
      <c r="F1025" s="36" t="s">
        <v>569</v>
      </c>
      <c r="G1025" s="37" t="s">
        <v>215</v>
      </c>
      <c r="H1025" s="36" t="s">
        <v>1417</v>
      </c>
      <c r="I1025" s="36" t="s">
        <v>1418</v>
      </c>
      <c r="J1025" s="36">
        <v>1</v>
      </c>
      <c r="K1025" s="36" t="s">
        <v>623</v>
      </c>
      <c r="L1025" s="36">
        <v>4</v>
      </c>
      <c r="M1025" s="36">
        <v>1</v>
      </c>
      <c r="N1025" s="38">
        <v>6000000</v>
      </c>
      <c r="O1025" s="38">
        <v>6000000</v>
      </c>
      <c r="P1025" s="36">
        <v>1</v>
      </c>
      <c r="Q1025" s="40">
        <v>46357</v>
      </c>
      <c r="R1025" s="36" t="s">
        <v>1415</v>
      </c>
      <c r="S1025" s="36" t="s">
        <v>1201</v>
      </c>
      <c r="T1025" s="36" t="s">
        <v>1108</v>
      </c>
      <c r="U1025" s="36" t="s">
        <v>516</v>
      </c>
      <c r="V1025" s="40">
        <v>46357</v>
      </c>
      <c r="W1025" s="36"/>
      <c r="X1025" s="36">
        <v>0</v>
      </c>
      <c r="Y1025" s="36"/>
      <c r="Z1025" s="36">
        <v>0</v>
      </c>
      <c r="AA1025" s="36">
        <v>0</v>
      </c>
      <c r="AB1025" s="36"/>
      <c r="AC1025" s="36" t="str">
        <f t="shared" si="4"/>
        <v>PC26</v>
      </c>
      <c r="AD1025" s="36" t="str">
        <f>VLOOKUP(D1025,Oficial!A:C,3,0)</f>
        <v>Bienes y Servicios</v>
      </c>
    </row>
    <row r="1026" spans="1:30" x14ac:dyDescent="0.25">
      <c r="A1026" s="36" t="s">
        <v>27</v>
      </c>
      <c r="B1026" s="36" t="s">
        <v>1419</v>
      </c>
      <c r="C1026" s="36" t="s">
        <v>28</v>
      </c>
      <c r="D1026" s="36" t="s">
        <v>1419</v>
      </c>
      <c r="E1026" s="36" t="s">
        <v>30</v>
      </c>
      <c r="F1026" s="36" t="s">
        <v>569</v>
      </c>
      <c r="G1026" s="37" t="s">
        <v>215</v>
      </c>
      <c r="H1026" s="36" t="s">
        <v>1420</v>
      </c>
      <c r="I1026" s="36" t="s">
        <v>1421</v>
      </c>
      <c r="J1026" s="36">
        <v>1</v>
      </c>
      <c r="K1026" s="36" t="s">
        <v>882</v>
      </c>
      <c r="L1026" s="36">
        <v>4</v>
      </c>
      <c r="M1026" s="36">
        <v>1</v>
      </c>
      <c r="N1026" s="38">
        <v>80000000</v>
      </c>
      <c r="O1026" s="38">
        <v>0</v>
      </c>
      <c r="P1026" s="36">
        <v>12</v>
      </c>
      <c r="Q1026" s="36" t="s">
        <v>1029</v>
      </c>
      <c r="R1026" s="36" t="s">
        <v>1415</v>
      </c>
      <c r="S1026" s="36" t="s">
        <v>1201</v>
      </c>
      <c r="T1026" s="36" t="s">
        <v>1108</v>
      </c>
      <c r="U1026" s="36" t="s">
        <v>516</v>
      </c>
      <c r="V1026" s="40">
        <v>46357</v>
      </c>
      <c r="W1026" s="36"/>
      <c r="X1026" s="36">
        <v>0</v>
      </c>
      <c r="Y1026" s="36"/>
      <c r="Z1026" s="36">
        <v>0</v>
      </c>
      <c r="AA1026" s="36">
        <v>0</v>
      </c>
      <c r="AB1026" s="36"/>
      <c r="AC1026" s="36" t="str">
        <f t="shared" si="4"/>
        <v>PC26</v>
      </c>
      <c r="AD1026" s="36" t="str">
        <f>VLOOKUP(D1026,Oficial!A:C,3,0)</f>
        <v>Bienes y Servicios</v>
      </c>
    </row>
    <row r="1027" spans="1:30" x14ac:dyDescent="0.25">
      <c r="A1027" s="36" t="s">
        <v>27</v>
      </c>
      <c r="B1027" s="36" t="s">
        <v>1422</v>
      </c>
      <c r="C1027" s="36" t="s">
        <v>28</v>
      </c>
      <c r="D1027" s="36" t="s">
        <v>1422</v>
      </c>
      <c r="E1027" s="36" t="s">
        <v>30</v>
      </c>
      <c r="F1027" s="36" t="s">
        <v>569</v>
      </c>
      <c r="G1027" s="37" t="s">
        <v>215</v>
      </c>
      <c r="H1027" s="36" t="s">
        <v>1423</v>
      </c>
      <c r="I1027" s="36" t="s">
        <v>1424</v>
      </c>
      <c r="J1027" s="36">
        <v>1</v>
      </c>
      <c r="K1027" s="36" t="s">
        <v>1425</v>
      </c>
      <c r="L1027" s="36">
        <v>4</v>
      </c>
      <c r="M1027" s="36">
        <v>1</v>
      </c>
      <c r="N1027" s="38">
        <v>25000000</v>
      </c>
      <c r="O1027" s="38">
        <v>25000000</v>
      </c>
      <c r="P1027" s="36">
        <v>1</v>
      </c>
      <c r="Q1027" s="40">
        <v>46327</v>
      </c>
      <c r="R1027" s="36" t="s">
        <v>1415</v>
      </c>
      <c r="S1027" s="36" t="s">
        <v>1201</v>
      </c>
      <c r="T1027" s="36" t="s">
        <v>1108</v>
      </c>
      <c r="U1027" s="36" t="s">
        <v>516</v>
      </c>
      <c r="V1027" s="40">
        <v>46327</v>
      </c>
      <c r="W1027" s="36"/>
      <c r="X1027" s="36">
        <v>0</v>
      </c>
      <c r="Y1027" s="36"/>
      <c r="Z1027" s="36">
        <v>0</v>
      </c>
      <c r="AA1027" s="36">
        <v>0</v>
      </c>
      <c r="AB1027" s="36"/>
      <c r="AC1027" s="36" t="str">
        <f t="shared" si="4"/>
        <v>PC26</v>
      </c>
      <c r="AD1027" s="36" t="str">
        <f>VLOOKUP(D1027,Oficial!A:C,3,0)</f>
        <v>Bienes y Servicios</v>
      </c>
    </row>
    <row r="1028" spans="1:30" x14ac:dyDescent="0.25">
      <c r="A1028" s="36" t="s">
        <v>27</v>
      </c>
      <c r="B1028" s="36" t="s">
        <v>1426</v>
      </c>
      <c r="C1028" s="36" t="s">
        <v>28</v>
      </c>
      <c r="D1028" s="36" t="s">
        <v>1426</v>
      </c>
      <c r="E1028" s="36" t="s">
        <v>30</v>
      </c>
      <c r="F1028" s="36" t="s">
        <v>569</v>
      </c>
      <c r="G1028" s="37" t="s">
        <v>215</v>
      </c>
      <c r="H1028" s="36" t="s">
        <v>1427</v>
      </c>
      <c r="I1028" s="36" t="s">
        <v>1428</v>
      </c>
      <c r="J1028" s="36">
        <v>1</v>
      </c>
      <c r="K1028" s="36" t="s">
        <v>623</v>
      </c>
      <c r="L1028" s="36">
        <v>4</v>
      </c>
      <c r="M1028" s="36">
        <v>1</v>
      </c>
      <c r="N1028" s="38">
        <v>10000000</v>
      </c>
      <c r="O1028" s="38">
        <v>10000000</v>
      </c>
      <c r="P1028" s="36">
        <v>1</v>
      </c>
      <c r="Q1028" s="40">
        <v>46327</v>
      </c>
      <c r="R1028" s="36" t="s">
        <v>1415</v>
      </c>
      <c r="S1028" s="36" t="s">
        <v>1201</v>
      </c>
      <c r="T1028" s="36" t="s">
        <v>1108</v>
      </c>
      <c r="U1028" s="36" t="s">
        <v>516</v>
      </c>
      <c r="V1028" s="40">
        <v>46327</v>
      </c>
      <c r="W1028" s="36"/>
      <c r="X1028" s="36">
        <v>0</v>
      </c>
      <c r="Y1028" s="36"/>
      <c r="Z1028" s="36">
        <v>0</v>
      </c>
      <c r="AA1028" s="36">
        <v>0</v>
      </c>
      <c r="AB1028" s="36"/>
      <c r="AC1028" s="36" t="str">
        <f t="shared" si="4"/>
        <v>PC26</v>
      </c>
      <c r="AD1028" s="36" t="str">
        <f>VLOOKUP(D1028,Oficial!A:C,3,0)</f>
        <v>Bienes y Servicios</v>
      </c>
    </row>
    <row r="1029" spans="1:30" x14ac:dyDescent="0.25">
      <c r="A1029" s="36" t="s">
        <v>27</v>
      </c>
      <c r="B1029" s="36" t="s">
        <v>1429</v>
      </c>
      <c r="C1029" s="36" t="s">
        <v>28</v>
      </c>
      <c r="D1029" s="36" t="s">
        <v>1429</v>
      </c>
      <c r="E1029" s="36" t="s">
        <v>30</v>
      </c>
      <c r="F1029" s="36" t="s">
        <v>569</v>
      </c>
      <c r="G1029" s="37" t="s">
        <v>215</v>
      </c>
      <c r="H1029" s="36" t="s">
        <v>1430</v>
      </c>
      <c r="I1029" s="36" t="s">
        <v>1431</v>
      </c>
      <c r="J1029" s="36">
        <v>1</v>
      </c>
      <c r="K1029" s="36" t="s">
        <v>623</v>
      </c>
      <c r="L1029" s="36">
        <v>4</v>
      </c>
      <c r="M1029" s="36">
        <v>112</v>
      </c>
      <c r="N1029" s="38">
        <v>315219</v>
      </c>
      <c r="O1029" s="38">
        <v>35304528</v>
      </c>
      <c r="P1029" s="36">
        <v>1</v>
      </c>
      <c r="Q1029" s="40">
        <v>46296</v>
      </c>
      <c r="R1029" s="36" t="s">
        <v>1432</v>
      </c>
      <c r="S1029" s="36" t="s">
        <v>1433</v>
      </c>
      <c r="T1029" s="36" t="s">
        <v>1434</v>
      </c>
      <c r="U1029" s="36" t="s">
        <v>1435</v>
      </c>
      <c r="V1029" s="40">
        <v>46296</v>
      </c>
      <c r="W1029" s="36"/>
      <c r="X1029" s="36">
        <v>0</v>
      </c>
      <c r="Y1029" s="36"/>
      <c r="Z1029" s="36">
        <v>0</v>
      </c>
      <c r="AA1029" s="36">
        <v>0</v>
      </c>
      <c r="AB1029" s="36"/>
      <c r="AC1029" s="36" t="str">
        <f t="shared" si="4"/>
        <v>PC26</v>
      </c>
      <c r="AD1029" s="36" t="str">
        <f>VLOOKUP(D1029,Oficial!A:C,3,0)</f>
        <v>Bienes y Servicios</v>
      </c>
    </row>
    <row r="1030" spans="1:30" x14ac:dyDescent="0.25">
      <c r="A1030" s="36" t="s">
        <v>27</v>
      </c>
      <c r="B1030" s="36" t="s">
        <v>1436</v>
      </c>
      <c r="C1030" s="36" t="s">
        <v>28</v>
      </c>
      <c r="D1030" s="36" t="s">
        <v>1436</v>
      </c>
      <c r="E1030" s="36" t="s">
        <v>30</v>
      </c>
      <c r="F1030" s="36" t="s">
        <v>569</v>
      </c>
      <c r="G1030" s="37" t="s">
        <v>1437</v>
      </c>
      <c r="H1030" s="36" t="s">
        <v>1438</v>
      </c>
      <c r="I1030" s="36" t="s">
        <v>1439</v>
      </c>
      <c r="J1030" s="36">
        <v>3</v>
      </c>
      <c r="K1030" s="36" t="s">
        <v>1276</v>
      </c>
      <c r="L1030" s="36">
        <v>4</v>
      </c>
      <c r="M1030" s="36">
        <v>30</v>
      </c>
      <c r="N1030" s="38">
        <v>1000</v>
      </c>
      <c r="O1030" s="38">
        <v>30000</v>
      </c>
      <c r="P1030" s="36">
        <v>1</v>
      </c>
      <c r="Q1030" s="40">
        <v>46235</v>
      </c>
      <c r="R1030" s="36" t="s">
        <v>1231</v>
      </c>
      <c r="S1030" s="36" t="s">
        <v>1232</v>
      </c>
      <c r="T1030" s="36" t="s">
        <v>566</v>
      </c>
      <c r="U1030" s="36" t="s">
        <v>67</v>
      </c>
      <c r="V1030" s="40">
        <v>46235</v>
      </c>
      <c r="W1030" s="36"/>
      <c r="X1030" s="36">
        <v>0</v>
      </c>
      <c r="Y1030" s="36"/>
      <c r="Z1030" s="36">
        <v>0</v>
      </c>
      <c r="AA1030" s="36">
        <v>0</v>
      </c>
      <c r="AB1030" s="36"/>
      <c r="AC1030" s="36" t="str">
        <f t="shared" si="4"/>
        <v>PC26</v>
      </c>
      <c r="AD1030" s="36" t="str">
        <f>VLOOKUP(D1030,Oficial!A:C,3,0)</f>
        <v>Bienes y Servicios</v>
      </c>
    </row>
    <row r="1031" spans="1:30" x14ac:dyDescent="0.25">
      <c r="A1031" s="36" t="s">
        <v>27</v>
      </c>
      <c r="B1031" s="36" t="s">
        <v>1436</v>
      </c>
      <c r="C1031" s="36" t="s">
        <v>28</v>
      </c>
      <c r="D1031" s="36" t="s">
        <v>1436</v>
      </c>
      <c r="E1031" s="36" t="s">
        <v>30</v>
      </c>
      <c r="F1031" s="36" t="s">
        <v>569</v>
      </c>
      <c r="G1031" s="37" t="s">
        <v>1437</v>
      </c>
      <c r="H1031" s="36" t="s">
        <v>1438</v>
      </c>
      <c r="I1031" s="36" t="s">
        <v>1439</v>
      </c>
      <c r="J1031" s="36">
        <v>3</v>
      </c>
      <c r="K1031" s="36" t="s">
        <v>1440</v>
      </c>
      <c r="L1031" s="36">
        <v>4</v>
      </c>
      <c r="M1031" s="36">
        <v>10</v>
      </c>
      <c r="N1031" s="38">
        <v>5000</v>
      </c>
      <c r="O1031" s="38">
        <v>50000</v>
      </c>
      <c r="P1031" s="36">
        <v>1</v>
      </c>
      <c r="Q1031" s="40">
        <v>46235</v>
      </c>
      <c r="R1031" s="36" t="s">
        <v>1231</v>
      </c>
      <c r="S1031" s="36" t="s">
        <v>1232</v>
      </c>
      <c r="T1031" s="36" t="s">
        <v>566</v>
      </c>
      <c r="U1031" s="36" t="s">
        <v>67</v>
      </c>
      <c r="V1031" s="40">
        <v>46235</v>
      </c>
      <c r="W1031" s="36"/>
      <c r="X1031" s="36">
        <v>0</v>
      </c>
      <c r="Y1031" s="36"/>
      <c r="Z1031" s="36">
        <v>0</v>
      </c>
      <c r="AA1031" s="36">
        <v>0</v>
      </c>
      <c r="AB1031" s="36"/>
      <c r="AC1031" s="36" t="str">
        <f t="shared" si="4"/>
        <v>PC26</v>
      </c>
      <c r="AD1031" s="36" t="str">
        <f>VLOOKUP(D1031,Oficial!A:C,3,0)</f>
        <v>Bienes y Servicios</v>
      </c>
    </row>
    <row r="1032" spans="1:30" x14ac:dyDescent="0.25">
      <c r="A1032" s="36" t="s">
        <v>27</v>
      </c>
      <c r="B1032" s="36" t="s">
        <v>1436</v>
      </c>
      <c r="C1032" s="36" t="s">
        <v>28</v>
      </c>
      <c r="D1032" s="36" t="s">
        <v>1436</v>
      </c>
      <c r="E1032" s="36" t="s">
        <v>30</v>
      </c>
      <c r="F1032" s="36" t="s">
        <v>569</v>
      </c>
      <c r="G1032" s="37" t="s">
        <v>1437</v>
      </c>
      <c r="H1032" s="36" t="s">
        <v>1438</v>
      </c>
      <c r="I1032" s="36" t="s">
        <v>1439</v>
      </c>
      <c r="J1032" s="36">
        <v>3</v>
      </c>
      <c r="K1032" s="36" t="s">
        <v>1441</v>
      </c>
      <c r="L1032" s="36">
        <v>4</v>
      </c>
      <c r="M1032" s="36">
        <v>1</v>
      </c>
      <c r="N1032" s="38">
        <v>420000</v>
      </c>
      <c r="O1032" s="38">
        <v>420000</v>
      </c>
      <c r="P1032" s="36">
        <v>1</v>
      </c>
      <c r="Q1032" s="40">
        <v>46235</v>
      </c>
      <c r="R1032" s="36" t="s">
        <v>1231</v>
      </c>
      <c r="S1032" s="36" t="s">
        <v>1232</v>
      </c>
      <c r="T1032" s="36" t="s">
        <v>566</v>
      </c>
      <c r="U1032" s="36" t="s">
        <v>67</v>
      </c>
      <c r="V1032" s="40">
        <v>46235</v>
      </c>
      <c r="W1032" s="36"/>
      <c r="X1032" s="36">
        <v>0</v>
      </c>
      <c r="Y1032" s="36"/>
      <c r="Z1032" s="36">
        <v>0</v>
      </c>
      <c r="AA1032" s="36">
        <v>0</v>
      </c>
      <c r="AB1032" s="36"/>
      <c r="AC1032" s="36" t="str">
        <f t="shared" si="4"/>
        <v>PC26</v>
      </c>
      <c r="AD1032" s="36" t="str">
        <f>VLOOKUP(D1032,Oficial!A:C,3,0)</f>
        <v>Bienes y Servicios</v>
      </c>
    </row>
    <row r="1033" spans="1:30" x14ac:dyDescent="0.25">
      <c r="A1033" s="36" t="s">
        <v>27</v>
      </c>
      <c r="B1033" s="36" t="s">
        <v>1442</v>
      </c>
      <c r="C1033" s="36" t="s">
        <v>28</v>
      </c>
      <c r="D1033" s="36" t="s">
        <v>1442</v>
      </c>
      <c r="E1033" s="36" t="s">
        <v>30</v>
      </c>
      <c r="F1033" s="36" t="s">
        <v>569</v>
      </c>
      <c r="G1033" s="37" t="s">
        <v>800</v>
      </c>
      <c r="H1033" s="36" t="s">
        <v>1443</v>
      </c>
      <c r="I1033" s="36" t="s">
        <v>1444</v>
      </c>
      <c r="J1033" s="36">
        <v>1</v>
      </c>
      <c r="K1033" s="36" t="s">
        <v>786</v>
      </c>
      <c r="L1033" s="36">
        <v>4</v>
      </c>
      <c r="M1033" s="36">
        <v>6</v>
      </c>
      <c r="N1033" s="38">
        <v>49990</v>
      </c>
      <c r="O1033" s="38">
        <v>299940</v>
      </c>
      <c r="P1033" s="36">
        <v>1</v>
      </c>
      <c r="Q1033" s="40">
        <v>46054</v>
      </c>
      <c r="R1033" s="36" t="s">
        <v>1445</v>
      </c>
      <c r="S1033" s="36" t="s">
        <v>1446</v>
      </c>
      <c r="T1033" s="36" t="s">
        <v>1447</v>
      </c>
      <c r="U1033" s="36" t="s">
        <v>1448</v>
      </c>
      <c r="V1033" s="40">
        <v>46054</v>
      </c>
      <c r="W1033" s="36"/>
      <c r="X1033" s="36">
        <v>0</v>
      </c>
      <c r="Y1033" s="36"/>
      <c r="Z1033" s="36">
        <v>0</v>
      </c>
      <c r="AA1033" s="36">
        <v>0</v>
      </c>
      <c r="AB1033" s="36"/>
      <c r="AC1033" s="36" t="str">
        <f t="shared" si="4"/>
        <v>PC26</v>
      </c>
      <c r="AD1033" s="36" t="str">
        <f>VLOOKUP(D1033,Oficial!A:C,3,0)</f>
        <v>Bienes y Servicios</v>
      </c>
    </row>
    <row r="1034" spans="1:30" x14ac:dyDescent="0.25">
      <c r="A1034" s="36" t="s">
        <v>27</v>
      </c>
      <c r="B1034" s="36" t="s">
        <v>1449</v>
      </c>
      <c r="C1034" s="36" t="s">
        <v>28</v>
      </c>
      <c r="D1034" s="36" t="s">
        <v>1449</v>
      </c>
      <c r="E1034" s="36" t="s">
        <v>30</v>
      </c>
      <c r="F1034" s="36" t="s">
        <v>569</v>
      </c>
      <c r="G1034" s="37" t="s">
        <v>1246</v>
      </c>
      <c r="H1034" s="36" t="s">
        <v>1450</v>
      </c>
      <c r="I1034" s="36" t="s">
        <v>1451</v>
      </c>
      <c r="J1034" s="36">
        <v>2</v>
      </c>
      <c r="K1034" s="36" t="s">
        <v>1133</v>
      </c>
      <c r="L1034" s="36">
        <v>4</v>
      </c>
      <c r="M1034" s="36">
        <v>16</v>
      </c>
      <c r="N1034" s="38">
        <v>14375</v>
      </c>
      <c r="O1034" s="38">
        <v>230000</v>
      </c>
      <c r="P1034" s="36">
        <v>1</v>
      </c>
      <c r="Q1034" s="40">
        <v>46082</v>
      </c>
      <c r="R1034" s="36" t="s">
        <v>1075</v>
      </c>
      <c r="S1034" s="36" t="s">
        <v>1076</v>
      </c>
      <c r="T1034" s="36" t="s">
        <v>1077</v>
      </c>
      <c r="U1034" s="36" t="s">
        <v>1084</v>
      </c>
      <c r="V1034" s="40">
        <v>46082</v>
      </c>
      <c r="W1034" s="36"/>
      <c r="X1034" s="36">
        <v>0</v>
      </c>
      <c r="Y1034" s="36"/>
      <c r="Z1034" s="36">
        <v>0</v>
      </c>
      <c r="AA1034" s="36">
        <v>0</v>
      </c>
      <c r="AB1034" s="36"/>
      <c r="AC1034" s="36" t="str">
        <f t="shared" si="4"/>
        <v>PC26</v>
      </c>
      <c r="AD1034" s="36" t="str">
        <f>VLOOKUP(D1034,Oficial!A:C,3,0)</f>
        <v>Bienes y Servicios</v>
      </c>
    </row>
    <row r="1035" spans="1:30" x14ac:dyDescent="0.25">
      <c r="A1035" s="36" t="s">
        <v>27</v>
      </c>
      <c r="B1035" s="36" t="s">
        <v>1449</v>
      </c>
      <c r="C1035" s="36" t="s">
        <v>28</v>
      </c>
      <c r="D1035" s="36" t="s">
        <v>1449</v>
      </c>
      <c r="E1035" s="36" t="s">
        <v>30</v>
      </c>
      <c r="F1035" s="36" t="s">
        <v>569</v>
      </c>
      <c r="G1035" s="37" t="s">
        <v>1246</v>
      </c>
      <c r="H1035" s="36" t="s">
        <v>1450</v>
      </c>
      <c r="I1035" s="36" t="s">
        <v>1451</v>
      </c>
      <c r="J1035" s="36">
        <v>2</v>
      </c>
      <c r="K1035" s="36" t="s">
        <v>1452</v>
      </c>
      <c r="L1035" s="36">
        <v>4</v>
      </c>
      <c r="M1035" s="36">
        <v>2</v>
      </c>
      <c r="N1035" s="38">
        <v>80000</v>
      </c>
      <c r="O1035" s="38">
        <v>160000</v>
      </c>
      <c r="P1035" s="36">
        <v>1</v>
      </c>
      <c r="Q1035" s="40">
        <v>46023</v>
      </c>
      <c r="R1035" s="36" t="s">
        <v>1075</v>
      </c>
      <c r="S1035" s="36" t="s">
        <v>1076</v>
      </c>
      <c r="T1035" s="36" t="s">
        <v>1077</v>
      </c>
      <c r="U1035" s="36" t="s">
        <v>1084</v>
      </c>
      <c r="V1035" s="40">
        <v>46023</v>
      </c>
      <c r="W1035" s="36"/>
      <c r="X1035" s="36">
        <v>0</v>
      </c>
      <c r="Y1035" s="36"/>
      <c r="Z1035" s="36">
        <v>0</v>
      </c>
      <c r="AA1035" s="36">
        <v>0</v>
      </c>
      <c r="AB1035" s="36"/>
      <c r="AC1035" s="36" t="str">
        <f t="shared" si="4"/>
        <v>PC26</v>
      </c>
      <c r="AD1035" s="36" t="str">
        <f>VLOOKUP(D1035,Oficial!A:C,3,0)</f>
        <v>Bienes y Servicios</v>
      </c>
    </row>
    <row r="1036" spans="1:30" x14ac:dyDescent="0.25">
      <c r="A1036" s="36" t="s">
        <v>27</v>
      </c>
      <c r="B1036" s="36" t="s">
        <v>1453</v>
      </c>
      <c r="C1036" s="36" t="s">
        <v>28</v>
      </c>
      <c r="D1036" s="36" t="s">
        <v>1453</v>
      </c>
      <c r="E1036" s="36" t="s">
        <v>30</v>
      </c>
      <c r="F1036" s="36" t="s">
        <v>569</v>
      </c>
      <c r="G1036" s="37" t="s">
        <v>654</v>
      </c>
      <c r="H1036" s="36" t="s">
        <v>1454</v>
      </c>
      <c r="I1036" s="36" t="s">
        <v>1455</v>
      </c>
      <c r="J1036" s="36">
        <v>1</v>
      </c>
      <c r="K1036" s="36" t="s">
        <v>602</v>
      </c>
      <c r="L1036" s="36">
        <v>4</v>
      </c>
      <c r="M1036" s="36">
        <v>2</v>
      </c>
      <c r="N1036" s="38">
        <v>360000</v>
      </c>
      <c r="O1036" s="38">
        <v>720000</v>
      </c>
      <c r="P1036" s="36">
        <v>1</v>
      </c>
      <c r="Q1036" s="40">
        <v>46113</v>
      </c>
      <c r="R1036" s="36" t="s">
        <v>1445</v>
      </c>
      <c r="S1036" s="36" t="s">
        <v>1446</v>
      </c>
      <c r="T1036" s="36" t="s">
        <v>1447</v>
      </c>
      <c r="U1036" s="36" t="s">
        <v>1448</v>
      </c>
      <c r="V1036" s="40">
        <v>46113</v>
      </c>
      <c r="W1036" s="36"/>
      <c r="X1036" s="36">
        <v>0</v>
      </c>
      <c r="Y1036" s="36"/>
      <c r="Z1036" s="36">
        <v>0</v>
      </c>
      <c r="AA1036" s="36">
        <v>0</v>
      </c>
      <c r="AB1036" s="36"/>
      <c r="AC1036" s="36" t="str">
        <f t="shared" si="4"/>
        <v>PC26</v>
      </c>
      <c r="AD1036" s="36" t="str">
        <f>VLOOKUP(D1036,Oficial!A:C,3,0)</f>
        <v>Bienes y Servicios</v>
      </c>
    </row>
    <row r="1037" spans="1:30" x14ac:dyDescent="0.25">
      <c r="A1037" s="36" t="s">
        <v>27</v>
      </c>
      <c r="B1037" s="36" t="s">
        <v>1456</v>
      </c>
      <c r="C1037" s="36" t="s">
        <v>28</v>
      </c>
      <c r="D1037" s="36" t="s">
        <v>1456</v>
      </c>
      <c r="E1037" s="36" t="s">
        <v>30</v>
      </c>
      <c r="F1037" s="36" t="s">
        <v>569</v>
      </c>
      <c r="G1037" s="37" t="s">
        <v>104</v>
      </c>
      <c r="H1037" s="36" t="s">
        <v>1457</v>
      </c>
      <c r="I1037" s="36" t="s">
        <v>1458</v>
      </c>
      <c r="J1037" s="36">
        <v>1</v>
      </c>
      <c r="K1037" s="36" t="s">
        <v>1459</v>
      </c>
      <c r="L1037" s="36">
        <v>4</v>
      </c>
      <c r="M1037" s="36">
        <v>9</v>
      </c>
      <c r="N1037" s="38">
        <v>18889</v>
      </c>
      <c r="O1037" s="38">
        <v>170001</v>
      </c>
      <c r="P1037" s="36">
        <v>1</v>
      </c>
      <c r="Q1037" s="40">
        <v>46054</v>
      </c>
      <c r="R1037" s="36" t="s">
        <v>1211</v>
      </c>
      <c r="S1037" s="36" t="s">
        <v>320</v>
      </c>
      <c r="T1037" s="36" t="s">
        <v>1212</v>
      </c>
      <c r="U1037" s="36" t="s">
        <v>322</v>
      </c>
      <c r="V1037" s="40">
        <v>46054</v>
      </c>
      <c r="W1037" s="36"/>
      <c r="X1037" s="36">
        <v>0</v>
      </c>
      <c r="Y1037" s="36"/>
      <c r="Z1037" s="36">
        <v>0</v>
      </c>
      <c r="AA1037" s="36">
        <v>0</v>
      </c>
      <c r="AB1037" s="36"/>
      <c r="AC1037" s="36" t="str">
        <f t="shared" si="4"/>
        <v>PC26</v>
      </c>
      <c r="AD1037" s="36" t="str">
        <f>VLOOKUP(D1037,Oficial!A:C,3,0)</f>
        <v>Bienes y Servicios</v>
      </c>
    </row>
    <row r="1038" spans="1:30" x14ac:dyDescent="0.25">
      <c r="A1038" s="36" t="s">
        <v>27</v>
      </c>
      <c r="B1038" s="36" t="s">
        <v>1460</v>
      </c>
      <c r="C1038" s="36" t="s">
        <v>28</v>
      </c>
      <c r="D1038" s="36" t="s">
        <v>1460</v>
      </c>
      <c r="E1038" s="36" t="s">
        <v>30</v>
      </c>
      <c r="F1038" s="36" t="s">
        <v>569</v>
      </c>
      <c r="G1038" s="37" t="s">
        <v>645</v>
      </c>
      <c r="H1038" s="36" t="s">
        <v>1461</v>
      </c>
      <c r="I1038" s="36" t="s">
        <v>1462</v>
      </c>
      <c r="J1038" s="36">
        <v>1</v>
      </c>
      <c r="K1038" s="36" t="s">
        <v>1463</v>
      </c>
      <c r="L1038" s="36">
        <v>4</v>
      </c>
      <c r="M1038" s="36">
        <v>189</v>
      </c>
      <c r="N1038" s="38">
        <v>43366</v>
      </c>
      <c r="O1038" s="38">
        <v>8196174</v>
      </c>
      <c r="P1038" s="36">
        <v>1</v>
      </c>
      <c r="Q1038" s="40">
        <v>46023</v>
      </c>
      <c r="R1038" s="36" t="s">
        <v>1075</v>
      </c>
      <c r="S1038" s="36" t="s">
        <v>1076</v>
      </c>
      <c r="T1038" s="36" t="s">
        <v>1077</v>
      </c>
      <c r="U1038" s="36" t="s">
        <v>1084</v>
      </c>
      <c r="V1038" s="40">
        <v>46023</v>
      </c>
      <c r="W1038" s="36"/>
      <c r="X1038" s="36">
        <v>0</v>
      </c>
      <c r="Y1038" s="36"/>
      <c r="Z1038" s="36">
        <v>0</v>
      </c>
      <c r="AA1038" s="36">
        <v>0</v>
      </c>
      <c r="AB1038" s="36"/>
      <c r="AC1038" s="36" t="str">
        <f t="shared" si="4"/>
        <v>PC26</v>
      </c>
      <c r="AD1038" s="36" t="str">
        <f>VLOOKUP(D1038,Oficial!A:C,3,0)</f>
        <v>Bienes y Servicios</v>
      </c>
    </row>
    <row r="1039" spans="1:30" x14ac:dyDescent="0.25">
      <c r="A1039" s="36" t="s">
        <v>27</v>
      </c>
      <c r="B1039" s="36" t="s">
        <v>1464</v>
      </c>
      <c r="C1039" s="36" t="s">
        <v>1238</v>
      </c>
      <c r="D1039" s="36" t="s">
        <v>1464</v>
      </c>
      <c r="E1039" s="36" t="s">
        <v>30</v>
      </c>
      <c r="F1039" s="36" t="s">
        <v>745</v>
      </c>
      <c r="G1039" s="37" t="s">
        <v>1290</v>
      </c>
      <c r="H1039" s="36" t="s">
        <v>1465</v>
      </c>
      <c r="I1039" s="36" t="s">
        <v>1462</v>
      </c>
      <c r="J1039" s="36">
        <v>1</v>
      </c>
      <c r="K1039" s="36" t="s">
        <v>1293</v>
      </c>
      <c r="L1039" s="36">
        <v>4</v>
      </c>
      <c r="M1039" s="36">
        <v>10</v>
      </c>
      <c r="N1039" s="38">
        <v>100000</v>
      </c>
      <c r="O1039" s="38">
        <v>1000000</v>
      </c>
      <c r="P1039" s="36">
        <v>1</v>
      </c>
      <c r="Q1039" s="40">
        <v>46023</v>
      </c>
      <c r="R1039" s="36" t="s">
        <v>1075</v>
      </c>
      <c r="S1039" s="36" t="s">
        <v>1076</v>
      </c>
      <c r="T1039" s="36" t="s">
        <v>1077</v>
      </c>
      <c r="U1039" s="36" t="s">
        <v>1084</v>
      </c>
      <c r="V1039" s="40">
        <v>46023</v>
      </c>
      <c r="W1039" s="36"/>
      <c r="X1039" s="36">
        <v>0</v>
      </c>
      <c r="Y1039" s="36"/>
      <c r="Z1039" s="36">
        <v>0</v>
      </c>
      <c r="AA1039" s="36">
        <v>0</v>
      </c>
      <c r="AB1039" s="36"/>
      <c r="AC1039" s="36" t="str">
        <f t="shared" si="4"/>
        <v>PC26</v>
      </c>
      <c r="AD1039" s="36" t="str">
        <f>VLOOKUP(D1039,Oficial!A:C,3,0)</f>
        <v>Activos Fijos</v>
      </c>
    </row>
    <row r="1040" spans="1:30" x14ac:dyDescent="0.25">
      <c r="A1040" s="36" t="s">
        <v>27</v>
      </c>
      <c r="B1040" s="36" t="s">
        <v>1466</v>
      </c>
      <c r="C1040" s="36" t="s">
        <v>28</v>
      </c>
      <c r="D1040" s="36" t="s">
        <v>1466</v>
      </c>
      <c r="E1040" s="36" t="s">
        <v>30</v>
      </c>
      <c r="F1040" s="36" t="s">
        <v>569</v>
      </c>
      <c r="G1040" s="37" t="s">
        <v>483</v>
      </c>
      <c r="H1040" s="36" t="s">
        <v>1467</v>
      </c>
      <c r="I1040" s="36" t="s">
        <v>1468</v>
      </c>
      <c r="J1040" s="36">
        <v>1</v>
      </c>
      <c r="K1040" s="36" t="s">
        <v>760</v>
      </c>
      <c r="L1040" s="36">
        <v>4</v>
      </c>
      <c r="M1040" s="36">
        <v>47</v>
      </c>
      <c r="N1040" s="38">
        <v>106383</v>
      </c>
      <c r="O1040" s="38">
        <v>5000001</v>
      </c>
      <c r="P1040" s="36">
        <v>1</v>
      </c>
      <c r="Q1040" s="40">
        <v>46054</v>
      </c>
      <c r="R1040" s="36" t="s">
        <v>1469</v>
      </c>
      <c r="S1040" s="36" t="s">
        <v>1470</v>
      </c>
      <c r="T1040" s="36" t="s">
        <v>1471</v>
      </c>
      <c r="U1040" s="36" t="s">
        <v>1472</v>
      </c>
      <c r="V1040" s="40">
        <v>46054</v>
      </c>
      <c r="W1040" s="36"/>
      <c r="X1040" s="36">
        <v>0</v>
      </c>
      <c r="Y1040" s="36"/>
      <c r="Z1040" s="36">
        <v>0</v>
      </c>
      <c r="AA1040" s="36">
        <v>0</v>
      </c>
      <c r="AB1040" s="36"/>
      <c r="AC1040" s="36" t="str">
        <f t="shared" si="4"/>
        <v>PC26</v>
      </c>
      <c r="AD1040" s="36" t="str">
        <f>VLOOKUP(D1040,Oficial!A:C,3,0)</f>
        <v>Bienes y Servicios</v>
      </c>
    </row>
    <row r="1041" spans="1:30" x14ac:dyDescent="0.25">
      <c r="A1041" s="36" t="s">
        <v>27</v>
      </c>
      <c r="B1041" s="36" t="s">
        <v>1473</v>
      </c>
      <c r="C1041" s="36" t="s">
        <v>28</v>
      </c>
      <c r="D1041" s="36" t="s">
        <v>1473</v>
      </c>
      <c r="E1041" s="36" t="s">
        <v>30</v>
      </c>
      <c r="F1041" s="36" t="s">
        <v>569</v>
      </c>
      <c r="G1041" s="37" t="s">
        <v>104</v>
      </c>
      <c r="H1041" s="36" t="s">
        <v>1474</v>
      </c>
      <c r="I1041" s="36" t="s">
        <v>1475</v>
      </c>
      <c r="J1041" s="36">
        <v>1</v>
      </c>
      <c r="K1041" s="36" t="s">
        <v>1476</v>
      </c>
      <c r="L1041" s="36">
        <v>4</v>
      </c>
      <c r="M1041" s="36">
        <v>63</v>
      </c>
      <c r="N1041" s="38">
        <v>4762</v>
      </c>
      <c r="O1041" s="38">
        <v>300006</v>
      </c>
      <c r="P1041" s="36">
        <v>1</v>
      </c>
      <c r="Q1041" s="40">
        <v>46023</v>
      </c>
      <c r="R1041" s="36" t="s">
        <v>1477</v>
      </c>
      <c r="S1041" s="36" t="s">
        <v>1478</v>
      </c>
      <c r="T1041" s="36" t="s">
        <v>220</v>
      </c>
      <c r="U1041" s="36" t="s">
        <v>221</v>
      </c>
      <c r="V1041" s="40">
        <v>46023</v>
      </c>
      <c r="W1041" s="36"/>
      <c r="X1041" s="36">
        <v>0</v>
      </c>
      <c r="Y1041" s="36"/>
      <c r="Z1041" s="36">
        <v>0</v>
      </c>
      <c r="AA1041" s="36">
        <v>0</v>
      </c>
      <c r="AB1041" s="36"/>
      <c r="AC1041" s="36" t="str">
        <f t="shared" si="4"/>
        <v>PC26</v>
      </c>
      <c r="AD1041" s="36" t="str">
        <f>VLOOKUP(D1041,Oficial!A:C,3,0)</f>
        <v>Bienes y Servicios</v>
      </c>
    </row>
    <row r="1042" spans="1:30" x14ac:dyDescent="0.25">
      <c r="A1042" s="36" t="s">
        <v>27</v>
      </c>
      <c r="B1042" s="36" t="s">
        <v>1479</v>
      </c>
      <c r="C1042" s="36" t="s">
        <v>28</v>
      </c>
      <c r="D1042" s="36" t="s">
        <v>1479</v>
      </c>
      <c r="E1042" s="36" t="s">
        <v>30</v>
      </c>
      <c r="F1042" s="36" t="s">
        <v>745</v>
      </c>
      <c r="G1042" s="37" t="s">
        <v>367</v>
      </c>
      <c r="H1042" s="36" t="s">
        <v>1480</v>
      </c>
      <c r="I1042" s="36" t="s">
        <v>1481</v>
      </c>
      <c r="J1042" s="36">
        <v>1</v>
      </c>
      <c r="K1042" s="36" t="s">
        <v>602</v>
      </c>
      <c r="L1042" s="36">
        <v>4</v>
      </c>
      <c r="M1042" s="36">
        <v>1</v>
      </c>
      <c r="N1042" s="38">
        <v>220000</v>
      </c>
      <c r="O1042" s="38">
        <v>220000</v>
      </c>
      <c r="P1042" s="36">
        <v>1</v>
      </c>
      <c r="Q1042" s="40">
        <v>46143</v>
      </c>
      <c r="R1042" s="36" t="s">
        <v>1445</v>
      </c>
      <c r="S1042" s="36" t="s">
        <v>1446</v>
      </c>
      <c r="T1042" s="36" t="s">
        <v>1447</v>
      </c>
      <c r="U1042" s="36" t="s">
        <v>1448</v>
      </c>
      <c r="V1042" s="40">
        <v>46113</v>
      </c>
      <c r="W1042" s="36"/>
      <c r="X1042" s="36">
        <v>0</v>
      </c>
      <c r="Y1042" s="36"/>
      <c r="Z1042" s="36">
        <v>0</v>
      </c>
      <c r="AA1042" s="36">
        <v>0</v>
      </c>
      <c r="AB1042" s="36"/>
      <c r="AC1042" s="36" t="str">
        <f t="shared" si="4"/>
        <v>PC26</v>
      </c>
      <c r="AD1042" s="36" t="str">
        <f>VLOOKUP(D1042,Oficial!A:C,3,0)</f>
        <v>Bienes y Servicios</v>
      </c>
    </row>
    <row r="1043" spans="1:30" x14ac:dyDescent="0.25">
      <c r="A1043" s="36" t="s">
        <v>27</v>
      </c>
      <c r="B1043" s="36" t="s">
        <v>1482</v>
      </c>
      <c r="C1043" s="36" t="s">
        <v>28</v>
      </c>
      <c r="D1043" s="36" t="s">
        <v>1482</v>
      </c>
      <c r="E1043" s="36" t="s">
        <v>30</v>
      </c>
      <c r="F1043" s="36" t="s">
        <v>569</v>
      </c>
      <c r="G1043" s="37" t="s">
        <v>104</v>
      </c>
      <c r="H1043" s="36" t="s">
        <v>1483</v>
      </c>
      <c r="I1043" s="36" t="s">
        <v>1484</v>
      </c>
      <c r="J1043" s="36">
        <v>1</v>
      </c>
      <c r="K1043" s="36" t="s">
        <v>1459</v>
      </c>
      <c r="L1043" s="36">
        <v>4</v>
      </c>
      <c r="M1043" s="36">
        <v>26</v>
      </c>
      <c r="N1043" s="38">
        <v>57693</v>
      </c>
      <c r="O1043" s="38">
        <v>1500018</v>
      </c>
      <c r="P1043" s="36">
        <v>1</v>
      </c>
      <c r="Q1043" s="40">
        <v>46023</v>
      </c>
      <c r="R1043" s="36" t="s">
        <v>1477</v>
      </c>
      <c r="S1043" s="36" t="s">
        <v>1478</v>
      </c>
      <c r="T1043" s="36" t="s">
        <v>220</v>
      </c>
      <c r="U1043" s="36" t="s">
        <v>221</v>
      </c>
      <c r="V1043" s="40">
        <v>46023</v>
      </c>
      <c r="W1043" s="36"/>
      <c r="X1043" s="36">
        <v>0</v>
      </c>
      <c r="Y1043" s="36"/>
      <c r="Z1043" s="36">
        <v>0</v>
      </c>
      <c r="AA1043" s="36">
        <v>0</v>
      </c>
      <c r="AB1043" s="36"/>
      <c r="AC1043" s="36" t="str">
        <f t="shared" si="4"/>
        <v>PC26</v>
      </c>
      <c r="AD1043" s="36" t="str">
        <f>VLOOKUP(D1043,Oficial!A:C,3,0)</f>
        <v>Bienes y Servicios</v>
      </c>
    </row>
    <row r="1044" spans="1:30" x14ac:dyDescent="0.25">
      <c r="A1044" s="36" t="s">
        <v>27</v>
      </c>
      <c r="B1044" s="36" t="s">
        <v>1485</v>
      </c>
      <c r="C1044" s="36" t="s">
        <v>1238</v>
      </c>
      <c r="D1044" s="36" t="s">
        <v>1485</v>
      </c>
      <c r="E1044" s="36" t="s">
        <v>30</v>
      </c>
      <c r="F1044" s="36" t="s">
        <v>569</v>
      </c>
      <c r="G1044" s="37" t="s">
        <v>1031</v>
      </c>
      <c r="H1044" s="36" t="s">
        <v>1486</v>
      </c>
      <c r="I1044" s="36" t="s">
        <v>1487</v>
      </c>
      <c r="J1044" s="36">
        <v>1</v>
      </c>
      <c r="K1044" s="36" t="s">
        <v>1488</v>
      </c>
      <c r="L1044" s="36">
        <v>4</v>
      </c>
      <c r="M1044" s="36">
        <v>1</v>
      </c>
      <c r="N1044" s="38">
        <v>250000</v>
      </c>
      <c r="O1044" s="38">
        <v>250000</v>
      </c>
      <c r="P1044" s="36">
        <v>1</v>
      </c>
      <c r="Q1044" s="40">
        <v>46054</v>
      </c>
      <c r="R1044" s="36" t="s">
        <v>1211</v>
      </c>
      <c r="S1044" s="36" t="s">
        <v>320</v>
      </c>
      <c r="T1044" s="36" t="s">
        <v>1212</v>
      </c>
      <c r="U1044" s="36" t="s">
        <v>322</v>
      </c>
      <c r="V1044" s="40">
        <v>46054</v>
      </c>
      <c r="W1044" s="36"/>
      <c r="X1044" s="36">
        <v>0</v>
      </c>
      <c r="Y1044" s="36"/>
      <c r="Z1044" s="36">
        <v>0</v>
      </c>
      <c r="AA1044" s="36">
        <v>0</v>
      </c>
      <c r="AB1044" s="36"/>
      <c r="AC1044" s="36" t="str">
        <f t="shared" si="4"/>
        <v>PC26</v>
      </c>
      <c r="AD1044" s="36" t="str">
        <f>VLOOKUP(D1044,Oficial!A:C,3,0)</f>
        <v>Activos Fijos</v>
      </c>
    </row>
    <row r="1045" spans="1:30" x14ac:dyDescent="0.25">
      <c r="A1045" s="36" t="s">
        <v>27</v>
      </c>
      <c r="B1045" s="36" t="s">
        <v>1489</v>
      </c>
      <c r="C1045" s="36" t="s">
        <v>28</v>
      </c>
      <c r="D1045" s="36" t="s">
        <v>1489</v>
      </c>
      <c r="E1045" s="36" t="s">
        <v>30</v>
      </c>
      <c r="F1045" s="36" t="s">
        <v>569</v>
      </c>
      <c r="G1045" s="37" t="s">
        <v>654</v>
      </c>
      <c r="H1045" s="36" t="s">
        <v>1490</v>
      </c>
      <c r="I1045" s="36" t="s">
        <v>1491</v>
      </c>
      <c r="J1045" s="36">
        <v>1</v>
      </c>
      <c r="K1045" s="36" t="s">
        <v>359</v>
      </c>
      <c r="L1045" s="36">
        <v>4</v>
      </c>
      <c r="M1045" s="36">
        <v>220</v>
      </c>
      <c r="N1045" s="38">
        <v>991</v>
      </c>
      <c r="O1045" s="38">
        <v>218020</v>
      </c>
      <c r="P1045" s="36">
        <v>1</v>
      </c>
      <c r="Q1045" s="40">
        <v>46113</v>
      </c>
      <c r="R1045" s="36" t="s">
        <v>1211</v>
      </c>
      <c r="S1045" s="36" t="s">
        <v>320</v>
      </c>
      <c r="T1045" s="36" t="s">
        <v>1212</v>
      </c>
      <c r="U1045" s="36" t="s">
        <v>322</v>
      </c>
      <c r="V1045" s="40">
        <v>46113</v>
      </c>
      <c r="W1045" s="36"/>
      <c r="X1045" s="36">
        <v>0</v>
      </c>
      <c r="Y1045" s="36"/>
      <c r="Z1045" s="36">
        <v>0</v>
      </c>
      <c r="AA1045" s="36">
        <v>0</v>
      </c>
      <c r="AB1045" s="36"/>
      <c r="AC1045" s="36" t="str">
        <f t="shared" si="4"/>
        <v>PC26</v>
      </c>
      <c r="AD1045" s="36" t="str">
        <f>VLOOKUP(D1045,Oficial!A:C,3,0)</f>
        <v>Bienes y Servicios</v>
      </c>
    </row>
    <row r="1046" spans="1:30" x14ac:dyDescent="0.25">
      <c r="A1046" s="36" t="s">
        <v>27</v>
      </c>
      <c r="B1046" s="36" t="s">
        <v>1492</v>
      </c>
      <c r="C1046" s="36" t="s">
        <v>28</v>
      </c>
      <c r="D1046" s="36" t="s">
        <v>1492</v>
      </c>
      <c r="E1046" s="36" t="s">
        <v>30</v>
      </c>
      <c r="F1046" s="36" t="s">
        <v>569</v>
      </c>
      <c r="G1046" s="37" t="s">
        <v>1493</v>
      </c>
      <c r="H1046" s="36" t="s">
        <v>1494</v>
      </c>
      <c r="I1046" s="36" t="s">
        <v>1495</v>
      </c>
      <c r="J1046" s="36">
        <v>1</v>
      </c>
      <c r="K1046" s="36" t="s">
        <v>1410</v>
      </c>
      <c r="L1046" s="36">
        <v>4</v>
      </c>
      <c r="M1046" s="36">
        <v>1</v>
      </c>
      <c r="N1046" s="38">
        <v>100000</v>
      </c>
      <c r="O1046" s="38">
        <v>100000</v>
      </c>
      <c r="P1046" s="36">
        <v>1</v>
      </c>
      <c r="Q1046" s="40">
        <v>46082</v>
      </c>
      <c r="R1046" s="36" t="s">
        <v>590</v>
      </c>
      <c r="S1046" s="36" t="s">
        <v>591</v>
      </c>
      <c r="T1046" s="36" t="s">
        <v>1496</v>
      </c>
      <c r="U1046" s="36" t="s">
        <v>593</v>
      </c>
      <c r="V1046" s="40">
        <v>46082</v>
      </c>
      <c r="W1046" s="36"/>
      <c r="X1046" s="36">
        <v>0</v>
      </c>
      <c r="Y1046" s="36"/>
      <c r="Z1046" s="36">
        <v>0</v>
      </c>
      <c r="AA1046" s="36">
        <v>0</v>
      </c>
      <c r="AB1046" s="36"/>
      <c r="AC1046" s="36" t="str">
        <f t="shared" si="4"/>
        <v>PC26</v>
      </c>
      <c r="AD1046" s="36" t="str">
        <f>VLOOKUP(D1046,Oficial!A:C,3,0)</f>
        <v>Bienes y Servicios</v>
      </c>
    </row>
    <row r="1047" spans="1:30" x14ac:dyDescent="0.25">
      <c r="A1047" s="36" t="s">
        <v>27</v>
      </c>
      <c r="B1047" s="36" t="s">
        <v>1497</v>
      </c>
      <c r="C1047" s="36" t="s">
        <v>28</v>
      </c>
      <c r="D1047" s="36" t="s">
        <v>1497</v>
      </c>
      <c r="E1047" s="36" t="s">
        <v>30</v>
      </c>
      <c r="F1047" s="36" t="s">
        <v>569</v>
      </c>
      <c r="G1047" s="37" t="s">
        <v>483</v>
      </c>
      <c r="H1047" s="36" t="s">
        <v>1498</v>
      </c>
      <c r="I1047" s="36" t="s">
        <v>1499</v>
      </c>
      <c r="J1047" s="36">
        <v>1</v>
      </c>
      <c r="K1047" s="36" t="s">
        <v>1500</v>
      </c>
      <c r="L1047" s="36">
        <v>4</v>
      </c>
      <c r="M1047" s="36">
        <v>11</v>
      </c>
      <c r="N1047" s="38">
        <v>30455</v>
      </c>
      <c r="O1047" s="38">
        <v>335005</v>
      </c>
      <c r="P1047" s="36">
        <v>1</v>
      </c>
      <c r="Q1047" s="40">
        <v>46082</v>
      </c>
      <c r="R1047" s="36" t="s">
        <v>1075</v>
      </c>
      <c r="S1047" s="36" t="s">
        <v>1076</v>
      </c>
      <c r="T1047" s="36" t="s">
        <v>1077</v>
      </c>
      <c r="U1047" s="36" t="s">
        <v>1084</v>
      </c>
      <c r="V1047" s="40">
        <v>46082</v>
      </c>
      <c r="W1047" s="36"/>
      <c r="X1047" s="36">
        <v>0</v>
      </c>
      <c r="Y1047" s="36"/>
      <c r="Z1047" s="36">
        <v>0</v>
      </c>
      <c r="AA1047" s="36">
        <v>0</v>
      </c>
      <c r="AB1047" s="36"/>
      <c r="AC1047" s="36" t="str">
        <f t="shared" ref="AC1047:AC1110" si="5">RIGHT(D1047,4)</f>
        <v>PC26</v>
      </c>
      <c r="AD1047" s="36" t="str">
        <f>VLOOKUP(D1047,Oficial!A:C,3,0)</f>
        <v>Bienes y Servicios</v>
      </c>
    </row>
    <row r="1048" spans="1:30" x14ac:dyDescent="0.25">
      <c r="A1048" s="36" t="s">
        <v>27</v>
      </c>
      <c r="B1048" s="36" t="s">
        <v>1501</v>
      </c>
      <c r="C1048" s="36" t="s">
        <v>28</v>
      </c>
      <c r="D1048" s="36" t="s">
        <v>1501</v>
      </c>
      <c r="E1048" s="36" t="s">
        <v>30</v>
      </c>
      <c r="F1048" s="36" t="s">
        <v>569</v>
      </c>
      <c r="G1048" s="37" t="s">
        <v>129</v>
      </c>
      <c r="H1048" s="36" t="s">
        <v>1502</v>
      </c>
      <c r="I1048" s="36" t="s">
        <v>1503</v>
      </c>
      <c r="J1048" s="36">
        <v>1</v>
      </c>
      <c r="K1048" s="36" t="s">
        <v>1504</v>
      </c>
      <c r="L1048" s="36">
        <v>4</v>
      </c>
      <c r="M1048" s="36">
        <v>1</v>
      </c>
      <c r="N1048" s="38">
        <v>2400000</v>
      </c>
      <c r="O1048" s="38">
        <v>2400000</v>
      </c>
      <c r="P1048" s="36">
        <v>12</v>
      </c>
      <c r="Q1048" s="36" t="s">
        <v>413</v>
      </c>
      <c r="R1048" s="36" t="s">
        <v>1505</v>
      </c>
      <c r="S1048" s="36" t="s">
        <v>1506</v>
      </c>
      <c r="T1048" s="36" t="s">
        <v>1507</v>
      </c>
      <c r="U1048" s="36" t="s">
        <v>1508</v>
      </c>
      <c r="V1048" s="40">
        <v>46023</v>
      </c>
      <c r="W1048" s="36"/>
      <c r="X1048" s="36">
        <v>0</v>
      </c>
      <c r="Y1048" s="36"/>
      <c r="Z1048" s="36">
        <v>0</v>
      </c>
      <c r="AA1048" s="36">
        <v>0</v>
      </c>
      <c r="AB1048" s="36"/>
      <c r="AC1048" s="36" t="str">
        <f t="shared" si="5"/>
        <v>PC26</v>
      </c>
      <c r="AD1048" s="36" t="str">
        <f>VLOOKUP(D1048,Oficial!A:C,3,0)</f>
        <v>Bienes y Servicios</v>
      </c>
    </row>
    <row r="1049" spans="1:30" x14ac:dyDescent="0.25">
      <c r="A1049" s="36" t="s">
        <v>27</v>
      </c>
      <c r="B1049" s="36" t="s">
        <v>1509</v>
      </c>
      <c r="C1049" s="36" t="s">
        <v>28</v>
      </c>
      <c r="D1049" s="36" t="s">
        <v>1509</v>
      </c>
      <c r="E1049" s="36" t="s">
        <v>30</v>
      </c>
      <c r="F1049" s="36" t="s">
        <v>569</v>
      </c>
      <c r="G1049" s="37" t="s">
        <v>615</v>
      </c>
      <c r="H1049" s="36" t="s">
        <v>1510</v>
      </c>
      <c r="I1049" s="36" t="s">
        <v>1511</v>
      </c>
      <c r="J1049" s="36">
        <v>2</v>
      </c>
      <c r="K1049" s="36" t="s">
        <v>1512</v>
      </c>
      <c r="L1049" s="36">
        <v>4</v>
      </c>
      <c r="M1049" s="36">
        <v>18</v>
      </c>
      <c r="N1049" s="38">
        <v>4227</v>
      </c>
      <c r="O1049" s="38">
        <v>76086</v>
      </c>
      <c r="P1049" s="36">
        <v>1</v>
      </c>
      <c r="Q1049" s="40">
        <v>46113</v>
      </c>
      <c r="R1049" s="36" t="s">
        <v>590</v>
      </c>
      <c r="S1049" s="36" t="s">
        <v>591</v>
      </c>
      <c r="T1049" s="36" t="s">
        <v>592</v>
      </c>
      <c r="U1049" s="36" t="s">
        <v>593</v>
      </c>
      <c r="V1049" s="40">
        <v>46113</v>
      </c>
      <c r="W1049" s="36"/>
      <c r="X1049" s="36">
        <v>0</v>
      </c>
      <c r="Y1049" s="36"/>
      <c r="Z1049" s="36">
        <v>0</v>
      </c>
      <c r="AA1049" s="36">
        <v>0</v>
      </c>
      <c r="AB1049" s="36"/>
      <c r="AC1049" s="36" t="str">
        <f t="shared" si="5"/>
        <v>PC26</v>
      </c>
      <c r="AD1049" s="36" t="str">
        <f>VLOOKUP(D1049,Oficial!A:C,3,0)</f>
        <v>Bienes y Servicios</v>
      </c>
    </row>
    <row r="1050" spans="1:30" x14ac:dyDescent="0.25">
      <c r="A1050" s="36" t="s">
        <v>27</v>
      </c>
      <c r="B1050" s="36" t="s">
        <v>1509</v>
      </c>
      <c r="C1050" s="36" t="s">
        <v>28</v>
      </c>
      <c r="D1050" s="36" t="s">
        <v>1509</v>
      </c>
      <c r="E1050" s="36" t="s">
        <v>30</v>
      </c>
      <c r="F1050" s="36" t="s">
        <v>569</v>
      </c>
      <c r="G1050" s="37" t="s">
        <v>615</v>
      </c>
      <c r="H1050" s="36" t="s">
        <v>1510</v>
      </c>
      <c r="I1050" s="36" t="s">
        <v>1511</v>
      </c>
      <c r="J1050" s="36">
        <v>2</v>
      </c>
      <c r="K1050" s="36" t="s">
        <v>1513</v>
      </c>
      <c r="L1050" s="36">
        <v>4</v>
      </c>
      <c r="M1050" s="36">
        <v>6</v>
      </c>
      <c r="N1050" s="38">
        <v>37334</v>
      </c>
      <c r="O1050" s="38">
        <v>224004</v>
      </c>
      <c r="P1050" s="36">
        <v>1</v>
      </c>
      <c r="Q1050" s="40">
        <v>46113</v>
      </c>
      <c r="R1050" s="36" t="s">
        <v>590</v>
      </c>
      <c r="S1050" s="36" t="s">
        <v>591</v>
      </c>
      <c r="T1050" s="36" t="s">
        <v>592</v>
      </c>
      <c r="U1050" s="36" t="s">
        <v>593</v>
      </c>
      <c r="V1050" s="40">
        <v>46113</v>
      </c>
      <c r="W1050" s="36"/>
      <c r="X1050" s="36">
        <v>0</v>
      </c>
      <c r="Y1050" s="36"/>
      <c r="Z1050" s="36">
        <v>0</v>
      </c>
      <c r="AA1050" s="36">
        <v>0</v>
      </c>
      <c r="AB1050" s="36"/>
      <c r="AC1050" s="36" t="str">
        <f t="shared" si="5"/>
        <v>PC26</v>
      </c>
      <c r="AD1050" s="36" t="str">
        <f>VLOOKUP(D1050,Oficial!A:C,3,0)</f>
        <v>Bienes y Servicios</v>
      </c>
    </row>
    <row r="1051" spans="1:30" x14ac:dyDescent="0.25">
      <c r="A1051" s="36" t="s">
        <v>27</v>
      </c>
      <c r="B1051" s="36" t="s">
        <v>1514</v>
      </c>
      <c r="C1051" s="36" t="s">
        <v>28</v>
      </c>
      <c r="D1051" s="36" t="s">
        <v>1514</v>
      </c>
      <c r="E1051" s="36" t="s">
        <v>30</v>
      </c>
      <c r="F1051" s="36" t="s">
        <v>745</v>
      </c>
      <c r="G1051" s="37" t="s">
        <v>645</v>
      </c>
      <c r="H1051" s="36" t="s">
        <v>1515</v>
      </c>
      <c r="I1051" s="36" t="s">
        <v>1516</v>
      </c>
      <c r="J1051" s="36">
        <v>1</v>
      </c>
      <c r="K1051" s="36" t="s">
        <v>1517</v>
      </c>
      <c r="L1051" s="36">
        <v>4</v>
      </c>
      <c r="M1051" s="36">
        <v>6</v>
      </c>
      <c r="N1051" s="38">
        <v>25000</v>
      </c>
      <c r="O1051" s="38">
        <v>150000</v>
      </c>
      <c r="P1051" s="36">
        <v>1</v>
      </c>
      <c r="Q1051" s="40">
        <v>46266</v>
      </c>
      <c r="R1051" s="36" t="s">
        <v>1075</v>
      </c>
      <c r="S1051" s="36" t="s">
        <v>1076</v>
      </c>
      <c r="T1051" s="36" t="s">
        <v>1077</v>
      </c>
      <c r="U1051" s="36" t="s">
        <v>1084</v>
      </c>
      <c r="V1051" s="40">
        <v>46235</v>
      </c>
      <c r="W1051" s="36"/>
      <c r="X1051" s="36">
        <v>0</v>
      </c>
      <c r="Y1051" s="36"/>
      <c r="Z1051" s="36">
        <v>0</v>
      </c>
      <c r="AA1051" s="36">
        <v>0</v>
      </c>
      <c r="AB1051" s="36"/>
      <c r="AC1051" s="36" t="str">
        <f t="shared" si="5"/>
        <v>PC26</v>
      </c>
      <c r="AD1051" s="36" t="str">
        <f>VLOOKUP(D1051,Oficial!A:C,3,0)</f>
        <v>Bienes y Servicios</v>
      </c>
    </row>
    <row r="1052" spans="1:30" x14ac:dyDescent="0.25">
      <c r="A1052" s="36" t="s">
        <v>27</v>
      </c>
      <c r="B1052" s="36" t="s">
        <v>1518</v>
      </c>
      <c r="C1052" s="36" t="s">
        <v>28</v>
      </c>
      <c r="D1052" s="36" t="s">
        <v>1518</v>
      </c>
      <c r="E1052" s="36" t="s">
        <v>30</v>
      </c>
      <c r="F1052" s="36" t="s">
        <v>569</v>
      </c>
      <c r="G1052" s="37" t="s">
        <v>1519</v>
      </c>
      <c r="H1052" s="36" t="s">
        <v>1520</v>
      </c>
      <c r="I1052" s="36" t="s">
        <v>1521</v>
      </c>
      <c r="J1052" s="36">
        <v>3</v>
      </c>
      <c r="K1052" s="36" t="s">
        <v>1522</v>
      </c>
      <c r="L1052" s="36">
        <v>4</v>
      </c>
      <c r="M1052" s="36">
        <v>96</v>
      </c>
      <c r="N1052" s="38">
        <v>10000</v>
      </c>
      <c r="O1052" s="38">
        <v>960000</v>
      </c>
      <c r="P1052" s="36">
        <v>1</v>
      </c>
      <c r="Q1052" s="40">
        <v>46143</v>
      </c>
      <c r="R1052" s="36" t="s">
        <v>761</v>
      </c>
      <c r="S1052" s="36" t="s">
        <v>762</v>
      </c>
      <c r="T1052" s="36" t="s">
        <v>763</v>
      </c>
      <c r="U1052" s="36" t="s">
        <v>764</v>
      </c>
      <c r="V1052" s="40">
        <v>46143</v>
      </c>
      <c r="W1052" s="36"/>
      <c r="X1052" s="36">
        <v>0</v>
      </c>
      <c r="Y1052" s="36"/>
      <c r="Z1052" s="36">
        <v>0</v>
      </c>
      <c r="AA1052" s="36">
        <v>0</v>
      </c>
      <c r="AB1052" s="36"/>
      <c r="AC1052" s="36" t="str">
        <f t="shared" si="5"/>
        <v>PC26</v>
      </c>
      <c r="AD1052" s="36" t="str">
        <f>VLOOKUP(D1052,Oficial!A:C,3,0)</f>
        <v>Bienes y Servicios</v>
      </c>
    </row>
    <row r="1053" spans="1:30" x14ac:dyDescent="0.25">
      <c r="A1053" s="36" t="s">
        <v>27</v>
      </c>
      <c r="B1053" s="36" t="s">
        <v>1518</v>
      </c>
      <c r="C1053" s="36" t="s">
        <v>28</v>
      </c>
      <c r="D1053" s="36" t="s">
        <v>1518</v>
      </c>
      <c r="E1053" s="36" t="s">
        <v>30</v>
      </c>
      <c r="F1053" s="36" t="s">
        <v>569</v>
      </c>
      <c r="G1053" s="37" t="s">
        <v>1519</v>
      </c>
      <c r="H1053" s="36" t="s">
        <v>1520</v>
      </c>
      <c r="I1053" s="36" t="s">
        <v>1521</v>
      </c>
      <c r="J1053" s="36">
        <v>3</v>
      </c>
      <c r="K1053" s="36" t="s">
        <v>1523</v>
      </c>
      <c r="L1053" s="36">
        <v>4</v>
      </c>
      <c r="M1053" s="36">
        <v>12</v>
      </c>
      <c r="N1053" s="38">
        <v>4167</v>
      </c>
      <c r="O1053" s="38">
        <v>50004</v>
      </c>
      <c r="P1053" s="36">
        <v>1</v>
      </c>
      <c r="Q1053" s="40">
        <v>46143</v>
      </c>
      <c r="R1053" s="36" t="s">
        <v>761</v>
      </c>
      <c r="S1053" s="36" t="s">
        <v>762</v>
      </c>
      <c r="T1053" s="36" t="s">
        <v>763</v>
      </c>
      <c r="U1053" s="36" t="s">
        <v>764</v>
      </c>
      <c r="V1053" s="40">
        <v>46143</v>
      </c>
      <c r="W1053" s="36"/>
      <c r="X1053" s="36">
        <v>0</v>
      </c>
      <c r="Y1053" s="36"/>
      <c r="Z1053" s="36">
        <v>0</v>
      </c>
      <c r="AA1053" s="36">
        <v>0</v>
      </c>
      <c r="AB1053" s="36"/>
      <c r="AC1053" s="36" t="str">
        <f t="shared" si="5"/>
        <v>PC26</v>
      </c>
      <c r="AD1053" s="36" t="str">
        <f>VLOOKUP(D1053,Oficial!A:C,3,0)</f>
        <v>Bienes y Servicios</v>
      </c>
    </row>
    <row r="1054" spans="1:30" x14ac:dyDescent="0.25">
      <c r="A1054" s="36" t="s">
        <v>27</v>
      </c>
      <c r="B1054" s="36" t="s">
        <v>1518</v>
      </c>
      <c r="C1054" s="36" t="s">
        <v>28</v>
      </c>
      <c r="D1054" s="36" t="s">
        <v>1518</v>
      </c>
      <c r="E1054" s="36" t="s">
        <v>30</v>
      </c>
      <c r="F1054" s="36" t="s">
        <v>569</v>
      </c>
      <c r="G1054" s="37" t="s">
        <v>1519</v>
      </c>
      <c r="H1054" s="36" t="s">
        <v>1520</v>
      </c>
      <c r="I1054" s="36" t="s">
        <v>1521</v>
      </c>
      <c r="J1054" s="36">
        <v>3</v>
      </c>
      <c r="K1054" s="36" t="s">
        <v>1524</v>
      </c>
      <c r="L1054" s="36">
        <v>4</v>
      </c>
      <c r="M1054" s="36">
        <v>52</v>
      </c>
      <c r="N1054" s="38">
        <v>12500</v>
      </c>
      <c r="O1054" s="38">
        <v>650000</v>
      </c>
      <c r="P1054" s="36">
        <v>1</v>
      </c>
      <c r="Q1054" s="40">
        <v>46143</v>
      </c>
      <c r="R1054" s="36" t="s">
        <v>761</v>
      </c>
      <c r="S1054" s="36" t="s">
        <v>762</v>
      </c>
      <c r="T1054" s="36" t="s">
        <v>763</v>
      </c>
      <c r="U1054" s="36" t="s">
        <v>764</v>
      </c>
      <c r="V1054" s="40">
        <v>46143</v>
      </c>
      <c r="W1054" s="36"/>
      <c r="X1054" s="36">
        <v>0</v>
      </c>
      <c r="Y1054" s="36"/>
      <c r="Z1054" s="36">
        <v>0</v>
      </c>
      <c r="AA1054" s="36">
        <v>0</v>
      </c>
      <c r="AB1054" s="36"/>
      <c r="AC1054" s="36" t="str">
        <f t="shared" si="5"/>
        <v>PC26</v>
      </c>
      <c r="AD1054" s="36" t="str">
        <f>VLOOKUP(D1054,Oficial!A:C,3,0)</f>
        <v>Bienes y Servicios</v>
      </c>
    </row>
    <row r="1055" spans="1:30" x14ac:dyDescent="0.25">
      <c r="A1055" s="36" t="s">
        <v>27</v>
      </c>
      <c r="B1055" s="36" t="s">
        <v>1525</v>
      </c>
      <c r="C1055" s="36" t="s">
        <v>28</v>
      </c>
      <c r="D1055" s="36" t="s">
        <v>1525</v>
      </c>
      <c r="E1055" s="36" t="s">
        <v>30</v>
      </c>
      <c r="F1055" s="36" t="s">
        <v>569</v>
      </c>
      <c r="G1055" s="37" t="s">
        <v>725</v>
      </c>
      <c r="H1055" s="36" t="s">
        <v>1502</v>
      </c>
      <c r="I1055" s="36" t="s">
        <v>1526</v>
      </c>
      <c r="J1055" s="36">
        <v>1</v>
      </c>
      <c r="K1055" s="36" t="s">
        <v>1527</v>
      </c>
      <c r="L1055" s="36">
        <v>4</v>
      </c>
      <c r="M1055" s="36">
        <v>36</v>
      </c>
      <c r="N1055" s="38">
        <v>107275</v>
      </c>
      <c r="O1055" s="38">
        <v>3861900</v>
      </c>
      <c r="P1055" s="36">
        <v>1</v>
      </c>
      <c r="Q1055" s="40">
        <v>46023</v>
      </c>
      <c r="R1055" s="36" t="s">
        <v>1505</v>
      </c>
      <c r="S1055" s="36" t="s">
        <v>1506</v>
      </c>
      <c r="T1055" s="36" t="s">
        <v>1507</v>
      </c>
      <c r="U1055" s="36" t="s">
        <v>1508</v>
      </c>
      <c r="V1055" s="40">
        <v>46023</v>
      </c>
      <c r="W1055" s="36"/>
      <c r="X1055" s="36">
        <v>0</v>
      </c>
      <c r="Y1055" s="36"/>
      <c r="Z1055" s="36">
        <v>0</v>
      </c>
      <c r="AA1055" s="36">
        <v>0</v>
      </c>
      <c r="AB1055" s="36"/>
      <c r="AC1055" s="36" t="str">
        <f t="shared" si="5"/>
        <v>PC26</v>
      </c>
      <c r="AD1055" s="36" t="str">
        <f>VLOOKUP(D1055,Oficial!A:C,3,0)</f>
        <v>Bienes y Servicios</v>
      </c>
    </row>
    <row r="1056" spans="1:30" x14ac:dyDescent="0.25">
      <c r="A1056" s="36" t="s">
        <v>27</v>
      </c>
      <c r="B1056" s="36" t="s">
        <v>1528</v>
      </c>
      <c r="C1056" s="36" t="s">
        <v>28</v>
      </c>
      <c r="D1056" s="36" t="s">
        <v>1528</v>
      </c>
      <c r="E1056" s="36" t="s">
        <v>30</v>
      </c>
      <c r="F1056" s="36" t="s">
        <v>569</v>
      </c>
      <c r="G1056" s="37" t="s">
        <v>633</v>
      </c>
      <c r="H1056" s="36" t="s">
        <v>1529</v>
      </c>
      <c r="I1056" s="36" t="s">
        <v>1530</v>
      </c>
      <c r="J1056" s="36">
        <v>2</v>
      </c>
      <c r="K1056" s="36" t="s">
        <v>911</v>
      </c>
      <c r="L1056" s="36">
        <v>4</v>
      </c>
      <c r="M1056" s="36">
        <v>2</v>
      </c>
      <c r="N1056" s="38">
        <v>10000</v>
      </c>
      <c r="O1056" s="38">
        <v>20000</v>
      </c>
      <c r="P1056" s="36">
        <v>1</v>
      </c>
      <c r="Q1056" s="40">
        <v>46143</v>
      </c>
      <c r="R1056" s="36" t="s">
        <v>1075</v>
      </c>
      <c r="S1056" s="36" t="s">
        <v>1076</v>
      </c>
      <c r="T1056" s="36" t="s">
        <v>1077</v>
      </c>
      <c r="U1056" s="36" t="s">
        <v>1084</v>
      </c>
      <c r="V1056" s="40">
        <v>46143</v>
      </c>
      <c r="W1056" s="36"/>
      <c r="X1056" s="36">
        <v>0</v>
      </c>
      <c r="Y1056" s="36"/>
      <c r="Z1056" s="36">
        <v>0</v>
      </c>
      <c r="AA1056" s="36">
        <v>0</v>
      </c>
      <c r="AB1056" s="36"/>
      <c r="AC1056" s="36" t="str">
        <f t="shared" si="5"/>
        <v>PC26</v>
      </c>
      <c r="AD1056" s="36" t="str">
        <f>VLOOKUP(D1056,Oficial!A:C,3,0)</f>
        <v>Bienes y Servicios</v>
      </c>
    </row>
    <row r="1057" spans="1:30" x14ac:dyDescent="0.25">
      <c r="A1057" s="36" t="s">
        <v>27</v>
      </c>
      <c r="B1057" s="36" t="s">
        <v>1528</v>
      </c>
      <c r="C1057" s="36" t="s">
        <v>28</v>
      </c>
      <c r="D1057" s="36" t="s">
        <v>1528</v>
      </c>
      <c r="E1057" s="36" t="s">
        <v>30</v>
      </c>
      <c r="F1057" s="36" t="s">
        <v>569</v>
      </c>
      <c r="G1057" s="37" t="s">
        <v>633</v>
      </c>
      <c r="H1057" s="36" t="s">
        <v>1529</v>
      </c>
      <c r="I1057" s="36" t="s">
        <v>1530</v>
      </c>
      <c r="J1057" s="36">
        <v>2</v>
      </c>
      <c r="K1057" s="36" t="s">
        <v>1531</v>
      </c>
      <c r="L1057" s="36">
        <v>4</v>
      </c>
      <c r="M1057" s="36">
        <v>1</v>
      </c>
      <c r="N1057" s="38">
        <v>16000</v>
      </c>
      <c r="O1057" s="38">
        <v>16000</v>
      </c>
      <c r="P1057" s="36">
        <v>1</v>
      </c>
      <c r="Q1057" s="40">
        <v>46143</v>
      </c>
      <c r="R1057" s="36" t="s">
        <v>1075</v>
      </c>
      <c r="S1057" s="36" t="s">
        <v>1076</v>
      </c>
      <c r="T1057" s="36" t="s">
        <v>1077</v>
      </c>
      <c r="U1057" s="36" t="s">
        <v>1084</v>
      </c>
      <c r="V1057" s="40">
        <v>46143</v>
      </c>
      <c r="W1057" s="36"/>
      <c r="X1057" s="36">
        <v>0</v>
      </c>
      <c r="Y1057" s="36"/>
      <c r="Z1057" s="36">
        <v>0</v>
      </c>
      <c r="AA1057" s="36">
        <v>0</v>
      </c>
      <c r="AB1057" s="36"/>
      <c r="AC1057" s="36" t="str">
        <f t="shared" si="5"/>
        <v>PC26</v>
      </c>
      <c r="AD1057" s="36" t="str">
        <f>VLOOKUP(D1057,Oficial!A:C,3,0)</f>
        <v>Bienes y Servicios</v>
      </c>
    </row>
    <row r="1058" spans="1:30" x14ac:dyDescent="0.25">
      <c r="A1058" s="36" t="s">
        <v>27</v>
      </c>
      <c r="B1058" s="36" t="s">
        <v>1532</v>
      </c>
      <c r="C1058" s="36" t="s">
        <v>28</v>
      </c>
      <c r="D1058" s="36" t="s">
        <v>1532</v>
      </c>
      <c r="E1058" s="36" t="s">
        <v>30</v>
      </c>
      <c r="F1058" s="36" t="s">
        <v>569</v>
      </c>
      <c r="G1058" s="37" t="s">
        <v>1437</v>
      </c>
      <c r="H1058" s="36" t="s">
        <v>1533</v>
      </c>
      <c r="I1058" s="36" t="s">
        <v>1521</v>
      </c>
      <c r="J1058" s="36">
        <v>5</v>
      </c>
      <c r="K1058" s="36" t="s">
        <v>1534</v>
      </c>
      <c r="L1058" s="36">
        <v>4</v>
      </c>
      <c r="M1058" s="36">
        <v>49</v>
      </c>
      <c r="N1058" s="38">
        <v>22449</v>
      </c>
      <c r="O1058" s="38">
        <v>1100001</v>
      </c>
      <c r="P1058" s="36">
        <v>1</v>
      </c>
      <c r="Q1058" s="40">
        <v>46143</v>
      </c>
      <c r="R1058" s="36" t="s">
        <v>761</v>
      </c>
      <c r="S1058" s="36" t="s">
        <v>762</v>
      </c>
      <c r="T1058" s="36" t="s">
        <v>763</v>
      </c>
      <c r="U1058" s="36" t="s">
        <v>764</v>
      </c>
      <c r="V1058" s="40">
        <v>46143</v>
      </c>
      <c r="W1058" s="36"/>
      <c r="X1058" s="36">
        <v>0</v>
      </c>
      <c r="Y1058" s="36"/>
      <c r="Z1058" s="36">
        <v>0</v>
      </c>
      <c r="AA1058" s="36">
        <v>0</v>
      </c>
      <c r="AB1058" s="36"/>
      <c r="AC1058" s="36" t="str">
        <f t="shared" si="5"/>
        <v>PC26</v>
      </c>
      <c r="AD1058" s="36" t="str">
        <f>VLOOKUP(D1058,Oficial!A:C,3,0)</f>
        <v>Bienes y Servicios</v>
      </c>
    </row>
    <row r="1059" spans="1:30" x14ac:dyDescent="0.25">
      <c r="A1059" s="36" t="s">
        <v>27</v>
      </c>
      <c r="B1059" s="36" t="s">
        <v>1532</v>
      </c>
      <c r="C1059" s="36" t="s">
        <v>28</v>
      </c>
      <c r="D1059" s="36" t="s">
        <v>1532</v>
      </c>
      <c r="E1059" s="36" t="s">
        <v>30</v>
      </c>
      <c r="F1059" s="36" t="s">
        <v>569</v>
      </c>
      <c r="G1059" s="37" t="s">
        <v>1437</v>
      </c>
      <c r="H1059" s="36" t="s">
        <v>1533</v>
      </c>
      <c r="I1059" s="36" t="s">
        <v>1521</v>
      </c>
      <c r="J1059" s="36">
        <v>5</v>
      </c>
      <c r="K1059" s="36" t="s">
        <v>1535</v>
      </c>
      <c r="L1059" s="36">
        <v>4</v>
      </c>
      <c r="M1059" s="36">
        <v>115</v>
      </c>
      <c r="N1059" s="38">
        <v>9566</v>
      </c>
      <c r="O1059" s="38">
        <v>1100090</v>
      </c>
      <c r="P1059" s="36">
        <v>1</v>
      </c>
      <c r="Q1059" s="40">
        <v>46143</v>
      </c>
      <c r="R1059" s="36" t="s">
        <v>761</v>
      </c>
      <c r="S1059" s="36" t="s">
        <v>762</v>
      </c>
      <c r="T1059" s="36" t="s">
        <v>763</v>
      </c>
      <c r="U1059" s="36" t="s">
        <v>764</v>
      </c>
      <c r="V1059" s="40">
        <v>46143</v>
      </c>
      <c r="W1059" s="36"/>
      <c r="X1059" s="36">
        <v>0</v>
      </c>
      <c r="Y1059" s="36"/>
      <c r="Z1059" s="36">
        <v>0</v>
      </c>
      <c r="AA1059" s="36">
        <v>0</v>
      </c>
      <c r="AB1059" s="36"/>
      <c r="AC1059" s="36" t="str">
        <f t="shared" si="5"/>
        <v>PC26</v>
      </c>
      <c r="AD1059" s="36" t="str">
        <f>VLOOKUP(D1059,Oficial!A:C,3,0)</f>
        <v>Bienes y Servicios</v>
      </c>
    </row>
    <row r="1060" spans="1:30" x14ac:dyDescent="0.25">
      <c r="A1060" s="36" t="s">
        <v>27</v>
      </c>
      <c r="B1060" s="36" t="s">
        <v>1532</v>
      </c>
      <c r="C1060" s="36" t="s">
        <v>28</v>
      </c>
      <c r="D1060" s="36" t="s">
        <v>1532</v>
      </c>
      <c r="E1060" s="36" t="s">
        <v>30</v>
      </c>
      <c r="F1060" s="36" t="s">
        <v>569</v>
      </c>
      <c r="G1060" s="37" t="s">
        <v>1437</v>
      </c>
      <c r="H1060" s="36" t="s">
        <v>1533</v>
      </c>
      <c r="I1060" s="36" t="s">
        <v>1521</v>
      </c>
      <c r="J1060" s="36">
        <v>5</v>
      </c>
      <c r="K1060" s="36" t="s">
        <v>1536</v>
      </c>
      <c r="L1060" s="36">
        <v>4</v>
      </c>
      <c r="M1060" s="36">
        <v>4</v>
      </c>
      <c r="N1060" s="38">
        <v>30000</v>
      </c>
      <c r="O1060" s="38">
        <v>120000</v>
      </c>
      <c r="P1060" s="36">
        <v>1</v>
      </c>
      <c r="Q1060" s="40">
        <v>46143</v>
      </c>
      <c r="R1060" s="36" t="s">
        <v>761</v>
      </c>
      <c r="S1060" s="36" t="s">
        <v>762</v>
      </c>
      <c r="T1060" s="36" t="s">
        <v>763</v>
      </c>
      <c r="U1060" s="36" t="s">
        <v>764</v>
      </c>
      <c r="V1060" s="40">
        <v>46143</v>
      </c>
      <c r="W1060" s="36"/>
      <c r="X1060" s="36">
        <v>0</v>
      </c>
      <c r="Y1060" s="36"/>
      <c r="Z1060" s="36">
        <v>0</v>
      </c>
      <c r="AA1060" s="36">
        <v>0</v>
      </c>
      <c r="AB1060" s="36"/>
      <c r="AC1060" s="36" t="str">
        <f t="shared" si="5"/>
        <v>PC26</v>
      </c>
      <c r="AD1060" s="36" t="str">
        <f>VLOOKUP(D1060,Oficial!A:C,3,0)</f>
        <v>Bienes y Servicios</v>
      </c>
    </row>
    <row r="1061" spans="1:30" x14ac:dyDescent="0.25">
      <c r="A1061" s="36" t="s">
        <v>27</v>
      </c>
      <c r="B1061" s="36" t="s">
        <v>1532</v>
      </c>
      <c r="C1061" s="36" t="s">
        <v>28</v>
      </c>
      <c r="D1061" s="36" t="s">
        <v>1532</v>
      </c>
      <c r="E1061" s="36" t="s">
        <v>30</v>
      </c>
      <c r="F1061" s="36" t="s">
        <v>569</v>
      </c>
      <c r="G1061" s="37" t="s">
        <v>1437</v>
      </c>
      <c r="H1061" s="36" t="s">
        <v>1533</v>
      </c>
      <c r="I1061" s="36" t="s">
        <v>1521</v>
      </c>
      <c r="J1061" s="36">
        <v>5</v>
      </c>
      <c r="K1061" s="36" t="s">
        <v>1537</v>
      </c>
      <c r="L1061" s="36">
        <v>4</v>
      </c>
      <c r="M1061" s="36">
        <v>2</v>
      </c>
      <c r="N1061" s="38">
        <v>15000</v>
      </c>
      <c r="O1061" s="38">
        <v>30000</v>
      </c>
      <c r="P1061" s="36">
        <v>1</v>
      </c>
      <c r="Q1061" s="40">
        <v>46143</v>
      </c>
      <c r="R1061" s="36" t="s">
        <v>761</v>
      </c>
      <c r="S1061" s="36" t="s">
        <v>762</v>
      </c>
      <c r="T1061" s="36" t="s">
        <v>763</v>
      </c>
      <c r="U1061" s="36" t="s">
        <v>764</v>
      </c>
      <c r="V1061" s="40">
        <v>46143</v>
      </c>
      <c r="W1061" s="36"/>
      <c r="X1061" s="36">
        <v>0</v>
      </c>
      <c r="Y1061" s="36"/>
      <c r="Z1061" s="36">
        <v>0</v>
      </c>
      <c r="AA1061" s="36">
        <v>0</v>
      </c>
      <c r="AB1061" s="36"/>
      <c r="AC1061" s="36" t="str">
        <f t="shared" si="5"/>
        <v>PC26</v>
      </c>
      <c r="AD1061" s="36" t="str">
        <f>VLOOKUP(D1061,Oficial!A:C,3,0)</f>
        <v>Bienes y Servicios</v>
      </c>
    </row>
    <row r="1062" spans="1:30" x14ac:dyDescent="0.25">
      <c r="A1062" s="36" t="s">
        <v>27</v>
      </c>
      <c r="B1062" s="36" t="s">
        <v>1532</v>
      </c>
      <c r="C1062" s="36" t="s">
        <v>28</v>
      </c>
      <c r="D1062" s="36" t="s">
        <v>1532</v>
      </c>
      <c r="E1062" s="36" t="s">
        <v>30</v>
      </c>
      <c r="F1062" s="36" t="s">
        <v>569</v>
      </c>
      <c r="G1062" s="37" t="s">
        <v>1437</v>
      </c>
      <c r="H1062" s="36" t="s">
        <v>1533</v>
      </c>
      <c r="I1062" s="36" t="s">
        <v>1521</v>
      </c>
      <c r="J1062" s="36">
        <v>5</v>
      </c>
      <c r="K1062" s="36" t="s">
        <v>1538</v>
      </c>
      <c r="L1062" s="36">
        <v>4</v>
      </c>
      <c r="M1062" s="36">
        <v>25</v>
      </c>
      <c r="N1062" s="38">
        <v>15600</v>
      </c>
      <c r="O1062" s="38">
        <v>390000</v>
      </c>
      <c r="P1062" s="36">
        <v>1</v>
      </c>
      <c r="Q1062" s="40">
        <v>46143</v>
      </c>
      <c r="R1062" s="36" t="s">
        <v>761</v>
      </c>
      <c r="S1062" s="36" t="s">
        <v>762</v>
      </c>
      <c r="T1062" s="36" t="s">
        <v>763</v>
      </c>
      <c r="U1062" s="36" t="s">
        <v>764</v>
      </c>
      <c r="V1062" s="40">
        <v>46143</v>
      </c>
      <c r="W1062" s="36"/>
      <c r="X1062" s="36">
        <v>0</v>
      </c>
      <c r="Y1062" s="36"/>
      <c r="Z1062" s="36">
        <v>0</v>
      </c>
      <c r="AA1062" s="36">
        <v>0</v>
      </c>
      <c r="AB1062" s="36"/>
      <c r="AC1062" s="36" t="str">
        <f t="shared" si="5"/>
        <v>PC26</v>
      </c>
      <c r="AD1062" s="36" t="str">
        <f>VLOOKUP(D1062,Oficial!A:C,3,0)</f>
        <v>Bienes y Servicios</v>
      </c>
    </row>
    <row r="1063" spans="1:30" x14ac:dyDescent="0.25">
      <c r="A1063" s="36" t="s">
        <v>27</v>
      </c>
      <c r="B1063" s="36" t="s">
        <v>1539</v>
      </c>
      <c r="C1063" s="36" t="s">
        <v>28</v>
      </c>
      <c r="D1063" s="36" t="s">
        <v>1539</v>
      </c>
      <c r="E1063" s="36" t="s">
        <v>30</v>
      </c>
      <c r="F1063" s="36" t="s">
        <v>569</v>
      </c>
      <c r="G1063" s="37" t="s">
        <v>654</v>
      </c>
      <c r="H1063" s="36" t="s">
        <v>1540</v>
      </c>
      <c r="I1063" s="36" t="s">
        <v>1541</v>
      </c>
      <c r="J1063" s="36">
        <v>1</v>
      </c>
      <c r="K1063" s="36" t="s">
        <v>1191</v>
      </c>
      <c r="L1063" s="36">
        <v>4</v>
      </c>
      <c r="M1063" s="36">
        <v>1</v>
      </c>
      <c r="N1063" s="38">
        <v>400000</v>
      </c>
      <c r="O1063" s="38">
        <v>400000</v>
      </c>
      <c r="P1063" s="36">
        <v>1</v>
      </c>
      <c r="Q1063" s="40">
        <v>46327</v>
      </c>
      <c r="R1063" s="36" t="s">
        <v>1211</v>
      </c>
      <c r="S1063" s="36" t="s">
        <v>320</v>
      </c>
      <c r="T1063" s="36" t="s">
        <v>1212</v>
      </c>
      <c r="U1063" s="36" t="s">
        <v>322</v>
      </c>
      <c r="V1063" s="40">
        <v>46327</v>
      </c>
      <c r="W1063" s="36"/>
      <c r="X1063" s="36">
        <v>0</v>
      </c>
      <c r="Y1063" s="36"/>
      <c r="Z1063" s="36">
        <v>0</v>
      </c>
      <c r="AA1063" s="36">
        <v>0</v>
      </c>
      <c r="AB1063" s="36"/>
      <c r="AC1063" s="36" t="str">
        <f t="shared" si="5"/>
        <v>PC26</v>
      </c>
      <c r="AD1063" s="36" t="str">
        <f>VLOOKUP(D1063,Oficial!A:C,3,0)</f>
        <v>Bienes y Servicios</v>
      </c>
    </row>
    <row r="1064" spans="1:30" x14ac:dyDescent="0.25">
      <c r="A1064" s="36" t="s">
        <v>27</v>
      </c>
      <c r="B1064" s="36" t="s">
        <v>1542</v>
      </c>
      <c r="C1064" s="36" t="s">
        <v>28</v>
      </c>
      <c r="D1064" s="36" t="s">
        <v>1542</v>
      </c>
      <c r="E1064" s="36" t="s">
        <v>30</v>
      </c>
      <c r="F1064" s="36" t="s">
        <v>745</v>
      </c>
      <c r="G1064" s="37" t="s">
        <v>1080</v>
      </c>
      <c r="H1064" s="36" t="s">
        <v>1543</v>
      </c>
      <c r="I1064" s="36" t="s">
        <v>1544</v>
      </c>
      <c r="J1064" s="36">
        <v>1</v>
      </c>
      <c r="K1064" s="36" t="s">
        <v>1545</v>
      </c>
      <c r="L1064" s="36">
        <v>4</v>
      </c>
      <c r="M1064" s="36">
        <v>100</v>
      </c>
      <c r="N1064" s="38">
        <v>8000</v>
      </c>
      <c r="O1064" s="38">
        <v>800000</v>
      </c>
      <c r="P1064" s="36">
        <v>1</v>
      </c>
      <c r="Q1064" s="40">
        <v>46204</v>
      </c>
      <c r="R1064" s="36" t="s">
        <v>1075</v>
      </c>
      <c r="S1064" s="36" t="s">
        <v>1076</v>
      </c>
      <c r="T1064" s="36" t="s">
        <v>1077</v>
      </c>
      <c r="U1064" s="36" t="s">
        <v>1084</v>
      </c>
      <c r="V1064" s="40">
        <v>46204</v>
      </c>
      <c r="W1064" s="36"/>
      <c r="X1064" s="36">
        <v>0</v>
      </c>
      <c r="Y1064" s="36"/>
      <c r="Z1064" s="36">
        <v>0</v>
      </c>
      <c r="AA1064" s="36">
        <v>0</v>
      </c>
      <c r="AB1064" s="36"/>
      <c r="AC1064" s="36" t="str">
        <f t="shared" si="5"/>
        <v>PC26</v>
      </c>
      <c r="AD1064" s="36" t="str">
        <f>VLOOKUP(D1064,Oficial!A:C,3,0)</f>
        <v>Bienes y Servicios</v>
      </c>
    </row>
    <row r="1065" spans="1:30" x14ac:dyDescent="0.25">
      <c r="A1065" s="36" t="s">
        <v>27</v>
      </c>
      <c r="B1065" s="36" t="s">
        <v>1546</v>
      </c>
      <c r="C1065" s="36" t="s">
        <v>28</v>
      </c>
      <c r="D1065" s="36" t="s">
        <v>1546</v>
      </c>
      <c r="E1065" s="36" t="s">
        <v>30</v>
      </c>
      <c r="F1065" s="36" t="s">
        <v>569</v>
      </c>
      <c r="G1065" s="37" t="s">
        <v>1547</v>
      </c>
      <c r="H1065" s="36" t="s">
        <v>1548</v>
      </c>
      <c r="I1065" s="36" t="s">
        <v>1521</v>
      </c>
      <c r="J1065" s="36">
        <v>3</v>
      </c>
      <c r="K1065" s="36" t="s">
        <v>1549</v>
      </c>
      <c r="L1065" s="36">
        <v>4</v>
      </c>
      <c r="M1065" s="36">
        <v>243</v>
      </c>
      <c r="N1065" s="38">
        <v>3070</v>
      </c>
      <c r="O1065" s="38">
        <v>746010</v>
      </c>
      <c r="P1065" s="36">
        <v>1</v>
      </c>
      <c r="Q1065" s="40">
        <v>46143</v>
      </c>
      <c r="R1065" s="36" t="s">
        <v>761</v>
      </c>
      <c r="S1065" s="36" t="s">
        <v>762</v>
      </c>
      <c r="T1065" s="36" t="s">
        <v>763</v>
      </c>
      <c r="U1065" s="36" t="s">
        <v>764</v>
      </c>
      <c r="V1065" s="40">
        <v>46143</v>
      </c>
      <c r="W1065" s="36"/>
      <c r="X1065" s="36">
        <v>0</v>
      </c>
      <c r="Y1065" s="36"/>
      <c r="Z1065" s="36">
        <v>0</v>
      </c>
      <c r="AA1065" s="36">
        <v>0</v>
      </c>
      <c r="AB1065" s="36"/>
      <c r="AC1065" s="36" t="str">
        <f t="shared" si="5"/>
        <v>PC26</v>
      </c>
      <c r="AD1065" s="36" t="str">
        <f>VLOOKUP(D1065,Oficial!A:C,3,0)</f>
        <v>Bienes y Servicios</v>
      </c>
    </row>
    <row r="1066" spans="1:30" x14ac:dyDescent="0.25">
      <c r="A1066" s="36" t="s">
        <v>27</v>
      </c>
      <c r="B1066" s="36" t="s">
        <v>1546</v>
      </c>
      <c r="C1066" s="36" t="s">
        <v>28</v>
      </c>
      <c r="D1066" s="36" t="s">
        <v>1546</v>
      </c>
      <c r="E1066" s="36" t="s">
        <v>30</v>
      </c>
      <c r="F1066" s="36" t="s">
        <v>569</v>
      </c>
      <c r="G1066" s="37" t="s">
        <v>1547</v>
      </c>
      <c r="H1066" s="36" t="s">
        <v>1548</v>
      </c>
      <c r="I1066" s="36" t="s">
        <v>1521</v>
      </c>
      <c r="J1066" s="36">
        <v>3</v>
      </c>
      <c r="K1066" s="36" t="s">
        <v>1227</v>
      </c>
      <c r="L1066" s="36">
        <v>4</v>
      </c>
      <c r="M1066" s="36">
        <v>12</v>
      </c>
      <c r="N1066" s="38">
        <v>8000</v>
      </c>
      <c r="O1066" s="38">
        <v>96000</v>
      </c>
      <c r="P1066" s="36">
        <v>1</v>
      </c>
      <c r="Q1066" s="40">
        <v>46143</v>
      </c>
      <c r="R1066" s="36" t="s">
        <v>761</v>
      </c>
      <c r="S1066" s="36" t="s">
        <v>762</v>
      </c>
      <c r="T1066" s="36" t="s">
        <v>763</v>
      </c>
      <c r="U1066" s="36" t="s">
        <v>764</v>
      </c>
      <c r="V1066" s="40">
        <v>46143</v>
      </c>
      <c r="W1066" s="36"/>
      <c r="X1066" s="36">
        <v>0</v>
      </c>
      <c r="Y1066" s="36"/>
      <c r="Z1066" s="36">
        <v>0</v>
      </c>
      <c r="AA1066" s="36">
        <v>0</v>
      </c>
      <c r="AB1066" s="36"/>
      <c r="AC1066" s="36" t="str">
        <f t="shared" si="5"/>
        <v>PC26</v>
      </c>
      <c r="AD1066" s="36" t="str">
        <f>VLOOKUP(D1066,Oficial!A:C,3,0)</f>
        <v>Bienes y Servicios</v>
      </c>
    </row>
    <row r="1067" spans="1:30" x14ac:dyDescent="0.25">
      <c r="A1067" s="36" t="s">
        <v>27</v>
      </c>
      <c r="B1067" s="36" t="s">
        <v>1546</v>
      </c>
      <c r="C1067" s="36" t="s">
        <v>28</v>
      </c>
      <c r="D1067" s="36" t="s">
        <v>1546</v>
      </c>
      <c r="E1067" s="36" t="s">
        <v>30</v>
      </c>
      <c r="F1067" s="36" t="s">
        <v>569</v>
      </c>
      <c r="G1067" s="37" t="s">
        <v>1547</v>
      </c>
      <c r="H1067" s="36" t="s">
        <v>1548</v>
      </c>
      <c r="I1067" s="36" t="s">
        <v>1521</v>
      </c>
      <c r="J1067" s="36">
        <v>3</v>
      </c>
      <c r="K1067" s="36" t="s">
        <v>1550</v>
      </c>
      <c r="L1067" s="36">
        <v>4</v>
      </c>
      <c r="M1067" s="36">
        <v>56</v>
      </c>
      <c r="N1067" s="38">
        <v>8572</v>
      </c>
      <c r="O1067" s="38">
        <v>480032</v>
      </c>
      <c r="P1067" s="36">
        <v>1</v>
      </c>
      <c r="Q1067" s="40">
        <v>46143</v>
      </c>
      <c r="R1067" s="36" t="s">
        <v>761</v>
      </c>
      <c r="S1067" s="36" t="s">
        <v>762</v>
      </c>
      <c r="T1067" s="36" t="s">
        <v>763</v>
      </c>
      <c r="U1067" s="36" t="s">
        <v>764</v>
      </c>
      <c r="V1067" s="40">
        <v>46143</v>
      </c>
      <c r="W1067" s="36"/>
      <c r="X1067" s="36">
        <v>0</v>
      </c>
      <c r="Y1067" s="36"/>
      <c r="Z1067" s="36">
        <v>0</v>
      </c>
      <c r="AA1067" s="36">
        <v>0</v>
      </c>
      <c r="AB1067" s="36"/>
      <c r="AC1067" s="36" t="str">
        <f t="shared" si="5"/>
        <v>PC26</v>
      </c>
      <c r="AD1067" s="36" t="str">
        <f>VLOOKUP(D1067,Oficial!A:C,3,0)</f>
        <v>Bienes y Servicios</v>
      </c>
    </row>
    <row r="1068" spans="1:30" x14ac:dyDescent="0.25">
      <c r="A1068" s="36" t="s">
        <v>27</v>
      </c>
      <c r="B1068" s="36" t="s">
        <v>1551</v>
      </c>
      <c r="C1068" s="36" t="s">
        <v>28</v>
      </c>
      <c r="D1068" s="36" t="s">
        <v>1551</v>
      </c>
      <c r="E1068" s="36" t="s">
        <v>30</v>
      </c>
      <c r="F1068" s="36" t="s">
        <v>569</v>
      </c>
      <c r="G1068" s="37" t="s">
        <v>1552</v>
      </c>
      <c r="H1068" s="36" t="s">
        <v>1553</v>
      </c>
      <c r="I1068" s="36" t="s">
        <v>1521</v>
      </c>
      <c r="J1068" s="36">
        <v>1</v>
      </c>
      <c r="K1068" s="36" t="s">
        <v>1554</v>
      </c>
      <c r="L1068" s="36">
        <v>4</v>
      </c>
      <c r="M1068" s="36">
        <v>91</v>
      </c>
      <c r="N1068" s="38">
        <v>3671</v>
      </c>
      <c r="O1068" s="38">
        <v>334061</v>
      </c>
      <c r="P1068" s="36">
        <v>1</v>
      </c>
      <c r="Q1068" s="40">
        <v>46143</v>
      </c>
      <c r="R1068" s="36" t="s">
        <v>761</v>
      </c>
      <c r="S1068" s="36" t="s">
        <v>762</v>
      </c>
      <c r="T1068" s="36" t="s">
        <v>763</v>
      </c>
      <c r="U1068" s="36" t="s">
        <v>764</v>
      </c>
      <c r="V1068" s="40">
        <v>46143</v>
      </c>
      <c r="W1068" s="36"/>
      <c r="X1068" s="36">
        <v>0</v>
      </c>
      <c r="Y1068" s="36"/>
      <c r="Z1068" s="36">
        <v>0</v>
      </c>
      <c r="AA1068" s="36">
        <v>0</v>
      </c>
      <c r="AB1068" s="36"/>
      <c r="AC1068" s="36" t="str">
        <f t="shared" si="5"/>
        <v>PC26</v>
      </c>
      <c r="AD1068" s="36" t="str">
        <f>VLOOKUP(D1068,Oficial!A:C,3,0)</f>
        <v>Bienes y Servicios</v>
      </c>
    </row>
    <row r="1069" spans="1:30" x14ac:dyDescent="0.25">
      <c r="A1069" s="36" t="s">
        <v>27</v>
      </c>
      <c r="B1069" s="36" t="s">
        <v>1555</v>
      </c>
      <c r="C1069" s="36" t="s">
        <v>28</v>
      </c>
      <c r="D1069" s="36" t="s">
        <v>1555</v>
      </c>
      <c r="E1069" s="36" t="s">
        <v>30</v>
      </c>
      <c r="F1069" s="36" t="s">
        <v>569</v>
      </c>
      <c r="G1069" s="37" t="s">
        <v>223</v>
      </c>
      <c r="H1069" s="36" t="s">
        <v>1556</v>
      </c>
      <c r="I1069" s="36" t="s">
        <v>1557</v>
      </c>
      <c r="J1069" s="36">
        <v>1</v>
      </c>
      <c r="K1069" s="36" t="s">
        <v>1558</v>
      </c>
      <c r="L1069" s="36">
        <v>4</v>
      </c>
      <c r="M1069" s="36">
        <v>1</v>
      </c>
      <c r="N1069" s="38">
        <v>14500000</v>
      </c>
      <c r="O1069" s="38">
        <v>14500000</v>
      </c>
      <c r="P1069" s="36">
        <v>1</v>
      </c>
      <c r="Q1069" s="40">
        <v>46113</v>
      </c>
      <c r="R1069" s="36" t="s">
        <v>1559</v>
      </c>
      <c r="S1069" s="36" t="s">
        <v>1560</v>
      </c>
      <c r="T1069" s="36" t="s">
        <v>1561</v>
      </c>
      <c r="U1069" s="36" t="s">
        <v>1562</v>
      </c>
      <c r="V1069" s="40">
        <v>46082</v>
      </c>
      <c r="W1069" s="36"/>
      <c r="X1069" s="36">
        <v>0</v>
      </c>
      <c r="Y1069" s="36"/>
      <c r="Z1069" s="36">
        <v>0</v>
      </c>
      <c r="AA1069" s="36">
        <v>0</v>
      </c>
      <c r="AB1069" s="36"/>
      <c r="AC1069" s="36" t="str">
        <f t="shared" si="5"/>
        <v>PC26</v>
      </c>
      <c r="AD1069" s="36" t="str">
        <f>VLOOKUP(D1069,Oficial!A:C,3,0)</f>
        <v>Bienes y Servicios</v>
      </c>
    </row>
    <row r="1070" spans="1:30" x14ac:dyDescent="0.25">
      <c r="A1070" s="36" t="s">
        <v>27</v>
      </c>
      <c r="B1070" s="36" t="s">
        <v>1563</v>
      </c>
      <c r="C1070" s="36" t="s">
        <v>28</v>
      </c>
      <c r="D1070" s="36" t="s">
        <v>1563</v>
      </c>
      <c r="E1070" s="36" t="s">
        <v>30</v>
      </c>
      <c r="F1070" s="36" t="s">
        <v>569</v>
      </c>
      <c r="G1070" s="37" t="s">
        <v>812</v>
      </c>
      <c r="H1070" s="36" t="s">
        <v>1404</v>
      </c>
      <c r="I1070" s="36" t="s">
        <v>1564</v>
      </c>
      <c r="J1070" s="36">
        <v>2</v>
      </c>
      <c r="K1070" s="36" t="s">
        <v>1565</v>
      </c>
      <c r="L1070" s="36">
        <v>4</v>
      </c>
      <c r="M1070" s="36">
        <v>1</v>
      </c>
      <c r="N1070" s="38">
        <v>60000</v>
      </c>
      <c r="O1070" s="38">
        <v>60000</v>
      </c>
      <c r="P1070" s="36">
        <v>1</v>
      </c>
      <c r="Q1070" s="40">
        <v>46327</v>
      </c>
      <c r="R1070" s="36" t="s">
        <v>1035</v>
      </c>
      <c r="S1070" s="36" t="s">
        <v>1036</v>
      </c>
      <c r="T1070" s="36" t="s">
        <v>1037</v>
      </c>
      <c r="U1070" s="36" t="s">
        <v>1038</v>
      </c>
      <c r="V1070" s="40">
        <v>46327</v>
      </c>
      <c r="W1070" s="36"/>
      <c r="X1070" s="36">
        <v>0</v>
      </c>
      <c r="Y1070" s="36"/>
      <c r="Z1070" s="36">
        <v>0</v>
      </c>
      <c r="AA1070" s="36">
        <v>0</v>
      </c>
      <c r="AB1070" s="36"/>
      <c r="AC1070" s="36" t="str">
        <f t="shared" si="5"/>
        <v>PC26</v>
      </c>
      <c r="AD1070" s="36" t="str">
        <f>VLOOKUP(D1070,Oficial!A:C,3,0)</f>
        <v>Bienes y Servicios</v>
      </c>
    </row>
    <row r="1071" spans="1:30" x14ac:dyDescent="0.25">
      <c r="A1071" s="36" t="s">
        <v>27</v>
      </c>
      <c r="B1071" s="36" t="s">
        <v>1563</v>
      </c>
      <c r="C1071" s="36" t="s">
        <v>28</v>
      </c>
      <c r="D1071" s="36" t="s">
        <v>1563</v>
      </c>
      <c r="E1071" s="36" t="s">
        <v>30</v>
      </c>
      <c r="F1071" s="36" t="s">
        <v>569</v>
      </c>
      <c r="G1071" s="37" t="s">
        <v>812</v>
      </c>
      <c r="H1071" s="36" t="s">
        <v>1404</v>
      </c>
      <c r="I1071" s="36" t="s">
        <v>1564</v>
      </c>
      <c r="J1071" s="36">
        <v>2</v>
      </c>
      <c r="K1071" s="36" t="s">
        <v>957</v>
      </c>
      <c r="L1071" s="36">
        <v>4</v>
      </c>
      <c r="M1071" s="36">
        <v>1</v>
      </c>
      <c r="N1071" s="38">
        <v>400000</v>
      </c>
      <c r="O1071" s="38">
        <v>400000</v>
      </c>
      <c r="P1071" s="36">
        <v>1</v>
      </c>
      <c r="Q1071" s="40">
        <v>46327</v>
      </c>
      <c r="R1071" s="36" t="s">
        <v>1035</v>
      </c>
      <c r="S1071" s="36" t="s">
        <v>1036</v>
      </c>
      <c r="T1071" s="36" t="s">
        <v>1037</v>
      </c>
      <c r="U1071" s="36" t="s">
        <v>1038</v>
      </c>
      <c r="V1071" s="40">
        <v>46327</v>
      </c>
      <c r="W1071" s="36"/>
      <c r="X1071" s="36">
        <v>0</v>
      </c>
      <c r="Y1071" s="36"/>
      <c r="Z1071" s="36">
        <v>0</v>
      </c>
      <c r="AA1071" s="36">
        <v>0</v>
      </c>
      <c r="AB1071" s="36"/>
      <c r="AC1071" s="36" t="str">
        <f t="shared" si="5"/>
        <v>PC26</v>
      </c>
      <c r="AD1071" s="36" t="str">
        <f>VLOOKUP(D1071,Oficial!A:C,3,0)</f>
        <v>Bienes y Servicios</v>
      </c>
    </row>
    <row r="1072" spans="1:30" x14ac:dyDescent="0.25">
      <c r="A1072" s="36" t="s">
        <v>27</v>
      </c>
      <c r="B1072" s="36" t="s">
        <v>1566</v>
      </c>
      <c r="C1072" s="36" t="s">
        <v>28</v>
      </c>
      <c r="D1072" s="36" t="s">
        <v>1566</v>
      </c>
      <c r="E1072" s="36" t="s">
        <v>30</v>
      </c>
      <c r="F1072" s="36" t="s">
        <v>569</v>
      </c>
      <c r="G1072" s="37" t="s">
        <v>104</v>
      </c>
      <c r="H1072" s="36" t="s">
        <v>1567</v>
      </c>
      <c r="I1072" s="36" t="s">
        <v>1568</v>
      </c>
      <c r="J1072" s="36">
        <v>1</v>
      </c>
      <c r="K1072" s="36" t="s">
        <v>1121</v>
      </c>
      <c r="L1072" s="36">
        <v>4</v>
      </c>
      <c r="M1072" s="36">
        <v>1</v>
      </c>
      <c r="N1072" s="38">
        <v>120000</v>
      </c>
      <c r="O1072" s="38">
        <v>120000</v>
      </c>
      <c r="P1072" s="36">
        <v>1</v>
      </c>
      <c r="Q1072" s="40">
        <v>46054</v>
      </c>
      <c r="R1072" s="36" t="s">
        <v>1211</v>
      </c>
      <c r="S1072" s="36" t="s">
        <v>320</v>
      </c>
      <c r="T1072" s="36" t="s">
        <v>1212</v>
      </c>
      <c r="U1072" s="36" t="s">
        <v>322</v>
      </c>
      <c r="V1072" s="40">
        <v>46054</v>
      </c>
      <c r="W1072" s="36"/>
      <c r="X1072" s="36">
        <v>0</v>
      </c>
      <c r="Y1072" s="36"/>
      <c r="Z1072" s="36">
        <v>0</v>
      </c>
      <c r="AA1072" s="36">
        <v>0</v>
      </c>
      <c r="AB1072" s="36"/>
      <c r="AC1072" s="36" t="str">
        <f t="shared" si="5"/>
        <v>PC26</v>
      </c>
      <c r="AD1072" s="36" t="str">
        <f>VLOOKUP(D1072,Oficial!A:C,3,0)</f>
        <v>Bienes y Servicios</v>
      </c>
    </row>
    <row r="1073" spans="1:30" x14ac:dyDescent="0.25">
      <c r="A1073" s="36" t="s">
        <v>27</v>
      </c>
      <c r="B1073" s="36" t="s">
        <v>1569</v>
      </c>
      <c r="C1073" s="36" t="s">
        <v>28</v>
      </c>
      <c r="D1073" s="36" t="s">
        <v>1569</v>
      </c>
      <c r="E1073" s="36" t="s">
        <v>30</v>
      </c>
      <c r="F1073" s="36" t="s">
        <v>569</v>
      </c>
      <c r="G1073" s="37" t="s">
        <v>314</v>
      </c>
      <c r="H1073" s="36" t="s">
        <v>1570</v>
      </c>
      <c r="I1073" s="36" t="s">
        <v>1571</v>
      </c>
      <c r="J1073" s="36">
        <v>1</v>
      </c>
      <c r="K1073" s="36" t="s">
        <v>599</v>
      </c>
      <c r="L1073" s="36">
        <v>4</v>
      </c>
      <c r="M1073" s="36">
        <v>1</v>
      </c>
      <c r="N1073" s="38">
        <v>7000000</v>
      </c>
      <c r="O1073" s="38">
        <v>7000000</v>
      </c>
      <c r="P1073" s="36">
        <v>1</v>
      </c>
      <c r="Q1073" s="40">
        <v>46082</v>
      </c>
      <c r="R1073" s="36" t="s">
        <v>1572</v>
      </c>
      <c r="S1073" s="36" t="s">
        <v>1573</v>
      </c>
      <c r="T1073" s="36" t="s">
        <v>1154</v>
      </c>
      <c r="U1073" s="36" t="s">
        <v>1574</v>
      </c>
      <c r="V1073" s="40">
        <v>46082</v>
      </c>
      <c r="W1073" s="36"/>
      <c r="X1073" s="36">
        <v>0</v>
      </c>
      <c r="Y1073" s="36"/>
      <c r="Z1073" s="36">
        <v>0</v>
      </c>
      <c r="AA1073" s="36">
        <v>0</v>
      </c>
      <c r="AB1073" s="36"/>
      <c r="AC1073" s="36" t="str">
        <f t="shared" si="5"/>
        <v>PC26</v>
      </c>
      <c r="AD1073" s="36" t="str">
        <f>VLOOKUP(D1073,Oficial!A:C,3,0)</f>
        <v>Bienes y Servicios</v>
      </c>
    </row>
    <row r="1074" spans="1:30" x14ac:dyDescent="0.25">
      <c r="A1074" s="36" t="s">
        <v>27</v>
      </c>
      <c r="B1074" s="36" t="s">
        <v>1575</v>
      </c>
      <c r="C1074" s="36" t="s">
        <v>374</v>
      </c>
      <c r="D1074" s="36" t="s">
        <v>1575</v>
      </c>
      <c r="E1074" s="36" t="s">
        <v>30</v>
      </c>
      <c r="F1074" s="36" t="s">
        <v>569</v>
      </c>
      <c r="G1074" s="37" t="s">
        <v>1547</v>
      </c>
      <c r="H1074" s="36" t="s">
        <v>1576</v>
      </c>
      <c r="I1074" s="36" t="s">
        <v>1577</v>
      </c>
      <c r="J1074" s="36">
        <v>7</v>
      </c>
      <c r="K1074" s="36" t="s">
        <v>1578</v>
      </c>
      <c r="L1074" s="36">
        <v>4</v>
      </c>
      <c r="M1074" s="36">
        <v>2</v>
      </c>
      <c r="N1074" s="38">
        <v>60000</v>
      </c>
      <c r="O1074" s="38">
        <v>120000</v>
      </c>
      <c r="P1074" s="36">
        <v>1</v>
      </c>
      <c r="Q1074" s="40">
        <v>46143</v>
      </c>
      <c r="R1074" s="36" t="s">
        <v>761</v>
      </c>
      <c r="S1074" s="36" t="s">
        <v>762</v>
      </c>
      <c r="T1074" s="36" t="s">
        <v>763</v>
      </c>
      <c r="U1074" s="36" t="s">
        <v>764</v>
      </c>
      <c r="V1074" s="40">
        <v>46054</v>
      </c>
      <c r="W1074" s="36"/>
      <c r="X1074" s="36">
        <v>0</v>
      </c>
      <c r="Y1074" s="36"/>
      <c r="Z1074" s="36">
        <v>0</v>
      </c>
      <c r="AA1074" s="36">
        <v>0</v>
      </c>
      <c r="AB1074" s="36"/>
      <c r="AC1074" s="36" t="str">
        <f t="shared" si="5"/>
        <v>PC26</v>
      </c>
      <c r="AD1074" s="36" t="str">
        <f>VLOOKUP(D1074,Oficial!A:C,3,0)</f>
        <v>Administración de Fondos</v>
      </c>
    </row>
    <row r="1075" spans="1:30" x14ac:dyDescent="0.25">
      <c r="A1075" s="36" t="s">
        <v>27</v>
      </c>
      <c r="B1075" s="36" t="s">
        <v>1575</v>
      </c>
      <c r="C1075" s="36" t="s">
        <v>374</v>
      </c>
      <c r="D1075" s="36" t="s">
        <v>1575</v>
      </c>
      <c r="E1075" s="36" t="s">
        <v>30</v>
      </c>
      <c r="F1075" s="36" t="s">
        <v>569</v>
      </c>
      <c r="G1075" s="37" t="s">
        <v>1547</v>
      </c>
      <c r="H1075" s="36" t="s">
        <v>1576</v>
      </c>
      <c r="I1075" s="36" t="s">
        <v>1577</v>
      </c>
      <c r="J1075" s="36">
        <v>7</v>
      </c>
      <c r="K1075" s="36" t="s">
        <v>1579</v>
      </c>
      <c r="L1075" s="36">
        <v>4</v>
      </c>
      <c r="M1075" s="36">
        <v>4</v>
      </c>
      <c r="N1075" s="38">
        <v>112500</v>
      </c>
      <c r="O1075" s="38">
        <v>450000</v>
      </c>
      <c r="P1075" s="36">
        <v>1</v>
      </c>
      <c r="Q1075" s="40">
        <v>46054</v>
      </c>
      <c r="R1075" s="36" t="s">
        <v>761</v>
      </c>
      <c r="S1075" s="36" t="s">
        <v>762</v>
      </c>
      <c r="T1075" s="36" t="s">
        <v>763</v>
      </c>
      <c r="U1075" s="36" t="s">
        <v>764</v>
      </c>
      <c r="V1075" s="40">
        <v>46054</v>
      </c>
      <c r="W1075" s="36"/>
      <c r="X1075" s="36">
        <v>0</v>
      </c>
      <c r="Y1075" s="36"/>
      <c r="Z1075" s="36">
        <v>0</v>
      </c>
      <c r="AA1075" s="36">
        <v>0</v>
      </c>
      <c r="AB1075" s="36"/>
      <c r="AC1075" s="36" t="str">
        <f t="shared" si="5"/>
        <v>PC26</v>
      </c>
      <c r="AD1075" s="36" t="str">
        <f>VLOOKUP(D1075,Oficial!A:C,3,0)</f>
        <v>Administración de Fondos</v>
      </c>
    </row>
    <row r="1076" spans="1:30" x14ac:dyDescent="0.25">
      <c r="A1076" s="36" t="s">
        <v>27</v>
      </c>
      <c r="B1076" s="36" t="s">
        <v>1575</v>
      </c>
      <c r="C1076" s="36" t="s">
        <v>374</v>
      </c>
      <c r="D1076" s="36" t="s">
        <v>1575</v>
      </c>
      <c r="E1076" s="36" t="s">
        <v>30</v>
      </c>
      <c r="F1076" s="36" t="s">
        <v>569</v>
      </c>
      <c r="G1076" s="37" t="s">
        <v>1547</v>
      </c>
      <c r="H1076" s="36" t="s">
        <v>1576</v>
      </c>
      <c r="I1076" s="36" t="s">
        <v>1577</v>
      </c>
      <c r="J1076" s="36">
        <v>7</v>
      </c>
      <c r="K1076" s="36" t="s">
        <v>1580</v>
      </c>
      <c r="L1076" s="36">
        <v>4</v>
      </c>
      <c r="M1076" s="36">
        <v>8</v>
      </c>
      <c r="N1076" s="38">
        <v>345000</v>
      </c>
      <c r="O1076" s="38">
        <v>2760000</v>
      </c>
      <c r="P1076" s="36">
        <v>1</v>
      </c>
      <c r="Q1076" s="40">
        <v>46054</v>
      </c>
      <c r="R1076" s="36" t="s">
        <v>761</v>
      </c>
      <c r="S1076" s="36" t="s">
        <v>762</v>
      </c>
      <c r="T1076" s="36" t="s">
        <v>763</v>
      </c>
      <c r="U1076" s="36" t="s">
        <v>764</v>
      </c>
      <c r="V1076" s="40">
        <v>46054</v>
      </c>
      <c r="W1076" s="36"/>
      <c r="X1076" s="36">
        <v>0</v>
      </c>
      <c r="Y1076" s="36"/>
      <c r="Z1076" s="36">
        <v>0</v>
      </c>
      <c r="AA1076" s="36">
        <v>0</v>
      </c>
      <c r="AB1076" s="36"/>
      <c r="AC1076" s="36" t="str">
        <f t="shared" si="5"/>
        <v>PC26</v>
      </c>
      <c r="AD1076" s="36" t="str">
        <f>VLOOKUP(D1076,Oficial!A:C,3,0)</f>
        <v>Administración de Fondos</v>
      </c>
    </row>
    <row r="1077" spans="1:30" x14ac:dyDescent="0.25">
      <c r="A1077" s="36" t="s">
        <v>27</v>
      </c>
      <c r="B1077" s="36" t="s">
        <v>1575</v>
      </c>
      <c r="C1077" s="36" t="s">
        <v>374</v>
      </c>
      <c r="D1077" s="36" t="s">
        <v>1575</v>
      </c>
      <c r="E1077" s="36" t="s">
        <v>30</v>
      </c>
      <c r="F1077" s="36" t="s">
        <v>569</v>
      </c>
      <c r="G1077" s="37" t="s">
        <v>1547</v>
      </c>
      <c r="H1077" s="36" t="s">
        <v>1576</v>
      </c>
      <c r="I1077" s="36" t="s">
        <v>1577</v>
      </c>
      <c r="J1077" s="36">
        <v>7</v>
      </c>
      <c r="K1077" s="36" t="s">
        <v>1581</v>
      </c>
      <c r="L1077" s="36">
        <v>4</v>
      </c>
      <c r="M1077" s="36">
        <v>7</v>
      </c>
      <c r="N1077" s="38">
        <v>330000</v>
      </c>
      <c r="O1077" s="38">
        <v>2310000</v>
      </c>
      <c r="P1077" s="36">
        <v>1</v>
      </c>
      <c r="Q1077" s="40">
        <v>46054</v>
      </c>
      <c r="R1077" s="36" t="s">
        <v>761</v>
      </c>
      <c r="S1077" s="36" t="s">
        <v>762</v>
      </c>
      <c r="T1077" s="36" t="s">
        <v>763</v>
      </c>
      <c r="U1077" s="36" t="s">
        <v>764</v>
      </c>
      <c r="V1077" s="40">
        <v>46054</v>
      </c>
      <c r="W1077" s="36"/>
      <c r="X1077" s="36">
        <v>0</v>
      </c>
      <c r="Y1077" s="36"/>
      <c r="Z1077" s="36">
        <v>0</v>
      </c>
      <c r="AA1077" s="36">
        <v>0</v>
      </c>
      <c r="AB1077" s="36"/>
      <c r="AC1077" s="36" t="str">
        <f t="shared" si="5"/>
        <v>PC26</v>
      </c>
      <c r="AD1077" s="36" t="str">
        <f>VLOOKUP(D1077,Oficial!A:C,3,0)</f>
        <v>Administración de Fondos</v>
      </c>
    </row>
    <row r="1078" spans="1:30" x14ac:dyDescent="0.25">
      <c r="A1078" s="36" t="s">
        <v>27</v>
      </c>
      <c r="B1078" s="36" t="s">
        <v>1575</v>
      </c>
      <c r="C1078" s="36" t="s">
        <v>374</v>
      </c>
      <c r="D1078" s="36" t="s">
        <v>1575</v>
      </c>
      <c r="E1078" s="36" t="s">
        <v>30</v>
      </c>
      <c r="F1078" s="36" t="s">
        <v>569</v>
      </c>
      <c r="G1078" s="37" t="s">
        <v>1547</v>
      </c>
      <c r="H1078" s="36" t="s">
        <v>1576</v>
      </c>
      <c r="I1078" s="36" t="s">
        <v>1577</v>
      </c>
      <c r="J1078" s="36">
        <v>7</v>
      </c>
      <c r="K1078" s="36" t="s">
        <v>1582</v>
      </c>
      <c r="L1078" s="36">
        <v>4</v>
      </c>
      <c r="M1078" s="36">
        <v>2</v>
      </c>
      <c r="N1078" s="38">
        <v>400000</v>
      </c>
      <c r="O1078" s="38">
        <v>800000</v>
      </c>
      <c r="P1078" s="36">
        <v>1</v>
      </c>
      <c r="Q1078" s="40">
        <v>46054</v>
      </c>
      <c r="R1078" s="36" t="s">
        <v>761</v>
      </c>
      <c r="S1078" s="36" t="s">
        <v>762</v>
      </c>
      <c r="T1078" s="36" t="s">
        <v>763</v>
      </c>
      <c r="U1078" s="36" t="s">
        <v>764</v>
      </c>
      <c r="V1078" s="40">
        <v>46054</v>
      </c>
      <c r="W1078" s="36"/>
      <c r="X1078" s="36">
        <v>0</v>
      </c>
      <c r="Y1078" s="36"/>
      <c r="Z1078" s="36">
        <v>0</v>
      </c>
      <c r="AA1078" s="36">
        <v>0</v>
      </c>
      <c r="AB1078" s="36"/>
      <c r="AC1078" s="36" t="str">
        <f t="shared" si="5"/>
        <v>PC26</v>
      </c>
      <c r="AD1078" s="36" t="str">
        <f>VLOOKUP(D1078,Oficial!A:C,3,0)</f>
        <v>Administración de Fondos</v>
      </c>
    </row>
    <row r="1079" spans="1:30" x14ac:dyDescent="0.25">
      <c r="A1079" s="36" t="s">
        <v>27</v>
      </c>
      <c r="B1079" s="36" t="s">
        <v>1575</v>
      </c>
      <c r="C1079" s="36" t="s">
        <v>374</v>
      </c>
      <c r="D1079" s="36" t="s">
        <v>1575</v>
      </c>
      <c r="E1079" s="36" t="s">
        <v>30</v>
      </c>
      <c r="F1079" s="36" t="s">
        <v>569</v>
      </c>
      <c r="G1079" s="37" t="s">
        <v>1547</v>
      </c>
      <c r="H1079" s="36" t="s">
        <v>1576</v>
      </c>
      <c r="I1079" s="36" t="s">
        <v>1577</v>
      </c>
      <c r="J1079" s="36">
        <v>7</v>
      </c>
      <c r="K1079" s="36" t="s">
        <v>1583</v>
      </c>
      <c r="L1079" s="36">
        <v>4</v>
      </c>
      <c r="M1079" s="36">
        <v>6</v>
      </c>
      <c r="N1079" s="38">
        <v>40000</v>
      </c>
      <c r="O1079" s="38">
        <v>240000</v>
      </c>
      <c r="P1079" s="36">
        <v>1</v>
      </c>
      <c r="Q1079" s="40">
        <v>46054</v>
      </c>
      <c r="R1079" s="36" t="s">
        <v>761</v>
      </c>
      <c r="S1079" s="36" t="s">
        <v>762</v>
      </c>
      <c r="T1079" s="36" t="s">
        <v>763</v>
      </c>
      <c r="U1079" s="36" t="s">
        <v>764</v>
      </c>
      <c r="V1079" s="40">
        <v>46054</v>
      </c>
      <c r="W1079" s="36"/>
      <c r="X1079" s="36">
        <v>0</v>
      </c>
      <c r="Y1079" s="36"/>
      <c r="Z1079" s="36">
        <v>0</v>
      </c>
      <c r="AA1079" s="36">
        <v>0</v>
      </c>
      <c r="AB1079" s="36"/>
      <c r="AC1079" s="36" t="str">
        <f t="shared" si="5"/>
        <v>PC26</v>
      </c>
      <c r="AD1079" s="36" t="str">
        <f>VLOOKUP(D1079,Oficial!A:C,3,0)</f>
        <v>Administración de Fondos</v>
      </c>
    </row>
    <row r="1080" spans="1:30" x14ac:dyDescent="0.25">
      <c r="A1080" s="36" t="s">
        <v>27</v>
      </c>
      <c r="B1080" s="36" t="s">
        <v>1575</v>
      </c>
      <c r="C1080" s="36" t="s">
        <v>374</v>
      </c>
      <c r="D1080" s="36" t="s">
        <v>1575</v>
      </c>
      <c r="E1080" s="36" t="s">
        <v>30</v>
      </c>
      <c r="F1080" s="36" t="s">
        <v>569</v>
      </c>
      <c r="G1080" s="37" t="s">
        <v>1547</v>
      </c>
      <c r="H1080" s="36" t="s">
        <v>1576</v>
      </c>
      <c r="I1080" s="36" t="s">
        <v>1577</v>
      </c>
      <c r="J1080" s="36">
        <v>7</v>
      </c>
      <c r="K1080" s="36" t="s">
        <v>1584</v>
      </c>
      <c r="L1080" s="36">
        <v>4</v>
      </c>
      <c r="M1080" s="36">
        <v>1</v>
      </c>
      <c r="N1080" s="38">
        <v>30000</v>
      </c>
      <c r="O1080" s="38">
        <v>30000</v>
      </c>
      <c r="P1080" s="36">
        <v>1</v>
      </c>
      <c r="Q1080" s="40">
        <v>46054</v>
      </c>
      <c r="R1080" s="36" t="s">
        <v>761</v>
      </c>
      <c r="S1080" s="36" t="s">
        <v>762</v>
      </c>
      <c r="T1080" s="36" t="s">
        <v>763</v>
      </c>
      <c r="U1080" s="36" t="s">
        <v>764</v>
      </c>
      <c r="V1080" s="40">
        <v>46054</v>
      </c>
      <c r="W1080" s="36"/>
      <c r="X1080" s="36">
        <v>0</v>
      </c>
      <c r="Y1080" s="36"/>
      <c r="Z1080" s="36">
        <v>0</v>
      </c>
      <c r="AA1080" s="36">
        <v>0</v>
      </c>
      <c r="AB1080" s="36"/>
      <c r="AC1080" s="36" t="str">
        <f t="shared" si="5"/>
        <v>PC26</v>
      </c>
      <c r="AD1080" s="36" t="str">
        <f>VLOOKUP(D1080,Oficial!A:C,3,0)</f>
        <v>Administración de Fondos</v>
      </c>
    </row>
    <row r="1081" spans="1:30" x14ac:dyDescent="0.25">
      <c r="A1081" s="36" t="s">
        <v>27</v>
      </c>
      <c r="B1081" s="36" t="s">
        <v>1585</v>
      </c>
      <c r="C1081" s="36" t="s">
        <v>28</v>
      </c>
      <c r="D1081" s="36" t="s">
        <v>1585</v>
      </c>
      <c r="E1081" s="36" t="s">
        <v>30</v>
      </c>
      <c r="F1081" s="36" t="s">
        <v>569</v>
      </c>
      <c r="G1081" s="37" t="s">
        <v>1586</v>
      </c>
      <c r="H1081" s="36" t="s">
        <v>1587</v>
      </c>
      <c r="I1081" s="36" t="s">
        <v>1588</v>
      </c>
      <c r="J1081" s="36">
        <v>1</v>
      </c>
      <c r="K1081" s="36" t="s">
        <v>1589</v>
      </c>
      <c r="L1081" s="36">
        <v>4</v>
      </c>
      <c r="M1081" s="36">
        <v>4</v>
      </c>
      <c r="N1081" s="38">
        <v>357000</v>
      </c>
      <c r="O1081" s="38">
        <v>1428000</v>
      </c>
      <c r="P1081" s="36">
        <v>1</v>
      </c>
      <c r="Q1081" s="40">
        <v>46082</v>
      </c>
      <c r="R1081" s="36" t="s">
        <v>1572</v>
      </c>
      <c r="S1081" s="36" t="s">
        <v>1573</v>
      </c>
      <c r="T1081" s="36" t="s">
        <v>1154</v>
      </c>
      <c r="U1081" s="36" t="s">
        <v>1574</v>
      </c>
      <c r="V1081" s="40">
        <v>46082</v>
      </c>
      <c r="W1081" s="36"/>
      <c r="X1081" s="36">
        <v>0</v>
      </c>
      <c r="Y1081" s="36"/>
      <c r="Z1081" s="36">
        <v>0</v>
      </c>
      <c r="AA1081" s="36">
        <v>0</v>
      </c>
      <c r="AB1081" s="36"/>
      <c r="AC1081" s="36" t="str">
        <f t="shared" si="5"/>
        <v>PC26</v>
      </c>
      <c r="AD1081" s="36" t="str">
        <f>VLOOKUP(D1081,Oficial!A:C,3,0)</f>
        <v>Bienes y Servicios</v>
      </c>
    </row>
    <row r="1082" spans="1:30" x14ac:dyDescent="0.25">
      <c r="A1082" s="36" t="s">
        <v>27</v>
      </c>
      <c r="B1082" s="36" t="s">
        <v>1590</v>
      </c>
      <c r="C1082" s="36" t="s">
        <v>374</v>
      </c>
      <c r="D1082" s="36" t="s">
        <v>1590</v>
      </c>
      <c r="E1082" s="36" t="s">
        <v>30</v>
      </c>
      <c r="F1082" s="36" t="s">
        <v>569</v>
      </c>
      <c r="G1082" s="37" t="s">
        <v>104</v>
      </c>
      <c r="H1082" s="36" t="s">
        <v>1591</v>
      </c>
      <c r="I1082" s="36" t="s">
        <v>1577</v>
      </c>
      <c r="J1082" s="36">
        <v>3</v>
      </c>
      <c r="K1082" s="36" t="s">
        <v>1592</v>
      </c>
      <c r="L1082" s="36">
        <v>4</v>
      </c>
      <c r="M1082" s="36">
        <v>1</v>
      </c>
      <c r="N1082" s="38">
        <v>150000</v>
      </c>
      <c r="O1082" s="38">
        <v>150000</v>
      </c>
      <c r="P1082" s="36">
        <v>1</v>
      </c>
      <c r="Q1082" s="40">
        <v>46143</v>
      </c>
      <c r="R1082" s="36" t="s">
        <v>761</v>
      </c>
      <c r="S1082" s="36" t="s">
        <v>762</v>
      </c>
      <c r="T1082" s="36" t="s">
        <v>763</v>
      </c>
      <c r="U1082" s="36" t="s">
        <v>764</v>
      </c>
      <c r="V1082" s="40">
        <v>46143</v>
      </c>
      <c r="W1082" s="36"/>
      <c r="X1082" s="36">
        <v>0</v>
      </c>
      <c r="Y1082" s="36"/>
      <c r="Z1082" s="36">
        <v>0</v>
      </c>
      <c r="AA1082" s="36">
        <v>0</v>
      </c>
      <c r="AB1082" s="36"/>
      <c r="AC1082" s="36" t="str">
        <f t="shared" si="5"/>
        <v>PC26</v>
      </c>
      <c r="AD1082" s="36" t="str">
        <f>VLOOKUP(D1082,Oficial!A:C,3,0)</f>
        <v>Administración de Fondos</v>
      </c>
    </row>
    <row r="1083" spans="1:30" x14ac:dyDescent="0.25">
      <c r="A1083" s="36" t="s">
        <v>27</v>
      </c>
      <c r="B1083" s="36" t="s">
        <v>1590</v>
      </c>
      <c r="C1083" s="36" t="s">
        <v>374</v>
      </c>
      <c r="D1083" s="36" t="s">
        <v>1590</v>
      </c>
      <c r="E1083" s="36" t="s">
        <v>30</v>
      </c>
      <c r="F1083" s="36" t="s">
        <v>569</v>
      </c>
      <c r="G1083" s="37" t="s">
        <v>104</v>
      </c>
      <c r="H1083" s="36" t="s">
        <v>1591</v>
      </c>
      <c r="I1083" s="36" t="s">
        <v>1577</v>
      </c>
      <c r="J1083" s="36">
        <v>3</v>
      </c>
      <c r="K1083" s="36" t="s">
        <v>1593</v>
      </c>
      <c r="L1083" s="36">
        <v>4</v>
      </c>
      <c r="M1083" s="36">
        <v>1</v>
      </c>
      <c r="N1083" s="38">
        <v>70000</v>
      </c>
      <c r="O1083" s="38">
        <v>70000</v>
      </c>
      <c r="P1083" s="36">
        <v>1</v>
      </c>
      <c r="Q1083" s="40">
        <v>46143</v>
      </c>
      <c r="R1083" s="36" t="s">
        <v>761</v>
      </c>
      <c r="S1083" s="36" t="s">
        <v>762</v>
      </c>
      <c r="T1083" s="36" t="s">
        <v>763</v>
      </c>
      <c r="U1083" s="36" t="s">
        <v>764</v>
      </c>
      <c r="V1083" s="40">
        <v>46143</v>
      </c>
      <c r="W1083" s="36"/>
      <c r="X1083" s="36">
        <v>0</v>
      </c>
      <c r="Y1083" s="36"/>
      <c r="Z1083" s="36">
        <v>0</v>
      </c>
      <c r="AA1083" s="36">
        <v>0</v>
      </c>
      <c r="AB1083" s="36"/>
      <c r="AC1083" s="36" t="str">
        <f t="shared" si="5"/>
        <v>PC26</v>
      </c>
      <c r="AD1083" s="36" t="str">
        <f>VLOOKUP(D1083,Oficial!A:C,3,0)</f>
        <v>Administración de Fondos</v>
      </c>
    </row>
    <row r="1084" spans="1:30" x14ac:dyDescent="0.25">
      <c r="A1084" s="36" t="s">
        <v>27</v>
      </c>
      <c r="B1084" s="36" t="s">
        <v>1590</v>
      </c>
      <c r="C1084" s="36" t="s">
        <v>374</v>
      </c>
      <c r="D1084" s="36" t="s">
        <v>1590</v>
      </c>
      <c r="E1084" s="36" t="s">
        <v>30</v>
      </c>
      <c r="F1084" s="36" t="s">
        <v>569</v>
      </c>
      <c r="G1084" s="37" t="s">
        <v>104</v>
      </c>
      <c r="H1084" s="36" t="s">
        <v>1591</v>
      </c>
      <c r="I1084" s="36" t="s">
        <v>1577</v>
      </c>
      <c r="J1084" s="36">
        <v>3</v>
      </c>
      <c r="K1084" s="36" t="s">
        <v>1594</v>
      </c>
      <c r="L1084" s="36">
        <v>4</v>
      </c>
      <c r="M1084" s="36">
        <v>5</v>
      </c>
      <c r="N1084" s="38">
        <v>15000</v>
      </c>
      <c r="O1084" s="38">
        <v>75000</v>
      </c>
      <c r="P1084" s="36">
        <v>1</v>
      </c>
      <c r="Q1084" s="40">
        <v>46143</v>
      </c>
      <c r="R1084" s="36" t="s">
        <v>761</v>
      </c>
      <c r="S1084" s="36" t="s">
        <v>762</v>
      </c>
      <c r="T1084" s="36" t="s">
        <v>763</v>
      </c>
      <c r="U1084" s="36" t="s">
        <v>764</v>
      </c>
      <c r="V1084" s="40">
        <v>46143</v>
      </c>
      <c r="W1084" s="36"/>
      <c r="X1084" s="36">
        <v>0</v>
      </c>
      <c r="Y1084" s="36"/>
      <c r="Z1084" s="36">
        <v>0</v>
      </c>
      <c r="AA1084" s="36">
        <v>0</v>
      </c>
      <c r="AB1084" s="36"/>
      <c r="AC1084" s="36" t="str">
        <f t="shared" si="5"/>
        <v>PC26</v>
      </c>
      <c r="AD1084" s="36" t="str">
        <f>VLOOKUP(D1084,Oficial!A:C,3,0)</f>
        <v>Administración de Fondos</v>
      </c>
    </row>
    <row r="1085" spans="1:30" x14ac:dyDescent="0.25">
      <c r="A1085" s="36" t="s">
        <v>27</v>
      </c>
      <c r="B1085" s="36" t="s">
        <v>1595</v>
      </c>
      <c r="C1085" s="36" t="s">
        <v>374</v>
      </c>
      <c r="D1085" s="36" t="s">
        <v>1595</v>
      </c>
      <c r="E1085" s="36" t="s">
        <v>30</v>
      </c>
      <c r="F1085" s="36" t="s">
        <v>569</v>
      </c>
      <c r="G1085" s="37" t="s">
        <v>1596</v>
      </c>
      <c r="H1085" s="36" t="s">
        <v>1597</v>
      </c>
      <c r="I1085" s="36" t="s">
        <v>1598</v>
      </c>
      <c r="J1085" s="36">
        <v>1</v>
      </c>
      <c r="K1085" s="36" t="s">
        <v>1599</v>
      </c>
      <c r="L1085" s="36">
        <v>4</v>
      </c>
      <c r="M1085" s="36">
        <v>1</v>
      </c>
      <c r="N1085" s="38">
        <v>360000</v>
      </c>
      <c r="O1085" s="38">
        <v>360000</v>
      </c>
      <c r="P1085" s="36">
        <v>1</v>
      </c>
      <c r="Q1085" s="40">
        <v>46054</v>
      </c>
      <c r="R1085" s="36" t="s">
        <v>761</v>
      </c>
      <c r="S1085" s="36" t="s">
        <v>762</v>
      </c>
      <c r="T1085" s="36" t="s">
        <v>763</v>
      </c>
      <c r="U1085" s="36" t="s">
        <v>764</v>
      </c>
      <c r="V1085" s="40">
        <v>46054</v>
      </c>
      <c r="W1085" s="36"/>
      <c r="X1085" s="36">
        <v>0</v>
      </c>
      <c r="Y1085" s="36"/>
      <c r="Z1085" s="36">
        <v>0</v>
      </c>
      <c r="AA1085" s="36">
        <v>0</v>
      </c>
      <c r="AB1085" s="36"/>
      <c r="AC1085" s="36" t="str">
        <f t="shared" si="5"/>
        <v>PC26</v>
      </c>
      <c r="AD1085" s="36" t="str">
        <f>VLOOKUP(D1085,Oficial!A:C,3,0)</f>
        <v>Administración de Fondos</v>
      </c>
    </row>
    <row r="1086" spans="1:30" x14ac:dyDescent="0.25">
      <c r="A1086" s="36" t="s">
        <v>27</v>
      </c>
      <c r="B1086" s="36" t="s">
        <v>1600</v>
      </c>
      <c r="C1086" s="36" t="s">
        <v>28</v>
      </c>
      <c r="D1086" s="36" t="s">
        <v>1600</v>
      </c>
      <c r="E1086" s="36" t="s">
        <v>30</v>
      </c>
      <c r="F1086" s="36" t="s">
        <v>569</v>
      </c>
      <c r="G1086" s="37" t="s">
        <v>1586</v>
      </c>
      <c r="H1086" s="36" t="s">
        <v>1601</v>
      </c>
      <c r="I1086" s="36" t="s">
        <v>1602</v>
      </c>
      <c r="J1086" s="36">
        <v>1</v>
      </c>
      <c r="K1086" s="36" t="s">
        <v>1603</v>
      </c>
      <c r="L1086" s="36">
        <v>4</v>
      </c>
      <c r="M1086" s="36">
        <v>4</v>
      </c>
      <c r="N1086" s="38">
        <v>357000</v>
      </c>
      <c r="O1086" s="38">
        <v>1428000</v>
      </c>
      <c r="P1086" s="36">
        <v>1</v>
      </c>
      <c r="Q1086" s="40">
        <v>46235</v>
      </c>
      <c r="R1086" s="36" t="s">
        <v>1572</v>
      </c>
      <c r="S1086" s="36" t="s">
        <v>1573</v>
      </c>
      <c r="T1086" s="36" t="s">
        <v>1154</v>
      </c>
      <c r="U1086" s="36" t="s">
        <v>1574</v>
      </c>
      <c r="V1086" s="40">
        <v>46235</v>
      </c>
      <c r="W1086" s="36"/>
      <c r="X1086" s="36">
        <v>0</v>
      </c>
      <c r="Y1086" s="36"/>
      <c r="Z1086" s="36">
        <v>0</v>
      </c>
      <c r="AA1086" s="36">
        <v>0</v>
      </c>
      <c r="AB1086" s="36"/>
      <c r="AC1086" s="36" t="str">
        <f t="shared" si="5"/>
        <v>PC26</v>
      </c>
      <c r="AD1086" s="36" t="str">
        <f>VLOOKUP(D1086,Oficial!A:C,3,0)</f>
        <v>Bienes y Servicios</v>
      </c>
    </row>
    <row r="1087" spans="1:30" x14ac:dyDescent="0.25">
      <c r="A1087" s="36" t="s">
        <v>27</v>
      </c>
      <c r="B1087" s="36" t="s">
        <v>1604</v>
      </c>
      <c r="C1087" s="36" t="s">
        <v>28</v>
      </c>
      <c r="D1087" s="36" t="s">
        <v>1604</v>
      </c>
      <c r="E1087" s="36" t="s">
        <v>30</v>
      </c>
      <c r="F1087" s="36" t="s">
        <v>569</v>
      </c>
      <c r="G1087" s="37" t="s">
        <v>483</v>
      </c>
      <c r="H1087" s="36" t="s">
        <v>1605</v>
      </c>
      <c r="I1087" s="36" t="s">
        <v>1606</v>
      </c>
      <c r="J1087" s="36">
        <v>2</v>
      </c>
      <c r="K1087" s="36" t="s">
        <v>1607</v>
      </c>
      <c r="L1087" s="36">
        <v>4</v>
      </c>
      <c r="M1087" s="36">
        <v>60</v>
      </c>
      <c r="N1087" s="38">
        <v>6000</v>
      </c>
      <c r="O1087" s="38">
        <v>360000</v>
      </c>
      <c r="P1087" s="36">
        <v>1</v>
      </c>
      <c r="Q1087" s="40">
        <v>46023</v>
      </c>
      <c r="R1087" s="36" t="s">
        <v>1608</v>
      </c>
      <c r="S1087" s="36" t="s">
        <v>379</v>
      </c>
      <c r="T1087" s="36" t="s">
        <v>659</v>
      </c>
      <c r="U1087" s="36" t="s">
        <v>381</v>
      </c>
      <c r="V1087" s="40">
        <v>46023</v>
      </c>
      <c r="W1087" s="36"/>
      <c r="X1087" s="36">
        <v>0</v>
      </c>
      <c r="Y1087" s="36"/>
      <c r="Z1087" s="36">
        <v>0</v>
      </c>
      <c r="AA1087" s="36">
        <v>0</v>
      </c>
      <c r="AB1087" s="36"/>
      <c r="AC1087" s="36" t="str">
        <f t="shared" si="5"/>
        <v>PC26</v>
      </c>
      <c r="AD1087" s="36" t="str">
        <f>VLOOKUP(D1087,Oficial!A:C,3,0)</f>
        <v>Bienes y Servicios</v>
      </c>
    </row>
    <row r="1088" spans="1:30" x14ac:dyDescent="0.25">
      <c r="A1088" s="36" t="s">
        <v>27</v>
      </c>
      <c r="B1088" s="36" t="s">
        <v>1604</v>
      </c>
      <c r="C1088" s="36" t="s">
        <v>28</v>
      </c>
      <c r="D1088" s="36" t="s">
        <v>1604</v>
      </c>
      <c r="E1088" s="36" t="s">
        <v>30</v>
      </c>
      <c r="F1088" s="36" t="s">
        <v>569</v>
      </c>
      <c r="G1088" s="37" t="s">
        <v>483</v>
      </c>
      <c r="H1088" s="36" t="s">
        <v>1605</v>
      </c>
      <c r="I1088" s="36" t="s">
        <v>1606</v>
      </c>
      <c r="J1088" s="36">
        <v>2</v>
      </c>
      <c r="K1088" s="36" t="s">
        <v>1609</v>
      </c>
      <c r="L1088" s="36">
        <v>4</v>
      </c>
      <c r="M1088" s="36">
        <v>200</v>
      </c>
      <c r="N1088" s="38">
        <v>4000</v>
      </c>
      <c r="O1088" s="38">
        <v>800000</v>
      </c>
      <c r="P1088" s="36">
        <v>1</v>
      </c>
      <c r="Q1088" s="40">
        <v>46023</v>
      </c>
      <c r="R1088" s="36" t="s">
        <v>1608</v>
      </c>
      <c r="S1088" s="36" t="s">
        <v>379</v>
      </c>
      <c r="T1088" s="36" t="s">
        <v>659</v>
      </c>
      <c r="U1088" s="36" t="s">
        <v>381</v>
      </c>
      <c r="V1088" s="40">
        <v>46023</v>
      </c>
      <c r="W1088" s="36"/>
      <c r="X1088" s="36">
        <v>0</v>
      </c>
      <c r="Y1088" s="36"/>
      <c r="Z1088" s="36">
        <v>0</v>
      </c>
      <c r="AA1088" s="36">
        <v>0</v>
      </c>
      <c r="AB1088" s="36"/>
      <c r="AC1088" s="36" t="str">
        <f t="shared" si="5"/>
        <v>PC26</v>
      </c>
      <c r="AD1088" s="36" t="str">
        <f>VLOOKUP(D1088,Oficial!A:C,3,0)</f>
        <v>Bienes y Servicios</v>
      </c>
    </row>
    <row r="1089" spans="1:30" x14ac:dyDescent="0.25">
      <c r="A1089" s="36" t="s">
        <v>27</v>
      </c>
      <c r="B1089" s="36" t="s">
        <v>1610</v>
      </c>
      <c r="C1089" s="36" t="s">
        <v>28</v>
      </c>
      <c r="D1089" s="36" t="s">
        <v>1610</v>
      </c>
      <c r="E1089" s="36" t="s">
        <v>30</v>
      </c>
      <c r="F1089" s="36" t="s">
        <v>569</v>
      </c>
      <c r="G1089" s="37" t="s">
        <v>654</v>
      </c>
      <c r="H1089" s="36" t="s">
        <v>1611</v>
      </c>
      <c r="I1089" s="36" t="s">
        <v>1612</v>
      </c>
      <c r="J1089" s="36">
        <v>4</v>
      </c>
      <c r="K1089" s="36" t="s">
        <v>602</v>
      </c>
      <c r="L1089" s="36">
        <v>4</v>
      </c>
      <c r="M1089" s="36">
        <v>4</v>
      </c>
      <c r="N1089" s="38">
        <v>375000</v>
      </c>
      <c r="O1089" s="38">
        <v>1500000</v>
      </c>
      <c r="P1089" s="36">
        <v>1</v>
      </c>
      <c r="Q1089" s="40">
        <v>46054</v>
      </c>
      <c r="R1089" s="36" t="s">
        <v>1613</v>
      </c>
      <c r="S1089" s="36" t="s">
        <v>1614</v>
      </c>
      <c r="T1089" s="36" t="s">
        <v>1615</v>
      </c>
      <c r="U1089" s="36" t="s">
        <v>1616</v>
      </c>
      <c r="V1089" s="40">
        <v>46054</v>
      </c>
      <c r="W1089" s="36"/>
      <c r="X1089" s="36">
        <v>0</v>
      </c>
      <c r="Y1089" s="36"/>
      <c r="Z1089" s="36">
        <v>0</v>
      </c>
      <c r="AA1089" s="36">
        <v>0</v>
      </c>
      <c r="AB1089" s="36"/>
      <c r="AC1089" s="36" t="str">
        <f t="shared" si="5"/>
        <v>PC26</v>
      </c>
      <c r="AD1089" s="36" t="str">
        <f>VLOOKUP(D1089,Oficial!A:C,3,0)</f>
        <v>Bienes y Servicios</v>
      </c>
    </row>
    <row r="1090" spans="1:30" x14ac:dyDescent="0.25">
      <c r="A1090" s="36" t="s">
        <v>27</v>
      </c>
      <c r="B1090" s="36" t="s">
        <v>1610</v>
      </c>
      <c r="C1090" s="36" t="s">
        <v>28</v>
      </c>
      <c r="D1090" s="36" t="s">
        <v>1610</v>
      </c>
      <c r="E1090" s="36" t="s">
        <v>30</v>
      </c>
      <c r="F1090" s="36" t="s">
        <v>569</v>
      </c>
      <c r="G1090" s="37" t="s">
        <v>654</v>
      </c>
      <c r="H1090" s="36" t="s">
        <v>1611</v>
      </c>
      <c r="I1090" s="36" t="s">
        <v>1612</v>
      </c>
      <c r="J1090" s="36">
        <v>4</v>
      </c>
      <c r="K1090" s="36" t="s">
        <v>1617</v>
      </c>
      <c r="L1090" s="36">
        <v>4</v>
      </c>
      <c r="M1090" s="36">
        <v>3</v>
      </c>
      <c r="N1090" s="38">
        <v>1666667</v>
      </c>
      <c r="O1090" s="38">
        <v>5000001</v>
      </c>
      <c r="P1090" s="36">
        <v>1</v>
      </c>
      <c r="Q1090" s="40">
        <v>46082</v>
      </c>
      <c r="R1090" s="36" t="s">
        <v>1613</v>
      </c>
      <c r="S1090" s="36" t="s">
        <v>1614</v>
      </c>
      <c r="T1090" s="36" t="s">
        <v>1615</v>
      </c>
      <c r="U1090" s="36" t="s">
        <v>1616</v>
      </c>
      <c r="V1090" s="40">
        <v>46082</v>
      </c>
      <c r="W1090" s="36"/>
      <c r="X1090" s="36">
        <v>0</v>
      </c>
      <c r="Y1090" s="36"/>
      <c r="Z1090" s="36">
        <v>0</v>
      </c>
      <c r="AA1090" s="36">
        <v>0</v>
      </c>
      <c r="AB1090" s="36"/>
      <c r="AC1090" s="36" t="str">
        <f t="shared" si="5"/>
        <v>PC26</v>
      </c>
      <c r="AD1090" s="36" t="str">
        <f>VLOOKUP(D1090,Oficial!A:C,3,0)</f>
        <v>Bienes y Servicios</v>
      </c>
    </row>
    <row r="1091" spans="1:30" x14ac:dyDescent="0.25">
      <c r="A1091" s="36" t="s">
        <v>27</v>
      </c>
      <c r="B1091" s="36" t="s">
        <v>1610</v>
      </c>
      <c r="C1091" s="36" t="s">
        <v>28</v>
      </c>
      <c r="D1091" s="36" t="s">
        <v>1610</v>
      </c>
      <c r="E1091" s="36" t="s">
        <v>30</v>
      </c>
      <c r="F1091" s="36" t="s">
        <v>569</v>
      </c>
      <c r="G1091" s="37" t="s">
        <v>654</v>
      </c>
      <c r="H1091" s="36" t="s">
        <v>1611</v>
      </c>
      <c r="I1091" s="36" t="s">
        <v>1612</v>
      </c>
      <c r="J1091" s="36">
        <v>4</v>
      </c>
      <c r="K1091" s="36" t="s">
        <v>1618</v>
      </c>
      <c r="L1091" s="36">
        <v>4</v>
      </c>
      <c r="M1091" s="36">
        <v>3</v>
      </c>
      <c r="N1091" s="38">
        <v>1666667</v>
      </c>
      <c r="O1091" s="38">
        <v>5000001</v>
      </c>
      <c r="P1091" s="36">
        <v>1</v>
      </c>
      <c r="Q1091" s="40">
        <v>46054</v>
      </c>
      <c r="R1091" s="36" t="s">
        <v>1613</v>
      </c>
      <c r="S1091" s="36" t="s">
        <v>1614</v>
      </c>
      <c r="T1091" s="36" t="s">
        <v>1615</v>
      </c>
      <c r="U1091" s="36" t="s">
        <v>1616</v>
      </c>
      <c r="V1091" s="40">
        <v>46054</v>
      </c>
      <c r="W1091" s="36"/>
      <c r="X1091" s="36">
        <v>0</v>
      </c>
      <c r="Y1091" s="36"/>
      <c r="Z1091" s="36">
        <v>0</v>
      </c>
      <c r="AA1091" s="36">
        <v>0</v>
      </c>
      <c r="AB1091" s="36"/>
      <c r="AC1091" s="36" t="str">
        <f t="shared" si="5"/>
        <v>PC26</v>
      </c>
      <c r="AD1091" s="36" t="str">
        <f>VLOOKUP(D1091,Oficial!A:C,3,0)</f>
        <v>Bienes y Servicios</v>
      </c>
    </row>
    <row r="1092" spans="1:30" x14ac:dyDescent="0.25">
      <c r="A1092" s="36" t="s">
        <v>27</v>
      </c>
      <c r="B1092" s="36" t="s">
        <v>1610</v>
      </c>
      <c r="C1092" s="36" t="s">
        <v>28</v>
      </c>
      <c r="D1092" s="36" t="s">
        <v>1610</v>
      </c>
      <c r="E1092" s="36" t="s">
        <v>30</v>
      </c>
      <c r="F1092" s="36" t="s">
        <v>569</v>
      </c>
      <c r="G1092" s="37" t="s">
        <v>654</v>
      </c>
      <c r="H1092" s="36" t="s">
        <v>1611</v>
      </c>
      <c r="I1092" s="36" t="s">
        <v>1612</v>
      </c>
      <c r="J1092" s="36">
        <v>4</v>
      </c>
      <c r="K1092" s="36" t="s">
        <v>1619</v>
      </c>
      <c r="L1092" s="36">
        <v>4</v>
      </c>
      <c r="M1092" s="36">
        <v>4000</v>
      </c>
      <c r="N1092" s="38">
        <v>12733</v>
      </c>
      <c r="O1092" s="38">
        <v>50932000</v>
      </c>
      <c r="P1092" s="36">
        <v>1</v>
      </c>
      <c r="Q1092" s="40">
        <v>46023</v>
      </c>
      <c r="R1092" s="36" t="s">
        <v>1613</v>
      </c>
      <c r="S1092" s="36" t="s">
        <v>1614</v>
      </c>
      <c r="T1092" s="36" t="s">
        <v>1615</v>
      </c>
      <c r="U1092" s="36" t="s">
        <v>1616</v>
      </c>
      <c r="V1092" s="40">
        <v>46023</v>
      </c>
      <c r="W1092" s="36"/>
      <c r="X1092" s="36">
        <v>0</v>
      </c>
      <c r="Y1092" s="36"/>
      <c r="Z1092" s="36">
        <v>0</v>
      </c>
      <c r="AA1092" s="36">
        <v>0</v>
      </c>
      <c r="AB1092" s="36"/>
      <c r="AC1092" s="36" t="str">
        <f t="shared" si="5"/>
        <v>PC26</v>
      </c>
      <c r="AD1092" s="36" t="str">
        <f>VLOOKUP(D1092,Oficial!A:C,3,0)</f>
        <v>Bienes y Servicios</v>
      </c>
    </row>
    <row r="1093" spans="1:30" x14ac:dyDescent="0.25">
      <c r="A1093" s="36" t="s">
        <v>27</v>
      </c>
      <c r="B1093" s="36" t="s">
        <v>1620</v>
      </c>
      <c r="C1093" s="36" t="s">
        <v>28</v>
      </c>
      <c r="D1093" s="36" t="s">
        <v>1620</v>
      </c>
      <c r="E1093" s="36" t="s">
        <v>30</v>
      </c>
      <c r="F1093" s="36" t="s">
        <v>569</v>
      </c>
      <c r="G1093" s="37" t="s">
        <v>645</v>
      </c>
      <c r="H1093" s="36" t="s">
        <v>1621</v>
      </c>
      <c r="I1093" s="36" t="s">
        <v>1622</v>
      </c>
      <c r="J1093" s="36">
        <v>1</v>
      </c>
      <c r="K1093" s="36" t="s">
        <v>1623</v>
      </c>
      <c r="L1093" s="36">
        <v>4</v>
      </c>
      <c r="M1093" s="36">
        <v>4</v>
      </c>
      <c r="N1093" s="38">
        <v>150000</v>
      </c>
      <c r="O1093" s="38">
        <v>600000</v>
      </c>
      <c r="P1093" s="36">
        <v>1</v>
      </c>
      <c r="Q1093" s="40">
        <v>46023</v>
      </c>
      <c r="R1093" s="36" t="s">
        <v>1608</v>
      </c>
      <c r="S1093" s="36" t="s">
        <v>379</v>
      </c>
      <c r="T1093" s="36" t="s">
        <v>659</v>
      </c>
      <c r="U1093" s="36" t="s">
        <v>381</v>
      </c>
      <c r="V1093" s="40">
        <v>46023</v>
      </c>
      <c r="W1093" s="36"/>
      <c r="X1093" s="36">
        <v>0</v>
      </c>
      <c r="Y1093" s="36"/>
      <c r="Z1093" s="36">
        <v>0</v>
      </c>
      <c r="AA1093" s="36">
        <v>0</v>
      </c>
      <c r="AB1093" s="36"/>
      <c r="AC1093" s="36" t="str">
        <f t="shared" si="5"/>
        <v>PC26</v>
      </c>
      <c r="AD1093" s="36" t="str">
        <f>VLOOKUP(D1093,Oficial!A:C,3,0)</f>
        <v>Bienes y Servicios</v>
      </c>
    </row>
    <row r="1094" spans="1:30" x14ac:dyDescent="0.25">
      <c r="A1094" s="36" t="s">
        <v>27</v>
      </c>
      <c r="B1094" s="36" t="s">
        <v>1624</v>
      </c>
      <c r="C1094" s="36" t="s">
        <v>1238</v>
      </c>
      <c r="D1094" s="36" t="s">
        <v>1624</v>
      </c>
      <c r="E1094" s="36" t="s">
        <v>30</v>
      </c>
      <c r="F1094" s="36" t="s">
        <v>569</v>
      </c>
      <c r="G1094" s="37" t="s">
        <v>1290</v>
      </c>
      <c r="H1094" s="36" t="s">
        <v>1621</v>
      </c>
      <c r="I1094" s="36" t="s">
        <v>1622</v>
      </c>
      <c r="J1094" s="36">
        <v>1</v>
      </c>
      <c r="K1094" s="36" t="s">
        <v>1625</v>
      </c>
      <c r="L1094" s="36">
        <v>4</v>
      </c>
      <c r="M1094" s="36">
        <v>6</v>
      </c>
      <c r="N1094" s="38">
        <v>130000</v>
      </c>
      <c r="O1094" s="38">
        <v>780000</v>
      </c>
      <c r="P1094" s="36">
        <v>1</v>
      </c>
      <c r="Q1094" s="40">
        <v>46023</v>
      </c>
      <c r="R1094" s="36" t="s">
        <v>1608</v>
      </c>
      <c r="S1094" s="36" t="s">
        <v>379</v>
      </c>
      <c r="T1094" s="36" t="s">
        <v>659</v>
      </c>
      <c r="U1094" s="36" t="s">
        <v>381</v>
      </c>
      <c r="V1094" s="40">
        <v>46023</v>
      </c>
      <c r="W1094" s="36"/>
      <c r="X1094" s="36">
        <v>0</v>
      </c>
      <c r="Y1094" s="36"/>
      <c r="Z1094" s="36">
        <v>0</v>
      </c>
      <c r="AA1094" s="36">
        <v>0</v>
      </c>
      <c r="AB1094" s="36"/>
      <c r="AC1094" s="36" t="str">
        <f t="shared" si="5"/>
        <v>PC26</v>
      </c>
      <c r="AD1094" s="36" t="str">
        <f>VLOOKUP(D1094,Oficial!A:C,3,0)</f>
        <v>Activos Fijos</v>
      </c>
    </row>
    <row r="1095" spans="1:30" x14ac:dyDescent="0.25">
      <c r="A1095" s="36" t="s">
        <v>27</v>
      </c>
      <c r="B1095" s="36" t="s">
        <v>1626</v>
      </c>
      <c r="C1095" s="36" t="s">
        <v>28</v>
      </c>
      <c r="D1095" s="36" t="s">
        <v>1626</v>
      </c>
      <c r="E1095" s="36" t="s">
        <v>30</v>
      </c>
      <c r="F1095" s="36" t="s">
        <v>569</v>
      </c>
      <c r="G1095" s="37" t="s">
        <v>615</v>
      </c>
      <c r="H1095" s="36" t="s">
        <v>1627</v>
      </c>
      <c r="I1095" s="36" t="s">
        <v>1628</v>
      </c>
      <c r="J1095" s="36">
        <v>3</v>
      </c>
      <c r="K1095" s="36" t="s">
        <v>1629</v>
      </c>
      <c r="L1095" s="36">
        <v>4</v>
      </c>
      <c r="M1095" s="36">
        <v>60</v>
      </c>
      <c r="N1095" s="38">
        <v>1050</v>
      </c>
      <c r="O1095" s="38">
        <v>63000</v>
      </c>
      <c r="P1095" s="36">
        <v>1</v>
      </c>
      <c r="Q1095" s="40">
        <v>46113</v>
      </c>
      <c r="R1095" s="36" t="s">
        <v>1572</v>
      </c>
      <c r="S1095" s="36" t="s">
        <v>1573</v>
      </c>
      <c r="T1095" s="36" t="s">
        <v>1154</v>
      </c>
      <c r="U1095" s="36" t="s">
        <v>1574</v>
      </c>
      <c r="V1095" s="40">
        <v>46113</v>
      </c>
      <c r="W1095" s="36"/>
      <c r="X1095" s="36">
        <v>0</v>
      </c>
      <c r="Y1095" s="36"/>
      <c r="Z1095" s="36">
        <v>0</v>
      </c>
      <c r="AA1095" s="36">
        <v>0</v>
      </c>
      <c r="AB1095" s="36"/>
      <c r="AC1095" s="36" t="str">
        <f t="shared" si="5"/>
        <v>PC26</v>
      </c>
      <c r="AD1095" s="36" t="str">
        <f>VLOOKUP(D1095,Oficial!A:C,3,0)</f>
        <v>Bienes y Servicios</v>
      </c>
    </row>
    <row r="1096" spans="1:30" x14ac:dyDescent="0.25">
      <c r="A1096" s="36" t="s">
        <v>27</v>
      </c>
      <c r="B1096" s="36" t="s">
        <v>1626</v>
      </c>
      <c r="C1096" s="36" t="s">
        <v>28</v>
      </c>
      <c r="D1096" s="36" t="s">
        <v>1626</v>
      </c>
      <c r="E1096" s="36" t="s">
        <v>30</v>
      </c>
      <c r="F1096" s="36" t="s">
        <v>569</v>
      </c>
      <c r="G1096" s="37" t="s">
        <v>615</v>
      </c>
      <c r="H1096" s="36" t="s">
        <v>1627</v>
      </c>
      <c r="I1096" s="36" t="s">
        <v>1628</v>
      </c>
      <c r="J1096" s="36">
        <v>3</v>
      </c>
      <c r="K1096" s="36" t="s">
        <v>1630</v>
      </c>
      <c r="L1096" s="36">
        <v>4</v>
      </c>
      <c r="M1096" s="36">
        <v>60</v>
      </c>
      <c r="N1096" s="38">
        <v>52734</v>
      </c>
      <c r="O1096" s="38">
        <v>3164040</v>
      </c>
      <c r="P1096" s="36">
        <v>1</v>
      </c>
      <c r="Q1096" s="40">
        <v>46113</v>
      </c>
      <c r="R1096" s="36" t="s">
        <v>1572</v>
      </c>
      <c r="S1096" s="36" t="s">
        <v>1573</v>
      </c>
      <c r="T1096" s="36" t="s">
        <v>1154</v>
      </c>
      <c r="U1096" s="36" t="s">
        <v>1574</v>
      </c>
      <c r="V1096" s="40">
        <v>46113</v>
      </c>
      <c r="W1096" s="36"/>
      <c r="X1096" s="36">
        <v>0</v>
      </c>
      <c r="Y1096" s="36"/>
      <c r="Z1096" s="36">
        <v>0</v>
      </c>
      <c r="AA1096" s="36">
        <v>0</v>
      </c>
      <c r="AB1096" s="36"/>
      <c r="AC1096" s="36" t="str">
        <f t="shared" si="5"/>
        <v>PC26</v>
      </c>
      <c r="AD1096" s="36" t="str">
        <f>VLOOKUP(D1096,Oficial!A:C,3,0)</f>
        <v>Bienes y Servicios</v>
      </c>
    </row>
    <row r="1097" spans="1:30" x14ac:dyDescent="0.25">
      <c r="A1097" s="36" t="s">
        <v>27</v>
      </c>
      <c r="B1097" s="36" t="s">
        <v>1626</v>
      </c>
      <c r="C1097" s="36" t="s">
        <v>28</v>
      </c>
      <c r="D1097" s="36" t="s">
        <v>1626</v>
      </c>
      <c r="E1097" s="36" t="s">
        <v>30</v>
      </c>
      <c r="F1097" s="36" t="s">
        <v>569</v>
      </c>
      <c r="G1097" s="37" t="s">
        <v>615</v>
      </c>
      <c r="H1097" s="36" t="s">
        <v>1627</v>
      </c>
      <c r="I1097" s="36" t="s">
        <v>1628</v>
      </c>
      <c r="J1097" s="36">
        <v>3</v>
      </c>
      <c r="K1097" s="36" t="s">
        <v>1631</v>
      </c>
      <c r="L1097" s="36">
        <v>4</v>
      </c>
      <c r="M1097" s="36">
        <v>44</v>
      </c>
      <c r="N1097" s="38">
        <v>53495</v>
      </c>
      <c r="O1097" s="38">
        <v>2353780</v>
      </c>
      <c r="P1097" s="36">
        <v>1</v>
      </c>
      <c r="Q1097" s="40">
        <v>46113</v>
      </c>
      <c r="R1097" s="36" t="s">
        <v>1572</v>
      </c>
      <c r="S1097" s="36" t="s">
        <v>1573</v>
      </c>
      <c r="T1097" s="36" t="s">
        <v>1154</v>
      </c>
      <c r="U1097" s="36" t="s">
        <v>1574</v>
      </c>
      <c r="V1097" s="40">
        <v>46113</v>
      </c>
      <c r="W1097" s="36"/>
      <c r="X1097" s="36">
        <v>0</v>
      </c>
      <c r="Y1097" s="36"/>
      <c r="Z1097" s="36">
        <v>0</v>
      </c>
      <c r="AA1097" s="36">
        <v>0</v>
      </c>
      <c r="AB1097" s="36"/>
      <c r="AC1097" s="36" t="str">
        <f t="shared" si="5"/>
        <v>PC26</v>
      </c>
      <c r="AD1097" s="36" t="str">
        <f>VLOOKUP(D1097,Oficial!A:C,3,0)</f>
        <v>Bienes y Servicios</v>
      </c>
    </row>
    <row r="1098" spans="1:30" x14ac:dyDescent="0.25">
      <c r="A1098" s="36" t="s">
        <v>27</v>
      </c>
      <c r="B1098" s="36" t="s">
        <v>1632</v>
      </c>
      <c r="C1098" s="36" t="s">
        <v>28</v>
      </c>
      <c r="D1098" s="36" t="s">
        <v>1632</v>
      </c>
      <c r="E1098" s="36" t="s">
        <v>30</v>
      </c>
      <c r="F1098" s="36" t="s">
        <v>569</v>
      </c>
      <c r="G1098" s="37" t="s">
        <v>654</v>
      </c>
      <c r="H1098" s="36" t="s">
        <v>1633</v>
      </c>
      <c r="I1098" s="36" t="s">
        <v>1634</v>
      </c>
      <c r="J1098" s="36">
        <v>2</v>
      </c>
      <c r="K1098" s="36" t="s">
        <v>1635</v>
      </c>
      <c r="L1098" s="36">
        <v>4</v>
      </c>
      <c r="M1098" s="36">
        <v>2</v>
      </c>
      <c r="N1098" s="38">
        <v>180000</v>
      </c>
      <c r="O1098" s="38">
        <v>360000</v>
      </c>
      <c r="P1098" s="36">
        <v>1</v>
      </c>
      <c r="Q1098" s="40">
        <v>46204</v>
      </c>
      <c r="R1098" s="36" t="s">
        <v>934</v>
      </c>
      <c r="S1098" s="36" t="s">
        <v>935</v>
      </c>
      <c r="T1098" s="36" t="s">
        <v>936</v>
      </c>
      <c r="U1098" s="36" t="s">
        <v>937</v>
      </c>
      <c r="V1098" s="40">
        <v>46204</v>
      </c>
      <c r="W1098" s="36"/>
      <c r="X1098" s="36">
        <v>0</v>
      </c>
      <c r="Y1098" s="36"/>
      <c r="Z1098" s="36">
        <v>0</v>
      </c>
      <c r="AA1098" s="36">
        <v>0</v>
      </c>
      <c r="AB1098" s="36"/>
      <c r="AC1098" s="36" t="str">
        <f t="shared" si="5"/>
        <v>PC26</v>
      </c>
      <c r="AD1098" s="36" t="str">
        <f>VLOOKUP(D1098,Oficial!A:C,3,0)</f>
        <v>Bienes y Servicios</v>
      </c>
    </row>
    <row r="1099" spans="1:30" x14ac:dyDescent="0.25">
      <c r="A1099" s="36" t="s">
        <v>27</v>
      </c>
      <c r="B1099" s="36" t="s">
        <v>1632</v>
      </c>
      <c r="C1099" s="36" t="s">
        <v>28</v>
      </c>
      <c r="D1099" s="36" t="s">
        <v>1632</v>
      </c>
      <c r="E1099" s="36" t="s">
        <v>30</v>
      </c>
      <c r="F1099" s="36" t="s">
        <v>569</v>
      </c>
      <c r="G1099" s="37" t="s">
        <v>654</v>
      </c>
      <c r="H1099" s="36" t="s">
        <v>1633</v>
      </c>
      <c r="I1099" s="36" t="s">
        <v>1634</v>
      </c>
      <c r="J1099" s="36">
        <v>2</v>
      </c>
      <c r="K1099" s="36" t="s">
        <v>1636</v>
      </c>
      <c r="L1099" s="36">
        <v>4</v>
      </c>
      <c r="M1099" s="36">
        <v>80</v>
      </c>
      <c r="N1099" s="38">
        <v>1000</v>
      </c>
      <c r="O1099" s="38">
        <v>80000</v>
      </c>
      <c r="P1099" s="36">
        <v>1</v>
      </c>
      <c r="Q1099" s="40">
        <v>46204</v>
      </c>
      <c r="R1099" s="36" t="s">
        <v>934</v>
      </c>
      <c r="S1099" s="36" t="s">
        <v>935</v>
      </c>
      <c r="T1099" s="36" t="s">
        <v>936</v>
      </c>
      <c r="U1099" s="36" t="s">
        <v>937</v>
      </c>
      <c r="V1099" s="40">
        <v>46204</v>
      </c>
      <c r="W1099" s="36"/>
      <c r="X1099" s="36">
        <v>0</v>
      </c>
      <c r="Y1099" s="36"/>
      <c r="Z1099" s="36">
        <v>0</v>
      </c>
      <c r="AA1099" s="36">
        <v>0</v>
      </c>
      <c r="AB1099" s="36"/>
      <c r="AC1099" s="36" t="str">
        <f t="shared" si="5"/>
        <v>PC26</v>
      </c>
      <c r="AD1099" s="36" t="str">
        <f>VLOOKUP(D1099,Oficial!A:C,3,0)</f>
        <v>Bienes y Servicios</v>
      </c>
    </row>
    <row r="1100" spans="1:30" x14ac:dyDescent="0.25">
      <c r="A1100" s="36" t="s">
        <v>27</v>
      </c>
      <c r="B1100" s="36" t="s">
        <v>1637</v>
      </c>
      <c r="C1100" s="36" t="s">
        <v>28</v>
      </c>
      <c r="D1100" s="36" t="s">
        <v>1637</v>
      </c>
      <c r="E1100" s="36" t="s">
        <v>30</v>
      </c>
      <c r="F1100" s="36" t="s">
        <v>569</v>
      </c>
      <c r="G1100" s="37" t="s">
        <v>645</v>
      </c>
      <c r="H1100" s="36" t="s">
        <v>1177</v>
      </c>
      <c r="I1100" s="36" t="s">
        <v>1178</v>
      </c>
      <c r="J1100" s="36">
        <v>1</v>
      </c>
      <c r="K1100" s="36" t="s">
        <v>1179</v>
      </c>
      <c r="L1100" s="36">
        <v>4</v>
      </c>
      <c r="M1100" s="36">
        <v>7</v>
      </c>
      <c r="N1100" s="38">
        <v>16429</v>
      </c>
      <c r="O1100" s="38">
        <v>115003</v>
      </c>
      <c r="P1100" s="36">
        <v>1</v>
      </c>
      <c r="Q1100" s="40">
        <v>46082</v>
      </c>
      <c r="R1100" s="36" t="s">
        <v>1180</v>
      </c>
      <c r="S1100" s="36" t="s">
        <v>1181</v>
      </c>
      <c r="T1100" s="36" t="s">
        <v>936</v>
      </c>
      <c r="U1100" s="36" t="s">
        <v>1182</v>
      </c>
      <c r="V1100" s="40">
        <v>46082</v>
      </c>
      <c r="W1100" s="36"/>
      <c r="X1100" s="36">
        <v>0</v>
      </c>
      <c r="Y1100" s="36"/>
      <c r="Z1100" s="36">
        <v>0</v>
      </c>
      <c r="AA1100" s="36">
        <v>0</v>
      </c>
      <c r="AB1100" s="36"/>
      <c r="AC1100" s="36" t="str">
        <f t="shared" si="5"/>
        <v>PC26</v>
      </c>
      <c r="AD1100" s="36" t="str">
        <f>VLOOKUP(D1100,Oficial!A:C,3,0)</f>
        <v>Bienes y Servicios</v>
      </c>
    </row>
    <row r="1101" spans="1:30" x14ac:dyDescent="0.25">
      <c r="A1101" s="36" t="s">
        <v>27</v>
      </c>
      <c r="B1101" s="36" t="s">
        <v>1638</v>
      </c>
      <c r="C1101" s="36" t="s">
        <v>28</v>
      </c>
      <c r="D1101" s="36" t="s">
        <v>1638</v>
      </c>
      <c r="E1101" s="36" t="s">
        <v>30</v>
      </c>
      <c r="F1101" s="36" t="s">
        <v>569</v>
      </c>
      <c r="G1101" s="37" t="s">
        <v>483</v>
      </c>
      <c r="H1101" s="36" t="s">
        <v>1639</v>
      </c>
      <c r="I1101" s="36" t="s">
        <v>1640</v>
      </c>
      <c r="J1101" s="36">
        <v>1</v>
      </c>
      <c r="K1101" s="36" t="s">
        <v>1641</v>
      </c>
      <c r="L1101" s="36">
        <v>4</v>
      </c>
      <c r="M1101" s="36">
        <v>45</v>
      </c>
      <c r="N1101" s="38">
        <v>9000</v>
      </c>
      <c r="O1101" s="38">
        <v>405000</v>
      </c>
      <c r="P1101" s="36">
        <v>1</v>
      </c>
      <c r="Q1101" s="40">
        <v>46082</v>
      </c>
      <c r="R1101" s="36" t="s">
        <v>1642</v>
      </c>
      <c r="S1101" s="36" t="s">
        <v>1643</v>
      </c>
      <c r="T1101" s="36" t="s">
        <v>1644</v>
      </c>
      <c r="U1101" s="36" t="s">
        <v>404</v>
      </c>
      <c r="V1101" s="40">
        <v>46082</v>
      </c>
      <c r="W1101" s="36"/>
      <c r="X1101" s="36">
        <v>0</v>
      </c>
      <c r="Y1101" s="36"/>
      <c r="Z1101" s="36">
        <v>0</v>
      </c>
      <c r="AA1101" s="36">
        <v>0</v>
      </c>
      <c r="AB1101" s="36"/>
      <c r="AC1101" s="36" t="str">
        <f t="shared" si="5"/>
        <v>PC26</v>
      </c>
      <c r="AD1101" s="36" t="str">
        <f>VLOOKUP(D1101,Oficial!A:C,3,0)</f>
        <v>Bienes y Servicios</v>
      </c>
    </row>
    <row r="1102" spans="1:30" x14ac:dyDescent="0.25">
      <c r="A1102" s="36" t="s">
        <v>27</v>
      </c>
      <c r="B1102" s="36" t="s">
        <v>1645</v>
      </c>
      <c r="C1102" s="36" t="s">
        <v>374</v>
      </c>
      <c r="D1102" s="36" t="s">
        <v>1645</v>
      </c>
      <c r="E1102" s="36" t="s">
        <v>30</v>
      </c>
      <c r="F1102" s="36" t="s">
        <v>569</v>
      </c>
      <c r="G1102" s="37" t="s">
        <v>1596</v>
      </c>
      <c r="H1102" s="36" t="s">
        <v>1646</v>
      </c>
      <c r="I1102" s="36" t="s">
        <v>1647</v>
      </c>
      <c r="J1102" s="36">
        <v>1</v>
      </c>
      <c r="K1102" s="36" t="s">
        <v>1648</v>
      </c>
      <c r="L1102" s="36">
        <v>4</v>
      </c>
      <c r="M1102" s="36">
        <v>6</v>
      </c>
      <c r="N1102" s="38">
        <v>693334</v>
      </c>
      <c r="O1102" s="38">
        <v>4160004</v>
      </c>
      <c r="P1102" s="36">
        <v>1</v>
      </c>
      <c r="Q1102" s="40">
        <v>46235</v>
      </c>
      <c r="R1102" s="36" t="s">
        <v>1649</v>
      </c>
      <c r="S1102" s="36" t="s">
        <v>762</v>
      </c>
      <c r="T1102" s="36" t="s">
        <v>763</v>
      </c>
      <c r="U1102" s="36" t="s">
        <v>764</v>
      </c>
      <c r="V1102" s="40">
        <v>46235</v>
      </c>
      <c r="W1102" s="36"/>
      <c r="X1102" s="36">
        <v>0</v>
      </c>
      <c r="Y1102" s="36"/>
      <c r="Z1102" s="36">
        <v>0</v>
      </c>
      <c r="AA1102" s="36">
        <v>0</v>
      </c>
      <c r="AB1102" s="36"/>
      <c r="AC1102" s="36" t="str">
        <f t="shared" si="5"/>
        <v>PC26</v>
      </c>
      <c r="AD1102" s="36" t="str">
        <f>VLOOKUP(D1102,Oficial!A:C,3,0)</f>
        <v>Administración de Fondos</v>
      </c>
    </row>
    <row r="1103" spans="1:30" x14ac:dyDescent="0.25">
      <c r="A1103" s="36" t="s">
        <v>27</v>
      </c>
      <c r="B1103" s="36" t="s">
        <v>1650</v>
      </c>
      <c r="C1103" s="36" t="s">
        <v>374</v>
      </c>
      <c r="D1103" s="36" t="s">
        <v>1650</v>
      </c>
      <c r="E1103" s="36" t="s">
        <v>30</v>
      </c>
      <c r="F1103" s="36" t="s">
        <v>569</v>
      </c>
      <c r="G1103" s="37" t="s">
        <v>1547</v>
      </c>
      <c r="H1103" s="36" t="s">
        <v>1651</v>
      </c>
      <c r="I1103" s="36" t="s">
        <v>1652</v>
      </c>
      <c r="J1103" s="36">
        <v>1</v>
      </c>
      <c r="K1103" s="36" t="s">
        <v>1653</v>
      </c>
      <c r="L1103" s="36">
        <v>4</v>
      </c>
      <c r="M1103" s="36">
        <v>7</v>
      </c>
      <c r="N1103" s="38">
        <v>28572</v>
      </c>
      <c r="O1103" s="38">
        <v>200004</v>
      </c>
      <c r="P1103" s="36">
        <v>1</v>
      </c>
      <c r="Q1103" s="40">
        <v>46143</v>
      </c>
      <c r="R1103" s="36" t="s">
        <v>761</v>
      </c>
      <c r="S1103" s="36" t="s">
        <v>762</v>
      </c>
      <c r="T1103" s="36" t="s">
        <v>763</v>
      </c>
      <c r="U1103" s="36" t="s">
        <v>764</v>
      </c>
      <c r="V1103" s="40">
        <v>46143</v>
      </c>
      <c r="W1103" s="36"/>
      <c r="X1103" s="36">
        <v>0</v>
      </c>
      <c r="Y1103" s="36"/>
      <c r="Z1103" s="36">
        <v>0</v>
      </c>
      <c r="AA1103" s="36">
        <v>0</v>
      </c>
      <c r="AB1103" s="36"/>
      <c r="AC1103" s="36" t="str">
        <f t="shared" si="5"/>
        <v>PC26</v>
      </c>
      <c r="AD1103" s="36" t="str">
        <f>VLOOKUP(D1103,Oficial!A:C,3,0)</f>
        <v>Administración de Fondos</v>
      </c>
    </row>
    <row r="1104" spans="1:30" x14ac:dyDescent="0.25">
      <c r="A1104" s="36" t="s">
        <v>27</v>
      </c>
      <c r="B1104" s="36" t="s">
        <v>1654</v>
      </c>
      <c r="C1104" s="36" t="s">
        <v>374</v>
      </c>
      <c r="D1104" s="36" t="s">
        <v>1654</v>
      </c>
      <c r="E1104" s="36" t="s">
        <v>30</v>
      </c>
      <c r="F1104" s="36" t="s">
        <v>569</v>
      </c>
      <c r="G1104" s="37" t="s">
        <v>104</v>
      </c>
      <c r="H1104" s="36" t="s">
        <v>1655</v>
      </c>
      <c r="I1104" s="36" t="s">
        <v>1652</v>
      </c>
      <c r="J1104" s="36">
        <v>3</v>
      </c>
      <c r="K1104" s="36" t="s">
        <v>1592</v>
      </c>
      <c r="L1104" s="36">
        <v>4</v>
      </c>
      <c r="M1104" s="36">
        <v>1</v>
      </c>
      <c r="N1104" s="38">
        <v>150000</v>
      </c>
      <c r="O1104" s="38">
        <v>150000</v>
      </c>
      <c r="P1104" s="36">
        <v>1</v>
      </c>
      <c r="Q1104" s="40">
        <v>46143</v>
      </c>
      <c r="R1104" s="36" t="s">
        <v>761</v>
      </c>
      <c r="S1104" s="36" t="s">
        <v>762</v>
      </c>
      <c r="T1104" s="36" t="s">
        <v>763</v>
      </c>
      <c r="U1104" s="36" t="s">
        <v>764</v>
      </c>
      <c r="V1104" s="40">
        <v>46143</v>
      </c>
      <c r="W1104" s="36"/>
      <c r="X1104" s="36">
        <v>0</v>
      </c>
      <c r="Y1104" s="36"/>
      <c r="Z1104" s="36">
        <v>0</v>
      </c>
      <c r="AA1104" s="36">
        <v>0</v>
      </c>
      <c r="AB1104" s="36"/>
      <c r="AC1104" s="36" t="str">
        <f t="shared" si="5"/>
        <v>PC26</v>
      </c>
      <c r="AD1104" s="36" t="str">
        <f>VLOOKUP(D1104,Oficial!A:C,3,0)</f>
        <v>Administración de Fondos</v>
      </c>
    </row>
    <row r="1105" spans="1:30" x14ac:dyDescent="0.25">
      <c r="A1105" s="36" t="s">
        <v>27</v>
      </c>
      <c r="B1105" s="36" t="s">
        <v>1654</v>
      </c>
      <c r="C1105" s="36" t="s">
        <v>374</v>
      </c>
      <c r="D1105" s="36" t="s">
        <v>1654</v>
      </c>
      <c r="E1105" s="36" t="s">
        <v>30</v>
      </c>
      <c r="F1105" s="36" t="s">
        <v>569</v>
      </c>
      <c r="G1105" s="37" t="s">
        <v>104</v>
      </c>
      <c r="H1105" s="36" t="s">
        <v>1655</v>
      </c>
      <c r="I1105" s="36" t="s">
        <v>1652</v>
      </c>
      <c r="J1105" s="36">
        <v>3</v>
      </c>
      <c r="K1105" s="36" t="s">
        <v>1593</v>
      </c>
      <c r="L1105" s="36">
        <v>4</v>
      </c>
      <c r="M1105" s="36">
        <v>1</v>
      </c>
      <c r="N1105" s="38">
        <v>70000</v>
      </c>
      <c r="O1105" s="38">
        <v>70000</v>
      </c>
      <c r="P1105" s="36">
        <v>1</v>
      </c>
      <c r="Q1105" s="40">
        <v>46143</v>
      </c>
      <c r="R1105" s="36" t="s">
        <v>761</v>
      </c>
      <c r="S1105" s="36" t="s">
        <v>762</v>
      </c>
      <c r="T1105" s="36" t="s">
        <v>763</v>
      </c>
      <c r="U1105" s="36" t="s">
        <v>764</v>
      </c>
      <c r="V1105" s="40">
        <v>46143</v>
      </c>
      <c r="W1105" s="36"/>
      <c r="X1105" s="36">
        <v>0</v>
      </c>
      <c r="Y1105" s="36"/>
      <c r="Z1105" s="36">
        <v>0</v>
      </c>
      <c r="AA1105" s="36">
        <v>0</v>
      </c>
      <c r="AB1105" s="36"/>
      <c r="AC1105" s="36" t="str">
        <f t="shared" si="5"/>
        <v>PC26</v>
      </c>
      <c r="AD1105" s="36" t="str">
        <f>VLOOKUP(D1105,Oficial!A:C,3,0)</f>
        <v>Administración de Fondos</v>
      </c>
    </row>
    <row r="1106" spans="1:30" x14ac:dyDescent="0.25">
      <c r="A1106" s="36" t="s">
        <v>27</v>
      </c>
      <c r="B1106" s="36" t="s">
        <v>1654</v>
      </c>
      <c r="C1106" s="36" t="s">
        <v>374</v>
      </c>
      <c r="D1106" s="36" t="s">
        <v>1654</v>
      </c>
      <c r="E1106" s="36" t="s">
        <v>30</v>
      </c>
      <c r="F1106" s="36" t="s">
        <v>569</v>
      </c>
      <c r="G1106" s="37" t="s">
        <v>104</v>
      </c>
      <c r="H1106" s="36" t="s">
        <v>1655</v>
      </c>
      <c r="I1106" s="36" t="s">
        <v>1652</v>
      </c>
      <c r="J1106" s="36">
        <v>3</v>
      </c>
      <c r="K1106" s="36" t="s">
        <v>1656</v>
      </c>
      <c r="L1106" s="36">
        <v>4</v>
      </c>
      <c r="M1106" s="36">
        <v>4</v>
      </c>
      <c r="N1106" s="38">
        <v>15000</v>
      </c>
      <c r="O1106" s="38">
        <v>60000</v>
      </c>
      <c r="P1106" s="36">
        <v>1</v>
      </c>
      <c r="Q1106" s="40">
        <v>46143</v>
      </c>
      <c r="R1106" s="36" t="s">
        <v>761</v>
      </c>
      <c r="S1106" s="36" t="s">
        <v>762</v>
      </c>
      <c r="T1106" s="36" t="s">
        <v>763</v>
      </c>
      <c r="U1106" s="36" t="s">
        <v>764</v>
      </c>
      <c r="V1106" s="40">
        <v>46143</v>
      </c>
      <c r="W1106" s="36"/>
      <c r="X1106" s="36">
        <v>0</v>
      </c>
      <c r="Y1106" s="36"/>
      <c r="Z1106" s="36">
        <v>0</v>
      </c>
      <c r="AA1106" s="36">
        <v>0</v>
      </c>
      <c r="AB1106" s="36"/>
      <c r="AC1106" s="36" t="str">
        <f t="shared" si="5"/>
        <v>PC26</v>
      </c>
      <c r="AD1106" s="36" t="str">
        <f>VLOOKUP(D1106,Oficial!A:C,3,0)</f>
        <v>Administración de Fondos</v>
      </c>
    </row>
    <row r="1107" spans="1:30" x14ac:dyDescent="0.25">
      <c r="A1107" s="36" t="s">
        <v>27</v>
      </c>
      <c r="B1107" s="36" t="s">
        <v>1657</v>
      </c>
      <c r="C1107" s="36" t="s">
        <v>374</v>
      </c>
      <c r="D1107" s="36" t="s">
        <v>1657</v>
      </c>
      <c r="E1107" s="36" t="s">
        <v>30</v>
      </c>
      <c r="F1107" s="36" t="s">
        <v>569</v>
      </c>
      <c r="G1107" s="37" t="s">
        <v>654</v>
      </c>
      <c r="H1107" s="36" t="s">
        <v>1658</v>
      </c>
      <c r="I1107" s="36" t="s">
        <v>1659</v>
      </c>
      <c r="J1107" s="36">
        <v>6</v>
      </c>
      <c r="K1107" s="36" t="s">
        <v>602</v>
      </c>
      <c r="L1107" s="36">
        <v>4</v>
      </c>
      <c r="M1107" s="36">
        <v>1</v>
      </c>
      <c r="N1107" s="38">
        <v>4600000</v>
      </c>
      <c r="O1107" s="38">
        <v>4600000</v>
      </c>
      <c r="P1107" s="36">
        <v>1</v>
      </c>
      <c r="Q1107" s="40">
        <v>46235</v>
      </c>
      <c r="R1107" s="36" t="s">
        <v>1660</v>
      </c>
      <c r="S1107" s="36" t="s">
        <v>1661</v>
      </c>
      <c r="T1107" s="36" t="s">
        <v>1662</v>
      </c>
      <c r="U1107" s="36" t="s">
        <v>1663</v>
      </c>
      <c r="V1107" s="40">
        <v>46235</v>
      </c>
      <c r="W1107" s="36"/>
      <c r="X1107" s="36">
        <v>0</v>
      </c>
      <c r="Y1107" s="36"/>
      <c r="Z1107" s="36">
        <v>0</v>
      </c>
      <c r="AA1107" s="36">
        <v>0</v>
      </c>
      <c r="AB1107" s="36"/>
      <c r="AC1107" s="36" t="str">
        <f t="shared" si="5"/>
        <v>PC26</v>
      </c>
      <c r="AD1107" s="36" t="str">
        <f>VLOOKUP(D1107,Oficial!A:C,3,0)</f>
        <v>Administración de Fondos</v>
      </c>
    </row>
    <row r="1108" spans="1:30" x14ac:dyDescent="0.25">
      <c r="A1108" s="36" t="s">
        <v>27</v>
      </c>
      <c r="B1108" s="36" t="s">
        <v>1657</v>
      </c>
      <c r="C1108" s="36" t="s">
        <v>374</v>
      </c>
      <c r="D1108" s="36" t="s">
        <v>1657</v>
      </c>
      <c r="E1108" s="36" t="s">
        <v>30</v>
      </c>
      <c r="F1108" s="36" t="s">
        <v>569</v>
      </c>
      <c r="G1108" s="37" t="s">
        <v>654</v>
      </c>
      <c r="H1108" s="36" t="s">
        <v>1658</v>
      </c>
      <c r="I1108" s="36" t="s">
        <v>1659</v>
      </c>
      <c r="J1108" s="36">
        <v>6</v>
      </c>
      <c r="K1108" s="36" t="s">
        <v>359</v>
      </c>
      <c r="L1108" s="36">
        <v>4</v>
      </c>
      <c r="M1108" s="36">
        <v>76</v>
      </c>
      <c r="N1108" s="38">
        <v>83816</v>
      </c>
      <c r="O1108" s="38">
        <v>6370016</v>
      </c>
      <c r="P1108" s="36">
        <v>1</v>
      </c>
      <c r="Q1108" s="40">
        <v>46266</v>
      </c>
      <c r="R1108" s="36" t="s">
        <v>1660</v>
      </c>
      <c r="S1108" s="36" t="s">
        <v>1661</v>
      </c>
      <c r="T1108" s="36" t="s">
        <v>1662</v>
      </c>
      <c r="U1108" s="36" t="s">
        <v>1663</v>
      </c>
      <c r="V1108" s="40">
        <v>46235</v>
      </c>
      <c r="W1108" s="36"/>
      <c r="X1108" s="36">
        <v>0</v>
      </c>
      <c r="Y1108" s="36"/>
      <c r="Z1108" s="36">
        <v>0</v>
      </c>
      <c r="AA1108" s="36">
        <v>0</v>
      </c>
      <c r="AB1108" s="36"/>
      <c r="AC1108" s="36" t="str">
        <f t="shared" si="5"/>
        <v>PC26</v>
      </c>
      <c r="AD1108" s="36" t="str">
        <f>VLOOKUP(D1108,Oficial!A:C,3,0)</f>
        <v>Administración de Fondos</v>
      </c>
    </row>
    <row r="1109" spans="1:30" x14ac:dyDescent="0.25">
      <c r="A1109" s="36" t="s">
        <v>27</v>
      </c>
      <c r="B1109" s="36" t="s">
        <v>1657</v>
      </c>
      <c r="C1109" s="36" t="s">
        <v>374</v>
      </c>
      <c r="D1109" s="36" t="s">
        <v>1657</v>
      </c>
      <c r="E1109" s="36" t="s">
        <v>30</v>
      </c>
      <c r="F1109" s="36" t="s">
        <v>569</v>
      </c>
      <c r="G1109" s="37" t="s">
        <v>654</v>
      </c>
      <c r="H1109" s="36" t="s">
        <v>1658</v>
      </c>
      <c r="I1109" s="36" t="s">
        <v>1659</v>
      </c>
      <c r="J1109" s="36">
        <v>6</v>
      </c>
      <c r="K1109" s="36" t="s">
        <v>855</v>
      </c>
      <c r="L1109" s="36">
        <v>4</v>
      </c>
      <c r="M1109" s="36">
        <v>3</v>
      </c>
      <c r="N1109" s="38">
        <v>13334</v>
      </c>
      <c r="O1109" s="38">
        <v>40002</v>
      </c>
      <c r="P1109" s="36">
        <v>1</v>
      </c>
      <c r="Q1109" s="40">
        <v>46266</v>
      </c>
      <c r="R1109" s="36" t="s">
        <v>1660</v>
      </c>
      <c r="S1109" s="36" t="s">
        <v>1661</v>
      </c>
      <c r="T1109" s="36" t="s">
        <v>1662</v>
      </c>
      <c r="U1109" s="36" t="s">
        <v>1663</v>
      </c>
      <c r="V1109" s="40">
        <v>46235</v>
      </c>
      <c r="W1109" s="36"/>
      <c r="X1109" s="36">
        <v>0</v>
      </c>
      <c r="Y1109" s="36"/>
      <c r="Z1109" s="36">
        <v>0</v>
      </c>
      <c r="AA1109" s="36">
        <v>0</v>
      </c>
      <c r="AB1109" s="36"/>
      <c r="AC1109" s="36" t="str">
        <f t="shared" si="5"/>
        <v>PC26</v>
      </c>
      <c r="AD1109" s="36" t="str">
        <f>VLOOKUP(D1109,Oficial!A:C,3,0)</f>
        <v>Administración de Fondos</v>
      </c>
    </row>
    <row r="1110" spans="1:30" x14ac:dyDescent="0.25">
      <c r="A1110" s="36" t="s">
        <v>27</v>
      </c>
      <c r="B1110" s="36" t="s">
        <v>1657</v>
      </c>
      <c r="C1110" s="36" t="s">
        <v>374</v>
      </c>
      <c r="D1110" s="36" t="s">
        <v>1657</v>
      </c>
      <c r="E1110" s="36" t="s">
        <v>30</v>
      </c>
      <c r="F1110" s="36" t="s">
        <v>569</v>
      </c>
      <c r="G1110" s="37" t="s">
        <v>654</v>
      </c>
      <c r="H1110" s="36" t="s">
        <v>1658</v>
      </c>
      <c r="I1110" s="36" t="s">
        <v>1659</v>
      </c>
      <c r="J1110" s="36">
        <v>6</v>
      </c>
      <c r="K1110" s="36" t="s">
        <v>1664</v>
      </c>
      <c r="L1110" s="36">
        <v>4</v>
      </c>
      <c r="M1110" s="36">
        <v>60</v>
      </c>
      <c r="N1110" s="38">
        <v>20000</v>
      </c>
      <c r="O1110" s="38">
        <v>1200000</v>
      </c>
      <c r="P1110" s="36">
        <v>1</v>
      </c>
      <c r="Q1110" s="40">
        <v>46266</v>
      </c>
      <c r="R1110" s="36" t="s">
        <v>1660</v>
      </c>
      <c r="S1110" s="36" t="s">
        <v>1661</v>
      </c>
      <c r="T1110" s="36" t="s">
        <v>1662</v>
      </c>
      <c r="U1110" s="36" t="s">
        <v>1663</v>
      </c>
      <c r="V1110" s="40">
        <v>46235</v>
      </c>
      <c r="W1110" s="36"/>
      <c r="X1110" s="36">
        <v>0</v>
      </c>
      <c r="Y1110" s="36"/>
      <c r="Z1110" s="36">
        <v>0</v>
      </c>
      <c r="AA1110" s="36">
        <v>0</v>
      </c>
      <c r="AB1110" s="36"/>
      <c r="AC1110" s="36" t="str">
        <f t="shared" si="5"/>
        <v>PC26</v>
      </c>
      <c r="AD1110" s="36" t="str">
        <f>VLOOKUP(D1110,Oficial!A:C,3,0)</f>
        <v>Administración de Fondos</v>
      </c>
    </row>
    <row r="1111" spans="1:30" x14ac:dyDescent="0.25">
      <c r="A1111" s="36" t="s">
        <v>27</v>
      </c>
      <c r="B1111" s="36" t="s">
        <v>1657</v>
      </c>
      <c r="C1111" s="36" t="s">
        <v>374</v>
      </c>
      <c r="D1111" s="36" t="s">
        <v>1657</v>
      </c>
      <c r="E1111" s="36" t="s">
        <v>30</v>
      </c>
      <c r="F1111" s="36" t="s">
        <v>569</v>
      </c>
      <c r="G1111" s="37" t="s">
        <v>654</v>
      </c>
      <c r="H1111" s="36" t="s">
        <v>1658</v>
      </c>
      <c r="I1111" s="36" t="s">
        <v>1659</v>
      </c>
      <c r="J1111" s="36">
        <v>6</v>
      </c>
      <c r="K1111" s="36" t="s">
        <v>1665</v>
      </c>
      <c r="L1111" s="36">
        <v>4</v>
      </c>
      <c r="M1111" s="36">
        <v>1</v>
      </c>
      <c r="N1111" s="38">
        <v>4000000</v>
      </c>
      <c r="O1111" s="38">
        <v>4000000</v>
      </c>
      <c r="P1111" s="36">
        <v>1</v>
      </c>
      <c r="Q1111" s="40">
        <v>46266</v>
      </c>
      <c r="R1111" s="36" t="s">
        <v>1660</v>
      </c>
      <c r="S1111" s="36" t="s">
        <v>1661</v>
      </c>
      <c r="T1111" s="36" t="s">
        <v>1662</v>
      </c>
      <c r="U1111" s="36" t="s">
        <v>1663</v>
      </c>
      <c r="V1111" s="40">
        <v>46235</v>
      </c>
      <c r="W1111" s="36"/>
      <c r="X1111" s="36">
        <v>0</v>
      </c>
      <c r="Y1111" s="36"/>
      <c r="Z1111" s="36">
        <v>0</v>
      </c>
      <c r="AA1111" s="36">
        <v>0</v>
      </c>
      <c r="AB1111" s="36"/>
      <c r="AC1111" s="36" t="str">
        <f t="shared" ref="AC1111:AC1174" si="6">RIGHT(D1111,4)</f>
        <v>PC26</v>
      </c>
      <c r="AD1111" s="36" t="str">
        <f>VLOOKUP(D1111,Oficial!A:C,3,0)</f>
        <v>Administración de Fondos</v>
      </c>
    </row>
    <row r="1112" spans="1:30" x14ac:dyDescent="0.25">
      <c r="A1112" s="36" t="s">
        <v>27</v>
      </c>
      <c r="B1112" s="36" t="s">
        <v>1657</v>
      </c>
      <c r="C1112" s="36" t="s">
        <v>374</v>
      </c>
      <c r="D1112" s="36" t="s">
        <v>1657</v>
      </c>
      <c r="E1112" s="36" t="s">
        <v>30</v>
      </c>
      <c r="F1112" s="36" t="s">
        <v>569</v>
      </c>
      <c r="G1112" s="37" t="s">
        <v>654</v>
      </c>
      <c r="H1112" s="36" t="s">
        <v>1658</v>
      </c>
      <c r="I1112" s="36" t="s">
        <v>1659</v>
      </c>
      <c r="J1112" s="36">
        <v>6</v>
      </c>
      <c r="K1112" s="36" t="s">
        <v>1666</v>
      </c>
      <c r="L1112" s="36">
        <v>4</v>
      </c>
      <c r="M1112" s="36">
        <v>1</v>
      </c>
      <c r="N1112" s="38">
        <v>2500000</v>
      </c>
      <c r="O1112" s="38">
        <v>2500000</v>
      </c>
      <c r="P1112" s="36">
        <v>1</v>
      </c>
      <c r="Q1112" s="40">
        <v>46266</v>
      </c>
      <c r="R1112" s="36" t="s">
        <v>1660</v>
      </c>
      <c r="S1112" s="36" t="s">
        <v>1661</v>
      </c>
      <c r="T1112" s="36" t="s">
        <v>1662</v>
      </c>
      <c r="U1112" s="36" t="s">
        <v>1663</v>
      </c>
      <c r="V1112" s="40">
        <v>46235</v>
      </c>
      <c r="W1112" s="36"/>
      <c r="X1112" s="36">
        <v>0</v>
      </c>
      <c r="Y1112" s="36"/>
      <c r="Z1112" s="36">
        <v>0</v>
      </c>
      <c r="AA1112" s="36">
        <v>0</v>
      </c>
      <c r="AB1112" s="36"/>
      <c r="AC1112" s="36" t="str">
        <f t="shared" si="6"/>
        <v>PC26</v>
      </c>
      <c r="AD1112" s="36" t="str">
        <f>VLOOKUP(D1112,Oficial!A:C,3,0)</f>
        <v>Administración de Fondos</v>
      </c>
    </row>
    <row r="1113" spans="1:30" x14ac:dyDescent="0.25">
      <c r="A1113" s="36" t="s">
        <v>27</v>
      </c>
      <c r="B1113" s="36" t="s">
        <v>1667</v>
      </c>
      <c r="C1113" s="36" t="s">
        <v>28</v>
      </c>
      <c r="D1113" s="36" t="s">
        <v>1667</v>
      </c>
      <c r="E1113" s="36" t="s">
        <v>30</v>
      </c>
      <c r="F1113" s="36" t="s">
        <v>569</v>
      </c>
      <c r="G1113" s="37" t="s">
        <v>654</v>
      </c>
      <c r="H1113" s="36" t="s">
        <v>1668</v>
      </c>
      <c r="I1113" s="36" t="s">
        <v>1669</v>
      </c>
      <c r="J1113" s="36">
        <v>3</v>
      </c>
      <c r="K1113" s="36" t="s">
        <v>1670</v>
      </c>
      <c r="L1113" s="36">
        <v>4</v>
      </c>
      <c r="M1113" s="36">
        <v>30</v>
      </c>
      <c r="N1113" s="38">
        <v>5000</v>
      </c>
      <c r="O1113" s="38">
        <v>150000</v>
      </c>
      <c r="P1113" s="36">
        <v>1</v>
      </c>
      <c r="Q1113" s="40">
        <v>46054</v>
      </c>
      <c r="R1113" s="36" t="s">
        <v>1231</v>
      </c>
      <c r="S1113" s="36" t="s">
        <v>1232</v>
      </c>
      <c r="T1113" s="36" t="s">
        <v>566</v>
      </c>
      <c r="U1113" s="36" t="s">
        <v>67</v>
      </c>
      <c r="V1113" s="40">
        <v>46054</v>
      </c>
      <c r="W1113" s="36"/>
      <c r="X1113" s="36">
        <v>0</v>
      </c>
      <c r="Y1113" s="36"/>
      <c r="Z1113" s="36">
        <v>0</v>
      </c>
      <c r="AA1113" s="36">
        <v>0</v>
      </c>
      <c r="AB1113" s="36"/>
      <c r="AC1113" s="36" t="str">
        <f t="shared" si="6"/>
        <v>PC26</v>
      </c>
      <c r="AD1113" s="36" t="str">
        <f>VLOOKUP(D1113,Oficial!A:C,3,0)</f>
        <v>Bienes y Servicios</v>
      </c>
    </row>
    <row r="1114" spans="1:30" x14ac:dyDescent="0.25">
      <c r="A1114" s="36" t="s">
        <v>27</v>
      </c>
      <c r="B1114" s="36" t="s">
        <v>1667</v>
      </c>
      <c r="C1114" s="36" t="s">
        <v>28</v>
      </c>
      <c r="D1114" s="36" t="s">
        <v>1667</v>
      </c>
      <c r="E1114" s="36" t="s">
        <v>30</v>
      </c>
      <c r="F1114" s="36" t="s">
        <v>569</v>
      </c>
      <c r="G1114" s="37" t="s">
        <v>654</v>
      </c>
      <c r="H1114" s="36" t="s">
        <v>1668</v>
      </c>
      <c r="I1114" s="36" t="s">
        <v>1669</v>
      </c>
      <c r="J1114" s="36">
        <v>3</v>
      </c>
      <c r="K1114" s="36" t="s">
        <v>1671</v>
      </c>
      <c r="L1114" s="36">
        <v>4</v>
      </c>
      <c r="M1114" s="36">
        <v>31</v>
      </c>
      <c r="N1114" s="38">
        <v>807</v>
      </c>
      <c r="O1114" s="38">
        <v>25017</v>
      </c>
      <c r="P1114" s="36">
        <v>1</v>
      </c>
      <c r="Q1114" s="40">
        <v>46054</v>
      </c>
      <c r="R1114" s="36" t="s">
        <v>1231</v>
      </c>
      <c r="S1114" s="36" t="s">
        <v>1232</v>
      </c>
      <c r="T1114" s="36" t="s">
        <v>566</v>
      </c>
      <c r="U1114" s="36" t="s">
        <v>67</v>
      </c>
      <c r="V1114" s="40">
        <v>46054</v>
      </c>
      <c r="W1114" s="36"/>
      <c r="X1114" s="36">
        <v>0</v>
      </c>
      <c r="Y1114" s="36"/>
      <c r="Z1114" s="36">
        <v>0</v>
      </c>
      <c r="AA1114" s="36">
        <v>0</v>
      </c>
      <c r="AB1114" s="36"/>
      <c r="AC1114" s="36" t="str">
        <f t="shared" si="6"/>
        <v>PC26</v>
      </c>
      <c r="AD1114" s="36" t="str">
        <f>VLOOKUP(D1114,Oficial!A:C,3,0)</f>
        <v>Bienes y Servicios</v>
      </c>
    </row>
    <row r="1115" spans="1:30" x14ac:dyDescent="0.25">
      <c r="A1115" s="36" t="s">
        <v>27</v>
      </c>
      <c r="B1115" s="36" t="s">
        <v>1667</v>
      </c>
      <c r="C1115" s="36" t="s">
        <v>28</v>
      </c>
      <c r="D1115" s="36" t="s">
        <v>1667</v>
      </c>
      <c r="E1115" s="36" t="s">
        <v>30</v>
      </c>
      <c r="F1115" s="36" t="s">
        <v>569</v>
      </c>
      <c r="G1115" s="37" t="s">
        <v>654</v>
      </c>
      <c r="H1115" s="36" t="s">
        <v>1668</v>
      </c>
      <c r="I1115" s="36" t="s">
        <v>1669</v>
      </c>
      <c r="J1115" s="36">
        <v>3</v>
      </c>
      <c r="K1115" s="36" t="s">
        <v>359</v>
      </c>
      <c r="L1115" s="36">
        <v>4</v>
      </c>
      <c r="M1115" s="36">
        <v>308</v>
      </c>
      <c r="N1115" s="38">
        <v>1192</v>
      </c>
      <c r="O1115" s="38">
        <v>367136</v>
      </c>
      <c r="P1115" s="36">
        <v>4</v>
      </c>
      <c r="Q1115" s="36" t="s">
        <v>1672</v>
      </c>
      <c r="R1115" s="36" t="s">
        <v>1231</v>
      </c>
      <c r="S1115" s="36" t="s">
        <v>1232</v>
      </c>
      <c r="T1115" s="36" t="s">
        <v>566</v>
      </c>
      <c r="U1115" s="36" t="s">
        <v>67</v>
      </c>
      <c r="V1115" s="40">
        <v>46082</v>
      </c>
      <c r="W1115" s="36"/>
      <c r="X1115" s="36">
        <v>0</v>
      </c>
      <c r="Y1115" s="36"/>
      <c r="Z1115" s="36">
        <v>0</v>
      </c>
      <c r="AA1115" s="36">
        <v>0</v>
      </c>
      <c r="AB1115" s="36"/>
      <c r="AC1115" s="36" t="str">
        <f t="shared" si="6"/>
        <v>PC26</v>
      </c>
      <c r="AD1115" s="36" t="str">
        <f>VLOOKUP(D1115,Oficial!A:C,3,0)</f>
        <v>Bienes y Servicios</v>
      </c>
    </row>
    <row r="1116" spans="1:30" x14ac:dyDescent="0.25">
      <c r="A1116" s="36" t="s">
        <v>27</v>
      </c>
      <c r="B1116" s="36" t="s">
        <v>1673</v>
      </c>
      <c r="C1116" s="36" t="s">
        <v>1238</v>
      </c>
      <c r="D1116" s="36" t="s">
        <v>1673</v>
      </c>
      <c r="E1116" s="36" t="s">
        <v>30</v>
      </c>
      <c r="F1116" s="36" t="s">
        <v>569</v>
      </c>
      <c r="G1116" s="37" t="s">
        <v>1296</v>
      </c>
      <c r="H1116" s="36" t="s">
        <v>1674</v>
      </c>
      <c r="I1116" s="36" t="s">
        <v>1351</v>
      </c>
      <c r="J1116" s="36">
        <v>2</v>
      </c>
      <c r="K1116" s="36" t="s">
        <v>1175</v>
      </c>
      <c r="L1116" s="36">
        <v>4</v>
      </c>
      <c r="M1116" s="36">
        <v>1</v>
      </c>
      <c r="N1116" s="38">
        <v>5731000</v>
      </c>
      <c r="O1116" s="38">
        <v>5731000</v>
      </c>
      <c r="P1116" s="36">
        <v>1</v>
      </c>
      <c r="Q1116" s="40">
        <v>46113</v>
      </c>
      <c r="R1116" s="36" t="s">
        <v>1299</v>
      </c>
      <c r="S1116" s="36" t="s">
        <v>1300</v>
      </c>
      <c r="T1116" s="36" t="s">
        <v>1301</v>
      </c>
      <c r="U1116" s="36" t="s">
        <v>1302</v>
      </c>
      <c r="V1116" s="40">
        <v>46113</v>
      </c>
      <c r="W1116" s="36"/>
      <c r="X1116" s="36">
        <v>0</v>
      </c>
      <c r="Y1116" s="36"/>
      <c r="Z1116" s="36">
        <v>0</v>
      </c>
      <c r="AA1116" s="36">
        <v>0</v>
      </c>
      <c r="AB1116" s="36"/>
      <c r="AC1116" s="36" t="str">
        <f t="shared" si="6"/>
        <v>PC26</v>
      </c>
      <c r="AD1116" s="36" t="str">
        <f>VLOOKUP(D1116,Oficial!A:C,3,0)</f>
        <v>Activos Fijos</v>
      </c>
    </row>
    <row r="1117" spans="1:30" x14ac:dyDescent="0.25">
      <c r="A1117" s="36" t="s">
        <v>27</v>
      </c>
      <c r="B1117" s="36" t="s">
        <v>1673</v>
      </c>
      <c r="C1117" s="36" t="s">
        <v>1238</v>
      </c>
      <c r="D1117" s="36" t="s">
        <v>1673</v>
      </c>
      <c r="E1117" s="36" t="s">
        <v>30</v>
      </c>
      <c r="F1117" s="36" t="s">
        <v>569</v>
      </c>
      <c r="G1117" s="37" t="s">
        <v>1296</v>
      </c>
      <c r="H1117" s="36" t="s">
        <v>1674</v>
      </c>
      <c r="I1117" s="36" t="s">
        <v>1351</v>
      </c>
      <c r="J1117" s="36">
        <v>2</v>
      </c>
      <c r="K1117" s="36" t="s">
        <v>1303</v>
      </c>
      <c r="L1117" s="36">
        <v>4</v>
      </c>
      <c r="M1117" s="36">
        <v>1</v>
      </c>
      <c r="N1117" s="38">
        <v>1042000</v>
      </c>
      <c r="O1117" s="38">
        <v>1042000</v>
      </c>
      <c r="P1117" s="36">
        <v>1</v>
      </c>
      <c r="Q1117" s="40">
        <v>46113</v>
      </c>
      <c r="R1117" s="36" t="s">
        <v>1299</v>
      </c>
      <c r="S1117" s="36" t="s">
        <v>1300</v>
      </c>
      <c r="T1117" s="36" t="s">
        <v>1301</v>
      </c>
      <c r="U1117" s="36" t="s">
        <v>1302</v>
      </c>
      <c r="V1117" s="40">
        <v>46113</v>
      </c>
      <c r="W1117" s="36"/>
      <c r="X1117" s="36">
        <v>0</v>
      </c>
      <c r="Y1117" s="36"/>
      <c r="Z1117" s="36">
        <v>0</v>
      </c>
      <c r="AA1117" s="36">
        <v>0</v>
      </c>
      <c r="AB1117" s="36"/>
      <c r="AC1117" s="36" t="str">
        <f t="shared" si="6"/>
        <v>PC26</v>
      </c>
      <c r="AD1117" s="36" t="str">
        <f>VLOOKUP(D1117,Oficial!A:C,3,0)</f>
        <v>Activos Fijos</v>
      </c>
    </row>
    <row r="1118" spans="1:30" x14ac:dyDescent="0.25">
      <c r="A1118" s="36" t="s">
        <v>27</v>
      </c>
      <c r="B1118" s="36" t="s">
        <v>1675</v>
      </c>
      <c r="C1118" s="36" t="s">
        <v>28</v>
      </c>
      <c r="D1118" s="36" t="s">
        <v>1675</v>
      </c>
      <c r="E1118" s="36" t="s">
        <v>30</v>
      </c>
      <c r="F1118" s="36" t="s">
        <v>569</v>
      </c>
      <c r="G1118" s="37" t="s">
        <v>1676</v>
      </c>
      <c r="H1118" s="36" t="s">
        <v>1658</v>
      </c>
      <c r="I1118" s="36" t="s">
        <v>1677</v>
      </c>
      <c r="J1118" s="36">
        <v>2</v>
      </c>
      <c r="K1118" s="36" t="s">
        <v>1678</v>
      </c>
      <c r="L1118" s="36">
        <v>4</v>
      </c>
      <c r="M1118" s="36">
        <v>20</v>
      </c>
      <c r="N1118" s="38">
        <v>60000</v>
      </c>
      <c r="O1118" s="38">
        <v>1200000</v>
      </c>
      <c r="P1118" s="36">
        <v>1</v>
      </c>
      <c r="Q1118" s="40">
        <v>46174</v>
      </c>
      <c r="R1118" s="36" t="s">
        <v>1660</v>
      </c>
      <c r="S1118" s="36" t="s">
        <v>1661</v>
      </c>
      <c r="T1118" s="36" t="s">
        <v>1662</v>
      </c>
      <c r="U1118" s="36" t="s">
        <v>1663</v>
      </c>
      <c r="V1118" s="40">
        <v>46174</v>
      </c>
      <c r="W1118" s="36"/>
      <c r="X1118" s="36">
        <v>0</v>
      </c>
      <c r="Y1118" s="36"/>
      <c r="Z1118" s="36">
        <v>0</v>
      </c>
      <c r="AA1118" s="36">
        <v>0</v>
      </c>
      <c r="AB1118" s="36"/>
      <c r="AC1118" s="36" t="str">
        <f t="shared" si="6"/>
        <v>PC26</v>
      </c>
      <c r="AD1118" s="36" t="str">
        <f>VLOOKUP(D1118,Oficial!A:C,3,0)</f>
        <v>Bienes y Servicios</v>
      </c>
    </row>
    <row r="1119" spans="1:30" x14ac:dyDescent="0.25">
      <c r="A1119" s="36" t="s">
        <v>27</v>
      </c>
      <c r="B1119" s="36" t="s">
        <v>1675</v>
      </c>
      <c r="C1119" s="36" t="s">
        <v>28</v>
      </c>
      <c r="D1119" s="36" t="s">
        <v>1675</v>
      </c>
      <c r="E1119" s="36" t="s">
        <v>30</v>
      </c>
      <c r="F1119" s="36" t="s">
        <v>569</v>
      </c>
      <c r="G1119" s="37" t="s">
        <v>1676</v>
      </c>
      <c r="H1119" s="36" t="s">
        <v>1658</v>
      </c>
      <c r="I1119" s="36" t="s">
        <v>1677</v>
      </c>
      <c r="J1119" s="36">
        <v>2</v>
      </c>
      <c r="K1119" s="36" t="s">
        <v>1617</v>
      </c>
      <c r="L1119" s="36">
        <v>4</v>
      </c>
      <c r="M1119" s="36">
        <v>10020</v>
      </c>
      <c r="N1119" s="38">
        <v>130</v>
      </c>
      <c r="O1119" s="38">
        <v>1302600</v>
      </c>
      <c r="P1119" s="36">
        <v>1</v>
      </c>
      <c r="Q1119" s="40">
        <v>46174</v>
      </c>
      <c r="R1119" s="36" t="s">
        <v>1660</v>
      </c>
      <c r="S1119" s="36" t="s">
        <v>1661</v>
      </c>
      <c r="T1119" s="36" t="s">
        <v>1662</v>
      </c>
      <c r="U1119" s="36" t="s">
        <v>1663</v>
      </c>
      <c r="V1119" s="40">
        <v>46174</v>
      </c>
      <c r="W1119" s="36"/>
      <c r="X1119" s="36">
        <v>0</v>
      </c>
      <c r="Y1119" s="36"/>
      <c r="Z1119" s="36">
        <v>0</v>
      </c>
      <c r="AA1119" s="36">
        <v>0</v>
      </c>
      <c r="AB1119" s="36"/>
      <c r="AC1119" s="36" t="str">
        <f t="shared" si="6"/>
        <v>PC26</v>
      </c>
      <c r="AD1119" s="36" t="str">
        <f>VLOOKUP(D1119,Oficial!A:C,3,0)</f>
        <v>Bienes y Servicios</v>
      </c>
    </row>
    <row r="1120" spans="1:30" x14ac:dyDescent="0.25">
      <c r="A1120" s="36" t="s">
        <v>27</v>
      </c>
      <c r="B1120" s="36" t="s">
        <v>1679</v>
      </c>
      <c r="C1120" s="36" t="s">
        <v>28</v>
      </c>
      <c r="D1120" s="36" t="s">
        <v>1679</v>
      </c>
      <c r="E1120" s="36" t="s">
        <v>30</v>
      </c>
      <c r="F1120" s="36" t="s">
        <v>569</v>
      </c>
      <c r="G1120" s="37">
        <v>2496</v>
      </c>
      <c r="H1120" s="36" t="s">
        <v>1680</v>
      </c>
      <c r="I1120" s="36" t="s">
        <v>1681</v>
      </c>
      <c r="J1120" s="36">
        <v>3</v>
      </c>
      <c r="K1120" s="36" t="s">
        <v>486</v>
      </c>
      <c r="L1120" s="36">
        <v>4</v>
      </c>
      <c r="M1120" s="36">
        <v>18</v>
      </c>
      <c r="N1120" s="38">
        <v>10223</v>
      </c>
      <c r="O1120" s="38">
        <v>184014</v>
      </c>
      <c r="P1120" s="36">
        <v>1</v>
      </c>
      <c r="Q1120" s="40">
        <v>46023</v>
      </c>
      <c r="R1120" s="36" t="s">
        <v>457</v>
      </c>
      <c r="S1120" s="36" t="s">
        <v>1682</v>
      </c>
      <c r="T1120" s="36" t="s">
        <v>1097</v>
      </c>
      <c r="U1120" s="36" t="s">
        <v>460</v>
      </c>
      <c r="V1120" s="40">
        <v>46023</v>
      </c>
      <c r="W1120" s="36"/>
      <c r="X1120" s="36">
        <v>0</v>
      </c>
      <c r="Y1120" s="36"/>
      <c r="Z1120" s="36">
        <v>0</v>
      </c>
      <c r="AA1120" s="36">
        <v>0</v>
      </c>
      <c r="AB1120" s="36"/>
      <c r="AC1120" s="36" t="str">
        <f t="shared" si="6"/>
        <v>PC26</v>
      </c>
      <c r="AD1120" s="36" t="str">
        <f>VLOOKUP(D1120,Oficial!A:C,3,0)</f>
        <v>Bienes y Servicios</v>
      </c>
    </row>
    <row r="1121" spans="1:30" x14ac:dyDescent="0.25">
      <c r="A1121" s="36" t="s">
        <v>27</v>
      </c>
      <c r="B1121" s="36" t="s">
        <v>1679</v>
      </c>
      <c r="C1121" s="36" t="s">
        <v>28</v>
      </c>
      <c r="D1121" s="36" t="s">
        <v>1679</v>
      </c>
      <c r="E1121" s="36" t="s">
        <v>30</v>
      </c>
      <c r="F1121" s="36" t="s">
        <v>569</v>
      </c>
      <c r="G1121" s="37">
        <v>2496</v>
      </c>
      <c r="H1121" s="36" t="s">
        <v>1680</v>
      </c>
      <c r="I1121" s="36" t="s">
        <v>1681</v>
      </c>
      <c r="J1121" s="36">
        <v>3</v>
      </c>
      <c r="K1121" s="36" t="s">
        <v>1683</v>
      </c>
      <c r="L1121" s="36">
        <v>4</v>
      </c>
      <c r="M1121" s="36">
        <v>2</v>
      </c>
      <c r="N1121" s="38">
        <v>10000</v>
      </c>
      <c r="O1121" s="38">
        <v>20000</v>
      </c>
      <c r="P1121" s="36">
        <v>1</v>
      </c>
      <c r="Q1121" s="40">
        <v>46023</v>
      </c>
      <c r="R1121" s="36" t="s">
        <v>457</v>
      </c>
      <c r="S1121" s="36" t="s">
        <v>1682</v>
      </c>
      <c r="T1121" s="36" t="s">
        <v>1097</v>
      </c>
      <c r="U1121" s="36" t="s">
        <v>460</v>
      </c>
      <c r="V1121" s="40">
        <v>46023</v>
      </c>
      <c r="W1121" s="36"/>
      <c r="X1121" s="36">
        <v>0</v>
      </c>
      <c r="Y1121" s="36"/>
      <c r="Z1121" s="36">
        <v>0</v>
      </c>
      <c r="AA1121" s="36">
        <v>0</v>
      </c>
      <c r="AB1121" s="36"/>
      <c r="AC1121" s="36" t="str">
        <f t="shared" si="6"/>
        <v>PC26</v>
      </c>
      <c r="AD1121" s="36" t="str">
        <f>VLOOKUP(D1121,Oficial!A:C,3,0)</f>
        <v>Bienes y Servicios</v>
      </c>
    </row>
    <row r="1122" spans="1:30" x14ac:dyDescent="0.25">
      <c r="A1122" s="36" t="s">
        <v>27</v>
      </c>
      <c r="B1122" s="36" t="s">
        <v>1679</v>
      </c>
      <c r="C1122" s="36" t="s">
        <v>28</v>
      </c>
      <c r="D1122" s="36" t="s">
        <v>1679</v>
      </c>
      <c r="E1122" s="36" t="s">
        <v>30</v>
      </c>
      <c r="F1122" s="36" t="s">
        <v>569</v>
      </c>
      <c r="G1122" s="37">
        <v>2496</v>
      </c>
      <c r="H1122" s="36" t="s">
        <v>1680</v>
      </c>
      <c r="I1122" s="36" t="s">
        <v>1681</v>
      </c>
      <c r="J1122" s="36">
        <v>3</v>
      </c>
      <c r="K1122" s="36" t="s">
        <v>1550</v>
      </c>
      <c r="L1122" s="36">
        <v>4</v>
      </c>
      <c r="M1122" s="36">
        <v>2</v>
      </c>
      <c r="N1122" s="38">
        <v>9000</v>
      </c>
      <c r="O1122" s="38">
        <v>18000</v>
      </c>
      <c r="P1122" s="36">
        <v>1</v>
      </c>
      <c r="Q1122" s="40">
        <v>46023</v>
      </c>
      <c r="R1122" s="36" t="s">
        <v>457</v>
      </c>
      <c r="S1122" s="36" t="s">
        <v>1682</v>
      </c>
      <c r="T1122" s="36" t="s">
        <v>1097</v>
      </c>
      <c r="U1122" s="36" t="s">
        <v>460</v>
      </c>
      <c r="V1122" s="40">
        <v>46023</v>
      </c>
      <c r="W1122" s="36"/>
      <c r="X1122" s="36">
        <v>0</v>
      </c>
      <c r="Y1122" s="36"/>
      <c r="Z1122" s="36">
        <v>0</v>
      </c>
      <c r="AA1122" s="36">
        <v>0</v>
      </c>
      <c r="AB1122" s="36"/>
      <c r="AC1122" s="36" t="str">
        <f t="shared" si="6"/>
        <v>PC26</v>
      </c>
      <c r="AD1122" s="36" t="str">
        <f>VLOOKUP(D1122,Oficial!A:C,3,0)</f>
        <v>Bienes y Servicios</v>
      </c>
    </row>
    <row r="1123" spans="1:30" x14ac:dyDescent="0.25">
      <c r="A1123" s="36" t="s">
        <v>27</v>
      </c>
      <c r="B1123" s="36" t="s">
        <v>1684</v>
      </c>
      <c r="C1123" s="36" t="s">
        <v>28</v>
      </c>
      <c r="D1123" s="36" t="s">
        <v>1684</v>
      </c>
      <c r="E1123" s="36" t="s">
        <v>30</v>
      </c>
      <c r="F1123" s="36" t="s">
        <v>569</v>
      </c>
      <c r="G1123" s="37">
        <v>2497</v>
      </c>
      <c r="H1123" s="36" t="s">
        <v>1685</v>
      </c>
      <c r="I1123" s="36" t="s">
        <v>1686</v>
      </c>
      <c r="J1123" s="36">
        <v>1</v>
      </c>
      <c r="K1123" s="36" t="s">
        <v>639</v>
      </c>
      <c r="L1123" s="36">
        <v>4</v>
      </c>
      <c r="M1123" s="36">
        <v>100</v>
      </c>
      <c r="N1123" s="38">
        <v>2000</v>
      </c>
      <c r="O1123" s="38">
        <v>200000</v>
      </c>
      <c r="P1123" s="36">
        <v>1</v>
      </c>
      <c r="Q1123" s="40">
        <v>46054</v>
      </c>
      <c r="R1123" s="36" t="s">
        <v>1642</v>
      </c>
      <c r="S1123" s="36" t="s">
        <v>1643</v>
      </c>
      <c r="T1123" s="36" t="s">
        <v>1644</v>
      </c>
      <c r="U1123" s="36" t="s">
        <v>404</v>
      </c>
      <c r="V1123" s="40">
        <v>46054</v>
      </c>
      <c r="W1123" s="36"/>
      <c r="X1123" s="36">
        <v>0</v>
      </c>
      <c r="Y1123" s="36"/>
      <c r="Z1123" s="36">
        <v>0</v>
      </c>
      <c r="AA1123" s="36">
        <v>0</v>
      </c>
      <c r="AB1123" s="36"/>
      <c r="AC1123" s="36" t="str">
        <f t="shared" si="6"/>
        <v>PC26</v>
      </c>
      <c r="AD1123" s="36" t="str">
        <f>VLOOKUP(D1123,Oficial!A:C,3,0)</f>
        <v>Bienes y Servicios</v>
      </c>
    </row>
    <row r="1124" spans="1:30" x14ac:dyDescent="0.25">
      <c r="A1124" s="36" t="s">
        <v>27</v>
      </c>
      <c r="B1124" s="36" t="s">
        <v>1687</v>
      </c>
      <c r="C1124" s="36" t="s">
        <v>28</v>
      </c>
      <c r="D1124" s="36" t="s">
        <v>1687</v>
      </c>
      <c r="E1124" s="36" t="s">
        <v>30</v>
      </c>
      <c r="F1124" s="36" t="s">
        <v>569</v>
      </c>
      <c r="G1124" s="37">
        <v>2498</v>
      </c>
      <c r="H1124" s="36" t="s">
        <v>1688</v>
      </c>
      <c r="I1124" s="36" t="s">
        <v>1689</v>
      </c>
      <c r="J1124" s="36">
        <v>2</v>
      </c>
      <c r="K1124" s="36" t="s">
        <v>486</v>
      </c>
      <c r="L1124" s="36">
        <v>4</v>
      </c>
      <c r="M1124" s="36">
        <v>13</v>
      </c>
      <c r="N1124" s="38">
        <v>17693</v>
      </c>
      <c r="O1124" s="38">
        <v>230009</v>
      </c>
      <c r="P1124" s="36">
        <v>1</v>
      </c>
      <c r="Q1124" s="40">
        <v>46082</v>
      </c>
      <c r="R1124" s="36" t="s">
        <v>1690</v>
      </c>
      <c r="S1124" s="36" t="s">
        <v>865</v>
      </c>
      <c r="T1124" s="36" t="s">
        <v>1691</v>
      </c>
      <c r="U1124" s="36" t="s">
        <v>1692</v>
      </c>
      <c r="V1124" s="40">
        <v>46082</v>
      </c>
      <c r="W1124" s="36"/>
      <c r="X1124" s="36">
        <v>0</v>
      </c>
      <c r="Y1124" s="36"/>
      <c r="Z1124" s="36">
        <v>0</v>
      </c>
      <c r="AA1124" s="36">
        <v>0</v>
      </c>
      <c r="AB1124" s="36"/>
      <c r="AC1124" s="36" t="str">
        <f t="shared" si="6"/>
        <v>PC26</v>
      </c>
      <c r="AD1124" s="36" t="str">
        <f>VLOOKUP(D1124,Oficial!A:C,3,0)</f>
        <v>Bienes y Servicios</v>
      </c>
    </row>
    <row r="1125" spans="1:30" x14ac:dyDescent="0.25">
      <c r="A1125" s="36" t="s">
        <v>27</v>
      </c>
      <c r="B1125" s="36" t="s">
        <v>1687</v>
      </c>
      <c r="C1125" s="36" t="s">
        <v>28</v>
      </c>
      <c r="D1125" s="36" t="s">
        <v>1687</v>
      </c>
      <c r="E1125" s="36" t="s">
        <v>30</v>
      </c>
      <c r="F1125" s="36" t="s">
        <v>569</v>
      </c>
      <c r="G1125" s="37">
        <v>2498</v>
      </c>
      <c r="H1125" s="36" t="s">
        <v>1688</v>
      </c>
      <c r="I1125" s="36" t="s">
        <v>1689</v>
      </c>
      <c r="J1125" s="36">
        <v>2</v>
      </c>
      <c r="K1125" s="36" t="s">
        <v>1693</v>
      </c>
      <c r="L1125" s="36">
        <v>4</v>
      </c>
      <c r="M1125" s="36">
        <v>16</v>
      </c>
      <c r="N1125" s="38">
        <v>112250</v>
      </c>
      <c r="O1125" s="38">
        <v>1796000</v>
      </c>
      <c r="P1125" s="36">
        <v>1</v>
      </c>
      <c r="Q1125" s="40">
        <v>46082</v>
      </c>
      <c r="R1125" s="36" t="s">
        <v>1690</v>
      </c>
      <c r="S1125" s="36" t="s">
        <v>865</v>
      </c>
      <c r="T1125" s="36" t="s">
        <v>1691</v>
      </c>
      <c r="U1125" s="36" t="s">
        <v>1692</v>
      </c>
      <c r="V1125" s="40">
        <v>46082</v>
      </c>
      <c r="W1125" s="36"/>
      <c r="X1125" s="36">
        <v>0</v>
      </c>
      <c r="Y1125" s="36"/>
      <c r="Z1125" s="36">
        <v>0</v>
      </c>
      <c r="AA1125" s="36">
        <v>0</v>
      </c>
      <c r="AB1125" s="36"/>
      <c r="AC1125" s="36" t="str">
        <f t="shared" si="6"/>
        <v>PC26</v>
      </c>
      <c r="AD1125" s="36" t="str">
        <f>VLOOKUP(D1125,Oficial!A:C,3,0)</f>
        <v>Bienes y Servicios</v>
      </c>
    </row>
    <row r="1126" spans="1:30" x14ac:dyDescent="0.25">
      <c r="A1126" s="36" t="s">
        <v>27</v>
      </c>
      <c r="B1126" s="36" t="s">
        <v>1694</v>
      </c>
      <c r="C1126" s="36" t="s">
        <v>28</v>
      </c>
      <c r="D1126" s="36" t="s">
        <v>1694</v>
      </c>
      <c r="E1126" s="36" t="s">
        <v>30</v>
      </c>
      <c r="F1126" s="36" t="s">
        <v>569</v>
      </c>
      <c r="G1126" s="37" t="s">
        <v>812</v>
      </c>
      <c r="H1126" s="36" t="s">
        <v>1695</v>
      </c>
      <c r="I1126" s="36" t="s">
        <v>1696</v>
      </c>
      <c r="J1126" s="36">
        <v>1</v>
      </c>
      <c r="K1126" s="36" t="s">
        <v>1565</v>
      </c>
      <c r="L1126" s="36">
        <v>4</v>
      </c>
      <c r="M1126" s="36">
        <v>23</v>
      </c>
      <c r="N1126" s="38">
        <v>108696</v>
      </c>
      <c r="O1126" s="38">
        <v>2500008</v>
      </c>
      <c r="P1126" s="36">
        <v>1</v>
      </c>
      <c r="Q1126" s="40">
        <v>46143</v>
      </c>
      <c r="R1126" s="36" t="s">
        <v>414</v>
      </c>
      <c r="S1126" s="36" t="s">
        <v>1697</v>
      </c>
      <c r="T1126" s="36" t="s">
        <v>1698</v>
      </c>
      <c r="U1126" s="36" t="s">
        <v>417</v>
      </c>
      <c r="V1126" s="40">
        <v>46143</v>
      </c>
      <c r="W1126" s="36"/>
      <c r="X1126" s="36">
        <v>0</v>
      </c>
      <c r="Y1126" s="36"/>
      <c r="Z1126" s="36">
        <v>0</v>
      </c>
      <c r="AA1126" s="36">
        <v>0</v>
      </c>
      <c r="AB1126" s="36"/>
      <c r="AC1126" s="36" t="str">
        <f t="shared" si="6"/>
        <v>PC26</v>
      </c>
      <c r="AD1126" s="36" t="str">
        <f>VLOOKUP(D1126,Oficial!A:C,3,0)</f>
        <v>Bienes y Servicios</v>
      </c>
    </row>
    <row r="1127" spans="1:30" x14ac:dyDescent="0.25">
      <c r="A1127" s="36" t="s">
        <v>27</v>
      </c>
      <c r="B1127" s="36" t="s">
        <v>1699</v>
      </c>
      <c r="C1127" s="36" t="s">
        <v>28</v>
      </c>
      <c r="D1127" s="36" t="s">
        <v>1699</v>
      </c>
      <c r="E1127" s="36" t="s">
        <v>30</v>
      </c>
      <c r="F1127" s="36" t="s">
        <v>569</v>
      </c>
      <c r="G1127" s="37" t="s">
        <v>483</v>
      </c>
      <c r="H1127" s="36" t="s">
        <v>1658</v>
      </c>
      <c r="I1127" s="36" t="s">
        <v>1677</v>
      </c>
      <c r="J1127" s="36">
        <v>1</v>
      </c>
      <c r="K1127" s="36" t="s">
        <v>486</v>
      </c>
      <c r="L1127" s="36">
        <v>4</v>
      </c>
      <c r="M1127" s="36">
        <v>165</v>
      </c>
      <c r="N1127" s="38">
        <v>3031</v>
      </c>
      <c r="O1127" s="38">
        <v>500115</v>
      </c>
      <c r="P1127" s="36">
        <v>1</v>
      </c>
      <c r="Q1127" s="40">
        <v>46174</v>
      </c>
      <c r="R1127" s="36" t="s">
        <v>1660</v>
      </c>
      <c r="S1127" s="36" t="s">
        <v>1661</v>
      </c>
      <c r="T1127" s="36" t="s">
        <v>1662</v>
      </c>
      <c r="U1127" s="36" t="s">
        <v>1663</v>
      </c>
      <c r="V1127" s="40">
        <v>46174</v>
      </c>
      <c r="W1127" s="36"/>
      <c r="X1127" s="36">
        <v>0</v>
      </c>
      <c r="Y1127" s="36"/>
      <c r="Z1127" s="36">
        <v>0</v>
      </c>
      <c r="AA1127" s="36">
        <v>0</v>
      </c>
      <c r="AB1127" s="36"/>
      <c r="AC1127" s="36" t="str">
        <f t="shared" si="6"/>
        <v>PC26</v>
      </c>
      <c r="AD1127" s="36" t="str">
        <f>VLOOKUP(D1127,Oficial!A:C,3,0)</f>
        <v>Bienes y Servicios</v>
      </c>
    </row>
    <row r="1128" spans="1:30" x14ac:dyDescent="0.25">
      <c r="A1128" s="36" t="s">
        <v>27</v>
      </c>
      <c r="B1128" s="36" t="s">
        <v>1700</v>
      </c>
      <c r="C1128" s="36" t="s">
        <v>28</v>
      </c>
      <c r="D1128" s="36" t="s">
        <v>1700</v>
      </c>
      <c r="E1128" s="36" t="s">
        <v>30</v>
      </c>
      <c r="F1128" s="36" t="s">
        <v>569</v>
      </c>
      <c r="G1128" s="37">
        <v>2403</v>
      </c>
      <c r="H1128" s="36" t="s">
        <v>1701</v>
      </c>
      <c r="I1128" s="36" t="s">
        <v>1702</v>
      </c>
      <c r="J1128" s="36">
        <v>1</v>
      </c>
      <c r="K1128" s="36" t="s">
        <v>1703</v>
      </c>
      <c r="L1128" s="36">
        <v>4</v>
      </c>
      <c r="M1128" s="36">
        <v>555</v>
      </c>
      <c r="N1128" s="38">
        <v>7315</v>
      </c>
      <c r="O1128" s="38">
        <v>4059825</v>
      </c>
      <c r="P1128" s="36">
        <v>1</v>
      </c>
      <c r="Q1128" s="40">
        <v>46143</v>
      </c>
      <c r="R1128" s="36" t="s">
        <v>1704</v>
      </c>
      <c r="S1128" s="36" t="s">
        <v>1705</v>
      </c>
      <c r="T1128" s="36" t="s">
        <v>1706</v>
      </c>
      <c r="U1128" s="36" t="s">
        <v>1707</v>
      </c>
      <c r="V1128" s="40">
        <v>46143</v>
      </c>
      <c r="W1128" s="36"/>
      <c r="X1128" s="36">
        <v>0</v>
      </c>
      <c r="Y1128" s="36"/>
      <c r="Z1128" s="36">
        <v>0</v>
      </c>
      <c r="AA1128" s="36">
        <v>0</v>
      </c>
      <c r="AB1128" s="36"/>
      <c r="AC1128" s="36" t="str">
        <f t="shared" si="6"/>
        <v>PC26</v>
      </c>
      <c r="AD1128" s="36" t="str">
        <f>VLOOKUP(D1128,Oficial!A:C,3,0)</f>
        <v>Bienes y Servicios</v>
      </c>
    </row>
    <row r="1129" spans="1:30" x14ac:dyDescent="0.25">
      <c r="A1129" s="36" t="s">
        <v>27</v>
      </c>
      <c r="B1129" s="36" t="s">
        <v>1708</v>
      </c>
      <c r="C1129" s="36" t="s">
        <v>28</v>
      </c>
      <c r="D1129" s="36" t="s">
        <v>1708</v>
      </c>
      <c r="E1129" s="36" t="s">
        <v>30</v>
      </c>
      <c r="F1129" s="36" t="s">
        <v>569</v>
      </c>
      <c r="G1129" s="37">
        <v>2502</v>
      </c>
      <c r="H1129" s="36" t="s">
        <v>1709</v>
      </c>
      <c r="I1129" s="36" t="s">
        <v>1710</v>
      </c>
      <c r="J1129" s="36">
        <v>1</v>
      </c>
      <c r="K1129" s="36" t="s">
        <v>1711</v>
      </c>
      <c r="L1129" s="36">
        <v>4</v>
      </c>
      <c r="M1129" s="36">
        <v>10</v>
      </c>
      <c r="N1129" s="38">
        <v>55000</v>
      </c>
      <c r="O1129" s="38">
        <v>550000</v>
      </c>
      <c r="P1129" s="36">
        <v>1</v>
      </c>
      <c r="Q1129" s="40">
        <v>46023</v>
      </c>
      <c r="R1129" s="36" t="s">
        <v>958</v>
      </c>
      <c r="S1129" s="36" t="s">
        <v>959</v>
      </c>
      <c r="T1129" s="36" t="s">
        <v>960</v>
      </c>
      <c r="U1129" s="36" t="s">
        <v>961</v>
      </c>
      <c r="V1129" s="40">
        <v>46023</v>
      </c>
      <c r="W1129" s="36"/>
      <c r="X1129" s="36">
        <v>0</v>
      </c>
      <c r="Y1129" s="36"/>
      <c r="Z1129" s="36">
        <v>0</v>
      </c>
      <c r="AA1129" s="36">
        <v>0</v>
      </c>
      <c r="AB1129" s="36"/>
      <c r="AC1129" s="36" t="str">
        <f t="shared" si="6"/>
        <v>PC26</v>
      </c>
      <c r="AD1129" s="36" t="str">
        <f>VLOOKUP(D1129,Oficial!A:C,3,0)</f>
        <v>Bienes y Servicios</v>
      </c>
    </row>
    <row r="1130" spans="1:30" x14ac:dyDescent="0.25">
      <c r="A1130" s="36" t="s">
        <v>27</v>
      </c>
      <c r="B1130" s="36" t="s">
        <v>1712</v>
      </c>
      <c r="C1130" s="36" t="s">
        <v>28</v>
      </c>
      <c r="D1130" s="36" t="s">
        <v>1712</v>
      </c>
      <c r="E1130" s="36" t="s">
        <v>30</v>
      </c>
      <c r="F1130" s="36" t="s">
        <v>569</v>
      </c>
      <c r="G1130" s="37" t="s">
        <v>654</v>
      </c>
      <c r="H1130" s="36" t="s">
        <v>1713</v>
      </c>
      <c r="I1130" s="36" t="s">
        <v>1714</v>
      </c>
      <c r="J1130" s="36">
        <v>1</v>
      </c>
      <c r="K1130" s="36" t="s">
        <v>602</v>
      </c>
      <c r="L1130" s="36">
        <v>4</v>
      </c>
      <c r="M1130" s="36">
        <v>110</v>
      </c>
      <c r="N1130" s="38">
        <v>7119</v>
      </c>
      <c r="O1130" s="38">
        <v>783090</v>
      </c>
      <c r="P1130" s="36">
        <v>1</v>
      </c>
      <c r="Q1130" s="40">
        <v>46082</v>
      </c>
      <c r="R1130" s="36" t="s">
        <v>1572</v>
      </c>
      <c r="S1130" s="36" t="s">
        <v>1573</v>
      </c>
      <c r="T1130" s="36" t="s">
        <v>1154</v>
      </c>
      <c r="U1130" s="36" t="s">
        <v>1574</v>
      </c>
      <c r="V1130" s="40">
        <v>46082</v>
      </c>
      <c r="W1130" s="36"/>
      <c r="X1130" s="36">
        <v>0</v>
      </c>
      <c r="Y1130" s="36"/>
      <c r="Z1130" s="36">
        <v>0</v>
      </c>
      <c r="AA1130" s="36">
        <v>0</v>
      </c>
      <c r="AB1130" s="36"/>
      <c r="AC1130" s="36" t="str">
        <f t="shared" si="6"/>
        <v>PC26</v>
      </c>
      <c r="AD1130" s="36" t="str">
        <f>VLOOKUP(D1130,Oficial!A:C,3,0)</f>
        <v>Bienes y Servicios</v>
      </c>
    </row>
    <row r="1131" spans="1:30" x14ac:dyDescent="0.25">
      <c r="A1131" s="36" t="s">
        <v>27</v>
      </c>
      <c r="B1131" s="36" t="s">
        <v>1715</v>
      </c>
      <c r="C1131" s="36" t="s">
        <v>28</v>
      </c>
      <c r="D1131" s="36" t="s">
        <v>1715</v>
      </c>
      <c r="E1131" s="36" t="s">
        <v>30</v>
      </c>
      <c r="F1131" s="36" t="s">
        <v>569</v>
      </c>
      <c r="G1131" s="37">
        <v>2504</v>
      </c>
      <c r="H1131" s="36" t="s">
        <v>1716</v>
      </c>
      <c r="I1131" s="36" t="s">
        <v>1717</v>
      </c>
      <c r="J1131" s="36">
        <v>1</v>
      </c>
      <c r="K1131" s="36" t="s">
        <v>1592</v>
      </c>
      <c r="L1131" s="36">
        <v>4</v>
      </c>
      <c r="M1131" s="36">
        <v>1</v>
      </c>
      <c r="N1131" s="38">
        <v>60000</v>
      </c>
      <c r="O1131" s="38">
        <v>60000</v>
      </c>
      <c r="P1131" s="36">
        <v>1</v>
      </c>
      <c r="Q1131" s="40">
        <v>46023</v>
      </c>
      <c r="R1131" s="36" t="s">
        <v>958</v>
      </c>
      <c r="S1131" s="36" t="s">
        <v>959</v>
      </c>
      <c r="T1131" s="36" t="s">
        <v>960</v>
      </c>
      <c r="U1131" s="36" t="s">
        <v>961</v>
      </c>
      <c r="V1131" s="40">
        <v>46023</v>
      </c>
      <c r="W1131" s="36"/>
      <c r="X1131" s="36">
        <v>0</v>
      </c>
      <c r="Y1131" s="36"/>
      <c r="Z1131" s="36">
        <v>0</v>
      </c>
      <c r="AA1131" s="36">
        <v>0</v>
      </c>
      <c r="AB1131" s="36"/>
      <c r="AC1131" s="36" t="str">
        <f t="shared" si="6"/>
        <v>PC26</v>
      </c>
      <c r="AD1131" s="36" t="str">
        <f>VLOOKUP(D1131,Oficial!A:C,3,0)</f>
        <v>Bienes y Servicios</v>
      </c>
    </row>
    <row r="1132" spans="1:30" x14ac:dyDescent="0.25">
      <c r="A1132" s="36" t="s">
        <v>27</v>
      </c>
      <c r="B1132" s="36" t="s">
        <v>1718</v>
      </c>
      <c r="C1132" s="36" t="s">
        <v>28</v>
      </c>
      <c r="D1132" s="36" t="s">
        <v>1718</v>
      </c>
      <c r="E1132" s="36" t="s">
        <v>30</v>
      </c>
      <c r="F1132" s="36" t="s">
        <v>569</v>
      </c>
      <c r="G1132" s="37">
        <v>2510</v>
      </c>
      <c r="H1132" s="36" t="s">
        <v>1719</v>
      </c>
      <c r="I1132" s="36" t="s">
        <v>1720</v>
      </c>
      <c r="J1132" s="36">
        <v>1</v>
      </c>
      <c r="K1132" s="36" t="s">
        <v>1721</v>
      </c>
      <c r="L1132" s="36">
        <v>4</v>
      </c>
      <c r="M1132" s="36">
        <v>1</v>
      </c>
      <c r="N1132" s="38">
        <v>296000000</v>
      </c>
      <c r="O1132" s="38">
        <v>0</v>
      </c>
      <c r="P1132" s="36">
        <v>24</v>
      </c>
      <c r="Q1132" s="36" t="s">
        <v>1722</v>
      </c>
      <c r="R1132" s="36" t="s">
        <v>1723</v>
      </c>
      <c r="S1132" s="36" t="s">
        <v>154</v>
      </c>
      <c r="T1132" s="36" t="s">
        <v>1724</v>
      </c>
      <c r="U1132" s="36" t="s">
        <v>156</v>
      </c>
      <c r="V1132" s="40">
        <v>46174</v>
      </c>
      <c r="W1132" s="36"/>
      <c r="X1132" s="36">
        <v>0</v>
      </c>
      <c r="Y1132" s="36"/>
      <c r="Z1132" s="36">
        <v>0</v>
      </c>
      <c r="AA1132" s="36">
        <v>0</v>
      </c>
      <c r="AB1132" s="36"/>
      <c r="AC1132" s="36" t="str">
        <f t="shared" si="6"/>
        <v>PC26</v>
      </c>
      <c r="AD1132" s="36" t="str">
        <f>VLOOKUP(D1132,Oficial!A:C,3,0)</f>
        <v>Bienes y Servicios</v>
      </c>
    </row>
    <row r="1133" spans="1:30" x14ac:dyDescent="0.25">
      <c r="A1133" s="36" t="s">
        <v>27</v>
      </c>
      <c r="B1133" s="36" t="s">
        <v>1725</v>
      </c>
      <c r="C1133" s="36" t="s">
        <v>28</v>
      </c>
      <c r="D1133" s="36" t="s">
        <v>1725</v>
      </c>
      <c r="E1133" s="36" t="s">
        <v>30</v>
      </c>
      <c r="F1133" s="36" t="s">
        <v>569</v>
      </c>
      <c r="G1133" s="37">
        <v>2511</v>
      </c>
      <c r="H1133" s="36" t="s">
        <v>1726</v>
      </c>
      <c r="I1133" s="36" t="s">
        <v>1727</v>
      </c>
      <c r="J1133" s="36">
        <v>1</v>
      </c>
      <c r="K1133" s="36" t="s">
        <v>623</v>
      </c>
      <c r="L1133" s="36">
        <v>4</v>
      </c>
      <c r="M1133" s="36">
        <v>1</v>
      </c>
      <c r="N1133" s="38">
        <v>900000</v>
      </c>
      <c r="O1133" s="38">
        <v>900000</v>
      </c>
      <c r="P1133" s="36">
        <v>1</v>
      </c>
      <c r="Q1133" s="40">
        <v>46143</v>
      </c>
      <c r="R1133" s="36" t="s">
        <v>1211</v>
      </c>
      <c r="S1133" s="36" t="s">
        <v>320</v>
      </c>
      <c r="T1133" s="36" t="s">
        <v>1212</v>
      </c>
      <c r="U1133" s="36" t="s">
        <v>322</v>
      </c>
      <c r="V1133" s="40">
        <v>46143</v>
      </c>
      <c r="W1133" s="36"/>
      <c r="X1133" s="36">
        <v>0</v>
      </c>
      <c r="Y1133" s="36"/>
      <c r="Z1133" s="36">
        <v>0</v>
      </c>
      <c r="AA1133" s="36">
        <v>0</v>
      </c>
      <c r="AB1133" s="36"/>
      <c r="AC1133" s="36" t="str">
        <f t="shared" si="6"/>
        <v>PC26</v>
      </c>
      <c r="AD1133" s="36" t="str">
        <f>VLOOKUP(D1133,Oficial!A:C,3,0)</f>
        <v>Bienes y Servicios</v>
      </c>
    </row>
    <row r="1134" spans="1:30" x14ac:dyDescent="0.25">
      <c r="A1134" s="36" t="s">
        <v>27</v>
      </c>
      <c r="B1134" s="36" t="s">
        <v>1728</v>
      </c>
      <c r="C1134" s="36" t="s">
        <v>28</v>
      </c>
      <c r="D1134" s="36" t="s">
        <v>1728</v>
      </c>
      <c r="E1134" s="36" t="s">
        <v>30</v>
      </c>
      <c r="F1134" s="36" t="s">
        <v>569</v>
      </c>
      <c r="G1134" s="37">
        <v>2512</v>
      </c>
      <c r="H1134" s="36" t="s">
        <v>1729</v>
      </c>
      <c r="I1134" s="36" t="s">
        <v>1730</v>
      </c>
      <c r="J1134" s="36">
        <v>1</v>
      </c>
      <c r="K1134" s="36" t="s">
        <v>882</v>
      </c>
      <c r="L1134" s="36">
        <v>4</v>
      </c>
      <c r="M1134" s="36">
        <v>1</v>
      </c>
      <c r="N1134" s="38">
        <v>1500000</v>
      </c>
      <c r="O1134" s="38">
        <v>1500000</v>
      </c>
      <c r="P1134" s="36">
        <v>1</v>
      </c>
      <c r="Q1134" s="40">
        <v>46357</v>
      </c>
      <c r="R1134" s="36" t="s">
        <v>1211</v>
      </c>
      <c r="S1134" s="36" t="s">
        <v>320</v>
      </c>
      <c r="T1134" s="36" t="s">
        <v>1212</v>
      </c>
      <c r="U1134" s="36" t="s">
        <v>322</v>
      </c>
      <c r="V1134" s="40">
        <v>46357</v>
      </c>
      <c r="W1134" s="36"/>
      <c r="X1134" s="36">
        <v>0</v>
      </c>
      <c r="Y1134" s="36"/>
      <c r="Z1134" s="36">
        <v>0</v>
      </c>
      <c r="AA1134" s="36">
        <v>0</v>
      </c>
      <c r="AB1134" s="36"/>
      <c r="AC1134" s="36" t="str">
        <f t="shared" si="6"/>
        <v>PC26</v>
      </c>
      <c r="AD1134" s="36" t="str">
        <f>VLOOKUP(D1134,Oficial!A:C,3,0)</f>
        <v>Bienes y Servicios</v>
      </c>
    </row>
    <row r="1135" spans="1:30" x14ac:dyDescent="0.25">
      <c r="A1135" s="36" t="s">
        <v>27</v>
      </c>
      <c r="B1135" s="36" t="s">
        <v>1731</v>
      </c>
      <c r="C1135" s="36" t="s">
        <v>28</v>
      </c>
      <c r="D1135" s="36" t="s">
        <v>1731</v>
      </c>
      <c r="E1135" s="36" t="s">
        <v>30</v>
      </c>
      <c r="F1135" s="36" t="s">
        <v>569</v>
      </c>
      <c r="G1135" s="37" t="s">
        <v>483</v>
      </c>
      <c r="H1135" s="36" t="s">
        <v>1732</v>
      </c>
      <c r="I1135" s="36" t="s">
        <v>1733</v>
      </c>
      <c r="J1135" s="36">
        <v>1</v>
      </c>
      <c r="K1135" s="36" t="s">
        <v>1641</v>
      </c>
      <c r="L1135" s="36">
        <v>4</v>
      </c>
      <c r="M1135" s="36">
        <v>1450</v>
      </c>
      <c r="N1135" s="38">
        <v>501</v>
      </c>
      <c r="O1135" s="38">
        <v>726450</v>
      </c>
      <c r="P1135" s="36">
        <v>1</v>
      </c>
      <c r="Q1135" s="40">
        <v>46082</v>
      </c>
      <c r="R1135" s="36" t="s">
        <v>1572</v>
      </c>
      <c r="S1135" s="36" t="s">
        <v>1573</v>
      </c>
      <c r="T1135" s="36" t="s">
        <v>1154</v>
      </c>
      <c r="U1135" s="36" t="s">
        <v>1574</v>
      </c>
      <c r="V1135" s="40">
        <v>46082</v>
      </c>
      <c r="W1135" s="36"/>
      <c r="X1135" s="36">
        <v>0</v>
      </c>
      <c r="Y1135" s="36"/>
      <c r="Z1135" s="36">
        <v>0</v>
      </c>
      <c r="AA1135" s="36">
        <v>0</v>
      </c>
      <c r="AB1135" s="36"/>
      <c r="AC1135" s="36" t="str">
        <f t="shared" si="6"/>
        <v>PC26</v>
      </c>
      <c r="AD1135" s="36" t="str">
        <f>VLOOKUP(D1135,Oficial!A:C,3,0)</f>
        <v>Bienes y Servicios</v>
      </c>
    </row>
    <row r="1136" spans="1:30" x14ac:dyDescent="0.25">
      <c r="A1136" s="36" t="s">
        <v>27</v>
      </c>
      <c r="B1136" s="36" t="s">
        <v>1734</v>
      </c>
      <c r="C1136" s="36" t="s">
        <v>28</v>
      </c>
      <c r="D1136" s="36" t="s">
        <v>1734</v>
      </c>
      <c r="E1136" s="36" t="s">
        <v>30</v>
      </c>
      <c r="F1136" s="36" t="s">
        <v>569</v>
      </c>
      <c r="G1136" s="37" t="s">
        <v>1735</v>
      </c>
      <c r="H1136" s="36" t="s">
        <v>1736</v>
      </c>
      <c r="I1136" s="36" t="s">
        <v>1737</v>
      </c>
      <c r="J1136" s="36">
        <v>1</v>
      </c>
      <c r="K1136" s="36" t="s">
        <v>807</v>
      </c>
      <c r="L1136" s="36">
        <v>4</v>
      </c>
      <c r="M1136" s="36">
        <v>1</v>
      </c>
      <c r="N1136" s="38">
        <v>5000000</v>
      </c>
      <c r="O1136" s="38">
        <v>5000000</v>
      </c>
      <c r="P1136" s="36">
        <v>1</v>
      </c>
      <c r="Q1136" s="40">
        <v>46143</v>
      </c>
      <c r="R1136" s="36" t="s">
        <v>624</v>
      </c>
      <c r="S1136" s="36" t="s">
        <v>625</v>
      </c>
      <c r="T1136" s="36" t="s">
        <v>626</v>
      </c>
      <c r="U1136" s="36" t="s">
        <v>627</v>
      </c>
      <c r="V1136" s="40">
        <v>46143</v>
      </c>
      <c r="W1136" s="36"/>
      <c r="X1136" s="36">
        <v>0</v>
      </c>
      <c r="Y1136" s="36"/>
      <c r="Z1136" s="36">
        <v>0</v>
      </c>
      <c r="AA1136" s="36">
        <v>0</v>
      </c>
      <c r="AB1136" s="36"/>
      <c r="AC1136" s="36" t="str">
        <f t="shared" si="6"/>
        <v>PC26</v>
      </c>
      <c r="AD1136" s="36" t="str">
        <f>VLOOKUP(D1136,Oficial!A:C,3,0)</f>
        <v>Bienes y Servicios</v>
      </c>
    </row>
    <row r="1137" spans="1:30" x14ac:dyDescent="0.25">
      <c r="A1137" s="36" t="s">
        <v>27</v>
      </c>
      <c r="B1137" s="36" t="s">
        <v>1738</v>
      </c>
      <c r="C1137" s="36" t="s">
        <v>28</v>
      </c>
      <c r="D1137" s="36" t="s">
        <v>1738</v>
      </c>
      <c r="E1137" s="36" t="s">
        <v>30</v>
      </c>
      <c r="F1137" s="36" t="s">
        <v>569</v>
      </c>
      <c r="G1137" s="37" t="s">
        <v>654</v>
      </c>
      <c r="H1137" s="36" t="s">
        <v>1739</v>
      </c>
      <c r="I1137" s="36" t="s">
        <v>1740</v>
      </c>
      <c r="J1137" s="36">
        <v>1</v>
      </c>
      <c r="K1137" s="36" t="s">
        <v>602</v>
      </c>
      <c r="L1137" s="36">
        <v>4</v>
      </c>
      <c r="M1137" s="36">
        <v>100</v>
      </c>
      <c r="N1137" s="38">
        <v>5000</v>
      </c>
      <c r="O1137" s="38">
        <v>500000</v>
      </c>
      <c r="P1137" s="36">
        <v>1</v>
      </c>
      <c r="Q1137" s="40">
        <v>46113</v>
      </c>
      <c r="R1137" s="36" t="s">
        <v>1723</v>
      </c>
      <c r="S1137" s="36" t="s">
        <v>154</v>
      </c>
      <c r="T1137" s="36" t="s">
        <v>1724</v>
      </c>
      <c r="U1137" s="36" t="s">
        <v>156</v>
      </c>
      <c r="V1137" s="40">
        <v>46113</v>
      </c>
      <c r="W1137" s="36"/>
      <c r="X1137" s="36">
        <v>0</v>
      </c>
      <c r="Y1137" s="36"/>
      <c r="Z1137" s="36">
        <v>0</v>
      </c>
      <c r="AA1137" s="36">
        <v>0</v>
      </c>
      <c r="AB1137" s="36"/>
      <c r="AC1137" s="36" t="str">
        <f t="shared" si="6"/>
        <v>PC26</v>
      </c>
      <c r="AD1137" s="36" t="str">
        <f>VLOOKUP(D1137,Oficial!A:C,3,0)</f>
        <v>Bienes y Servicios</v>
      </c>
    </row>
    <row r="1138" spans="1:30" x14ac:dyDescent="0.25">
      <c r="A1138" s="36" t="s">
        <v>27</v>
      </c>
      <c r="B1138" s="36" t="s">
        <v>1741</v>
      </c>
      <c r="C1138" s="36" t="s">
        <v>28</v>
      </c>
      <c r="D1138" s="36" t="s">
        <v>1741</v>
      </c>
      <c r="E1138" s="36" t="s">
        <v>30</v>
      </c>
      <c r="F1138" s="36" t="s">
        <v>569</v>
      </c>
      <c r="G1138" s="37">
        <v>2519</v>
      </c>
      <c r="H1138" s="36" t="s">
        <v>1742</v>
      </c>
      <c r="I1138" s="36" t="s">
        <v>1743</v>
      </c>
      <c r="J1138" s="36">
        <v>1</v>
      </c>
      <c r="K1138" s="36" t="s">
        <v>486</v>
      </c>
      <c r="L1138" s="36">
        <v>4</v>
      </c>
      <c r="M1138" s="36">
        <v>493</v>
      </c>
      <c r="N1138" s="38">
        <v>641</v>
      </c>
      <c r="O1138" s="38">
        <v>316013</v>
      </c>
      <c r="P1138" s="36">
        <v>1</v>
      </c>
      <c r="Q1138" s="40">
        <v>46082</v>
      </c>
      <c r="R1138" s="36" t="s">
        <v>1744</v>
      </c>
      <c r="S1138" s="36" t="s">
        <v>1745</v>
      </c>
      <c r="T1138" s="36" t="s">
        <v>1746</v>
      </c>
      <c r="U1138" s="36" t="s">
        <v>1747</v>
      </c>
      <c r="V1138" s="40">
        <v>46082</v>
      </c>
      <c r="W1138" s="36"/>
      <c r="X1138" s="36">
        <v>0</v>
      </c>
      <c r="Y1138" s="36"/>
      <c r="Z1138" s="36">
        <v>0</v>
      </c>
      <c r="AA1138" s="36">
        <v>0</v>
      </c>
      <c r="AB1138" s="36"/>
      <c r="AC1138" s="36" t="str">
        <f t="shared" si="6"/>
        <v>PC26</v>
      </c>
      <c r="AD1138" s="36" t="str">
        <f>VLOOKUP(D1138,Oficial!A:C,3,0)</f>
        <v>Bienes y Servicios</v>
      </c>
    </row>
    <row r="1139" spans="1:30" x14ac:dyDescent="0.25">
      <c r="A1139" s="36" t="s">
        <v>27</v>
      </c>
      <c r="B1139" s="36" t="s">
        <v>1748</v>
      </c>
      <c r="C1139" s="36" t="s">
        <v>28</v>
      </c>
      <c r="D1139" s="36" t="s">
        <v>1748</v>
      </c>
      <c r="E1139" s="36" t="s">
        <v>30</v>
      </c>
      <c r="F1139" s="36" t="s">
        <v>569</v>
      </c>
      <c r="G1139" s="37">
        <v>2521</v>
      </c>
      <c r="H1139" s="36" t="s">
        <v>1749</v>
      </c>
      <c r="I1139" s="36" t="s">
        <v>1750</v>
      </c>
      <c r="J1139" s="36">
        <v>1</v>
      </c>
      <c r="K1139" s="36" t="s">
        <v>1751</v>
      </c>
      <c r="L1139" s="36">
        <v>4</v>
      </c>
      <c r="M1139" s="36">
        <v>1</v>
      </c>
      <c r="N1139" s="38">
        <v>10000000</v>
      </c>
      <c r="O1139" s="38">
        <v>10000000</v>
      </c>
      <c r="P1139" s="36">
        <v>1</v>
      </c>
      <c r="Q1139" s="40">
        <v>46023</v>
      </c>
      <c r="R1139" s="36" t="s">
        <v>1752</v>
      </c>
      <c r="S1139" s="36" t="s">
        <v>1753</v>
      </c>
      <c r="T1139" s="36" t="s">
        <v>1754</v>
      </c>
      <c r="U1139" s="36" t="s">
        <v>1755</v>
      </c>
      <c r="V1139" s="40">
        <v>46023</v>
      </c>
      <c r="W1139" s="36"/>
      <c r="X1139" s="36">
        <v>0</v>
      </c>
      <c r="Y1139" s="36"/>
      <c r="Z1139" s="36">
        <v>0</v>
      </c>
      <c r="AA1139" s="36">
        <v>0</v>
      </c>
      <c r="AB1139" s="36"/>
      <c r="AC1139" s="36" t="str">
        <f t="shared" si="6"/>
        <v>PC26</v>
      </c>
      <c r="AD1139" s="36" t="str">
        <f>VLOOKUP(D1139,Oficial!A:C,3,0)</f>
        <v>Bienes y Servicios</v>
      </c>
    </row>
    <row r="1140" spans="1:30" x14ac:dyDescent="0.25">
      <c r="A1140" s="36" t="s">
        <v>27</v>
      </c>
      <c r="B1140" s="36" t="s">
        <v>1756</v>
      </c>
      <c r="C1140" s="36" t="s">
        <v>28</v>
      </c>
      <c r="D1140" s="36" t="s">
        <v>1756</v>
      </c>
      <c r="E1140" s="36" t="s">
        <v>30</v>
      </c>
      <c r="F1140" s="36" t="s">
        <v>569</v>
      </c>
      <c r="G1140" s="37">
        <v>2524</v>
      </c>
      <c r="H1140" s="36" t="s">
        <v>1757</v>
      </c>
      <c r="I1140" s="36" t="s">
        <v>1758</v>
      </c>
      <c r="J1140" s="36">
        <v>1</v>
      </c>
      <c r="K1140" s="36" t="s">
        <v>1237</v>
      </c>
      <c r="L1140" s="36">
        <v>4</v>
      </c>
      <c r="M1140" s="36">
        <v>29</v>
      </c>
      <c r="N1140" s="38">
        <v>517242</v>
      </c>
      <c r="O1140" s="38">
        <v>15000018</v>
      </c>
      <c r="P1140" s="36">
        <v>1</v>
      </c>
      <c r="Q1140" s="40">
        <v>46266</v>
      </c>
      <c r="R1140" s="36" t="s">
        <v>1759</v>
      </c>
      <c r="S1140" s="36" t="s">
        <v>1760</v>
      </c>
      <c r="T1140" s="36" t="s">
        <v>1761</v>
      </c>
      <c r="U1140" s="36" t="s">
        <v>1762</v>
      </c>
      <c r="V1140" s="40">
        <v>46174</v>
      </c>
      <c r="W1140" s="36"/>
      <c r="X1140" s="36">
        <v>0</v>
      </c>
      <c r="Y1140" s="36"/>
      <c r="Z1140" s="36">
        <v>0</v>
      </c>
      <c r="AA1140" s="36">
        <v>0</v>
      </c>
      <c r="AB1140" s="36"/>
      <c r="AC1140" s="36" t="str">
        <f t="shared" si="6"/>
        <v>PC26</v>
      </c>
      <c r="AD1140" s="36" t="str">
        <f>VLOOKUP(D1140,Oficial!A:C,3,0)</f>
        <v>Bienes y Servicios</v>
      </c>
    </row>
    <row r="1141" spans="1:30" x14ac:dyDescent="0.25">
      <c r="A1141" s="36" t="s">
        <v>27</v>
      </c>
      <c r="B1141" s="36" t="s">
        <v>1763</v>
      </c>
      <c r="C1141" s="36" t="s">
        <v>28</v>
      </c>
      <c r="D1141" s="36" t="s">
        <v>1763</v>
      </c>
      <c r="E1141" s="36" t="s">
        <v>30</v>
      </c>
      <c r="F1141" s="36" t="s">
        <v>569</v>
      </c>
      <c r="G1141" s="37">
        <v>2525</v>
      </c>
      <c r="H1141" s="36" t="s">
        <v>1764</v>
      </c>
      <c r="I1141" s="36" t="s">
        <v>1765</v>
      </c>
      <c r="J1141" s="36">
        <v>1</v>
      </c>
      <c r="K1141" s="36" t="s">
        <v>1766</v>
      </c>
      <c r="L1141" s="36">
        <v>4</v>
      </c>
      <c r="M1141" s="36">
        <v>5</v>
      </c>
      <c r="N1141" s="38">
        <v>6000000</v>
      </c>
      <c r="O1141" s="38">
        <v>30000000</v>
      </c>
      <c r="P1141" s="36">
        <v>1</v>
      </c>
      <c r="Q1141" s="40">
        <v>46204</v>
      </c>
      <c r="R1141" s="36" t="s">
        <v>1759</v>
      </c>
      <c r="S1141" s="36" t="s">
        <v>1760</v>
      </c>
      <c r="T1141" s="36" t="s">
        <v>1761</v>
      </c>
      <c r="U1141" s="36" t="s">
        <v>1762</v>
      </c>
      <c r="V1141" s="40">
        <v>46174</v>
      </c>
      <c r="W1141" s="36"/>
      <c r="X1141" s="36">
        <v>0</v>
      </c>
      <c r="Y1141" s="36"/>
      <c r="Z1141" s="36">
        <v>0</v>
      </c>
      <c r="AA1141" s="36">
        <v>0</v>
      </c>
      <c r="AB1141" s="36"/>
      <c r="AC1141" s="36" t="str">
        <f t="shared" si="6"/>
        <v>PC26</v>
      </c>
      <c r="AD1141" s="36" t="str">
        <f>VLOOKUP(D1141,Oficial!A:C,3,0)</f>
        <v>Bienes y Servicios</v>
      </c>
    </row>
    <row r="1142" spans="1:30" x14ac:dyDescent="0.25">
      <c r="A1142" s="36" t="s">
        <v>27</v>
      </c>
      <c r="B1142" s="36" t="s">
        <v>1767</v>
      </c>
      <c r="C1142" s="36" t="s">
        <v>28</v>
      </c>
      <c r="D1142" s="36" t="s">
        <v>1767</v>
      </c>
      <c r="E1142" s="36" t="s">
        <v>30</v>
      </c>
      <c r="F1142" s="36" t="s">
        <v>569</v>
      </c>
      <c r="G1142" s="37">
        <v>2526</v>
      </c>
      <c r="H1142" s="36" t="s">
        <v>1768</v>
      </c>
      <c r="I1142" s="36" t="s">
        <v>1769</v>
      </c>
      <c r="J1142" s="36">
        <v>2</v>
      </c>
      <c r="K1142" s="36" t="s">
        <v>1599</v>
      </c>
      <c r="L1142" s="36">
        <v>4</v>
      </c>
      <c r="M1142" s="36">
        <v>2</v>
      </c>
      <c r="N1142" s="38">
        <v>65000</v>
      </c>
      <c r="O1142" s="38">
        <v>130000</v>
      </c>
      <c r="P1142" s="36">
        <v>1</v>
      </c>
      <c r="Q1142" s="40">
        <v>46082</v>
      </c>
      <c r="R1142" s="36" t="s">
        <v>1642</v>
      </c>
      <c r="S1142" s="36" t="s">
        <v>1643</v>
      </c>
      <c r="T1142" s="36" t="s">
        <v>1644</v>
      </c>
      <c r="U1142" s="36" t="s">
        <v>404</v>
      </c>
      <c r="V1142" s="40">
        <v>46082</v>
      </c>
      <c r="W1142" s="36"/>
      <c r="X1142" s="36">
        <v>0</v>
      </c>
      <c r="Y1142" s="36"/>
      <c r="Z1142" s="36">
        <v>0</v>
      </c>
      <c r="AA1142" s="36">
        <v>0</v>
      </c>
      <c r="AB1142" s="36"/>
      <c r="AC1142" s="36" t="str">
        <f t="shared" si="6"/>
        <v>PC26</v>
      </c>
      <c r="AD1142" s="36" t="str">
        <f>VLOOKUP(D1142,Oficial!A:C,3,0)</f>
        <v>Bienes y Servicios</v>
      </c>
    </row>
    <row r="1143" spans="1:30" x14ac:dyDescent="0.25">
      <c r="A1143" s="36" t="s">
        <v>27</v>
      </c>
      <c r="B1143" s="36" t="s">
        <v>1767</v>
      </c>
      <c r="C1143" s="36" t="s">
        <v>28</v>
      </c>
      <c r="D1143" s="36" t="s">
        <v>1767</v>
      </c>
      <c r="E1143" s="36" t="s">
        <v>30</v>
      </c>
      <c r="F1143" s="36" t="s">
        <v>569</v>
      </c>
      <c r="G1143" s="37">
        <v>2526</v>
      </c>
      <c r="H1143" s="36" t="s">
        <v>1768</v>
      </c>
      <c r="I1143" s="36" t="s">
        <v>1769</v>
      </c>
      <c r="J1143" s="36">
        <v>2</v>
      </c>
      <c r="K1143" s="36" t="s">
        <v>631</v>
      </c>
      <c r="L1143" s="36">
        <v>4</v>
      </c>
      <c r="M1143" s="36">
        <v>100</v>
      </c>
      <c r="N1143" s="38">
        <v>1500</v>
      </c>
      <c r="O1143" s="38">
        <v>150000</v>
      </c>
      <c r="P1143" s="36">
        <v>1</v>
      </c>
      <c r="Q1143" s="40">
        <v>46082</v>
      </c>
      <c r="R1143" s="36" t="s">
        <v>1642</v>
      </c>
      <c r="S1143" s="36" t="s">
        <v>1643</v>
      </c>
      <c r="T1143" s="36" t="s">
        <v>1644</v>
      </c>
      <c r="U1143" s="36" t="s">
        <v>404</v>
      </c>
      <c r="V1143" s="40">
        <v>46082</v>
      </c>
      <c r="W1143" s="36"/>
      <c r="X1143" s="36">
        <v>0</v>
      </c>
      <c r="Y1143" s="36"/>
      <c r="Z1143" s="36">
        <v>0</v>
      </c>
      <c r="AA1143" s="36">
        <v>0</v>
      </c>
      <c r="AB1143" s="36"/>
      <c r="AC1143" s="36" t="str">
        <f t="shared" si="6"/>
        <v>PC26</v>
      </c>
      <c r="AD1143" s="36" t="str">
        <f>VLOOKUP(D1143,Oficial!A:C,3,0)</f>
        <v>Bienes y Servicios</v>
      </c>
    </row>
    <row r="1144" spans="1:30" x14ac:dyDescent="0.25">
      <c r="A1144" s="36" t="s">
        <v>27</v>
      </c>
      <c r="B1144" s="36" t="s">
        <v>1770</v>
      </c>
      <c r="C1144" s="36" t="s">
        <v>28</v>
      </c>
      <c r="D1144" s="36" t="s">
        <v>1770</v>
      </c>
      <c r="E1144" s="36" t="s">
        <v>30</v>
      </c>
      <c r="F1144" s="36" t="s">
        <v>745</v>
      </c>
      <c r="G1144" s="37">
        <v>2527</v>
      </c>
      <c r="H1144" s="36" t="s">
        <v>1771</v>
      </c>
      <c r="I1144" s="36" t="s">
        <v>1772</v>
      </c>
      <c r="J1144" s="36">
        <v>1</v>
      </c>
      <c r="K1144" s="36" t="s">
        <v>1237</v>
      </c>
      <c r="L1144" s="36">
        <v>4</v>
      </c>
      <c r="M1144" s="36">
        <v>1</v>
      </c>
      <c r="N1144" s="38">
        <v>7000000</v>
      </c>
      <c r="O1144" s="38">
        <v>7000000</v>
      </c>
      <c r="P1144" s="36">
        <v>1</v>
      </c>
      <c r="Q1144" s="40">
        <v>46113</v>
      </c>
      <c r="R1144" s="36" t="s">
        <v>1773</v>
      </c>
      <c r="S1144" s="36" t="s">
        <v>1774</v>
      </c>
      <c r="T1144" s="36" t="s">
        <v>1775</v>
      </c>
      <c r="U1144" s="36" t="s">
        <v>1776</v>
      </c>
      <c r="V1144" s="40">
        <v>46113</v>
      </c>
      <c r="W1144" s="36"/>
      <c r="X1144" s="36">
        <v>0</v>
      </c>
      <c r="Y1144" s="36"/>
      <c r="Z1144" s="36">
        <v>0</v>
      </c>
      <c r="AA1144" s="36">
        <v>0</v>
      </c>
      <c r="AB1144" s="36"/>
      <c r="AC1144" s="36" t="str">
        <f t="shared" si="6"/>
        <v>PC26</v>
      </c>
      <c r="AD1144" s="36" t="str">
        <f>VLOOKUP(D1144,Oficial!A:C,3,0)</f>
        <v>Bienes y Servicios</v>
      </c>
    </row>
    <row r="1145" spans="1:30" x14ac:dyDescent="0.25">
      <c r="A1145" s="36" t="s">
        <v>27</v>
      </c>
      <c r="B1145" s="36" t="s">
        <v>1777</v>
      </c>
      <c r="C1145" s="36" t="s">
        <v>28</v>
      </c>
      <c r="D1145" s="36" t="s">
        <v>1777</v>
      </c>
      <c r="E1145" s="36" t="s">
        <v>30</v>
      </c>
      <c r="F1145" s="36" t="s">
        <v>569</v>
      </c>
      <c r="G1145" s="37">
        <v>2528</v>
      </c>
      <c r="H1145" s="36" t="s">
        <v>1778</v>
      </c>
      <c r="I1145" s="36" t="s">
        <v>1779</v>
      </c>
      <c r="J1145" s="36">
        <v>1</v>
      </c>
      <c r="K1145" s="36" t="s">
        <v>602</v>
      </c>
      <c r="L1145" s="36">
        <v>4</v>
      </c>
      <c r="M1145" s="36">
        <v>2</v>
      </c>
      <c r="N1145" s="38">
        <v>600000</v>
      </c>
      <c r="O1145" s="38">
        <v>1200000</v>
      </c>
      <c r="P1145" s="36">
        <v>1</v>
      </c>
      <c r="Q1145" s="40">
        <v>46143</v>
      </c>
      <c r="R1145" s="36" t="s">
        <v>1744</v>
      </c>
      <c r="S1145" s="36" t="s">
        <v>1745</v>
      </c>
      <c r="T1145" s="36" t="s">
        <v>1746</v>
      </c>
      <c r="U1145" s="36" t="s">
        <v>1747</v>
      </c>
      <c r="V1145" s="40">
        <v>46143</v>
      </c>
      <c r="W1145" s="36"/>
      <c r="X1145" s="36">
        <v>0</v>
      </c>
      <c r="Y1145" s="36"/>
      <c r="Z1145" s="36">
        <v>0</v>
      </c>
      <c r="AA1145" s="36">
        <v>0</v>
      </c>
      <c r="AB1145" s="36"/>
      <c r="AC1145" s="36" t="str">
        <f t="shared" si="6"/>
        <v>PC26</v>
      </c>
      <c r="AD1145" s="36" t="str">
        <f>VLOOKUP(D1145,Oficial!A:C,3,0)</f>
        <v>Bienes y Servicios</v>
      </c>
    </row>
    <row r="1146" spans="1:30" x14ac:dyDescent="0.25">
      <c r="A1146" s="36" t="s">
        <v>27</v>
      </c>
      <c r="B1146" s="36" t="s">
        <v>1780</v>
      </c>
      <c r="C1146" s="36" t="s">
        <v>28</v>
      </c>
      <c r="D1146" s="36" t="s">
        <v>1780</v>
      </c>
      <c r="E1146" s="36" t="s">
        <v>30</v>
      </c>
      <c r="F1146" s="36" t="s">
        <v>569</v>
      </c>
      <c r="G1146" s="37">
        <v>2529</v>
      </c>
      <c r="H1146" s="36" t="s">
        <v>1781</v>
      </c>
      <c r="I1146" s="36" t="s">
        <v>1782</v>
      </c>
      <c r="J1146" s="36">
        <v>1</v>
      </c>
      <c r="K1146" s="36" t="s">
        <v>359</v>
      </c>
      <c r="L1146" s="36">
        <v>4</v>
      </c>
      <c r="M1146" s="36">
        <v>1</v>
      </c>
      <c r="N1146" s="38">
        <v>150100</v>
      </c>
      <c r="O1146" s="38">
        <v>150100</v>
      </c>
      <c r="P1146" s="36">
        <v>1</v>
      </c>
      <c r="Q1146" s="40">
        <v>46082</v>
      </c>
      <c r="R1146" s="36" t="s">
        <v>1744</v>
      </c>
      <c r="S1146" s="36" t="s">
        <v>1745</v>
      </c>
      <c r="T1146" s="36" t="s">
        <v>1746</v>
      </c>
      <c r="U1146" s="36" t="s">
        <v>1747</v>
      </c>
      <c r="V1146" s="40">
        <v>46082</v>
      </c>
      <c r="W1146" s="36"/>
      <c r="X1146" s="36">
        <v>0</v>
      </c>
      <c r="Y1146" s="36"/>
      <c r="Z1146" s="36">
        <v>0</v>
      </c>
      <c r="AA1146" s="36">
        <v>0</v>
      </c>
      <c r="AB1146" s="36"/>
      <c r="AC1146" s="36" t="str">
        <f t="shared" si="6"/>
        <v>PC26</v>
      </c>
      <c r="AD1146" s="36" t="str">
        <f>VLOOKUP(D1146,Oficial!A:C,3,0)</f>
        <v>Bienes y Servicios</v>
      </c>
    </row>
    <row r="1147" spans="1:30" x14ac:dyDescent="0.25">
      <c r="A1147" s="36" t="s">
        <v>27</v>
      </c>
      <c r="B1147" s="36" t="s">
        <v>1783</v>
      </c>
      <c r="C1147" s="36" t="s">
        <v>28</v>
      </c>
      <c r="D1147" s="36" t="s">
        <v>1783</v>
      </c>
      <c r="E1147" s="36" t="s">
        <v>30</v>
      </c>
      <c r="F1147" s="36" t="s">
        <v>569</v>
      </c>
      <c r="G1147" s="37" t="s">
        <v>215</v>
      </c>
      <c r="H1147" s="36" t="s">
        <v>1784</v>
      </c>
      <c r="I1147" s="36" t="s">
        <v>1785</v>
      </c>
      <c r="J1147" s="36">
        <v>1</v>
      </c>
      <c r="K1147" s="36" t="s">
        <v>1786</v>
      </c>
      <c r="L1147" s="36">
        <v>4</v>
      </c>
      <c r="M1147" s="36">
        <v>5</v>
      </c>
      <c r="N1147" s="38">
        <v>300000</v>
      </c>
      <c r="O1147" s="38">
        <v>1500000</v>
      </c>
      <c r="P1147" s="36">
        <v>1</v>
      </c>
      <c r="Q1147" s="40">
        <v>46082</v>
      </c>
      <c r="R1147" s="36" t="s">
        <v>1773</v>
      </c>
      <c r="S1147" s="36" t="s">
        <v>1774</v>
      </c>
      <c r="T1147" s="36" t="s">
        <v>1775</v>
      </c>
      <c r="U1147" s="36" t="s">
        <v>1776</v>
      </c>
      <c r="V1147" s="40">
        <v>46082</v>
      </c>
      <c r="W1147" s="36"/>
      <c r="X1147" s="36">
        <v>0</v>
      </c>
      <c r="Y1147" s="36"/>
      <c r="Z1147" s="36">
        <v>0</v>
      </c>
      <c r="AA1147" s="36">
        <v>0</v>
      </c>
      <c r="AB1147" s="36"/>
      <c r="AC1147" s="36" t="str">
        <f t="shared" si="6"/>
        <v>PC26</v>
      </c>
      <c r="AD1147" s="36" t="str">
        <f>VLOOKUP(D1147,Oficial!A:C,3,0)</f>
        <v>Bienes y Servicios</v>
      </c>
    </row>
    <row r="1148" spans="1:30" x14ac:dyDescent="0.25">
      <c r="A1148" s="36" t="s">
        <v>27</v>
      </c>
      <c r="B1148" s="36" t="s">
        <v>1787</v>
      </c>
      <c r="C1148" s="36" t="s">
        <v>28</v>
      </c>
      <c r="D1148" s="36" t="s">
        <v>1787</v>
      </c>
      <c r="E1148" s="36" t="s">
        <v>30</v>
      </c>
      <c r="F1148" s="36" t="s">
        <v>569</v>
      </c>
      <c r="G1148" s="37">
        <v>2531</v>
      </c>
      <c r="H1148" s="36" t="s">
        <v>1788</v>
      </c>
      <c r="I1148" s="36" t="s">
        <v>1789</v>
      </c>
      <c r="J1148" s="36">
        <v>3</v>
      </c>
      <c r="K1148" s="36" t="s">
        <v>486</v>
      </c>
      <c r="L1148" s="36">
        <v>4</v>
      </c>
      <c r="M1148" s="36">
        <v>102</v>
      </c>
      <c r="N1148" s="38">
        <v>824</v>
      </c>
      <c r="O1148" s="38">
        <v>84048</v>
      </c>
      <c r="P1148" s="36">
        <v>1</v>
      </c>
      <c r="Q1148" s="40">
        <v>46266</v>
      </c>
      <c r="R1148" s="36" t="s">
        <v>1642</v>
      </c>
      <c r="S1148" s="36" t="s">
        <v>1643</v>
      </c>
      <c r="T1148" s="36" t="s">
        <v>1644</v>
      </c>
      <c r="U1148" s="36" t="s">
        <v>404</v>
      </c>
      <c r="V1148" s="40">
        <v>46266</v>
      </c>
      <c r="W1148" s="36"/>
      <c r="X1148" s="36">
        <v>0</v>
      </c>
      <c r="Y1148" s="36"/>
      <c r="Z1148" s="36">
        <v>0</v>
      </c>
      <c r="AA1148" s="36">
        <v>0</v>
      </c>
      <c r="AB1148" s="36"/>
      <c r="AC1148" s="36" t="str">
        <f t="shared" si="6"/>
        <v>PC26</v>
      </c>
      <c r="AD1148" s="36" t="str">
        <f>VLOOKUP(D1148,Oficial!A:C,3,0)</f>
        <v>Bienes y Servicios</v>
      </c>
    </row>
    <row r="1149" spans="1:30" x14ac:dyDescent="0.25">
      <c r="A1149" s="36" t="s">
        <v>27</v>
      </c>
      <c r="B1149" s="36" t="s">
        <v>1787</v>
      </c>
      <c r="C1149" s="36" t="s">
        <v>28</v>
      </c>
      <c r="D1149" s="36" t="s">
        <v>1787</v>
      </c>
      <c r="E1149" s="36" t="s">
        <v>30</v>
      </c>
      <c r="F1149" s="36" t="s">
        <v>569</v>
      </c>
      <c r="G1149" s="37">
        <v>2531</v>
      </c>
      <c r="H1149" s="36" t="s">
        <v>1788</v>
      </c>
      <c r="I1149" s="36" t="s">
        <v>1789</v>
      </c>
      <c r="J1149" s="36">
        <v>3</v>
      </c>
      <c r="K1149" s="36" t="s">
        <v>855</v>
      </c>
      <c r="L1149" s="36">
        <v>4</v>
      </c>
      <c r="M1149" s="36">
        <v>200</v>
      </c>
      <c r="N1149" s="38">
        <v>70</v>
      </c>
      <c r="O1149" s="38">
        <v>14000</v>
      </c>
      <c r="P1149" s="36">
        <v>1</v>
      </c>
      <c r="Q1149" s="40">
        <v>46266</v>
      </c>
      <c r="R1149" s="36" t="s">
        <v>1642</v>
      </c>
      <c r="S1149" s="36" t="s">
        <v>1643</v>
      </c>
      <c r="T1149" s="36" t="s">
        <v>1644</v>
      </c>
      <c r="U1149" s="36" t="s">
        <v>404</v>
      </c>
      <c r="V1149" s="40">
        <v>46266</v>
      </c>
      <c r="W1149" s="36"/>
      <c r="X1149" s="36">
        <v>0</v>
      </c>
      <c r="Y1149" s="36"/>
      <c r="Z1149" s="36">
        <v>0</v>
      </c>
      <c r="AA1149" s="36">
        <v>0</v>
      </c>
      <c r="AB1149" s="36"/>
      <c r="AC1149" s="36" t="str">
        <f t="shared" si="6"/>
        <v>PC26</v>
      </c>
      <c r="AD1149" s="36" t="str">
        <f>VLOOKUP(D1149,Oficial!A:C,3,0)</f>
        <v>Bienes y Servicios</v>
      </c>
    </row>
    <row r="1150" spans="1:30" x14ac:dyDescent="0.25">
      <c r="A1150" s="36" t="s">
        <v>27</v>
      </c>
      <c r="B1150" s="36" t="s">
        <v>1787</v>
      </c>
      <c r="C1150" s="36" t="s">
        <v>28</v>
      </c>
      <c r="D1150" s="36" t="s">
        <v>1787</v>
      </c>
      <c r="E1150" s="36" t="s">
        <v>30</v>
      </c>
      <c r="F1150" s="36" t="s">
        <v>569</v>
      </c>
      <c r="G1150" s="37">
        <v>2531</v>
      </c>
      <c r="H1150" s="36" t="s">
        <v>1788</v>
      </c>
      <c r="I1150" s="36" t="s">
        <v>1789</v>
      </c>
      <c r="J1150" s="36">
        <v>3</v>
      </c>
      <c r="K1150" s="36" t="s">
        <v>359</v>
      </c>
      <c r="L1150" s="36">
        <v>4</v>
      </c>
      <c r="M1150" s="36">
        <v>4</v>
      </c>
      <c r="N1150" s="38">
        <v>5125</v>
      </c>
      <c r="O1150" s="38">
        <v>20500</v>
      </c>
      <c r="P1150" s="36">
        <v>1</v>
      </c>
      <c r="Q1150" s="40">
        <v>46266</v>
      </c>
      <c r="R1150" s="36" t="s">
        <v>1642</v>
      </c>
      <c r="S1150" s="36" t="s">
        <v>1643</v>
      </c>
      <c r="T1150" s="36" t="s">
        <v>1644</v>
      </c>
      <c r="U1150" s="36" t="s">
        <v>404</v>
      </c>
      <c r="V1150" s="40">
        <v>46266</v>
      </c>
      <c r="W1150" s="36"/>
      <c r="X1150" s="36">
        <v>0</v>
      </c>
      <c r="Y1150" s="36"/>
      <c r="Z1150" s="36">
        <v>0</v>
      </c>
      <c r="AA1150" s="36">
        <v>0</v>
      </c>
      <c r="AB1150" s="36"/>
      <c r="AC1150" s="36" t="str">
        <f t="shared" si="6"/>
        <v>PC26</v>
      </c>
      <c r="AD1150" s="36" t="str">
        <f>VLOOKUP(D1150,Oficial!A:C,3,0)</f>
        <v>Bienes y Servicios</v>
      </c>
    </row>
    <row r="1151" spans="1:30" x14ac:dyDescent="0.25">
      <c r="A1151" s="36" t="s">
        <v>27</v>
      </c>
      <c r="B1151" s="36" t="s">
        <v>1790</v>
      </c>
      <c r="C1151" s="36" t="s">
        <v>28</v>
      </c>
      <c r="D1151" s="36" t="s">
        <v>1790</v>
      </c>
      <c r="E1151" s="36" t="s">
        <v>30</v>
      </c>
      <c r="F1151" s="36" t="s">
        <v>569</v>
      </c>
      <c r="G1151" s="37">
        <v>2532</v>
      </c>
      <c r="H1151" s="36" t="s">
        <v>1791</v>
      </c>
      <c r="I1151" s="36" t="s">
        <v>1792</v>
      </c>
      <c r="J1151" s="36">
        <v>1</v>
      </c>
      <c r="K1151" s="36" t="s">
        <v>910</v>
      </c>
      <c r="L1151" s="36">
        <v>4</v>
      </c>
      <c r="M1151" s="36">
        <v>1</v>
      </c>
      <c r="N1151" s="38">
        <v>1000000</v>
      </c>
      <c r="O1151" s="38">
        <v>1000000</v>
      </c>
      <c r="P1151" s="36">
        <v>1</v>
      </c>
      <c r="Q1151" s="40">
        <v>46054</v>
      </c>
      <c r="R1151" s="36" t="s">
        <v>1773</v>
      </c>
      <c r="S1151" s="36" t="s">
        <v>1774</v>
      </c>
      <c r="T1151" s="36" t="s">
        <v>1775</v>
      </c>
      <c r="U1151" s="36" t="s">
        <v>1776</v>
      </c>
      <c r="V1151" s="40">
        <v>46054</v>
      </c>
      <c r="W1151" s="36"/>
      <c r="X1151" s="36">
        <v>0</v>
      </c>
      <c r="Y1151" s="36"/>
      <c r="Z1151" s="36">
        <v>0</v>
      </c>
      <c r="AA1151" s="36">
        <v>0</v>
      </c>
      <c r="AB1151" s="36"/>
      <c r="AC1151" s="36" t="str">
        <f t="shared" si="6"/>
        <v>PC26</v>
      </c>
      <c r="AD1151" s="36" t="str">
        <f>VLOOKUP(D1151,Oficial!A:C,3,0)</f>
        <v>Bienes y Servicios</v>
      </c>
    </row>
    <row r="1152" spans="1:30" x14ac:dyDescent="0.25">
      <c r="A1152" s="36" t="s">
        <v>27</v>
      </c>
      <c r="B1152" s="36" t="s">
        <v>1793</v>
      </c>
      <c r="C1152" s="36" t="s">
        <v>28</v>
      </c>
      <c r="D1152" s="36" t="s">
        <v>1793</v>
      </c>
      <c r="E1152" s="36" t="s">
        <v>30</v>
      </c>
      <c r="F1152" s="36" t="s">
        <v>569</v>
      </c>
      <c r="G1152" s="37">
        <v>2534</v>
      </c>
      <c r="H1152" s="36" t="s">
        <v>1794</v>
      </c>
      <c r="I1152" s="36" t="s">
        <v>1795</v>
      </c>
      <c r="J1152" s="36">
        <v>2</v>
      </c>
      <c r="K1152" s="36" t="s">
        <v>1796</v>
      </c>
      <c r="L1152" s="36">
        <v>4</v>
      </c>
      <c r="M1152" s="36">
        <v>4</v>
      </c>
      <c r="N1152" s="38">
        <v>16250</v>
      </c>
      <c r="O1152" s="38">
        <v>65000</v>
      </c>
      <c r="P1152" s="36">
        <v>1</v>
      </c>
      <c r="Q1152" s="40">
        <v>46023</v>
      </c>
      <c r="R1152" s="36" t="s">
        <v>1797</v>
      </c>
      <c r="S1152" s="36" t="s">
        <v>1798</v>
      </c>
      <c r="T1152" s="36" t="s">
        <v>1799</v>
      </c>
      <c r="U1152" s="36" t="s">
        <v>1800</v>
      </c>
      <c r="V1152" s="40">
        <v>46023</v>
      </c>
      <c r="W1152" s="36"/>
      <c r="X1152" s="36">
        <v>0</v>
      </c>
      <c r="Y1152" s="36"/>
      <c r="Z1152" s="36">
        <v>0</v>
      </c>
      <c r="AA1152" s="36">
        <v>0</v>
      </c>
      <c r="AB1152" s="36"/>
      <c r="AC1152" s="36" t="str">
        <f t="shared" si="6"/>
        <v>PC26</v>
      </c>
      <c r="AD1152" s="36" t="str">
        <f>VLOOKUP(D1152,Oficial!A:C,3,0)</f>
        <v>Bienes y Servicios</v>
      </c>
    </row>
    <row r="1153" spans="1:30" x14ac:dyDescent="0.25">
      <c r="A1153" s="36" t="s">
        <v>27</v>
      </c>
      <c r="B1153" s="36" t="s">
        <v>1793</v>
      </c>
      <c r="C1153" s="36" t="s">
        <v>28</v>
      </c>
      <c r="D1153" s="36" t="s">
        <v>1793</v>
      </c>
      <c r="E1153" s="36" t="s">
        <v>30</v>
      </c>
      <c r="F1153" s="36" t="s">
        <v>569</v>
      </c>
      <c r="G1153" s="37">
        <v>2534</v>
      </c>
      <c r="H1153" s="36" t="s">
        <v>1794</v>
      </c>
      <c r="I1153" s="36" t="s">
        <v>1795</v>
      </c>
      <c r="J1153" s="36">
        <v>2</v>
      </c>
      <c r="K1153" s="36" t="s">
        <v>1801</v>
      </c>
      <c r="L1153" s="36">
        <v>4</v>
      </c>
      <c r="M1153" s="36">
        <v>1</v>
      </c>
      <c r="N1153" s="38">
        <v>45000</v>
      </c>
      <c r="O1153" s="38">
        <v>45000</v>
      </c>
      <c r="P1153" s="36">
        <v>1</v>
      </c>
      <c r="Q1153" s="40">
        <v>46023</v>
      </c>
      <c r="R1153" s="36" t="s">
        <v>1797</v>
      </c>
      <c r="S1153" s="36" t="s">
        <v>1798</v>
      </c>
      <c r="T1153" s="36" t="s">
        <v>1799</v>
      </c>
      <c r="U1153" s="36" t="s">
        <v>1800</v>
      </c>
      <c r="V1153" s="40">
        <v>46023</v>
      </c>
      <c r="W1153" s="36"/>
      <c r="X1153" s="36">
        <v>0</v>
      </c>
      <c r="Y1153" s="36"/>
      <c r="Z1153" s="36">
        <v>0</v>
      </c>
      <c r="AA1153" s="36">
        <v>0</v>
      </c>
      <c r="AB1153" s="36"/>
      <c r="AC1153" s="36" t="str">
        <f t="shared" si="6"/>
        <v>PC26</v>
      </c>
      <c r="AD1153" s="36" t="str">
        <f>VLOOKUP(D1153,Oficial!A:C,3,0)</f>
        <v>Bienes y Servicios</v>
      </c>
    </row>
    <row r="1154" spans="1:30" x14ac:dyDescent="0.25">
      <c r="A1154" s="36" t="s">
        <v>27</v>
      </c>
      <c r="B1154" s="36" t="s">
        <v>1802</v>
      </c>
      <c r="C1154" s="36" t="s">
        <v>28</v>
      </c>
      <c r="D1154" s="36" t="s">
        <v>1802</v>
      </c>
      <c r="E1154" s="36" t="s">
        <v>30</v>
      </c>
      <c r="F1154" s="36" t="s">
        <v>569</v>
      </c>
      <c r="G1154" s="37" t="s">
        <v>483</v>
      </c>
      <c r="H1154" s="36" t="s">
        <v>1803</v>
      </c>
      <c r="I1154" s="36" t="s">
        <v>1804</v>
      </c>
      <c r="J1154" s="36">
        <v>1</v>
      </c>
      <c r="K1154" s="36" t="s">
        <v>486</v>
      </c>
      <c r="L1154" s="36">
        <v>4</v>
      </c>
      <c r="M1154" s="36">
        <v>200</v>
      </c>
      <c r="N1154" s="38">
        <v>3000</v>
      </c>
      <c r="O1154" s="38">
        <v>600000</v>
      </c>
      <c r="P1154" s="36">
        <v>1</v>
      </c>
      <c r="Q1154" s="40">
        <v>46054</v>
      </c>
      <c r="R1154" s="36" t="s">
        <v>1805</v>
      </c>
      <c r="S1154" s="36" t="s">
        <v>1806</v>
      </c>
      <c r="T1154" s="36" t="s">
        <v>1724</v>
      </c>
      <c r="U1154" s="36" t="s">
        <v>525</v>
      </c>
      <c r="V1154" s="40">
        <v>46054</v>
      </c>
      <c r="W1154" s="36"/>
      <c r="X1154" s="36">
        <v>0</v>
      </c>
      <c r="Y1154" s="36"/>
      <c r="Z1154" s="36">
        <v>0</v>
      </c>
      <c r="AA1154" s="36">
        <v>0</v>
      </c>
      <c r="AB1154" s="36"/>
      <c r="AC1154" s="36" t="str">
        <f t="shared" si="6"/>
        <v>PC26</v>
      </c>
      <c r="AD1154" s="36" t="str">
        <f>VLOOKUP(D1154,Oficial!A:C,3,0)</f>
        <v>Bienes y Servicios</v>
      </c>
    </row>
    <row r="1155" spans="1:30" x14ac:dyDescent="0.25">
      <c r="A1155" s="36" t="s">
        <v>27</v>
      </c>
      <c r="B1155" s="36" t="s">
        <v>1807</v>
      </c>
      <c r="C1155" s="36" t="s">
        <v>28</v>
      </c>
      <c r="D1155" s="36" t="s">
        <v>1807</v>
      </c>
      <c r="E1155" s="36" t="s">
        <v>30</v>
      </c>
      <c r="F1155" s="36" t="s">
        <v>569</v>
      </c>
      <c r="G1155" s="37">
        <v>2537</v>
      </c>
      <c r="H1155" s="36" t="s">
        <v>1808</v>
      </c>
      <c r="I1155" s="36" t="s">
        <v>1809</v>
      </c>
      <c r="J1155" s="36">
        <v>1</v>
      </c>
      <c r="K1155" s="36" t="s">
        <v>1810</v>
      </c>
      <c r="L1155" s="36">
        <v>4</v>
      </c>
      <c r="M1155" s="36">
        <v>1</v>
      </c>
      <c r="N1155" s="38">
        <v>10000000</v>
      </c>
      <c r="O1155" s="38">
        <v>10000000</v>
      </c>
      <c r="P1155" s="36">
        <v>1</v>
      </c>
      <c r="Q1155" s="40">
        <v>46023</v>
      </c>
      <c r="R1155" s="36" t="s">
        <v>1752</v>
      </c>
      <c r="S1155" s="36" t="s">
        <v>1753</v>
      </c>
      <c r="T1155" s="36" t="s">
        <v>1754</v>
      </c>
      <c r="U1155" s="36" t="s">
        <v>1755</v>
      </c>
      <c r="V1155" s="40">
        <v>46023</v>
      </c>
      <c r="W1155" s="36"/>
      <c r="X1155" s="36">
        <v>0</v>
      </c>
      <c r="Y1155" s="36"/>
      <c r="Z1155" s="36">
        <v>0</v>
      </c>
      <c r="AA1155" s="36">
        <v>0</v>
      </c>
      <c r="AB1155" s="36"/>
      <c r="AC1155" s="36" t="str">
        <f t="shared" si="6"/>
        <v>PC26</v>
      </c>
      <c r="AD1155" s="36" t="str">
        <f>VLOOKUP(D1155,Oficial!A:C,3,0)</f>
        <v>Bienes y Servicios</v>
      </c>
    </row>
    <row r="1156" spans="1:30" x14ac:dyDescent="0.25">
      <c r="A1156" s="36" t="s">
        <v>27</v>
      </c>
      <c r="B1156" s="36" t="s">
        <v>1811</v>
      </c>
      <c r="C1156" s="36" t="s">
        <v>28</v>
      </c>
      <c r="D1156" s="36" t="s">
        <v>1811</v>
      </c>
      <c r="E1156" s="36" t="s">
        <v>30</v>
      </c>
      <c r="F1156" s="36" t="s">
        <v>569</v>
      </c>
      <c r="G1156" s="37" t="s">
        <v>800</v>
      </c>
      <c r="H1156" s="36" t="s">
        <v>1812</v>
      </c>
      <c r="I1156" s="36" t="s">
        <v>1813</v>
      </c>
      <c r="J1156" s="36">
        <v>1</v>
      </c>
      <c r="K1156" s="36" t="s">
        <v>1814</v>
      </c>
      <c r="L1156" s="36">
        <v>4</v>
      </c>
      <c r="M1156" s="36">
        <v>20</v>
      </c>
      <c r="N1156" s="38">
        <v>25000</v>
      </c>
      <c r="O1156" s="38">
        <v>500000</v>
      </c>
      <c r="P1156" s="36">
        <v>1</v>
      </c>
      <c r="Q1156" s="40">
        <v>46023</v>
      </c>
      <c r="R1156" s="36" t="s">
        <v>1797</v>
      </c>
      <c r="S1156" s="36" t="s">
        <v>1798</v>
      </c>
      <c r="T1156" s="36" t="s">
        <v>1799</v>
      </c>
      <c r="U1156" s="36" t="s">
        <v>1800</v>
      </c>
      <c r="V1156" s="40">
        <v>46023</v>
      </c>
      <c r="W1156" s="36"/>
      <c r="X1156" s="36">
        <v>0</v>
      </c>
      <c r="Y1156" s="36"/>
      <c r="Z1156" s="36">
        <v>0</v>
      </c>
      <c r="AA1156" s="36">
        <v>0</v>
      </c>
      <c r="AB1156" s="36"/>
      <c r="AC1156" s="36" t="str">
        <f t="shared" si="6"/>
        <v>PC26</v>
      </c>
      <c r="AD1156" s="36" t="str">
        <f>VLOOKUP(D1156,Oficial!A:C,3,0)</f>
        <v>Bienes y Servicios</v>
      </c>
    </row>
    <row r="1157" spans="1:30" x14ac:dyDescent="0.25">
      <c r="A1157" s="36" t="s">
        <v>27</v>
      </c>
      <c r="B1157" s="36" t="s">
        <v>1815</v>
      </c>
      <c r="C1157" s="36" t="s">
        <v>28</v>
      </c>
      <c r="D1157" s="36" t="s">
        <v>1815</v>
      </c>
      <c r="E1157" s="36" t="s">
        <v>30</v>
      </c>
      <c r="F1157" s="36" t="s">
        <v>569</v>
      </c>
      <c r="G1157" s="37">
        <v>2542</v>
      </c>
      <c r="H1157" s="36" t="s">
        <v>1816</v>
      </c>
      <c r="I1157" s="36" t="s">
        <v>1817</v>
      </c>
      <c r="J1157" s="36">
        <v>1</v>
      </c>
      <c r="K1157" s="36" t="s">
        <v>1179</v>
      </c>
      <c r="L1157" s="36">
        <v>4</v>
      </c>
      <c r="M1157" s="36">
        <v>13</v>
      </c>
      <c r="N1157" s="38">
        <v>34616</v>
      </c>
      <c r="O1157" s="38">
        <v>450008</v>
      </c>
      <c r="P1157" s="36">
        <v>1</v>
      </c>
      <c r="Q1157" s="40">
        <v>46113</v>
      </c>
      <c r="R1157" s="36" t="s">
        <v>1642</v>
      </c>
      <c r="S1157" s="36" t="s">
        <v>1643</v>
      </c>
      <c r="T1157" s="36" t="s">
        <v>1644</v>
      </c>
      <c r="U1157" s="36" t="s">
        <v>404</v>
      </c>
      <c r="V1157" s="40">
        <v>46113</v>
      </c>
      <c r="W1157" s="36"/>
      <c r="X1157" s="36">
        <v>0</v>
      </c>
      <c r="Y1157" s="36"/>
      <c r="Z1157" s="36">
        <v>0</v>
      </c>
      <c r="AA1157" s="36">
        <v>0</v>
      </c>
      <c r="AB1157" s="36"/>
      <c r="AC1157" s="36" t="str">
        <f t="shared" si="6"/>
        <v>PC26</v>
      </c>
      <c r="AD1157" s="36" t="str">
        <f>VLOOKUP(D1157,Oficial!A:C,3,0)</f>
        <v>Bienes y Servicios</v>
      </c>
    </row>
    <row r="1158" spans="1:30" x14ac:dyDescent="0.25">
      <c r="A1158" s="36" t="s">
        <v>27</v>
      </c>
      <c r="B1158" s="36" t="s">
        <v>1818</v>
      </c>
      <c r="C1158" s="36" t="s">
        <v>28</v>
      </c>
      <c r="D1158" s="36" t="s">
        <v>1818</v>
      </c>
      <c r="E1158" s="36" t="s">
        <v>30</v>
      </c>
      <c r="F1158" s="36" t="s">
        <v>569</v>
      </c>
      <c r="G1158" s="37">
        <v>2545</v>
      </c>
      <c r="H1158" s="36" t="s">
        <v>1819</v>
      </c>
      <c r="I1158" s="36" t="s">
        <v>1820</v>
      </c>
      <c r="J1158" s="36">
        <v>1</v>
      </c>
      <c r="K1158" s="36" t="s">
        <v>1174</v>
      </c>
      <c r="L1158" s="36">
        <v>4</v>
      </c>
      <c r="M1158" s="36">
        <v>1000</v>
      </c>
      <c r="N1158" s="38">
        <v>700</v>
      </c>
      <c r="O1158" s="38">
        <v>700000</v>
      </c>
      <c r="P1158" s="36">
        <v>1</v>
      </c>
      <c r="Q1158" s="40">
        <v>46174</v>
      </c>
      <c r="R1158" s="36" t="s">
        <v>1723</v>
      </c>
      <c r="S1158" s="36" t="s">
        <v>154</v>
      </c>
      <c r="T1158" s="36" t="s">
        <v>1724</v>
      </c>
      <c r="U1158" s="36" t="s">
        <v>156</v>
      </c>
      <c r="V1158" s="40">
        <v>46174</v>
      </c>
      <c r="W1158" s="36"/>
      <c r="X1158" s="36">
        <v>0</v>
      </c>
      <c r="Y1158" s="36"/>
      <c r="Z1158" s="36">
        <v>0</v>
      </c>
      <c r="AA1158" s="36">
        <v>0</v>
      </c>
      <c r="AB1158" s="36"/>
      <c r="AC1158" s="36" t="str">
        <f t="shared" si="6"/>
        <v>PC26</v>
      </c>
      <c r="AD1158" s="36" t="str">
        <f>VLOOKUP(D1158,Oficial!A:C,3,0)</f>
        <v>Bienes y Servicios</v>
      </c>
    </row>
    <row r="1159" spans="1:30" x14ac:dyDescent="0.25">
      <c r="A1159" s="36" t="s">
        <v>27</v>
      </c>
      <c r="B1159" s="36" t="s">
        <v>1821</v>
      </c>
      <c r="C1159" s="36" t="s">
        <v>28</v>
      </c>
      <c r="D1159" s="36" t="s">
        <v>1821</v>
      </c>
      <c r="E1159" s="36" t="s">
        <v>30</v>
      </c>
      <c r="F1159" s="36" t="s">
        <v>569</v>
      </c>
      <c r="G1159" s="37">
        <v>2547</v>
      </c>
      <c r="H1159" s="36" t="s">
        <v>1822</v>
      </c>
      <c r="I1159" s="36" t="s">
        <v>1823</v>
      </c>
      <c r="J1159" s="36">
        <v>1</v>
      </c>
      <c r="K1159" s="36" t="s">
        <v>1262</v>
      </c>
      <c r="L1159" s="36">
        <v>4</v>
      </c>
      <c r="M1159" s="36">
        <v>720</v>
      </c>
      <c r="N1159" s="38">
        <v>2778</v>
      </c>
      <c r="O1159" s="38">
        <v>2000160</v>
      </c>
      <c r="P1159" s="36">
        <v>1</v>
      </c>
      <c r="Q1159" s="40">
        <v>46113</v>
      </c>
      <c r="R1159" s="36" t="s">
        <v>1723</v>
      </c>
      <c r="S1159" s="36" t="s">
        <v>154</v>
      </c>
      <c r="T1159" s="36" t="s">
        <v>1724</v>
      </c>
      <c r="U1159" s="36" t="s">
        <v>156</v>
      </c>
      <c r="V1159" s="40">
        <v>46113</v>
      </c>
      <c r="W1159" s="36"/>
      <c r="X1159" s="36">
        <v>0</v>
      </c>
      <c r="Y1159" s="36"/>
      <c r="Z1159" s="36">
        <v>0</v>
      </c>
      <c r="AA1159" s="36">
        <v>0</v>
      </c>
      <c r="AB1159" s="36"/>
      <c r="AC1159" s="36" t="str">
        <f t="shared" si="6"/>
        <v>PC26</v>
      </c>
      <c r="AD1159" s="36" t="str">
        <f>VLOOKUP(D1159,Oficial!A:C,3,0)</f>
        <v>Bienes y Servicios</v>
      </c>
    </row>
    <row r="1160" spans="1:30" x14ac:dyDescent="0.25">
      <c r="A1160" s="36" t="s">
        <v>27</v>
      </c>
      <c r="B1160" s="36" t="s">
        <v>1824</v>
      </c>
      <c r="C1160" s="36" t="s">
        <v>28</v>
      </c>
      <c r="D1160" s="36" t="s">
        <v>1824</v>
      </c>
      <c r="E1160" s="36" t="s">
        <v>30</v>
      </c>
      <c r="F1160" s="36" t="s">
        <v>569</v>
      </c>
      <c r="G1160" s="37">
        <v>2548</v>
      </c>
      <c r="H1160" s="36" t="s">
        <v>1825</v>
      </c>
      <c r="I1160" s="36" t="s">
        <v>1826</v>
      </c>
      <c r="J1160" s="36">
        <v>1</v>
      </c>
      <c r="K1160" s="36" t="s">
        <v>602</v>
      </c>
      <c r="L1160" s="36">
        <v>4</v>
      </c>
      <c r="M1160" s="36">
        <v>1</v>
      </c>
      <c r="N1160" s="38">
        <v>420000</v>
      </c>
      <c r="O1160" s="38">
        <v>420000</v>
      </c>
      <c r="P1160" s="36">
        <v>1</v>
      </c>
      <c r="Q1160" s="40">
        <v>46113</v>
      </c>
      <c r="R1160" s="36" t="s">
        <v>1805</v>
      </c>
      <c r="S1160" s="36" t="s">
        <v>1806</v>
      </c>
      <c r="T1160" s="36" t="s">
        <v>1724</v>
      </c>
      <c r="U1160" s="36" t="s">
        <v>525</v>
      </c>
      <c r="V1160" s="40">
        <v>46113</v>
      </c>
      <c r="W1160" s="36"/>
      <c r="X1160" s="36">
        <v>0</v>
      </c>
      <c r="Y1160" s="36"/>
      <c r="Z1160" s="36">
        <v>0</v>
      </c>
      <c r="AA1160" s="36">
        <v>0</v>
      </c>
      <c r="AB1160" s="36"/>
      <c r="AC1160" s="36" t="str">
        <f t="shared" si="6"/>
        <v>PC26</v>
      </c>
      <c r="AD1160" s="36" t="str">
        <f>VLOOKUP(D1160,Oficial!A:C,3,0)</f>
        <v>Bienes y Servicios</v>
      </c>
    </row>
    <row r="1161" spans="1:30" x14ac:dyDescent="0.25">
      <c r="A1161" s="36" t="s">
        <v>27</v>
      </c>
      <c r="B1161" s="36" t="s">
        <v>1827</v>
      </c>
      <c r="C1161" s="36" t="s">
        <v>594</v>
      </c>
      <c r="D1161" s="36" t="s">
        <v>1827</v>
      </c>
      <c r="E1161" s="36" t="s">
        <v>45</v>
      </c>
      <c r="F1161" s="36" t="s">
        <v>569</v>
      </c>
      <c r="G1161" s="37">
        <v>2549</v>
      </c>
      <c r="H1161" s="36" t="s">
        <v>1828</v>
      </c>
      <c r="I1161" s="36" t="s">
        <v>1829</v>
      </c>
      <c r="J1161" s="36">
        <v>1</v>
      </c>
      <c r="K1161" s="36" t="s">
        <v>1830</v>
      </c>
      <c r="L1161" s="36">
        <v>4</v>
      </c>
      <c r="M1161" s="36">
        <v>12</v>
      </c>
      <c r="N1161" s="38">
        <v>600000</v>
      </c>
      <c r="O1161" s="38">
        <v>7200000</v>
      </c>
      <c r="P1161" s="36">
        <v>1</v>
      </c>
      <c r="Q1161" s="40">
        <v>46023</v>
      </c>
      <c r="R1161" s="36" t="s">
        <v>1723</v>
      </c>
      <c r="S1161" s="36" t="s">
        <v>1831</v>
      </c>
      <c r="T1161" s="36" t="s">
        <v>1724</v>
      </c>
      <c r="U1161" s="36" t="s">
        <v>156</v>
      </c>
      <c r="V1161" s="40">
        <v>46023</v>
      </c>
      <c r="W1161" s="36"/>
      <c r="X1161" s="36">
        <v>0</v>
      </c>
      <c r="Y1161" s="36"/>
      <c r="Z1161" s="36">
        <v>0</v>
      </c>
      <c r="AA1161" s="36">
        <v>0</v>
      </c>
      <c r="AB1161" s="36"/>
      <c r="AC1161" s="36" t="str">
        <f t="shared" si="6"/>
        <v>PC26</v>
      </c>
      <c r="AD1161" s="36" t="str">
        <f>VLOOKUP(D1161,Oficial!A:C,3,0)</f>
        <v>Compras Convenio GORE Region de Los Lagos</v>
      </c>
    </row>
    <row r="1162" spans="1:30" x14ac:dyDescent="0.25">
      <c r="A1162" s="36" t="s">
        <v>27</v>
      </c>
      <c r="B1162" s="36" t="s">
        <v>1832</v>
      </c>
      <c r="C1162" s="36" t="s">
        <v>28</v>
      </c>
      <c r="D1162" s="36" t="s">
        <v>1832</v>
      </c>
      <c r="E1162" s="36" t="s">
        <v>30</v>
      </c>
      <c r="F1162" s="36" t="s">
        <v>569</v>
      </c>
      <c r="G1162" s="37">
        <v>2552</v>
      </c>
      <c r="H1162" s="36" t="s">
        <v>1833</v>
      </c>
      <c r="I1162" s="36" t="s">
        <v>1834</v>
      </c>
      <c r="J1162" s="36">
        <v>2</v>
      </c>
      <c r="K1162" s="36" t="s">
        <v>486</v>
      </c>
      <c r="L1162" s="36">
        <v>4</v>
      </c>
      <c r="M1162" s="36">
        <v>1000</v>
      </c>
      <c r="N1162" s="38">
        <v>400</v>
      </c>
      <c r="O1162" s="38">
        <v>400000</v>
      </c>
      <c r="P1162" s="36">
        <v>1</v>
      </c>
      <c r="Q1162" s="40">
        <v>46174</v>
      </c>
      <c r="R1162" s="36" t="s">
        <v>1642</v>
      </c>
      <c r="S1162" s="36" t="s">
        <v>1643</v>
      </c>
      <c r="T1162" s="36" t="s">
        <v>1644</v>
      </c>
      <c r="U1162" s="36" t="s">
        <v>404</v>
      </c>
      <c r="V1162" s="40">
        <v>46174</v>
      </c>
      <c r="W1162" s="36"/>
      <c r="X1162" s="36">
        <v>0</v>
      </c>
      <c r="Y1162" s="36"/>
      <c r="Z1162" s="36">
        <v>0</v>
      </c>
      <c r="AA1162" s="36">
        <v>0</v>
      </c>
      <c r="AB1162" s="36"/>
      <c r="AC1162" s="36" t="str">
        <f t="shared" si="6"/>
        <v>PC26</v>
      </c>
      <c r="AD1162" s="36" t="str">
        <f>VLOOKUP(D1162,Oficial!A:C,3,0)</f>
        <v>Bienes y Servicios</v>
      </c>
    </row>
    <row r="1163" spans="1:30" x14ac:dyDescent="0.25">
      <c r="A1163" s="36" t="s">
        <v>27</v>
      </c>
      <c r="B1163" s="36" t="s">
        <v>1832</v>
      </c>
      <c r="C1163" s="36" t="s">
        <v>28</v>
      </c>
      <c r="D1163" s="36" t="s">
        <v>1832</v>
      </c>
      <c r="E1163" s="36" t="s">
        <v>30</v>
      </c>
      <c r="F1163" s="36" t="s">
        <v>569</v>
      </c>
      <c r="G1163" s="37">
        <v>2552</v>
      </c>
      <c r="H1163" s="36" t="s">
        <v>1833</v>
      </c>
      <c r="I1163" s="36" t="s">
        <v>1834</v>
      </c>
      <c r="J1163" s="36">
        <v>2</v>
      </c>
      <c r="K1163" s="36" t="s">
        <v>1565</v>
      </c>
      <c r="L1163" s="36">
        <v>4</v>
      </c>
      <c r="M1163" s="36">
        <v>3000</v>
      </c>
      <c r="N1163" s="38">
        <v>200</v>
      </c>
      <c r="O1163" s="38">
        <v>600000</v>
      </c>
      <c r="P1163" s="36">
        <v>1</v>
      </c>
      <c r="Q1163" s="40">
        <v>46174</v>
      </c>
      <c r="R1163" s="36" t="s">
        <v>1642</v>
      </c>
      <c r="S1163" s="36" t="s">
        <v>1643</v>
      </c>
      <c r="T1163" s="36" t="s">
        <v>1644</v>
      </c>
      <c r="U1163" s="36" t="s">
        <v>404</v>
      </c>
      <c r="V1163" s="40">
        <v>46174</v>
      </c>
      <c r="W1163" s="36"/>
      <c r="X1163" s="36">
        <v>0</v>
      </c>
      <c r="Y1163" s="36"/>
      <c r="Z1163" s="36">
        <v>0</v>
      </c>
      <c r="AA1163" s="36">
        <v>0</v>
      </c>
      <c r="AB1163" s="36"/>
      <c r="AC1163" s="36" t="str">
        <f t="shared" si="6"/>
        <v>PC26</v>
      </c>
      <c r="AD1163" s="36" t="str">
        <f>VLOOKUP(D1163,Oficial!A:C,3,0)</f>
        <v>Bienes y Servicios</v>
      </c>
    </row>
    <row r="1164" spans="1:30" x14ac:dyDescent="0.25">
      <c r="A1164" s="36" t="s">
        <v>27</v>
      </c>
      <c r="B1164" s="36" t="s">
        <v>1835</v>
      </c>
      <c r="C1164" s="36" t="s">
        <v>28</v>
      </c>
      <c r="D1164" s="36" t="s">
        <v>1835</v>
      </c>
      <c r="E1164" s="36" t="s">
        <v>30</v>
      </c>
      <c r="F1164" s="36" t="s">
        <v>569</v>
      </c>
      <c r="G1164" s="37">
        <v>2554</v>
      </c>
      <c r="H1164" s="36" t="s">
        <v>1836</v>
      </c>
      <c r="I1164" s="36" t="s">
        <v>1837</v>
      </c>
      <c r="J1164" s="36">
        <v>1</v>
      </c>
      <c r="K1164" s="36" t="s">
        <v>1838</v>
      </c>
      <c r="L1164" s="36">
        <v>4</v>
      </c>
      <c r="M1164" s="36">
        <v>380</v>
      </c>
      <c r="N1164" s="38">
        <v>1158</v>
      </c>
      <c r="O1164" s="38">
        <v>440040</v>
      </c>
      <c r="P1164" s="36">
        <v>1</v>
      </c>
      <c r="Q1164" s="40">
        <v>46235</v>
      </c>
      <c r="R1164" s="36" t="s">
        <v>1642</v>
      </c>
      <c r="S1164" s="36" t="s">
        <v>1643</v>
      </c>
      <c r="T1164" s="36" t="s">
        <v>1644</v>
      </c>
      <c r="U1164" s="36" t="s">
        <v>404</v>
      </c>
      <c r="V1164" s="40">
        <v>46235</v>
      </c>
      <c r="W1164" s="36"/>
      <c r="X1164" s="36">
        <v>0</v>
      </c>
      <c r="Y1164" s="36"/>
      <c r="Z1164" s="36">
        <v>0</v>
      </c>
      <c r="AA1164" s="36">
        <v>0</v>
      </c>
      <c r="AB1164" s="36"/>
      <c r="AC1164" s="36" t="str">
        <f t="shared" si="6"/>
        <v>PC26</v>
      </c>
      <c r="AD1164" s="36" t="str">
        <f>VLOOKUP(D1164,Oficial!A:C,3,0)</f>
        <v>Bienes y Servicios</v>
      </c>
    </row>
    <row r="1165" spans="1:30" x14ac:dyDescent="0.25">
      <c r="A1165" s="36" t="s">
        <v>27</v>
      </c>
      <c r="B1165" s="36" t="s">
        <v>1839</v>
      </c>
      <c r="C1165" s="36" t="s">
        <v>28</v>
      </c>
      <c r="D1165" s="36" t="s">
        <v>1839</v>
      </c>
      <c r="E1165" s="36" t="s">
        <v>30</v>
      </c>
      <c r="F1165" s="36" t="s">
        <v>569</v>
      </c>
      <c r="G1165" s="37" t="s">
        <v>606</v>
      </c>
      <c r="H1165" s="36" t="s">
        <v>1840</v>
      </c>
      <c r="I1165" s="36" t="s">
        <v>1841</v>
      </c>
      <c r="J1165" s="36">
        <v>1</v>
      </c>
      <c r="K1165" s="36" t="s">
        <v>1262</v>
      </c>
      <c r="L1165" s="36">
        <v>4</v>
      </c>
      <c r="M1165" s="36">
        <v>1000</v>
      </c>
      <c r="N1165" s="38">
        <v>2578</v>
      </c>
      <c r="O1165" s="38">
        <v>2578000</v>
      </c>
      <c r="P1165" s="36">
        <v>1</v>
      </c>
      <c r="Q1165" s="40">
        <v>46113</v>
      </c>
      <c r="R1165" s="36" t="s">
        <v>1572</v>
      </c>
      <c r="S1165" s="36" t="s">
        <v>1573</v>
      </c>
      <c r="T1165" s="36" t="s">
        <v>1154</v>
      </c>
      <c r="U1165" s="36" t="s">
        <v>1574</v>
      </c>
      <c r="V1165" s="40">
        <v>46113</v>
      </c>
      <c r="W1165" s="36"/>
      <c r="X1165" s="36">
        <v>0</v>
      </c>
      <c r="Y1165" s="36"/>
      <c r="Z1165" s="36">
        <v>0</v>
      </c>
      <c r="AA1165" s="36">
        <v>0</v>
      </c>
      <c r="AB1165" s="36"/>
      <c r="AC1165" s="36" t="str">
        <f t="shared" si="6"/>
        <v>PC26</v>
      </c>
      <c r="AD1165" s="36" t="str">
        <f>VLOOKUP(D1165,Oficial!A:C,3,0)</f>
        <v>Bienes y Servicios</v>
      </c>
    </row>
    <row r="1166" spans="1:30" x14ac:dyDescent="0.25">
      <c r="A1166" s="36" t="s">
        <v>27</v>
      </c>
      <c r="B1166" s="36" t="s">
        <v>1842</v>
      </c>
      <c r="C1166" s="36" t="s">
        <v>28</v>
      </c>
      <c r="D1166" s="36" t="s">
        <v>1842</v>
      </c>
      <c r="E1166" s="36" t="s">
        <v>30</v>
      </c>
      <c r="F1166" s="36" t="s">
        <v>569</v>
      </c>
      <c r="G1166" s="37">
        <v>2556</v>
      </c>
      <c r="H1166" s="36" t="s">
        <v>1843</v>
      </c>
      <c r="I1166" s="36" t="s">
        <v>1843</v>
      </c>
      <c r="J1166" s="36">
        <v>1</v>
      </c>
      <c r="K1166" s="36" t="s">
        <v>1844</v>
      </c>
      <c r="L1166" s="36">
        <v>4</v>
      </c>
      <c r="M1166" s="36">
        <v>12</v>
      </c>
      <c r="N1166" s="38">
        <v>250000</v>
      </c>
      <c r="O1166" s="38">
        <v>3000000</v>
      </c>
      <c r="P1166" s="36">
        <v>1</v>
      </c>
      <c r="Q1166" s="40">
        <v>46143</v>
      </c>
      <c r="R1166" s="36" t="s">
        <v>122</v>
      </c>
      <c r="S1166" s="36" t="s">
        <v>544</v>
      </c>
      <c r="T1166" s="36" t="s">
        <v>1244</v>
      </c>
      <c r="U1166" s="36" t="s">
        <v>58</v>
      </c>
      <c r="V1166" s="40">
        <v>46143</v>
      </c>
      <c r="W1166" s="36"/>
      <c r="X1166" s="36">
        <v>0</v>
      </c>
      <c r="Y1166" s="36"/>
      <c r="Z1166" s="36">
        <v>0</v>
      </c>
      <c r="AA1166" s="36">
        <v>0</v>
      </c>
      <c r="AB1166" s="36"/>
      <c r="AC1166" s="36" t="str">
        <f t="shared" si="6"/>
        <v>PC26</v>
      </c>
      <c r="AD1166" s="36" t="str">
        <f>VLOOKUP(D1166,Oficial!A:C,3,0)</f>
        <v>Bienes y Servicios</v>
      </c>
    </row>
    <row r="1167" spans="1:30" x14ac:dyDescent="0.25">
      <c r="A1167" s="36" t="s">
        <v>27</v>
      </c>
      <c r="B1167" s="36" t="s">
        <v>1845</v>
      </c>
      <c r="C1167" s="36" t="s">
        <v>28</v>
      </c>
      <c r="D1167" s="36" t="s">
        <v>1845</v>
      </c>
      <c r="E1167" s="36" t="s">
        <v>30</v>
      </c>
      <c r="F1167" s="36" t="s">
        <v>569</v>
      </c>
      <c r="G1167" s="37" t="s">
        <v>654</v>
      </c>
      <c r="H1167" s="36" t="s">
        <v>1846</v>
      </c>
      <c r="I1167" s="36" t="s">
        <v>1847</v>
      </c>
      <c r="J1167" s="36">
        <v>1</v>
      </c>
      <c r="K1167" s="36" t="s">
        <v>602</v>
      </c>
      <c r="L1167" s="36">
        <v>4</v>
      </c>
      <c r="M1167" s="36">
        <v>1</v>
      </c>
      <c r="N1167" s="38">
        <v>1428000</v>
      </c>
      <c r="O1167" s="38">
        <v>1428000</v>
      </c>
      <c r="P1167" s="36">
        <v>1</v>
      </c>
      <c r="Q1167" s="40">
        <v>46266</v>
      </c>
      <c r="R1167" s="36" t="s">
        <v>1572</v>
      </c>
      <c r="S1167" s="36" t="s">
        <v>1573</v>
      </c>
      <c r="T1167" s="36" t="s">
        <v>1154</v>
      </c>
      <c r="U1167" s="36" t="s">
        <v>1574</v>
      </c>
      <c r="V1167" s="40">
        <v>46266</v>
      </c>
      <c r="W1167" s="36"/>
      <c r="X1167" s="36">
        <v>0</v>
      </c>
      <c r="Y1167" s="36"/>
      <c r="Z1167" s="36">
        <v>0</v>
      </c>
      <c r="AA1167" s="36">
        <v>0</v>
      </c>
      <c r="AB1167" s="36"/>
      <c r="AC1167" s="36" t="str">
        <f t="shared" si="6"/>
        <v>PC26</v>
      </c>
      <c r="AD1167" s="36" t="str">
        <f>VLOOKUP(D1167,Oficial!A:C,3,0)</f>
        <v>Bienes y Servicios</v>
      </c>
    </row>
    <row r="1168" spans="1:30" x14ac:dyDescent="0.25">
      <c r="A1168" s="36" t="s">
        <v>27</v>
      </c>
      <c r="B1168" s="36" t="s">
        <v>1848</v>
      </c>
      <c r="C1168" s="36" t="s">
        <v>28</v>
      </c>
      <c r="D1168" s="36" t="s">
        <v>1848</v>
      </c>
      <c r="E1168" s="36" t="s">
        <v>30</v>
      </c>
      <c r="F1168" s="36" t="s">
        <v>569</v>
      </c>
      <c r="G1168" s="37">
        <v>2558</v>
      </c>
      <c r="H1168" s="36" t="s">
        <v>1849</v>
      </c>
      <c r="I1168" s="36" t="s">
        <v>1850</v>
      </c>
      <c r="J1168" s="36">
        <v>1</v>
      </c>
      <c r="K1168" s="36" t="s">
        <v>1851</v>
      </c>
      <c r="L1168" s="36">
        <v>4</v>
      </c>
      <c r="M1168" s="36">
        <v>6000</v>
      </c>
      <c r="N1168" s="38">
        <v>1500</v>
      </c>
      <c r="O1168" s="38">
        <v>9000000</v>
      </c>
      <c r="P1168" s="36">
        <v>1</v>
      </c>
      <c r="Q1168" s="40">
        <v>46082</v>
      </c>
      <c r="R1168" s="36" t="s">
        <v>414</v>
      </c>
      <c r="S1168" s="36" t="s">
        <v>1852</v>
      </c>
      <c r="T1168" s="36" t="s">
        <v>1706</v>
      </c>
      <c r="U1168" s="36" t="s">
        <v>417</v>
      </c>
      <c r="V1168" s="40">
        <v>46082</v>
      </c>
      <c r="W1168" s="36"/>
      <c r="X1168" s="36">
        <v>0</v>
      </c>
      <c r="Y1168" s="36"/>
      <c r="Z1168" s="36">
        <v>0</v>
      </c>
      <c r="AA1168" s="36">
        <v>0</v>
      </c>
      <c r="AB1168" s="36"/>
      <c r="AC1168" s="36" t="str">
        <f t="shared" si="6"/>
        <v>PC26</v>
      </c>
      <c r="AD1168" s="36" t="str">
        <f>VLOOKUP(D1168,Oficial!A:C,3,0)</f>
        <v>Bienes y Servicios</v>
      </c>
    </row>
    <row r="1169" spans="1:30" x14ac:dyDescent="0.25">
      <c r="A1169" s="36" t="s">
        <v>27</v>
      </c>
      <c r="B1169" s="36" t="s">
        <v>1853</v>
      </c>
      <c r="C1169" s="36" t="s">
        <v>28</v>
      </c>
      <c r="D1169" s="36" t="s">
        <v>1853</v>
      </c>
      <c r="E1169" s="36" t="s">
        <v>30</v>
      </c>
      <c r="F1169" s="36" t="s">
        <v>569</v>
      </c>
      <c r="G1169" s="37">
        <v>2558</v>
      </c>
      <c r="H1169" s="36" t="s">
        <v>1854</v>
      </c>
      <c r="I1169" s="36" t="s">
        <v>1855</v>
      </c>
      <c r="J1169" s="36">
        <v>1</v>
      </c>
      <c r="K1169" s="36" t="s">
        <v>1175</v>
      </c>
      <c r="L1169" s="36">
        <v>4</v>
      </c>
      <c r="M1169" s="36">
        <v>240</v>
      </c>
      <c r="N1169" s="38">
        <v>12500</v>
      </c>
      <c r="O1169" s="38">
        <v>3000000</v>
      </c>
      <c r="P1169" s="36">
        <v>1</v>
      </c>
      <c r="Q1169" s="40">
        <v>46054</v>
      </c>
      <c r="R1169" s="36" t="s">
        <v>1445</v>
      </c>
      <c r="S1169" s="36" t="s">
        <v>1446</v>
      </c>
      <c r="T1169" s="36" t="s">
        <v>1447</v>
      </c>
      <c r="U1169" s="36" t="s">
        <v>1448</v>
      </c>
      <c r="V1169" s="40">
        <v>46054</v>
      </c>
      <c r="W1169" s="36"/>
      <c r="X1169" s="36">
        <v>0</v>
      </c>
      <c r="Y1169" s="36"/>
      <c r="Z1169" s="36">
        <v>0</v>
      </c>
      <c r="AA1169" s="36">
        <v>0</v>
      </c>
      <c r="AB1169" s="36"/>
      <c r="AC1169" s="36" t="str">
        <f t="shared" si="6"/>
        <v>PC26</v>
      </c>
      <c r="AD1169" s="36" t="str">
        <f>VLOOKUP(D1169,Oficial!A:C,3,0)</f>
        <v>Bienes y Servicios</v>
      </c>
    </row>
    <row r="1170" spans="1:30" x14ac:dyDescent="0.25">
      <c r="A1170" s="36" t="s">
        <v>27</v>
      </c>
      <c r="B1170" s="36" t="s">
        <v>1856</v>
      </c>
      <c r="C1170" s="36" t="s">
        <v>28</v>
      </c>
      <c r="D1170" s="36" t="s">
        <v>1856</v>
      </c>
      <c r="E1170" s="36" t="s">
        <v>30</v>
      </c>
      <c r="F1170" s="36" t="s">
        <v>569</v>
      </c>
      <c r="G1170" s="37">
        <v>2562</v>
      </c>
      <c r="H1170" s="36" t="s">
        <v>1857</v>
      </c>
      <c r="I1170" s="36" t="s">
        <v>1858</v>
      </c>
      <c r="J1170" s="36">
        <v>1</v>
      </c>
      <c r="K1170" s="36" t="s">
        <v>1859</v>
      </c>
      <c r="L1170" s="36">
        <v>4</v>
      </c>
      <c r="M1170" s="36">
        <v>2</v>
      </c>
      <c r="N1170" s="38">
        <v>625000</v>
      </c>
      <c r="O1170" s="38">
        <v>1250000</v>
      </c>
      <c r="P1170" s="36">
        <v>1</v>
      </c>
      <c r="Q1170" s="40">
        <v>46174</v>
      </c>
      <c r="R1170" s="36" t="s">
        <v>761</v>
      </c>
      <c r="S1170" s="36" t="s">
        <v>762</v>
      </c>
      <c r="T1170" s="36" t="s">
        <v>763</v>
      </c>
      <c r="U1170" s="36" t="s">
        <v>764</v>
      </c>
      <c r="V1170" s="40">
        <v>46174</v>
      </c>
      <c r="W1170" s="36"/>
      <c r="X1170" s="36">
        <v>0</v>
      </c>
      <c r="Y1170" s="36"/>
      <c r="Z1170" s="36">
        <v>0</v>
      </c>
      <c r="AA1170" s="36">
        <v>0</v>
      </c>
      <c r="AB1170" s="36"/>
      <c r="AC1170" s="36" t="str">
        <f t="shared" si="6"/>
        <v>PC26</v>
      </c>
      <c r="AD1170" s="36" t="str">
        <f>VLOOKUP(D1170,Oficial!A:C,3,0)</f>
        <v>Bienes y Servicios</v>
      </c>
    </row>
    <row r="1171" spans="1:30" x14ac:dyDescent="0.25">
      <c r="A1171" s="36" t="s">
        <v>27</v>
      </c>
      <c r="B1171" s="36" t="s">
        <v>1860</v>
      </c>
      <c r="C1171" s="36" t="s">
        <v>28</v>
      </c>
      <c r="D1171" s="36" t="s">
        <v>1860</v>
      </c>
      <c r="E1171" s="36" t="s">
        <v>30</v>
      </c>
      <c r="F1171" s="36" t="s">
        <v>569</v>
      </c>
      <c r="G1171" s="37">
        <v>2563</v>
      </c>
      <c r="H1171" s="36" t="s">
        <v>1861</v>
      </c>
      <c r="I1171" s="36" t="s">
        <v>1862</v>
      </c>
      <c r="J1171" s="36">
        <v>3</v>
      </c>
      <c r="K1171" s="36" t="s">
        <v>486</v>
      </c>
      <c r="L1171" s="36">
        <v>4</v>
      </c>
      <c r="M1171" s="36">
        <v>172</v>
      </c>
      <c r="N1171" s="38">
        <v>1576</v>
      </c>
      <c r="O1171" s="38">
        <v>271072</v>
      </c>
      <c r="P1171" s="36">
        <v>1</v>
      </c>
      <c r="Q1171" s="40">
        <v>46054</v>
      </c>
      <c r="R1171" s="36" t="s">
        <v>1797</v>
      </c>
      <c r="S1171" s="36" t="s">
        <v>1798</v>
      </c>
      <c r="T1171" s="36" t="s">
        <v>1799</v>
      </c>
      <c r="U1171" s="36" t="s">
        <v>1800</v>
      </c>
      <c r="V1171" s="40">
        <v>46023</v>
      </c>
      <c r="W1171" s="36"/>
      <c r="X1171" s="36">
        <v>0</v>
      </c>
      <c r="Y1171" s="36"/>
      <c r="Z1171" s="36">
        <v>0</v>
      </c>
      <c r="AA1171" s="36">
        <v>0</v>
      </c>
      <c r="AB1171" s="36"/>
      <c r="AC1171" s="36" t="str">
        <f t="shared" si="6"/>
        <v>PC26</v>
      </c>
      <c r="AD1171" s="36" t="str">
        <f>VLOOKUP(D1171,Oficial!A:C,3,0)</f>
        <v>Bienes y Servicios</v>
      </c>
    </row>
    <row r="1172" spans="1:30" x14ac:dyDescent="0.25">
      <c r="A1172" s="36" t="s">
        <v>27</v>
      </c>
      <c r="B1172" s="36" t="s">
        <v>1860</v>
      </c>
      <c r="C1172" s="36" t="s">
        <v>28</v>
      </c>
      <c r="D1172" s="36" t="s">
        <v>1860</v>
      </c>
      <c r="E1172" s="36" t="s">
        <v>30</v>
      </c>
      <c r="F1172" s="36" t="s">
        <v>569</v>
      </c>
      <c r="G1172" s="37">
        <v>2563</v>
      </c>
      <c r="H1172" s="36" t="s">
        <v>1861</v>
      </c>
      <c r="I1172" s="36" t="s">
        <v>1862</v>
      </c>
      <c r="J1172" s="36">
        <v>3</v>
      </c>
      <c r="K1172" s="36" t="s">
        <v>1863</v>
      </c>
      <c r="L1172" s="36">
        <v>4</v>
      </c>
      <c r="M1172" s="36">
        <v>6</v>
      </c>
      <c r="N1172" s="38">
        <v>20000</v>
      </c>
      <c r="O1172" s="38">
        <v>120000</v>
      </c>
      <c r="P1172" s="36">
        <v>1</v>
      </c>
      <c r="Q1172" s="40">
        <v>46054</v>
      </c>
      <c r="R1172" s="36" t="s">
        <v>1797</v>
      </c>
      <c r="S1172" s="36" t="s">
        <v>1798</v>
      </c>
      <c r="T1172" s="36" t="s">
        <v>1799</v>
      </c>
      <c r="U1172" s="36" t="s">
        <v>1800</v>
      </c>
      <c r="V1172" s="40">
        <v>46023</v>
      </c>
      <c r="W1172" s="36"/>
      <c r="X1172" s="36">
        <v>0</v>
      </c>
      <c r="Y1172" s="36"/>
      <c r="Z1172" s="36">
        <v>0</v>
      </c>
      <c r="AA1172" s="36">
        <v>0</v>
      </c>
      <c r="AB1172" s="36"/>
      <c r="AC1172" s="36" t="str">
        <f t="shared" si="6"/>
        <v>PC26</v>
      </c>
      <c r="AD1172" s="36" t="str">
        <f>VLOOKUP(D1172,Oficial!A:C,3,0)</f>
        <v>Bienes y Servicios</v>
      </c>
    </row>
    <row r="1173" spans="1:30" x14ac:dyDescent="0.25">
      <c r="A1173" s="36" t="s">
        <v>27</v>
      </c>
      <c r="B1173" s="36" t="s">
        <v>1860</v>
      </c>
      <c r="C1173" s="36" t="s">
        <v>28</v>
      </c>
      <c r="D1173" s="36" t="s">
        <v>1860</v>
      </c>
      <c r="E1173" s="36" t="s">
        <v>30</v>
      </c>
      <c r="F1173" s="36" t="s">
        <v>569</v>
      </c>
      <c r="G1173" s="37">
        <v>2563</v>
      </c>
      <c r="H1173" s="36" t="s">
        <v>1861</v>
      </c>
      <c r="I1173" s="36" t="s">
        <v>1862</v>
      </c>
      <c r="J1173" s="36">
        <v>3</v>
      </c>
      <c r="K1173" s="36" t="s">
        <v>1864</v>
      </c>
      <c r="L1173" s="36">
        <v>4</v>
      </c>
      <c r="M1173" s="36">
        <v>18</v>
      </c>
      <c r="N1173" s="38">
        <v>3223</v>
      </c>
      <c r="O1173" s="38">
        <v>58014</v>
      </c>
      <c r="P1173" s="36">
        <v>1</v>
      </c>
      <c r="Q1173" s="40">
        <v>46054</v>
      </c>
      <c r="R1173" s="36" t="s">
        <v>1797</v>
      </c>
      <c r="S1173" s="36" t="s">
        <v>1798</v>
      </c>
      <c r="T1173" s="36" t="s">
        <v>1799</v>
      </c>
      <c r="U1173" s="36" t="s">
        <v>1800</v>
      </c>
      <c r="V1173" s="40">
        <v>46023</v>
      </c>
      <c r="W1173" s="36"/>
      <c r="X1173" s="36">
        <v>0</v>
      </c>
      <c r="Y1173" s="36"/>
      <c r="Z1173" s="36">
        <v>0</v>
      </c>
      <c r="AA1173" s="36">
        <v>0</v>
      </c>
      <c r="AB1173" s="36"/>
      <c r="AC1173" s="36" t="str">
        <f t="shared" si="6"/>
        <v>PC26</v>
      </c>
      <c r="AD1173" s="36" t="str">
        <f>VLOOKUP(D1173,Oficial!A:C,3,0)</f>
        <v>Bienes y Servicios</v>
      </c>
    </row>
    <row r="1174" spans="1:30" x14ac:dyDescent="0.25">
      <c r="A1174" s="36" t="s">
        <v>27</v>
      </c>
      <c r="B1174" s="36" t="s">
        <v>1865</v>
      </c>
      <c r="C1174" s="36" t="s">
        <v>28</v>
      </c>
      <c r="D1174" s="36" t="s">
        <v>1865</v>
      </c>
      <c r="E1174" s="36" t="s">
        <v>30</v>
      </c>
      <c r="F1174" s="36" t="s">
        <v>569</v>
      </c>
      <c r="G1174" s="37" t="s">
        <v>654</v>
      </c>
      <c r="H1174" s="36" t="s">
        <v>1866</v>
      </c>
      <c r="I1174" s="36" t="s">
        <v>1867</v>
      </c>
      <c r="J1174" s="36">
        <v>2</v>
      </c>
      <c r="K1174" s="36" t="s">
        <v>359</v>
      </c>
      <c r="L1174" s="36">
        <v>4</v>
      </c>
      <c r="M1174" s="36">
        <v>85</v>
      </c>
      <c r="N1174" s="38">
        <v>4530</v>
      </c>
      <c r="O1174" s="38">
        <v>385050</v>
      </c>
      <c r="P1174" s="36">
        <v>1</v>
      </c>
      <c r="Q1174" s="40">
        <v>46023</v>
      </c>
      <c r="R1174" s="36" t="s">
        <v>1868</v>
      </c>
      <c r="S1174" s="36" t="s">
        <v>1869</v>
      </c>
      <c r="T1174" s="36" t="s">
        <v>1870</v>
      </c>
      <c r="U1174" s="36" t="s">
        <v>1871</v>
      </c>
      <c r="V1174" s="40">
        <v>46023</v>
      </c>
      <c r="W1174" s="36"/>
      <c r="X1174" s="36">
        <v>0</v>
      </c>
      <c r="Y1174" s="36"/>
      <c r="Z1174" s="36">
        <v>0</v>
      </c>
      <c r="AA1174" s="36">
        <v>0</v>
      </c>
      <c r="AB1174" s="36"/>
      <c r="AC1174" s="36" t="str">
        <f t="shared" si="6"/>
        <v>PC26</v>
      </c>
      <c r="AD1174" s="36" t="str">
        <f>VLOOKUP(D1174,Oficial!A:C,3,0)</f>
        <v>Bienes y Servicios</v>
      </c>
    </row>
    <row r="1175" spans="1:30" x14ac:dyDescent="0.25">
      <c r="A1175" s="36" t="s">
        <v>27</v>
      </c>
      <c r="B1175" s="36" t="s">
        <v>1865</v>
      </c>
      <c r="C1175" s="36" t="s">
        <v>28</v>
      </c>
      <c r="D1175" s="36" t="s">
        <v>1865</v>
      </c>
      <c r="E1175" s="36" t="s">
        <v>30</v>
      </c>
      <c r="F1175" s="36" t="s">
        <v>569</v>
      </c>
      <c r="G1175" s="37" t="s">
        <v>654</v>
      </c>
      <c r="H1175" s="36" t="s">
        <v>1866</v>
      </c>
      <c r="I1175" s="36" t="s">
        <v>1867</v>
      </c>
      <c r="J1175" s="36">
        <v>2</v>
      </c>
      <c r="K1175" s="36" t="s">
        <v>855</v>
      </c>
      <c r="L1175" s="36">
        <v>4</v>
      </c>
      <c r="M1175" s="36">
        <v>2030</v>
      </c>
      <c r="N1175" s="38">
        <v>60</v>
      </c>
      <c r="O1175" s="38">
        <v>121800</v>
      </c>
      <c r="P1175" s="36">
        <v>1</v>
      </c>
      <c r="Q1175" s="40">
        <v>46023</v>
      </c>
      <c r="R1175" s="36" t="s">
        <v>1868</v>
      </c>
      <c r="S1175" s="36" t="s">
        <v>1869</v>
      </c>
      <c r="T1175" s="36" t="s">
        <v>1870</v>
      </c>
      <c r="U1175" s="36" t="s">
        <v>1871</v>
      </c>
      <c r="V1175" s="40">
        <v>46023</v>
      </c>
      <c r="W1175" s="36"/>
      <c r="X1175" s="36">
        <v>0</v>
      </c>
      <c r="Y1175" s="36"/>
      <c r="Z1175" s="36">
        <v>0</v>
      </c>
      <c r="AA1175" s="36">
        <v>0</v>
      </c>
      <c r="AB1175" s="36"/>
      <c r="AC1175" s="36" t="str">
        <f t="shared" ref="AC1175:AC1238" si="7">RIGHT(D1175,4)</f>
        <v>PC26</v>
      </c>
      <c r="AD1175" s="36" t="str">
        <f>VLOOKUP(D1175,Oficial!A:C,3,0)</f>
        <v>Bienes y Servicios</v>
      </c>
    </row>
    <row r="1176" spans="1:30" x14ac:dyDescent="0.25">
      <c r="A1176" s="36" t="s">
        <v>27</v>
      </c>
      <c r="B1176" s="36" t="s">
        <v>1872</v>
      </c>
      <c r="C1176" s="36" t="s">
        <v>28</v>
      </c>
      <c r="D1176" s="36" t="s">
        <v>1872</v>
      </c>
      <c r="E1176" s="36" t="s">
        <v>30</v>
      </c>
      <c r="F1176" s="36" t="s">
        <v>569</v>
      </c>
      <c r="G1176" s="37">
        <v>2565</v>
      </c>
      <c r="H1176" s="36" t="s">
        <v>1873</v>
      </c>
      <c r="I1176" s="36" t="s">
        <v>1874</v>
      </c>
      <c r="J1176" s="36">
        <v>3</v>
      </c>
      <c r="K1176" s="36" t="s">
        <v>486</v>
      </c>
      <c r="L1176" s="36">
        <v>4</v>
      </c>
      <c r="M1176" s="36">
        <v>137</v>
      </c>
      <c r="N1176" s="38">
        <v>964</v>
      </c>
      <c r="O1176" s="38">
        <v>132068</v>
      </c>
      <c r="P1176" s="36">
        <v>1</v>
      </c>
      <c r="Q1176" s="40">
        <v>46082</v>
      </c>
      <c r="R1176" s="36" t="s">
        <v>1875</v>
      </c>
      <c r="S1176" s="36" t="s">
        <v>1876</v>
      </c>
      <c r="T1176" s="36" t="s">
        <v>1799</v>
      </c>
      <c r="U1176" s="36" t="s">
        <v>1877</v>
      </c>
      <c r="V1176" s="40">
        <v>46082</v>
      </c>
      <c r="W1176" s="36"/>
      <c r="X1176" s="36">
        <v>0</v>
      </c>
      <c r="Y1176" s="36"/>
      <c r="Z1176" s="36">
        <v>0</v>
      </c>
      <c r="AA1176" s="36">
        <v>0</v>
      </c>
      <c r="AB1176" s="36"/>
      <c r="AC1176" s="36" t="str">
        <f t="shared" si="7"/>
        <v>PC26</v>
      </c>
      <c r="AD1176" s="36" t="str">
        <f>VLOOKUP(D1176,Oficial!A:C,3,0)</f>
        <v>Bienes y Servicios</v>
      </c>
    </row>
    <row r="1177" spans="1:30" x14ac:dyDescent="0.25">
      <c r="A1177" s="36" t="s">
        <v>27</v>
      </c>
      <c r="B1177" s="36" t="s">
        <v>1872</v>
      </c>
      <c r="C1177" s="36" t="s">
        <v>28</v>
      </c>
      <c r="D1177" s="36" t="s">
        <v>1872</v>
      </c>
      <c r="E1177" s="36" t="s">
        <v>30</v>
      </c>
      <c r="F1177" s="36" t="s">
        <v>569</v>
      </c>
      <c r="G1177" s="37">
        <v>2565</v>
      </c>
      <c r="H1177" s="36" t="s">
        <v>1873</v>
      </c>
      <c r="I1177" s="36" t="s">
        <v>1874</v>
      </c>
      <c r="J1177" s="36">
        <v>3</v>
      </c>
      <c r="K1177" s="36" t="s">
        <v>1878</v>
      </c>
      <c r="L1177" s="36">
        <v>4</v>
      </c>
      <c r="M1177" s="36">
        <v>40</v>
      </c>
      <c r="N1177" s="38">
        <v>7625</v>
      </c>
      <c r="O1177" s="38">
        <v>305000</v>
      </c>
      <c r="P1177" s="36">
        <v>1</v>
      </c>
      <c r="Q1177" s="40">
        <v>46082</v>
      </c>
      <c r="R1177" s="36" t="s">
        <v>1875</v>
      </c>
      <c r="S1177" s="36" t="s">
        <v>1876</v>
      </c>
      <c r="T1177" s="36" t="s">
        <v>1799</v>
      </c>
      <c r="U1177" s="36" t="s">
        <v>1877</v>
      </c>
      <c r="V1177" s="40">
        <v>46082</v>
      </c>
      <c r="W1177" s="36"/>
      <c r="X1177" s="36">
        <v>0</v>
      </c>
      <c r="Y1177" s="36"/>
      <c r="Z1177" s="36">
        <v>0</v>
      </c>
      <c r="AA1177" s="36">
        <v>0</v>
      </c>
      <c r="AB1177" s="36"/>
      <c r="AC1177" s="36" t="str">
        <f t="shared" si="7"/>
        <v>PC26</v>
      </c>
      <c r="AD1177" s="36" t="str">
        <f>VLOOKUP(D1177,Oficial!A:C,3,0)</f>
        <v>Bienes y Servicios</v>
      </c>
    </row>
    <row r="1178" spans="1:30" x14ac:dyDescent="0.25">
      <c r="A1178" s="36" t="s">
        <v>27</v>
      </c>
      <c r="B1178" s="36" t="s">
        <v>1872</v>
      </c>
      <c r="C1178" s="36" t="s">
        <v>28</v>
      </c>
      <c r="D1178" s="36" t="s">
        <v>1872</v>
      </c>
      <c r="E1178" s="36" t="s">
        <v>30</v>
      </c>
      <c r="F1178" s="36" t="s">
        <v>569</v>
      </c>
      <c r="G1178" s="37">
        <v>2565</v>
      </c>
      <c r="H1178" s="36" t="s">
        <v>1873</v>
      </c>
      <c r="I1178" s="36" t="s">
        <v>1874</v>
      </c>
      <c r="J1178" s="36">
        <v>3</v>
      </c>
      <c r="K1178" s="36" t="s">
        <v>359</v>
      </c>
      <c r="L1178" s="36">
        <v>4</v>
      </c>
      <c r="M1178" s="36">
        <v>4</v>
      </c>
      <c r="N1178" s="38">
        <v>17000</v>
      </c>
      <c r="O1178" s="38">
        <v>68000</v>
      </c>
      <c r="P1178" s="36">
        <v>1</v>
      </c>
      <c r="Q1178" s="40">
        <v>46082</v>
      </c>
      <c r="R1178" s="36" t="s">
        <v>1875</v>
      </c>
      <c r="S1178" s="36" t="s">
        <v>1876</v>
      </c>
      <c r="T1178" s="36" t="s">
        <v>1799</v>
      </c>
      <c r="U1178" s="36" t="s">
        <v>1877</v>
      </c>
      <c r="V1178" s="40">
        <v>46082</v>
      </c>
      <c r="W1178" s="36"/>
      <c r="X1178" s="36">
        <v>0</v>
      </c>
      <c r="Y1178" s="36"/>
      <c r="Z1178" s="36">
        <v>0</v>
      </c>
      <c r="AA1178" s="36">
        <v>0</v>
      </c>
      <c r="AB1178" s="36"/>
      <c r="AC1178" s="36" t="str">
        <f t="shared" si="7"/>
        <v>PC26</v>
      </c>
      <c r="AD1178" s="36" t="str">
        <f>VLOOKUP(D1178,Oficial!A:C,3,0)</f>
        <v>Bienes y Servicios</v>
      </c>
    </row>
    <row r="1179" spans="1:30" x14ac:dyDescent="0.25">
      <c r="A1179" s="36" t="s">
        <v>27</v>
      </c>
      <c r="B1179" s="36" t="s">
        <v>1879</v>
      </c>
      <c r="C1179" s="36" t="s">
        <v>28</v>
      </c>
      <c r="D1179" s="36" t="s">
        <v>1879</v>
      </c>
      <c r="E1179" s="36" t="s">
        <v>30</v>
      </c>
      <c r="F1179" s="36" t="s">
        <v>569</v>
      </c>
      <c r="G1179" s="37" t="s">
        <v>215</v>
      </c>
      <c r="H1179" s="36" t="s">
        <v>1880</v>
      </c>
      <c r="I1179" s="36" t="s">
        <v>1881</v>
      </c>
      <c r="J1179" s="36">
        <v>1</v>
      </c>
      <c r="K1179" s="36" t="s">
        <v>1375</v>
      </c>
      <c r="L1179" s="36">
        <v>4</v>
      </c>
      <c r="M1179" s="36">
        <v>1</v>
      </c>
      <c r="N1179" s="38">
        <v>12000000</v>
      </c>
      <c r="O1179" s="38">
        <v>12000000</v>
      </c>
      <c r="P1179" s="36">
        <v>1</v>
      </c>
      <c r="Q1179" s="40">
        <v>46235</v>
      </c>
      <c r="R1179" s="36" t="s">
        <v>768</v>
      </c>
      <c r="S1179" s="36" t="s">
        <v>966</v>
      </c>
      <c r="T1179" s="36" t="s">
        <v>967</v>
      </c>
      <c r="U1179" s="36" t="s">
        <v>1882</v>
      </c>
      <c r="V1179" s="40">
        <v>46235</v>
      </c>
      <c r="W1179" s="36"/>
      <c r="X1179" s="36">
        <v>0</v>
      </c>
      <c r="Y1179" s="36"/>
      <c r="Z1179" s="36">
        <v>0</v>
      </c>
      <c r="AA1179" s="36">
        <v>0</v>
      </c>
      <c r="AB1179" s="36"/>
      <c r="AC1179" s="36" t="str">
        <f t="shared" si="7"/>
        <v>PC26</v>
      </c>
      <c r="AD1179" s="36" t="str">
        <f>VLOOKUP(D1179,Oficial!A:C,3,0)</f>
        <v>Bienes y Servicios</v>
      </c>
    </row>
    <row r="1180" spans="1:30" x14ac:dyDescent="0.25">
      <c r="A1180" s="36" t="s">
        <v>27</v>
      </c>
      <c r="B1180" s="36" t="s">
        <v>1883</v>
      </c>
      <c r="C1180" s="36" t="s">
        <v>28</v>
      </c>
      <c r="D1180" s="36" t="s">
        <v>1883</v>
      </c>
      <c r="E1180" s="36" t="s">
        <v>30</v>
      </c>
      <c r="F1180" s="36" t="s">
        <v>569</v>
      </c>
      <c r="G1180" s="37" t="s">
        <v>633</v>
      </c>
      <c r="H1180" s="36" t="s">
        <v>1884</v>
      </c>
      <c r="I1180" s="36" t="s">
        <v>1885</v>
      </c>
      <c r="J1180" s="36">
        <v>1</v>
      </c>
      <c r="K1180" s="36" t="s">
        <v>1886</v>
      </c>
      <c r="L1180" s="36">
        <v>4</v>
      </c>
      <c r="M1180" s="36">
        <v>40</v>
      </c>
      <c r="N1180" s="38">
        <v>88750</v>
      </c>
      <c r="O1180" s="38">
        <v>3550000</v>
      </c>
      <c r="P1180" s="36">
        <v>1</v>
      </c>
      <c r="Q1180" s="40">
        <v>46082</v>
      </c>
      <c r="R1180" s="36" t="s">
        <v>1759</v>
      </c>
      <c r="S1180" s="36" t="s">
        <v>1760</v>
      </c>
      <c r="T1180" s="36" t="s">
        <v>1761</v>
      </c>
      <c r="U1180" s="36" t="s">
        <v>1762</v>
      </c>
      <c r="V1180" s="40">
        <v>46082</v>
      </c>
      <c r="W1180" s="36"/>
      <c r="X1180" s="36">
        <v>0</v>
      </c>
      <c r="Y1180" s="36"/>
      <c r="Z1180" s="36">
        <v>0</v>
      </c>
      <c r="AA1180" s="36">
        <v>0</v>
      </c>
      <c r="AB1180" s="36"/>
      <c r="AC1180" s="36" t="str">
        <f t="shared" si="7"/>
        <v>PC26</v>
      </c>
      <c r="AD1180" s="36" t="str">
        <f>VLOOKUP(D1180,Oficial!A:C,3,0)</f>
        <v>Bienes y Servicios</v>
      </c>
    </row>
    <row r="1181" spans="1:30" x14ac:dyDescent="0.25">
      <c r="A1181" s="36" t="s">
        <v>27</v>
      </c>
      <c r="B1181" s="36" t="s">
        <v>1887</v>
      </c>
      <c r="C1181" s="36" t="s">
        <v>1304</v>
      </c>
      <c r="D1181" s="36" t="s">
        <v>1887</v>
      </c>
      <c r="E1181" s="36" t="s">
        <v>30</v>
      </c>
      <c r="F1181" s="36" t="s">
        <v>569</v>
      </c>
      <c r="G1181" s="37">
        <v>2220</v>
      </c>
      <c r="H1181" s="36" t="s">
        <v>1888</v>
      </c>
      <c r="I1181" s="36" t="s">
        <v>1889</v>
      </c>
      <c r="J1181" s="36">
        <v>4</v>
      </c>
      <c r="K1181" s="36" t="s">
        <v>1199</v>
      </c>
      <c r="L1181" s="36">
        <v>4</v>
      </c>
      <c r="M1181" s="36">
        <v>1</v>
      </c>
      <c r="N1181" s="38">
        <v>876984814</v>
      </c>
      <c r="O1181" s="38">
        <v>876984814</v>
      </c>
      <c r="P1181" s="36">
        <v>1</v>
      </c>
      <c r="Q1181" s="40">
        <v>46357</v>
      </c>
      <c r="R1181" s="36" t="s">
        <v>1200</v>
      </c>
      <c r="S1181" s="36" t="s">
        <v>1201</v>
      </c>
      <c r="T1181" s="36" t="s">
        <v>1202</v>
      </c>
      <c r="U1181" s="36" t="s">
        <v>1203</v>
      </c>
      <c r="V1181" s="40">
        <v>46357</v>
      </c>
      <c r="W1181" s="36"/>
      <c r="X1181" s="36">
        <v>0</v>
      </c>
      <c r="Y1181" s="36"/>
      <c r="Z1181" s="36">
        <v>0</v>
      </c>
      <c r="AA1181" s="36">
        <v>0</v>
      </c>
      <c r="AB1181" s="36"/>
      <c r="AC1181" s="36" t="str">
        <f t="shared" si="7"/>
        <v>PC26</v>
      </c>
      <c r="AD1181" s="36" t="str">
        <f>VLOOKUP(D1181,Oficial!A:C,3,0)</f>
        <v>Obras Civiles</v>
      </c>
    </row>
    <row r="1182" spans="1:30" x14ac:dyDescent="0.25">
      <c r="A1182" s="36" t="s">
        <v>27</v>
      </c>
      <c r="B1182" s="36" t="s">
        <v>1887</v>
      </c>
      <c r="C1182" s="36" t="s">
        <v>1304</v>
      </c>
      <c r="D1182" s="36" t="s">
        <v>1887</v>
      </c>
      <c r="E1182" s="36" t="s">
        <v>30</v>
      </c>
      <c r="F1182" s="36" t="s">
        <v>569</v>
      </c>
      <c r="G1182" s="37">
        <v>2220</v>
      </c>
      <c r="H1182" s="36" t="s">
        <v>1888</v>
      </c>
      <c r="I1182" s="36" t="s">
        <v>1889</v>
      </c>
      <c r="J1182" s="36">
        <v>4</v>
      </c>
      <c r="K1182" s="36" t="s">
        <v>1199</v>
      </c>
      <c r="L1182" s="36">
        <v>4</v>
      </c>
      <c r="M1182" s="36">
        <v>1</v>
      </c>
      <c r="N1182" s="38">
        <v>280246728</v>
      </c>
      <c r="O1182" s="38">
        <v>280246728</v>
      </c>
      <c r="P1182" s="36">
        <v>1</v>
      </c>
      <c r="Q1182" s="40">
        <v>46357</v>
      </c>
      <c r="R1182" s="36" t="s">
        <v>1200</v>
      </c>
      <c r="S1182" s="36" t="s">
        <v>1201</v>
      </c>
      <c r="T1182" s="36" t="s">
        <v>1202</v>
      </c>
      <c r="U1182" s="36" t="s">
        <v>1203</v>
      </c>
      <c r="V1182" s="40">
        <v>46357</v>
      </c>
      <c r="W1182" s="36"/>
      <c r="X1182" s="36">
        <v>0</v>
      </c>
      <c r="Y1182" s="36"/>
      <c r="Z1182" s="36">
        <v>0</v>
      </c>
      <c r="AA1182" s="36">
        <v>0</v>
      </c>
      <c r="AB1182" s="36"/>
      <c r="AC1182" s="36" t="str">
        <f t="shared" si="7"/>
        <v>PC26</v>
      </c>
      <c r="AD1182" s="36" t="str">
        <f>VLOOKUP(D1182,Oficial!A:C,3,0)</f>
        <v>Obras Civiles</v>
      </c>
    </row>
    <row r="1183" spans="1:30" x14ac:dyDescent="0.25">
      <c r="A1183" s="36" t="s">
        <v>27</v>
      </c>
      <c r="B1183" s="36" t="s">
        <v>1887</v>
      </c>
      <c r="C1183" s="36" t="s">
        <v>1304</v>
      </c>
      <c r="D1183" s="36" t="s">
        <v>1887</v>
      </c>
      <c r="E1183" s="36" t="s">
        <v>30</v>
      </c>
      <c r="F1183" s="36" t="s">
        <v>569</v>
      </c>
      <c r="G1183" s="37">
        <v>2220</v>
      </c>
      <c r="H1183" s="36" t="s">
        <v>1888</v>
      </c>
      <c r="I1183" s="36" t="s">
        <v>1889</v>
      </c>
      <c r="J1183" s="36">
        <v>4</v>
      </c>
      <c r="K1183" s="36" t="s">
        <v>1199</v>
      </c>
      <c r="L1183" s="36">
        <v>4</v>
      </c>
      <c r="M1183" s="36">
        <v>1</v>
      </c>
      <c r="N1183" s="38">
        <v>493463899</v>
      </c>
      <c r="O1183" s="38">
        <v>493463899</v>
      </c>
      <c r="P1183" s="36">
        <v>1</v>
      </c>
      <c r="Q1183" s="40">
        <v>46082</v>
      </c>
      <c r="R1183" s="36" t="s">
        <v>1200</v>
      </c>
      <c r="S1183" s="36" t="s">
        <v>1201</v>
      </c>
      <c r="T1183" s="36" t="s">
        <v>1202</v>
      </c>
      <c r="U1183" s="36" t="s">
        <v>1203</v>
      </c>
      <c r="V1183" s="40">
        <v>46082</v>
      </c>
      <c r="W1183" s="36"/>
      <c r="X1183" s="36">
        <v>0</v>
      </c>
      <c r="Y1183" s="36"/>
      <c r="Z1183" s="36">
        <v>0</v>
      </c>
      <c r="AA1183" s="36">
        <v>0</v>
      </c>
      <c r="AB1183" s="36"/>
      <c r="AC1183" s="36" t="str">
        <f t="shared" si="7"/>
        <v>PC26</v>
      </c>
      <c r="AD1183" s="36" t="str">
        <f>VLOOKUP(D1183,Oficial!A:C,3,0)</f>
        <v>Obras Civiles</v>
      </c>
    </row>
    <row r="1184" spans="1:30" x14ac:dyDescent="0.25">
      <c r="A1184" s="36" t="s">
        <v>27</v>
      </c>
      <c r="B1184" s="36" t="s">
        <v>1887</v>
      </c>
      <c r="C1184" s="36" t="s">
        <v>1304</v>
      </c>
      <c r="D1184" s="36" t="s">
        <v>1887</v>
      </c>
      <c r="E1184" s="36" t="s">
        <v>30</v>
      </c>
      <c r="F1184" s="36" t="s">
        <v>569</v>
      </c>
      <c r="G1184" s="37">
        <v>2220</v>
      </c>
      <c r="H1184" s="36" t="s">
        <v>1888</v>
      </c>
      <c r="I1184" s="36" t="s">
        <v>1889</v>
      </c>
      <c r="J1184" s="36">
        <v>4</v>
      </c>
      <c r="K1184" s="36" t="s">
        <v>1199</v>
      </c>
      <c r="L1184" s="36">
        <v>4</v>
      </c>
      <c r="M1184" s="36">
        <v>1</v>
      </c>
      <c r="N1184" s="38">
        <v>424384098</v>
      </c>
      <c r="O1184" s="38">
        <v>424384098</v>
      </c>
      <c r="P1184" s="36">
        <v>1</v>
      </c>
      <c r="Q1184" s="40">
        <v>46113</v>
      </c>
      <c r="R1184" s="36" t="s">
        <v>1200</v>
      </c>
      <c r="S1184" s="36" t="s">
        <v>1201</v>
      </c>
      <c r="T1184" s="36" t="s">
        <v>1202</v>
      </c>
      <c r="U1184" s="36" t="s">
        <v>1203</v>
      </c>
      <c r="V1184" s="40">
        <v>46113</v>
      </c>
      <c r="W1184" s="36"/>
      <c r="X1184" s="36">
        <v>0</v>
      </c>
      <c r="Y1184" s="36"/>
      <c r="Z1184" s="36">
        <v>0</v>
      </c>
      <c r="AA1184" s="36">
        <v>0</v>
      </c>
      <c r="AB1184" s="36"/>
      <c r="AC1184" s="36" t="str">
        <f t="shared" si="7"/>
        <v>PC26</v>
      </c>
      <c r="AD1184" s="36" t="str">
        <f>VLOOKUP(D1184,Oficial!A:C,3,0)</f>
        <v>Obras Civiles</v>
      </c>
    </row>
    <row r="1185" spans="1:30" x14ac:dyDescent="0.25">
      <c r="A1185" s="36" t="s">
        <v>27</v>
      </c>
      <c r="B1185" s="36" t="s">
        <v>1890</v>
      </c>
      <c r="C1185" s="36" t="s">
        <v>28</v>
      </c>
      <c r="D1185" s="36" t="s">
        <v>1890</v>
      </c>
      <c r="E1185" s="36" t="s">
        <v>30</v>
      </c>
      <c r="F1185" s="36" t="s">
        <v>569</v>
      </c>
      <c r="G1185" s="37">
        <v>2771</v>
      </c>
      <c r="H1185" s="36" t="s">
        <v>1891</v>
      </c>
      <c r="I1185" s="36" t="s">
        <v>1892</v>
      </c>
      <c r="J1185" s="36">
        <v>1</v>
      </c>
      <c r="K1185" s="36" t="s">
        <v>1527</v>
      </c>
      <c r="L1185" s="36">
        <v>4</v>
      </c>
      <c r="M1185" s="36">
        <v>4</v>
      </c>
      <c r="N1185" s="38">
        <v>17500</v>
      </c>
      <c r="O1185" s="38">
        <v>70000</v>
      </c>
      <c r="P1185" s="36">
        <v>1</v>
      </c>
      <c r="Q1185" s="40">
        <v>46023</v>
      </c>
      <c r="R1185" s="36" t="s">
        <v>1893</v>
      </c>
      <c r="S1185" s="36" t="s">
        <v>1894</v>
      </c>
      <c r="T1185" s="36" t="s">
        <v>1895</v>
      </c>
      <c r="U1185" s="36" t="s">
        <v>1896</v>
      </c>
      <c r="V1185" s="40">
        <v>46023</v>
      </c>
      <c r="W1185" s="36"/>
      <c r="X1185" s="36">
        <v>0</v>
      </c>
      <c r="Y1185" s="36"/>
      <c r="Z1185" s="36">
        <v>0</v>
      </c>
      <c r="AA1185" s="36">
        <v>0</v>
      </c>
      <c r="AB1185" s="36"/>
      <c r="AC1185" s="36" t="str">
        <f t="shared" si="7"/>
        <v>PC26</v>
      </c>
      <c r="AD1185" s="36" t="str">
        <f>VLOOKUP(D1185,Oficial!A:C,3,0)</f>
        <v>Bienes y Servicios</v>
      </c>
    </row>
    <row r="1186" spans="1:30" x14ac:dyDescent="0.25">
      <c r="A1186" s="36" t="s">
        <v>27</v>
      </c>
      <c r="B1186" s="36" t="s">
        <v>1897</v>
      </c>
      <c r="C1186" s="36" t="s">
        <v>28</v>
      </c>
      <c r="D1186" s="36" t="s">
        <v>1897</v>
      </c>
      <c r="E1186" s="36" t="s">
        <v>45</v>
      </c>
      <c r="F1186" s="36" t="s">
        <v>569</v>
      </c>
      <c r="G1186" s="37" t="s">
        <v>1797</v>
      </c>
      <c r="H1186" s="36" t="s">
        <v>1898</v>
      </c>
      <c r="I1186" s="36" t="s">
        <v>1899</v>
      </c>
      <c r="J1186" s="36">
        <v>3</v>
      </c>
      <c r="K1186" s="36" t="s">
        <v>1550</v>
      </c>
      <c r="L1186" s="36">
        <v>4</v>
      </c>
      <c r="M1186" s="36">
        <v>2</v>
      </c>
      <c r="N1186" s="38">
        <v>17500</v>
      </c>
      <c r="O1186" s="38">
        <v>35000</v>
      </c>
      <c r="P1186" s="36">
        <v>1</v>
      </c>
      <c r="Q1186" s="40">
        <v>46023</v>
      </c>
      <c r="R1186" s="36" t="s">
        <v>1797</v>
      </c>
      <c r="S1186" s="36" t="s">
        <v>1798</v>
      </c>
      <c r="T1186" s="36" t="s">
        <v>1799</v>
      </c>
      <c r="U1186" s="36" t="s">
        <v>1900</v>
      </c>
      <c r="V1186" s="40">
        <v>46023</v>
      </c>
      <c r="W1186" s="36"/>
      <c r="X1186" s="36">
        <v>0</v>
      </c>
      <c r="Y1186" s="36"/>
      <c r="Z1186" s="36">
        <v>0</v>
      </c>
      <c r="AA1186" s="36">
        <v>0</v>
      </c>
      <c r="AB1186" s="36"/>
      <c r="AC1186" s="36" t="str">
        <f t="shared" si="7"/>
        <v>PC26</v>
      </c>
      <c r="AD1186" s="36" t="str">
        <f>VLOOKUP(D1186,Oficial!A:C,3,0)</f>
        <v>Bienes y Servicios</v>
      </c>
    </row>
    <row r="1187" spans="1:30" x14ac:dyDescent="0.25">
      <c r="A1187" s="36" t="s">
        <v>27</v>
      </c>
      <c r="B1187" s="36" t="s">
        <v>1897</v>
      </c>
      <c r="C1187" s="36" t="s">
        <v>28</v>
      </c>
      <c r="D1187" s="36" t="s">
        <v>1897</v>
      </c>
      <c r="E1187" s="36" t="s">
        <v>45</v>
      </c>
      <c r="F1187" s="36" t="s">
        <v>569</v>
      </c>
      <c r="G1187" s="37" t="s">
        <v>1797</v>
      </c>
      <c r="H1187" s="36" t="s">
        <v>1898</v>
      </c>
      <c r="I1187" s="36" t="s">
        <v>1899</v>
      </c>
      <c r="J1187" s="36">
        <v>3</v>
      </c>
      <c r="K1187" s="36" t="s">
        <v>486</v>
      </c>
      <c r="L1187" s="36">
        <v>4</v>
      </c>
      <c r="M1187" s="36">
        <v>3</v>
      </c>
      <c r="N1187" s="38">
        <v>40000</v>
      </c>
      <c r="O1187" s="38">
        <v>120000</v>
      </c>
      <c r="P1187" s="36">
        <v>1</v>
      </c>
      <c r="Q1187" s="40">
        <v>46023</v>
      </c>
      <c r="R1187" s="36" t="s">
        <v>1797</v>
      </c>
      <c r="S1187" s="36" t="s">
        <v>1798</v>
      </c>
      <c r="T1187" s="36" t="s">
        <v>1799</v>
      </c>
      <c r="U1187" s="36" t="s">
        <v>1900</v>
      </c>
      <c r="V1187" s="40">
        <v>46023</v>
      </c>
      <c r="W1187" s="36"/>
      <c r="X1187" s="36">
        <v>0</v>
      </c>
      <c r="Y1187" s="36"/>
      <c r="Z1187" s="36">
        <v>0</v>
      </c>
      <c r="AA1187" s="36">
        <v>0</v>
      </c>
      <c r="AB1187" s="36"/>
      <c r="AC1187" s="36" t="str">
        <f t="shared" si="7"/>
        <v>PC26</v>
      </c>
      <c r="AD1187" s="36" t="str">
        <f>VLOOKUP(D1187,Oficial!A:C,3,0)</f>
        <v>Bienes y Servicios</v>
      </c>
    </row>
    <row r="1188" spans="1:30" x14ac:dyDescent="0.25">
      <c r="A1188" s="36" t="s">
        <v>27</v>
      </c>
      <c r="B1188" s="36" t="s">
        <v>1897</v>
      </c>
      <c r="C1188" s="36" t="s">
        <v>28</v>
      </c>
      <c r="D1188" s="36" t="s">
        <v>1897</v>
      </c>
      <c r="E1188" s="36" t="s">
        <v>45</v>
      </c>
      <c r="F1188" s="36" t="s">
        <v>569</v>
      </c>
      <c r="G1188" s="37" t="s">
        <v>1797</v>
      </c>
      <c r="H1188" s="36" t="s">
        <v>1898</v>
      </c>
      <c r="I1188" s="36" t="s">
        <v>1899</v>
      </c>
      <c r="J1188" s="36">
        <v>3</v>
      </c>
      <c r="K1188" s="36" t="s">
        <v>1058</v>
      </c>
      <c r="L1188" s="36">
        <v>4</v>
      </c>
      <c r="M1188" s="36">
        <v>1</v>
      </c>
      <c r="N1188" s="38">
        <v>180000</v>
      </c>
      <c r="O1188" s="38">
        <v>180000</v>
      </c>
      <c r="P1188" s="36">
        <v>1</v>
      </c>
      <c r="Q1188" s="40">
        <v>46023</v>
      </c>
      <c r="R1188" s="36" t="s">
        <v>1797</v>
      </c>
      <c r="S1188" s="36" t="s">
        <v>1798</v>
      </c>
      <c r="T1188" s="36" t="s">
        <v>1799</v>
      </c>
      <c r="U1188" s="36" t="s">
        <v>1900</v>
      </c>
      <c r="V1188" s="40">
        <v>46023</v>
      </c>
      <c r="W1188" s="36"/>
      <c r="X1188" s="36">
        <v>0</v>
      </c>
      <c r="Y1188" s="36"/>
      <c r="Z1188" s="36">
        <v>0</v>
      </c>
      <c r="AA1188" s="36">
        <v>0</v>
      </c>
      <c r="AB1188" s="36"/>
      <c r="AC1188" s="36" t="str">
        <f t="shared" si="7"/>
        <v>PC26</v>
      </c>
      <c r="AD1188" s="36" t="str">
        <f>VLOOKUP(D1188,Oficial!A:C,3,0)</f>
        <v>Bienes y Servicios</v>
      </c>
    </row>
    <row r="1189" spans="1:30" x14ac:dyDescent="0.25">
      <c r="A1189" s="36" t="s">
        <v>27</v>
      </c>
      <c r="B1189" s="36" t="s">
        <v>1901</v>
      </c>
      <c r="C1189" s="36" t="s">
        <v>28</v>
      </c>
      <c r="D1189" s="36" t="s">
        <v>1901</v>
      </c>
      <c r="E1189" s="36" t="s">
        <v>30</v>
      </c>
      <c r="F1189" s="36" t="s">
        <v>569</v>
      </c>
      <c r="G1189" s="37" t="s">
        <v>1902</v>
      </c>
      <c r="H1189" s="36" t="s">
        <v>1903</v>
      </c>
      <c r="I1189" s="36" t="s">
        <v>1904</v>
      </c>
      <c r="J1189" s="36">
        <v>3</v>
      </c>
      <c r="K1189" s="36" t="s">
        <v>359</v>
      </c>
      <c r="L1189" s="36">
        <v>4</v>
      </c>
      <c r="M1189" s="36">
        <v>4626</v>
      </c>
      <c r="N1189" s="38">
        <v>1136</v>
      </c>
      <c r="O1189" s="38">
        <v>5255136</v>
      </c>
      <c r="P1189" s="36">
        <v>1</v>
      </c>
      <c r="Q1189" s="40">
        <v>46054</v>
      </c>
      <c r="R1189" s="36" t="s">
        <v>761</v>
      </c>
      <c r="S1189" s="36" t="s">
        <v>1905</v>
      </c>
      <c r="T1189" s="36" t="s">
        <v>362</v>
      </c>
      <c r="U1189" s="36" t="s">
        <v>1906</v>
      </c>
      <c r="V1189" s="40">
        <v>46023</v>
      </c>
      <c r="W1189" s="36"/>
      <c r="X1189" s="36">
        <v>0</v>
      </c>
      <c r="Y1189" s="36"/>
      <c r="Z1189" s="36">
        <v>0</v>
      </c>
      <c r="AA1189" s="36">
        <v>0</v>
      </c>
      <c r="AB1189" s="36"/>
      <c r="AC1189" s="36" t="str">
        <f t="shared" si="7"/>
        <v>PC26</v>
      </c>
      <c r="AD1189" s="36" t="str">
        <f>VLOOKUP(D1189,Oficial!A:C,3,0)</f>
        <v>Bienes y Servicios</v>
      </c>
    </row>
    <row r="1190" spans="1:30" x14ac:dyDescent="0.25">
      <c r="A1190" s="36" t="s">
        <v>27</v>
      </c>
      <c r="B1190" s="36" t="s">
        <v>1901</v>
      </c>
      <c r="C1190" s="36" t="s">
        <v>28</v>
      </c>
      <c r="D1190" s="36" t="s">
        <v>1901</v>
      </c>
      <c r="E1190" s="36" t="s">
        <v>30</v>
      </c>
      <c r="F1190" s="36" t="s">
        <v>569</v>
      </c>
      <c r="G1190" s="37" t="s">
        <v>1902</v>
      </c>
      <c r="H1190" s="36" t="s">
        <v>1903</v>
      </c>
      <c r="I1190" s="36" t="s">
        <v>1904</v>
      </c>
      <c r="J1190" s="36">
        <v>3</v>
      </c>
      <c r="K1190" s="36" t="s">
        <v>1907</v>
      </c>
      <c r="L1190" s="36">
        <v>4</v>
      </c>
      <c r="M1190" s="36">
        <v>2406</v>
      </c>
      <c r="N1190" s="38">
        <v>205</v>
      </c>
      <c r="O1190" s="38">
        <v>493230</v>
      </c>
      <c r="P1190" s="36">
        <v>1</v>
      </c>
      <c r="Q1190" s="40">
        <v>46054</v>
      </c>
      <c r="R1190" s="36" t="s">
        <v>761</v>
      </c>
      <c r="S1190" s="36" t="s">
        <v>1905</v>
      </c>
      <c r="T1190" s="36" t="s">
        <v>362</v>
      </c>
      <c r="U1190" s="36" t="s">
        <v>1906</v>
      </c>
      <c r="V1190" s="40">
        <v>46023</v>
      </c>
      <c r="W1190" s="36"/>
      <c r="X1190" s="36">
        <v>0</v>
      </c>
      <c r="Y1190" s="36"/>
      <c r="Z1190" s="36">
        <v>0</v>
      </c>
      <c r="AA1190" s="36">
        <v>0</v>
      </c>
      <c r="AB1190" s="36"/>
      <c r="AC1190" s="36" t="str">
        <f t="shared" si="7"/>
        <v>PC26</v>
      </c>
      <c r="AD1190" s="36" t="str">
        <f>VLOOKUP(D1190,Oficial!A:C,3,0)</f>
        <v>Bienes y Servicios</v>
      </c>
    </row>
    <row r="1191" spans="1:30" x14ac:dyDescent="0.25">
      <c r="A1191" s="36" t="s">
        <v>27</v>
      </c>
      <c r="B1191" s="36" t="s">
        <v>1901</v>
      </c>
      <c r="C1191" s="36" t="s">
        <v>28</v>
      </c>
      <c r="D1191" s="36" t="s">
        <v>1901</v>
      </c>
      <c r="E1191" s="36" t="s">
        <v>30</v>
      </c>
      <c r="F1191" s="36" t="s">
        <v>569</v>
      </c>
      <c r="G1191" s="37" t="s">
        <v>1902</v>
      </c>
      <c r="H1191" s="36" t="s">
        <v>1903</v>
      </c>
      <c r="I1191" s="36" t="s">
        <v>1904</v>
      </c>
      <c r="J1191" s="36">
        <v>3</v>
      </c>
      <c r="K1191" s="36" t="s">
        <v>1907</v>
      </c>
      <c r="L1191" s="36">
        <v>4</v>
      </c>
      <c r="M1191" s="36">
        <v>1224</v>
      </c>
      <c r="N1191" s="38">
        <v>628</v>
      </c>
      <c r="O1191" s="38">
        <v>768672</v>
      </c>
      <c r="P1191" s="36">
        <v>1</v>
      </c>
      <c r="Q1191" s="40">
        <v>46054</v>
      </c>
      <c r="R1191" s="36" t="s">
        <v>761</v>
      </c>
      <c r="S1191" s="36" t="s">
        <v>1905</v>
      </c>
      <c r="T1191" s="36" t="s">
        <v>362</v>
      </c>
      <c r="U1191" s="36" t="s">
        <v>1906</v>
      </c>
      <c r="V1191" s="40">
        <v>46023</v>
      </c>
      <c r="W1191" s="36"/>
      <c r="X1191" s="36">
        <v>0</v>
      </c>
      <c r="Y1191" s="36"/>
      <c r="Z1191" s="36">
        <v>0</v>
      </c>
      <c r="AA1191" s="36">
        <v>0</v>
      </c>
      <c r="AB1191" s="36"/>
      <c r="AC1191" s="36" t="str">
        <f t="shared" si="7"/>
        <v>PC26</v>
      </c>
      <c r="AD1191" s="36" t="str">
        <f>VLOOKUP(D1191,Oficial!A:C,3,0)</f>
        <v>Bienes y Servicios</v>
      </c>
    </row>
    <row r="1192" spans="1:30" x14ac:dyDescent="0.25">
      <c r="A1192" s="36" t="s">
        <v>27</v>
      </c>
      <c r="B1192" s="36" t="s">
        <v>1908</v>
      </c>
      <c r="C1192" s="36" t="s">
        <v>28</v>
      </c>
      <c r="D1192" s="36" t="s">
        <v>1908</v>
      </c>
      <c r="E1192" s="36" t="s">
        <v>30</v>
      </c>
      <c r="F1192" s="36" t="s">
        <v>569</v>
      </c>
      <c r="G1192" s="37" t="s">
        <v>654</v>
      </c>
      <c r="H1192" s="36" t="s">
        <v>1909</v>
      </c>
      <c r="I1192" s="36" t="s">
        <v>1910</v>
      </c>
      <c r="J1192" s="36">
        <v>1</v>
      </c>
      <c r="K1192" s="36" t="s">
        <v>740</v>
      </c>
      <c r="L1192" s="36">
        <v>4</v>
      </c>
      <c r="M1192" s="36">
        <v>40</v>
      </c>
      <c r="N1192" s="38">
        <v>4250</v>
      </c>
      <c r="O1192" s="38">
        <v>170000</v>
      </c>
      <c r="P1192" s="36">
        <v>1</v>
      </c>
      <c r="Q1192" s="40">
        <v>46023</v>
      </c>
      <c r="R1192" s="36" t="s">
        <v>1797</v>
      </c>
      <c r="S1192" s="36" t="s">
        <v>1798</v>
      </c>
      <c r="T1192" s="36" t="s">
        <v>1799</v>
      </c>
      <c r="U1192" s="36" t="s">
        <v>1900</v>
      </c>
      <c r="V1192" s="40">
        <v>46023</v>
      </c>
      <c r="W1192" s="36"/>
      <c r="X1192" s="36">
        <v>0</v>
      </c>
      <c r="Y1192" s="36"/>
      <c r="Z1192" s="36">
        <v>0</v>
      </c>
      <c r="AA1192" s="36">
        <v>0</v>
      </c>
      <c r="AB1192" s="36"/>
      <c r="AC1192" s="36" t="str">
        <f t="shared" si="7"/>
        <v>PC26</v>
      </c>
      <c r="AD1192" s="36" t="str">
        <f>VLOOKUP(D1192,Oficial!A:C,3,0)</f>
        <v>Bienes y Servicios</v>
      </c>
    </row>
    <row r="1193" spans="1:30" x14ac:dyDescent="0.25">
      <c r="A1193" s="36" t="s">
        <v>27</v>
      </c>
      <c r="B1193" s="36" t="s">
        <v>1911</v>
      </c>
      <c r="C1193" s="36" t="s">
        <v>28</v>
      </c>
      <c r="D1193" s="36" t="s">
        <v>1911</v>
      </c>
      <c r="E1193" s="36" t="s">
        <v>30</v>
      </c>
      <c r="F1193" s="36" t="s">
        <v>569</v>
      </c>
      <c r="G1193" s="37">
        <v>2577</v>
      </c>
      <c r="H1193" s="36" t="s">
        <v>1912</v>
      </c>
      <c r="I1193" s="36" t="s">
        <v>1913</v>
      </c>
      <c r="J1193" s="36">
        <v>1</v>
      </c>
      <c r="K1193" s="36" t="s">
        <v>840</v>
      </c>
      <c r="L1193" s="36">
        <v>4</v>
      </c>
      <c r="M1193" s="36">
        <v>1</v>
      </c>
      <c r="N1193" s="38">
        <v>100000</v>
      </c>
      <c r="O1193" s="38">
        <v>100000</v>
      </c>
      <c r="P1193" s="36">
        <v>1</v>
      </c>
      <c r="Q1193" s="40">
        <v>46023</v>
      </c>
      <c r="R1193" s="36" t="s">
        <v>1893</v>
      </c>
      <c r="S1193" s="36" t="s">
        <v>1894</v>
      </c>
      <c r="T1193" s="36" t="s">
        <v>1895</v>
      </c>
      <c r="U1193" s="36" t="s">
        <v>1896</v>
      </c>
      <c r="V1193" s="40">
        <v>46023</v>
      </c>
      <c r="W1193" s="36"/>
      <c r="X1193" s="36">
        <v>0</v>
      </c>
      <c r="Y1193" s="36"/>
      <c r="Z1193" s="36">
        <v>0</v>
      </c>
      <c r="AA1193" s="36">
        <v>0</v>
      </c>
      <c r="AB1193" s="36"/>
      <c r="AC1193" s="36" t="str">
        <f t="shared" si="7"/>
        <v>PC26</v>
      </c>
      <c r="AD1193" s="36" t="str">
        <f>VLOOKUP(D1193,Oficial!A:C,3,0)</f>
        <v>Bienes y Servicios</v>
      </c>
    </row>
    <row r="1194" spans="1:30" x14ac:dyDescent="0.25">
      <c r="A1194" s="36" t="s">
        <v>27</v>
      </c>
      <c r="B1194" s="36" t="s">
        <v>1914</v>
      </c>
      <c r="C1194" s="36" t="s">
        <v>28</v>
      </c>
      <c r="D1194" s="36" t="s">
        <v>1914</v>
      </c>
      <c r="E1194" s="36" t="s">
        <v>30</v>
      </c>
      <c r="F1194" s="36" t="s">
        <v>569</v>
      </c>
      <c r="G1194" s="37" t="s">
        <v>1915</v>
      </c>
      <c r="H1194" s="36" t="s">
        <v>1916</v>
      </c>
      <c r="I1194" s="36" t="s">
        <v>1917</v>
      </c>
      <c r="J1194" s="36">
        <v>2</v>
      </c>
      <c r="K1194" s="36" t="s">
        <v>1918</v>
      </c>
      <c r="L1194" s="36">
        <v>4</v>
      </c>
      <c r="M1194" s="36">
        <v>20</v>
      </c>
      <c r="N1194" s="38">
        <v>3500</v>
      </c>
      <c r="O1194" s="38">
        <v>70000</v>
      </c>
      <c r="P1194" s="36">
        <v>1</v>
      </c>
      <c r="Q1194" s="40">
        <v>46082</v>
      </c>
      <c r="R1194" s="36" t="s">
        <v>1445</v>
      </c>
      <c r="S1194" s="36" t="s">
        <v>1446</v>
      </c>
      <c r="T1194" s="36" t="s">
        <v>1919</v>
      </c>
      <c r="U1194" s="36" t="s">
        <v>1448</v>
      </c>
      <c r="V1194" s="40">
        <v>46054</v>
      </c>
      <c r="W1194" s="36"/>
      <c r="X1194" s="36">
        <v>0</v>
      </c>
      <c r="Y1194" s="36"/>
      <c r="Z1194" s="36">
        <v>0</v>
      </c>
      <c r="AA1194" s="36">
        <v>0</v>
      </c>
      <c r="AB1194" s="36"/>
      <c r="AC1194" s="36" t="str">
        <f t="shared" si="7"/>
        <v>PC26</v>
      </c>
      <c r="AD1194" s="36" t="str">
        <f>VLOOKUP(D1194,Oficial!A:C,3,0)</f>
        <v>Bienes y Servicios</v>
      </c>
    </row>
    <row r="1195" spans="1:30" x14ac:dyDescent="0.25">
      <c r="A1195" s="36" t="s">
        <v>27</v>
      </c>
      <c r="B1195" s="36" t="s">
        <v>1914</v>
      </c>
      <c r="C1195" s="36" t="s">
        <v>28</v>
      </c>
      <c r="D1195" s="36" t="s">
        <v>1914</v>
      </c>
      <c r="E1195" s="36" t="s">
        <v>30</v>
      </c>
      <c r="F1195" s="36" t="s">
        <v>569</v>
      </c>
      <c r="G1195" s="37" t="s">
        <v>1915</v>
      </c>
      <c r="H1195" s="36" t="s">
        <v>1916</v>
      </c>
      <c r="I1195" s="36" t="s">
        <v>1917</v>
      </c>
      <c r="J1195" s="36">
        <v>2</v>
      </c>
      <c r="K1195" s="36" t="s">
        <v>1920</v>
      </c>
      <c r="L1195" s="36">
        <v>4</v>
      </c>
      <c r="M1195" s="36">
        <v>100</v>
      </c>
      <c r="N1195" s="38">
        <v>1500</v>
      </c>
      <c r="O1195" s="38">
        <v>150000</v>
      </c>
      <c r="P1195" s="36">
        <v>1</v>
      </c>
      <c r="Q1195" s="40">
        <v>46082</v>
      </c>
      <c r="R1195" s="36" t="s">
        <v>1445</v>
      </c>
      <c r="S1195" s="36" t="s">
        <v>1446</v>
      </c>
      <c r="T1195" s="36" t="s">
        <v>1919</v>
      </c>
      <c r="U1195" s="36" t="s">
        <v>1448</v>
      </c>
      <c r="V1195" s="40">
        <v>46054</v>
      </c>
      <c r="W1195" s="36"/>
      <c r="X1195" s="36">
        <v>0</v>
      </c>
      <c r="Y1195" s="36"/>
      <c r="Z1195" s="36">
        <v>0</v>
      </c>
      <c r="AA1195" s="36">
        <v>0</v>
      </c>
      <c r="AB1195" s="36"/>
      <c r="AC1195" s="36" t="str">
        <f t="shared" si="7"/>
        <v>PC26</v>
      </c>
      <c r="AD1195" s="36" t="str">
        <f>VLOOKUP(D1195,Oficial!A:C,3,0)</f>
        <v>Bienes y Servicios</v>
      </c>
    </row>
    <row r="1196" spans="1:30" x14ac:dyDescent="0.25">
      <c r="A1196" s="36" t="s">
        <v>27</v>
      </c>
      <c r="B1196" s="36" t="s">
        <v>1921</v>
      </c>
      <c r="C1196" s="36" t="s">
        <v>28</v>
      </c>
      <c r="D1196" s="36" t="s">
        <v>1921</v>
      </c>
      <c r="E1196" s="36" t="s">
        <v>30</v>
      </c>
      <c r="F1196" s="36" t="s">
        <v>569</v>
      </c>
      <c r="G1196" s="37">
        <v>2588</v>
      </c>
      <c r="H1196" s="36" t="s">
        <v>1922</v>
      </c>
      <c r="I1196" s="36" t="s">
        <v>1923</v>
      </c>
      <c r="J1196" s="36">
        <v>2</v>
      </c>
      <c r="K1196" s="36" t="s">
        <v>359</v>
      </c>
      <c r="L1196" s="36">
        <v>4</v>
      </c>
      <c r="M1196" s="36">
        <v>118</v>
      </c>
      <c r="N1196" s="38">
        <v>3221</v>
      </c>
      <c r="O1196" s="38">
        <v>380078</v>
      </c>
      <c r="P1196" s="36">
        <v>1</v>
      </c>
      <c r="Q1196" s="40">
        <v>46023</v>
      </c>
      <c r="R1196" s="36" t="s">
        <v>1924</v>
      </c>
      <c r="S1196" s="36" t="s">
        <v>1869</v>
      </c>
      <c r="T1196" s="36" t="s">
        <v>1925</v>
      </c>
      <c r="U1196" s="36" t="s">
        <v>1926</v>
      </c>
      <c r="V1196" s="40">
        <v>46023</v>
      </c>
      <c r="W1196" s="36"/>
      <c r="X1196" s="36">
        <v>0</v>
      </c>
      <c r="Y1196" s="36"/>
      <c r="Z1196" s="36">
        <v>0</v>
      </c>
      <c r="AA1196" s="36">
        <v>0</v>
      </c>
      <c r="AB1196" s="36"/>
      <c r="AC1196" s="36" t="str">
        <f t="shared" si="7"/>
        <v>PC26</v>
      </c>
      <c r="AD1196" s="36" t="str">
        <f>VLOOKUP(D1196,Oficial!A:C,3,0)</f>
        <v>Bienes y Servicios</v>
      </c>
    </row>
    <row r="1197" spans="1:30" x14ac:dyDescent="0.25">
      <c r="A1197" s="36" t="s">
        <v>27</v>
      </c>
      <c r="B1197" s="36" t="s">
        <v>1921</v>
      </c>
      <c r="C1197" s="36" t="s">
        <v>28</v>
      </c>
      <c r="D1197" s="36" t="s">
        <v>1921</v>
      </c>
      <c r="E1197" s="36" t="s">
        <v>30</v>
      </c>
      <c r="F1197" s="36" t="s">
        <v>569</v>
      </c>
      <c r="G1197" s="37">
        <v>2588</v>
      </c>
      <c r="H1197" s="36" t="s">
        <v>1922</v>
      </c>
      <c r="I1197" s="36" t="s">
        <v>1923</v>
      </c>
      <c r="J1197" s="36">
        <v>2</v>
      </c>
      <c r="K1197" s="36" t="s">
        <v>855</v>
      </c>
      <c r="L1197" s="36">
        <v>4</v>
      </c>
      <c r="M1197" s="36">
        <v>2022</v>
      </c>
      <c r="N1197" s="38">
        <v>65</v>
      </c>
      <c r="O1197" s="38">
        <v>131430</v>
      </c>
      <c r="P1197" s="36">
        <v>1</v>
      </c>
      <c r="Q1197" s="40">
        <v>46023</v>
      </c>
      <c r="R1197" s="36" t="s">
        <v>1924</v>
      </c>
      <c r="S1197" s="36" t="s">
        <v>1869</v>
      </c>
      <c r="T1197" s="36" t="s">
        <v>1925</v>
      </c>
      <c r="U1197" s="36" t="s">
        <v>1926</v>
      </c>
      <c r="V1197" s="40">
        <v>46023</v>
      </c>
      <c r="W1197" s="36"/>
      <c r="X1197" s="36">
        <v>0</v>
      </c>
      <c r="Y1197" s="36"/>
      <c r="Z1197" s="36">
        <v>0</v>
      </c>
      <c r="AA1197" s="36">
        <v>0</v>
      </c>
      <c r="AB1197" s="36"/>
      <c r="AC1197" s="36" t="str">
        <f t="shared" si="7"/>
        <v>PC26</v>
      </c>
      <c r="AD1197" s="36" t="str">
        <f>VLOOKUP(D1197,Oficial!A:C,3,0)</f>
        <v>Bienes y Servicios</v>
      </c>
    </row>
    <row r="1198" spans="1:30" x14ac:dyDescent="0.25">
      <c r="A1198" s="36" t="s">
        <v>27</v>
      </c>
      <c r="B1198" s="36" t="s">
        <v>1927</v>
      </c>
      <c r="C1198" s="36" t="s">
        <v>28</v>
      </c>
      <c r="D1198" s="36" t="s">
        <v>1927</v>
      </c>
      <c r="E1198" s="36" t="s">
        <v>30</v>
      </c>
      <c r="F1198" s="36" t="s">
        <v>569</v>
      </c>
      <c r="G1198" s="37">
        <v>2513</v>
      </c>
      <c r="H1198" s="36" t="s">
        <v>1928</v>
      </c>
      <c r="I1198" s="36" t="s">
        <v>1929</v>
      </c>
      <c r="J1198" s="36">
        <v>9</v>
      </c>
      <c r="K1198" s="36" t="s">
        <v>1930</v>
      </c>
      <c r="L1198" s="36">
        <v>4</v>
      </c>
      <c r="M1198" s="36">
        <v>60</v>
      </c>
      <c r="N1198" s="38">
        <v>3250000</v>
      </c>
      <c r="O1198" s="38">
        <v>195000000</v>
      </c>
      <c r="P1198" s="36">
        <v>1</v>
      </c>
      <c r="Q1198" s="40">
        <v>46204</v>
      </c>
      <c r="R1198" s="36" t="s">
        <v>1931</v>
      </c>
      <c r="S1198" s="36" t="s">
        <v>1932</v>
      </c>
      <c r="T1198" s="36" t="s">
        <v>1933</v>
      </c>
      <c r="U1198" s="36" t="s">
        <v>1934</v>
      </c>
      <c r="V1198" s="40">
        <v>46174</v>
      </c>
      <c r="W1198" s="36"/>
      <c r="X1198" s="36">
        <v>0</v>
      </c>
      <c r="Y1198" s="36"/>
      <c r="Z1198" s="36">
        <v>0</v>
      </c>
      <c r="AA1198" s="36">
        <v>0</v>
      </c>
      <c r="AB1198" s="36"/>
      <c r="AC1198" s="36" t="str">
        <f t="shared" si="7"/>
        <v>PC26</v>
      </c>
      <c r="AD1198" s="36" t="str">
        <f>VLOOKUP(D1198,Oficial!A:C,3,0)</f>
        <v>Bienes y Servicios</v>
      </c>
    </row>
    <row r="1199" spans="1:30" x14ac:dyDescent="0.25">
      <c r="A1199" s="36" t="s">
        <v>27</v>
      </c>
      <c r="B1199" s="36" t="s">
        <v>1927</v>
      </c>
      <c r="C1199" s="36" t="s">
        <v>28</v>
      </c>
      <c r="D1199" s="36" t="s">
        <v>1927</v>
      </c>
      <c r="E1199" s="36" t="s">
        <v>30</v>
      </c>
      <c r="F1199" s="36" t="s">
        <v>569</v>
      </c>
      <c r="G1199" s="37">
        <v>2513</v>
      </c>
      <c r="H1199" s="36" t="s">
        <v>1928</v>
      </c>
      <c r="I1199" s="36" t="s">
        <v>1929</v>
      </c>
      <c r="J1199" s="36">
        <v>9</v>
      </c>
      <c r="K1199" s="36" t="s">
        <v>1935</v>
      </c>
      <c r="L1199" s="36">
        <v>4</v>
      </c>
      <c r="M1199" s="36">
        <v>300</v>
      </c>
      <c r="N1199" s="38">
        <v>6000</v>
      </c>
      <c r="O1199" s="38">
        <v>1800000</v>
      </c>
      <c r="P1199" s="36">
        <v>1</v>
      </c>
      <c r="Q1199" s="40">
        <v>46204</v>
      </c>
      <c r="R1199" s="36" t="s">
        <v>1931</v>
      </c>
      <c r="S1199" s="36" t="s">
        <v>1932</v>
      </c>
      <c r="T1199" s="36" t="s">
        <v>1933</v>
      </c>
      <c r="U1199" s="36" t="s">
        <v>1934</v>
      </c>
      <c r="V1199" s="40">
        <v>46174</v>
      </c>
      <c r="W1199" s="36"/>
      <c r="X1199" s="36">
        <v>0</v>
      </c>
      <c r="Y1199" s="36"/>
      <c r="Z1199" s="36">
        <v>0</v>
      </c>
      <c r="AA1199" s="36">
        <v>0</v>
      </c>
      <c r="AB1199" s="36"/>
      <c r="AC1199" s="36" t="str">
        <f t="shared" si="7"/>
        <v>PC26</v>
      </c>
      <c r="AD1199" s="36" t="str">
        <f>VLOOKUP(D1199,Oficial!A:C,3,0)</f>
        <v>Bienes y Servicios</v>
      </c>
    </row>
    <row r="1200" spans="1:30" x14ac:dyDescent="0.25">
      <c r="A1200" s="36" t="s">
        <v>27</v>
      </c>
      <c r="B1200" s="36" t="s">
        <v>1927</v>
      </c>
      <c r="C1200" s="36" t="s">
        <v>28</v>
      </c>
      <c r="D1200" s="36" t="s">
        <v>1927</v>
      </c>
      <c r="E1200" s="36" t="s">
        <v>30</v>
      </c>
      <c r="F1200" s="36" t="s">
        <v>569</v>
      </c>
      <c r="G1200" s="37">
        <v>2513</v>
      </c>
      <c r="H1200" s="36" t="s">
        <v>1928</v>
      </c>
      <c r="I1200" s="36" t="s">
        <v>1929</v>
      </c>
      <c r="J1200" s="36">
        <v>9</v>
      </c>
      <c r="K1200" s="36" t="s">
        <v>1936</v>
      </c>
      <c r="L1200" s="36">
        <v>4</v>
      </c>
      <c r="M1200" s="36">
        <v>1200</v>
      </c>
      <c r="N1200" s="38">
        <v>4500</v>
      </c>
      <c r="O1200" s="38">
        <v>5400000</v>
      </c>
      <c r="P1200" s="36">
        <v>1</v>
      </c>
      <c r="Q1200" s="40">
        <v>46266</v>
      </c>
      <c r="R1200" s="36" t="s">
        <v>1931</v>
      </c>
      <c r="S1200" s="36" t="s">
        <v>1932</v>
      </c>
      <c r="T1200" s="36" t="s">
        <v>1933</v>
      </c>
      <c r="U1200" s="36" t="s">
        <v>1934</v>
      </c>
      <c r="V1200" s="40">
        <v>46235</v>
      </c>
      <c r="W1200" s="36"/>
      <c r="X1200" s="36">
        <v>0</v>
      </c>
      <c r="Y1200" s="36"/>
      <c r="Z1200" s="36">
        <v>0</v>
      </c>
      <c r="AA1200" s="36">
        <v>0</v>
      </c>
      <c r="AB1200" s="36"/>
      <c r="AC1200" s="36" t="str">
        <f t="shared" si="7"/>
        <v>PC26</v>
      </c>
      <c r="AD1200" s="36" t="str">
        <f>VLOOKUP(D1200,Oficial!A:C,3,0)</f>
        <v>Bienes y Servicios</v>
      </c>
    </row>
    <row r="1201" spans="1:30" x14ac:dyDescent="0.25">
      <c r="A1201" s="36" t="s">
        <v>27</v>
      </c>
      <c r="B1201" s="36" t="s">
        <v>1927</v>
      </c>
      <c r="C1201" s="36" t="s">
        <v>28</v>
      </c>
      <c r="D1201" s="36" t="s">
        <v>1927</v>
      </c>
      <c r="E1201" s="36" t="s">
        <v>30</v>
      </c>
      <c r="F1201" s="36" t="s">
        <v>569</v>
      </c>
      <c r="G1201" s="37">
        <v>2513</v>
      </c>
      <c r="H1201" s="36" t="s">
        <v>1928</v>
      </c>
      <c r="I1201" s="36" t="s">
        <v>1929</v>
      </c>
      <c r="J1201" s="36">
        <v>9</v>
      </c>
      <c r="K1201" s="36" t="s">
        <v>359</v>
      </c>
      <c r="L1201" s="36">
        <v>4</v>
      </c>
      <c r="M1201" s="36">
        <v>880</v>
      </c>
      <c r="N1201" s="38">
        <v>839</v>
      </c>
      <c r="O1201" s="38">
        <v>738320</v>
      </c>
      <c r="P1201" s="36">
        <v>1</v>
      </c>
      <c r="Q1201" s="40">
        <v>46204</v>
      </c>
      <c r="R1201" s="36" t="s">
        <v>1931</v>
      </c>
      <c r="S1201" s="36" t="s">
        <v>1932</v>
      </c>
      <c r="T1201" s="36" t="s">
        <v>1933</v>
      </c>
      <c r="U1201" s="36" t="s">
        <v>1934</v>
      </c>
      <c r="V1201" s="40">
        <v>46174</v>
      </c>
      <c r="W1201" s="36"/>
      <c r="X1201" s="36">
        <v>0</v>
      </c>
      <c r="Y1201" s="36"/>
      <c r="Z1201" s="36">
        <v>0</v>
      </c>
      <c r="AA1201" s="36">
        <v>0</v>
      </c>
      <c r="AB1201" s="36"/>
      <c r="AC1201" s="36" t="str">
        <f t="shared" si="7"/>
        <v>PC26</v>
      </c>
      <c r="AD1201" s="36" t="str">
        <f>VLOOKUP(D1201,Oficial!A:C,3,0)</f>
        <v>Bienes y Servicios</v>
      </c>
    </row>
    <row r="1202" spans="1:30" x14ac:dyDescent="0.25">
      <c r="A1202" s="36" t="s">
        <v>27</v>
      </c>
      <c r="B1202" s="36" t="s">
        <v>1927</v>
      </c>
      <c r="C1202" s="36" t="s">
        <v>28</v>
      </c>
      <c r="D1202" s="36" t="s">
        <v>1927</v>
      </c>
      <c r="E1202" s="36" t="s">
        <v>30</v>
      </c>
      <c r="F1202" s="36" t="s">
        <v>569</v>
      </c>
      <c r="G1202" s="37">
        <v>2513</v>
      </c>
      <c r="H1202" s="36" t="s">
        <v>1928</v>
      </c>
      <c r="I1202" s="36" t="s">
        <v>1929</v>
      </c>
      <c r="J1202" s="36">
        <v>9</v>
      </c>
      <c r="K1202" s="36" t="s">
        <v>1937</v>
      </c>
      <c r="L1202" s="36">
        <v>4</v>
      </c>
      <c r="M1202" s="36">
        <v>80</v>
      </c>
      <c r="N1202" s="38">
        <v>2113</v>
      </c>
      <c r="O1202" s="38">
        <v>169040</v>
      </c>
      <c r="P1202" s="36">
        <v>1</v>
      </c>
      <c r="Q1202" s="40">
        <v>46204</v>
      </c>
      <c r="R1202" s="36" t="s">
        <v>1931</v>
      </c>
      <c r="S1202" s="36" t="s">
        <v>1932</v>
      </c>
      <c r="T1202" s="36" t="s">
        <v>1933</v>
      </c>
      <c r="U1202" s="36" t="s">
        <v>1934</v>
      </c>
      <c r="V1202" s="40">
        <v>46174</v>
      </c>
      <c r="W1202" s="36"/>
      <c r="X1202" s="36">
        <v>0</v>
      </c>
      <c r="Y1202" s="36"/>
      <c r="Z1202" s="36">
        <v>0</v>
      </c>
      <c r="AA1202" s="36">
        <v>0</v>
      </c>
      <c r="AB1202" s="36"/>
      <c r="AC1202" s="36" t="str">
        <f t="shared" si="7"/>
        <v>PC26</v>
      </c>
      <c r="AD1202" s="36" t="str">
        <f>VLOOKUP(D1202,Oficial!A:C,3,0)</f>
        <v>Bienes y Servicios</v>
      </c>
    </row>
    <row r="1203" spans="1:30" x14ac:dyDescent="0.25">
      <c r="A1203" s="36" t="s">
        <v>27</v>
      </c>
      <c r="B1203" s="36" t="s">
        <v>1927</v>
      </c>
      <c r="C1203" s="36" t="s">
        <v>28</v>
      </c>
      <c r="D1203" s="36" t="s">
        <v>1927</v>
      </c>
      <c r="E1203" s="36" t="s">
        <v>30</v>
      </c>
      <c r="F1203" s="36" t="s">
        <v>569</v>
      </c>
      <c r="G1203" s="37">
        <v>2513</v>
      </c>
      <c r="H1203" s="36" t="s">
        <v>1928</v>
      </c>
      <c r="I1203" s="36" t="s">
        <v>1929</v>
      </c>
      <c r="J1203" s="36">
        <v>9</v>
      </c>
      <c r="K1203" s="36" t="s">
        <v>1938</v>
      </c>
      <c r="L1203" s="36">
        <v>4</v>
      </c>
      <c r="M1203" s="36">
        <v>3200</v>
      </c>
      <c r="N1203" s="38">
        <v>969</v>
      </c>
      <c r="O1203" s="38">
        <v>3100800</v>
      </c>
      <c r="P1203" s="36">
        <v>1</v>
      </c>
      <c r="Q1203" s="40">
        <v>46204</v>
      </c>
      <c r="R1203" s="36" t="s">
        <v>1931</v>
      </c>
      <c r="S1203" s="36" t="s">
        <v>1932</v>
      </c>
      <c r="T1203" s="36" t="s">
        <v>1933</v>
      </c>
      <c r="U1203" s="36" t="s">
        <v>1934</v>
      </c>
      <c r="V1203" s="40">
        <v>46174</v>
      </c>
      <c r="W1203" s="36"/>
      <c r="X1203" s="36">
        <v>0</v>
      </c>
      <c r="Y1203" s="36"/>
      <c r="Z1203" s="36">
        <v>0</v>
      </c>
      <c r="AA1203" s="36">
        <v>0</v>
      </c>
      <c r="AB1203" s="36"/>
      <c r="AC1203" s="36" t="str">
        <f t="shared" si="7"/>
        <v>PC26</v>
      </c>
      <c r="AD1203" s="36" t="str">
        <f>VLOOKUP(D1203,Oficial!A:C,3,0)</f>
        <v>Bienes y Servicios</v>
      </c>
    </row>
    <row r="1204" spans="1:30" x14ac:dyDescent="0.25">
      <c r="A1204" s="36" t="s">
        <v>27</v>
      </c>
      <c r="B1204" s="36" t="s">
        <v>1927</v>
      </c>
      <c r="C1204" s="36" t="s">
        <v>28</v>
      </c>
      <c r="D1204" s="36" t="s">
        <v>1927</v>
      </c>
      <c r="E1204" s="36" t="s">
        <v>30</v>
      </c>
      <c r="F1204" s="36" t="s">
        <v>569</v>
      </c>
      <c r="G1204" s="37">
        <v>2513</v>
      </c>
      <c r="H1204" s="36" t="s">
        <v>1928</v>
      </c>
      <c r="I1204" s="36" t="s">
        <v>1929</v>
      </c>
      <c r="J1204" s="36">
        <v>9</v>
      </c>
      <c r="K1204" s="36" t="s">
        <v>1939</v>
      </c>
      <c r="L1204" s="36">
        <v>4</v>
      </c>
      <c r="M1204" s="36">
        <v>40</v>
      </c>
      <c r="N1204" s="38">
        <v>1250</v>
      </c>
      <c r="O1204" s="38">
        <v>50000</v>
      </c>
      <c r="P1204" s="36">
        <v>1</v>
      </c>
      <c r="Q1204" s="40">
        <v>46204</v>
      </c>
      <c r="R1204" s="36" t="s">
        <v>1931</v>
      </c>
      <c r="S1204" s="36" t="s">
        <v>1932</v>
      </c>
      <c r="T1204" s="36" t="s">
        <v>1933</v>
      </c>
      <c r="U1204" s="36" t="s">
        <v>1934</v>
      </c>
      <c r="V1204" s="40">
        <v>46174</v>
      </c>
      <c r="W1204" s="36"/>
      <c r="X1204" s="36">
        <v>0</v>
      </c>
      <c r="Y1204" s="36"/>
      <c r="Z1204" s="36">
        <v>0</v>
      </c>
      <c r="AA1204" s="36">
        <v>0</v>
      </c>
      <c r="AB1204" s="36"/>
      <c r="AC1204" s="36" t="str">
        <f t="shared" si="7"/>
        <v>PC26</v>
      </c>
      <c r="AD1204" s="36" t="str">
        <f>VLOOKUP(D1204,Oficial!A:C,3,0)</f>
        <v>Bienes y Servicios</v>
      </c>
    </row>
    <row r="1205" spans="1:30" x14ac:dyDescent="0.25">
      <c r="A1205" s="36" t="s">
        <v>27</v>
      </c>
      <c r="B1205" s="36" t="s">
        <v>1927</v>
      </c>
      <c r="C1205" s="36" t="s">
        <v>28</v>
      </c>
      <c r="D1205" s="36" t="s">
        <v>1927</v>
      </c>
      <c r="E1205" s="36" t="s">
        <v>30</v>
      </c>
      <c r="F1205" s="36" t="s">
        <v>569</v>
      </c>
      <c r="G1205" s="37">
        <v>2513</v>
      </c>
      <c r="H1205" s="36" t="s">
        <v>1928</v>
      </c>
      <c r="I1205" s="36" t="s">
        <v>1929</v>
      </c>
      <c r="J1205" s="36">
        <v>9</v>
      </c>
      <c r="K1205" s="36" t="s">
        <v>1940</v>
      </c>
      <c r="L1205" s="36">
        <v>4</v>
      </c>
      <c r="M1205" s="36">
        <v>5</v>
      </c>
      <c r="N1205" s="38">
        <v>10000</v>
      </c>
      <c r="O1205" s="38">
        <v>50000</v>
      </c>
      <c r="P1205" s="36">
        <v>1</v>
      </c>
      <c r="Q1205" s="40">
        <v>46204</v>
      </c>
      <c r="R1205" s="36" t="s">
        <v>1931</v>
      </c>
      <c r="S1205" s="36" t="s">
        <v>1932</v>
      </c>
      <c r="T1205" s="36" t="s">
        <v>1933</v>
      </c>
      <c r="U1205" s="36" t="s">
        <v>1934</v>
      </c>
      <c r="V1205" s="40">
        <v>46174</v>
      </c>
      <c r="W1205" s="36"/>
      <c r="X1205" s="36">
        <v>0</v>
      </c>
      <c r="Y1205" s="36"/>
      <c r="Z1205" s="36">
        <v>0</v>
      </c>
      <c r="AA1205" s="36">
        <v>0</v>
      </c>
      <c r="AB1205" s="36"/>
      <c r="AC1205" s="36" t="str">
        <f t="shared" si="7"/>
        <v>PC26</v>
      </c>
      <c r="AD1205" s="36" t="str">
        <f>VLOOKUP(D1205,Oficial!A:C,3,0)</f>
        <v>Bienes y Servicios</v>
      </c>
    </row>
    <row r="1206" spans="1:30" x14ac:dyDescent="0.25">
      <c r="A1206" s="36" t="s">
        <v>27</v>
      </c>
      <c r="B1206" s="36" t="s">
        <v>1927</v>
      </c>
      <c r="C1206" s="36" t="s">
        <v>28</v>
      </c>
      <c r="D1206" s="36" t="s">
        <v>1927</v>
      </c>
      <c r="E1206" s="36" t="s">
        <v>30</v>
      </c>
      <c r="F1206" s="36" t="s">
        <v>569</v>
      </c>
      <c r="G1206" s="37">
        <v>2513</v>
      </c>
      <c r="H1206" s="36" t="s">
        <v>1928</v>
      </c>
      <c r="I1206" s="36" t="s">
        <v>1929</v>
      </c>
      <c r="J1206" s="36">
        <v>9</v>
      </c>
      <c r="K1206" s="36" t="s">
        <v>1941</v>
      </c>
      <c r="L1206" s="36">
        <v>4</v>
      </c>
      <c r="M1206" s="36">
        <v>5</v>
      </c>
      <c r="N1206" s="38">
        <v>300000</v>
      </c>
      <c r="O1206" s="38">
        <v>1500000</v>
      </c>
      <c r="P1206" s="36">
        <v>1</v>
      </c>
      <c r="Q1206" s="40">
        <v>46266</v>
      </c>
      <c r="R1206" s="36" t="s">
        <v>1931</v>
      </c>
      <c r="S1206" s="36" t="s">
        <v>1932</v>
      </c>
      <c r="T1206" s="36" t="s">
        <v>1933</v>
      </c>
      <c r="U1206" s="36" t="s">
        <v>1934</v>
      </c>
      <c r="V1206" s="40">
        <v>46235</v>
      </c>
      <c r="W1206" s="36"/>
      <c r="X1206" s="36">
        <v>0</v>
      </c>
      <c r="Y1206" s="36"/>
      <c r="Z1206" s="36">
        <v>0</v>
      </c>
      <c r="AA1206" s="36">
        <v>0</v>
      </c>
      <c r="AB1206" s="36"/>
      <c r="AC1206" s="36" t="str">
        <f t="shared" si="7"/>
        <v>PC26</v>
      </c>
      <c r="AD1206" s="36" t="str">
        <f>VLOOKUP(D1206,Oficial!A:C,3,0)</f>
        <v>Bienes y Servicios</v>
      </c>
    </row>
    <row r="1207" spans="1:30" x14ac:dyDescent="0.25">
      <c r="A1207" s="36" t="s">
        <v>27</v>
      </c>
      <c r="B1207" s="36" t="s">
        <v>1942</v>
      </c>
      <c r="C1207" s="36" t="s">
        <v>28</v>
      </c>
      <c r="D1207" s="36" t="s">
        <v>1942</v>
      </c>
      <c r="E1207" s="36" t="s">
        <v>30</v>
      </c>
      <c r="F1207" s="36" t="s">
        <v>569</v>
      </c>
      <c r="G1207" s="37" t="s">
        <v>615</v>
      </c>
      <c r="H1207" s="36" t="s">
        <v>1943</v>
      </c>
      <c r="I1207" s="36" t="s">
        <v>1944</v>
      </c>
      <c r="J1207" s="36">
        <v>3</v>
      </c>
      <c r="K1207" s="36" t="s">
        <v>1945</v>
      </c>
      <c r="L1207" s="36">
        <v>4</v>
      </c>
      <c r="M1207" s="36">
        <v>23</v>
      </c>
      <c r="N1207" s="38">
        <v>10392</v>
      </c>
      <c r="O1207" s="38">
        <v>239016</v>
      </c>
      <c r="P1207" s="36">
        <v>1</v>
      </c>
      <c r="Q1207" s="40">
        <v>46204</v>
      </c>
      <c r="R1207" s="36" t="s">
        <v>761</v>
      </c>
      <c r="S1207" s="36" t="s">
        <v>1905</v>
      </c>
      <c r="T1207" s="36" t="s">
        <v>362</v>
      </c>
      <c r="U1207" s="36" t="s">
        <v>1906</v>
      </c>
      <c r="V1207" s="40">
        <v>46174</v>
      </c>
      <c r="W1207" s="36"/>
      <c r="X1207" s="36">
        <v>0</v>
      </c>
      <c r="Y1207" s="36"/>
      <c r="Z1207" s="36">
        <v>0</v>
      </c>
      <c r="AA1207" s="36">
        <v>0</v>
      </c>
      <c r="AB1207" s="36"/>
      <c r="AC1207" s="36" t="str">
        <f t="shared" si="7"/>
        <v>PC26</v>
      </c>
      <c r="AD1207" s="36" t="str">
        <f>VLOOKUP(D1207,Oficial!A:C,3,0)</f>
        <v>Bienes y Servicios</v>
      </c>
    </row>
    <row r="1208" spans="1:30" x14ac:dyDescent="0.25">
      <c r="A1208" s="36" t="s">
        <v>27</v>
      </c>
      <c r="B1208" s="36" t="s">
        <v>1942</v>
      </c>
      <c r="C1208" s="36" t="s">
        <v>28</v>
      </c>
      <c r="D1208" s="36" t="s">
        <v>1942</v>
      </c>
      <c r="E1208" s="36" t="s">
        <v>30</v>
      </c>
      <c r="F1208" s="36" t="s">
        <v>569</v>
      </c>
      <c r="G1208" s="37" t="s">
        <v>615</v>
      </c>
      <c r="H1208" s="36" t="s">
        <v>1943</v>
      </c>
      <c r="I1208" s="36" t="s">
        <v>1944</v>
      </c>
      <c r="J1208" s="36">
        <v>3</v>
      </c>
      <c r="K1208" s="36" t="s">
        <v>1946</v>
      </c>
      <c r="L1208" s="36">
        <v>4</v>
      </c>
      <c r="M1208" s="36">
        <v>431</v>
      </c>
      <c r="N1208" s="38">
        <v>2492</v>
      </c>
      <c r="O1208" s="38">
        <v>1074052</v>
      </c>
      <c r="P1208" s="36">
        <v>1</v>
      </c>
      <c r="Q1208" s="40">
        <v>46204</v>
      </c>
      <c r="R1208" s="36" t="s">
        <v>761</v>
      </c>
      <c r="S1208" s="36" t="s">
        <v>1905</v>
      </c>
      <c r="T1208" s="36" t="s">
        <v>362</v>
      </c>
      <c r="U1208" s="36" t="s">
        <v>1906</v>
      </c>
      <c r="V1208" s="40">
        <v>46174</v>
      </c>
      <c r="W1208" s="36"/>
      <c r="X1208" s="36">
        <v>0</v>
      </c>
      <c r="Y1208" s="36"/>
      <c r="Z1208" s="36">
        <v>0</v>
      </c>
      <c r="AA1208" s="36">
        <v>0</v>
      </c>
      <c r="AB1208" s="36"/>
      <c r="AC1208" s="36" t="str">
        <f t="shared" si="7"/>
        <v>PC26</v>
      </c>
      <c r="AD1208" s="36" t="str">
        <f>VLOOKUP(D1208,Oficial!A:C,3,0)</f>
        <v>Bienes y Servicios</v>
      </c>
    </row>
    <row r="1209" spans="1:30" x14ac:dyDescent="0.25">
      <c r="A1209" s="36" t="s">
        <v>27</v>
      </c>
      <c r="B1209" s="36" t="s">
        <v>1942</v>
      </c>
      <c r="C1209" s="36" t="s">
        <v>28</v>
      </c>
      <c r="D1209" s="36" t="s">
        <v>1942</v>
      </c>
      <c r="E1209" s="36" t="s">
        <v>30</v>
      </c>
      <c r="F1209" s="36" t="s">
        <v>569</v>
      </c>
      <c r="G1209" s="37" t="s">
        <v>615</v>
      </c>
      <c r="H1209" s="36" t="s">
        <v>1943</v>
      </c>
      <c r="I1209" s="36" t="s">
        <v>1944</v>
      </c>
      <c r="J1209" s="36">
        <v>3</v>
      </c>
      <c r="K1209" s="36" t="s">
        <v>1947</v>
      </c>
      <c r="L1209" s="36">
        <v>4</v>
      </c>
      <c r="M1209" s="36">
        <v>3002</v>
      </c>
      <c r="N1209" s="38">
        <v>160</v>
      </c>
      <c r="O1209" s="38">
        <v>480320</v>
      </c>
      <c r="P1209" s="36">
        <v>1</v>
      </c>
      <c r="Q1209" s="40">
        <v>46204</v>
      </c>
      <c r="R1209" s="36" t="s">
        <v>761</v>
      </c>
      <c r="S1209" s="36" t="s">
        <v>1905</v>
      </c>
      <c r="T1209" s="36" t="s">
        <v>362</v>
      </c>
      <c r="U1209" s="36" t="s">
        <v>1906</v>
      </c>
      <c r="V1209" s="40">
        <v>46174</v>
      </c>
      <c r="W1209" s="36"/>
      <c r="X1209" s="36">
        <v>0</v>
      </c>
      <c r="Y1209" s="36"/>
      <c r="Z1209" s="36">
        <v>0</v>
      </c>
      <c r="AA1209" s="36">
        <v>0</v>
      </c>
      <c r="AB1209" s="36"/>
      <c r="AC1209" s="36" t="str">
        <f t="shared" si="7"/>
        <v>PC26</v>
      </c>
      <c r="AD1209" s="36" t="str">
        <f>VLOOKUP(D1209,Oficial!A:C,3,0)</f>
        <v>Bienes y Servicios</v>
      </c>
    </row>
    <row r="1210" spans="1:30" x14ac:dyDescent="0.25">
      <c r="A1210" s="36" t="s">
        <v>27</v>
      </c>
      <c r="B1210" s="36" t="s">
        <v>1948</v>
      </c>
      <c r="C1210" s="36" t="s">
        <v>28</v>
      </c>
      <c r="D1210" s="36" t="s">
        <v>1948</v>
      </c>
      <c r="E1210" s="36" t="s">
        <v>30</v>
      </c>
      <c r="F1210" s="36" t="s">
        <v>569</v>
      </c>
      <c r="G1210" s="37">
        <v>2592</v>
      </c>
      <c r="H1210" s="36" t="s">
        <v>1949</v>
      </c>
      <c r="I1210" s="36" t="s">
        <v>1950</v>
      </c>
      <c r="J1210" s="36">
        <v>1</v>
      </c>
      <c r="K1210" s="36" t="s">
        <v>1262</v>
      </c>
      <c r="L1210" s="36">
        <v>4</v>
      </c>
      <c r="M1210" s="36">
        <v>2900</v>
      </c>
      <c r="N1210" s="38">
        <v>3449</v>
      </c>
      <c r="O1210" s="38">
        <v>10002100</v>
      </c>
      <c r="P1210" s="36">
        <v>1</v>
      </c>
      <c r="Q1210" s="40">
        <v>46082</v>
      </c>
      <c r="R1210" s="36" t="s">
        <v>414</v>
      </c>
      <c r="S1210" s="36" t="s">
        <v>1852</v>
      </c>
      <c r="T1210" s="36" t="s">
        <v>1706</v>
      </c>
      <c r="U1210" s="36" t="s">
        <v>417</v>
      </c>
      <c r="V1210" s="40">
        <v>46082</v>
      </c>
      <c r="W1210" s="36"/>
      <c r="X1210" s="36">
        <v>0</v>
      </c>
      <c r="Y1210" s="36"/>
      <c r="Z1210" s="36">
        <v>0</v>
      </c>
      <c r="AA1210" s="36">
        <v>0</v>
      </c>
      <c r="AB1210" s="36"/>
      <c r="AC1210" s="36" t="str">
        <f t="shared" si="7"/>
        <v>PC26</v>
      </c>
      <c r="AD1210" s="36" t="str">
        <f>VLOOKUP(D1210,Oficial!A:C,3,0)</f>
        <v>Bienes y Servicios</v>
      </c>
    </row>
    <row r="1211" spans="1:30" x14ac:dyDescent="0.25">
      <c r="A1211" s="36" t="s">
        <v>27</v>
      </c>
      <c r="B1211" s="36" t="s">
        <v>1951</v>
      </c>
      <c r="C1211" s="36" t="s">
        <v>28</v>
      </c>
      <c r="D1211" s="36" t="s">
        <v>1951</v>
      </c>
      <c r="E1211" s="36" t="s">
        <v>30</v>
      </c>
      <c r="F1211" s="36" t="s">
        <v>569</v>
      </c>
      <c r="G1211" s="37" t="s">
        <v>615</v>
      </c>
      <c r="H1211" s="36" t="s">
        <v>1952</v>
      </c>
      <c r="I1211" s="36" t="s">
        <v>1953</v>
      </c>
      <c r="J1211" s="36">
        <v>2</v>
      </c>
      <c r="K1211" s="36" t="s">
        <v>1864</v>
      </c>
      <c r="L1211" s="36">
        <v>4</v>
      </c>
      <c r="M1211" s="36">
        <v>731</v>
      </c>
      <c r="N1211" s="38">
        <v>1107</v>
      </c>
      <c r="O1211" s="38">
        <v>809217</v>
      </c>
      <c r="P1211" s="36">
        <v>1</v>
      </c>
      <c r="Q1211" s="40">
        <v>46113</v>
      </c>
      <c r="R1211" s="36" t="s">
        <v>761</v>
      </c>
      <c r="S1211" s="36" t="s">
        <v>1905</v>
      </c>
      <c r="T1211" s="36" t="s">
        <v>362</v>
      </c>
      <c r="U1211" s="36" t="s">
        <v>1906</v>
      </c>
      <c r="V1211" s="40">
        <v>46082</v>
      </c>
      <c r="W1211" s="36"/>
      <c r="X1211" s="36">
        <v>0</v>
      </c>
      <c r="Y1211" s="36"/>
      <c r="Z1211" s="36">
        <v>0</v>
      </c>
      <c r="AA1211" s="36">
        <v>0</v>
      </c>
      <c r="AB1211" s="36"/>
      <c r="AC1211" s="36" t="str">
        <f t="shared" si="7"/>
        <v>PC26</v>
      </c>
      <c r="AD1211" s="36" t="str">
        <f>VLOOKUP(D1211,Oficial!A:C,3,0)</f>
        <v>Bienes y Servicios</v>
      </c>
    </row>
    <row r="1212" spans="1:30" x14ac:dyDescent="0.25">
      <c r="A1212" s="36" t="s">
        <v>27</v>
      </c>
      <c r="B1212" s="36" t="s">
        <v>1951</v>
      </c>
      <c r="C1212" s="36" t="s">
        <v>28</v>
      </c>
      <c r="D1212" s="36" t="s">
        <v>1951</v>
      </c>
      <c r="E1212" s="36" t="s">
        <v>30</v>
      </c>
      <c r="F1212" s="36" t="s">
        <v>569</v>
      </c>
      <c r="G1212" s="37" t="s">
        <v>615</v>
      </c>
      <c r="H1212" s="36" t="s">
        <v>1952</v>
      </c>
      <c r="I1212" s="36" t="s">
        <v>1953</v>
      </c>
      <c r="J1212" s="36">
        <v>2</v>
      </c>
      <c r="K1212" s="36" t="s">
        <v>1954</v>
      </c>
      <c r="L1212" s="36">
        <v>4</v>
      </c>
      <c r="M1212" s="36">
        <v>70</v>
      </c>
      <c r="N1212" s="38">
        <v>4858</v>
      </c>
      <c r="O1212" s="38">
        <v>340060</v>
      </c>
      <c r="P1212" s="36">
        <v>1</v>
      </c>
      <c r="Q1212" s="40">
        <v>46113</v>
      </c>
      <c r="R1212" s="36" t="s">
        <v>761</v>
      </c>
      <c r="S1212" s="36" t="s">
        <v>1905</v>
      </c>
      <c r="T1212" s="36" t="s">
        <v>362</v>
      </c>
      <c r="U1212" s="36" t="s">
        <v>1906</v>
      </c>
      <c r="V1212" s="40">
        <v>46082</v>
      </c>
      <c r="W1212" s="36"/>
      <c r="X1212" s="36">
        <v>0</v>
      </c>
      <c r="Y1212" s="36"/>
      <c r="Z1212" s="36">
        <v>0</v>
      </c>
      <c r="AA1212" s="36">
        <v>0</v>
      </c>
      <c r="AB1212" s="36"/>
      <c r="AC1212" s="36" t="str">
        <f t="shared" si="7"/>
        <v>PC26</v>
      </c>
      <c r="AD1212" s="36" t="str">
        <f>VLOOKUP(D1212,Oficial!A:C,3,0)</f>
        <v>Bienes y Servicios</v>
      </c>
    </row>
    <row r="1213" spans="1:30" x14ac:dyDescent="0.25">
      <c r="A1213" s="36" t="s">
        <v>27</v>
      </c>
      <c r="B1213" s="36" t="s">
        <v>1955</v>
      </c>
      <c r="C1213" s="36" t="s">
        <v>28</v>
      </c>
      <c r="D1213" s="36" t="s">
        <v>1955</v>
      </c>
      <c r="E1213" s="36" t="s">
        <v>30</v>
      </c>
      <c r="F1213" s="36" t="s">
        <v>569</v>
      </c>
      <c r="G1213" s="37" t="s">
        <v>615</v>
      </c>
      <c r="H1213" s="36" t="s">
        <v>1956</v>
      </c>
      <c r="I1213" s="36" t="s">
        <v>1957</v>
      </c>
      <c r="J1213" s="36">
        <v>3</v>
      </c>
      <c r="K1213" s="36" t="s">
        <v>1303</v>
      </c>
      <c r="L1213" s="36">
        <v>4</v>
      </c>
      <c r="M1213" s="36">
        <v>44</v>
      </c>
      <c r="N1213" s="38">
        <v>90000</v>
      </c>
      <c r="O1213" s="38">
        <v>3960000</v>
      </c>
      <c r="P1213" s="36">
        <v>1</v>
      </c>
      <c r="Q1213" s="40">
        <v>46082</v>
      </c>
      <c r="R1213" s="36" t="s">
        <v>414</v>
      </c>
      <c r="S1213" s="36" t="s">
        <v>1852</v>
      </c>
      <c r="T1213" s="36" t="s">
        <v>1706</v>
      </c>
      <c r="U1213" s="36" t="s">
        <v>417</v>
      </c>
      <c r="V1213" s="40">
        <v>46082</v>
      </c>
      <c r="W1213" s="36"/>
      <c r="X1213" s="36">
        <v>0</v>
      </c>
      <c r="Y1213" s="36"/>
      <c r="Z1213" s="36">
        <v>0</v>
      </c>
      <c r="AA1213" s="36">
        <v>0</v>
      </c>
      <c r="AB1213" s="36"/>
      <c r="AC1213" s="36" t="str">
        <f t="shared" si="7"/>
        <v>PC26</v>
      </c>
      <c r="AD1213" s="36" t="str">
        <f>VLOOKUP(D1213,Oficial!A:C,3,0)</f>
        <v>Bienes y Servicios</v>
      </c>
    </row>
    <row r="1214" spans="1:30" x14ac:dyDescent="0.25">
      <c r="A1214" s="36" t="s">
        <v>27</v>
      </c>
      <c r="B1214" s="36" t="s">
        <v>1955</v>
      </c>
      <c r="C1214" s="36" t="s">
        <v>28</v>
      </c>
      <c r="D1214" s="36" t="s">
        <v>1955</v>
      </c>
      <c r="E1214" s="36" t="s">
        <v>30</v>
      </c>
      <c r="F1214" s="36" t="s">
        <v>569</v>
      </c>
      <c r="G1214" s="37" t="s">
        <v>615</v>
      </c>
      <c r="H1214" s="36" t="s">
        <v>1956</v>
      </c>
      <c r="I1214" s="36" t="s">
        <v>1957</v>
      </c>
      <c r="J1214" s="36">
        <v>3</v>
      </c>
      <c r="K1214" s="36" t="s">
        <v>1958</v>
      </c>
      <c r="L1214" s="36">
        <v>4</v>
      </c>
      <c r="M1214" s="36">
        <v>10</v>
      </c>
      <c r="N1214" s="38">
        <v>60000</v>
      </c>
      <c r="O1214" s="38">
        <v>600000</v>
      </c>
      <c r="P1214" s="36">
        <v>1</v>
      </c>
      <c r="Q1214" s="40">
        <v>46082</v>
      </c>
      <c r="R1214" s="36" t="s">
        <v>414</v>
      </c>
      <c r="S1214" s="36" t="s">
        <v>1852</v>
      </c>
      <c r="T1214" s="36" t="s">
        <v>1706</v>
      </c>
      <c r="U1214" s="36" t="s">
        <v>417</v>
      </c>
      <c r="V1214" s="40">
        <v>46082</v>
      </c>
      <c r="W1214" s="36"/>
      <c r="X1214" s="36">
        <v>0</v>
      </c>
      <c r="Y1214" s="36"/>
      <c r="Z1214" s="36">
        <v>0</v>
      </c>
      <c r="AA1214" s="36">
        <v>0</v>
      </c>
      <c r="AB1214" s="36"/>
      <c r="AC1214" s="36" t="str">
        <f t="shared" si="7"/>
        <v>PC26</v>
      </c>
      <c r="AD1214" s="36" t="str">
        <f>VLOOKUP(D1214,Oficial!A:C,3,0)</f>
        <v>Bienes y Servicios</v>
      </c>
    </row>
    <row r="1215" spans="1:30" x14ac:dyDescent="0.25">
      <c r="A1215" s="36" t="s">
        <v>27</v>
      </c>
      <c r="B1215" s="36" t="s">
        <v>1955</v>
      </c>
      <c r="C1215" s="36" t="s">
        <v>28</v>
      </c>
      <c r="D1215" s="36" t="s">
        <v>1955</v>
      </c>
      <c r="E1215" s="36" t="s">
        <v>30</v>
      </c>
      <c r="F1215" s="36" t="s">
        <v>569</v>
      </c>
      <c r="G1215" s="37" t="s">
        <v>615</v>
      </c>
      <c r="H1215" s="36" t="s">
        <v>1956</v>
      </c>
      <c r="I1215" s="36" t="s">
        <v>1957</v>
      </c>
      <c r="J1215" s="36">
        <v>3</v>
      </c>
      <c r="K1215" s="36" t="s">
        <v>1959</v>
      </c>
      <c r="L1215" s="36">
        <v>4</v>
      </c>
      <c r="M1215" s="36">
        <v>100</v>
      </c>
      <c r="N1215" s="38">
        <v>10000</v>
      </c>
      <c r="O1215" s="38">
        <v>1000000</v>
      </c>
      <c r="P1215" s="36">
        <v>1</v>
      </c>
      <c r="Q1215" s="40">
        <v>46082</v>
      </c>
      <c r="R1215" s="36" t="s">
        <v>414</v>
      </c>
      <c r="S1215" s="36" t="s">
        <v>1852</v>
      </c>
      <c r="T1215" s="36" t="s">
        <v>1706</v>
      </c>
      <c r="U1215" s="36" t="s">
        <v>417</v>
      </c>
      <c r="V1215" s="40">
        <v>46082</v>
      </c>
      <c r="W1215" s="36"/>
      <c r="X1215" s="36">
        <v>0</v>
      </c>
      <c r="Y1215" s="36"/>
      <c r="Z1215" s="36">
        <v>0</v>
      </c>
      <c r="AA1215" s="36">
        <v>0</v>
      </c>
      <c r="AB1215" s="36"/>
      <c r="AC1215" s="36" t="str">
        <f t="shared" si="7"/>
        <v>PC26</v>
      </c>
      <c r="AD1215" s="36" t="str">
        <f>VLOOKUP(D1215,Oficial!A:C,3,0)</f>
        <v>Bienes y Servicios</v>
      </c>
    </row>
    <row r="1216" spans="1:30" x14ac:dyDescent="0.25">
      <c r="A1216" s="36" t="s">
        <v>27</v>
      </c>
      <c r="B1216" s="36" t="s">
        <v>1960</v>
      </c>
      <c r="C1216" s="36" t="s">
        <v>28</v>
      </c>
      <c r="D1216" s="36" t="s">
        <v>1960</v>
      </c>
      <c r="E1216" s="36" t="s">
        <v>30</v>
      </c>
      <c r="F1216" s="36" t="s">
        <v>569</v>
      </c>
      <c r="G1216" s="37">
        <v>2590</v>
      </c>
      <c r="H1216" s="36" t="s">
        <v>1961</v>
      </c>
      <c r="I1216" s="36" t="s">
        <v>1962</v>
      </c>
      <c r="J1216" s="36">
        <v>3</v>
      </c>
      <c r="K1216" s="36" t="s">
        <v>602</v>
      </c>
      <c r="L1216" s="36">
        <v>4</v>
      </c>
      <c r="M1216" s="36">
        <v>100</v>
      </c>
      <c r="N1216" s="38">
        <v>7000</v>
      </c>
      <c r="O1216" s="38">
        <v>700000</v>
      </c>
      <c r="P1216" s="36">
        <v>1</v>
      </c>
      <c r="Q1216" s="40">
        <v>46266</v>
      </c>
      <c r="R1216" s="36" t="s">
        <v>1963</v>
      </c>
      <c r="S1216" s="36" t="s">
        <v>1964</v>
      </c>
      <c r="T1216" s="36" t="s">
        <v>1212</v>
      </c>
      <c r="U1216" s="36" t="s">
        <v>1965</v>
      </c>
      <c r="V1216" s="40">
        <v>46266</v>
      </c>
      <c r="W1216" s="36"/>
      <c r="X1216" s="36">
        <v>0</v>
      </c>
      <c r="Y1216" s="36"/>
      <c r="Z1216" s="36">
        <v>0</v>
      </c>
      <c r="AA1216" s="36">
        <v>0</v>
      </c>
      <c r="AB1216" s="36"/>
      <c r="AC1216" s="36" t="str">
        <f t="shared" si="7"/>
        <v>PC26</v>
      </c>
      <c r="AD1216" s="36" t="str">
        <f>VLOOKUP(D1216,Oficial!A:C,3,0)</f>
        <v>Bienes y Servicios</v>
      </c>
    </row>
    <row r="1217" spans="1:30" x14ac:dyDescent="0.25">
      <c r="A1217" s="36" t="s">
        <v>27</v>
      </c>
      <c r="B1217" s="36" t="s">
        <v>1960</v>
      </c>
      <c r="C1217" s="36" t="s">
        <v>28</v>
      </c>
      <c r="D1217" s="36" t="s">
        <v>1960</v>
      </c>
      <c r="E1217" s="36" t="s">
        <v>30</v>
      </c>
      <c r="F1217" s="36" t="s">
        <v>569</v>
      </c>
      <c r="G1217" s="37">
        <v>2590</v>
      </c>
      <c r="H1217" s="36" t="s">
        <v>1961</v>
      </c>
      <c r="I1217" s="36" t="s">
        <v>1962</v>
      </c>
      <c r="J1217" s="36">
        <v>3</v>
      </c>
      <c r="K1217" s="36" t="s">
        <v>1966</v>
      </c>
      <c r="L1217" s="36">
        <v>4</v>
      </c>
      <c r="M1217" s="36">
        <v>200</v>
      </c>
      <c r="N1217" s="38">
        <v>900</v>
      </c>
      <c r="O1217" s="38">
        <v>180000</v>
      </c>
      <c r="P1217" s="36">
        <v>1</v>
      </c>
      <c r="Q1217" s="40">
        <v>46266</v>
      </c>
      <c r="R1217" s="36" t="s">
        <v>1963</v>
      </c>
      <c r="S1217" s="36" t="s">
        <v>1964</v>
      </c>
      <c r="T1217" s="36" t="s">
        <v>1212</v>
      </c>
      <c r="U1217" s="36" t="s">
        <v>1965</v>
      </c>
      <c r="V1217" s="40">
        <v>46266</v>
      </c>
      <c r="W1217" s="36"/>
      <c r="X1217" s="36">
        <v>0</v>
      </c>
      <c r="Y1217" s="36"/>
      <c r="Z1217" s="36">
        <v>0</v>
      </c>
      <c r="AA1217" s="36">
        <v>0</v>
      </c>
      <c r="AB1217" s="36"/>
      <c r="AC1217" s="36" t="str">
        <f t="shared" si="7"/>
        <v>PC26</v>
      </c>
      <c r="AD1217" s="36" t="str">
        <f>VLOOKUP(D1217,Oficial!A:C,3,0)</f>
        <v>Bienes y Servicios</v>
      </c>
    </row>
    <row r="1218" spans="1:30" x14ac:dyDescent="0.25">
      <c r="A1218" s="36" t="s">
        <v>27</v>
      </c>
      <c r="B1218" s="36" t="s">
        <v>1960</v>
      </c>
      <c r="C1218" s="36" t="s">
        <v>28</v>
      </c>
      <c r="D1218" s="36" t="s">
        <v>1960</v>
      </c>
      <c r="E1218" s="36" t="s">
        <v>30</v>
      </c>
      <c r="F1218" s="36" t="s">
        <v>569</v>
      </c>
      <c r="G1218" s="37">
        <v>2590</v>
      </c>
      <c r="H1218" s="36" t="s">
        <v>1961</v>
      </c>
      <c r="I1218" s="36" t="s">
        <v>1962</v>
      </c>
      <c r="J1218" s="36">
        <v>3</v>
      </c>
      <c r="K1218" s="36" t="s">
        <v>962</v>
      </c>
      <c r="L1218" s="36">
        <v>4</v>
      </c>
      <c r="M1218" s="36">
        <v>100</v>
      </c>
      <c r="N1218" s="38">
        <v>400</v>
      </c>
      <c r="O1218" s="38">
        <v>40000</v>
      </c>
      <c r="P1218" s="36">
        <v>1</v>
      </c>
      <c r="Q1218" s="40">
        <v>46266</v>
      </c>
      <c r="R1218" s="36" t="s">
        <v>1963</v>
      </c>
      <c r="S1218" s="36" t="s">
        <v>1964</v>
      </c>
      <c r="T1218" s="36" t="s">
        <v>1212</v>
      </c>
      <c r="U1218" s="36" t="s">
        <v>1965</v>
      </c>
      <c r="V1218" s="40">
        <v>46266</v>
      </c>
      <c r="W1218" s="36"/>
      <c r="X1218" s="36">
        <v>0</v>
      </c>
      <c r="Y1218" s="36"/>
      <c r="Z1218" s="36">
        <v>0</v>
      </c>
      <c r="AA1218" s="36">
        <v>0</v>
      </c>
      <c r="AB1218" s="36"/>
      <c r="AC1218" s="36" t="str">
        <f t="shared" si="7"/>
        <v>PC26</v>
      </c>
      <c r="AD1218" s="36" t="str">
        <f>VLOOKUP(D1218,Oficial!A:C,3,0)</f>
        <v>Bienes y Servicios</v>
      </c>
    </row>
    <row r="1219" spans="1:30" x14ac:dyDescent="0.25">
      <c r="A1219" s="36" t="s">
        <v>27</v>
      </c>
      <c r="B1219" s="36" t="s">
        <v>1967</v>
      </c>
      <c r="C1219" s="36" t="s">
        <v>374</v>
      </c>
      <c r="D1219" s="36" t="s">
        <v>1967</v>
      </c>
      <c r="E1219" s="36" t="s">
        <v>45</v>
      </c>
      <c r="F1219" s="36" t="s">
        <v>569</v>
      </c>
      <c r="G1219" s="37" t="s">
        <v>1968</v>
      </c>
      <c r="H1219" s="36" t="s">
        <v>1969</v>
      </c>
      <c r="I1219" s="36" t="s">
        <v>1970</v>
      </c>
      <c r="J1219" s="36">
        <v>5</v>
      </c>
      <c r="K1219" s="36" t="s">
        <v>1971</v>
      </c>
      <c r="L1219" s="36">
        <v>4</v>
      </c>
      <c r="M1219" s="36">
        <v>17</v>
      </c>
      <c r="N1219" s="38">
        <v>6611</v>
      </c>
      <c r="O1219" s="38">
        <v>112387</v>
      </c>
      <c r="P1219" s="36">
        <v>1</v>
      </c>
      <c r="Q1219" s="40">
        <v>46054</v>
      </c>
      <c r="R1219" s="36" t="s">
        <v>768</v>
      </c>
      <c r="S1219" s="36" t="s">
        <v>1972</v>
      </c>
      <c r="T1219" s="36" t="s">
        <v>387</v>
      </c>
      <c r="U1219" s="36" t="s">
        <v>388</v>
      </c>
      <c r="V1219" s="40">
        <v>46023</v>
      </c>
      <c r="W1219" s="36"/>
      <c r="X1219" s="36">
        <v>0</v>
      </c>
      <c r="Y1219" s="36"/>
      <c r="Z1219" s="36">
        <v>0</v>
      </c>
      <c r="AA1219" s="36">
        <v>0</v>
      </c>
      <c r="AB1219" s="36"/>
      <c r="AC1219" s="36" t="str">
        <f t="shared" si="7"/>
        <v>PC26</v>
      </c>
      <c r="AD1219" s="36" t="str">
        <f>VLOOKUP(D1219,Oficial!A:C,3,0)</f>
        <v>Administración de Fondos</v>
      </c>
    </row>
    <row r="1220" spans="1:30" x14ac:dyDescent="0.25">
      <c r="A1220" s="36" t="s">
        <v>27</v>
      </c>
      <c r="B1220" s="36" t="s">
        <v>1967</v>
      </c>
      <c r="C1220" s="36" t="s">
        <v>374</v>
      </c>
      <c r="D1220" s="36" t="s">
        <v>1967</v>
      </c>
      <c r="E1220" s="36" t="s">
        <v>45</v>
      </c>
      <c r="F1220" s="36" t="s">
        <v>569</v>
      </c>
      <c r="G1220" s="37" t="s">
        <v>1968</v>
      </c>
      <c r="H1220" s="36" t="s">
        <v>1969</v>
      </c>
      <c r="I1220" s="36" t="s">
        <v>1970</v>
      </c>
      <c r="J1220" s="36">
        <v>5</v>
      </c>
      <c r="K1220" s="36" t="s">
        <v>359</v>
      </c>
      <c r="L1220" s="36">
        <v>4</v>
      </c>
      <c r="M1220" s="36">
        <v>24</v>
      </c>
      <c r="N1220" s="38">
        <v>1805</v>
      </c>
      <c r="O1220" s="38">
        <v>43320</v>
      </c>
      <c r="P1220" s="36">
        <v>1</v>
      </c>
      <c r="Q1220" s="40">
        <v>46054</v>
      </c>
      <c r="R1220" s="36" t="s">
        <v>768</v>
      </c>
      <c r="S1220" s="36" t="s">
        <v>1972</v>
      </c>
      <c r="T1220" s="36" t="s">
        <v>387</v>
      </c>
      <c r="U1220" s="36" t="s">
        <v>388</v>
      </c>
      <c r="V1220" s="40">
        <v>46023</v>
      </c>
      <c r="W1220" s="36"/>
      <c r="X1220" s="36">
        <v>0</v>
      </c>
      <c r="Y1220" s="36"/>
      <c r="Z1220" s="36">
        <v>0</v>
      </c>
      <c r="AA1220" s="36">
        <v>0</v>
      </c>
      <c r="AB1220" s="36"/>
      <c r="AC1220" s="36" t="str">
        <f t="shared" si="7"/>
        <v>PC26</v>
      </c>
      <c r="AD1220" s="36" t="str">
        <f>VLOOKUP(D1220,Oficial!A:C,3,0)</f>
        <v>Administración de Fondos</v>
      </c>
    </row>
    <row r="1221" spans="1:30" x14ac:dyDescent="0.25">
      <c r="A1221" s="36" t="s">
        <v>27</v>
      </c>
      <c r="B1221" s="36" t="s">
        <v>1967</v>
      </c>
      <c r="C1221" s="36" t="s">
        <v>374</v>
      </c>
      <c r="D1221" s="36" t="s">
        <v>1967</v>
      </c>
      <c r="E1221" s="36" t="s">
        <v>45</v>
      </c>
      <c r="F1221" s="36" t="s">
        <v>569</v>
      </c>
      <c r="G1221" s="37" t="s">
        <v>1968</v>
      </c>
      <c r="H1221" s="36" t="s">
        <v>1969</v>
      </c>
      <c r="I1221" s="36" t="s">
        <v>1970</v>
      </c>
      <c r="J1221" s="36">
        <v>5</v>
      </c>
      <c r="K1221" s="36" t="s">
        <v>1973</v>
      </c>
      <c r="L1221" s="36">
        <v>4</v>
      </c>
      <c r="M1221" s="36">
        <v>18</v>
      </c>
      <c r="N1221" s="38">
        <v>1389</v>
      </c>
      <c r="O1221" s="38">
        <v>25002</v>
      </c>
      <c r="P1221" s="36">
        <v>1</v>
      </c>
      <c r="Q1221" s="40">
        <v>46054</v>
      </c>
      <c r="R1221" s="36" t="s">
        <v>768</v>
      </c>
      <c r="S1221" s="36" t="s">
        <v>1972</v>
      </c>
      <c r="T1221" s="36" t="s">
        <v>387</v>
      </c>
      <c r="U1221" s="36" t="s">
        <v>388</v>
      </c>
      <c r="V1221" s="40">
        <v>46023</v>
      </c>
      <c r="W1221" s="36"/>
      <c r="X1221" s="36">
        <v>0</v>
      </c>
      <c r="Y1221" s="36"/>
      <c r="Z1221" s="36">
        <v>0</v>
      </c>
      <c r="AA1221" s="36">
        <v>0</v>
      </c>
      <c r="AB1221" s="36"/>
      <c r="AC1221" s="36" t="str">
        <f t="shared" si="7"/>
        <v>PC26</v>
      </c>
      <c r="AD1221" s="36" t="str">
        <f>VLOOKUP(D1221,Oficial!A:C,3,0)</f>
        <v>Administración de Fondos</v>
      </c>
    </row>
    <row r="1222" spans="1:30" x14ac:dyDescent="0.25">
      <c r="A1222" s="36" t="s">
        <v>27</v>
      </c>
      <c r="B1222" s="36" t="s">
        <v>1967</v>
      </c>
      <c r="C1222" s="36" t="s">
        <v>374</v>
      </c>
      <c r="D1222" s="36" t="s">
        <v>1967</v>
      </c>
      <c r="E1222" s="36" t="s">
        <v>45</v>
      </c>
      <c r="F1222" s="36" t="s">
        <v>569</v>
      </c>
      <c r="G1222" s="37" t="s">
        <v>1968</v>
      </c>
      <c r="H1222" s="36" t="s">
        <v>1969</v>
      </c>
      <c r="I1222" s="36" t="s">
        <v>1970</v>
      </c>
      <c r="J1222" s="36">
        <v>5</v>
      </c>
      <c r="K1222" s="36" t="s">
        <v>1974</v>
      </c>
      <c r="L1222" s="36">
        <v>4</v>
      </c>
      <c r="M1222" s="36">
        <v>4</v>
      </c>
      <c r="N1222" s="38">
        <v>6250</v>
      </c>
      <c r="O1222" s="38">
        <v>25000</v>
      </c>
      <c r="P1222" s="36">
        <v>1</v>
      </c>
      <c r="Q1222" s="40">
        <v>46054</v>
      </c>
      <c r="R1222" s="36" t="s">
        <v>768</v>
      </c>
      <c r="S1222" s="36" t="s">
        <v>1972</v>
      </c>
      <c r="T1222" s="36" t="s">
        <v>387</v>
      </c>
      <c r="U1222" s="36" t="s">
        <v>388</v>
      </c>
      <c r="V1222" s="40">
        <v>46023</v>
      </c>
      <c r="W1222" s="36"/>
      <c r="X1222" s="36">
        <v>0</v>
      </c>
      <c r="Y1222" s="36"/>
      <c r="Z1222" s="36">
        <v>0</v>
      </c>
      <c r="AA1222" s="36">
        <v>0</v>
      </c>
      <c r="AB1222" s="36"/>
      <c r="AC1222" s="36" t="str">
        <f t="shared" si="7"/>
        <v>PC26</v>
      </c>
      <c r="AD1222" s="36" t="str">
        <f>VLOOKUP(D1222,Oficial!A:C,3,0)</f>
        <v>Administración de Fondos</v>
      </c>
    </row>
    <row r="1223" spans="1:30" x14ac:dyDescent="0.25">
      <c r="A1223" s="36" t="s">
        <v>27</v>
      </c>
      <c r="B1223" s="36" t="s">
        <v>1967</v>
      </c>
      <c r="C1223" s="36" t="s">
        <v>374</v>
      </c>
      <c r="D1223" s="36" t="s">
        <v>1967</v>
      </c>
      <c r="E1223" s="36" t="s">
        <v>45</v>
      </c>
      <c r="F1223" s="36" t="s">
        <v>569</v>
      </c>
      <c r="G1223" s="37" t="s">
        <v>1968</v>
      </c>
      <c r="H1223" s="36" t="s">
        <v>1969</v>
      </c>
      <c r="I1223" s="36" t="s">
        <v>1970</v>
      </c>
      <c r="J1223" s="36">
        <v>5</v>
      </c>
      <c r="K1223" s="36" t="s">
        <v>1975</v>
      </c>
      <c r="L1223" s="36">
        <v>4</v>
      </c>
      <c r="M1223" s="36">
        <v>1</v>
      </c>
      <c r="N1223" s="38">
        <v>1700</v>
      </c>
      <c r="O1223" s="38">
        <v>1700</v>
      </c>
      <c r="P1223" s="36">
        <v>1</v>
      </c>
      <c r="Q1223" s="40">
        <v>46054</v>
      </c>
      <c r="R1223" s="36" t="s">
        <v>768</v>
      </c>
      <c r="S1223" s="36" t="s">
        <v>1972</v>
      </c>
      <c r="T1223" s="36" t="s">
        <v>387</v>
      </c>
      <c r="U1223" s="36" t="s">
        <v>388</v>
      </c>
      <c r="V1223" s="40">
        <v>46023</v>
      </c>
      <c r="W1223" s="36"/>
      <c r="X1223" s="36">
        <v>0</v>
      </c>
      <c r="Y1223" s="36"/>
      <c r="Z1223" s="36">
        <v>0</v>
      </c>
      <c r="AA1223" s="36">
        <v>0</v>
      </c>
      <c r="AB1223" s="36"/>
      <c r="AC1223" s="36" t="str">
        <f t="shared" si="7"/>
        <v>PC26</v>
      </c>
      <c r="AD1223" s="36" t="str">
        <f>VLOOKUP(D1223,Oficial!A:C,3,0)</f>
        <v>Administración de Fondos</v>
      </c>
    </row>
    <row r="1224" spans="1:30" x14ac:dyDescent="0.25">
      <c r="A1224" s="36" t="s">
        <v>27</v>
      </c>
      <c r="B1224" s="36" t="s">
        <v>1976</v>
      </c>
      <c r="C1224" s="36" t="s">
        <v>28</v>
      </c>
      <c r="D1224" s="36" t="s">
        <v>1976</v>
      </c>
      <c r="E1224" s="36" t="s">
        <v>30</v>
      </c>
      <c r="F1224" s="36" t="s">
        <v>569</v>
      </c>
      <c r="G1224" s="37">
        <v>2591</v>
      </c>
      <c r="H1224" s="36" t="s">
        <v>1977</v>
      </c>
      <c r="I1224" s="36" t="s">
        <v>1978</v>
      </c>
      <c r="J1224" s="36">
        <v>1</v>
      </c>
      <c r="K1224" s="36" t="s">
        <v>1979</v>
      </c>
      <c r="L1224" s="36">
        <v>4</v>
      </c>
      <c r="M1224" s="36">
        <v>4</v>
      </c>
      <c r="N1224" s="38">
        <v>3996070</v>
      </c>
      <c r="O1224" s="38">
        <v>15984280</v>
      </c>
      <c r="P1224" s="36">
        <v>1</v>
      </c>
      <c r="Q1224" s="40">
        <v>46113</v>
      </c>
      <c r="R1224" s="36" t="s">
        <v>1660</v>
      </c>
      <c r="S1224" s="36" t="s">
        <v>1980</v>
      </c>
      <c r="T1224" s="36" t="s">
        <v>1662</v>
      </c>
      <c r="U1224" s="36" t="s">
        <v>1663</v>
      </c>
      <c r="V1224" s="40">
        <v>46113</v>
      </c>
      <c r="W1224" s="36"/>
      <c r="X1224" s="36">
        <v>0</v>
      </c>
      <c r="Y1224" s="36"/>
      <c r="Z1224" s="36">
        <v>0</v>
      </c>
      <c r="AA1224" s="36">
        <v>0</v>
      </c>
      <c r="AB1224" s="36"/>
      <c r="AC1224" s="36" t="str">
        <f t="shared" si="7"/>
        <v>PC26</v>
      </c>
      <c r="AD1224" s="36" t="str">
        <f>VLOOKUP(D1224,Oficial!A:C,3,0)</f>
        <v>Bienes y Servicios</v>
      </c>
    </row>
    <row r="1225" spans="1:30" x14ac:dyDescent="0.25">
      <c r="A1225" s="36" t="s">
        <v>27</v>
      </c>
      <c r="B1225" s="36" t="s">
        <v>1981</v>
      </c>
      <c r="C1225" s="36" t="s">
        <v>28</v>
      </c>
      <c r="D1225" s="36" t="s">
        <v>1981</v>
      </c>
      <c r="E1225" s="36" t="s">
        <v>30</v>
      </c>
      <c r="F1225" s="36" t="s">
        <v>569</v>
      </c>
      <c r="G1225" s="37" t="s">
        <v>757</v>
      </c>
      <c r="H1225" s="36" t="s">
        <v>1982</v>
      </c>
      <c r="I1225" s="36" t="s">
        <v>1983</v>
      </c>
      <c r="J1225" s="36">
        <v>2</v>
      </c>
      <c r="K1225" s="36" t="s">
        <v>1984</v>
      </c>
      <c r="L1225" s="36">
        <v>4</v>
      </c>
      <c r="M1225" s="36">
        <v>412</v>
      </c>
      <c r="N1225" s="38">
        <v>850</v>
      </c>
      <c r="O1225" s="38">
        <v>350200</v>
      </c>
      <c r="P1225" s="36">
        <v>1</v>
      </c>
      <c r="Q1225" s="40">
        <v>46023</v>
      </c>
      <c r="R1225" s="36" t="s">
        <v>1985</v>
      </c>
      <c r="S1225" s="36" t="s">
        <v>1986</v>
      </c>
      <c r="T1225" s="36" t="s">
        <v>1987</v>
      </c>
      <c r="U1225" s="36" t="s">
        <v>1988</v>
      </c>
      <c r="V1225" s="40">
        <v>46023</v>
      </c>
      <c r="W1225" s="36"/>
      <c r="X1225" s="36">
        <v>0</v>
      </c>
      <c r="Y1225" s="36"/>
      <c r="Z1225" s="36">
        <v>0</v>
      </c>
      <c r="AA1225" s="36">
        <v>0</v>
      </c>
      <c r="AB1225" s="36"/>
      <c r="AC1225" s="36" t="str">
        <f t="shared" si="7"/>
        <v>PC26</v>
      </c>
      <c r="AD1225" s="36" t="str">
        <f>VLOOKUP(D1225,Oficial!A:C,3,0)</f>
        <v>Bienes y Servicios</v>
      </c>
    </row>
    <row r="1226" spans="1:30" x14ac:dyDescent="0.25">
      <c r="A1226" s="36" t="s">
        <v>27</v>
      </c>
      <c r="B1226" s="36" t="s">
        <v>1981</v>
      </c>
      <c r="C1226" s="36" t="s">
        <v>28</v>
      </c>
      <c r="D1226" s="36" t="s">
        <v>1981</v>
      </c>
      <c r="E1226" s="36" t="s">
        <v>30</v>
      </c>
      <c r="F1226" s="36" t="s">
        <v>569</v>
      </c>
      <c r="G1226" s="37" t="s">
        <v>757</v>
      </c>
      <c r="H1226" s="36" t="s">
        <v>1982</v>
      </c>
      <c r="I1226" s="36" t="s">
        <v>1983</v>
      </c>
      <c r="J1226" s="36">
        <v>2</v>
      </c>
      <c r="K1226" s="36" t="s">
        <v>1989</v>
      </c>
      <c r="L1226" s="36">
        <v>4</v>
      </c>
      <c r="M1226" s="36">
        <v>1200</v>
      </c>
      <c r="N1226" s="38">
        <v>459</v>
      </c>
      <c r="O1226" s="38">
        <v>550800</v>
      </c>
      <c r="P1226" s="36">
        <v>1</v>
      </c>
      <c r="Q1226" s="40">
        <v>46023</v>
      </c>
      <c r="R1226" s="36" t="s">
        <v>1985</v>
      </c>
      <c r="S1226" s="36" t="s">
        <v>1986</v>
      </c>
      <c r="T1226" s="36" t="s">
        <v>1987</v>
      </c>
      <c r="U1226" s="36" t="s">
        <v>1988</v>
      </c>
      <c r="V1226" s="40">
        <v>46023</v>
      </c>
      <c r="W1226" s="36"/>
      <c r="X1226" s="36">
        <v>0</v>
      </c>
      <c r="Y1226" s="36"/>
      <c r="Z1226" s="36">
        <v>0</v>
      </c>
      <c r="AA1226" s="36">
        <v>0</v>
      </c>
      <c r="AB1226" s="36"/>
      <c r="AC1226" s="36" t="str">
        <f t="shared" si="7"/>
        <v>PC26</v>
      </c>
      <c r="AD1226" s="36" t="str">
        <f>VLOOKUP(D1226,Oficial!A:C,3,0)</f>
        <v>Bienes y Servicios</v>
      </c>
    </row>
    <row r="1227" spans="1:30" x14ac:dyDescent="0.25">
      <c r="A1227" s="36" t="s">
        <v>27</v>
      </c>
      <c r="B1227" s="36" t="s">
        <v>1990</v>
      </c>
      <c r="C1227" s="36" t="s">
        <v>28</v>
      </c>
      <c r="D1227" s="36" t="s">
        <v>1990</v>
      </c>
      <c r="E1227" s="36" t="s">
        <v>30</v>
      </c>
      <c r="F1227" s="36" t="s">
        <v>569</v>
      </c>
      <c r="G1227" s="37">
        <v>2594</v>
      </c>
      <c r="H1227" s="36" t="s">
        <v>1991</v>
      </c>
      <c r="I1227" s="36" t="s">
        <v>1992</v>
      </c>
      <c r="J1227" s="36">
        <v>1</v>
      </c>
      <c r="K1227" s="36" t="s">
        <v>1303</v>
      </c>
      <c r="L1227" s="36">
        <v>4</v>
      </c>
      <c r="M1227" s="36">
        <v>20</v>
      </c>
      <c r="N1227" s="38">
        <v>175000</v>
      </c>
      <c r="O1227" s="38">
        <v>3500000</v>
      </c>
      <c r="P1227" s="36">
        <v>1</v>
      </c>
      <c r="Q1227" s="40">
        <v>46113</v>
      </c>
      <c r="R1227" s="36" t="s">
        <v>414</v>
      </c>
      <c r="S1227" s="36" t="s">
        <v>1852</v>
      </c>
      <c r="T1227" s="36" t="s">
        <v>1706</v>
      </c>
      <c r="U1227" s="36" t="s">
        <v>417</v>
      </c>
      <c r="V1227" s="40">
        <v>46082</v>
      </c>
      <c r="W1227" s="36"/>
      <c r="X1227" s="36">
        <v>0</v>
      </c>
      <c r="Y1227" s="36"/>
      <c r="Z1227" s="36">
        <v>0</v>
      </c>
      <c r="AA1227" s="36">
        <v>0</v>
      </c>
      <c r="AB1227" s="36"/>
      <c r="AC1227" s="36" t="str">
        <f t="shared" si="7"/>
        <v>PC26</v>
      </c>
      <c r="AD1227" s="36" t="str">
        <f>VLOOKUP(D1227,Oficial!A:C,3,0)</f>
        <v>Bienes y Servicios</v>
      </c>
    </row>
    <row r="1228" spans="1:30" x14ac:dyDescent="0.25">
      <c r="A1228" s="36" t="s">
        <v>27</v>
      </c>
      <c r="B1228" s="36" t="s">
        <v>1993</v>
      </c>
      <c r="C1228" s="36" t="s">
        <v>28</v>
      </c>
      <c r="D1228" s="36" t="s">
        <v>1993</v>
      </c>
      <c r="E1228" s="36" t="s">
        <v>30</v>
      </c>
      <c r="F1228" s="36" t="s">
        <v>569</v>
      </c>
      <c r="G1228" s="37" t="s">
        <v>285</v>
      </c>
      <c r="H1228" s="36" t="s">
        <v>1994</v>
      </c>
      <c r="I1228" s="36" t="s">
        <v>1995</v>
      </c>
      <c r="J1228" s="36">
        <v>1</v>
      </c>
      <c r="K1228" s="36" t="s">
        <v>1959</v>
      </c>
      <c r="L1228" s="36">
        <v>4</v>
      </c>
      <c r="M1228" s="36">
        <v>870</v>
      </c>
      <c r="N1228" s="38">
        <v>17397</v>
      </c>
      <c r="O1228" s="38">
        <v>15135390</v>
      </c>
      <c r="P1228" s="36">
        <v>1</v>
      </c>
      <c r="Q1228" s="40">
        <v>46082</v>
      </c>
      <c r="R1228" s="36" t="s">
        <v>414</v>
      </c>
      <c r="S1228" s="36" t="s">
        <v>1996</v>
      </c>
      <c r="T1228" s="36" t="s">
        <v>1706</v>
      </c>
      <c r="U1228" s="36" t="s">
        <v>417</v>
      </c>
      <c r="V1228" s="40">
        <v>46082</v>
      </c>
      <c r="W1228" s="36"/>
      <c r="X1228" s="36">
        <v>0</v>
      </c>
      <c r="Y1228" s="36"/>
      <c r="Z1228" s="36">
        <v>0</v>
      </c>
      <c r="AA1228" s="36">
        <v>0</v>
      </c>
      <c r="AB1228" s="36"/>
      <c r="AC1228" s="36" t="str">
        <f t="shared" si="7"/>
        <v>PC26</v>
      </c>
      <c r="AD1228" s="36" t="str">
        <f>VLOOKUP(D1228,Oficial!A:C,3,0)</f>
        <v>Bienes y Servicios</v>
      </c>
    </row>
    <row r="1229" spans="1:30" x14ac:dyDescent="0.25">
      <c r="A1229" s="36" t="s">
        <v>27</v>
      </c>
      <c r="B1229" s="36" t="s">
        <v>1997</v>
      </c>
      <c r="C1229" s="36" t="s">
        <v>28</v>
      </c>
      <c r="D1229" s="36" t="s">
        <v>1997</v>
      </c>
      <c r="E1229" s="36" t="s">
        <v>30</v>
      </c>
      <c r="F1229" s="36" t="s">
        <v>569</v>
      </c>
      <c r="G1229" s="37">
        <v>2597</v>
      </c>
      <c r="H1229" s="36" t="s">
        <v>1998</v>
      </c>
      <c r="I1229" s="36" t="s">
        <v>1999</v>
      </c>
      <c r="J1229" s="36">
        <v>1</v>
      </c>
      <c r="K1229" s="36" t="s">
        <v>602</v>
      </c>
      <c r="L1229" s="36">
        <v>4</v>
      </c>
      <c r="M1229" s="36">
        <v>8</v>
      </c>
      <c r="N1229" s="38">
        <v>150000</v>
      </c>
      <c r="O1229" s="38">
        <v>1200000</v>
      </c>
      <c r="P1229" s="36">
        <v>1</v>
      </c>
      <c r="Q1229" s="40">
        <v>46113</v>
      </c>
      <c r="R1229" s="36" t="s">
        <v>1985</v>
      </c>
      <c r="S1229" s="36" t="s">
        <v>1986</v>
      </c>
      <c r="T1229" s="36" t="s">
        <v>1987</v>
      </c>
      <c r="U1229" s="36" t="s">
        <v>1988</v>
      </c>
      <c r="V1229" s="40">
        <v>46113</v>
      </c>
      <c r="W1229" s="36"/>
      <c r="X1229" s="36">
        <v>0</v>
      </c>
      <c r="Y1229" s="36"/>
      <c r="Z1229" s="36">
        <v>0</v>
      </c>
      <c r="AA1229" s="36">
        <v>0</v>
      </c>
      <c r="AB1229" s="36"/>
      <c r="AC1229" s="36" t="str">
        <f t="shared" si="7"/>
        <v>PC26</v>
      </c>
      <c r="AD1229" s="36" t="str">
        <f>VLOOKUP(D1229,Oficial!A:C,3,0)</f>
        <v>Bienes y Servicios</v>
      </c>
    </row>
    <row r="1230" spans="1:30" x14ac:dyDescent="0.25">
      <c r="A1230" s="36" t="s">
        <v>27</v>
      </c>
      <c r="B1230" s="36" t="s">
        <v>2000</v>
      </c>
      <c r="C1230" s="36" t="s">
        <v>28</v>
      </c>
      <c r="D1230" s="36" t="s">
        <v>2000</v>
      </c>
      <c r="E1230" s="36" t="s">
        <v>45</v>
      </c>
      <c r="F1230" s="36" t="s">
        <v>569</v>
      </c>
      <c r="G1230" s="37">
        <v>2598</v>
      </c>
      <c r="H1230" s="36" t="s">
        <v>2001</v>
      </c>
      <c r="I1230" s="36" t="s">
        <v>2002</v>
      </c>
      <c r="J1230" s="36">
        <v>2</v>
      </c>
      <c r="K1230" s="36" t="s">
        <v>2003</v>
      </c>
      <c r="L1230" s="36">
        <v>4</v>
      </c>
      <c r="M1230" s="36">
        <v>1000</v>
      </c>
      <c r="N1230" s="38">
        <v>10000</v>
      </c>
      <c r="O1230" s="38">
        <v>10000000</v>
      </c>
      <c r="P1230" s="36">
        <v>12</v>
      </c>
      <c r="Q1230" s="36" t="s">
        <v>413</v>
      </c>
      <c r="R1230" s="36" t="s">
        <v>1985</v>
      </c>
      <c r="S1230" s="36" t="s">
        <v>1986</v>
      </c>
      <c r="T1230" s="36" t="s">
        <v>1987</v>
      </c>
      <c r="U1230" s="36" t="s">
        <v>1988</v>
      </c>
      <c r="V1230" s="40">
        <v>46023</v>
      </c>
      <c r="W1230" s="36"/>
      <c r="X1230" s="36">
        <v>0</v>
      </c>
      <c r="Y1230" s="36"/>
      <c r="Z1230" s="36">
        <v>0</v>
      </c>
      <c r="AA1230" s="36">
        <v>0</v>
      </c>
      <c r="AB1230" s="36"/>
      <c r="AC1230" s="36" t="str">
        <f t="shared" si="7"/>
        <v>PC26</v>
      </c>
      <c r="AD1230" s="36" t="str">
        <f>VLOOKUP(D1230,Oficial!A:C,3,0)</f>
        <v>Bienes y Servicios</v>
      </c>
    </row>
    <row r="1231" spans="1:30" x14ac:dyDescent="0.25">
      <c r="A1231" s="36" t="s">
        <v>27</v>
      </c>
      <c r="B1231" s="36" t="s">
        <v>2000</v>
      </c>
      <c r="C1231" s="36" t="s">
        <v>28</v>
      </c>
      <c r="D1231" s="36" t="s">
        <v>2000</v>
      </c>
      <c r="E1231" s="36" t="s">
        <v>45</v>
      </c>
      <c r="F1231" s="36" t="s">
        <v>569</v>
      </c>
      <c r="G1231" s="37">
        <v>2598</v>
      </c>
      <c r="H1231" s="36" t="s">
        <v>2001</v>
      </c>
      <c r="I1231" s="36" t="s">
        <v>2002</v>
      </c>
      <c r="J1231" s="36">
        <v>2</v>
      </c>
      <c r="K1231" s="36" t="s">
        <v>2004</v>
      </c>
      <c r="L1231" s="36">
        <v>4</v>
      </c>
      <c r="M1231" s="36">
        <v>1000</v>
      </c>
      <c r="N1231" s="38">
        <v>10000</v>
      </c>
      <c r="O1231" s="38">
        <v>10000000</v>
      </c>
      <c r="P1231" s="36">
        <v>12</v>
      </c>
      <c r="Q1231" s="36" t="s">
        <v>413</v>
      </c>
      <c r="R1231" s="36" t="s">
        <v>1985</v>
      </c>
      <c r="S1231" s="36" t="s">
        <v>1986</v>
      </c>
      <c r="T1231" s="36" t="s">
        <v>1987</v>
      </c>
      <c r="U1231" s="36" t="s">
        <v>1988</v>
      </c>
      <c r="V1231" s="40">
        <v>46023</v>
      </c>
      <c r="W1231" s="36"/>
      <c r="X1231" s="36">
        <v>0</v>
      </c>
      <c r="Y1231" s="36"/>
      <c r="Z1231" s="36">
        <v>0</v>
      </c>
      <c r="AA1231" s="36">
        <v>0</v>
      </c>
      <c r="AB1231" s="36"/>
      <c r="AC1231" s="36" t="str">
        <f t="shared" si="7"/>
        <v>PC26</v>
      </c>
      <c r="AD1231" s="36" t="str">
        <f>VLOOKUP(D1231,Oficial!A:C,3,0)</f>
        <v>Bienes y Servicios</v>
      </c>
    </row>
    <row r="1232" spans="1:30" x14ac:dyDescent="0.25">
      <c r="A1232" s="36" t="s">
        <v>27</v>
      </c>
      <c r="B1232" s="36" t="s">
        <v>2005</v>
      </c>
      <c r="C1232" s="36" t="s">
        <v>28</v>
      </c>
      <c r="D1232" s="36" t="s">
        <v>2005</v>
      </c>
      <c r="E1232" s="36" t="s">
        <v>30</v>
      </c>
      <c r="F1232" s="36" t="s">
        <v>569</v>
      </c>
      <c r="G1232" s="37" t="s">
        <v>1902</v>
      </c>
      <c r="H1232" s="36" t="s">
        <v>2006</v>
      </c>
      <c r="I1232" s="36" t="s">
        <v>2007</v>
      </c>
      <c r="J1232" s="36">
        <v>4</v>
      </c>
      <c r="K1232" s="36" t="s">
        <v>359</v>
      </c>
      <c r="L1232" s="36">
        <v>4</v>
      </c>
      <c r="M1232" s="36">
        <v>685</v>
      </c>
      <c r="N1232" s="38">
        <v>231</v>
      </c>
      <c r="O1232" s="38">
        <v>158235</v>
      </c>
      <c r="P1232" s="36">
        <v>1</v>
      </c>
      <c r="Q1232" s="40">
        <v>46113</v>
      </c>
      <c r="R1232" s="36" t="s">
        <v>1469</v>
      </c>
      <c r="S1232" s="36" t="s">
        <v>2008</v>
      </c>
      <c r="T1232" s="36" t="s">
        <v>2009</v>
      </c>
      <c r="U1232" s="36" t="s">
        <v>1472</v>
      </c>
      <c r="V1232" s="40">
        <v>46082</v>
      </c>
      <c r="W1232" s="36"/>
      <c r="X1232" s="36">
        <v>0</v>
      </c>
      <c r="Y1232" s="36"/>
      <c r="Z1232" s="36">
        <v>0</v>
      </c>
      <c r="AA1232" s="36">
        <v>0</v>
      </c>
      <c r="AB1232" s="36"/>
      <c r="AC1232" s="36" t="str">
        <f t="shared" si="7"/>
        <v>PC26</v>
      </c>
      <c r="AD1232" s="36" t="str">
        <f>VLOOKUP(D1232,Oficial!A:C,3,0)</f>
        <v>Bienes y Servicios</v>
      </c>
    </row>
    <row r="1233" spans="1:30" x14ac:dyDescent="0.25">
      <c r="A1233" s="36" t="s">
        <v>27</v>
      </c>
      <c r="B1233" s="36" t="s">
        <v>2005</v>
      </c>
      <c r="C1233" s="36" t="s">
        <v>28</v>
      </c>
      <c r="D1233" s="36" t="s">
        <v>2005</v>
      </c>
      <c r="E1233" s="36" t="s">
        <v>30</v>
      </c>
      <c r="F1233" s="36" t="s">
        <v>569</v>
      </c>
      <c r="G1233" s="37" t="s">
        <v>1902</v>
      </c>
      <c r="H1233" s="36" t="s">
        <v>2006</v>
      </c>
      <c r="I1233" s="36" t="s">
        <v>2007</v>
      </c>
      <c r="J1233" s="36">
        <v>4</v>
      </c>
      <c r="K1233" s="36" t="s">
        <v>2010</v>
      </c>
      <c r="L1233" s="36">
        <v>4</v>
      </c>
      <c r="M1233" s="36">
        <v>200</v>
      </c>
      <c r="N1233" s="38">
        <v>100</v>
      </c>
      <c r="O1233" s="38">
        <v>20000</v>
      </c>
      <c r="P1233" s="36">
        <v>1</v>
      </c>
      <c r="Q1233" s="40">
        <v>46174</v>
      </c>
      <c r="R1233" s="36" t="s">
        <v>1469</v>
      </c>
      <c r="S1233" s="36" t="s">
        <v>2008</v>
      </c>
      <c r="T1233" s="36" t="s">
        <v>2009</v>
      </c>
      <c r="U1233" s="36" t="s">
        <v>1472</v>
      </c>
      <c r="V1233" s="40">
        <v>46143</v>
      </c>
      <c r="W1233" s="36"/>
      <c r="X1233" s="36">
        <v>0</v>
      </c>
      <c r="Y1233" s="36"/>
      <c r="Z1233" s="36">
        <v>0</v>
      </c>
      <c r="AA1233" s="36">
        <v>0</v>
      </c>
      <c r="AB1233" s="36"/>
      <c r="AC1233" s="36" t="str">
        <f t="shared" si="7"/>
        <v>PC26</v>
      </c>
      <c r="AD1233" s="36" t="str">
        <f>VLOOKUP(D1233,Oficial!A:C,3,0)</f>
        <v>Bienes y Servicios</v>
      </c>
    </row>
    <row r="1234" spans="1:30" x14ac:dyDescent="0.25">
      <c r="A1234" s="36" t="s">
        <v>27</v>
      </c>
      <c r="B1234" s="36" t="s">
        <v>2005</v>
      </c>
      <c r="C1234" s="36" t="s">
        <v>28</v>
      </c>
      <c r="D1234" s="36" t="s">
        <v>2005</v>
      </c>
      <c r="E1234" s="36" t="s">
        <v>30</v>
      </c>
      <c r="F1234" s="36" t="s">
        <v>569</v>
      </c>
      <c r="G1234" s="37" t="s">
        <v>1902</v>
      </c>
      <c r="H1234" s="36" t="s">
        <v>2006</v>
      </c>
      <c r="I1234" s="36" t="s">
        <v>2007</v>
      </c>
      <c r="J1234" s="36">
        <v>4</v>
      </c>
      <c r="K1234" s="36" t="s">
        <v>1406</v>
      </c>
      <c r="L1234" s="36">
        <v>4</v>
      </c>
      <c r="M1234" s="36">
        <v>4</v>
      </c>
      <c r="N1234" s="38">
        <v>1000</v>
      </c>
      <c r="O1234" s="38">
        <v>4000</v>
      </c>
      <c r="P1234" s="36">
        <v>1</v>
      </c>
      <c r="Q1234" s="40">
        <v>46174</v>
      </c>
      <c r="R1234" s="36" t="s">
        <v>1469</v>
      </c>
      <c r="S1234" s="36" t="s">
        <v>2008</v>
      </c>
      <c r="T1234" s="36" t="s">
        <v>2009</v>
      </c>
      <c r="U1234" s="36" t="s">
        <v>1472</v>
      </c>
      <c r="V1234" s="40">
        <v>46143</v>
      </c>
      <c r="W1234" s="36"/>
      <c r="X1234" s="36">
        <v>0</v>
      </c>
      <c r="Y1234" s="36"/>
      <c r="Z1234" s="36">
        <v>0</v>
      </c>
      <c r="AA1234" s="36">
        <v>0</v>
      </c>
      <c r="AB1234" s="36"/>
      <c r="AC1234" s="36" t="str">
        <f t="shared" si="7"/>
        <v>PC26</v>
      </c>
      <c r="AD1234" s="36" t="str">
        <f>VLOOKUP(D1234,Oficial!A:C,3,0)</f>
        <v>Bienes y Servicios</v>
      </c>
    </row>
    <row r="1235" spans="1:30" x14ac:dyDescent="0.25">
      <c r="A1235" s="36" t="s">
        <v>27</v>
      </c>
      <c r="B1235" s="36" t="s">
        <v>2005</v>
      </c>
      <c r="C1235" s="36" t="s">
        <v>28</v>
      </c>
      <c r="D1235" s="36" t="s">
        <v>2005</v>
      </c>
      <c r="E1235" s="36" t="s">
        <v>30</v>
      </c>
      <c r="F1235" s="36" t="s">
        <v>569</v>
      </c>
      <c r="G1235" s="37" t="s">
        <v>1902</v>
      </c>
      <c r="H1235" s="36" t="s">
        <v>2006</v>
      </c>
      <c r="I1235" s="36" t="s">
        <v>2007</v>
      </c>
      <c r="J1235" s="36">
        <v>4</v>
      </c>
      <c r="K1235" s="36" t="s">
        <v>1954</v>
      </c>
      <c r="L1235" s="36">
        <v>4</v>
      </c>
      <c r="M1235" s="36">
        <v>452</v>
      </c>
      <c r="N1235" s="38">
        <v>1613</v>
      </c>
      <c r="O1235" s="38">
        <v>729076</v>
      </c>
      <c r="P1235" s="36">
        <v>1</v>
      </c>
      <c r="Q1235" s="40">
        <v>46082</v>
      </c>
      <c r="R1235" s="36" t="s">
        <v>1469</v>
      </c>
      <c r="S1235" s="36" t="s">
        <v>2008</v>
      </c>
      <c r="T1235" s="36" t="s">
        <v>2009</v>
      </c>
      <c r="U1235" s="36" t="s">
        <v>1472</v>
      </c>
      <c r="V1235" s="40">
        <v>46054</v>
      </c>
      <c r="W1235" s="36"/>
      <c r="X1235" s="36">
        <v>0</v>
      </c>
      <c r="Y1235" s="36"/>
      <c r="Z1235" s="36">
        <v>0</v>
      </c>
      <c r="AA1235" s="36">
        <v>0</v>
      </c>
      <c r="AB1235" s="36"/>
      <c r="AC1235" s="36" t="str">
        <f t="shared" si="7"/>
        <v>PC26</v>
      </c>
      <c r="AD1235" s="36" t="str">
        <f>VLOOKUP(D1235,Oficial!A:C,3,0)</f>
        <v>Bienes y Servicios</v>
      </c>
    </row>
    <row r="1236" spans="1:30" x14ac:dyDescent="0.25">
      <c r="A1236" s="36" t="s">
        <v>27</v>
      </c>
      <c r="B1236" s="36" t="s">
        <v>2011</v>
      </c>
      <c r="C1236" s="36" t="s">
        <v>28</v>
      </c>
      <c r="D1236" s="36" t="s">
        <v>2011</v>
      </c>
      <c r="E1236" s="36" t="s">
        <v>30</v>
      </c>
      <c r="F1236" s="36" t="s">
        <v>569</v>
      </c>
      <c r="G1236" s="37">
        <v>2599</v>
      </c>
      <c r="H1236" s="36" t="s">
        <v>2012</v>
      </c>
      <c r="I1236" s="36" t="s">
        <v>2013</v>
      </c>
      <c r="J1236" s="36">
        <v>2</v>
      </c>
      <c r="K1236" s="36" t="s">
        <v>2014</v>
      </c>
      <c r="L1236" s="36">
        <v>4</v>
      </c>
      <c r="M1236" s="36">
        <v>1000</v>
      </c>
      <c r="N1236" s="38">
        <v>10000</v>
      </c>
      <c r="O1236" s="38">
        <v>10000000</v>
      </c>
      <c r="P1236" s="36">
        <v>12</v>
      </c>
      <c r="Q1236" s="36" t="s">
        <v>413</v>
      </c>
      <c r="R1236" s="36" t="s">
        <v>1985</v>
      </c>
      <c r="S1236" s="36" t="s">
        <v>1986</v>
      </c>
      <c r="T1236" s="36" t="s">
        <v>1987</v>
      </c>
      <c r="U1236" s="36" t="s">
        <v>1988</v>
      </c>
      <c r="V1236" s="40">
        <v>46023</v>
      </c>
      <c r="W1236" s="36"/>
      <c r="X1236" s="36">
        <v>0</v>
      </c>
      <c r="Y1236" s="36"/>
      <c r="Z1236" s="36">
        <v>0</v>
      </c>
      <c r="AA1236" s="36">
        <v>0</v>
      </c>
      <c r="AB1236" s="36"/>
      <c r="AC1236" s="36" t="str">
        <f t="shared" si="7"/>
        <v>PC26</v>
      </c>
      <c r="AD1236" s="36" t="str">
        <f>VLOOKUP(D1236,Oficial!A:C,3,0)</f>
        <v>Bienes y Servicios</v>
      </c>
    </row>
    <row r="1237" spans="1:30" x14ac:dyDescent="0.25">
      <c r="A1237" s="36" t="s">
        <v>27</v>
      </c>
      <c r="B1237" s="36" t="s">
        <v>2011</v>
      </c>
      <c r="C1237" s="36" t="s">
        <v>28</v>
      </c>
      <c r="D1237" s="36" t="s">
        <v>2011</v>
      </c>
      <c r="E1237" s="36" t="s">
        <v>30</v>
      </c>
      <c r="F1237" s="36" t="s">
        <v>569</v>
      </c>
      <c r="G1237" s="37">
        <v>2599</v>
      </c>
      <c r="H1237" s="36" t="s">
        <v>2012</v>
      </c>
      <c r="I1237" s="36" t="s">
        <v>2013</v>
      </c>
      <c r="J1237" s="36">
        <v>2</v>
      </c>
      <c r="K1237" s="36" t="s">
        <v>2015</v>
      </c>
      <c r="L1237" s="36">
        <v>4</v>
      </c>
      <c r="M1237" s="36">
        <v>12000</v>
      </c>
      <c r="N1237" s="38">
        <v>3334</v>
      </c>
      <c r="O1237" s="38">
        <v>40008000</v>
      </c>
      <c r="P1237" s="36">
        <v>12</v>
      </c>
      <c r="Q1237" s="36" t="s">
        <v>413</v>
      </c>
      <c r="R1237" s="36" t="s">
        <v>1985</v>
      </c>
      <c r="S1237" s="36" t="s">
        <v>1986</v>
      </c>
      <c r="T1237" s="36" t="s">
        <v>1987</v>
      </c>
      <c r="U1237" s="36" t="s">
        <v>1988</v>
      </c>
      <c r="V1237" s="40">
        <v>46023</v>
      </c>
      <c r="W1237" s="36"/>
      <c r="X1237" s="36">
        <v>0</v>
      </c>
      <c r="Y1237" s="36"/>
      <c r="Z1237" s="36">
        <v>0</v>
      </c>
      <c r="AA1237" s="36">
        <v>0</v>
      </c>
      <c r="AB1237" s="36"/>
      <c r="AC1237" s="36" t="str">
        <f t="shared" si="7"/>
        <v>PC26</v>
      </c>
      <c r="AD1237" s="36" t="str">
        <f>VLOOKUP(D1237,Oficial!A:C,3,0)</f>
        <v>Bienes y Servicios</v>
      </c>
    </row>
    <row r="1238" spans="1:30" x14ac:dyDescent="0.25">
      <c r="A1238" s="36" t="s">
        <v>27</v>
      </c>
      <c r="B1238" s="36" t="s">
        <v>2016</v>
      </c>
      <c r="C1238" s="36" t="s">
        <v>28</v>
      </c>
      <c r="D1238" s="36" t="s">
        <v>2016</v>
      </c>
      <c r="E1238" s="36" t="s">
        <v>30</v>
      </c>
      <c r="F1238" s="36" t="s">
        <v>569</v>
      </c>
      <c r="G1238" s="37" t="s">
        <v>654</v>
      </c>
      <c r="H1238" s="36" t="s">
        <v>2017</v>
      </c>
      <c r="I1238" s="36" t="s">
        <v>2018</v>
      </c>
      <c r="J1238" s="36">
        <v>3</v>
      </c>
      <c r="K1238" s="36" t="s">
        <v>740</v>
      </c>
      <c r="L1238" s="36">
        <v>4</v>
      </c>
      <c r="M1238" s="36">
        <v>22</v>
      </c>
      <c r="N1238" s="38">
        <v>2955</v>
      </c>
      <c r="O1238" s="38">
        <v>65010</v>
      </c>
      <c r="P1238" s="36">
        <v>1</v>
      </c>
      <c r="Q1238" s="40">
        <v>46082</v>
      </c>
      <c r="R1238" s="36" t="s">
        <v>1963</v>
      </c>
      <c r="S1238" s="36" t="s">
        <v>1964</v>
      </c>
      <c r="T1238" s="36" t="s">
        <v>1212</v>
      </c>
      <c r="U1238" s="36" t="s">
        <v>1965</v>
      </c>
      <c r="V1238" s="40">
        <v>46082</v>
      </c>
      <c r="W1238" s="36"/>
      <c r="X1238" s="36">
        <v>0</v>
      </c>
      <c r="Y1238" s="36"/>
      <c r="Z1238" s="36">
        <v>0</v>
      </c>
      <c r="AA1238" s="36">
        <v>0</v>
      </c>
      <c r="AB1238" s="36"/>
      <c r="AC1238" s="36" t="str">
        <f t="shared" si="7"/>
        <v>PC26</v>
      </c>
      <c r="AD1238" s="36" t="str">
        <f>VLOOKUP(D1238,Oficial!A:C,3,0)</f>
        <v>Bienes y Servicios</v>
      </c>
    </row>
    <row r="1239" spans="1:30" x14ac:dyDescent="0.25">
      <c r="A1239" s="36" t="s">
        <v>27</v>
      </c>
      <c r="B1239" s="36" t="s">
        <v>2016</v>
      </c>
      <c r="C1239" s="36" t="s">
        <v>28</v>
      </c>
      <c r="D1239" s="36" t="s">
        <v>2016</v>
      </c>
      <c r="E1239" s="36" t="s">
        <v>30</v>
      </c>
      <c r="F1239" s="36" t="s">
        <v>569</v>
      </c>
      <c r="G1239" s="37" t="s">
        <v>654</v>
      </c>
      <c r="H1239" s="36" t="s">
        <v>2017</v>
      </c>
      <c r="I1239" s="36" t="s">
        <v>2018</v>
      </c>
      <c r="J1239" s="36">
        <v>3</v>
      </c>
      <c r="K1239" s="36" t="s">
        <v>2019</v>
      </c>
      <c r="L1239" s="36">
        <v>4</v>
      </c>
      <c r="M1239" s="36">
        <v>22</v>
      </c>
      <c r="N1239" s="38">
        <v>2046</v>
      </c>
      <c r="O1239" s="38">
        <v>45012</v>
      </c>
      <c r="P1239" s="36">
        <v>1</v>
      </c>
      <c r="Q1239" s="40">
        <v>46082</v>
      </c>
      <c r="R1239" s="36" t="s">
        <v>1963</v>
      </c>
      <c r="S1239" s="36" t="s">
        <v>1964</v>
      </c>
      <c r="T1239" s="36" t="s">
        <v>1212</v>
      </c>
      <c r="U1239" s="36" t="s">
        <v>1965</v>
      </c>
      <c r="V1239" s="40">
        <v>46082</v>
      </c>
      <c r="W1239" s="36"/>
      <c r="X1239" s="36">
        <v>0</v>
      </c>
      <c r="Y1239" s="36"/>
      <c r="Z1239" s="36">
        <v>0</v>
      </c>
      <c r="AA1239" s="36">
        <v>0</v>
      </c>
      <c r="AB1239" s="36"/>
      <c r="AC1239" s="36" t="str">
        <f t="shared" ref="AC1239:AC1302" si="8">RIGHT(D1239,4)</f>
        <v>PC26</v>
      </c>
      <c r="AD1239" s="36" t="str">
        <f>VLOOKUP(D1239,Oficial!A:C,3,0)</f>
        <v>Bienes y Servicios</v>
      </c>
    </row>
    <row r="1240" spans="1:30" x14ac:dyDescent="0.25">
      <c r="A1240" s="36" t="s">
        <v>27</v>
      </c>
      <c r="B1240" s="36" t="s">
        <v>2016</v>
      </c>
      <c r="C1240" s="36" t="s">
        <v>28</v>
      </c>
      <c r="D1240" s="36" t="s">
        <v>2016</v>
      </c>
      <c r="E1240" s="36" t="s">
        <v>30</v>
      </c>
      <c r="F1240" s="36" t="s">
        <v>569</v>
      </c>
      <c r="G1240" s="37" t="s">
        <v>654</v>
      </c>
      <c r="H1240" s="36" t="s">
        <v>2017</v>
      </c>
      <c r="I1240" s="36" t="s">
        <v>2018</v>
      </c>
      <c r="J1240" s="36">
        <v>3</v>
      </c>
      <c r="K1240" s="36" t="s">
        <v>962</v>
      </c>
      <c r="L1240" s="36">
        <v>4</v>
      </c>
      <c r="M1240" s="36">
        <v>22</v>
      </c>
      <c r="N1240" s="38">
        <v>5455</v>
      </c>
      <c r="O1240" s="38">
        <v>120010</v>
      </c>
      <c r="P1240" s="36">
        <v>1</v>
      </c>
      <c r="Q1240" s="40">
        <v>46082</v>
      </c>
      <c r="R1240" s="36" t="s">
        <v>1963</v>
      </c>
      <c r="S1240" s="36" t="s">
        <v>1964</v>
      </c>
      <c r="T1240" s="36" t="s">
        <v>1212</v>
      </c>
      <c r="U1240" s="36" t="s">
        <v>1965</v>
      </c>
      <c r="V1240" s="40">
        <v>46082</v>
      </c>
      <c r="W1240" s="36"/>
      <c r="X1240" s="36">
        <v>0</v>
      </c>
      <c r="Y1240" s="36"/>
      <c r="Z1240" s="36">
        <v>0</v>
      </c>
      <c r="AA1240" s="36">
        <v>0</v>
      </c>
      <c r="AB1240" s="36"/>
      <c r="AC1240" s="36" t="str">
        <f t="shared" si="8"/>
        <v>PC26</v>
      </c>
      <c r="AD1240" s="36" t="str">
        <f>VLOOKUP(D1240,Oficial!A:C,3,0)</f>
        <v>Bienes y Servicios</v>
      </c>
    </row>
    <row r="1241" spans="1:30" x14ac:dyDescent="0.25">
      <c r="A1241" s="36" t="s">
        <v>27</v>
      </c>
      <c r="B1241" s="36" t="s">
        <v>2020</v>
      </c>
      <c r="C1241" s="36" t="s">
        <v>28</v>
      </c>
      <c r="D1241" s="36" t="s">
        <v>2020</v>
      </c>
      <c r="E1241" s="36" t="s">
        <v>30</v>
      </c>
      <c r="F1241" s="36" t="s">
        <v>569</v>
      </c>
      <c r="G1241" s="37">
        <v>2601</v>
      </c>
      <c r="H1241" s="36" t="s">
        <v>2021</v>
      </c>
      <c r="I1241" s="36" t="s">
        <v>2022</v>
      </c>
      <c r="J1241" s="36">
        <v>1</v>
      </c>
      <c r="K1241" s="36" t="s">
        <v>2023</v>
      </c>
      <c r="L1241" s="36">
        <v>4</v>
      </c>
      <c r="M1241" s="36">
        <v>15</v>
      </c>
      <c r="N1241" s="38">
        <v>46667</v>
      </c>
      <c r="O1241" s="38">
        <v>700005</v>
      </c>
      <c r="P1241" s="36">
        <v>1</v>
      </c>
      <c r="Q1241" s="40">
        <v>46023</v>
      </c>
      <c r="R1241" s="36" t="s">
        <v>1985</v>
      </c>
      <c r="S1241" s="36" t="s">
        <v>1986</v>
      </c>
      <c r="T1241" s="36" t="s">
        <v>1987</v>
      </c>
      <c r="U1241" s="36" t="s">
        <v>1988</v>
      </c>
      <c r="V1241" s="40">
        <v>46023</v>
      </c>
      <c r="W1241" s="36"/>
      <c r="X1241" s="36">
        <v>0</v>
      </c>
      <c r="Y1241" s="36"/>
      <c r="Z1241" s="36">
        <v>0</v>
      </c>
      <c r="AA1241" s="36">
        <v>0</v>
      </c>
      <c r="AB1241" s="36"/>
      <c r="AC1241" s="36" t="str">
        <f t="shared" si="8"/>
        <v>PC26</v>
      </c>
      <c r="AD1241" s="36" t="str">
        <f>VLOOKUP(D1241,Oficial!A:C,3,0)</f>
        <v>Bienes y Servicios</v>
      </c>
    </row>
    <row r="1242" spans="1:30" x14ac:dyDescent="0.25">
      <c r="A1242" s="36" t="s">
        <v>27</v>
      </c>
      <c r="B1242" s="36" t="s">
        <v>2024</v>
      </c>
      <c r="C1242" s="36" t="s">
        <v>28</v>
      </c>
      <c r="D1242" s="36" t="s">
        <v>2024</v>
      </c>
      <c r="E1242" s="36" t="s">
        <v>30</v>
      </c>
      <c r="F1242" s="36" t="s">
        <v>569</v>
      </c>
      <c r="G1242" s="37" t="s">
        <v>314</v>
      </c>
      <c r="H1242" s="36" t="s">
        <v>2025</v>
      </c>
      <c r="I1242" s="36" t="s">
        <v>2026</v>
      </c>
      <c r="J1242" s="36">
        <v>1</v>
      </c>
      <c r="K1242" s="36" t="s">
        <v>2027</v>
      </c>
      <c r="L1242" s="36">
        <v>4</v>
      </c>
      <c r="M1242" s="36">
        <v>1</v>
      </c>
      <c r="N1242" s="38">
        <v>10000000</v>
      </c>
      <c r="O1242" s="38">
        <v>10000000</v>
      </c>
      <c r="P1242" s="36">
        <v>12</v>
      </c>
      <c r="Q1242" s="36" t="s">
        <v>413</v>
      </c>
      <c r="R1242" s="36" t="s">
        <v>1985</v>
      </c>
      <c r="S1242" s="36" t="s">
        <v>1986</v>
      </c>
      <c r="T1242" s="36" t="s">
        <v>1987</v>
      </c>
      <c r="U1242" s="36" t="s">
        <v>1988</v>
      </c>
      <c r="V1242" s="40">
        <v>46023</v>
      </c>
      <c r="W1242" s="36"/>
      <c r="X1242" s="36">
        <v>0</v>
      </c>
      <c r="Y1242" s="36"/>
      <c r="Z1242" s="36">
        <v>0</v>
      </c>
      <c r="AA1242" s="36">
        <v>0</v>
      </c>
      <c r="AB1242" s="36"/>
      <c r="AC1242" s="36" t="str">
        <f t="shared" si="8"/>
        <v>PC26</v>
      </c>
      <c r="AD1242" s="36" t="str">
        <f>VLOOKUP(D1242,Oficial!A:C,3,0)</f>
        <v>Bienes y Servicios</v>
      </c>
    </row>
    <row r="1243" spans="1:30" x14ac:dyDescent="0.25">
      <c r="A1243" s="36" t="s">
        <v>27</v>
      </c>
      <c r="B1243" s="36" t="s">
        <v>2028</v>
      </c>
      <c r="C1243" s="36" t="s">
        <v>374</v>
      </c>
      <c r="D1243" s="36" t="s">
        <v>2028</v>
      </c>
      <c r="E1243" s="36" t="s">
        <v>30</v>
      </c>
      <c r="F1243" s="36" t="s">
        <v>569</v>
      </c>
      <c r="G1243" s="37">
        <v>2603</v>
      </c>
      <c r="H1243" s="36" t="s">
        <v>2029</v>
      </c>
      <c r="I1243" s="36" t="s">
        <v>2030</v>
      </c>
      <c r="J1243" s="36">
        <v>8</v>
      </c>
      <c r="K1243" s="36" t="s">
        <v>2031</v>
      </c>
      <c r="L1243" s="36">
        <v>4</v>
      </c>
      <c r="M1243" s="36">
        <v>500</v>
      </c>
      <c r="N1243" s="38">
        <v>1200</v>
      </c>
      <c r="O1243" s="38">
        <v>600000</v>
      </c>
      <c r="P1243" s="36">
        <v>1</v>
      </c>
      <c r="Q1243" s="40">
        <v>46082</v>
      </c>
      <c r="R1243" s="36" t="s">
        <v>2032</v>
      </c>
      <c r="S1243" s="36" t="s">
        <v>2033</v>
      </c>
      <c r="T1243" s="36" t="s">
        <v>2034</v>
      </c>
      <c r="U1243" s="36" t="s">
        <v>2035</v>
      </c>
      <c r="V1243" s="40">
        <v>46082</v>
      </c>
      <c r="W1243" s="36"/>
      <c r="X1243" s="36">
        <v>0</v>
      </c>
      <c r="Y1243" s="36"/>
      <c r="Z1243" s="36">
        <v>0</v>
      </c>
      <c r="AA1243" s="36">
        <v>0</v>
      </c>
      <c r="AB1243" s="36"/>
      <c r="AC1243" s="36" t="str">
        <f t="shared" si="8"/>
        <v>PC26</v>
      </c>
      <c r="AD1243" s="36" t="str">
        <f>VLOOKUP(D1243,Oficial!A:C,3,0)</f>
        <v>Administración de Fondos</v>
      </c>
    </row>
    <row r="1244" spans="1:30" x14ac:dyDescent="0.25">
      <c r="A1244" s="36" t="s">
        <v>27</v>
      </c>
      <c r="B1244" s="36" t="s">
        <v>2028</v>
      </c>
      <c r="C1244" s="36" t="s">
        <v>374</v>
      </c>
      <c r="D1244" s="36" t="s">
        <v>2028</v>
      </c>
      <c r="E1244" s="36" t="s">
        <v>30</v>
      </c>
      <c r="F1244" s="36" t="s">
        <v>569</v>
      </c>
      <c r="G1244" s="37">
        <v>2603</v>
      </c>
      <c r="H1244" s="36" t="s">
        <v>2029</v>
      </c>
      <c r="I1244" s="36" t="s">
        <v>2030</v>
      </c>
      <c r="J1244" s="36">
        <v>8</v>
      </c>
      <c r="K1244" s="36" t="s">
        <v>1678</v>
      </c>
      <c r="L1244" s="36">
        <v>4</v>
      </c>
      <c r="M1244" s="36">
        <v>2</v>
      </c>
      <c r="N1244" s="38">
        <v>197770</v>
      </c>
      <c r="O1244" s="38">
        <v>395540</v>
      </c>
      <c r="P1244" s="36">
        <v>1</v>
      </c>
      <c r="Q1244" s="40">
        <v>46082</v>
      </c>
      <c r="R1244" s="36" t="s">
        <v>2032</v>
      </c>
      <c r="S1244" s="36" t="s">
        <v>2033</v>
      </c>
      <c r="T1244" s="36" t="s">
        <v>2034</v>
      </c>
      <c r="U1244" s="36" t="s">
        <v>2035</v>
      </c>
      <c r="V1244" s="40">
        <v>46082</v>
      </c>
      <c r="W1244" s="36"/>
      <c r="X1244" s="36">
        <v>0</v>
      </c>
      <c r="Y1244" s="36"/>
      <c r="Z1244" s="36">
        <v>0</v>
      </c>
      <c r="AA1244" s="36">
        <v>0</v>
      </c>
      <c r="AB1244" s="36"/>
      <c r="AC1244" s="36" t="str">
        <f t="shared" si="8"/>
        <v>PC26</v>
      </c>
      <c r="AD1244" s="36" t="str">
        <f>VLOOKUP(D1244,Oficial!A:C,3,0)</f>
        <v>Administración de Fondos</v>
      </c>
    </row>
    <row r="1245" spans="1:30" x14ac:dyDescent="0.25">
      <c r="A1245" s="36" t="s">
        <v>27</v>
      </c>
      <c r="B1245" s="36" t="s">
        <v>2028</v>
      </c>
      <c r="C1245" s="36" t="s">
        <v>374</v>
      </c>
      <c r="D1245" s="36" t="s">
        <v>2028</v>
      </c>
      <c r="E1245" s="36" t="s">
        <v>30</v>
      </c>
      <c r="F1245" s="36" t="s">
        <v>569</v>
      </c>
      <c r="G1245" s="37">
        <v>2603</v>
      </c>
      <c r="H1245" s="36" t="s">
        <v>2029</v>
      </c>
      <c r="I1245" s="36" t="s">
        <v>2030</v>
      </c>
      <c r="J1245" s="36">
        <v>8</v>
      </c>
      <c r="K1245" s="36" t="s">
        <v>370</v>
      </c>
      <c r="L1245" s="36">
        <v>4</v>
      </c>
      <c r="M1245" s="36">
        <v>1</v>
      </c>
      <c r="N1245" s="38">
        <v>250000</v>
      </c>
      <c r="O1245" s="38">
        <v>250000</v>
      </c>
      <c r="P1245" s="36">
        <v>1</v>
      </c>
      <c r="Q1245" s="40">
        <v>46082</v>
      </c>
      <c r="R1245" s="36" t="s">
        <v>2032</v>
      </c>
      <c r="S1245" s="36" t="s">
        <v>2033</v>
      </c>
      <c r="T1245" s="36" t="s">
        <v>2034</v>
      </c>
      <c r="U1245" s="36" t="s">
        <v>2035</v>
      </c>
      <c r="V1245" s="40">
        <v>46082</v>
      </c>
      <c r="W1245" s="36"/>
      <c r="X1245" s="36">
        <v>0</v>
      </c>
      <c r="Y1245" s="36"/>
      <c r="Z1245" s="36">
        <v>0</v>
      </c>
      <c r="AA1245" s="36">
        <v>0</v>
      </c>
      <c r="AB1245" s="36"/>
      <c r="AC1245" s="36" t="str">
        <f t="shared" si="8"/>
        <v>PC26</v>
      </c>
      <c r="AD1245" s="36" t="str">
        <f>VLOOKUP(D1245,Oficial!A:C,3,0)</f>
        <v>Administración de Fondos</v>
      </c>
    </row>
    <row r="1246" spans="1:30" x14ac:dyDescent="0.25">
      <c r="A1246" s="36" t="s">
        <v>27</v>
      </c>
      <c r="B1246" s="36" t="s">
        <v>2028</v>
      </c>
      <c r="C1246" s="36" t="s">
        <v>374</v>
      </c>
      <c r="D1246" s="36" t="s">
        <v>2028</v>
      </c>
      <c r="E1246" s="36" t="s">
        <v>30</v>
      </c>
      <c r="F1246" s="36" t="s">
        <v>569</v>
      </c>
      <c r="G1246" s="37">
        <v>2603</v>
      </c>
      <c r="H1246" s="36" t="s">
        <v>2029</v>
      </c>
      <c r="I1246" s="36" t="s">
        <v>2030</v>
      </c>
      <c r="J1246" s="36">
        <v>8</v>
      </c>
      <c r="K1246" s="36" t="s">
        <v>831</v>
      </c>
      <c r="L1246" s="36">
        <v>4</v>
      </c>
      <c r="M1246" s="36">
        <v>1000</v>
      </c>
      <c r="N1246" s="38">
        <v>930</v>
      </c>
      <c r="O1246" s="38">
        <v>930000</v>
      </c>
      <c r="P1246" s="36">
        <v>1</v>
      </c>
      <c r="Q1246" s="40">
        <v>46082</v>
      </c>
      <c r="R1246" s="36" t="s">
        <v>2032</v>
      </c>
      <c r="S1246" s="36" t="s">
        <v>2033</v>
      </c>
      <c r="T1246" s="36" t="s">
        <v>2034</v>
      </c>
      <c r="U1246" s="36" t="s">
        <v>2035</v>
      </c>
      <c r="V1246" s="40">
        <v>46082</v>
      </c>
      <c r="W1246" s="36"/>
      <c r="X1246" s="36">
        <v>0</v>
      </c>
      <c r="Y1246" s="36"/>
      <c r="Z1246" s="36">
        <v>0</v>
      </c>
      <c r="AA1246" s="36">
        <v>0</v>
      </c>
      <c r="AB1246" s="36"/>
      <c r="AC1246" s="36" t="str">
        <f t="shared" si="8"/>
        <v>PC26</v>
      </c>
      <c r="AD1246" s="36" t="str">
        <f>VLOOKUP(D1246,Oficial!A:C,3,0)</f>
        <v>Administración de Fondos</v>
      </c>
    </row>
    <row r="1247" spans="1:30" x14ac:dyDescent="0.25">
      <c r="A1247" s="36" t="s">
        <v>27</v>
      </c>
      <c r="B1247" s="36" t="s">
        <v>2028</v>
      </c>
      <c r="C1247" s="36" t="s">
        <v>374</v>
      </c>
      <c r="D1247" s="36" t="s">
        <v>2028</v>
      </c>
      <c r="E1247" s="36" t="s">
        <v>30</v>
      </c>
      <c r="F1247" s="36" t="s">
        <v>569</v>
      </c>
      <c r="G1247" s="37">
        <v>2603</v>
      </c>
      <c r="H1247" s="36" t="s">
        <v>2029</v>
      </c>
      <c r="I1247" s="36" t="s">
        <v>2030</v>
      </c>
      <c r="J1247" s="36">
        <v>8</v>
      </c>
      <c r="K1247" s="36" t="s">
        <v>2036</v>
      </c>
      <c r="L1247" s="36">
        <v>4</v>
      </c>
      <c r="M1247" s="36">
        <v>1</v>
      </c>
      <c r="N1247" s="38">
        <v>1200000</v>
      </c>
      <c r="O1247" s="38">
        <v>1200000</v>
      </c>
      <c r="P1247" s="36">
        <v>1</v>
      </c>
      <c r="Q1247" s="40">
        <v>46082</v>
      </c>
      <c r="R1247" s="36" t="s">
        <v>2032</v>
      </c>
      <c r="S1247" s="36" t="s">
        <v>2033</v>
      </c>
      <c r="T1247" s="36" t="s">
        <v>2034</v>
      </c>
      <c r="U1247" s="36" t="s">
        <v>2035</v>
      </c>
      <c r="V1247" s="40">
        <v>46082</v>
      </c>
      <c r="W1247" s="36"/>
      <c r="X1247" s="36">
        <v>0</v>
      </c>
      <c r="Y1247" s="36"/>
      <c r="Z1247" s="36">
        <v>0</v>
      </c>
      <c r="AA1247" s="36">
        <v>0</v>
      </c>
      <c r="AB1247" s="36"/>
      <c r="AC1247" s="36" t="str">
        <f t="shared" si="8"/>
        <v>PC26</v>
      </c>
      <c r="AD1247" s="36" t="str">
        <f>VLOOKUP(D1247,Oficial!A:C,3,0)</f>
        <v>Administración de Fondos</v>
      </c>
    </row>
    <row r="1248" spans="1:30" x14ac:dyDescent="0.25">
      <c r="A1248" s="36" t="s">
        <v>27</v>
      </c>
      <c r="B1248" s="36" t="s">
        <v>2028</v>
      </c>
      <c r="C1248" s="36" t="s">
        <v>374</v>
      </c>
      <c r="D1248" s="36" t="s">
        <v>2028</v>
      </c>
      <c r="E1248" s="36" t="s">
        <v>30</v>
      </c>
      <c r="F1248" s="36" t="s">
        <v>569</v>
      </c>
      <c r="G1248" s="37">
        <v>2603</v>
      </c>
      <c r="H1248" s="36" t="s">
        <v>2029</v>
      </c>
      <c r="I1248" s="36" t="s">
        <v>2030</v>
      </c>
      <c r="J1248" s="36">
        <v>8</v>
      </c>
      <c r="K1248" s="36" t="s">
        <v>486</v>
      </c>
      <c r="L1248" s="36">
        <v>4</v>
      </c>
      <c r="M1248" s="36">
        <v>1000</v>
      </c>
      <c r="N1248" s="38">
        <v>1164</v>
      </c>
      <c r="O1248" s="38">
        <v>1164000</v>
      </c>
      <c r="P1248" s="36">
        <v>1</v>
      </c>
      <c r="Q1248" s="40">
        <v>46082</v>
      </c>
      <c r="R1248" s="36" t="s">
        <v>2032</v>
      </c>
      <c r="S1248" s="36" t="s">
        <v>2033</v>
      </c>
      <c r="T1248" s="36" t="s">
        <v>2034</v>
      </c>
      <c r="U1248" s="36" t="s">
        <v>2035</v>
      </c>
      <c r="V1248" s="40">
        <v>46082</v>
      </c>
      <c r="W1248" s="36"/>
      <c r="X1248" s="36">
        <v>0</v>
      </c>
      <c r="Y1248" s="36"/>
      <c r="Z1248" s="36">
        <v>0</v>
      </c>
      <c r="AA1248" s="36">
        <v>0</v>
      </c>
      <c r="AB1248" s="36"/>
      <c r="AC1248" s="36" t="str">
        <f t="shared" si="8"/>
        <v>PC26</v>
      </c>
      <c r="AD1248" s="36" t="str">
        <f>VLOOKUP(D1248,Oficial!A:C,3,0)</f>
        <v>Administración de Fondos</v>
      </c>
    </row>
    <row r="1249" spans="1:30" x14ac:dyDescent="0.25">
      <c r="A1249" s="36" t="s">
        <v>27</v>
      </c>
      <c r="B1249" s="36" t="s">
        <v>2028</v>
      </c>
      <c r="C1249" s="36" t="s">
        <v>374</v>
      </c>
      <c r="D1249" s="36" t="s">
        <v>2028</v>
      </c>
      <c r="E1249" s="36" t="s">
        <v>30</v>
      </c>
      <c r="F1249" s="36" t="s">
        <v>569</v>
      </c>
      <c r="G1249" s="37">
        <v>2603</v>
      </c>
      <c r="H1249" s="36" t="s">
        <v>2029</v>
      </c>
      <c r="I1249" s="36" t="s">
        <v>2030</v>
      </c>
      <c r="J1249" s="36">
        <v>8</v>
      </c>
      <c r="K1249" s="36" t="s">
        <v>1174</v>
      </c>
      <c r="L1249" s="36">
        <v>4</v>
      </c>
      <c r="M1249" s="36">
        <v>1000</v>
      </c>
      <c r="N1249" s="38">
        <v>1195</v>
      </c>
      <c r="O1249" s="38">
        <v>1195000</v>
      </c>
      <c r="P1249" s="36">
        <v>1</v>
      </c>
      <c r="Q1249" s="40">
        <v>46082</v>
      </c>
      <c r="R1249" s="36" t="s">
        <v>2032</v>
      </c>
      <c r="S1249" s="36" t="s">
        <v>2033</v>
      </c>
      <c r="T1249" s="36" t="s">
        <v>2034</v>
      </c>
      <c r="U1249" s="36" t="s">
        <v>2035</v>
      </c>
      <c r="V1249" s="40">
        <v>46082</v>
      </c>
      <c r="W1249" s="36"/>
      <c r="X1249" s="36">
        <v>0</v>
      </c>
      <c r="Y1249" s="36"/>
      <c r="Z1249" s="36">
        <v>0</v>
      </c>
      <c r="AA1249" s="36">
        <v>0</v>
      </c>
      <c r="AB1249" s="36"/>
      <c r="AC1249" s="36" t="str">
        <f t="shared" si="8"/>
        <v>PC26</v>
      </c>
      <c r="AD1249" s="36" t="str">
        <f>VLOOKUP(D1249,Oficial!A:C,3,0)</f>
        <v>Administración de Fondos</v>
      </c>
    </row>
    <row r="1250" spans="1:30" x14ac:dyDescent="0.25">
      <c r="A1250" s="36" t="s">
        <v>27</v>
      </c>
      <c r="B1250" s="36" t="s">
        <v>2028</v>
      </c>
      <c r="C1250" s="36" t="s">
        <v>374</v>
      </c>
      <c r="D1250" s="36" t="s">
        <v>2028</v>
      </c>
      <c r="E1250" s="36" t="s">
        <v>30</v>
      </c>
      <c r="F1250" s="36" t="s">
        <v>569</v>
      </c>
      <c r="G1250" s="37">
        <v>2603</v>
      </c>
      <c r="H1250" s="36" t="s">
        <v>2029</v>
      </c>
      <c r="I1250" s="36" t="s">
        <v>2030</v>
      </c>
      <c r="J1250" s="36">
        <v>8</v>
      </c>
      <c r="K1250" s="36" t="s">
        <v>1279</v>
      </c>
      <c r="L1250" s="36">
        <v>4</v>
      </c>
      <c r="M1250" s="36">
        <v>500</v>
      </c>
      <c r="N1250" s="38">
        <v>3700</v>
      </c>
      <c r="O1250" s="38">
        <v>1850000</v>
      </c>
      <c r="P1250" s="36">
        <v>1</v>
      </c>
      <c r="Q1250" s="40">
        <v>46082</v>
      </c>
      <c r="R1250" s="36" t="s">
        <v>2032</v>
      </c>
      <c r="S1250" s="36" t="s">
        <v>2033</v>
      </c>
      <c r="T1250" s="36" t="s">
        <v>2034</v>
      </c>
      <c r="U1250" s="36" t="s">
        <v>2035</v>
      </c>
      <c r="V1250" s="40">
        <v>46082</v>
      </c>
      <c r="W1250" s="36"/>
      <c r="X1250" s="36">
        <v>0</v>
      </c>
      <c r="Y1250" s="36"/>
      <c r="Z1250" s="36">
        <v>0</v>
      </c>
      <c r="AA1250" s="36">
        <v>0</v>
      </c>
      <c r="AB1250" s="36"/>
      <c r="AC1250" s="36" t="str">
        <f t="shared" si="8"/>
        <v>PC26</v>
      </c>
      <c r="AD1250" s="36" t="str">
        <f>VLOOKUP(D1250,Oficial!A:C,3,0)</f>
        <v>Administración de Fondos</v>
      </c>
    </row>
    <row r="1251" spans="1:30" x14ac:dyDescent="0.25">
      <c r="A1251" s="36" t="s">
        <v>27</v>
      </c>
      <c r="B1251" s="36" t="s">
        <v>2037</v>
      </c>
      <c r="C1251" s="36" t="s">
        <v>1238</v>
      </c>
      <c r="D1251" s="36" t="s">
        <v>2037</v>
      </c>
      <c r="E1251" s="36" t="s">
        <v>30</v>
      </c>
      <c r="F1251" s="36" t="s">
        <v>569</v>
      </c>
      <c r="G1251" s="37">
        <v>2505</v>
      </c>
      <c r="H1251" s="36" t="s">
        <v>1658</v>
      </c>
      <c r="I1251" s="36" t="s">
        <v>1677</v>
      </c>
      <c r="J1251" s="36">
        <v>2</v>
      </c>
      <c r="K1251" s="36" t="s">
        <v>2038</v>
      </c>
      <c r="L1251" s="36">
        <v>4</v>
      </c>
      <c r="M1251" s="36">
        <v>15</v>
      </c>
      <c r="N1251" s="38">
        <v>1200000</v>
      </c>
      <c r="O1251" s="38">
        <v>18000000</v>
      </c>
      <c r="P1251" s="36">
        <v>1</v>
      </c>
      <c r="Q1251" s="40">
        <v>46174</v>
      </c>
      <c r="R1251" s="36" t="s">
        <v>2039</v>
      </c>
      <c r="S1251" s="36" t="s">
        <v>1661</v>
      </c>
      <c r="T1251" s="36" t="s">
        <v>1662</v>
      </c>
      <c r="U1251" s="36" t="s">
        <v>1663</v>
      </c>
      <c r="V1251" s="40">
        <v>46174</v>
      </c>
      <c r="W1251" s="36"/>
      <c r="X1251" s="36">
        <v>0</v>
      </c>
      <c r="Y1251" s="36"/>
      <c r="Z1251" s="36">
        <v>0</v>
      </c>
      <c r="AA1251" s="36">
        <v>0</v>
      </c>
      <c r="AB1251" s="36"/>
      <c r="AC1251" s="36" t="str">
        <f t="shared" si="8"/>
        <v>PC26</v>
      </c>
      <c r="AD1251" s="36" t="str">
        <f>VLOOKUP(D1251,Oficial!A:C,3,0)</f>
        <v>Activos Fijos</v>
      </c>
    </row>
    <row r="1252" spans="1:30" x14ac:dyDescent="0.25">
      <c r="A1252" s="36" t="s">
        <v>27</v>
      </c>
      <c r="B1252" s="36" t="s">
        <v>2037</v>
      </c>
      <c r="C1252" s="36" t="s">
        <v>1238</v>
      </c>
      <c r="D1252" s="36" t="s">
        <v>2037</v>
      </c>
      <c r="E1252" s="36" t="s">
        <v>30</v>
      </c>
      <c r="F1252" s="36" t="s">
        <v>569</v>
      </c>
      <c r="G1252" s="37">
        <v>2505</v>
      </c>
      <c r="H1252" s="36" t="s">
        <v>1658</v>
      </c>
      <c r="I1252" s="36" t="s">
        <v>1677</v>
      </c>
      <c r="J1252" s="36">
        <v>2</v>
      </c>
      <c r="K1252" s="36" t="s">
        <v>2040</v>
      </c>
      <c r="L1252" s="36">
        <v>4</v>
      </c>
      <c r="M1252" s="36">
        <v>1</v>
      </c>
      <c r="N1252" s="38">
        <v>1000000</v>
      </c>
      <c r="O1252" s="38">
        <v>1000000</v>
      </c>
      <c r="P1252" s="36">
        <v>1</v>
      </c>
      <c r="Q1252" s="40">
        <v>46174</v>
      </c>
      <c r="R1252" s="36" t="s">
        <v>2039</v>
      </c>
      <c r="S1252" s="36" t="s">
        <v>1661</v>
      </c>
      <c r="T1252" s="36" t="s">
        <v>1662</v>
      </c>
      <c r="U1252" s="36" t="s">
        <v>1663</v>
      </c>
      <c r="V1252" s="40">
        <v>46174</v>
      </c>
      <c r="W1252" s="36"/>
      <c r="X1252" s="36">
        <v>0</v>
      </c>
      <c r="Y1252" s="36"/>
      <c r="Z1252" s="36">
        <v>0</v>
      </c>
      <c r="AA1252" s="36">
        <v>0</v>
      </c>
      <c r="AB1252" s="36"/>
      <c r="AC1252" s="36" t="str">
        <f t="shared" si="8"/>
        <v>PC26</v>
      </c>
      <c r="AD1252" s="36" t="str">
        <f>VLOOKUP(D1252,Oficial!A:C,3,0)</f>
        <v>Activos Fijos</v>
      </c>
    </row>
    <row r="1253" spans="1:30" x14ac:dyDescent="0.25">
      <c r="A1253" s="36" t="s">
        <v>27</v>
      </c>
      <c r="B1253" s="36" t="s">
        <v>2041</v>
      </c>
      <c r="C1253" s="36" t="s">
        <v>28</v>
      </c>
      <c r="D1253" s="36" t="s">
        <v>2041</v>
      </c>
      <c r="E1253" s="36" t="s">
        <v>30</v>
      </c>
      <c r="F1253" s="36" t="s">
        <v>569</v>
      </c>
      <c r="G1253" s="37">
        <v>2169</v>
      </c>
      <c r="H1253" s="36" t="s">
        <v>2042</v>
      </c>
      <c r="I1253" s="36" t="s">
        <v>2043</v>
      </c>
      <c r="J1253" s="36">
        <v>6</v>
      </c>
      <c r="K1253" s="36" t="s">
        <v>821</v>
      </c>
      <c r="L1253" s="36">
        <v>4</v>
      </c>
      <c r="M1253" s="36">
        <v>5</v>
      </c>
      <c r="N1253" s="38">
        <v>12000</v>
      </c>
      <c r="O1253" s="38">
        <v>60000</v>
      </c>
      <c r="P1253" s="36">
        <v>1</v>
      </c>
      <c r="Q1253" s="40">
        <v>46023</v>
      </c>
      <c r="R1253" s="36" t="s">
        <v>657</v>
      </c>
      <c r="S1253" s="36" t="s">
        <v>658</v>
      </c>
      <c r="T1253" s="36" t="s">
        <v>659</v>
      </c>
      <c r="U1253" s="36" t="s">
        <v>660</v>
      </c>
      <c r="V1253" s="40">
        <v>46023</v>
      </c>
      <c r="W1253" s="36"/>
      <c r="X1253" s="36">
        <v>0</v>
      </c>
      <c r="Y1253" s="36"/>
      <c r="Z1253" s="36">
        <v>0</v>
      </c>
      <c r="AA1253" s="36">
        <v>0</v>
      </c>
      <c r="AB1253" s="36"/>
      <c r="AC1253" s="36" t="str">
        <f t="shared" si="8"/>
        <v>PC26</v>
      </c>
      <c r="AD1253" s="36" t="str">
        <f>VLOOKUP(D1253,Oficial!A:C,3,0)</f>
        <v>Bienes y Servicios</v>
      </c>
    </row>
    <row r="1254" spans="1:30" x14ac:dyDescent="0.25">
      <c r="A1254" s="36" t="s">
        <v>27</v>
      </c>
      <c r="B1254" s="36" t="s">
        <v>2041</v>
      </c>
      <c r="C1254" s="36" t="s">
        <v>28</v>
      </c>
      <c r="D1254" s="36" t="s">
        <v>2041</v>
      </c>
      <c r="E1254" s="36" t="s">
        <v>30</v>
      </c>
      <c r="F1254" s="36" t="s">
        <v>569</v>
      </c>
      <c r="G1254" s="37">
        <v>2169</v>
      </c>
      <c r="H1254" s="36" t="s">
        <v>2042</v>
      </c>
      <c r="I1254" s="36" t="s">
        <v>2043</v>
      </c>
      <c r="J1254" s="36">
        <v>6</v>
      </c>
      <c r="K1254" s="36" t="s">
        <v>1262</v>
      </c>
      <c r="L1254" s="36">
        <v>4</v>
      </c>
      <c r="M1254" s="36">
        <v>100</v>
      </c>
      <c r="N1254" s="38">
        <v>8150</v>
      </c>
      <c r="O1254" s="38">
        <v>815000</v>
      </c>
      <c r="P1254" s="36">
        <v>1</v>
      </c>
      <c r="Q1254" s="40">
        <v>46023</v>
      </c>
      <c r="R1254" s="36" t="s">
        <v>657</v>
      </c>
      <c r="S1254" s="36" t="s">
        <v>658</v>
      </c>
      <c r="T1254" s="36" t="s">
        <v>659</v>
      </c>
      <c r="U1254" s="36" t="s">
        <v>660</v>
      </c>
      <c r="V1254" s="40">
        <v>46023</v>
      </c>
      <c r="W1254" s="36"/>
      <c r="X1254" s="36">
        <v>0</v>
      </c>
      <c r="Y1254" s="36"/>
      <c r="Z1254" s="36">
        <v>0</v>
      </c>
      <c r="AA1254" s="36">
        <v>0</v>
      </c>
      <c r="AB1254" s="36"/>
      <c r="AC1254" s="36" t="str">
        <f t="shared" si="8"/>
        <v>PC26</v>
      </c>
      <c r="AD1254" s="36" t="str">
        <f>VLOOKUP(D1254,Oficial!A:C,3,0)</f>
        <v>Bienes y Servicios</v>
      </c>
    </row>
    <row r="1255" spans="1:30" x14ac:dyDescent="0.25">
      <c r="A1255" s="36" t="s">
        <v>27</v>
      </c>
      <c r="B1255" s="36" t="s">
        <v>2041</v>
      </c>
      <c r="C1255" s="36" t="s">
        <v>28</v>
      </c>
      <c r="D1255" s="36" t="s">
        <v>2041</v>
      </c>
      <c r="E1255" s="36" t="s">
        <v>30</v>
      </c>
      <c r="F1255" s="36" t="s">
        <v>569</v>
      </c>
      <c r="G1255" s="37">
        <v>2169</v>
      </c>
      <c r="H1255" s="36" t="s">
        <v>2042</v>
      </c>
      <c r="I1255" s="36" t="s">
        <v>2043</v>
      </c>
      <c r="J1255" s="36">
        <v>6</v>
      </c>
      <c r="K1255" s="36" t="s">
        <v>2044</v>
      </c>
      <c r="L1255" s="36">
        <v>4</v>
      </c>
      <c r="M1255" s="36">
        <v>20</v>
      </c>
      <c r="N1255" s="38">
        <v>41650</v>
      </c>
      <c r="O1255" s="38">
        <v>833000</v>
      </c>
      <c r="P1255" s="36">
        <v>1</v>
      </c>
      <c r="Q1255" s="40">
        <v>46023</v>
      </c>
      <c r="R1255" s="36" t="s">
        <v>657</v>
      </c>
      <c r="S1255" s="36" t="s">
        <v>658</v>
      </c>
      <c r="T1255" s="36" t="s">
        <v>659</v>
      </c>
      <c r="U1255" s="36" t="s">
        <v>660</v>
      </c>
      <c r="V1255" s="40">
        <v>46023</v>
      </c>
      <c r="W1255" s="36"/>
      <c r="X1255" s="36">
        <v>0</v>
      </c>
      <c r="Y1255" s="36"/>
      <c r="Z1255" s="36">
        <v>0</v>
      </c>
      <c r="AA1255" s="36">
        <v>0</v>
      </c>
      <c r="AB1255" s="36"/>
      <c r="AC1255" s="36" t="str">
        <f t="shared" si="8"/>
        <v>PC26</v>
      </c>
      <c r="AD1255" s="36" t="str">
        <f>VLOOKUP(D1255,Oficial!A:C,3,0)</f>
        <v>Bienes y Servicios</v>
      </c>
    </row>
    <row r="1256" spans="1:30" x14ac:dyDescent="0.25">
      <c r="A1256" s="36" t="s">
        <v>27</v>
      </c>
      <c r="B1256" s="36" t="s">
        <v>2041</v>
      </c>
      <c r="C1256" s="36" t="s">
        <v>28</v>
      </c>
      <c r="D1256" s="36" t="s">
        <v>2041</v>
      </c>
      <c r="E1256" s="36" t="s">
        <v>30</v>
      </c>
      <c r="F1256" s="36" t="s">
        <v>569</v>
      </c>
      <c r="G1256" s="37">
        <v>2169</v>
      </c>
      <c r="H1256" s="36" t="s">
        <v>2042</v>
      </c>
      <c r="I1256" s="36" t="s">
        <v>2043</v>
      </c>
      <c r="J1256" s="36">
        <v>6</v>
      </c>
      <c r="K1256" s="36" t="s">
        <v>760</v>
      </c>
      <c r="L1256" s="36">
        <v>4</v>
      </c>
      <c r="M1256" s="36">
        <v>6</v>
      </c>
      <c r="N1256" s="38">
        <v>91667</v>
      </c>
      <c r="O1256" s="38">
        <v>550002</v>
      </c>
      <c r="P1256" s="36">
        <v>1</v>
      </c>
      <c r="Q1256" s="40">
        <v>46023</v>
      </c>
      <c r="R1256" s="36" t="s">
        <v>657</v>
      </c>
      <c r="S1256" s="36" t="s">
        <v>658</v>
      </c>
      <c r="T1256" s="36" t="s">
        <v>659</v>
      </c>
      <c r="U1256" s="36" t="s">
        <v>660</v>
      </c>
      <c r="V1256" s="40">
        <v>46023</v>
      </c>
      <c r="W1256" s="36"/>
      <c r="X1256" s="36">
        <v>0</v>
      </c>
      <c r="Y1256" s="36"/>
      <c r="Z1256" s="36">
        <v>0</v>
      </c>
      <c r="AA1256" s="36">
        <v>0</v>
      </c>
      <c r="AB1256" s="36"/>
      <c r="AC1256" s="36" t="str">
        <f t="shared" si="8"/>
        <v>PC26</v>
      </c>
      <c r="AD1256" s="36" t="str">
        <f>VLOOKUP(D1256,Oficial!A:C,3,0)</f>
        <v>Bienes y Servicios</v>
      </c>
    </row>
    <row r="1257" spans="1:30" x14ac:dyDescent="0.25">
      <c r="A1257" s="36" t="s">
        <v>27</v>
      </c>
      <c r="B1257" s="36" t="s">
        <v>2041</v>
      </c>
      <c r="C1257" s="36" t="s">
        <v>28</v>
      </c>
      <c r="D1257" s="36" t="s">
        <v>2041</v>
      </c>
      <c r="E1257" s="36" t="s">
        <v>30</v>
      </c>
      <c r="F1257" s="36" t="s">
        <v>569</v>
      </c>
      <c r="G1257" s="37">
        <v>2169</v>
      </c>
      <c r="H1257" s="36" t="s">
        <v>2042</v>
      </c>
      <c r="I1257" s="36" t="s">
        <v>2043</v>
      </c>
      <c r="J1257" s="36">
        <v>6</v>
      </c>
      <c r="K1257" s="36" t="s">
        <v>2045</v>
      </c>
      <c r="L1257" s="36">
        <v>4</v>
      </c>
      <c r="M1257" s="36">
        <v>24</v>
      </c>
      <c r="N1257" s="38">
        <v>11667</v>
      </c>
      <c r="O1257" s="38">
        <v>280008</v>
      </c>
      <c r="P1257" s="36">
        <v>1</v>
      </c>
      <c r="Q1257" s="40">
        <v>46023</v>
      </c>
      <c r="R1257" s="36" t="s">
        <v>657</v>
      </c>
      <c r="S1257" s="36" t="s">
        <v>658</v>
      </c>
      <c r="T1257" s="36" t="s">
        <v>659</v>
      </c>
      <c r="U1257" s="36" t="s">
        <v>660</v>
      </c>
      <c r="V1257" s="40">
        <v>46023</v>
      </c>
      <c r="W1257" s="36"/>
      <c r="X1257" s="36">
        <v>0</v>
      </c>
      <c r="Y1257" s="36"/>
      <c r="Z1257" s="36">
        <v>0</v>
      </c>
      <c r="AA1257" s="36">
        <v>0</v>
      </c>
      <c r="AB1257" s="36"/>
      <c r="AC1257" s="36" t="str">
        <f t="shared" si="8"/>
        <v>PC26</v>
      </c>
      <c r="AD1257" s="36" t="str">
        <f>VLOOKUP(D1257,Oficial!A:C,3,0)</f>
        <v>Bienes y Servicios</v>
      </c>
    </row>
    <row r="1258" spans="1:30" x14ac:dyDescent="0.25">
      <c r="A1258" s="36" t="s">
        <v>27</v>
      </c>
      <c r="B1258" s="36" t="s">
        <v>2041</v>
      </c>
      <c r="C1258" s="36" t="s">
        <v>28</v>
      </c>
      <c r="D1258" s="36" t="s">
        <v>2041</v>
      </c>
      <c r="E1258" s="36" t="s">
        <v>30</v>
      </c>
      <c r="F1258" s="36" t="s">
        <v>569</v>
      </c>
      <c r="G1258" s="37">
        <v>2169</v>
      </c>
      <c r="H1258" s="36" t="s">
        <v>2042</v>
      </c>
      <c r="I1258" s="36" t="s">
        <v>2043</v>
      </c>
      <c r="J1258" s="36">
        <v>6</v>
      </c>
      <c r="K1258" s="36" t="s">
        <v>2046</v>
      </c>
      <c r="L1258" s="36">
        <v>4</v>
      </c>
      <c r="M1258" s="36">
        <v>4</v>
      </c>
      <c r="N1258" s="38">
        <v>25000</v>
      </c>
      <c r="O1258" s="38">
        <v>100000</v>
      </c>
      <c r="P1258" s="36">
        <v>1</v>
      </c>
      <c r="Q1258" s="40">
        <v>46023</v>
      </c>
      <c r="R1258" s="36" t="s">
        <v>657</v>
      </c>
      <c r="S1258" s="36" t="s">
        <v>658</v>
      </c>
      <c r="T1258" s="36" t="s">
        <v>659</v>
      </c>
      <c r="U1258" s="36" t="s">
        <v>660</v>
      </c>
      <c r="V1258" s="40">
        <v>46023</v>
      </c>
      <c r="W1258" s="36"/>
      <c r="X1258" s="36">
        <v>0</v>
      </c>
      <c r="Y1258" s="36"/>
      <c r="Z1258" s="36">
        <v>0</v>
      </c>
      <c r="AA1258" s="36">
        <v>0</v>
      </c>
      <c r="AB1258" s="36"/>
      <c r="AC1258" s="36" t="str">
        <f t="shared" si="8"/>
        <v>PC26</v>
      </c>
      <c r="AD1258" s="36" t="str">
        <f>VLOOKUP(D1258,Oficial!A:C,3,0)</f>
        <v>Bienes y Servicios</v>
      </c>
    </row>
    <row r="1259" spans="1:30" x14ac:dyDescent="0.25">
      <c r="A1259" s="36" t="s">
        <v>27</v>
      </c>
      <c r="B1259" s="36" t="s">
        <v>2047</v>
      </c>
      <c r="C1259" s="36" t="s">
        <v>28</v>
      </c>
      <c r="D1259" s="36" t="s">
        <v>2047</v>
      </c>
      <c r="E1259" s="36" t="s">
        <v>45</v>
      </c>
      <c r="F1259" s="36" t="s">
        <v>569</v>
      </c>
      <c r="G1259" s="37" t="s">
        <v>1902</v>
      </c>
      <c r="H1259" s="36" t="s">
        <v>2048</v>
      </c>
      <c r="I1259" s="36" t="s">
        <v>2049</v>
      </c>
      <c r="J1259" s="36">
        <v>3</v>
      </c>
      <c r="K1259" s="36" t="s">
        <v>2050</v>
      </c>
      <c r="L1259" s="36">
        <v>4</v>
      </c>
      <c r="M1259" s="36">
        <v>15</v>
      </c>
      <c r="N1259" s="38">
        <v>24000</v>
      </c>
      <c r="O1259" s="38">
        <v>360000</v>
      </c>
      <c r="P1259" s="36">
        <v>1</v>
      </c>
      <c r="Q1259" s="40">
        <v>46174</v>
      </c>
      <c r="R1259" s="36" t="s">
        <v>2051</v>
      </c>
      <c r="S1259" s="36" t="s">
        <v>2052</v>
      </c>
      <c r="T1259" s="36" t="s">
        <v>2053</v>
      </c>
      <c r="U1259" s="36" t="s">
        <v>1155</v>
      </c>
      <c r="V1259" s="40">
        <v>46143</v>
      </c>
      <c r="W1259" s="36"/>
      <c r="X1259" s="36">
        <v>0</v>
      </c>
      <c r="Y1259" s="36"/>
      <c r="Z1259" s="36">
        <v>0</v>
      </c>
      <c r="AA1259" s="36">
        <v>0</v>
      </c>
      <c r="AB1259" s="36"/>
      <c r="AC1259" s="36" t="str">
        <f t="shared" si="8"/>
        <v>PC26</v>
      </c>
      <c r="AD1259" s="36" t="str">
        <f>VLOOKUP(D1259,Oficial!A:C,3,0)</f>
        <v>Bienes y Servicios</v>
      </c>
    </row>
    <row r="1260" spans="1:30" x14ac:dyDescent="0.25">
      <c r="A1260" s="36" t="s">
        <v>27</v>
      </c>
      <c r="B1260" s="36" t="s">
        <v>2047</v>
      </c>
      <c r="C1260" s="36" t="s">
        <v>28</v>
      </c>
      <c r="D1260" s="36" t="s">
        <v>2047</v>
      </c>
      <c r="E1260" s="36" t="s">
        <v>45</v>
      </c>
      <c r="F1260" s="36" t="s">
        <v>569</v>
      </c>
      <c r="G1260" s="37" t="s">
        <v>1902</v>
      </c>
      <c r="H1260" s="36" t="s">
        <v>2048</v>
      </c>
      <c r="I1260" s="36" t="s">
        <v>2049</v>
      </c>
      <c r="J1260" s="36">
        <v>3</v>
      </c>
      <c r="K1260" s="36" t="s">
        <v>2054</v>
      </c>
      <c r="L1260" s="36">
        <v>4</v>
      </c>
      <c r="M1260" s="36">
        <v>955</v>
      </c>
      <c r="N1260" s="38">
        <v>717</v>
      </c>
      <c r="O1260" s="38">
        <v>684735</v>
      </c>
      <c r="P1260" s="36">
        <v>1</v>
      </c>
      <c r="Q1260" s="40">
        <v>46174</v>
      </c>
      <c r="R1260" s="36" t="s">
        <v>2051</v>
      </c>
      <c r="S1260" s="36" t="s">
        <v>2052</v>
      </c>
      <c r="T1260" s="36" t="s">
        <v>2053</v>
      </c>
      <c r="U1260" s="36" t="s">
        <v>1155</v>
      </c>
      <c r="V1260" s="40">
        <v>46143</v>
      </c>
      <c r="W1260" s="36"/>
      <c r="X1260" s="36">
        <v>0</v>
      </c>
      <c r="Y1260" s="36"/>
      <c r="Z1260" s="36">
        <v>0</v>
      </c>
      <c r="AA1260" s="36">
        <v>0</v>
      </c>
      <c r="AB1260" s="36"/>
      <c r="AC1260" s="36" t="str">
        <f t="shared" si="8"/>
        <v>PC26</v>
      </c>
      <c r="AD1260" s="36" t="str">
        <f>VLOOKUP(D1260,Oficial!A:C,3,0)</f>
        <v>Bienes y Servicios</v>
      </c>
    </row>
    <row r="1261" spans="1:30" x14ac:dyDescent="0.25">
      <c r="A1261" s="36" t="s">
        <v>27</v>
      </c>
      <c r="B1261" s="36" t="s">
        <v>2047</v>
      </c>
      <c r="C1261" s="36" t="s">
        <v>28</v>
      </c>
      <c r="D1261" s="36" t="s">
        <v>2047</v>
      </c>
      <c r="E1261" s="36" t="s">
        <v>45</v>
      </c>
      <c r="F1261" s="36" t="s">
        <v>569</v>
      </c>
      <c r="G1261" s="37" t="s">
        <v>1902</v>
      </c>
      <c r="H1261" s="36" t="s">
        <v>2048</v>
      </c>
      <c r="I1261" s="36" t="s">
        <v>2049</v>
      </c>
      <c r="J1261" s="36">
        <v>3</v>
      </c>
      <c r="K1261" s="36" t="s">
        <v>2055</v>
      </c>
      <c r="L1261" s="36">
        <v>4</v>
      </c>
      <c r="M1261" s="36">
        <v>157</v>
      </c>
      <c r="N1261" s="38">
        <v>1300</v>
      </c>
      <c r="O1261" s="38">
        <v>204100</v>
      </c>
      <c r="P1261" s="36">
        <v>1</v>
      </c>
      <c r="Q1261" s="40">
        <v>46174</v>
      </c>
      <c r="R1261" s="36" t="s">
        <v>2051</v>
      </c>
      <c r="S1261" s="36" t="s">
        <v>2052</v>
      </c>
      <c r="T1261" s="36" t="s">
        <v>2053</v>
      </c>
      <c r="U1261" s="36" t="s">
        <v>1155</v>
      </c>
      <c r="V1261" s="40">
        <v>46143</v>
      </c>
      <c r="W1261" s="36"/>
      <c r="X1261" s="36">
        <v>0</v>
      </c>
      <c r="Y1261" s="36"/>
      <c r="Z1261" s="36">
        <v>0</v>
      </c>
      <c r="AA1261" s="36">
        <v>0</v>
      </c>
      <c r="AB1261" s="36"/>
      <c r="AC1261" s="36" t="str">
        <f t="shared" si="8"/>
        <v>PC26</v>
      </c>
      <c r="AD1261" s="36" t="str">
        <f>VLOOKUP(D1261,Oficial!A:C,3,0)</f>
        <v>Bienes y Servicios</v>
      </c>
    </row>
    <row r="1262" spans="1:30" x14ac:dyDescent="0.25">
      <c r="A1262" s="36" t="s">
        <v>27</v>
      </c>
      <c r="B1262" s="36" t="s">
        <v>2056</v>
      </c>
      <c r="C1262" s="36" t="s">
        <v>28</v>
      </c>
      <c r="D1262" s="36" t="s">
        <v>2056</v>
      </c>
      <c r="E1262" s="36" t="s">
        <v>30</v>
      </c>
      <c r="F1262" s="36" t="s">
        <v>569</v>
      </c>
      <c r="G1262" s="37" t="s">
        <v>615</v>
      </c>
      <c r="H1262" s="36" t="s">
        <v>2057</v>
      </c>
      <c r="I1262" s="36" t="s">
        <v>2058</v>
      </c>
      <c r="J1262" s="36">
        <v>5</v>
      </c>
      <c r="K1262" s="36" t="s">
        <v>2059</v>
      </c>
      <c r="L1262" s="36">
        <v>4</v>
      </c>
      <c r="M1262" s="36">
        <v>30</v>
      </c>
      <c r="N1262" s="38">
        <v>1500</v>
      </c>
      <c r="O1262" s="38">
        <v>45000</v>
      </c>
      <c r="P1262" s="36">
        <v>1</v>
      </c>
      <c r="Q1262" s="40">
        <v>46113</v>
      </c>
      <c r="R1262" s="36" t="s">
        <v>1642</v>
      </c>
      <c r="S1262" s="36" t="s">
        <v>2060</v>
      </c>
      <c r="T1262" s="36" t="s">
        <v>403</v>
      </c>
      <c r="U1262" s="36" t="s">
        <v>404</v>
      </c>
      <c r="V1262" s="40">
        <v>46082</v>
      </c>
      <c r="W1262" s="36"/>
      <c r="X1262" s="36">
        <v>0</v>
      </c>
      <c r="Y1262" s="36"/>
      <c r="Z1262" s="36">
        <v>0</v>
      </c>
      <c r="AA1262" s="36">
        <v>0</v>
      </c>
      <c r="AB1262" s="36"/>
      <c r="AC1262" s="36" t="str">
        <f t="shared" si="8"/>
        <v>PC26</v>
      </c>
      <c r="AD1262" s="36" t="str">
        <f>VLOOKUP(D1262,Oficial!A:C,3,0)</f>
        <v>Bienes y Servicios</v>
      </c>
    </row>
    <row r="1263" spans="1:30" x14ac:dyDescent="0.25">
      <c r="A1263" s="36" t="s">
        <v>27</v>
      </c>
      <c r="B1263" s="36" t="s">
        <v>2056</v>
      </c>
      <c r="C1263" s="36" t="s">
        <v>28</v>
      </c>
      <c r="D1263" s="36" t="s">
        <v>2056</v>
      </c>
      <c r="E1263" s="36" t="s">
        <v>30</v>
      </c>
      <c r="F1263" s="36" t="s">
        <v>569</v>
      </c>
      <c r="G1263" s="37" t="s">
        <v>615</v>
      </c>
      <c r="H1263" s="36" t="s">
        <v>2057</v>
      </c>
      <c r="I1263" s="36" t="s">
        <v>2058</v>
      </c>
      <c r="J1263" s="36">
        <v>5</v>
      </c>
      <c r="K1263" s="36" t="s">
        <v>2061</v>
      </c>
      <c r="L1263" s="36">
        <v>4</v>
      </c>
      <c r="M1263" s="36">
        <v>30</v>
      </c>
      <c r="N1263" s="38">
        <v>4100</v>
      </c>
      <c r="O1263" s="38">
        <v>123000</v>
      </c>
      <c r="P1263" s="36">
        <v>1</v>
      </c>
      <c r="Q1263" s="40">
        <v>46113</v>
      </c>
      <c r="R1263" s="36" t="s">
        <v>1642</v>
      </c>
      <c r="S1263" s="36" t="s">
        <v>2060</v>
      </c>
      <c r="T1263" s="36" t="s">
        <v>403</v>
      </c>
      <c r="U1263" s="36" t="s">
        <v>404</v>
      </c>
      <c r="V1263" s="40">
        <v>46082</v>
      </c>
      <c r="W1263" s="36"/>
      <c r="X1263" s="36">
        <v>0</v>
      </c>
      <c r="Y1263" s="36"/>
      <c r="Z1263" s="36">
        <v>0</v>
      </c>
      <c r="AA1263" s="36">
        <v>0</v>
      </c>
      <c r="AB1263" s="36"/>
      <c r="AC1263" s="36" t="str">
        <f t="shared" si="8"/>
        <v>PC26</v>
      </c>
      <c r="AD1263" s="36" t="str">
        <f>VLOOKUP(D1263,Oficial!A:C,3,0)</f>
        <v>Bienes y Servicios</v>
      </c>
    </row>
    <row r="1264" spans="1:30" x14ac:dyDescent="0.25">
      <c r="A1264" s="36" t="s">
        <v>27</v>
      </c>
      <c r="B1264" s="36" t="s">
        <v>2056</v>
      </c>
      <c r="C1264" s="36" t="s">
        <v>28</v>
      </c>
      <c r="D1264" s="36" t="s">
        <v>2056</v>
      </c>
      <c r="E1264" s="36" t="s">
        <v>30</v>
      </c>
      <c r="F1264" s="36" t="s">
        <v>569</v>
      </c>
      <c r="G1264" s="37" t="s">
        <v>615</v>
      </c>
      <c r="H1264" s="36" t="s">
        <v>2057</v>
      </c>
      <c r="I1264" s="36" t="s">
        <v>2058</v>
      </c>
      <c r="J1264" s="36">
        <v>5</v>
      </c>
      <c r="K1264" s="36" t="s">
        <v>1973</v>
      </c>
      <c r="L1264" s="36">
        <v>4</v>
      </c>
      <c r="M1264" s="36">
        <v>56</v>
      </c>
      <c r="N1264" s="38">
        <v>8929</v>
      </c>
      <c r="O1264" s="38">
        <v>500024</v>
      </c>
      <c r="P1264" s="36">
        <v>1</v>
      </c>
      <c r="Q1264" s="40">
        <v>46113</v>
      </c>
      <c r="R1264" s="36" t="s">
        <v>1642</v>
      </c>
      <c r="S1264" s="36" t="s">
        <v>2060</v>
      </c>
      <c r="T1264" s="36" t="s">
        <v>403</v>
      </c>
      <c r="U1264" s="36" t="s">
        <v>404</v>
      </c>
      <c r="V1264" s="40">
        <v>46082</v>
      </c>
      <c r="W1264" s="36"/>
      <c r="X1264" s="36">
        <v>0</v>
      </c>
      <c r="Y1264" s="36"/>
      <c r="Z1264" s="36">
        <v>0</v>
      </c>
      <c r="AA1264" s="36">
        <v>0</v>
      </c>
      <c r="AB1264" s="36"/>
      <c r="AC1264" s="36" t="str">
        <f t="shared" si="8"/>
        <v>PC26</v>
      </c>
      <c r="AD1264" s="36" t="str">
        <f>VLOOKUP(D1264,Oficial!A:C,3,0)</f>
        <v>Bienes y Servicios</v>
      </c>
    </row>
    <row r="1265" spans="1:30" x14ac:dyDescent="0.25">
      <c r="A1265" s="36" t="s">
        <v>27</v>
      </c>
      <c r="B1265" s="36" t="s">
        <v>2056</v>
      </c>
      <c r="C1265" s="36" t="s">
        <v>28</v>
      </c>
      <c r="D1265" s="36" t="s">
        <v>2056</v>
      </c>
      <c r="E1265" s="36" t="s">
        <v>30</v>
      </c>
      <c r="F1265" s="36" t="s">
        <v>569</v>
      </c>
      <c r="G1265" s="37" t="s">
        <v>615</v>
      </c>
      <c r="H1265" s="36" t="s">
        <v>2057</v>
      </c>
      <c r="I1265" s="36" t="s">
        <v>2058</v>
      </c>
      <c r="J1265" s="36">
        <v>5</v>
      </c>
      <c r="K1265" s="36" t="s">
        <v>2062</v>
      </c>
      <c r="L1265" s="36">
        <v>4</v>
      </c>
      <c r="M1265" s="36">
        <v>21</v>
      </c>
      <c r="N1265" s="38">
        <v>8334</v>
      </c>
      <c r="O1265" s="38">
        <v>175014</v>
      </c>
      <c r="P1265" s="36">
        <v>1</v>
      </c>
      <c r="Q1265" s="40">
        <v>46204</v>
      </c>
      <c r="R1265" s="36" t="s">
        <v>1642</v>
      </c>
      <c r="S1265" s="36" t="s">
        <v>2060</v>
      </c>
      <c r="T1265" s="36" t="s">
        <v>403</v>
      </c>
      <c r="U1265" s="36" t="s">
        <v>404</v>
      </c>
      <c r="V1265" s="40">
        <v>46174</v>
      </c>
      <c r="W1265" s="36"/>
      <c r="X1265" s="36">
        <v>0</v>
      </c>
      <c r="Y1265" s="36"/>
      <c r="Z1265" s="36">
        <v>0</v>
      </c>
      <c r="AA1265" s="36">
        <v>0</v>
      </c>
      <c r="AB1265" s="36"/>
      <c r="AC1265" s="36" t="str">
        <f t="shared" si="8"/>
        <v>PC26</v>
      </c>
      <c r="AD1265" s="36" t="str">
        <f>VLOOKUP(D1265,Oficial!A:C,3,0)</f>
        <v>Bienes y Servicios</v>
      </c>
    </row>
    <row r="1266" spans="1:30" x14ac:dyDescent="0.25">
      <c r="A1266" s="36" t="s">
        <v>27</v>
      </c>
      <c r="B1266" s="36" t="s">
        <v>2056</v>
      </c>
      <c r="C1266" s="36" t="s">
        <v>28</v>
      </c>
      <c r="D1266" s="36" t="s">
        <v>2056</v>
      </c>
      <c r="E1266" s="36" t="s">
        <v>30</v>
      </c>
      <c r="F1266" s="36" t="s">
        <v>569</v>
      </c>
      <c r="G1266" s="37" t="s">
        <v>615</v>
      </c>
      <c r="H1266" s="36" t="s">
        <v>2057</v>
      </c>
      <c r="I1266" s="36" t="s">
        <v>2058</v>
      </c>
      <c r="J1266" s="36">
        <v>5</v>
      </c>
      <c r="K1266" s="36" t="s">
        <v>1137</v>
      </c>
      <c r="L1266" s="36">
        <v>4</v>
      </c>
      <c r="M1266" s="36">
        <v>1</v>
      </c>
      <c r="N1266" s="38">
        <v>40000</v>
      </c>
      <c r="O1266" s="38">
        <v>40000</v>
      </c>
      <c r="P1266" s="36">
        <v>1</v>
      </c>
      <c r="Q1266" s="40">
        <v>46113</v>
      </c>
      <c r="R1266" s="36" t="s">
        <v>1642</v>
      </c>
      <c r="S1266" s="36" t="s">
        <v>2060</v>
      </c>
      <c r="T1266" s="36" t="s">
        <v>403</v>
      </c>
      <c r="U1266" s="36" t="s">
        <v>404</v>
      </c>
      <c r="V1266" s="40">
        <v>46082</v>
      </c>
      <c r="W1266" s="36"/>
      <c r="X1266" s="36">
        <v>0</v>
      </c>
      <c r="Y1266" s="36"/>
      <c r="Z1266" s="36">
        <v>0</v>
      </c>
      <c r="AA1266" s="36">
        <v>0</v>
      </c>
      <c r="AB1266" s="36"/>
      <c r="AC1266" s="36" t="str">
        <f t="shared" si="8"/>
        <v>PC26</v>
      </c>
      <c r="AD1266" s="36" t="str">
        <f>VLOOKUP(D1266,Oficial!A:C,3,0)</f>
        <v>Bienes y Servicios</v>
      </c>
    </row>
    <row r="1267" spans="1:30" x14ac:dyDescent="0.25">
      <c r="A1267" s="36" t="s">
        <v>27</v>
      </c>
      <c r="B1267" s="36" t="s">
        <v>2063</v>
      </c>
      <c r="C1267" s="36" t="s">
        <v>1238</v>
      </c>
      <c r="D1267" s="36" t="s">
        <v>2063</v>
      </c>
      <c r="E1267" s="36" t="s">
        <v>30</v>
      </c>
      <c r="F1267" s="36" t="s">
        <v>569</v>
      </c>
      <c r="G1267" s="37">
        <v>2579</v>
      </c>
      <c r="H1267" s="36" t="s">
        <v>2064</v>
      </c>
      <c r="I1267" s="36" t="s">
        <v>2065</v>
      </c>
      <c r="J1267" s="36">
        <v>1</v>
      </c>
      <c r="K1267" s="36" t="s">
        <v>2066</v>
      </c>
      <c r="L1267" s="36">
        <v>4</v>
      </c>
      <c r="M1267" s="36">
        <v>1</v>
      </c>
      <c r="N1267" s="38">
        <v>300000</v>
      </c>
      <c r="O1267" s="38">
        <v>300000</v>
      </c>
      <c r="P1267" s="36">
        <v>1</v>
      </c>
      <c r="Q1267" s="40">
        <v>46023</v>
      </c>
      <c r="R1267" s="36" t="s">
        <v>768</v>
      </c>
      <c r="S1267" s="36" t="s">
        <v>966</v>
      </c>
      <c r="T1267" s="36" t="s">
        <v>967</v>
      </c>
      <c r="U1267" s="36" t="s">
        <v>968</v>
      </c>
      <c r="V1267" s="40">
        <v>46023</v>
      </c>
      <c r="W1267" s="36"/>
      <c r="X1267" s="36">
        <v>0</v>
      </c>
      <c r="Y1267" s="36"/>
      <c r="Z1267" s="36">
        <v>0</v>
      </c>
      <c r="AA1267" s="36">
        <v>0</v>
      </c>
      <c r="AB1267" s="36"/>
      <c r="AC1267" s="36" t="str">
        <f t="shared" si="8"/>
        <v>PC26</v>
      </c>
      <c r="AD1267" s="36" t="str">
        <f>VLOOKUP(D1267,Oficial!A:C,3,0)</f>
        <v>Activos Fijos</v>
      </c>
    </row>
    <row r="1268" spans="1:30" x14ac:dyDescent="0.25">
      <c r="A1268" s="36" t="s">
        <v>27</v>
      </c>
      <c r="B1268" s="36" t="s">
        <v>2067</v>
      </c>
      <c r="C1268" s="36" t="s">
        <v>28</v>
      </c>
      <c r="D1268" s="36" t="s">
        <v>2067</v>
      </c>
      <c r="E1268" s="36" t="s">
        <v>30</v>
      </c>
      <c r="F1268" s="36" t="s">
        <v>569</v>
      </c>
      <c r="G1268" s="37">
        <v>2185</v>
      </c>
      <c r="H1268" s="36" t="s">
        <v>2068</v>
      </c>
      <c r="I1268" s="36" t="s">
        <v>2069</v>
      </c>
      <c r="J1268" s="36">
        <v>1</v>
      </c>
      <c r="K1268" s="36" t="s">
        <v>486</v>
      </c>
      <c r="L1268" s="36">
        <v>4</v>
      </c>
      <c r="M1268" s="36">
        <v>340</v>
      </c>
      <c r="N1268" s="38">
        <v>1442</v>
      </c>
      <c r="O1268" s="38">
        <v>490280</v>
      </c>
      <c r="P1268" s="36">
        <v>1</v>
      </c>
      <c r="Q1268" s="40">
        <v>46082</v>
      </c>
      <c r="R1268" s="36" t="s">
        <v>590</v>
      </c>
      <c r="S1268" s="36" t="s">
        <v>591</v>
      </c>
      <c r="T1268" s="36" t="s">
        <v>592</v>
      </c>
      <c r="U1268" s="36" t="s">
        <v>593</v>
      </c>
      <c r="V1268" s="40">
        <v>46082</v>
      </c>
      <c r="W1268" s="36"/>
      <c r="X1268" s="36">
        <v>0</v>
      </c>
      <c r="Y1268" s="36"/>
      <c r="Z1268" s="36">
        <v>0</v>
      </c>
      <c r="AA1268" s="36">
        <v>0</v>
      </c>
      <c r="AB1268" s="36"/>
      <c r="AC1268" s="36" t="str">
        <f t="shared" si="8"/>
        <v>PC26</v>
      </c>
      <c r="AD1268" s="36" t="str">
        <f>VLOOKUP(D1268,Oficial!A:C,3,0)</f>
        <v>Bienes y Servicios</v>
      </c>
    </row>
    <row r="1269" spans="1:30" x14ac:dyDescent="0.25">
      <c r="A1269" s="36" t="s">
        <v>27</v>
      </c>
      <c r="B1269" s="36" t="s">
        <v>2070</v>
      </c>
      <c r="C1269" s="36" t="s">
        <v>28</v>
      </c>
      <c r="D1269" s="36" t="s">
        <v>2070</v>
      </c>
      <c r="E1269" s="36" t="s">
        <v>45</v>
      </c>
      <c r="F1269" s="36" t="s">
        <v>569</v>
      </c>
      <c r="G1269" s="37">
        <v>2583</v>
      </c>
      <c r="H1269" s="36" t="s">
        <v>2071</v>
      </c>
      <c r="I1269" s="36" t="s">
        <v>2072</v>
      </c>
      <c r="J1269" s="36">
        <v>1</v>
      </c>
      <c r="K1269" s="36" t="s">
        <v>2073</v>
      </c>
      <c r="L1269" s="36">
        <v>4</v>
      </c>
      <c r="M1269" s="36">
        <v>2</v>
      </c>
      <c r="N1269" s="38">
        <v>35000</v>
      </c>
      <c r="O1269" s="38">
        <v>70000</v>
      </c>
      <c r="P1269" s="36">
        <v>1</v>
      </c>
      <c r="Q1269" s="40">
        <v>46143</v>
      </c>
      <c r="R1269" s="36" t="s">
        <v>1642</v>
      </c>
      <c r="S1269" s="36" t="s">
        <v>1643</v>
      </c>
      <c r="T1269" s="36" t="s">
        <v>1644</v>
      </c>
      <c r="U1269" s="36" t="s">
        <v>404</v>
      </c>
      <c r="V1269" s="40">
        <v>46113</v>
      </c>
      <c r="W1269" s="36"/>
      <c r="X1269" s="36">
        <v>0</v>
      </c>
      <c r="Y1269" s="36"/>
      <c r="Z1269" s="36">
        <v>0</v>
      </c>
      <c r="AA1269" s="36">
        <v>0</v>
      </c>
      <c r="AB1269" s="36"/>
      <c r="AC1269" s="36" t="str">
        <f t="shared" si="8"/>
        <v>PC26</v>
      </c>
      <c r="AD1269" s="36" t="str">
        <f>VLOOKUP(D1269,Oficial!A:C,3,0)</f>
        <v>Bienes y Servicios</v>
      </c>
    </row>
    <row r="1270" spans="1:30" x14ac:dyDescent="0.25">
      <c r="A1270" s="36" t="s">
        <v>27</v>
      </c>
      <c r="B1270" s="36" t="s">
        <v>2074</v>
      </c>
      <c r="C1270" s="36" t="s">
        <v>28</v>
      </c>
      <c r="D1270" s="36" t="s">
        <v>2074</v>
      </c>
      <c r="E1270" s="36" t="s">
        <v>30</v>
      </c>
      <c r="F1270" s="36" t="s">
        <v>569</v>
      </c>
      <c r="G1270" s="37">
        <v>2203</v>
      </c>
      <c r="H1270" s="36" t="s">
        <v>788</v>
      </c>
      <c r="I1270" s="36" t="s">
        <v>2075</v>
      </c>
      <c r="J1270" s="36">
        <v>2</v>
      </c>
      <c r="K1270" s="36" t="s">
        <v>359</v>
      </c>
      <c r="L1270" s="36">
        <v>4</v>
      </c>
      <c r="M1270" s="36">
        <v>16890</v>
      </c>
      <c r="N1270" s="38">
        <v>135</v>
      </c>
      <c r="O1270" s="38">
        <v>2280150</v>
      </c>
      <c r="P1270" s="36">
        <v>1</v>
      </c>
      <c r="Q1270" s="40">
        <v>46082</v>
      </c>
      <c r="R1270" s="36" t="s">
        <v>2076</v>
      </c>
      <c r="S1270" s="36" t="s">
        <v>2077</v>
      </c>
      <c r="T1270" s="36" t="s">
        <v>2078</v>
      </c>
      <c r="U1270" s="36" t="s">
        <v>2079</v>
      </c>
      <c r="V1270" s="40">
        <v>46082</v>
      </c>
      <c r="W1270" s="36"/>
      <c r="X1270" s="36">
        <v>0</v>
      </c>
      <c r="Y1270" s="36"/>
      <c r="Z1270" s="36">
        <v>0</v>
      </c>
      <c r="AA1270" s="36">
        <v>0</v>
      </c>
      <c r="AB1270" s="36"/>
      <c r="AC1270" s="36" t="str">
        <f t="shared" si="8"/>
        <v>PC26</v>
      </c>
      <c r="AD1270" s="36" t="str">
        <f>VLOOKUP(D1270,Oficial!A:C,3,0)</f>
        <v>Bienes y Servicios</v>
      </c>
    </row>
    <row r="1271" spans="1:30" x14ac:dyDescent="0.25">
      <c r="A1271" s="36" t="s">
        <v>27</v>
      </c>
      <c r="B1271" s="36" t="s">
        <v>2074</v>
      </c>
      <c r="C1271" s="36" t="s">
        <v>28</v>
      </c>
      <c r="D1271" s="36" t="s">
        <v>2074</v>
      </c>
      <c r="E1271" s="36" t="s">
        <v>30</v>
      </c>
      <c r="F1271" s="36" t="s">
        <v>569</v>
      </c>
      <c r="G1271" s="37">
        <v>2203</v>
      </c>
      <c r="H1271" s="36" t="s">
        <v>788</v>
      </c>
      <c r="I1271" s="36" t="s">
        <v>2075</v>
      </c>
      <c r="J1271" s="36">
        <v>2</v>
      </c>
      <c r="K1271" s="36" t="s">
        <v>855</v>
      </c>
      <c r="L1271" s="36">
        <v>4</v>
      </c>
      <c r="M1271" s="36">
        <v>1120</v>
      </c>
      <c r="N1271" s="38">
        <v>173</v>
      </c>
      <c r="O1271" s="38">
        <v>193760</v>
      </c>
      <c r="P1271" s="36">
        <v>1</v>
      </c>
      <c r="Q1271" s="40">
        <v>46082</v>
      </c>
      <c r="R1271" s="36" t="s">
        <v>2076</v>
      </c>
      <c r="S1271" s="36" t="s">
        <v>2077</v>
      </c>
      <c r="T1271" s="36" t="s">
        <v>2078</v>
      </c>
      <c r="U1271" s="36" t="s">
        <v>2079</v>
      </c>
      <c r="V1271" s="40">
        <v>46082</v>
      </c>
      <c r="W1271" s="36"/>
      <c r="X1271" s="36">
        <v>0</v>
      </c>
      <c r="Y1271" s="36"/>
      <c r="Z1271" s="36">
        <v>0</v>
      </c>
      <c r="AA1271" s="36">
        <v>0</v>
      </c>
      <c r="AB1271" s="36"/>
      <c r="AC1271" s="36" t="str">
        <f t="shared" si="8"/>
        <v>PC26</v>
      </c>
      <c r="AD1271" s="36" t="str">
        <f>VLOOKUP(D1271,Oficial!A:C,3,0)</f>
        <v>Bienes y Servicios</v>
      </c>
    </row>
    <row r="1272" spans="1:30" x14ac:dyDescent="0.25">
      <c r="A1272" s="36" t="s">
        <v>27</v>
      </c>
      <c r="B1272" s="36" t="s">
        <v>2080</v>
      </c>
      <c r="C1272" s="36" t="s">
        <v>374</v>
      </c>
      <c r="D1272" s="36" t="s">
        <v>2080</v>
      </c>
      <c r="E1272" s="36" t="s">
        <v>30</v>
      </c>
      <c r="F1272" s="36" t="s">
        <v>569</v>
      </c>
      <c r="G1272" s="37">
        <v>2207</v>
      </c>
      <c r="H1272" s="36" t="s">
        <v>2081</v>
      </c>
      <c r="I1272" s="36" t="s">
        <v>2082</v>
      </c>
      <c r="J1272" s="36">
        <v>1</v>
      </c>
      <c r="K1272" s="36" t="s">
        <v>786</v>
      </c>
      <c r="L1272" s="36">
        <v>4</v>
      </c>
      <c r="M1272" s="36">
        <v>120</v>
      </c>
      <c r="N1272" s="38">
        <v>2919</v>
      </c>
      <c r="O1272" s="38">
        <v>350280</v>
      </c>
      <c r="P1272" s="36">
        <v>1</v>
      </c>
      <c r="Q1272" s="40">
        <v>46082</v>
      </c>
      <c r="R1272" s="36" t="s">
        <v>768</v>
      </c>
      <c r="S1272" s="36" t="s">
        <v>769</v>
      </c>
      <c r="T1272" s="36" t="s">
        <v>770</v>
      </c>
      <c r="U1272" s="36" t="s">
        <v>388</v>
      </c>
      <c r="V1272" s="40">
        <v>46082</v>
      </c>
      <c r="W1272" s="36"/>
      <c r="X1272" s="36">
        <v>0</v>
      </c>
      <c r="Y1272" s="36"/>
      <c r="Z1272" s="36">
        <v>0</v>
      </c>
      <c r="AA1272" s="36">
        <v>0</v>
      </c>
      <c r="AB1272" s="36"/>
      <c r="AC1272" s="36" t="str">
        <f t="shared" si="8"/>
        <v>PC26</v>
      </c>
      <c r="AD1272" s="36" t="str">
        <f>VLOOKUP(D1272,Oficial!A:C,3,0)</f>
        <v>Administración de Fondos</v>
      </c>
    </row>
    <row r="1273" spans="1:30" x14ac:dyDescent="0.25">
      <c r="A1273" s="36" t="s">
        <v>27</v>
      </c>
      <c r="B1273" s="36" t="s">
        <v>2083</v>
      </c>
      <c r="C1273" s="36" t="s">
        <v>28</v>
      </c>
      <c r="D1273" s="36" t="s">
        <v>2083</v>
      </c>
      <c r="E1273" s="36" t="s">
        <v>30</v>
      </c>
      <c r="F1273" s="36" t="s">
        <v>569</v>
      </c>
      <c r="G1273" s="37">
        <v>2582</v>
      </c>
      <c r="H1273" s="36" t="s">
        <v>1916</v>
      </c>
      <c r="I1273" s="36" t="s">
        <v>2084</v>
      </c>
      <c r="J1273" s="36">
        <v>1</v>
      </c>
      <c r="K1273" s="36" t="s">
        <v>2085</v>
      </c>
      <c r="L1273" s="36">
        <v>4</v>
      </c>
      <c r="M1273" s="36">
        <v>4</v>
      </c>
      <c r="N1273" s="38">
        <v>50000</v>
      </c>
      <c r="O1273" s="38">
        <v>200000</v>
      </c>
      <c r="P1273" s="36">
        <v>1</v>
      </c>
      <c r="Q1273" s="40">
        <v>46082</v>
      </c>
      <c r="R1273" s="36" t="s">
        <v>1445</v>
      </c>
      <c r="S1273" s="36" t="s">
        <v>1446</v>
      </c>
      <c r="T1273" s="36" t="s">
        <v>1447</v>
      </c>
      <c r="U1273" s="36" t="s">
        <v>1448</v>
      </c>
      <c r="V1273" s="40">
        <v>46054</v>
      </c>
      <c r="W1273" s="36"/>
      <c r="X1273" s="36">
        <v>0</v>
      </c>
      <c r="Y1273" s="36"/>
      <c r="Z1273" s="36">
        <v>0</v>
      </c>
      <c r="AA1273" s="36">
        <v>0</v>
      </c>
      <c r="AB1273" s="36"/>
      <c r="AC1273" s="36" t="str">
        <f t="shared" si="8"/>
        <v>PC26</v>
      </c>
      <c r="AD1273" s="36" t="str">
        <f>VLOOKUP(D1273,Oficial!A:C,3,0)</f>
        <v>Bienes y Servicios</v>
      </c>
    </row>
    <row r="1274" spans="1:30" x14ac:dyDescent="0.25">
      <c r="A1274" s="36" t="s">
        <v>27</v>
      </c>
      <c r="B1274" s="36" t="s">
        <v>2086</v>
      </c>
      <c r="C1274" s="36" t="s">
        <v>374</v>
      </c>
      <c r="D1274" s="36" t="s">
        <v>2086</v>
      </c>
      <c r="E1274" s="36" t="s">
        <v>30</v>
      </c>
      <c r="F1274" s="36" t="s">
        <v>569</v>
      </c>
      <c r="G1274" s="37">
        <v>2210</v>
      </c>
      <c r="H1274" s="36" t="s">
        <v>2087</v>
      </c>
      <c r="I1274" s="36" t="s">
        <v>2088</v>
      </c>
      <c r="J1274" s="36">
        <v>1</v>
      </c>
      <c r="K1274" s="36" t="s">
        <v>786</v>
      </c>
      <c r="L1274" s="36">
        <v>4</v>
      </c>
      <c r="M1274" s="36">
        <v>360</v>
      </c>
      <c r="N1274" s="38">
        <v>1406</v>
      </c>
      <c r="O1274" s="38">
        <v>506160</v>
      </c>
      <c r="P1274" s="36">
        <v>1</v>
      </c>
      <c r="Q1274" s="40">
        <v>46082</v>
      </c>
      <c r="R1274" s="36" t="s">
        <v>768</v>
      </c>
      <c r="S1274" s="36" t="s">
        <v>769</v>
      </c>
      <c r="T1274" s="36" t="s">
        <v>770</v>
      </c>
      <c r="U1274" s="36" t="s">
        <v>388</v>
      </c>
      <c r="V1274" s="40">
        <v>46054</v>
      </c>
      <c r="W1274" s="36"/>
      <c r="X1274" s="36">
        <v>0</v>
      </c>
      <c r="Y1274" s="36"/>
      <c r="Z1274" s="36">
        <v>0</v>
      </c>
      <c r="AA1274" s="36">
        <v>0</v>
      </c>
      <c r="AB1274" s="36"/>
      <c r="AC1274" s="36" t="str">
        <f t="shared" si="8"/>
        <v>PC26</v>
      </c>
      <c r="AD1274" s="36" t="str">
        <f>VLOOKUP(D1274,Oficial!A:C,3,0)</f>
        <v>Administración de Fondos</v>
      </c>
    </row>
    <row r="1275" spans="1:30" x14ac:dyDescent="0.25">
      <c r="A1275" s="36" t="s">
        <v>27</v>
      </c>
      <c r="B1275" s="36" t="s">
        <v>2089</v>
      </c>
      <c r="C1275" s="36" t="s">
        <v>28</v>
      </c>
      <c r="D1275" s="36" t="s">
        <v>2089</v>
      </c>
      <c r="E1275" s="36" t="s">
        <v>30</v>
      </c>
      <c r="F1275" s="36" t="s">
        <v>569</v>
      </c>
      <c r="G1275" s="37">
        <v>2266</v>
      </c>
      <c r="H1275" s="36" t="s">
        <v>2090</v>
      </c>
      <c r="I1275" s="36" t="s">
        <v>2091</v>
      </c>
      <c r="J1275" s="36">
        <v>6</v>
      </c>
      <c r="K1275" s="36" t="s">
        <v>2092</v>
      </c>
      <c r="L1275" s="36">
        <v>4</v>
      </c>
      <c r="M1275" s="36">
        <v>620</v>
      </c>
      <c r="N1275" s="38">
        <v>554</v>
      </c>
      <c r="O1275" s="38">
        <v>343480</v>
      </c>
      <c r="P1275" s="36">
        <v>1</v>
      </c>
      <c r="Q1275" s="40">
        <v>46143</v>
      </c>
      <c r="R1275" s="36" t="s">
        <v>761</v>
      </c>
      <c r="S1275" s="36" t="s">
        <v>762</v>
      </c>
      <c r="T1275" s="36" t="s">
        <v>763</v>
      </c>
      <c r="U1275" s="36" t="s">
        <v>764</v>
      </c>
      <c r="V1275" s="40">
        <v>46113</v>
      </c>
      <c r="W1275" s="36"/>
      <c r="X1275" s="36">
        <v>0</v>
      </c>
      <c r="Y1275" s="36"/>
      <c r="Z1275" s="36">
        <v>0</v>
      </c>
      <c r="AA1275" s="36">
        <v>0</v>
      </c>
      <c r="AB1275" s="36"/>
      <c r="AC1275" s="36" t="str">
        <f t="shared" si="8"/>
        <v>PC26</v>
      </c>
      <c r="AD1275" s="36" t="str">
        <f>VLOOKUP(D1275,Oficial!A:C,3,0)</f>
        <v>Bienes y Servicios</v>
      </c>
    </row>
    <row r="1276" spans="1:30" x14ac:dyDescent="0.25">
      <c r="A1276" s="36" t="s">
        <v>27</v>
      </c>
      <c r="B1276" s="36" t="s">
        <v>2089</v>
      </c>
      <c r="C1276" s="36" t="s">
        <v>28</v>
      </c>
      <c r="D1276" s="36" t="s">
        <v>2089</v>
      </c>
      <c r="E1276" s="36" t="s">
        <v>30</v>
      </c>
      <c r="F1276" s="36" t="s">
        <v>569</v>
      </c>
      <c r="G1276" s="37">
        <v>2266</v>
      </c>
      <c r="H1276" s="36" t="s">
        <v>2090</v>
      </c>
      <c r="I1276" s="36" t="s">
        <v>2091</v>
      </c>
      <c r="J1276" s="36">
        <v>6</v>
      </c>
      <c r="K1276" s="36" t="s">
        <v>2093</v>
      </c>
      <c r="L1276" s="36">
        <v>4</v>
      </c>
      <c r="M1276" s="36">
        <v>5</v>
      </c>
      <c r="N1276" s="38">
        <v>20000</v>
      </c>
      <c r="O1276" s="38">
        <v>100000</v>
      </c>
      <c r="P1276" s="36">
        <v>1</v>
      </c>
      <c r="Q1276" s="40">
        <v>46143</v>
      </c>
      <c r="R1276" s="36" t="s">
        <v>761</v>
      </c>
      <c r="S1276" s="36" t="s">
        <v>762</v>
      </c>
      <c r="T1276" s="36" t="s">
        <v>763</v>
      </c>
      <c r="U1276" s="36" t="s">
        <v>764</v>
      </c>
      <c r="V1276" s="40">
        <v>46113</v>
      </c>
      <c r="W1276" s="36"/>
      <c r="X1276" s="36">
        <v>0</v>
      </c>
      <c r="Y1276" s="36"/>
      <c r="Z1276" s="36">
        <v>0</v>
      </c>
      <c r="AA1276" s="36">
        <v>0</v>
      </c>
      <c r="AB1276" s="36"/>
      <c r="AC1276" s="36" t="str">
        <f t="shared" si="8"/>
        <v>PC26</v>
      </c>
      <c r="AD1276" s="36" t="str">
        <f>VLOOKUP(D1276,Oficial!A:C,3,0)</f>
        <v>Bienes y Servicios</v>
      </c>
    </row>
    <row r="1277" spans="1:30" x14ac:dyDescent="0.25">
      <c r="A1277" s="36" t="s">
        <v>27</v>
      </c>
      <c r="B1277" s="36" t="s">
        <v>2089</v>
      </c>
      <c r="C1277" s="36" t="s">
        <v>28</v>
      </c>
      <c r="D1277" s="36" t="s">
        <v>2089</v>
      </c>
      <c r="E1277" s="36" t="s">
        <v>30</v>
      </c>
      <c r="F1277" s="36" t="s">
        <v>569</v>
      </c>
      <c r="G1277" s="37">
        <v>2266</v>
      </c>
      <c r="H1277" s="36" t="s">
        <v>2090</v>
      </c>
      <c r="I1277" s="36" t="s">
        <v>2091</v>
      </c>
      <c r="J1277" s="36">
        <v>6</v>
      </c>
      <c r="K1277" s="36" t="s">
        <v>2094</v>
      </c>
      <c r="L1277" s="36">
        <v>4</v>
      </c>
      <c r="M1277" s="36">
        <v>180</v>
      </c>
      <c r="N1277" s="38">
        <v>1278</v>
      </c>
      <c r="O1277" s="38">
        <v>230040</v>
      </c>
      <c r="P1277" s="36">
        <v>1</v>
      </c>
      <c r="Q1277" s="40">
        <v>46143</v>
      </c>
      <c r="R1277" s="36" t="s">
        <v>761</v>
      </c>
      <c r="S1277" s="36" t="s">
        <v>762</v>
      </c>
      <c r="T1277" s="36" t="s">
        <v>763</v>
      </c>
      <c r="U1277" s="36" t="s">
        <v>764</v>
      </c>
      <c r="V1277" s="40">
        <v>46113</v>
      </c>
      <c r="W1277" s="36"/>
      <c r="X1277" s="36">
        <v>0</v>
      </c>
      <c r="Y1277" s="36"/>
      <c r="Z1277" s="36">
        <v>0</v>
      </c>
      <c r="AA1277" s="36">
        <v>0</v>
      </c>
      <c r="AB1277" s="36"/>
      <c r="AC1277" s="36" t="str">
        <f t="shared" si="8"/>
        <v>PC26</v>
      </c>
      <c r="AD1277" s="36" t="str">
        <f>VLOOKUP(D1277,Oficial!A:C,3,0)</f>
        <v>Bienes y Servicios</v>
      </c>
    </row>
    <row r="1278" spans="1:30" x14ac:dyDescent="0.25">
      <c r="A1278" s="36" t="s">
        <v>27</v>
      </c>
      <c r="B1278" s="36" t="s">
        <v>2089</v>
      </c>
      <c r="C1278" s="36" t="s">
        <v>28</v>
      </c>
      <c r="D1278" s="36" t="s">
        <v>2089</v>
      </c>
      <c r="E1278" s="36" t="s">
        <v>30</v>
      </c>
      <c r="F1278" s="36" t="s">
        <v>569</v>
      </c>
      <c r="G1278" s="37">
        <v>2266</v>
      </c>
      <c r="H1278" s="36" t="s">
        <v>2090</v>
      </c>
      <c r="I1278" s="36" t="s">
        <v>2091</v>
      </c>
      <c r="J1278" s="36">
        <v>6</v>
      </c>
      <c r="K1278" s="36" t="s">
        <v>2095</v>
      </c>
      <c r="L1278" s="36">
        <v>4</v>
      </c>
      <c r="M1278" s="36">
        <v>300</v>
      </c>
      <c r="N1278" s="38">
        <v>7881</v>
      </c>
      <c r="O1278" s="38">
        <v>2364300</v>
      </c>
      <c r="P1278" s="36">
        <v>1</v>
      </c>
      <c r="Q1278" s="40">
        <v>46143</v>
      </c>
      <c r="R1278" s="36" t="s">
        <v>761</v>
      </c>
      <c r="S1278" s="36" t="s">
        <v>762</v>
      </c>
      <c r="T1278" s="36" t="s">
        <v>763</v>
      </c>
      <c r="U1278" s="36" t="s">
        <v>764</v>
      </c>
      <c r="V1278" s="40">
        <v>46113</v>
      </c>
      <c r="W1278" s="36"/>
      <c r="X1278" s="36">
        <v>0</v>
      </c>
      <c r="Y1278" s="36"/>
      <c r="Z1278" s="36">
        <v>0</v>
      </c>
      <c r="AA1278" s="36">
        <v>0</v>
      </c>
      <c r="AB1278" s="36"/>
      <c r="AC1278" s="36" t="str">
        <f t="shared" si="8"/>
        <v>PC26</v>
      </c>
      <c r="AD1278" s="36" t="str">
        <f>VLOOKUP(D1278,Oficial!A:C,3,0)</f>
        <v>Bienes y Servicios</v>
      </c>
    </row>
    <row r="1279" spans="1:30" x14ac:dyDescent="0.25">
      <c r="A1279" s="36" t="s">
        <v>27</v>
      </c>
      <c r="B1279" s="36" t="s">
        <v>2089</v>
      </c>
      <c r="C1279" s="36" t="s">
        <v>28</v>
      </c>
      <c r="D1279" s="36" t="s">
        <v>2089</v>
      </c>
      <c r="E1279" s="36" t="s">
        <v>30</v>
      </c>
      <c r="F1279" s="36" t="s">
        <v>569</v>
      </c>
      <c r="G1279" s="37">
        <v>2266</v>
      </c>
      <c r="H1279" s="36" t="s">
        <v>2090</v>
      </c>
      <c r="I1279" s="36" t="s">
        <v>2091</v>
      </c>
      <c r="J1279" s="36">
        <v>6</v>
      </c>
      <c r="K1279" s="36" t="s">
        <v>1938</v>
      </c>
      <c r="L1279" s="36">
        <v>4</v>
      </c>
      <c r="M1279" s="36">
        <v>115</v>
      </c>
      <c r="N1279" s="38">
        <v>1914</v>
      </c>
      <c r="O1279" s="38">
        <v>220110</v>
      </c>
      <c r="P1279" s="36">
        <v>1</v>
      </c>
      <c r="Q1279" s="40">
        <v>46143</v>
      </c>
      <c r="R1279" s="36" t="s">
        <v>761</v>
      </c>
      <c r="S1279" s="36" t="s">
        <v>762</v>
      </c>
      <c r="T1279" s="36" t="s">
        <v>763</v>
      </c>
      <c r="U1279" s="36" t="s">
        <v>764</v>
      </c>
      <c r="V1279" s="40">
        <v>46113</v>
      </c>
      <c r="W1279" s="36"/>
      <c r="X1279" s="36">
        <v>0</v>
      </c>
      <c r="Y1279" s="36"/>
      <c r="Z1279" s="36">
        <v>0</v>
      </c>
      <c r="AA1279" s="36">
        <v>0</v>
      </c>
      <c r="AB1279" s="36"/>
      <c r="AC1279" s="36" t="str">
        <f t="shared" si="8"/>
        <v>PC26</v>
      </c>
      <c r="AD1279" s="36" t="str">
        <f>VLOOKUP(D1279,Oficial!A:C,3,0)</f>
        <v>Bienes y Servicios</v>
      </c>
    </row>
    <row r="1280" spans="1:30" x14ac:dyDescent="0.25">
      <c r="A1280" s="36" t="s">
        <v>27</v>
      </c>
      <c r="B1280" s="36" t="s">
        <v>2089</v>
      </c>
      <c r="C1280" s="36" t="s">
        <v>28</v>
      </c>
      <c r="D1280" s="36" t="s">
        <v>2089</v>
      </c>
      <c r="E1280" s="36" t="s">
        <v>30</v>
      </c>
      <c r="F1280" s="36" t="s">
        <v>569</v>
      </c>
      <c r="G1280" s="37">
        <v>2266</v>
      </c>
      <c r="H1280" s="36" t="s">
        <v>2090</v>
      </c>
      <c r="I1280" s="36" t="s">
        <v>2091</v>
      </c>
      <c r="J1280" s="36">
        <v>6</v>
      </c>
      <c r="K1280" s="36" t="s">
        <v>2096</v>
      </c>
      <c r="L1280" s="36">
        <v>4</v>
      </c>
      <c r="M1280" s="36">
        <v>1</v>
      </c>
      <c r="N1280" s="38">
        <v>30000</v>
      </c>
      <c r="O1280" s="38">
        <v>30000</v>
      </c>
      <c r="P1280" s="36">
        <v>1</v>
      </c>
      <c r="Q1280" s="40">
        <v>46143</v>
      </c>
      <c r="R1280" s="36" t="s">
        <v>761</v>
      </c>
      <c r="S1280" s="36" t="s">
        <v>762</v>
      </c>
      <c r="T1280" s="36" t="s">
        <v>763</v>
      </c>
      <c r="U1280" s="36" t="s">
        <v>764</v>
      </c>
      <c r="V1280" s="40">
        <v>46113</v>
      </c>
      <c r="W1280" s="36"/>
      <c r="X1280" s="36">
        <v>0</v>
      </c>
      <c r="Y1280" s="36"/>
      <c r="Z1280" s="36">
        <v>0</v>
      </c>
      <c r="AA1280" s="36">
        <v>0</v>
      </c>
      <c r="AB1280" s="36"/>
      <c r="AC1280" s="36" t="str">
        <f t="shared" si="8"/>
        <v>PC26</v>
      </c>
      <c r="AD1280" s="36" t="str">
        <f>VLOOKUP(D1280,Oficial!A:C,3,0)</f>
        <v>Bienes y Servicios</v>
      </c>
    </row>
    <row r="1281" spans="1:30" x14ac:dyDescent="0.25">
      <c r="A1281" s="36" t="s">
        <v>27</v>
      </c>
      <c r="B1281" s="36" t="s">
        <v>2097</v>
      </c>
      <c r="C1281" s="36" t="s">
        <v>28</v>
      </c>
      <c r="D1281" s="36" t="s">
        <v>2097</v>
      </c>
      <c r="E1281" s="36" t="s">
        <v>30</v>
      </c>
      <c r="F1281" s="36" t="s">
        <v>569</v>
      </c>
      <c r="G1281" s="37" t="s">
        <v>615</v>
      </c>
      <c r="H1281" s="36" t="s">
        <v>2098</v>
      </c>
      <c r="I1281" s="36" t="s">
        <v>2099</v>
      </c>
      <c r="J1281" s="36">
        <v>3</v>
      </c>
      <c r="K1281" s="36" t="s">
        <v>2055</v>
      </c>
      <c r="L1281" s="36">
        <v>4</v>
      </c>
      <c r="M1281" s="36">
        <v>13</v>
      </c>
      <c r="N1281" s="38">
        <v>35693</v>
      </c>
      <c r="O1281" s="38">
        <v>464009</v>
      </c>
      <c r="P1281" s="36">
        <v>1</v>
      </c>
      <c r="Q1281" s="40">
        <v>46113</v>
      </c>
      <c r="R1281" s="36" t="s">
        <v>590</v>
      </c>
      <c r="S1281" s="36" t="s">
        <v>591</v>
      </c>
      <c r="T1281" s="36" t="s">
        <v>2100</v>
      </c>
      <c r="U1281" s="36" t="s">
        <v>593</v>
      </c>
      <c r="V1281" s="40">
        <v>46082</v>
      </c>
      <c r="W1281" s="36"/>
      <c r="X1281" s="36">
        <v>0</v>
      </c>
      <c r="Y1281" s="36"/>
      <c r="Z1281" s="36">
        <v>0</v>
      </c>
      <c r="AA1281" s="36">
        <v>0</v>
      </c>
      <c r="AB1281" s="36"/>
      <c r="AC1281" s="36" t="str">
        <f t="shared" si="8"/>
        <v>PC26</v>
      </c>
      <c r="AD1281" s="36" t="str">
        <f>VLOOKUP(D1281,Oficial!A:C,3,0)</f>
        <v>Bienes y Servicios</v>
      </c>
    </row>
    <row r="1282" spans="1:30" x14ac:dyDescent="0.25">
      <c r="A1282" s="36" t="s">
        <v>27</v>
      </c>
      <c r="B1282" s="36" t="s">
        <v>2097</v>
      </c>
      <c r="C1282" s="36" t="s">
        <v>28</v>
      </c>
      <c r="D1282" s="36" t="s">
        <v>2097</v>
      </c>
      <c r="E1282" s="36" t="s">
        <v>30</v>
      </c>
      <c r="F1282" s="36" t="s">
        <v>569</v>
      </c>
      <c r="G1282" s="37" t="s">
        <v>615</v>
      </c>
      <c r="H1282" s="36" t="s">
        <v>2098</v>
      </c>
      <c r="I1282" s="36" t="s">
        <v>2099</v>
      </c>
      <c r="J1282" s="36">
        <v>3</v>
      </c>
      <c r="K1282" s="36" t="s">
        <v>1940</v>
      </c>
      <c r="L1282" s="36">
        <v>4</v>
      </c>
      <c r="M1282" s="36">
        <v>15</v>
      </c>
      <c r="N1282" s="38">
        <v>10000</v>
      </c>
      <c r="O1282" s="38">
        <v>150000</v>
      </c>
      <c r="P1282" s="36">
        <v>1</v>
      </c>
      <c r="Q1282" s="40">
        <v>46143</v>
      </c>
      <c r="R1282" s="36" t="s">
        <v>590</v>
      </c>
      <c r="S1282" s="36" t="s">
        <v>591</v>
      </c>
      <c r="T1282" s="36" t="s">
        <v>2100</v>
      </c>
      <c r="U1282" s="36" t="s">
        <v>593</v>
      </c>
      <c r="V1282" s="40">
        <v>46113</v>
      </c>
      <c r="W1282" s="36"/>
      <c r="X1282" s="36">
        <v>0</v>
      </c>
      <c r="Y1282" s="36"/>
      <c r="Z1282" s="36">
        <v>0</v>
      </c>
      <c r="AA1282" s="36">
        <v>0</v>
      </c>
      <c r="AB1282" s="36"/>
      <c r="AC1282" s="36" t="str">
        <f t="shared" si="8"/>
        <v>PC26</v>
      </c>
      <c r="AD1282" s="36" t="str">
        <f>VLOOKUP(D1282,Oficial!A:C,3,0)</f>
        <v>Bienes y Servicios</v>
      </c>
    </row>
    <row r="1283" spans="1:30" x14ac:dyDescent="0.25">
      <c r="A1283" s="36" t="s">
        <v>27</v>
      </c>
      <c r="B1283" s="36" t="s">
        <v>2097</v>
      </c>
      <c r="C1283" s="36" t="s">
        <v>28</v>
      </c>
      <c r="D1283" s="36" t="s">
        <v>2097</v>
      </c>
      <c r="E1283" s="36" t="s">
        <v>30</v>
      </c>
      <c r="F1283" s="36" t="s">
        <v>569</v>
      </c>
      <c r="G1283" s="37" t="s">
        <v>615</v>
      </c>
      <c r="H1283" s="36" t="s">
        <v>2098</v>
      </c>
      <c r="I1283" s="36" t="s">
        <v>2099</v>
      </c>
      <c r="J1283" s="36">
        <v>3</v>
      </c>
      <c r="K1283" s="36" t="s">
        <v>2101</v>
      </c>
      <c r="L1283" s="36">
        <v>4</v>
      </c>
      <c r="M1283" s="36">
        <v>107</v>
      </c>
      <c r="N1283" s="38">
        <v>14571</v>
      </c>
      <c r="O1283" s="38">
        <v>1559097</v>
      </c>
      <c r="P1283" s="36">
        <v>1</v>
      </c>
      <c r="Q1283" s="40">
        <v>46143</v>
      </c>
      <c r="R1283" s="36" t="s">
        <v>590</v>
      </c>
      <c r="S1283" s="36" t="s">
        <v>591</v>
      </c>
      <c r="T1283" s="36" t="s">
        <v>2100</v>
      </c>
      <c r="U1283" s="36" t="s">
        <v>593</v>
      </c>
      <c r="V1283" s="40">
        <v>46113</v>
      </c>
      <c r="W1283" s="36"/>
      <c r="X1283" s="36">
        <v>0</v>
      </c>
      <c r="Y1283" s="36"/>
      <c r="Z1283" s="36">
        <v>0</v>
      </c>
      <c r="AA1283" s="36">
        <v>0</v>
      </c>
      <c r="AB1283" s="36"/>
      <c r="AC1283" s="36" t="str">
        <f t="shared" si="8"/>
        <v>PC26</v>
      </c>
      <c r="AD1283" s="36" t="str">
        <f>VLOOKUP(D1283,Oficial!A:C,3,0)</f>
        <v>Bienes y Servicios</v>
      </c>
    </row>
    <row r="1284" spans="1:30" x14ac:dyDescent="0.25">
      <c r="A1284" s="36" t="s">
        <v>27</v>
      </c>
      <c r="B1284" s="36" t="s">
        <v>2102</v>
      </c>
      <c r="C1284" s="36" t="s">
        <v>1238</v>
      </c>
      <c r="D1284" s="36" t="s">
        <v>2102</v>
      </c>
      <c r="E1284" s="36" t="s">
        <v>30</v>
      </c>
      <c r="F1284" s="36" t="s">
        <v>569</v>
      </c>
      <c r="G1284" s="37">
        <v>2518</v>
      </c>
      <c r="H1284" s="36" t="s">
        <v>2103</v>
      </c>
      <c r="I1284" s="36" t="s">
        <v>2104</v>
      </c>
      <c r="J1284" s="36">
        <v>2</v>
      </c>
      <c r="K1284" s="36" t="s">
        <v>2105</v>
      </c>
      <c r="L1284" s="36">
        <v>4</v>
      </c>
      <c r="M1284" s="36">
        <v>1</v>
      </c>
      <c r="N1284" s="38">
        <v>15000000</v>
      </c>
      <c r="O1284" s="38">
        <v>15000000</v>
      </c>
      <c r="P1284" s="36">
        <v>1</v>
      </c>
      <c r="Q1284" s="40">
        <v>46082</v>
      </c>
      <c r="R1284" s="36" t="s">
        <v>1759</v>
      </c>
      <c r="S1284" s="36" t="s">
        <v>1760</v>
      </c>
      <c r="T1284" s="36" t="s">
        <v>1761</v>
      </c>
      <c r="U1284" s="36" t="s">
        <v>1762</v>
      </c>
      <c r="V1284" s="40">
        <v>46082</v>
      </c>
      <c r="W1284" s="36"/>
      <c r="X1284" s="36">
        <v>0</v>
      </c>
      <c r="Y1284" s="36"/>
      <c r="Z1284" s="36">
        <v>0</v>
      </c>
      <c r="AA1284" s="36">
        <v>0</v>
      </c>
      <c r="AB1284" s="36"/>
      <c r="AC1284" s="36" t="str">
        <f t="shared" si="8"/>
        <v>PC26</v>
      </c>
      <c r="AD1284" s="36" t="str">
        <f>VLOOKUP(D1284,Oficial!A:C,3,0)</f>
        <v>Activos Fijos</v>
      </c>
    </row>
    <row r="1285" spans="1:30" x14ac:dyDescent="0.25">
      <c r="A1285" s="36" t="s">
        <v>27</v>
      </c>
      <c r="B1285" s="36" t="s">
        <v>2102</v>
      </c>
      <c r="C1285" s="36" t="s">
        <v>1238</v>
      </c>
      <c r="D1285" s="36" t="s">
        <v>2102</v>
      </c>
      <c r="E1285" s="36" t="s">
        <v>30</v>
      </c>
      <c r="F1285" s="36" t="s">
        <v>569</v>
      </c>
      <c r="G1285" s="37">
        <v>2518</v>
      </c>
      <c r="H1285" s="36" t="s">
        <v>2103</v>
      </c>
      <c r="I1285" s="36" t="s">
        <v>2104</v>
      </c>
      <c r="J1285" s="36">
        <v>2</v>
      </c>
      <c r="K1285" s="36" t="s">
        <v>2106</v>
      </c>
      <c r="L1285" s="36">
        <v>4</v>
      </c>
      <c r="M1285" s="36">
        <v>2</v>
      </c>
      <c r="N1285" s="38">
        <v>500000</v>
      </c>
      <c r="O1285" s="38">
        <v>1000000</v>
      </c>
      <c r="P1285" s="36">
        <v>1</v>
      </c>
      <c r="Q1285" s="40">
        <v>46082</v>
      </c>
      <c r="R1285" s="36" t="s">
        <v>1759</v>
      </c>
      <c r="S1285" s="36" t="s">
        <v>1760</v>
      </c>
      <c r="T1285" s="36" t="s">
        <v>1761</v>
      </c>
      <c r="U1285" s="36" t="s">
        <v>1762</v>
      </c>
      <c r="V1285" s="40">
        <v>46082</v>
      </c>
      <c r="W1285" s="36"/>
      <c r="X1285" s="36">
        <v>0</v>
      </c>
      <c r="Y1285" s="36"/>
      <c r="Z1285" s="36">
        <v>0</v>
      </c>
      <c r="AA1285" s="36">
        <v>0</v>
      </c>
      <c r="AB1285" s="36"/>
      <c r="AC1285" s="36" t="str">
        <f t="shared" si="8"/>
        <v>PC26</v>
      </c>
      <c r="AD1285" s="36" t="str">
        <f>VLOOKUP(D1285,Oficial!A:C,3,0)</f>
        <v>Activos Fijos</v>
      </c>
    </row>
    <row r="1286" spans="1:30" x14ac:dyDescent="0.25">
      <c r="A1286" s="36" t="s">
        <v>27</v>
      </c>
      <c r="B1286" s="36" t="s">
        <v>2107</v>
      </c>
      <c r="C1286" s="36" t="s">
        <v>28</v>
      </c>
      <c r="D1286" s="36" t="s">
        <v>2107</v>
      </c>
      <c r="E1286" s="36" t="s">
        <v>30</v>
      </c>
      <c r="F1286" s="36" t="s">
        <v>569</v>
      </c>
      <c r="G1286" s="37">
        <v>2233</v>
      </c>
      <c r="H1286" s="36" t="s">
        <v>2108</v>
      </c>
      <c r="I1286" s="36" t="s">
        <v>2109</v>
      </c>
      <c r="J1286" s="36">
        <v>3</v>
      </c>
      <c r="K1286" s="36" t="s">
        <v>953</v>
      </c>
      <c r="L1286" s="36">
        <v>4</v>
      </c>
      <c r="M1286" s="36">
        <v>12</v>
      </c>
      <c r="N1286" s="38">
        <v>41667</v>
      </c>
      <c r="O1286" s="38">
        <v>500004</v>
      </c>
      <c r="P1286" s="36">
        <v>1</v>
      </c>
      <c r="Q1286" s="40">
        <v>46054</v>
      </c>
      <c r="R1286" s="36" t="s">
        <v>761</v>
      </c>
      <c r="S1286" s="36" t="s">
        <v>762</v>
      </c>
      <c r="T1286" s="36" t="s">
        <v>763</v>
      </c>
      <c r="U1286" s="36" t="s">
        <v>764</v>
      </c>
      <c r="V1286" s="40">
        <v>46054</v>
      </c>
      <c r="W1286" s="36"/>
      <c r="X1286" s="36">
        <v>0</v>
      </c>
      <c r="Y1286" s="36"/>
      <c r="Z1286" s="36">
        <v>0</v>
      </c>
      <c r="AA1286" s="36">
        <v>0</v>
      </c>
      <c r="AB1286" s="36"/>
      <c r="AC1286" s="36" t="str">
        <f t="shared" si="8"/>
        <v>PC26</v>
      </c>
      <c r="AD1286" s="36" t="str">
        <f>VLOOKUP(D1286,Oficial!A:C,3,0)</f>
        <v>Bienes y Servicios</v>
      </c>
    </row>
    <row r="1287" spans="1:30" x14ac:dyDescent="0.25">
      <c r="A1287" s="36" t="s">
        <v>27</v>
      </c>
      <c r="B1287" s="36" t="s">
        <v>2107</v>
      </c>
      <c r="C1287" s="36" t="s">
        <v>28</v>
      </c>
      <c r="D1287" s="36" t="s">
        <v>2107</v>
      </c>
      <c r="E1287" s="36" t="s">
        <v>30</v>
      </c>
      <c r="F1287" s="36" t="s">
        <v>569</v>
      </c>
      <c r="G1287" s="37">
        <v>2233</v>
      </c>
      <c r="H1287" s="36" t="s">
        <v>2108</v>
      </c>
      <c r="I1287" s="36" t="s">
        <v>2109</v>
      </c>
      <c r="J1287" s="36">
        <v>3</v>
      </c>
      <c r="K1287" s="36" t="s">
        <v>486</v>
      </c>
      <c r="L1287" s="36">
        <v>4</v>
      </c>
      <c r="M1287" s="36">
        <v>1000</v>
      </c>
      <c r="N1287" s="38">
        <v>1975</v>
      </c>
      <c r="O1287" s="38">
        <v>1975000</v>
      </c>
      <c r="P1287" s="36">
        <v>1</v>
      </c>
      <c r="Q1287" s="40">
        <v>46054</v>
      </c>
      <c r="R1287" s="36" t="s">
        <v>761</v>
      </c>
      <c r="S1287" s="36" t="s">
        <v>762</v>
      </c>
      <c r="T1287" s="36" t="s">
        <v>763</v>
      </c>
      <c r="U1287" s="36" t="s">
        <v>764</v>
      </c>
      <c r="V1287" s="40">
        <v>46054</v>
      </c>
      <c r="W1287" s="36"/>
      <c r="X1287" s="36">
        <v>0</v>
      </c>
      <c r="Y1287" s="36"/>
      <c r="Z1287" s="36">
        <v>0</v>
      </c>
      <c r="AA1287" s="36">
        <v>0</v>
      </c>
      <c r="AB1287" s="36"/>
      <c r="AC1287" s="36" t="str">
        <f t="shared" si="8"/>
        <v>PC26</v>
      </c>
      <c r="AD1287" s="36" t="str">
        <f>VLOOKUP(D1287,Oficial!A:C,3,0)</f>
        <v>Bienes y Servicios</v>
      </c>
    </row>
    <row r="1288" spans="1:30" x14ac:dyDescent="0.25">
      <c r="A1288" s="36" t="s">
        <v>27</v>
      </c>
      <c r="B1288" s="36" t="s">
        <v>2107</v>
      </c>
      <c r="C1288" s="36" t="s">
        <v>28</v>
      </c>
      <c r="D1288" s="36" t="s">
        <v>2107</v>
      </c>
      <c r="E1288" s="36" t="s">
        <v>30</v>
      </c>
      <c r="F1288" s="36" t="s">
        <v>569</v>
      </c>
      <c r="G1288" s="37">
        <v>2233</v>
      </c>
      <c r="H1288" s="36" t="s">
        <v>2108</v>
      </c>
      <c r="I1288" s="36" t="s">
        <v>2109</v>
      </c>
      <c r="J1288" s="36">
        <v>3</v>
      </c>
      <c r="K1288" s="36" t="s">
        <v>1683</v>
      </c>
      <c r="L1288" s="36">
        <v>4</v>
      </c>
      <c r="M1288" s="36">
        <v>10</v>
      </c>
      <c r="N1288" s="38">
        <v>5000</v>
      </c>
      <c r="O1288" s="38">
        <v>50000</v>
      </c>
      <c r="P1288" s="36">
        <v>1</v>
      </c>
      <c r="Q1288" s="40">
        <v>46054</v>
      </c>
      <c r="R1288" s="36" t="s">
        <v>761</v>
      </c>
      <c r="S1288" s="36" t="s">
        <v>762</v>
      </c>
      <c r="T1288" s="36" t="s">
        <v>763</v>
      </c>
      <c r="U1288" s="36" t="s">
        <v>764</v>
      </c>
      <c r="V1288" s="40">
        <v>46054</v>
      </c>
      <c r="W1288" s="36"/>
      <c r="X1288" s="36">
        <v>0</v>
      </c>
      <c r="Y1288" s="36"/>
      <c r="Z1288" s="36">
        <v>0</v>
      </c>
      <c r="AA1288" s="36">
        <v>0</v>
      </c>
      <c r="AB1288" s="36"/>
      <c r="AC1288" s="36" t="str">
        <f t="shared" si="8"/>
        <v>PC26</v>
      </c>
      <c r="AD1288" s="36" t="str">
        <f>VLOOKUP(D1288,Oficial!A:C,3,0)</f>
        <v>Bienes y Servicios</v>
      </c>
    </row>
    <row r="1289" spans="1:30" x14ac:dyDescent="0.25">
      <c r="A1289" s="36" t="s">
        <v>27</v>
      </c>
      <c r="B1289" s="36" t="s">
        <v>2110</v>
      </c>
      <c r="C1289" s="36" t="s">
        <v>374</v>
      </c>
      <c r="D1289" s="36" t="s">
        <v>2110</v>
      </c>
      <c r="E1289" s="36" t="s">
        <v>30</v>
      </c>
      <c r="F1289" s="36" t="s">
        <v>569</v>
      </c>
      <c r="G1289" s="37">
        <v>2240</v>
      </c>
      <c r="H1289" s="36" t="s">
        <v>2111</v>
      </c>
      <c r="I1289" s="36" t="s">
        <v>2112</v>
      </c>
      <c r="J1289" s="36">
        <v>5</v>
      </c>
      <c r="K1289" s="36" t="s">
        <v>359</v>
      </c>
      <c r="L1289" s="36">
        <v>4</v>
      </c>
      <c r="M1289" s="36">
        <v>260</v>
      </c>
      <c r="N1289" s="38">
        <v>1700</v>
      </c>
      <c r="O1289" s="38">
        <v>442000</v>
      </c>
      <c r="P1289" s="36">
        <v>1</v>
      </c>
      <c r="Q1289" s="40">
        <v>46023</v>
      </c>
      <c r="R1289" s="36" t="s">
        <v>768</v>
      </c>
      <c r="S1289" s="36" t="s">
        <v>769</v>
      </c>
      <c r="T1289" s="36" t="s">
        <v>770</v>
      </c>
      <c r="U1289" s="36" t="s">
        <v>388</v>
      </c>
      <c r="V1289" s="40">
        <v>46023</v>
      </c>
      <c r="W1289" s="36"/>
      <c r="X1289" s="36">
        <v>0</v>
      </c>
      <c r="Y1289" s="36"/>
      <c r="Z1289" s="36">
        <v>0</v>
      </c>
      <c r="AA1289" s="36">
        <v>0</v>
      </c>
      <c r="AB1289" s="36"/>
      <c r="AC1289" s="36" t="str">
        <f t="shared" si="8"/>
        <v>PC26</v>
      </c>
      <c r="AD1289" s="36" t="str">
        <f>VLOOKUP(D1289,Oficial!A:C,3,0)</f>
        <v>Administración de Fondos</v>
      </c>
    </row>
    <row r="1290" spans="1:30" x14ac:dyDescent="0.25">
      <c r="A1290" s="36" t="s">
        <v>27</v>
      </c>
      <c r="B1290" s="36" t="s">
        <v>2110</v>
      </c>
      <c r="C1290" s="36" t="s">
        <v>374</v>
      </c>
      <c r="D1290" s="36" t="s">
        <v>2110</v>
      </c>
      <c r="E1290" s="36" t="s">
        <v>30</v>
      </c>
      <c r="F1290" s="36" t="s">
        <v>569</v>
      </c>
      <c r="G1290" s="37">
        <v>2240</v>
      </c>
      <c r="H1290" s="36" t="s">
        <v>2111</v>
      </c>
      <c r="I1290" s="36" t="s">
        <v>2112</v>
      </c>
      <c r="J1290" s="36">
        <v>5</v>
      </c>
      <c r="K1290" s="36" t="s">
        <v>486</v>
      </c>
      <c r="L1290" s="36">
        <v>4</v>
      </c>
      <c r="M1290" s="36">
        <v>510</v>
      </c>
      <c r="N1290" s="38">
        <v>983</v>
      </c>
      <c r="O1290" s="38">
        <v>501330</v>
      </c>
      <c r="P1290" s="36">
        <v>1</v>
      </c>
      <c r="Q1290" s="40">
        <v>46023</v>
      </c>
      <c r="R1290" s="36" t="s">
        <v>768</v>
      </c>
      <c r="S1290" s="36" t="s">
        <v>769</v>
      </c>
      <c r="T1290" s="36" t="s">
        <v>770</v>
      </c>
      <c r="U1290" s="36" t="s">
        <v>388</v>
      </c>
      <c r="V1290" s="40">
        <v>46023</v>
      </c>
      <c r="W1290" s="36"/>
      <c r="X1290" s="36">
        <v>0</v>
      </c>
      <c r="Y1290" s="36"/>
      <c r="Z1290" s="36">
        <v>0</v>
      </c>
      <c r="AA1290" s="36">
        <v>0</v>
      </c>
      <c r="AB1290" s="36"/>
      <c r="AC1290" s="36" t="str">
        <f t="shared" si="8"/>
        <v>PC26</v>
      </c>
      <c r="AD1290" s="36" t="str">
        <f>VLOOKUP(D1290,Oficial!A:C,3,0)</f>
        <v>Administración de Fondos</v>
      </c>
    </row>
    <row r="1291" spans="1:30" x14ac:dyDescent="0.25">
      <c r="A1291" s="36" t="s">
        <v>27</v>
      </c>
      <c r="B1291" s="36" t="s">
        <v>2110</v>
      </c>
      <c r="C1291" s="36" t="s">
        <v>374</v>
      </c>
      <c r="D1291" s="36" t="s">
        <v>2110</v>
      </c>
      <c r="E1291" s="36" t="s">
        <v>30</v>
      </c>
      <c r="F1291" s="36" t="s">
        <v>569</v>
      </c>
      <c r="G1291" s="37">
        <v>2240</v>
      </c>
      <c r="H1291" s="36" t="s">
        <v>2111</v>
      </c>
      <c r="I1291" s="36" t="s">
        <v>2112</v>
      </c>
      <c r="J1291" s="36">
        <v>5</v>
      </c>
      <c r="K1291" s="36" t="s">
        <v>855</v>
      </c>
      <c r="L1291" s="36">
        <v>4</v>
      </c>
      <c r="M1291" s="36">
        <v>700</v>
      </c>
      <c r="N1291" s="38">
        <v>71</v>
      </c>
      <c r="O1291" s="38">
        <v>49700</v>
      </c>
      <c r="P1291" s="36">
        <v>1</v>
      </c>
      <c r="Q1291" s="40">
        <v>46023</v>
      </c>
      <c r="R1291" s="36" t="s">
        <v>768</v>
      </c>
      <c r="S1291" s="36" t="s">
        <v>769</v>
      </c>
      <c r="T1291" s="36" t="s">
        <v>770</v>
      </c>
      <c r="U1291" s="36" t="s">
        <v>388</v>
      </c>
      <c r="V1291" s="40">
        <v>46023</v>
      </c>
      <c r="W1291" s="36"/>
      <c r="X1291" s="36">
        <v>0</v>
      </c>
      <c r="Y1291" s="36"/>
      <c r="Z1291" s="36">
        <v>0</v>
      </c>
      <c r="AA1291" s="36">
        <v>0</v>
      </c>
      <c r="AB1291" s="36"/>
      <c r="AC1291" s="36" t="str">
        <f t="shared" si="8"/>
        <v>PC26</v>
      </c>
      <c r="AD1291" s="36" t="str">
        <f>VLOOKUP(D1291,Oficial!A:C,3,0)</f>
        <v>Administración de Fondos</v>
      </c>
    </row>
    <row r="1292" spans="1:30" x14ac:dyDescent="0.25">
      <c r="A1292" s="36" t="s">
        <v>27</v>
      </c>
      <c r="B1292" s="36" t="s">
        <v>2110</v>
      </c>
      <c r="C1292" s="36" t="s">
        <v>374</v>
      </c>
      <c r="D1292" s="36" t="s">
        <v>2110</v>
      </c>
      <c r="E1292" s="36" t="s">
        <v>30</v>
      </c>
      <c r="F1292" s="36" t="s">
        <v>569</v>
      </c>
      <c r="G1292" s="37">
        <v>2240</v>
      </c>
      <c r="H1292" s="36" t="s">
        <v>2111</v>
      </c>
      <c r="I1292" s="36" t="s">
        <v>2112</v>
      </c>
      <c r="J1292" s="36">
        <v>5</v>
      </c>
      <c r="K1292" s="36" t="s">
        <v>2113</v>
      </c>
      <c r="L1292" s="36">
        <v>4</v>
      </c>
      <c r="M1292" s="36">
        <v>2</v>
      </c>
      <c r="N1292" s="38">
        <v>120000</v>
      </c>
      <c r="O1292" s="38">
        <v>240000</v>
      </c>
      <c r="P1292" s="36">
        <v>1</v>
      </c>
      <c r="Q1292" s="40">
        <v>46023</v>
      </c>
      <c r="R1292" s="36" t="s">
        <v>768</v>
      </c>
      <c r="S1292" s="36" t="s">
        <v>769</v>
      </c>
      <c r="T1292" s="36" t="s">
        <v>770</v>
      </c>
      <c r="U1292" s="36" t="s">
        <v>388</v>
      </c>
      <c r="V1292" s="40">
        <v>46023</v>
      </c>
      <c r="W1292" s="36"/>
      <c r="X1292" s="36">
        <v>0</v>
      </c>
      <c r="Y1292" s="36"/>
      <c r="Z1292" s="36">
        <v>0</v>
      </c>
      <c r="AA1292" s="36">
        <v>0</v>
      </c>
      <c r="AB1292" s="36"/>
      <c r="AC1292" s="36" t="str">
        <f t="shared" si="8"/>
        <v>PC26</v>
      </c>
      <c r="AD1292" s="36" t="str">
        <f>VLOOKUP(D1292,Oficial!A:C,3,0)</f>
        <v>Administración de Fondos</v>
      </c>
    </row>
    <row r="1293" spans="1:30" x14ac:dyDescent="0.25">
      <c r="A1293" s="36" t="s">
        <v>27</v>
      </c>
      <c r="B1293" s="36" t="s">
        <v>2110</v>
      </c>
      <c r="C1293" s="36" t="s">
        <v>374</v>
      </c>
      <c r="D1293" s="36" t="s">
        <v>2110</v>
      </c>
      <c r="E1293" s="36" t="s">
        <v>30</v>
      </c>
      <c r="F1293" s="36" t="s">
        <v>569</v>
      </c>
      <c r="G1293" s="37">
        <v>2240</v>
      </c>
      <c r="H1293" s="36" t="s">
        <v>2111</v>
      </c>
      <c r="I1293" s="36" t="s">
        <v>2112</v>
      </c>
      <c r="J1293" s="36">
        <v>5</v>
      </c>
      <c r="K1293" s="36" t="s">
        <v>2114</v>
      </c>
      <c r="L1293" s="36">
        <v>4</v>
      </c>
      <c r="M1293" s="36">
        <v>2</v>
      </c>
      <c r="N1293" s="38">
        <v>35000</v>
      </c>
      <c r="O1293" s="38">
        <v>70000</v>
      </c>
      <c r="P1293" s="36">
        <v>1</v>
      </c>
      <c r="Q1293" s="40">
        <v>46023</v>
      </c>
      <c r="R1293" s="36" t="s">
        <v>768</v>
      </c>
      <c r="S1293" s="36" t="s">
        <v>769</v>
      </c>
      <c r="T1293" s="36" t="s">
        <v>770</v>
      </c>
      <c r="U1293" s="36" t="s">
        <v>388</v>
      </c>
      <c r="V1293" s="40">
        <v>46023</v>
      </c>
      <c r="W1293" s="36"/>
      <c r="X1293" s="36">
        <v>0</v>
      </c>
      <c r="Y1293" s="36"/>
      <c r="Z1293" s="36">
        <v>0</v>
      </c>
      <c r="AA1293" s="36">
        <v>0</v>
      </c>
      <c r="AB1293" s="36"/>
      <c r="AC1293" s="36" t="str">
        <f t="shared" si="8"/>
        <v>PC26</v>
      </c>
      <c r="AD1293" s="36" t="str">
        <f>VLOOKUP(D1293,Oficial!A:C,3,0)</f>
        <v>Administración de Fondos</v>
      </c>
    </row>
    <row r="1294" spans="1:30" x14ac:dyDescent="0.25">
      <c r="A1294" s="36" t="s">
        <v>27</v>
      </c>
      <c r="B1294" s="36" t="s">
        <v>2115</v>
      </c>
      <c r="C1294" s="36" t="s">
        <v>28</v>
      </c>
      <c r="D1294" s="36" t="s">
        <v>2115</v>
      </c>
      <c r="E1294" s="36" t="s">
        <v>30</v>
      </c>
      <c r="F1294" s="36" t="s">
        <v>569</v>
      </c>
      <c r="G1294" s="37">
        <v>2254</v>
      </c>
      <c r="H1294" s="36" t="s">
        <v>2116</v>
      </c>
      <c r="I1294" s="36" t="s">
        <v>2117</v>
      </c>
      <c r="J1294" s="36">
        <v>4</v>
      </c>
      <c r="K1294" s="36" t="s">
        <v>2118</v>
      </c>
      <c r="L1294" s="36">
        <v>4</v>
      </c>
      <c r="M1294" s="36">
        <v>1</v>
      </c>
      <c r="N1294" s="38">
        <v>1000000</v>
      </c>
      <c r="O1294" s="38">
        <v>1000000</v>
      </c>
      <c r="P1294" s="36">
        <v>1</v>
      </c>
      <c r="Q1294" s="40">
        <v>46266</v>
      </c>
      <c r="R1294" s="36" t="s">
        <v>761</v>
      </c>
      <c r="S1294" s="36" t="s">
        <v>762</v>
      </c>
      <c r="T1294" s="36" t="s">
        <v>763</v>
      </c>
      <c r="U1294" s="36" t="s">
        <v>764</v>
      </c>
      <c r="V1294" s="40">
        <v>46266</v>
      </c>
      <c r="W1294" s="36"/>
      <c r="X1294" s="36">
        <v>0</v>
      </c>
      <c r="Y1294" s="36"/>
      <c r="Z1294" s="36">
        <v>0</v>
      </c>
      <c r="AA1294" s="36">
        <v>0</v>
      </c>
      <c r="AB1294" s="36"/>
      <c r="AC1294" s="36" t="str">
        <f t="shared" si="8"/>
        <v>PC26</v>
      </c>
      <c r="AD1294" s="36" t="str">
        <f>VLOOKUP(D1294,Oficial!A:C,3,0)</f>
        <v>Bienes y Servicios</v>
      </c>
    </row>
    <row r="1295" spans="1:30" x14ac:dyDescent="0.25">
      <c r="A1295" s="36" t="s">
        <v>27</v>
      </c>
      <c r="B1295" s="36" t="s">
        <v>2115</v>
      </c>
      <c r="C1295" s="36" t="s">
        <v>28</v>
      </c>
      <c r="D1295" s="36" t="s">
        <v>2115</v>
      </c>
      <c r="E1295" s="36" t="s">
        <v>30</v>
      </c>
      <c r="F1295" s="36" t="s">
        <v>569</v>
      </c>
      <c r="G1295" s="37">
        <v>2254</v>
      </c>
      <c r="H1295" s="36" t="s">
        <v>2116</v>
      </c>
      <c r="I1295" s="36" t="s">
        <v>2117</v>
      </c>
      <c r="J1295" s="36">
        <v>4</v>
      </c>
      <c r="K1295" s="36" t="s">
        <v>2119</v>
      </c>
      <c r="L1295" s="36">
        <v>4</v>
      </c>
      <c r="M1295" s="36">
        <v>48</v>
      </c>
      <c r="N1295" s="38">
        <v>7500</v>
      </c>
      <c r="O1295" s="38">
        <v>360000</v>
      </c>
      <c r="P1295" s="36">
        <v>1</v>
      </c>
      <c r="Q1295" s="40">
        <v>46266</v>
      </c>
      <c r="R1295" s="36" t="s">
        <v>761</v>
      </c>
      <c r="S1295" s="36" t="s">
        <v>762</v>
      </c>
      <c r="T1295" s="36" t="s">
        <v>763</v>
      </c>
      <c r="U1295" s="36" t="s">
        <v>764</v>
      </c>
      <c r="V1295" s="40">
        <v>46266</v>
      </c>
      <c r="W1295" s="36"/>
      <c r="X1295" s="36">
        <v>0</v>
      </c>
      <c r="Y1295" s="36"/>
      <c r="Z1295" s="36">
        <v>0</v>
      </c>
      <c r="AA1295" s="36">
        <v>0</v>
      </c>
      <c r="AB1295" s="36"/>
      <c r="AC1295" s="36" t="str">
        <f t="shared" si="8"/>
        <v>PC26</v>
      </c>
      <c r="AD1295" s="36" t="str">
        <f>VLOOKUP(D1295,Oficial!A:C,3,0)</f>
        <v>Bienes y Servicios</v>
      </c>
    </row>
    <row r="1296" spans="1:30" x14ac:dyDescent="0.25">
      <c r="A1296" s="36" t="s">
        <v>27</v>
      </c>
      <c r="B1296" s="36" t="s">
        <v>2115</v>
      </c>
      <c r="C1296" s="36" t="s">
        <v>28</v>
      </c>
      <c r="D1296" s="36" t="s">
        <v>2115</v>
      </c>
      <c r="E1296" s="36" t="s">
        <v>30</v>
      </c>
      <c r="F1296" s="36" t="s">
        <v>569</v>
      </c>
      <c r="G1296" s="37">
        <v>2254</v>
      </c>
      <c r="H1296" s="36" t="s">
        <v>2116</v>
      </c>
      <c r="I1296" s="36" t="s">
        <v>2117</v>
      </c>
      <c r="J1296" s="36">
        <v>4</v>
      </c>
      <c r="K1296" s="36" t="s">
        <v>2120</v>
      </c>
      <c r="L1296" s="36">
        <v>4</v>
      </c>
      <c r="M1296" s="36">
        <v>400</v>
      </c>
      <c r="N1296" s="38">
        <v>465</v>
      </c>
      <c r="O1296" s="38">
        <v>186000</v>
      </c>
      <c r="P1296" s="36">
        <v>1</v>
      </c>
      <c r="Q1296" s="40">
        <v>46266</v>
      </c>
      <c r="R1296" s="36" t="s">
        <v>761</v>
      </c>
      <c r="S1296" s="36" t="s">
        <v>762</v>
      </c>
      <c r="T1296" s="36" t="s">
        <v>763</v>
      </c>
      <c r="U1296" s="36" t="s">
        <v>764</v>
      </c>
      <c r="V1296" s="40">
        <v>46266</v>
      </c>
      <c r="W1296" s="36"/>
      <c r="X1296" s="36">
        <v>0</v>
      </c>
      <c r="Y1296" s="36"/>
      <c r="Z1296" s="36">
        <v>0</v>
      </c>
      <c r="AA1296" s="36">
        <v>0</v>
      </c>
      <c r="AB1296" s="36"/>
      <c r="AC1296" s="36" t="str">
        <f t="shared" si="8"/>
        <v>PC26</v>
      </c>
      <c r="AD1296" s="36" t="str">
        <f>VLOOKUP(D1296,Oficial!A:C,3,0)</f>
        <v>Bienes y Servicios</v>
      </c>
    </row>
    <row r="1297" spans="1:30" x14ac:dyDescent="0.25">
      <c r="A1297" s="36" t="s">
        <v>27</v>
      </c>
      <c r="B1297" s="36" t="s">
        <v>2115</v>
      </c>
      <c r="C1297" s="36" t="s">
        <v>28</v>
      </c>
      <c r="D1297" s="36" t="s">
        <v>2115</v>
      </c>
      <c r="E1297" s="36" t="s">
        <v>30</v>
      </c>
      <c r="F1297" s="36" t="s">
        <v>569</v>
      </c>
      <c r="G1297" s="37">
        <v>2254</v>
      </c>
      <c r="H1297" s="36" t="s">
        <v>2116</v>
      </c>
      <c r="I1297" s="36" t="s">
        <v>2117</v>
      </c>
      <c r="J1297" s="36">
        <v>4</v>
      </c>
      <c r="K1297" s="36" t="s">
        <v>359</v>
      </c>
      <c r="L1297" s="36">
        <v>4</v>
      </c>
      <c r="M1297" s="36">
        <v>3238</v>
      </c>
      <c r="N1297" s="38">
        <v>210</v>
      </c>
      <c r="O1297" s="38">
        <v>679980</v>
      </c>
      <c r="P1297" s="36">
        <v>1</v>
      </c>
      <c r="Q1297" s="40">
        <v>46266</v>
      </c>
      <c r="R1297" s="36" t="s">
        <v>761</v>
      </c>
      <c r="S1297" s="36" t="s">
        <v>762</v>
      </c>
      <c r="T1297" s="36" t="s">
        <v>763</v>
      </c>
      <c r="U1297" s="36" t="s">
        <v>764</v>
      </c>
      <c r="V1297" s="40">
        <v>46266</v>
      </c>
      <c r="W1297" s="36"/>
      <c r="X1297" s="36">
        <v>0</v>
      </c>
      <c r="Y1297" s="36"/>
      <c r="Z1297" s="36">
        <v>0</v>
      </c>
      <c r="AA1297" s="36">
        <v>0</v>
      </c>
      <c r="AB1297" s="36"/>
      <c r="AC1297" s="36" t="str">
        <f t="shared" si="8"/>
        <v>PC26</v>
      </c>
      <c r="AD1297" s="36" t="str">
        <f>VLOOKUP(D1297,Oficial!A:C,3,0)</f>
        <v>Bienes y Servicios</v>
      </c>
    </row>
    <row r="1298" spans="1:30" x14ac:dyDescent="0.25">
      <c r="A1298" s="36" t="s">
        <v>27</v>
      </c>
      <c r="B1298" s="36" t="s">
        <v>2121</v>
      </c>
      <c r="C1298" s="36" t="s">
        <v>28</v>
      </c>
      <c r="D1298" s="36" t="s">
        <v>2121</v>
      </c>
      <c r="E1298" s="36" t="s">
        <v>30</v>
      </c>
      <c r="F1298" s="36" t="s">
        <v>569</v>
      </c>
      <c r="G1298" s="37">
        <v>2281</v>
      </c>
      <c r="H1298" s="36" t="s">
        <v>2122</v>
      </c>
      <c r="I1298" s="36" t="s">
        <v>2123</v>
      </c>
      <c r="J1298" s="36">
        <v>23</v>
      </c>
      <c r="K1298" s="36" t="s">
        <v>2095</v>
      </c>
      <c r="L1298" s="36">
        <v>4</v>
      </c>
      <c r="M1298" s="36">
        <v>70</v>
      </c>
      <c r="N1298" s="38">
        <v>10215</v>
      </c>
      <c r="O1298" s="38">
        <v>715050</v>
      </c>
      <c r="P1298" s="36">
        <v>1</v>
      </c>
      <c r="Q1298" s="40">
        <v>46113</v>
      </c>
      <c r="R1298" s="36" t="s">
        <v>2124</v>
      </c>
      <c r="S1298" s="36" t="s">
        <v>1217</v>
      </c>
      <c r="T1298" s="36" t="s">
        <v>2125</v>
      </c>
      <c r="U1298" s="36" t="s">
        <v>2126</v>
      </c>
      <c r="V1298" s="40">
        <v>46082</v>
      </c>
      <c r="W1298" s="36"/>
      <c r="X1298" s="36">
        <v>0</v>
      </c>
      <c r="Y1298" s="36"/>
      <c r="Z1298" s="36">
        <v>0</v>
      </c>
      <c r="AA1298" s="36">
        <v>0</v>
      </c>
      <c r="AB1298" s="36"/>
      <c r="AC1298" s="36" t="str">
        <f t="shared" si="8"/>
        <v>PC26</v>
      </c>
      <c r="AD1298" s="36" t="str">
        <f>VLOOKUP(D1298,Oficial!A:C,3,0)</f>
        <v>Bienes y Servicios</v>
      </c>
    </row>
    <row r="1299" spans="1:30" x14ac:dyDescent="0.25">
      <c r="A1299" s="36" t="s">
        <v>27</v>
      </c>
      <c r="B1299" s="36" t="s">
        <v>2121</v>
      </c>
      <c r="C1299" s="36" t="s">
        <v>28</v>
      </c>
      <c r="D1299" s="36" t="s">
        <v>2121</v>
      </c>
      <c r="E1299" s="36" t="s">
        <v>30</v>
      </c>
      <c r="F1299" s="36" t="s">
        <v>569</v>
      </c>
      <c r="G1299" s="37">
        <v>2281</v>
      </c>
      <c r="H1299" s="36" t="s">
        <v>2122</v>
      </c>
      <c r="I1299" s="36" t="s">
        <v>2123</v>
      </c>
      <c r="J1299" s="36">
        <v>23</v>
      </c>
      <c r="K1299" s="36" t="s">
        <v>2094</v>
      </c>
      <c r="L1299" s="36">
        <v>4</v>
      </c>
      <c r="M1299" s="36">
        <v>80</v>
      </c>
      <c r="N1299" s="38">
        <v>3850</v>
      </c>
      <c r="O1299" s="38">
        <v>308000</v>
      </c>
      <c r="P1299" s="36">
        <v>1</v>
      </c>
      <c r="Q1299" s="40">
        <v>46113</v>
      </c>
      <c r="R1299" s="36" t="s">
        <v>2124</v>
      </c>
      <c r="S1299" s="36" t="s">
        <v>1217</v>
      </c>
      <c r="T1299" s="36" t="s">
        <v>2125</v>
      </c>
      <c r="U1299" s="36" t="s">
        <v>2126</v>
      </c>
      <c r="V1299" s="40">
        <v>46082</v>
      </c>
      <c r="W1299" s="36"/>
      <c r="X1299" s="36">
        <v>0</v>
      </c>
      <c r="Y1299" s="36"/>
      <c r="Z1299" s="36">
        <v>0</v>
      </c>
      <c r="AA1299" s="36">
        <v>0</v>
      </c>
      <c r="AB1299" s="36"/>
      <c r="AC1299" s="36" t="str">
        <f t="shared" si="8"/>
        <v>PC26</v>
      </c>
      <c r="AD1299" s="36" t="str">
        <f>VLOOKUP(D1299,Oficial!A:C,3,0)</f>
        <v>Bienes y Servicios</v>
      </c>
    </row>
    <row r="1300" spans="1:30" x14ac:dyDescent="0.25">
      <c r="A1300" s="36" t="s">
        <v>27</v>
      </c>
      <c r="B1300" s="36" t="s">
        <v>2121</v>
      </c>
      <c r="C1300" s="36" t="s">
        <v>28</v>
      </c>
      <c r="D1300" s="36" t="s">
        <v>2121</v>
      </c>
      <c r="E1300" s="36" t="s">
        <v>30</v>
      </c>
      <c r="F1300" s="36" t="s">
        <v>569</v>
      </c>
      <c r="G1300" s="37">
        <v>2281</v>
      </c>
      <c r="H1300" s="36" t="s">
        <v>2122</v>
      </c>
      <c r="I1300" s="36" t="s">
        <v>2123</v>
      </c>
      <c r="J1300" s="36">
        <v>23</v>
      </c>
      <c r="K1300" s="36" t="s">
        <v>1938</v>
      </c>
      <c r="L1300" s="36">
        <v>4</v>
      </c>
      <c r="M1300" s="36">
        <v>70</v>
      </c>
      <c r="N1300" s="38">
        <v>2072</v>
      </c>
      <c r="O1300" s="38">
        <v>145040</v>
      </c>
      <c r="P1300" s="36">
        <v>1</v>
      </c>
      <c r="Q1300" s="40">
        <v>46113</v>
      </c>
      <c r="R1300" s="36" t="s">
        <v>2124</v>
      </c>
      <c r="S1300" s="36" t="s">
        <v>1217</v>
      </c>
      <c r="T1300" s="36" t="s">
        <v>2125</v>
      </c>
      <c r="U1300" s="36" t="s">
        <v>2126</v>
      </c>
      <c r="V1300" s="40">
        <v>46082</v>
      </c>
      <c r="W1300" s="36"/>
      <c r="X1300" s="36">
        <v>0</v>
      </c>
      <c r="Y1300" s="36"/>
      <c r="Z1300" s="36">
        <v>0</v>
      </c>
      <c r="AA1300" s="36">
        <v>0</v>
      </c>
      <c r="AB1300" s="36"/>
      <c r="AC1300" s="36" t="str">
        <f t="shared" si="8"/>
        <v>PC26</v>
      </c>
      <c r="AD1300" s="36" t="str">
        <f>VLOOKUP(D1300,Oficial!A:C,3,0)</f>
        <v>Bienes y Servicios</v>
      </c>
    </row>
    <row r="1301" spans="1:30" x14ac:dyDescent="0.25">
      <c r="A1301" s="36" t="s">
        <v>27</v>
      </c>
      <c r="B1301" s="36" t="s">
        <v>2121</v>
      </c>
      <c r="C1301" s="36" t="s">
        <v>28</v>
      </c>
      <c r="D1301" s="36" t="s">
        <v>2121</v>
      </c>
      <c r="E1301" s="36" t="s">
        <v>30</v>
      </c>
      <c r="F1301" s="36" t="s">
        <v>569</v>
      </c>
      <c r="G1301" s="37">
        <v>2281</v>
      </c>
      <c r="H1301" s="36" t="s">
        <v>2122</v>
      </c>
      <c r="I1301" s="36" t="s">
        <v>2123</v>
      </c>
      <c r="J1301" s="36">
        <v>23</v>
      </c>
      <c r="K1301" s="36" t="s">
        <v>912</v>
      </c>
      <c r="L1301" s="36">
        <v>4</v>
      </c>
      <c r="M1301" s="36">
        <v>100</v>
      </c>
      <c r="N1301" s="38">
        <v>3850</v>
      </c>
      <c r="O1301" s="38">
        <v>385000</v>
      </c>
      <c r="P1301" s="36">
        <v>1</v>
      </c>
      <c r="Q1301" s="40">
        <v>46113</v>
      </c>
      <c r="R1301" s="36" t="s">
        <v>2124</v>
      </c>
      <c r="S1301" s="36" t="s">
        <v>1217</v>
      </c>
      <c r="T1301" s="36" t="s">
        <v>2125</v>
      </c>
      <c r="U1301" s="36" t="s">
        <v>2126</v>
      </c>
      <c r="V1301" s="40">
        <v>46082</v>
      </c>
      <c r="W1301" s="36"/>
      <c r="X1301" s="36">
        <v>0</v>
      </c>
      <c r="Y1301" s="36"/>
      <c r="Z1301" s="36">
        <v>0</v>
      </c>
      <c r="AA1301" s="36">
        <v>0</v>
      </c>
      <c r="AB1301" s="36"/>
      <c r="AC1301" s="36" t="str">
        <f t="shared" si="8"/>
        <v>PC26</v>
      </c>
      <c r="AD1301" s="36" t="str">
        <f>VLOOKUP(D1301,Oficial!A:C,3,0)</f>
        <v>Bienes y Servicios</v>
      </c>
    </row>
    <row r="1302" spans="1:30" x14ac:dyDescent="0.25">
      <c r="A1302" s="36" t="s">
        <v>27</v>
      </c>
      <c r="B1302" s="36" t="s">
        <v>2121</v>
      </c>
      <c r="C1302" s="36" t="s">
        <v>28</v>
      </c>
      <c r="D1302" s="36" t="s">
        <v>2121</v>
      </c>
      <c r="E1302" s="36" t="s">
        <v>30</v>
      </c>
      <c r="F1302" s="36" t="s">
        <v>569</v>
      </c>
      <c r="G1302" s="37">
        <v>2281</v>
      </c>
      <c r="H1302" s="36" t="s">
        <v>2122</v>
      </c>
      <c r="I1302" s="36" t="s">
        <v>2123</v>
      </c>
      <c r="J1302" s="36">
        <v>23</v>
      </c>
      <c r="K1302" s="36" t="s">
        <v>1939</v>
      </c>
      <c r="L1302" s="36">
        <v>4</v>
      </c>
      <c r="M1302" s="36">
        <v>8</v>
      </c>
      <c r="N1302" s="38">
        <v>8750</v>
      </c>
      <c r="O1302" s="38">
        <v>70000</v>
      </c>
      <c r="P1302" s="36">
        <v>1</v>
      </c>
      <c r="Q1302" s="40">
        <v>46113</v>
      </c>
      <c r="R1302" s="36" t="s">
        <v>2124</v>
      </c>
      <c r="S1302" s="36" t="s">
        <v>1217</v>
      </c>
      <c r="T1302" s="36" t="s">
        <v>2125</v>
      </c>
      <c r="U1302" s="36" t="s">
        <v>2126</v>
      </c>
      <c r="V1302" s="40">
        <v>46082</v>
      </c>
      <c r="W1302" s="36"/>
      <c r="X1302" s="36">
        <v>0</v>
      </c>
      <c r="Y1302" s="36"/>
      <c r="Z1302" s="36">
        <v>0</v>
      </c>
      <c r="AA1302" s="36">
        <v>0</v>
      </c>
      <c r="AB1302" s="36"/>
      <c r="AC1302" s="36" t="str">
        <f t="shared" si="8"/>
        <v>PC26</v>
      </c>
      <c r="AD1302" s="36" t="str">
        <f>VLOOKUP(D1302,Oficial!A:C,3,0)</f>
        <v>Bienes y Servicios</v>
      </c>
    </row>
    <row r="1303" spans="1:30" x14ac:dyDescent="0.25">
      <c r="A1303" s="36" t="s">
        <v>27</v>
      </c>
      <c r="B1303" s="36" t="s">
        <v>2121</v>
      </c>
      <c r="C1303" s="36" t="s">
        <v>28</v>
      </c>
      <c r="D1303" s="36" t="s">
        <v>2121</v>
      </c>
      <c r="E1303" s="36" t="s">
        <v>30</v>
      </c>
      <c r="F1303" s="36" t="s">
        <v>569</v>
      </c>
      <c r="G1303" s="37">
        <v>2281</v>
      </c>
      <c r="H1303" s="36" t="s">
        <v>2122</v>
      </c>
      <c r="I1303" s="36" t="s">
        <v>2123</v>
      </c>
      <c r="J1303" s="36">
        <v>23</v>
      </c>
      <c r="K1303" s="36" t="s">
        <v>2059</v>
      </c>
      <c r="L1303" s="36">
        <v>4</v>
      </c>
      <c r="M1303" s="36">
        <v>1</v>
      </c>
      <c r="N1303" s="38">
        <v>35000</v>
      </c>
      <c r="O1303" s="38">
        <v>35000</v>
      </c>
      <c r="P1303" s="36">
        <v>1</v>
      </c>
      <c r="Q1303" s="40">
        <v>46113</v>
      </c>
      <c r="R1303" s="36" t="s">
        <v>2124</v>
      </c>
      <c r="S1303" s="36" t="s">
        <v>1217</v>
      </c>
      <c r="T1303" s="36" t="s">
        <v>2125</v>
      </c>
      <c r="U1303" s="36" t="s">
        <v>2126</v>
      </c>
      <c r="V1303" s="40">
        <v>46082</v>
      </c>
      <c r="W1303" s="36"/>
      <c r="X1303" s="36">
        <v>0</v>
      </c>
      <c r="Y1303" s="36"/>
      <c r="Z1303" s="36">
        <v>0</v>
      </c>
      <c r="AA1303" s="36">
        <v>0</v>
      </c>
      <c r="AB1303" s="36"/>
      <c r="AC1303" s="36" t="str">
        <f t="shared" ref="AC1303:AC1360" si="9">RIGHT(D1303,4)</f>
        <v>PC26</v>
      </c>
      <c r="AD1303" s="36" t="str">
        <f>VLOOKUP(D1303,Oficial!A:C,3,0)</f>
        <v>Bienes y Servicios</v>
      </c>
    </row>
    <row r="1304" spans="1:30" x14ac:dyDescent="0.25">
      <c r="A1304" s="36" t="s">
        <v>27</v>
      </c>
      <c r="B1304" s="36" t="s">
        <v>2121</v>
      </c>
      <c r="C1304" s="36" t="s">
        <v>28</v>
      </c>
      <c r="D1304" s="36" t="s">
        <v>2121</v>
      </c>
      <c r="E1304" s="36" t="s">
        <v>30</v>
      </c>
      <c r="F1304" s="36" t="s">
        <v>569</v>
      </c>
      <c r="G1304" s="37">
        <v>2281</v>
      </c>
      <c r="H1304" s="36" t="s">
        <v>2122</v>
      </c>
      <c r="I1304" s="36" t="s">
        <v>2123</v>
      </c>
      <c r="J1304" s="36">
        <v>23</v>
      </c>
      <c r="K1304" s="36" t="s">
        <v>2127</v>
      </c>
      <c r="L1304" s="36">
        <v>4</v>
      </c>
      <c r="M1304" s="36">
        <v>160</v>
      </c>
      <c r="N1304" s="38">
        <v>6313</v>
      </c>
      <c r="O1304" s="38">
        <v>1010080</v>
      </c>
      <c r="P1304" s="36">
        <v>1</v>
      </c>
      <c r="Q1304" s="40">
        <v>46113</v>
      </c>
      <c r="R1304" s="36" t="s">
        <v>2124</v>
      </c>
      <c r="S1304" s="36" t="s">
        <v>1217</v>
      </c>
      <c r="T1304" s="36" t="s">
        <v>2125</v>
      </c>
      <c r="U1304" s="36" t="s">
        <v>2126</v>
      </c>
      <c r="V1304" s="40">
        <v>46082</v>
      </c>
      <c r="W1304" s="36"/>
      <c r="X1304" s="36">
        <v>0</v>
      </c>
      <c r="Y1304" s="36"/>
      <c r="Z1304" s="36">
        <v>0</v>
      </c>
      <c r="AA1304" s="36">
        <v>0</v>
      </c>
      <c r="AB1304" s="36"/>
      <c r="AC1304" s="36" t="str">
        <f t="shared" si="9"/>
        <v>PC26</v>
      </c>
      <c r="AD1304" s="36" t="str">
        <f>VLOOKUP(D1304,Oficial!A:C,3,0)</f>
        <v>Bienes y Servicios</v>
      </c>
    </row>
    <row r="1305" spans="1:30" x14ac:dyDescent="0.25">
      <c r="A1305" s="36" t="s">
        <v>27</v>
      </c>
      <c r="B1305" s="36" t="s">
        <v>2121</v>
      </c>
      <c r="C1305" s="36" t="s">
        <v>28</v>
      </c>
      <c r="D1305" s="36" t="s">
        <v>2121</v>
      </c>
      <c r="E1305" s="36" t="s">
        <v>30</v>
      </c>
      <c r="F1305" s="36" t="s">
        <v>569</v>
      </c>
      <c r="G1305" s="37">
        <v>2281</v>
      </c>
      <c r="H1305" s="36" t="s">
        <v>2122</v>
      </c>
      <c r="I1305" s="36" t="s">
        <v>2123</v>
      </c>
      <c r="J1305" s="36">
        <v>23</v>
      </c>
      <c r="K1305" s="36" t="s">
        <v>2128</v>
      </c>
      <c r="L1305" s="36">
        <v>4</v>
      </c>
      <c r="M1305" s="36">
        <v>5</v>
      </c>
      <c r="N1305" s="38">
        <v>8000</v>
      </c>
      <c r="O1305" s="38">
        <v>40000</v>
      </c>
      <c r="P1305" s="36">
        <v>1</v>
      </c>
      <c r="Q1305" s="40">
        <v>46113</v>
      </c>
      <c r="R1305" s="36" t="s">
        <v>2124</v>
      </c>
      <c r="S1305" s="36" t="s">
        <v>1217</v>
      </c>
      <c r="T1305" s="36" t="s">
        <v>2125</v>
      </c>
      <c r="U1305" s="36" t="s">
        <v>2126</v>
      </c>
      <c r="V1305" s="40">
        <v>46082</v>
      </c>
      <c r="W1305" s="36"/>
      <c r="X1305" s="36">
        <v>0</v>
      </c>
      <c r="Y1305" s="36"/>
      <c r="Z1305" s="36">
        <v>0</v>
      </c>
      <c r="AA1305" s="36">
        <v>0</v>
      </c>
      <c r="AB1305" s="36"/>
      <c r="AC1305" s="36" t="str">
        <f t="shared" si="9"/>
        <v>PC26</v>
      </c>
      <c r="AD1305" s="36" t="str">
        <f>VLOOKUP(D1305,Oficial!A:C,3,0)</f>
        <v>Bienes y Servicios</v>
      </c>
    </row>
    <row r="1306" spans="1:30" x14ac:dyDescent="0.25">
      <c r="A1306" s="36" t="s">
        <v>27</v>
      </c>
      <c r="B1306" s="36" t="s">
        <v>2121</v>
      </c>
      <c r="C1306" s="36" t="s">
        <v>28</v>
      </c>
      <c r="D1306" s="36" t="s">
        <v>2121</v>
      </c>
      <c r="E1306" s="36" t="s">
        <v>30</v>
      </c>
      <c r="F1306" s="36" t="s">
        <v>569</v>
      </c>
      <c r="G1306" s="37">
        <v>2281</v>
      </c>
      <c r="H1306" s="36" t="s">
        <v>2122</v>
      </c>
      <c r="I1306" s="36" t="s">
        <v>2123</v>
      </c>
      <c r="J1306" s="36">
        <v>23</v>
      </c>
      <c r="K1306" s="36" t="s">
        <v>512</v>
      </c>
      <c r="L1306" s="36">
        <v>4</v>
      </c>
      <c r="M1306" s="36">
        <v>1</v>
      </c>
      <c r="N1306" s="38">
        <v>5000000</v>
      </c>
      <c r="O1306" s="38">
        <v>5000000</v>
      </c>
      <c r="P1306" s="36">
        <v>3</v>
      </c>
      <c r="Q1306" s="36" t="s">
        <v>2129</v>
      </c>
      <c r="R1306" s="36" t="s">
        <v>2124</v>
      </c>
      <c r="S1306" s="36" t="s">
        <v>1217</v>
      </c>
      <c r="T1306" s="36" t="s">
        <v>2125</v>
      </c>
      <c r="U1306" s="36" t="s">
        <v>2126</v>
      </c>
      <c r="V1306" s="40">
        <v>46113</v>
      </c>
      <c r="W1306" s="36"/>
      <c r="X1306" s="36">
        <v>0</v>
      </c>
      <c r="Y1306" s="36"/>
      <c r="Z1306" s="36">
        <v>0</v>
      </c>
      <c r="AA1306" s="36">
        <v>0</v>
      </c>
      <c r="AB1306" s="36"/>
      <c r="AC1306" s="36" t="str">
        <f t="shared" si="9"/>
        <v>PC26</v>
      </c>
      <c r="AD1306" s="36" t="str">
        <f>VLOOKUP(D1306,Oficial!A:C,3,0)</f>
        <v>Bienes y Servicios</v>
      </c>
    </row>
    <row r="1307" spans="1:30" x14ac:dyDescent="0.25">
      <c r="A1307" s="36" t="s">
        <v>27</v>
      </c>
      <c r="B1307" s="36" t="s">
        <v>2121</v>
      </c>
      <c r="C1307" s="36" t="s">
        <v>28</v>
      </c>
      <c r="D1307" s="36" t="s">
        <v>2121</v>
      </c>
      <c r="E1307" s="36" t="s">
        <v>30</v>
      </c>
      <c r="F1307" s="36" t="s">
        <v>569</v>
      </c>
      <c r="G1307" s="37">
        <v>2281</v>
      </c>
      <c r="H1307" s="36" t="s">
        <v>2122</v>
      </c>
      <c r="I1307" s="36" t="s">
        <v>2123</v>
      </c>
      <c r="J1307" s="36">
        <v>23</v>
      </c>
      <c r="K1307" s="36" t="s">
        <v>1936</v>
      </c>
      <c r="L1307" s="36">
        <v>4</v>
      </c>
      <c r="M1307" s="36">
        <v>1</v>
      </c>
      <c r="N1307" s="38">
        <v>500000</v>
      </c>
      <c r="O1307" s="38">
        <v>500000</v>
      </c>
      <c r="P1307" s="36">
        <v>1</v>
      </c>
      <c r="Q1307" s="40">
        <v>46174</v>
      </c>
      <c r="R1307" s="36" t="s">
        <v>2124</v>
      </c>
      <c r="S1307" s="36" t="s">
        <v>1217</v>
      </c>
      <c r="T1307" s="36" t="s">
        <v>2125</v>
      </c>
      <c r="U1307" s="36" t="s">
        <v>2126</v>
      </c>
      <c r="V1307" s="40">
        <v>46143</v>
      </c>
      <c r="W1307" s="36"/>
      <c r="X1307" s="36">
        <v>0</v>
      </c>
      <c r="Y1307" s="36"/>
      <c r="Z1307" s="36">
        <v>0</v>
      </c>
      <c r="AA1307" s="36">
        <v>0</v>
      </c>
      <c r="AB1307" s="36"/>
      <c r="AC1307" s="36" t="str">
        <f t="shared" si="9"/>
        <v>PC26</v>
      </c>
      <c r="AD1307" s="36" t="str">
        <f>VLOOKUP(D1307,Oficial!A:C,3,0)</f>
        <v>Bienes y Servicios</v>
      </c>
    </row>
    <row r="1308" spans="1:30" x14ac:dyDescent="0.25">
      <c r="A1308" s="36" t="s">
        <v>27</v>
      </c>
      <c r="B1308" s="36" t="s">
        <v>2121</v>
      </c>
      <c r="C1308" s="36" t="s">
        <v>28</v>
      </c>
      <c r="D1308" s="36" t="s">
        <v>2121</v>
      </c>
      <c r="E1308" s="36" t="s">
        <v>30</v>
      </c>
      <c r="F1308" s="36" t="s">
        <v>569</v>
      </c>
      <c r="G1308" s="37">
        <v>2281</v>
      </c>
      <c r="H1308" s="36" t="s">
        <v>2122</v>
      </c>
      <c r="I1308" s="36" t="s">
        <v>2123</v>
      </c>
      <c r="J1308" s="36">
        <v>23</v>
      </c>
      <c r="K1308" s="36" t="s">
        <v>2130</v>
      </c>
      <c r="L1308" s="36">
        <v>4</v>
      </c>
      <c r="M1308" s="36">
        <v>1</v>
      </c>
      <c r="N1308" s="38">
        <v>2500000</v>
      </c>
      <c r="O1308" s="38">
        <v>2500000</v>
      </c>
      <c r="P1308" s="36">
        <v>1</v>
      </c>
      <c r="Q1308" s="40">
        <v>46174</v>
      </c>
      <c r="R1308" s="36" t="s">
        <v>2124</v>
      </c>
      <c r="S1308" s="36" t="s">
        <v>1217</v>
      </c>
      <c r="T1308" s="36" t="s">
        <v>2125</v>
      </c>
      <c r="U1308" s="36" t="s">
        <v>2126</v>
      </c>
      <c r="V1308" s="40">
        <v>46143</v>
      </c>
      <c r="W1308" s="36"/>
      <c r="X1308" s="36">
        <v>0</v>
      </c>
      <c r="Y1308" s="36"/>
      <c r="Z1308" s="36">
        <v>0</v>
      </c>
      <c r="AA1308" s="36">
        <v>0</v>
      </c>
      <c r="AB1308" s="36"/>
      <c r="AC1308" s="36" t="str">
        <f t="shared" si="9"/>
        <v>PC26</v>
      </c>
      <c r="AD1308" s="36" t="str">
        <f>VLOOKUP(D1308,Oficial!A:C,3,0)</f>
        <v>Bienes y Servicios</v>
      </c>
    </row>
    <row r="1309" spans="1:30" x14ac:dyDescent="0.25">
      <c r="A1309" s="36" t="s">
        <v>27</v>
      </c>
      <c r="B1309" s="36" t="s">
        <v>2121</v>
      </c>
      <c r="C1309" s="36" t="s">
        <v>28</v>
      </c>
      <c r="D1309" s="36" t="s">
        <v>2121</v>
      </c>
      <c r="E1309" s="36" t="s">
        <v>30</v>
      </c>
      <c r="F1309" s="36" t="s">
        <v>569</v>
      </c>
      <c r="G1309" s="37">
        <v>2281</v>
      </c>
      <c r="H1309" s="36" t="s">
        <v>2122</v>
      </c>
      <c r="I1309" s="36" t="s">
        <v>2123</v>
      </c>
      <c r="J1309" s="36">
        <v>23</v>
      </c>
      <c r="K1309" s="36" t="s">
        <v>2131</v>
      </c>
      <c r="L1309" s="36">
        <v>4</v>
      </c>
      <c r="M1309" s="36">
        <v>2</v>
      </c>
      <c r="N1309" s="38">
        <v>500000</v>
      </c>
      <c r="O1309" s="38">
        <v>1000000</v>
      </c>
      <c r="P1309" s="36">
        <v>1</v>
      </c>
      <c r="Q1309" s="40">
        <v>46174</v>
      </c>
      <c r="R1309" s="36" t="s">
        <v>2124</v>
      </c>
      <c r="S1309" s="36" t="s">
        <v>1217</v>
      </c>
      <c r="T1309" s="36" t="s">
        <v>2125</v>
      </c>
      <c r="U1309" s="36" t="s">
        <v>2126</v>
      </c>
      <c r="V1309" s="40">
        <v>46143</v>
      </c>
      <c r="W1309" s="36"/>
      <c r="X1309" s="36">
        <v>0</v>
      </c>
      <c r="Y1309" s="36"/>
      <c r="Z1309" s="36">
        <v>0</v>
      </c>
      <c r="AA1309" s="36">
        <v>0</v>
      </c>
      <c r="AB1309" s="36"/>
      <c r="AC1309" s="36" t="str">
        <f t="shared" si="9"/>
        <v>PC26</v>
      </c>
      <c r="AD1309" s="36" t="str">
        <f>VLOOKUP(D1309,Oficial!A:C,3,0)</f>
        <v>Bienes y Servicios</v>
      </c>
    </row>
    <row r="1310" spans="1:30" x14ac:dyDescent="0.25">
      <c r="A1310" s="36" t="s">
        <v>27</v>
      </c>
      <c r="B1310" s="36" t="s">
        <v>2121</v>
      </c>
      <c r="C1310" s="36" t="s">
        <v>28</v>
      </c>
      <c r="D1310" s="36" t="s">
        <v>2121</v>
      </c>
      <c r="E1310" s="36" t="s">
        <v>30</v>
      </c>
      <c r="F1310" s="36" t="s">
        <v>569</v>
      </c>
      <c r="G1310" s="37">
        <v>2281</v>
      </c>
      <c r="H1310" s="36" t="s">
        <v>2122</v>
      </c>
      <c r="I1310" s="36" t="s">
        <v>2123</v>
      </c>
      <c r="J1310" s="36">
        <v>23</v>
      </c>
      <c r="K1310" s="36" t="s">
        <v>2132</v>
      </c>
      <c r="L1310" s="36">
        <v>4</v>
      </c>
      <c r="M1310" s="36">
        <v>1</v>
      </c>
      <c r="N1310" s="38">
        <v>600000</v>
      </c>
      <c r="O1310" s="38">
        <v>600000</v>
      </c>
      <c r="P1310" s="36">
        <v>4</v>
      </c>
      <c r="Q1310" s="36" t="s">
        <v>2133</v>
      </c>
      <c r="R1310" s="36" t="s">
        <v>2124</v>
      </c>
      <c r="S1310" s="36" t="s">
        <v>1217</v>
      </c>
      <c r="T1310" s="36" t="s">
        <v>2125</v>
      </c>
      <c r="U1310" s="36" t="s">
        <v>2126</v>
      </c>
      <c r="V1310" s="40">
        <v>46143</v>
      </c>
      <c r="W1310" s="36"/>
      <c r="X1310" s="36">
        <v>0</v>
      </c>
      <c r="Y1310" s="36"/>
      <c r="Z1310" s="36">
        <v>0</v>
      </c>
      <c r="AA1310" s="36">
        <v>0</v>
      </c>
      <c r="AB1310" s="36"/>
      <c r="AC1310" s="36" t="str">
        <f t="shared" si="9"/>
        <v>PC26</v>
      </c>
      <c r="AD1310" s="36" t="str">
        <f>VLOOKUP(D1310,Oficial!A:C,3,0)</f>
        <v>Bienes y Servicios</v>
      </c>
    </row>
    <row r="1311" spans="1:30" x14ac:dyDescent="0.25">
      <c r="A1311" s="36" t="s">
        <v>27</v>
      </c>
      <c r="B1311" s="36" t="s">
        <v>2121</v>
      </c>
      <c r="C1311" s="36" t="s">
        <v>28</v>
      </c>
      <c r="D1311" s="36" t="s">
        <v>2121</v>
      </c>
      <c r="E1311" s="36" t="s">
        <v>30</v>
      </c>
      <c r="F1311" s="36" t="s">
        <v>569</v>
      </c>
      <c r="G1311" s="37">
        <v>2281</v>
      </c>
      <c r="H1311" s="36" t="s">
        <v>2122</v>
      </c>
      <c r="I1311" s="36" t="s">
        <v>2123</v>
      </c>
      <c r="J1311" s="36">
        <v>23</v>
      </c>
      <c r="K1311" s="36" t="s">
        <v>1930</v>
      </c>
      <c r="L1311" s="36">
        <v>4</v>
      </c>
      <c r="M1311" s="36">
        <v>1</v>
      </c>
      <c r="N1311" s="38">
        <v>1000000</v>
      </c>
      <c r="O1311" s="38">
        <v>1000000</v>
      </c>
      <c r="P1311" s="36">
        <v>1</v>
      </c>
      <c r="Q1311" s="40">
        <v>46143</v>
      </c>
      <c r="R1311" s="36" t="s">
        <v>2124</v>
      </c>
      <c r="S1311" s="36" t="s">
        <v>1217</v>
      </c>
      <c r="T1311" s="36" t="s">
        <v>2125</v>
      </c>
      <c r="U1311" s="36" t="s">
        <v>2126</v>
      </c>
      <c r="V1311" s="40">
        <v>46113</v>
      </c>
      <c r="W1311" s="36"/>
      <c r="X1311" s="36">
        <v>0</v>
      </c>
      <c r="Y1311" s="36"/>
      <c r="Z1311" s="36">
        <v>0</v>
      </c>
      <c r="AA1311" s="36">
        <v>0</v>
      </c>
      <c r="AB1311" s="36"/>
      <c r="AC1311" s="36" t="str">
        <f t="shared" si="9"/>
        <v>PC26</v>
      </c>
      <c r="AD1311" s="36" t="str">
        <f>VLOOKUP(D1311,Oficial!A:C,3,0)</f>
        <v>Bienes y Servicios</v>
      </c>
    </row>
    <row r="1312" spans="1:30" x14ac:dyDescent="0.25">
      <c r="A1312" s="36" t="s">
        <v>27</v>
      </c>
      <c r="B1312" s="36" t="s">
        <v>2121</v>
      </c>
      <c r="C1312" s="36" t="s">
        <v>28</v>
      </c>
      <c r="D1312" s="36" t="s">
        <v>2121</v>
      </c>
      <c r="E1312" s="36" t="s">
        <v>30</v>
      </c>
      <c r="F1312" s="36" t="s">
        <v>569</v>
      </c>
      <c r="G1312" s="37">
        <v>2281</v>
      </c>
      <c r="H1312" s="36" t="s">
        <v>2122</v>
      </c>
      <c r="I1312" s="36" t="s">
        <v>2123</v>
      </c>
      <c r="J1312" s="36">
        <v>23</v>
      </c>
      <c r="K1312" s="36" t="s">
        <v>2134</v>
      </c>
      <c r="L1312" s="36">
        <v>4</v>
      </c>
      <c r="M1312" s="36">
        <v>1</v>
      </c>
      <c r="N1312" s="38">
        <v>1000000</v>
      </c>
      <c r="O1312" s="38">
        <v>1000000</v>
      </c>
      <c r="P1312" s="36">
        <v>1</v>
      </c>
      <c r="Q1312" s="40">
        <v>46174</v>
      </c>
      <c r="R1312" s="36" t="s">
        <v>2124</v>
      </c>
      <c r="S1312" s="36" t="s">
        <v>1217</v>
      </c>
      <c r="T1312" s="36" t="s">
        <v>2125</v>
      </c>
      <c r="U1312" s="36" t="s">
        <v>2126</v>
      </c>
      <c r="V1312" s="40">
        <v>46143</v>
      </c>
      <c r="W1312" s="36"/>
      <c r="X1312" s="36">
        <v>0</v>
      </c>
      <c r="Y1312" s="36"/>
      <c r="Z1312" s="36">
        <v>0</v>
      </c>
      <c r="AA1312" s="36">
        <v>0</v>
      </c>
      <c r="AB1312" s="36"/>
      <c r="AC1312" s="36" t="str">
        <f t="shared" si="9"/>
        <v>PC26</v>
      </c>
      <c r="AD1312" s="36" t="str">
        <f>VLOOKUP(D1312,Oficial!A:C,3,0)</f>
        <v>Bienes y Servicios</v>
      </c>
    </row>
    <row r="1313" spans="1:30" x14ac:dyDescent="0.25">
      <c r="A1313" s="36" t="s">
        <v>27</v>
      </c>
      <c r="B1313" s="36" t="s">
        <v>2121</v>
      </c>
      <c r="C1313" s="36" t="s">
        <v>28</v>
      </c>
      <c r="D1313" s="36" t="s">
        <v>2121</v>
      </c>
      <c r="E1313" s="36" t="s">
        <v>30</v>
      </c>
      <c r="F1313" s="36" t="s">
        <v>569</v>
      </c>
      <c r="G1313" s="37">
        <v>2281</v>
      </c>
      <c r="H1313" s="36" t="s">
        <v>2122</v>
      </c>
      <c r="I1313" s="36" t="s">
        <v>2123</v>
      </c>
      <c r="J1313" s="36">
        <v>23</v>
      </c>
      <c r="K1313" s="36" t="s">
        <v>359</v>
      </c>
      <c r="L1313" s="36">
        <v>4</v>
      </c>
      <c r="M1313" s="36">
        <v>100</v>
      </c>
      <c r="N1313" s="38">
        <v>4900</v>
      </c>
      <c r="O1313" s="38">
        <v>490000</v>
      </c>
      <c r="P1313" s="36">
        <v>1</v>
      </c>
      <c r="Q1313" s="40">
        <v>46113</v>
      </c>
      <c r="R1313" s="36" t="s">
        <v>2124</v>
      </c>
      <c r="S1313" s="36" t="s">
        <v>1217</v>
      </c>
      <c r="T1313" s="36" t="s">
        <v>2125</v>
      </c>
      <c r="U1313" s="36" t="s">
        <v>2126</v>
      </c>
      <c r="V1313" s="40">
        <v>46082</v>
      </c>
      <c r="W1313" s="36"/>
      <c r="X1313" s="36">
        <v>0</v>
      </c>
      <c r="Y1313" s="36"/>
      <c r="Z1313" s="36">
        <v>0</v>
      </c>
      <c r="AA1313" s="36">
        <v>0</v>
      </c>
      <c r="AB1313" s="36"/>
      <c r="AC1313" s="36" t="str">
        <f t="shared" si="9"/>
        <v>PC26</v>
      </c>
      <c r="AD1313" s="36" t="str">
        <f>VLOOKUP(D1313,Oficial!A:C,3,0)</f>
        <v>Bienes y Servicios</v>
      </c>
    </row>
    <row r="1314" spans="1:30" x14ac:dyDescent="0.25">
      <c r="A1314" s="36" t="s">
        <v>27</v>
      </c>
      <c r="B1314" s="36" t="s">
        <v>2121</v>
      </c>
      <c r="C1314" s="36" t="s">
        <v>28</v>
      </c>
      <c r="D1314" s="36" t="s">
        <v>2121</v>
      </c>
      <c r="E1314" s="36" t="s">
        <v>30</v>
      </c>
      <c r="F1314" s="36" t="s">
        <v>569</v>
      </c>
      <c r="G1314" s="37">
        <v>2281</v>
      </c>
      <c r="H1314" s="36" t="s">
        <v>2122</v>
      </c>
      <c r="I1314" s="36" t="s">
        <v>2123</v>
      </c>
      <c r="J1314" s="36">
        <v>23</v>
      </c>
      <c r="K1314" s="36" t="s">
        <v>2135</v>
      </c>
      <c r="L1314" s="36">
        <v>4</v>
      </c>
      <c r="M1314" s="36">
        <v>1</v>
      </c>
      <c r="N1314" s="38">
        <v>2000000</v>
      </c>
      <c r="O1314" s="38">
        <v>2000000</v>
      </c>
      <c r="P1314" s="36">
        <v>1</v>
      </c>
      <c r="Q1314" s="40">
        <v>46113</v>
      </c>
      <c r="R1314" s="36" t="s">
        <v>2124</v>
      </c>
      <c r="S1314" s="36" t="s">
        <v>1217</v>
      </c>
      <c r="T1314" s="36" t="s">
        <v>2125</v>
      </c>
      <c r="U1314" s="36" t="s">
        <v>2126</v>
      </c>
      <c r="V1314" s="40">
        <v>46082</v>
      </c>
      <c r="W1314" s="36"/>
      <c r="X1314" s="36">
        <v>0</v>
      </c>
      <c r="Y1314" s="36"/>
      <c r="Z1314" s="36">
        <v>0</v>
      </c>
      <c r="AA1314" s="36">
        <v>0</v>
      </c>
      <c r="AB1314" s="36"/>
      <c r="AC1314" s="36" t="str">
        <f t="shared" si="9"/>
        <v>PC26</v>
      </c>
      <c r="AD1314" s="36" t="str">
        <f>VLOOKUP(D1314,Oficial!A:C,3,0)</f>
        <v>Bienes y Servicios</v>
      </c>
    </row>
    <row r="1315" spans="1:30" x14ac:dyDescent="0.25">
      <c r="A1315" s="36" t="s">
        <v>27</v>
      </c>
      <c r="B1315" s="36" t="s">
        <v>2121</v>
      </c>
      <c r="C1315" s="36" t="s">
        <v>28</v>
      </c>
      <c r="D1315" s="36" t="s">
        <v>2121</v>
      </c>
      <c r="E1315" s="36" t="s">
        <v>30</v>
      </c>
      <c r="F1315" s="36" t="s">
        <v>569</v>
      </c>
      <c r="G1315" s="37">
        <v>2281</v>
      </c>
      <c r="H1315" s="36" t="s">
        <v>2122</v>
      </c>
      <c r="I1315" s="36" t="s">
        <v>2123</v>
      </c>
      <c r="J1315" s="36">
        <v>23</v>
      </c>
      <c r="K1315" s="36" t="s">
        <v>2136</v>
      </c>
      <c r="L1315" s="36">
        <v>4</v>
      </c>
      <c r="M1315" s="36">
        <v>1</v>
      </c>
      <c r="N1315" s="38">
        <v>4000000</v>
      </c>
      <c r="O1315" s="38">
        <v>4000000</v>
      </c>
      <c r="P1315" s="36">
        <v>1</v>
      </c>
      <c r="Q1315" s="40">
        <v>46174</v>
      </c>
      <c r="R1315" s="36" t="s">
        <v>2124</v>
      </c>
      <c r="S1315" s="36" t="s">
        <v>1217</v>
      </c>
      <c r="T1315" s="36" t="s">
        <v>2125</v>
      </c>
      <c r="U1315" s="36" t="s">
        <v>2126</v>
      </c>
      <c r="V1315" s="40">
        <v>46143</v>
      </c>
      <c r="W1315" s="36"/>
      <c r="X1315" s="36">
        <v>0</v>
      </c>
      <c r="Y1315" s="36"/>
      <c r="Z1315" s="36">
        <v>0</v>
      </c>
      <c r="AA1315" s="36">
        <v>0</v>
      </c>
      <c r="AB1315" s="36"/>
      <c r="AC1315" s="36" t="str">
        <f t="shared" si="9"/>
        <v>PC26</v>
      </c>
      <c r="AD1315" s="36" t="str">
        <f>VLOOKUP(D1315,Oficial!A:C,3,0)</f>
        <v>Bienes y Servicios</v>
      </c>
    </row>
    <row r="1316" spans="1:30" x14ac:dyDescent="0.25">
      <c r="A1316" s="36" t="s">
        <v>27</v>
      </c>
      <c r="B1316" s="36" t="s">
        <v>2121</v>
      </c>
      <c r="C1316" s="36" t="s">
        <v>28</v>
      </c>
      <c r="D1316" s="36" t="s">
        <v>2121</v>
      </c>
      <c r="E1316" s="36" t="s">
        <v>30</v>
      </c>
      <c r="F1316" s="36" t="s">
        <v>569</v>
      </c>
      <c r="G1316" s="37">
        <v>2281</v>
      </c>
      <c r="H1316" s="36" t="s">
        <v>2122</v>
      </c>
      <c r="I1316" s="36" t="s">
        <v>2123</v>
      </c>
      <c r="J1316" s="36">
        <v>23</v>
      </c>
      <c r="K1316" s="36" t="s">
        <v>288</v>
      </c>
      <c r="L1316" s="36">
        <v>4</v>
      </c>
      <c r="M1316" s="36">
        <v>1</v>
      </c>
      <c r="N1316" s="38">
        <v>6000000</v>
      </c>
      <c r="O1316" s="38">
        <v>6000000</v>
      </c>
      <c r="P1316" s="36">
        <v>1</v>
      </c>
      <c r="Q1316" s="40">
        <v>46143</v>
      </c>
      <c r="R1316" s="36" t="s">
        <v>2124</v>
      </c>
      <c r="S1316" s="36" t="s">
        <v>1217</v>
      </c>
      <c r="T1316" s="36" t="s">
        <v>2125</v>
      </c>
      <c r="U1316" s="36" t="s">
        <v>2126</v>
      </c>
      <c r="V1316" s="40">
        <v>46113</v>
      </c>
      <c r="W1316" s="36"/>
      <c r="X1316" s="36">
        <v>0</v>
      </c>
      <c r="Y1316" s="36"/>
      <c r="Z1316" s="36">
        <v>0</v>
      </c>
      <c r="AA1316" s="36">
        <v>0</v>
      </c>
      <c r="AB1316" s="36"/>
      <c r="AC1316" s="36" t="str">
        <f t="shared" si="9"/>
        <v>PC26</v>
      </c>
      <c r="AD1316" s="36" t="str">
        <f>VLOOKUP(D1316,Oficial!A:C,3,0)</f>
        <v>Bienes y Servicios</v>
      </c>
    </row>
    <row r="1317" spans="1:30" x14ac:dyDescent="0.25">
      <c r="A1317" s="36" t="s">
        <v>27</v>
      </c>
      <c r="B1317" s="36" t="s">
        <v>2121</v>
      </c>
      <c r="C1317" s="36" t="s">
        <v>28</v>
      </c>
      <c r="D1317" s="36" t="s">
        <v>2121</v>
      </c>
      <c r="E1317" s="36" t="s">
        <v>30</v>
      </c>
      <c r="F1317" s="36" t="s">
        <v>569</v>
      </c>
      <c r="G1317" s="37">
        <v>2281</v>
      </c>
      <c r="H1317" s="36" t="s">
        <v>2122</v>
      </c>
      <c r="I1317" s="36" t="s">
        <v>2123</v>
      </c>
      <c r="J1317" s="36">
        <v>23</v>
      </c>
      <c r="K1317" s="36" t="s">
        <v>2137</v>
      </c>
      <c r="L1317" s="36">
        <v>4</v>
      </c>
      <c r="M1317" s="36">
        <v>1</v>
      </c>
      <c r="N1317" s="38">
        <v>2000000</v>
      </c>
      <c r="O1317" s="38">
        <v>2000000</v>
      </c>
      <c r="P1317" s="36">
        <v>1</v>
      </c>
      <c r="Q1317" s="40">
        <v>46143</v>
      </c>
      <c r="R1317" s="36" t="s">
        <v>2124</v>
      </c>
      <c r="S1317" s="36" t="s">
        <v>1217</v>
      </c>
      <c r="T1317" s="36" t="s">
        <v>2125</v>
      </c>
      <c r="U1317" s="36" t="s">
        <v>2126</v>
      </c>
      <c r="V1317" s="40">
        <v>46113</v>
      </c>
      <c r="W1317" s="36"/>
      <c r="X1317" s="36">
        <v>0</v>
      </c>
      <c r="Y1317" s="36"/>
      <c r="Z1317" s="36">
        <v>0</v>
      </c>
      <c r="AA1317" s="36">
        <v>0</v>
      </c>
      <c r="AB1317" s="36"/>
      <c r="AC1317" s="36" t="str">
        <f t="shared" si="9"/>
        <v>PC26</v>
      </c>
      <c r="AD1317" s="36" t="str">
        <f>VLOOKUP(D1317,Oficial!A:C,3,0)</f>
        <v>Bienes y Servicios</v>
      </c>
    </row>
    <row r="1318" spans="1:30" x14ac:dyDescent="0.25">
      <c r="A1318" s="36" t="s">
        <v>27</v>
      </c>
      <c r="B1318" s="36" t="s">
        <v>2121</v>
      </c>
      <c r="C1318" s="36" t="s">
        <v>28</v>
      </c>
      <c r="D1318" s="36" t="s">
        <v>2121</v>
      </c>
      <c r="E1318" s="36" t="s">
        <v>30</v>
      </c>
      <c r="F1318" s="36" t="s">
        <v>569</v>
      </c>
      <c r="G1318" s="37">
        <v>2281</v>
      </c>
      <c r="H1318" s="36" t="s">
        <v>2122</v>
      </c>
      <c r="I1318" s="36" t="s">
        <v>2123</v>
      </c>
      <c r="J1318" s="36">
        <v>23</v>
      </c>
      <c r="K1318" s="36" t="s">
        <v>2138</v>
      </c>
      <c r="L1318" s="36">
        <v>4</v>
      </c>
      <c r="M1318" s="36">
        <v>2</v>
      </c>
      <c r="N1318" s="38">
        <v>20000</v>
      </c>
      <c r="O1318" s="38">
        <v>40000</v>
      </c>
      <c r="P1318" s="36">
        <v>1</v>
      </c>
      <c r="Q1318" s="40">
        <v>46113</v>
      </c>
      <c r="R1318" s="36" t="s">
        <v>2124</v>
      </c>
      <c r="S1318" s="36" t="s">
        <v>1217</v>
      </c>
      <c r="T1318" s="36" t="s">
        <v>2125</v>
      </c>
      <c r="U1318" s="36" t="s">
        <v>2126</v>
      </c>
      <c r="V1318" s="40">
        <v>46082</v>
      </c>
      <c r="W1318" s="36"/>
      <c r="X1318" s="36">
        <v>0</v>
      </c>
      <c r="Y1318" s="36"/>
      <c r="Z1318" s="36">
        <v>0</v>
      </c>
      <c r="AA1318" s="36">
        <v>0</v>
      </c>
      <c r="AB1318" s="36"/>
      <c r="AC1318" s="36" t="str">
        <f t="shared" si="9"/>
        <v>PC26</v>
      </c>
      <c r="AD1318" s="36" t="str">
        <f>VLOOKUP(D1318,Oficial!A:C,3,0)</f>
        <v>Bienes y Servicios</v>
      </c>
    </row>
    <row r="1319" spans="1:30" x14ac:dyDescent="0.25">
      <c r="A1319" s="36" t="s">
        <v>27</v>
      </c>
      <c r="B1319" s="36" t="s">
        <v>2121</v>
      </c>
      <c r="C1319" s="36" t="s">
        <v>28</v>
      </c>
      <c r="D1319" s="36" t="s">
        <v>2121</v>
      </c>
      <c r="E1319" s="36" t="s">
        <v>30</v>
      </c>
      <c r="F1319" s="36" t="s">
        <v>569</v>
      </c>
      <c r="G1319" s="37">
        <v>2281</v>
      </c>
      <c r="H1319" s="36" t="s">
        <v>2122</v>
      </c>
      <c r="I1319" s="36" t="s">
        <v>2123</v>
      </c>
      <c r="J1319" s="36">
        <v>23</v>
      </c>
      <c r="K1319" s="36" t="s">
        <v>1517</v>
      </c>
      <c r="L1319" s="36">
        <v>4</v>
      </c>
      <c r="M1319" s="36">
        <v>1</v>
      </c>
      <c r="N1319" s="38">
        <v>35000</v>
      </c>
      <c r="O1319" s="38">
        <v>35000</v>
      </c>
      <c r="P1319" s="36">
        <v>1</v>
      </c>
      <c r="Q1319" s="40">
        <v>46113</v>
      </c>
      <c r="R1319" s="36" t="s">
        <v>2124</v>
      </c>
      <c r="S1319" s="36" t="s">
        <v>1217</v>
      </c>
      <c r="T1319" s="36" t="s">
        <v>2125</v>
      </c>
      <c r="U1319" s="36" t="s">
        <v>2126</v>
      </c>
      <c r="V1319" s="40">
        <v>46082</v>
      </c>
      <c r="W1319" s="36"/>
      <c r="X1319" s="36">
        <v>0</v>
      </c>
      <c r="Y1319" s="36"/>
      <c r="Z1319" s="36">
        <v>0</v>
      </c>
      <c r="AA1319" s="36">
        <v>0</v>
      </c>
      <c r="AB1319" s="36"/>
      <c r="AC1319" s="36" t="str">
        <f t="shared" si="9"/>
        <v>PC26</v>
      </c>
      <c r="AD1319" s="36" t="str">
        <f>VLOOKUP(D1319,Oficial!A:C,3,0)</f>
        <v>Bienes y Servicios</v>
      </c>
    </row>
    <row r="1320" spans="1:30" x14ac:dyDescent="0.25">
      <c r="A1320" s="36" t="s">
        <v>27</v>
      </c>
      <c r="B1320" s="36" t="s">
        <v>2121</v>
      </c>
      <c r="C1320" s="36" t="s">
        <v>28</v>
      </c>
      <c r="D1320" s="36" t="s">
        <v>2121</v>
      </c>
      <c r="E1320" s="36" t="s">
        <v>30</v>
      </c>
      <c r="F1320" s="36" t="s">
        <v>569</v>
      </c>
      <c r="G1320" s="37">
        <v>2281</v>
      </c>
      <c r="H1320" s="36" t="s">
        <v>2122</v>
      </c>
      <c r="I1320" s="36" t="s">
        <v>2123</v>
      </c>
      <c r="J1320" s="36">
        <v>23</v>
      </c>
      <c r="K1320" s="36" t="s">
        <v>2139</v>
      </c>
      <c r="L1320" s="36">
        <v>4</v>
      </c>
      <c r="M1320" s="36">
        <v>24</v>
      </c>
      <c r="N1320" s="38">
        <v>6500</v>
      </c>
      <c r="O1320" s="38">
        <v>156000</v>
      </c>
      <c r="P1320" s="36">
        <v>1</v>
      </c>
      <c r="Q1320" s="40">
        <v>46113</v>
      </c>
      <c r="R1320" s="36" t="s">
        <v>2124</v>
      </c>
      <c r="S1320" s="36" t="s">
        <v>1217</v>
      </c>
      <c r="T1320" s="36" t="s">
        <v>2125</v>
      </c>
      <c r="U1320" s="36" t="s">
        <v>2126</v>
      </c>
      <c r="V1320" s="40">
        <v>46082</v>
      </c>
      <c r="W1320" s="36"/>
      <c r="X1320" s="36">
        <v>0</v>
      </c>
      <c r="Y1320" s="36"/>
      <c r="Z1320" s="36">
        <v>0</v>
      </c>
      <c r="AA1320" s="36">
        <v>0</v>
      </c>
      <c r="AB1320" s="36"/>
      <c r="AC1320" s="36" t="str">
        <f t="shared" si="9"/>
        <v>PC26</v>
      </c>
      <c r="AD1320" s="36" t="str">
        <f>VLOOKUP(D1320,Oficial!A:C,3,0)</f>
        <v>Bienes y Servicios</v>
      </c>
    </row>
    <row r="1321" spans="1:30" x14ac:dyDescent="0.25">
      <c r="A1321" s="36" t="s">
        <v>27</v>
      </c>
      <c r="B1321" s="36" t="s">
        <v>2140</v>
      </c>
      <c r="C1321" s="36" t="s">
        <v>1238</v>
      </c>
      <c r="D1321" s="36" t="s">
        <v>2140</v>
      </c>
      <c r="E1321" s="36" t="s">
        <v>30</v>
      </c>
      <c r="F1321" s="36" t="s">
        <v>569</v>
      </c>
      <c r="G1321" s="37">
        <v>2584</v>
      </c>
      <c r="H1321" s="36" t="s">
        <v>2141</v>
      </c>
      <c r="I1321" s="36" t="s">
        <v>2142</v>
      </c>
      <c r="J1321" s="36">
        <v>1</v>
      </c>
      <c r="K1321" s="36" t="s">
        <v>2143</v>
      </c>
      <c r="L1321" s="36">
        <v>4</v>
      </c>
      <c r="M1321" s="36">
        <v>1</v>
      </c>
      <c r="N1321" s="38">
        <v>250000</v>
      </c>
      <c r="O1321" s="38">
        <v>250000</v>
      </c>
      <c r="P1321" s="36">
        <v>1</v>
      </c>
      <c r="Q1321" s="40">
        <v>46054</v>
      </c>
      <c r="R1321" s="36" t="s">
        <v>768</v>
      </c>
      <c r="S1321" s="36" t="s">
        <v>966</v>
      </c>
      <c r="T1321" s="36" t="s">
        <v>967</v>
      </c>
      <c r="U1321" s="36" t="s">
        <v>968</v>
      </c>
      <c r="V1321" s="40">
        <v>46023</v>
      </c>
      <c r="W1321" s="36"/>
      <c r="X1321" s="36">
        <v>0</v>
      </c>
      <c r="Y1321" s="36"/>
      <c r="Z1321" s="36">
        <v>0</v>
      </c>
      <c r="AA1321" s="36">
        <v>0</v>
      </c>
      <c r="AB1321" s="36"/>
      <c r="AC1321" s="36" t="str">
        <f t="shared" si="9"/>
        <v>PC26</v>
      </c>
      <c r="AD1321" s="36" t="str">
        <f>VLOOKUP(D1321,Oficial!A:C,3,0)</f>
        <v>Activos Fijos</v>
      </c>
    </row>
    <row r="1322" spans="1:30" x14ac:dyDescent="0.25">
      <c r="A1322" s="36" t="s">
        <v>27</v>
      </c>
      <c r="B1322" s="36" t="s">
        <v>2144</v>
      </c>
      <c r="C1322" s="36" t="s">
        <v>28</v>
      </c>
      <c r="D1322" s="36" t="s">
        <v>2144</v>
      </c>
      <c r="E1322" s="36" t="s">
        <v>30</v>
      </c>
      <c r="F1322" s="36" t="s">
        <v>569</v>
      </c>
      <c r="G1322" s="37">
        <v>2380</v>
      </c>
      <c r="H1322" s="36" t="s">
        <v>2145</v>
      </c>
      <c r="I1322" s="36" t="s">
        <v>2146</v>
      </c>
      <c r="J1322" s="36">
        <v>4</v>
      </c>
      <c r="K1322" s="36" t="s">
        <v>2147</v>
      </c>
      <c r="L1322" s="36">
        <v>4</v>
      </c>
      <c r="M1322" s="36">
        <v>62</v>
      </c>
      <c r="N1322" s="38">
        <v>2678</v>
      </c>
      <c r="O1322" s="38">
        <v>166036</v>
      </c>
      <c r="P1322" s="36">
        <v>1</v>
      </c>
      <c r="Q1322" s="40">
        <v>46113</v>
      </c>
      <c r="R1322" s="36" t="s">
        <v>1231</v>
      </c>
      <c r="S1322" s="36" t="s">
        <v>1232</v>
      </c>
      <c r="T1322" s="36" t="s">
        <v>566</v>
      </c>
      <c r="U1322" s="36" t="s">
        <v>67</v>
      </c>
      <c r="V1322" s="40">
        <v>46113</v>
      </c>
      <c r="W1322" s="36"/>
      <c r="X1322" s="36">
        <v>0</v>
      </c>
      <c r="Y1322" s="36"/>
      <c r="Z1322" s="36">
        <v>0</v>
      </c>
      <c r="AA1322" s="36">
        <v>0</v>
      </c>
      <c r="AB1322" s="36"/>
      <c r="AC1322" s="36" t="str">
        <f t="shared" si="9"/>
        <v>PC26</v>
      </c>
      <c r="AD1322" s="36" t="str">
        <f>VLOOKUP(D1322,Oficial!A:C,3,0)</f>
        <v>Bienes y Servicios</v>
      </c>
    </row>
    <row r="1323" spans="1:30" x14ac:dyDescent="0.25">
      <c r="A1323" s="36" t="s">
        <v>27</v>
      </c>
      <c r="B1323" s="36" t="s">
        <v>2144</v>
      </c>
      <c r="C1323" s="36" t="s">
        <v>28</v>
      </c>
      <c r="D1323" s="36" t="s">
        <v>2144</v>
      </c>
      <c r="E1323" s="36" t="s">
        <v>30</v>
      </c>
      <c r="F1323" s="36" t="s">
        <v>569</v>
      </c>
      <c r="G1323" s="37">
        <v>2380</v>
      </c>
      <c r="H1323" s="36" t="s">
        <v>2145</v>
      </c>
      <c r="I1323" s="36" t="s">
        <v>2146</v>
      </c>
      <c r="J1323" s="36">
        <v>4</v>
      </c>
      <c r="K1323" s="36" t="s">
        <v>2148</v>
      </c>
      <c r="L1323" s="36">
        <v>4</v>
      </c>
      <c r="M1323" s="36">
        <v>200</v>
      </c>
      <c r="N1323" s="38">
        <v>6750</v>
      </c>
      <c r="O1323" s="38">
        <v>1350000</v>
      </c>
      <c r="P1323" s="36">
        <v>1</v>
      </c>
      <c r="Q1323" s="40">
        <v>46113</v>
      </c>
      <c r="R1323" s="36" t="s">
        <v>1231</v>
      </c>
      <c r="S1323" s="36" t="s">
        <v>1232</v>
      </c>
      <c r="T1323" s="36" t="s">
        <v>566</v>
      </c>
      <c r="U1323" s="36" t="s">
        <v>67</v>
      </c>
      <c r="V1323" s="40">
        <v>46113</v>
      </c>
      <c r="W1323" s="36"/>
      <c r="X1323" s="36">
        <v>0</v>
      </c>
      <c r="Y1323" s="36"/>
      <c r="Z1323" s="36">
        <v>0</v>
      </c>
      <c r="AA1323" s="36">
        <v>0</v>
      </c>
      <c r="AB1323" s="36"/>
      <c r="AC1323" s="36" t="str">
        <f t="shared" si="9"/>
        <v>PC26</v>
      </c>
      <c r="AD1323" s="36" t="str">
        <f>VLOOKUP(D1323,Oficial!A:C,3,0)</f>
        <v>Bienes y Servicios</v>
      </c>
    </row>
    <row r="1324" spans="1:30" x14ac:dyDescent="0.25">
      <c r="A1324" s="36" t="s">
        <v>27</v>
      </c>
      <c r="B1324" s="36" t="s">
        <v>2144</v>
      </c>
      <c r="C1324" s="36" t="s">
        <v>28</v>
      </c>
      <c r="D1324" s="36" t="s">
        <v>2144</v>
      </c>
      <c r="E1324" s="36" t="s">
        <v>30</v>
      </c>
      <c r="F1324" s="36" t="s">
        <v>569</v>
      </c>
      <c r="G1324" s="37">
        <v>2380</v>
      </c>
      <c r="H1324" s="36" t="s">
        <v>2145</v>
      </c>
      <c r="I1324" s="36" t="s">
        <v>2146</v>
      </c>
      <c r="J1324" s="36">
        <v>4</v>
      </c>
      <c r="K1324" s="36" t="s">
        <v>855</v>
      </c>
      <c r="L1324" s="36">
        <v>4</v>
      </c>
      <c r="M1324" s="36">
        <v>656</v>
      </c>
      <c r="N1324" s="38">
        <v>112</v>
      </c>
      <c r="O1324" s="38">
        <v>73472</v>
      </c>
      <c r="P1324" s="36">
        <v>1</v>
      </c>
      <c r="Q1324" s="40">
        <v>46113</v>
      </c>
      <c r="R1324" s="36" t="s">
        <v>1231</v>
      </c>
      <c r="S1324" s="36" t="s">
        <v>1232</v>
      </c>
      <c r="T1324" s="36" t="s">
        <v>566</v>
      </c>
      <c r="U1324" s="36" t="s">
        <v>67</v>
      </c>
      <c r="V1324" s="40">
        <v>46113</v>
      </c>
      <c r="W1324" s="36"/>
      <c r="X1324" s="36">
        <v>0</v>
      </c>
      <c r="Y1324" s="36"/>
      <c r="Z1324" s="36">
        <v>0</v>
      </c>
      <c r="AA1324" s="36">
        <v>0</v>
      </c>
      <c r="AB1324" s="36"/>
      <c r="AC1324" s="36" t="str">
        <f t="shared" si="9"/>
        <v>PC26</v>
      </c>
      <c r="AD1324" s="36" t="str">
        <f>VLOOKUP(D1324,Oficial!A:C,3,0)</f>
        <v>Bienes y Servicios</v>
      </c>
    </row>
    <row r="1325" spans="1:30" x14ac:dyDescent="0.25">
      <c r="A1325" s="36" t="s">
        <v>27</v>
      </c>
      <c r="B1325" s="36" t="s">
        <v>2144</v>
      </c>
      <c r="C1325" s="36" t="s">
        <v>28</v>
      </c>
      <c r="D1325" s="36" t="s">
        <v>2144</v>
      </c>
      <c r="E1325" s="36" t="s">
        <v>30</v>
      </c>
      <c r="F1325" s="36" t="s">
        <v>569</v>
      </c>
      <c r="G1325" s="37">
        <v>2380</v>
      </c>
      <c r="H1325" s="36" t="s">
        <v>2145</v>
      </c>
      <c r="I1325" s="36" t="s">
        <v>2146</v>
      </c>
      <c r="J1325" s="36">
        <v>4</v>
      </c>
      <c r="K1325" s="36" t="s">
        <v>359</v>
      </c>
      <c r="L1325" s="36">
        <v>4</v>
      </c>
      <c r="M1325" s="36">
        <v>1</v>
      </c>
      <c r="N1325" s="38">
        <v>364000</v>
      </c>
      <c r="O1325" s="38">
        <v>364000</v>
      </c>
      <c r="P1325" s="36">
        <v>1</v>
      </c>
      <c r="Q1325" s="40">
        <v>46113</v>
      </c>
      <c r="R1325" s="36" t="s">
        <v>1231</v>
      </c>
      <c r="S1325" s="36" t="s">
        <v>1232</v>
      </c>
      <c r="T1325" s="36" t="s">
        <v>566</v>
      </c>
      <c r="U1325" s="36" t="s">
        <v>67</v>
      </c>
      <c r="V1325" s="40">
        <v>46113</v>
      </c>
      <c r="W1325" s="36"/>
      <c r="X1325" s="36">
        <v>0</v>
      </c>
      <c r="Y1325" s="36"/>
      <c r="Z1325" s="36">
        <v>0</v>
      </c>
      <c r="AA1325" s="36">
        <v>0</v>
      </c>
      <c r="AB1325" s="36"/>
      <c r="AC1325" s="36" t="str">
        <f t="shared" si="9"/>
        <v>PC26</v>
      </c>
      <c r="AD1325" s="36" t="str">
        <f>VLOOKUP(D1325,Oficial!A:C,3,0)</f>
        <v>Bienes y Servicios</v>
      </c>
    </row>
    <row r="1326" spans="1:30" x14ac:dyDescent="0.25">
      <c r="A1326" s="36" t="s">
        <v>27</v>
      </c>
      <c r="B1326" s="36" t="s">
        <v>2149</v>
      </c>
      <c r="C1326" s="36" t="s">
        <v>28</v>
      </c>
      <c r="D1326" s="36" t="s">
        <v>2149</v>
      </c>
      <c r="E1326" s="36" t="s">
        <v>30</v>
      </c>
      <c r="F1326" s="36" t="s">
        <v>569</v>
      </c>
      <c r="G1326" s="37" t="s">
        <v>800</v>
      </c>
      <c r="H1326" s="36" t="s">
        <v>2150</v>
      </c>
      <c r="I1326" s="36" t="s">
        <v>2151</v>
      </c>
      <c r="J1326" s="36">
        <v>5</v>
      </c>
      <c r="K1326" s="36" t="s">
        <v>855</v>
      </c>
      <c r="L1326" s="36">
        <v>4</v>
      </c>
      <c r="M1326" s="36">
        <v>2160</v>
      </c>
      <c r="N1326" s="38">
        <v>73</v>
      </c>
      <c r="O1326" s="38">
        <v>157680</v>
      </c>
      <c r="P1326" s="36">
        <v>1</v>
      </c>
      <c r="Q1326" s="40">
        <v>46054</v>
      </c>
      <c r="R1326" s="36" t="s">
        <v>2152</v>
      </c>
      <c r="S1326" s="36" t="s">
        <v>2153</v>
      </c>
      <c r="T1326" s="36" t="s">
        <v>1257</v>
      </c>
      <c r="U1326" s="36" t="s">
        <v>2154</v>
      </c>
      <c r="V1326" s="40">
        <v>46054</v>
      </c>
      <c r="W1326" s="36"/>
      <c r="X1326" s="36">
        <v>0</v>
      </c>
      <c r="Y1326" s="36"/>
      <c r="Z1326" s="36">
        <v>0</v>
      </c>
      <c r="AA1326" s="36">
        <v>0</v>
      </c>
      <c r="AB1326" s="36"/>
      <c r="AC1326" s="36" t="str">
        <f t="shared" si="9"/>
        <v>PC26</v>
      </c>
      <c r="AD1326" s="36" t="str">
        <f>VLOOKUP(D1326,Oficial!A:C,3,0)</f>
        <v>Bienes y Servicios</v>
      </c>
    </row>
    <row r="1327" spans="1:30" x14ac:dyDescent="0.25">
      <c r="A1327" s="36" t="s">
        <v>27</v>
      </c>
      <c r="B1327" s="36" t="s">
        <v>2149</v>
      </c>
      <c r="C1327" s="36" t="s">
        <v>28</v>
      </c>
      <c r="D1327" s="36" t="s">
        <v>2149</v>
      </c>
      <c r="E1327" s="36" t="s">
        <v>30</v>
      </c>
      <c r="F1327" s="36" t="s">
        <v>569</v>
      </c>
      <c r="G1327" s="37" t="s">
        <v>800</v>
      </c>
      <c r="H1327" s="36" t="s">
        <v>2150</v>
      </c>
      <c r="I1327" s="36" t="s">
        <v>2151</v>
      </c>
      <c r="J1327" s="36">
        <v>5</v>
      </c>
      <c r="K1327" s="36" t="s">
        <v>359</v>
      </c>
      <c r="L1327" s="36">
        <v>4</v>
      </c>
      <c r="M1327" s="36">
        <v>1405</v>
      </c>
      <c r="N1327" s="38">
        <v>461</v>
      </c>
      <c r="O1327" s="38">
        <v>647705</v>
      </c>
      <c r="P1327" s="36">
        <v>1</v>
      </c>
      <c r="Q1327" s="40">
        <v>46054</v>
      </c>
      <c r="R1327" s="36" t="s">
        <v>2152</v>
      </c>
      <c r="S1327" s="36" t="s">
        <v>2153</v>
      </c>
      <c r="T1327" s="36" t="s">
        <v>1257</v>
      </c>
      <c r="U1327" s="36" t="s">
        <v>2154</v>
      </c>
      <c r="V1327" s="40">
        <v>46054</v>
      </c>
      <c r="W1327" s="36"/>
      <c r="X1327" s="36">
        <v>0</v>
      </c>
      <c r="Y1327" s="36"/>
      <c r="Z1327" s="36">
        <v>0</v>
      </c>
      <c r="AA1327" s="36">
        <v>0</v>
      </c>
      <c r="AB1327" s="36"/>
      <c r="AC1327" s="36" t="str">
        <f t="shared" si="9"/>
        <v>PC26</v>
      </c>
      <c r="AD1327" s="36" t="str">
        <f>VLOOKUP(D1327,Oficial!A:C,3,0)</f>
        <v>Bienes y Servicios</v>
      </c>
    </row>
    <row r="1328" spans="1:30" x14ac:dyDescent="0.25">
      <c r="A1328" s="36" t="s">
        <v>27</v>
      </c>
      <c r="B1328" s="36" t="s">
        <v>2149</v>
      </c>
      <c r="C1328" s="36" t="s">
        <v>28</v>
      </c>
      <c r="D1328" s="36" t="s">
        <v>2149</v>
      </c>
      <c r="E1328" s="36" t="s">
        <v>30</v>
      </c>
      <c r="F1328" s="36" t="s">
        <v>569</v>
      </c>
      <c r="G1328" s="37" t="s">
        <v>800</v>
      </c>
      <c r="H1328" s="36" t="s">
        <v>2150</v>
      </c>
      <c r="I1328" s="36" t="s">
        <v>2151</v>
      </c>
      <c r="J1328" s="36">
        <v>5</v>
      </c>
      <c r="K1328" s="36" t="s">
        <v>486</v>
      </c>
      <c r="L1328" s="36">
        <v>4</v>
      </c>
      <c r="M1328" s="36">
        <v>803</v>
      </c>
      <c r="N1328" s="38">
        <v>1053</v>
      </c>
      <c r="O1328" s="38">
        <v>845559</v>
      </c>
      <c r="P1328" s="36">
        <v>1</v>
      </c>
      <c r="Q1328" s="40">
        <v>46054</v>
      </c>
      <c r="R1328" s="36" t="s">
        <v>2152</v>
      </c>
      <c r="S1328" s="36" t="s">
        <v>2153</v>
      </c>
      <c r="T1328" s="36" t="s">
        <v>1257</v>
      </c>
      <c r="U1328" s="36" t="s">
        <v>2154</v>
      </c>
      <c r="V1328" s="40">
        <v>46054</v>
      </c>
      <c r="W1328" s="36"/>
      <c r="X1328" s="36">
        <v>0</v>
      </c>
      <c r="Y1328" s="36"/>
      <c r="Z1328" s="36">
        <v>0</v>
      </c>
      <c r="AA1328" s="36">
        <v>0</v>
      </c>
      <c r="AB1328" s="36"/>
      <c r="AC1328" s="36" t="str">
        <f t="shared" si="9"/>
        <v>PC26</v>
      </c>
      <c r="AD1328" s="36" t="str">
        <f>VLOOKUP(D1328,Oficial!A:C,3,0)</f>
        <v>Bienes y Servicios</v>
      </c>
    </row>
    <row r="1329" spans="1:30" x14ac:dyDescent="0.25">
      <c r="A1329" s="36" t="s">
        <v>27</v>
      </c>
      <c r="B1329" s="36" t="s">
        <v>2149</v>
      </c>
      <c r="C1329" s="36" t="s">
        <v>28</v>
      </c>
      <c r="D1329" s="36" t="s">
        <v>2149</v>
      </c>
      <c r="E1329" s="36" t="s">
        <v>30</v>
      </c>
      <c r="F1329" s="36" t="s">
        <v>569</v>
      </c>
      <c r="G1329" s="37" t="s">
        <v>800</v>
      </c>
      <c r="H1329" s="36" t="s">
        <v>2150</v>
      </c>
      <c r="I1329" s="36" t="s">
        <v>2151</v>
      </c>
      <c r="J1329" s="36">
        <v>5</v>
      </c>
      <c r="K1329" s="36" t="s">
        <v>2155</v>
      </c>
      <c r="L1329" s="36">
        <v>4</v>
      </c>
      <c r="M1329" s="36">
        <v>566</v>
      </c>
      <c r="N1329" s="38">
        <v>7947</v>
      </c>
      <c r="O1329" s="38">
        <v>4498002</v>
      </c>
      <c r="P1329" s="36">
        <v>1</v>
      </c>
      <c r="Q1329" s="40">
        <v>46054</v>
      </c>
      <c r="R1329" s="36" t="s">
        <v>2152</v>
      </c>
      <c r="S1329" s="36" t="s">
        <v>2153</v>
      </c>
      <c r="T1329" s="36" t="s">
        <v>1257</v>
      </c>
      <c r="U1329" s="36" t="s">
        <v>2154</v>
      </c>
      <c r="V1329" s="40">
        <v>46054</v>
      </c>
      <c r="W1329" s="36"/>
      <c r="X1329" s="36">
        <v>0</v>
      </c>
      <c r="Y1329" s="36"/>
      <c r="Z1329" s="36">
        <v>0</v>
      </c>
      <c r="AA1329" s="36">
        <v>0</v>
      </c>
      <c r="AB1329" s="36"/>
      <c r="AC1329" s="36" t="str">
        <f t="shared" si="9"/>
        <v>PC26</v>
      </c>
      <c r="AD1329" s="36" t="str">
        <f>VLOOKUP(D1329,Oficial!A:C,3,0)</f>
        <v>Bienes y Servicios</v>
      </c>
    </row>
    <row r="1330" spans="1:30" x14ac:dyDescent="0.25">
      <c r="A1330" s="36" t="s">
        <v>27</v>
      </c>
      <c r="B1330" s="36" t="s">
        <v>2149</v>
      </c>
      <c r="C1330" s="36" t="s">
        <v>28</v>
      </c>
      <c r="D1330" s="36" t="s">
        <v>2149</v>
      </c>
      <c r="E1330" s="36" t="s">
        <v>30</v>
      </c>
      <c r="F1330" s="36" t="s">
        <v>569</v>
      </c>
      <c r="G1330" s="37" t="s">
        <v>800</v>
      </c>
      <c r="H1330" s="36" t="s">
        <v>2150</v>
      </c>
      <c r="I1330" s="36" t="s">
        <v>2151</v>
      </c>
      <c r="J1330" s="36">
        <v>5</v>
      </c>
      <c r="K1330" s="36" t="s">
        <v>786</v>
      </c>
      <c r="L1330" s="36">
        <v>4</v>
      </c>
      <c r="M1330" s="36">
        <v>1170</v>
      </c>
      <c r="N1330" s="38">
        <v>375</v>
      </c>
      <c r="O1330" s="38">
        <v>438750</v>
      </c>
      <c r="P1330" s="36">
        <v>1</v>
      </c>
      <c r="Q1330" s="40">
        <v>46054</v>
      </c>
      <c r="R1330" s="36" t="s">
        <v>2152</v>
      </c>
      <c r="S1330" s="36" t="s">
        <v>2153</v>
      </c>
      <c r="T1330" s="36" t="s">
        <v>1257</v>
      </c>
      <c r="U1330" s="36" t="s">
        <v>2154</v>
      </c>
      <c r="V1330" s="40">
        <v>46054</v>
      </c>
      <c r="W1330" s="36"/>
      <c r="X1330" s="36">
        <v>0</v>
      </c>
      <c r="Y1330" s="36"/>
      <c r="Z1330" s="36">
        <v>0</v>
      </c>
      <c r="AA1330" s="36">
        <v>0</v>
      </c>
      <c r="AB1330" s="36"/>
      <c r="AC1330" s="36" t="str">
        <f t="shared" si="9"/>
        <v>PC26</v>
      </c>
      <c r="AD1330" s="36" t="str">
        <f>VLOOKUP(D1330,Oficial!A:C,3,0)</f>
        <v>Bienes y Servicios</v>
      </c>
    </row>
    <row r="1331" spans="1:30" x14ac:dyDescent="0.25">
      <c r="A1331" s="36" t="s">
        <v>27</v>
      </c>
      <c r="B1331" s="36" t="s">
        <v>2156</v>
      </c>
      <c r="C1331" s="36" t="s">
        <v>28</v>
      </c>
      <c r="D1331" s="36" t="s">
        <v>2156</v>
      </c>
      <c r="E1331" s="36" t="s">
        <v>30</v>
      </c>
      <c r="F1331" s="36" t="s">
        <v>569</v>
      </c>
      <c r="G1331" s="37" t="s">
        <v>725</v>
      </c>
      <c r="H1331" s="36" t="s">
        <v>2157</v>
      </c>
      <c r="I1331" s="36" t="s">
        <v>2158</v>
      </c>
      <c r="J1331" s="36">
        <v>2</v>
      </c>
      <c r="K1331" s="36" t="s">
        <v>786</v>
      </c>
      <c r="L1331" s="36">
        <v>4</v>
      </c>
      <c r="M1331" s="36">
        <v>396</v>
      </c>
      <c r="N1331" s="38">
        <v>1998</v>
      </c>
      <c r="O1331" s="38">
        <v>791208</v>
      </c>
      <c r="P1331" s="36">
        <v>1</v>
      </c>
      <c r="Q1331" s="40">
        <v>46023</v>
      </c>
      <c r="R1331" s="36" t="s">
        <v>395</v>
      </c>
      <c r="S1331" s="36" t="s">
        <v>1217</v>
      </c>
      <c r="T1331" s="36" t="s">
        <v>1218</v>
      </c>
      <c r="U1331" s="36" t="s">
        <v>398</v>
      </c>
      <c r="V1331" s="40">
        <v>46023</v>
      </c>
      <c r="W1331" s="36"/>
      <c r="X1331" s="36">
        <v>0</v>
      </c>
      <c r="Y1331" s="36"/>
      <c r="Z1331" s="36">
        <v>0</v>
      </c>
      <c r="AA1331" s="36">
        <v>0</v>
      </c>
      <c r="AB1331" s="36"/>
      <c r="AC1331" s="36" t="str">
        <f t="shared" si="9"/>
        <v>PC26</v>
      </c>
      <c r="AD1331" s="36" t="str">
        <f>VLOOKUP(D1331,Oficial!A:C,3,0)</f>
        <v>Bienes y Servicios</v>
      </c>
    </row>
    <row r="1332" spans="1:30" x14ac:dyDescent="0.25">
      <c r="A1332" s="36" t="s">
        <v>27</v>
      </c>
      <c r="B1332" s="36" t="s">
        <v>2156</v>
      </c>
      <c r="C1332" s="36" t="s">
        <v>28</v>
      </c>
      <c r="D1332" s="36" t="s">
        <v>2156</v>
      </c>
      <c r="E1332" s="36" t="s">
        <v>30</v>
      </c>
      <c r="F1332" s="36" t="s">
        <v>569</v>
      </c>
      <c r="G1332" s="37" t="s">
        <v>725</v>
      </c>
      <c r="H1332" s="36" t="s">
        <v>2157</v>
      </c>
      <c r="I1332" s="36" t="s">
        <v>2158</v>
      </c>
      <c r="J1332" s="36">
        <v>2</v>
      </c>
      <c r="K1332" s="36" t="s">
        <v>1989</v>
      </c>
      <c r="L1332" s="36">
        <v>4</v>
      </c>
      <c r="M1332" s="36">
        <v>12</v>
      </c>
      <c r="N1332" s="38">
        <v>2500</v>
      </c>
      <c r="O1332" s="38">
        <v>30000</v>
      </c>
      <c r="P1332" s="36">
        <v>1</v>
      </c>
      <c r="Q1332" s="40">
        <v>46023</v>
      </c>
      <c r="R1332" s="36" t="s">
        <v>395</v>
      </c>
      <c r="S1332" s="36" t="s">
        <v>1217</v>
      </c>
      <c r="T1332" s="36" t="s">
        <v>1218</v>
      </c>
      <c r="U1332" s="36" t="s">
        <v>398</v>
      </c>
      <c r="V1332" s="40">
        <v>46023</v>
      </c>
      <c r="W1332" s="36"/>
      <c r="X1332" s="36">
        <v>0</v>
      </c>
      <c r="Y1332" s="36"/>
      <c r="Z1332" s="36">
        <v>0</v>
      </c>
      <c r="AA1332" s="36">
        <v>0</v>
      </c>
      <c r="AB1332" s="36"/>
      <c r="AC1332" s="36" t="str">
        <f t="shared" si="9"/>
        <v>PC26</v>
      </c>
      <c r="AD1332" s="36" t="str">
        <f>VLOOKUP(D1332,Oficial!A:C,3,0)</f>
        <v>Bienes y Servicios</v>
      </c>
    </row>
    <row r="1333" spans="1:30" x14ac:dyDescent="0.25">
      <c r="A1333" s="36" t="s">
        <v>27</v>
      </c>
      <c r="B1333" s="36" t="s">
        <v>2159</v>
      </c>
      <c r="C1333" s="36" t="s">
        <v>374</v>
      </c>
      <c r="D1333" s="36" t="s">
        <v>2159</v>
      </c>
      <c r="E1333" s="36" t="s">
        <v>30</v>
      </c>
      <c r="F1333" s="36" t="s">
        <v>569</v>
      </c>
      <c r="G1333" s="37" t="s">
        <v>615</v>
      </c>
      <c r="H1333" s="36" t="s">
        <v>2160</v>
      </c>
      <c r="I1333" s="36" t="s">
        <v>1652</v>
      </c>
      <c r="J1333" s="36">
        <v>7</v>
      </c>
      <c r="K1333" s="36" t="s">
        <v>2161</v>
      </c>
      <c r="L1333" s="36">
        <v>4</v>
      </c>
      <c r="M1333" s="36">
        <v>44</v>
      </c>
      <c r="N1333" s="38">
        <v>61364</v>
      </c>
      <c r="O1333" s="38">
        <v>2700016</v>
      </c>
      <c r="P1333" s="36">
        <v>1</v>
      </c>
      <c r="Q1333" s="40">
        <v>46054</v>
      </c>
      <c r="R1333" s="36" t="s">
        <v>761</v>
      </c>
      <c r="S1333" s="36" t="s">
        <v>762</v>
      </c>
      <c r="T1333" s="36" t="s">
        <v>763</v>
      </c>
      <c r="U1333" s="36" t="s">
        <v>764</v>
      </c>
      <c r="V1333" s="40">
        <v>46054</v>
      </c>
      <c r="W1333" s="36"/>
      <c r="X1333" s="36">
        <v>0</v>
      </c>
      <c r="Y1333" s="36"/>
      <c r="Z1333" s="36">
        <v>0</v>
      </c>
      <c r="AA1333" s="36">
        <v>0</v>
      </c>
      <c r="AB1333" s="36"/>
      <c r="AC1333" s="36" t="str">
        <f t="shared" si="9"/>
        <v>PC26</v>
      </c>
      <c r="AD1333" s="36" t="str">
        <f>VLOOKUP(D1333,Oficial!A:C,3,0)</f>
        <v>Administración de Fondos</v>
      </c>
    </row>
    <row r="1334" spans="1:30" x14ac:dyDescent="0.25">
      <c r="A1334" s="36" t="s">
        <v>27</v>
      </c>
      <c r="B1334" s="36" t="s">
        <v>2159</v>
      </c>
      <c r="C1334" s="36" t="s">
        <v>374</v>
      </c>
      <c r="D1334" s="36" t="s">
        <v>2159</v>
      </c>
      <c r="E1334" s="36" t="s">
        <v>30</v>
      </c>
      <c r="F1334" s="36" t="s">
        <v>569</v>
      </c>
      <c r="G1334" s="37" t="s">
        <v>615</v>
      </c>
      <c r="H1334" s="36" t="s">
        <v>2160</v>
      </c>
      <c r="I1334" s="36" t="s">
        <v>1652</v>
      </c>
      <c r="J1334" s="36">
        <v>7</v>
      </c>
      <c r="K1334" s="36" t="s">
        <v>2162</v>
      </c>
      <c r="L1334" s="36">
        <v>4</v>
      </c>
      <c r="M1334" s="36">
        <v>4</v>
      </c>
      <c r="N1334" s="38">
        <v>315000</v>
      </c>
      <c r="O1334" s="38">
        <v>1260000</v>
      </c>
      <c r="P1334" s="36">
        <v>1</v>
      </c>
      <c r="Q1334" s="40">
        <v>46054</v>
      </c>
      <c r="R1334" s="36" t="s">
        <v>761</v>
      </c>
      <c r="S1334" s="36" t="s">
        <v>762</v>
      </c>
      <c r="T1334" s="36" t="s">
        <v>763</v>
      </c>
      <c r="U1334" s="36" t="s">
        <v>764</v>
      </c>
      <c r="V1334" s="40">
        <v>46054</v>
      </c>
      <c r="W1334" s="36"/>
      <c r="X1334" s="36">
        <v>0</v>
      </c>
      <c r="Y1334" s="36"/>
      <c r="Z1334" s="36">
        <v>0</v>
      </c>
      <c r="AA1334" s="36">
        <v>0</v>
      </c>
      <c r="AB1334" s="36"/>
      <c r="AC1334" s="36" t="str">
        <f t="shared" si="9"/>
        <v>PC26</v>
      </c>
      <c r="AD1334" s="36" t="str">
        <f>VLOOKUP(D1334,Oficial!A:C,3,0)</f>
        <v>Administración de Fondos</v>
      </c>
    </row>
    <row r="1335" spans="1:30" x14ac:dyDescent="0.25">
      <c r="A1335" s="36" t="s">
        <v>27</v>
      </c>
      <c r="B1335" s="36" t="s">
        <v>2159</v>
      </c>
      <c r="C1335" s="36" t="s">
        <v>374</v>
      </c>
      <c r="D1335" s="36" t="s">
        <v>2159</v>
      </c>
      <c r="E1335" s="36" t="s">
        <v>30</v>
      </c>
      <c r="F1335" s="36" t="s">
        <v>569</v>
      </c>
      <c r="G1335" s="37" t="s">
        <v>615</v>
      </c>
      <c r="H1335" s="36" t="s">
        <v>2160</v>
      </c>
      <c r="I1335" s="36" t="s">
        <v>1652</v>
      </c>
      <c r="J1335" s="36">
        <v>7</v>
      </c>
      <c r="K1335" s="36" t="s">
        <v>2163</v>
      </c>
      <c r="L1335" s="36">
        <v>4</v>
      </c>
      <c r="M1335" s="36">
        <v>7</v>
      </c>
      <c r="N1335" s="38">
        <v>294286</v>
      </c>
      <c r="O1335" s="38">
        <v>2060002</v>
      </c>
      <c r="P1335" s="36">
        <v>1</v>
      </c>
      <c r="Q1335" s="40">
        <v>46174</v>
      </c>
      <c r="R1335" s="36" t="s">
        <v>761</v>
      </c>
      <c r="S1335" s="36" t="s">
        <v>762</v>
      </c>
      <c r="T1335" s="36" t="s">
        <v>763</v>
      </c>
      <c r="U1335" s="36" t="s">
        <v>764</v>
      </c>
      <c r="V1335" s="40">
        <v>46174</v>
      </c>
      <c r="W1335" s="36"/>
      <c r="X1335" s="36">
        <v>0</v>
      </c>
      <c r="Y1335" s="36"/>
      <c r="Z1335" s="36">
        <v>0</v>
      </c>
      <c r="AA1335" s="36">
        <v>0</v>
      </c>
      <c r="AB1335" s="36"/>
      <c r="AC1335" s="36" t="str">
        <f t="shared" si="9"/>
        <v>PC26</v>
      </c>
      <c r="AD1335" s="36" t="str">
        <f>VLOOKUP(D1335,Oficial!A:C,3,0)</f>
        <v>Administración de Fondos</v>
      </c>
    </row>
    <row r="1336" spans="1:30" x14ac:dyDescent="0.25">
      <c r="A1336" s="36" t="s">
        <v>27</v>
      </c>
      <c r="B1336" s="36" t="s">
        <v>2159</v>
      </c>
      <c r="C1336" s="36" t="s">
        <v>374</v>
      </c>
      <c r="D1336" s="36" t="s">
        <v>2159</v>
      </c>
      <c r="E1336" s="36" t="s">
        <v>30</v>
      </c>
      <c r="F1336" s="36" t="s">
        <v>569</v>
      </c>
      <c r="G1336" s="37" t="s">
        <v>615</v>
      </c>
      <c r="H1336" s="36" t="s">
        <v>2160</v>
      </c>
      <c r="I1336" s="36" t="s">
        <v>1652</v>
      </c>
      <c r="J1336" s="36">
        <v>7</v>
      </c>
      <c r="K1336" s="36" t="s">
        <v>2164</v>
      </c>
      <c r="L1336" s="36">
        <v>4</v>
      </c>
      <c r="M1336" s="36">
        <v>9</v>
      </c>
      <c r="N1336" s="38">
        <v>52223</v>
      </c>
      <c r="O1336" s="38">
        <v>470007</v>
      </c>
      <c r="P1336" s="36">
        <v>1</v>
      </c>
      <c r="Q1336" s="40">
        <v>46174</v>
      </c>
      <c r="R1336" s="36" t="s">
        <v>761</v>
      </c>
      <c r="S1336" s="36" t="s">
        <v>762</v>
      </c>
      <c r="T1336" s="36" t="s">
        <v>763</v>
      </c>
      <c r="U1336" s="36" t="s">
        <v>764</v>
      </c>
      <c r="V1336" s="40">
        <v>46054</v>
      </c>
      <c r="W1336" s="36"/>
      <c r="X1336" s="36">
        <v>0</v>
      </c>
      <c r="Y1336" s="36"/>
      <c r="Z1336" s="36">
        <v>0</v>
      </c>
      <c r="AA1336" s="36">
        <v>0</v>
      </c>
      <c r="AB1336" s="36"/>
      <c r="AC1336" s="36" t="str">
        <f t="shared" si="9"/>
        <v>PC26</v>
      </c>
      <c r="AD1336" s="36" t="str">
        <f>VLOOKUP(D1336,Oficial!A:C,3,0)</f>
        <v>Administración de Fondos</v>
      </c>
    </row>
    <row r="1337" spans="1:30" x14ac:dyDescent="0.25">
      <c r="A1337" s="36" t="s">
        <v>27</v>
      </c>
      <c r="B1337" s="36" t="s">
        <v>2159</v>
      </c>
      <c r="C1337" s="36" t="s">
        <v>374</v>
      </c>
      <c r="D1337" s="36" t="s">
        <v>2159</v>
      </c>
      <c r="E1337" s="36" t="s">
        <v>30</v>
      </c>
      <c r="F1337" s="36" t="s">
        <v>569</v>
      </c>
      <c r="G1337" s="37" t="s">
        <v>615</v>
      </c>
      <c r="H1337" s="36" t="s">
        <v>2160</v>
      </c>
      <c r="I1337" s="36" t="s">
        <v>1652</v>
      </c>
      <c r="J1337" s="36">
        <v>7</v>
      </c>
      <c r="K1337" s="36" t="s">
        <v>820</v>
      </c>
      <c r="L1337" s="36">
        <v>4</v>
      </c>
      <c r="M1337" s="36">
        <v>2</v>
      </c>
      <c r="N1337" s="38">
        <v>350000</v>
      </c>
      <c r="O1337" s="38">
        <v>700000</v>
      </c>
      <c r="P1337" s="36">
        <v>1</v>
      </c>
      <c r="Q1337" s="40">
        <v>46174</v>
      </c>
      <c r="R1337" s="36" t="s">
        <v>761</v>
      </c>
      <c r="S1337" s="36" t="s">
        <v>762</v>
      </c>
      <c r="T1337" s="36" t="s">
        <v>763</v>
      </c>
      <c r="U1337" s="36" t="s">
        <v>764</v>
      </c>
      <c r="V1337" s="40">
        <v>46174</v>
      </c>
      <c r="W1337" s="36"/>
      <c r="X1337" s="36">
        <v>0</v>
      </c>
      <c r="Y1337" s="36"/>
      <c r="Z1337" s="36">
        <v>0</v>
      </c>
      <c r="AA1337" s="36">
        <v>0</v>
      </c>
      <c r="AB1337" s="36"/>
      <c r="AC1337" s="36" t="str">
        <f t="shared" si="9"/>
        <v>PC26</v>
      </c>
      <c r="AD1337" s="36" t="str">
        <f>VLOOKUP(D1337,Oficial!A:C,3,0)</f>
        <v>Administración de Fondos</v>
      </c>
    </row>
    <row r="1338" spans="1:30" x14ac:dyDescent="0.25">
      <c r="A1338" s="36" t="s">
        <v>27</v>
      </c>
      <c r="B1338" s="36" t="s">
        <v>2159</v>
      </c>
      <c r="C1338" s="36" t="s">
        <v>374</v>
      </c>
      <c r="D1338" s="36" t="s">
        <v>2159</v>
      </c>
      <c r="E1338" s="36" t="s">
        <v>30</v>
      </c>
      <c r="F1338" s="36" t="s">
        <v>569</v>
      </c>
      <c r="G1338" s="37" t="s">
        <v>615</v>
      </c>
      <c r="H1338" s="36" t="s">
        <v>2160</v>
      </c>
      <c r="I1338" s="36" t="s">
        <v>1652</v>
      </c>
      <c r="J1338" s="36">
        <v>7</v>
      </c>
      <c r="K1338" s="36" t="s">
        <v>1578</v>
      </c>
      <c r="L1338" s="36">
        <v>4</v>
      </c>
      <c r="M1338" s="36">
        <v>2</v>
      </c>
      <c r="N1338" s="38">
        <v>60000</v>
      </c>
      <c r="O1338" s="38">
        <v>120000</v>
      </c>
      <c r="P1338" s="36">
        <v>1</v>
      </c>
      <c r="Q1338" s="40">
        <v>46174</v>
      </c>
      <c r="R1338" s="36" t="s">
        <v>761</v>
      </c>
      <c r="S1338" s="36" t="s">
        <v>762</v>
      </c>
      <c r="T1338" s="36" t="s">
        <v>763</v>
      </c>
      <c r="U1338" s="36" t="s">
        <v>764</v>
      </c>
      <c r="V1338" s="40">
        <v>46174</v>
      </c>
      <c r="W1338" s="36"/>
      <c r="X1338" s="36">
        <v>0</v>
      </c>
      <c r="Y1338" s="36"/>
      <c r="Z1338" s="36">
        <v>0</v>
      </c>
      <c r="AA1338" s="36">
        <v>0</v>
      </c>
      <c r="AB1338" s="36"/>
      <c r="AC1338" s="36" t="str">
        <f t="shared" si="9"/>
        <v>PC26</v>
      </c>
      <c r="AD1338" s="36" t="str">
        <f>VLOOKUP(D1338,Oficial!A:C,3,0)</f>
        <v>Administración de Fondos</v>
      </c>
    </row>
    <row r="1339" spans="1:30" x14ac:dyDescent="0.25">
      <c r="A1339" s="36" t="s">
        <v>27</v>
      </c>
      <c r="B1339" s="36" t="s">
        <v>2159</v>
      </c>
      <c r="C1339" s="36" t="s">
        <v>374</v>
      </c>
      <c r="D1339" s="36" t="s">
        <v>2159</v>
      </c>
      <c r="E1339" s="36" t="s">
        <v>30</v>
      </c>
      <c r="F1339" s="36" t="s">
        <v>569</v>
      </c>
      <c r="G1339" s="37" t="s">
        <v>615</v>
      </c>
      <c r="H1339" s="36" t="s">
        <v>2160</v>
      </c>
      <c r="I1339" s="36" t="s">
        <v>1652</v>
      </c>
      <c r="J1339" s="36">
        <v>7</v>
      </c>
      <c r="K1339" s="36" t="s">
        <v>2165</v>
      </c>
      <c r="L1339" s="36">
        <v>4</v>
      </c>
      <c r="M1339" s="36">
        <v>1</v>
      </c>
      <c r="N1339" s="38">
        <v>500000</v>
      </c>
      <c r="O1339" s="38">
        <v>500000</v>
      </c>
      <c r="P1339" s="36">
        <v>1</v>
      </c>
      <c r="Q1339" s="40">
        <v>46174</v>
      </c>
      <c r="R1339" s="36" t="s">
        <v>761</v>
      </c>
      <c r="S1339" s="36" t="s">
        <v>762</v>
      </c>
      <c r="T1339" s="36" t="s">
        <v>763</v>
      </c>
      <c r="U1339" s="36" t="s">
        <v>764</v>
      </c>
      <c r="V1339" s="40">
        <v>46054</v>
      </c>
      <c r="W1339" s="36"/>
      <c r="X1339" s="36">
        <v>0</v>
      </c>
      <c r="Y1339" s="36"/>
      <c r="Z1339" s="36">
        <v>0</v>
      </c>
      <c r="AA1339" s="36">
        <v>0</v>
      </c>
      <c r="AB1339" s="36"/>
      <c r="AC1339" s="36" t="str">
        <f t="shared" si="9"/>
        <v>PC26</v>
      </c>
      <c r="AD1339" s="36" t="str">
        <f>VLOOKUP(D1339,Oficial!A:C,3,0)</f>
        <v>Administración de Fondos</v>
      </c>
    </row>
    <row r="1340" spans="1:30" x14ac:dyDescent="0.25">
      <c r="A1340" s="36" t="s">
        <v>27</v>
      </c>
      <c r="B1340" s="36" t="s">
        <v>2166</v>
      </c>
      <c r="C1340" s="36" t="s">
        <v>28</v>
      </c>
      <c r="D1340" s="36" t="s">
        <v>2166</v>
      </c>
      <c r="E1340" s="36" t="s">
        <v>30</v>
      </c>
      <c r="F1340" s="36" t="s">
        <v>569</v>
      </c>
      <c r="G1340" s="37" t="s">
        <v>483</v>
      </c>
      <c r="H1340" s="36" t="s">
        <v>2167</v>
      </c>
      <c r="I1340" s="36" t="s">
        <v>2168</v>
      </c>
      <c r="J1340" s="36">
        <v>3</v>
      </c>
      <c r="K1340" s="36" t="s">
        <v>486</v>
      </c>
      <c r="L1340" s="36">
        <v>4</v>
      </c>
      <c r="M1340" s="36">
        <v>5298</v>
      </c>
      <c r="N1340" s="38">
        <v>52</v>
      </c>
      <c r="O1340" s="38">
        <v>275496</v>
      </c>
      <c r="P1340" s="36">
        <v>1</v>
      </c>
      <c r="Q1340" s="40">
        <v>46054</v>
      </c>
      <c r="R1340" s="36" t="s">
        <v>1231</v>
      </c>
      <c r="S1340" s="36" t="s">
        <v>1232</v>
      </c>
      <c r="T1340" s="36" t="s">
        <v>566</v>
      </c>
      <c r="U1340" s="36" t="s">
        <v>67</v>
      </c>
      <c r="V1340" s="40">
        <v>46054</v>
      </c>
      <c r="W1340" s="36"/>
      <c r="X1340" s="36">
        <v>0</v>
      </c>
      <c r="Y1340" s="36"/>
      <c r="Z1340" s="36">
        <v>0</v>
      </c>
      <c r="AA1340" s="36">
        <v>0</v>
      </c>
      <c r="AB1340" s="36"/>
      <c r="AC1340" s="36" t="str">
        <f t="shared" si="9"/>
        <v>PC26</v>
      </c>
      <c r="AD1340" s="36" t="str">
        <f>VLOOKUP(D1340,Oficial!A:C,3,0)</f>
        <v>Bienes y Servicios</v>
      </c>
    </row>
    <row r="1341" spans="1:30" x14ac:dyDescent="0.25">
      <c r="A1341" s="36" t="s">
        <v>27</v>
      </c>
      <c r="B1341" s="36" t="s">
        <v>2166</v>
      </c>
      <c r="C1341" s="36" t="s">
        <v>28</v>
      </c>
      <c r="D1341" s="36" t="s">
        <v>2166</v>
      </c>
      <c r="E1341" s="36" t="s">
        <v>30</v>
      </c>
      <c r="F1341" s="36" t="s">
        <v>569</v>
      </c>
      <c r="G1341" s="37" t="s">
        <v>483</v>
      </c>
      <c r="H1341" s="36" t="s">
        <v>2167</v>
      </c>
      <c r="I1341" s="36" t="s">
        <v>2168</v>
      </c>
      <c r="J1341" s="36">
        <v>3</v>
      </c>
      <c r="K1341" s="36" t="s">
        <v>832</v>
      </c>
      <c r="L1341" s="36">
        <v>4</v>
      </c>
      <c r="M1341" s="36">
        <v>1</v>
      </c>
      <c r="N1341" s="38">
        <v>80000</v>
      </c>
      <c r="O1341" s="38">
        <v>80000</v>
      </c>
      <c r="P1341" s="36">
        <v>1</v>
      </c>
      <c r="Q1341" s="40">
        <v>46054</v>
      </c>
      <c r="R1341" s="36" t="s">
        <v>1231</v>
      </c>
      <c r="S1341" s="36" t="s">
        <v>1232</v>
      </c>
      <c r="T1341" s="36" t="s">
        <v>566</v>
      </c>
      <c r="U1341" s="36" t="s">
        <v>67</v>
      </c>
      <c r="V1341" s="40">
        <v>46054</v>
      </c>
      <c r="W1341" s="36"/>
      <c r="X1341" s="36">
        <v>0</v>
      </c>
      <c r="Y1341" s="36"/>
      <c r="Z1341" s="36">
        <v>0</v>
      </c>
      <c r="AA1341" s="36">
        <v>0</v>
      </c>
      <c r="AB1341" s="36"/>
      <c r="AC1341" s="36" t="str">
        <f t="shared" si="9"/>
        <v>PC26</v>
      </c>
      <c r="AD1341" s="36" t="str">
        <f>VLOOKUP(D1341,Oficial!A:C,3,0)</f>
        <v>Bienes y Servicios</v>
      </c>
    </row>
    <row r="1342" spans="1:30" x14ac:dyDescent="0.25">
      <c r="A1342" s="36" t="s">
        <v>27</v>
      </c>
      <c r="B1342" s="36" t="s">
        <v>2166</v>
      </c>
      <c r="C1342" s="36" t="s">
        <v>28</v>
      </c>
      <c r="D1342" s="36" t="s">
        <v>2166</v>
      </c>
      <c r="E1342" s="36" t="s">
        <v>30</v>
      </c>
      <c r="F1342" s="36" t="s">
        <v>569</v>
      </c>
      <c r="G1342" s="37" t="s">
        <v>483</v>
      </c>
      <c r="H1342" s="36" t="s">
        <v>2167</v>
      </c>
      <c r="I1342" s="36" t="s">
        <v>2168</v>
      </c>
      <c r="J1342" s="36">
        <v>3</v>
      </c>
      <c r="K1342" s="36" t="s">
        <v>1550</v>
      </c>
      <c r="L1342" s="36">
        <v>4</v>
      </c>
      <c r="M1342" s="36">
        <v>4</v>
      </c>
      <c r="N1342" s="38">
        <v>10000</v>
      </c>
      <c r="O1342" s="38">
        <v>40000</v>
      </c>
      <c r="P1342" s="36">
        <v>1</v>
      </c>
      <c r="Q1342" s="40">
        <v>46054</v>
      </c>
      <c r="R1342" s="36" t="s">
        <v>1231</v>
      </c>
      <c r="S1342" s="36" t="s">
        <v>1232</v>
      </c>
      <c r="T1342" s="36" t="s">
        <v>566</v>
      </c>
      <c r="U1342" s="36" t="s">
        <v>67</v>
      </c>
      <c r="V1342" s="40">
        <v>46054</v>
      </c>
      <c r="W1342" s="36"/>
      <c r="X1342" s="36">
        <v>0</v>
      </c>
      <c r="Y1342" s="36"/>
      <c r="Z1342" s="36">
        <v>0</v>
      </c>
      <c r="AA1342" s="36">
        <v>0</v>
      </c>
      <c r="AB1342" s="36"/>
      <c r="AC1342" s="36" t="str">
        <f t="shared" si="9"/>
        <v>PC26</v>
      </c>
      <c r="AD1342" s="36" t="str">
        <f>VLOOKUP(D1342,Oficial!A:C,3,0)</f>
        <v>Bienes y Servicios</v>
      </c>
    </row>
    <row r="1343" spans="1:30" x14ac:dyDescent="0.25">
      <c r="A1343" s="36" t="s">
        <v>27</v>
      </c>
      <c r="B1343" s="36" t="s">
        <v>2169</v>
      </c>
      <c r="C1343" s="36" t="s">
        <v>28</v>
      </c>
      <c r="D1343" s="36" t="s">
        <v>2169</v>
      </c>
      <c r="E1343" s="36" t="s">
        <v>30</v>
      </c>
      <c r="F1343" s="36" t="s">
        <v>569</v>
      </c>
      <c r="G1343" s="37" t="s">
        <v>800</v>
      </c>
      <c r="H1343" s="36" t="s">
        <v>2170</v>
      </c>
      <c r="I1343" s="36" t="s">
        <v>2151</v>
      </c>
      <c r="J1343" s="36">
        <v>3</v>
      </c>
      <c r="K1343" s="36" t="s">
        <v>359</v>
      </c>
      <c r="L1343" s="36">
        <v>4</v>
      </c>
      <c r="M1343" s="36">
        <v>1348</v>
      </c>
      <c r="N1343" s="38">
        <v>580</v>
      </c>
      <c r="O1343" s="38">
        <v>781840</v>
      </c>
      <c r="P1343" s="36">
        <v>1</v>
      </c>
      <c r="Q1343" s="40">
        <v>46054</v>
      </c>
      <c r="R1343" s="36" t="s">
        <v>2171</v>
      </c>
      <c r="S1343" s="36" t="s">
        <v>2172</v>
      </c>
      <c r="T1343" s="36" t="s">
        <v>1257</v>
      </c>
      <c r="U1343" s="36" t="s">
        <v>2173</v>
      </c>
      <c r="V1343" s="40">
        <v>46054</v>
      </c>
      <c r="W1343" s="36"/>
      <c r="X1343" s="36">
        <v>0</v>
      </c>
      <c r="Y1343" s="36"/>
      <c r="Z1343" s="36">
        <v>0</v>
      </c>
      <c r="AA1343" s="36">
        <v>0</v>
      </c>
      <c r="AB1343" s="36"/>
      <c r="AC1343" s="36" t="str">
        <f t="shared" si="9"/>
        <v>PC26</v>
      </c>
      <c r="AD1343" s="36" t="str">
        <f>VLOOKUP(D1343,Oficial!A:C,3,0)</f>
        <v>Bienes y Servicios</v>
      </c>
    </row>
    <row r="1344" spans="1:30" x14ac:dyDescent="0.25">
      <c r="A1344" s="36" t="s">
        <v>27</v>
      </c>
      <c r="B1344" s="36" t="s">
        <v>2169</v>
      </c>
      <c r="C1344" s="36" t="s">
        <v>28</v>
      </c>
      <c r="D1344" s="36" t="s">
        <v>2169</v>
      </c>
      <c r="E1344" s="36" t="s">
        <v>30</v>
      </c>
      <c r="F1344" s="36" t="s">
        <v>569</v>
      </c>
      <c r="G1344" s="37" t="s">
        <v>800</v>
      </c>
      <c r="H1344" s="36" t="s">
        <v>2170</v>
      </c>
      <c r="I1344" s="36" t="s">
        <v>2151</v>
      </c>
      <c r="J1344" s="36">
        <v>3</v>
      </c>
      <c r="K1344" s="36" t="s">
        <v>855</v>
      </c>
      <c r="L1344" s="36">
        <v>4</v>
      </c>
      <c r="M1344" s="36">
        <v>2210</v>
      </c>
      <c r="N1344" s="38">
        <v>75</v>
      </c>
      <c r="O1344" s="38">
        <v>165750</v>
      </c>
      <c r="P1344" s="36">
        <v>1</v>
      </c>
      <c r="Q1344" s="40">
        <v>46054</v>
      </c>
      <c r="R1344" s="36" t="s">
        <v>2171</v>
      </c>
      <c r="S1344" s="36" t="s">
        <v>2172</v>
      </c>
      <c r="T1344" s="36" t="s">
        <v>1257</v>
      </c>
      <c r="U1344" s="36" t="s">
        <v>2173</v>
      </c>
      <c r="V1344" s="40">
        <v>46054</v>
      </c>
      <c r="W1344" s="36"/>
      <c r="X1344" s="36">
        <v>0</v>
      </c>
      <c r="Y1344" s="36"/>
      <c r="Z1344" s="36">
        <v>0</v>
      </c>
      <c r="AA1344" s="36">
        <v>0</v>
      </c>
      <c r="AB1344" s="36"/>
      <c r="AC1344" s="36" t="str">
        <f t="shared" si="9"/>
        <v>PC26</v>
      </c>
      <c r="AD1344" s="36" t="str">
        <f>VLOOKUP(D1344,Oficial!A:C,3,0)</f>
        <v>Bienes y Servicios</v>
      </c>
    </row>
    <row r="1345" spans="1:30" x14ac:dyDescent="0.25">
      <c r="A1345" s="36" t="s">
        <v>27</v>
      </c>
      <c r="B1345" s="36" t="s">
        <v>2169</v>
      </c>
      <c r="C1345" s="36" t="s">
        <v>28</v>
      </c>
      <c r="D1345" s="36" t="s">
        <v>2169</v>
      </c>
      <c r="E1345" s="36" t="s">
        <v>30</v>
      </c>
      <c r="F1345" s="36" t="s">
        <v>569</v>
      </c>
      <c r="G1345" s="37" t="s">
        <v>800</v>
      </c>
      <c r="H1345" s="36" t="s">
        <v>2170</v>
      </c>
      <c r="I1345" s="36" t="s">
        <v>2151</v>
      </c>
      <c r="J1345" s="36">
        <v>3</v>
      </c>
      <c r="K1345" s="36" t="s">
        <v>786</v>
      </c>
      <c r="L1345" s="36">
        <v>4</v>
      </c>
      <c r="M1345" s="36">
        <v>2554</v>
      </c>
      <c r="N1345" s="38">
        <v>227</v>
      </c>
      <c r="O1345" s="38">
        <v>579758</v>
      </c>
      <c r="P1345" s="36">
        <v>1</v>
      </c>
      <c r="Q1345" s="40">
        <v>46054</v>
      </c>
      <c r="R1345" s="36" t="s">
        <v>2171</v>
      </c>
      <c r="S1345" s="36" t="s">
        <v>2172</v>
      </c>
      <c r="T1345" s="36" t="s">
        <v>1257</v>
      </c>
      <c r="U1345" s="36" t="s">
        <v>2173</v>
      </c>
      <c r="V1345" s="40">
        <v>46054</v>
      </c>
      <c r="W1345" s="36"/>
      <c r="X1345" s="36">
        <v>0</v>
      </c>
      <c r="Y1345" s="36"/>
      <c r="Z1345" s="36">
        <v>0</v>
      </c>
      <c r="AA1345" s="36">
        <v>0</v>
      </c>
      <c r="AB1345" s="36"/>
      <c r="AC1345" s="36" t="str">
        <f t="shared" si="9"/>
        <v>PC26</v>
      </c>
      <c r="AD1345" s="36" t="str">
        <f>VLOOKUP(D1345,Oficial!A:C,3,0)</f>
        <v>Bienes y Servicios</v>
      </c>
    </row>
    <row r="1346" spans="1:30" x14ac:dyDescent="0.25">
      <c r="A1346" s="36" t="s">
        <v>27</v>
      </c>
      <c r="B1346" s="36" t="s">
        <v>2174</v>
      </c>
      <c r="C1346" s="36" t="s">
        <v>28</v>
      </c>
      <c r="D1346" s="36" t="s">
        <v>2174</v>
      </c>
      <c r="E1346" s="36" t="s">
        <v>30</v>
      </c>
      <c r="F1346" s="36" t="s">
        <v>569</v>
      </c>
      <c r="G1346" s="37" t="s">
        <v>615</v>
      </c>
      <c r="H1346" s="36" t="s">
        <v>2175</v>
      </c>
      <c r="I1346" s="36" t="s">
        <v>2176</v>
      </c>
      <c r="J1346" s="36">
        <v>2</v>
      </c>
      <c r="K1346" s="36" t="s">
        <v>486</v>
      </c>
      <c r="L1346" s="36">
        <v>4</v>
      </c>
      <c r="M1346" s="36">
        <v>20</v>
      </c>
      <c r="N1346" s="38">
        <v>11950</v>
      </c>
      <c r="O1346" s="38">
        <v>239000</v>
      </c>
      <c r="P1346" s="36">
        <v>1</v>
      </c>
      <c r="Q1346" s="40">
        <v>46023</v>
      </c>
      <c r="R1346" s="36" t="s">
        <v>1893</v>
      </c>
      <c r="S1346" s="36" t="s">
        <v>2177</v>
      </c>
      <c r="T1346" s="36" t="s">
        <v>1895</v>
      </c>
      <c r="U1346" s="36" t="s">
        <v>1896</v>
      </c>
      <c r="V1346" s="40">
        <v>46023</v>
      </c>
      <c r="W1346" s="36"/>
      <c r="X1346" s="36">
        <v>0</v>
      </c>
      <c r="Y1346" s="36"/>
      <c r="Z1346" s="36">
        <v>0</v>
      </c>
      <c r="AA1346" s="36">
        <v>0</v>
      </c>
      <c r="AB1346" s="36"/>
      <c r="AC1346" s="36" t="str">
        <f t="shared" si="9"/>
        <v>PC26</v>
      </c>
      <c r="AD1346" s="36" t="str">
        <f>VLOOKUP(D1346,Oficial!A:C,3,0)</f>
        <v>Bienes y Servicios</v>
      </c>
    </row>
    <row r="1347" spans="1:30" x14ac:dyDescent="0.25">
      <c r="A1347" s="36" t="s">
        <v>27</v>
      </c>
      <c r="B1347" s="36" t="s">
        <v>2174</v>
      </c>
      <c r="C1347" s="36" t="s">
        <v>28</v>
      </c>
      <c r="D1347" s="36" t="s">
        <v>2174</v>
      </c>
      <c r="E1347" s="36" t="s">
        <v>30</v>
      </c>
      <c r="F1347" s="36" t="s">
        <v>569</v>
      </c>
      <c r="G1347" s="37" t="s">
        <v>615</v>
      </c>
      <c r="H1347" s="36" t="s">
        <v>2175</v>
      </c>
      <c r="I1347" s="36" t="s">
        <v>2176</v>
      </c>
      <c r="J1347" s="36">
        <v>2</v>
      </c>
      <c r="K1347" s="36" t="s">
        <v>2106</v>
      </c>
      <c r="L1347" s="36">
        <v>4</v>
      </c>
      <c r="M1347" s="36">
        <v>4</v>
      </c>
      <c r="N1347" s="38">
        <v>62500</v>
      </c>
      <c r="O1347" s="38">
        <v>250000</v>
      </c>
      <c r="P1347" s="36">
        <v>1</v>
      </c>
      <c r="Q1347" s="40">
        <v>46023</v>
      </c>
      <c r="R1347" s="36" t="s">
        <v>1893</v>
      </c>
      <c r="S1347" s="36" t="s">
        <v>2177</v>
      </c>
      <c r="T1347" s="36" t="s">
        <v>1895</v>
      </c>
      <c r="U1347" s="36" t="s">
        <v>1896</v>
      </c>
      <c r="V1347" s="40">
        <v>46023</v>
      </c>
      <c r="W1347" s="36"/>
      <c r="X1347" s="36">
        <v>0</v>
      </c>
      <c r="Y1347" s="36"/>
      <c r="Z1347" s="36">
        <v>0</v>
      </c>
      <c r="AA1347" s="36">
        <v>0</v>
      </c>
      <c r="AB1347" s="36"/>
      <c r="AC1347" s="36" t="str">
        <f t="shared" si="9"/>
        <v>PC26</v>
      </c>
      <c r="AD1347" s="36" t="str">
        <f>VLOOKUP(D1347,Oficial!A:C,3,0)</f>
        <v>Bienes y Servicios</v>
      </c>
    </row>
    <row r="1348" spans="1:30" x14ac:dyDescent="0.25">
      <c r="A1348" s="36" t="s">
        <v>27</v>
      </c>
      <c r="B1348" s="36" t="s">
        <v>2178</v>
      </c>
      <c r="C1348" s="36" t="s">
        <v>28</v>
      </c>
      <c r="D1348" s="36" t="s">
        <v>2178</v>
      </c>
      <c r="E1348" s="36" t="s">
        <v>30</v>
      </c>
      <c r="F1348" s="36" t="s">
        <v>569</v>
      </c>
      <c r="G1348" s="37" t="s">
        <v>757</v>
      </c>
      <c r="H1348" s="36" t="s">
        <v>2179</v>
      </c>
      <c r="I1348" s="36" t="s">
        <v>2180</v>
      </c>
      <c r="J1348" s="36">
        <v>1</v>
      </c>
      <c r="K1348" s="36" t="s">
        <v>760</v>
      </c>
      <c r="L1348" s="36">
        <v>4</v>
      </c>
      <c r="M1348" s="36">
        <v>250000</v>
      </c>
      <c r="N1348" s="38">
        <v>230</v>
      </c>
      <c r="O1348" s="38">
        <v>57500000</v>
      </c>
      <c r="P1348" s="36">
        <v>1</v>
      </c>
      <c r="Q1348" s="40">
        <v>46113</v>
      </c>
      <c r="R1348" s="36" t="s">
        <v>950</v>
      </c>
      <c r="S1348" s="36" t="s">
        <v>951</v>
      </c>
      <c r="T1348" s="36" t="s">
        <v>952</v>
      </c>
      <c r="U1348" s="36" t="s">
        <v>293</v>
      </c>
      <c r="V1348" s="40">
        <v>46113</v>
      </c>
      <c r="W1348" s="36"/>
      <c r="X1348" s="36">
        <v>0</v>
      </c>
      <c r="Y1348" s="36"/>
      <c r="Z1348" s="36">
        <v>0</v>
      </c>
      <c r="AA1348" s="36">
        <v>0</v>
      </c>
      <c r="AB1348" s="36"/>
      <c r="AC1348" s="36" t="str">
        <f t="shared" si="9"/>
        <v>PC26</v>
      </c>
      <c r="AD1348" s="36" t="str">
        <f>VLOOKUP(D1348,Oficial!A:C,3,0)</f>
        <v>Bienes y Servicios</v>
      </c>
    </row>
    <row r="1349" spans="1:30" x14ac:dyDescent="0.25">
      <c r="A1349" s="36" t="s">
        <v>27</v>
      </c>
      <c r="B1349" s="36" t="s">
        <v>2181</v>
      </c>
      <c r="C1349" s="36" t="s">
        <v>374</v>
      </c>
      <c r="D1349" s="36" t="s">
        <v>2181</v>
      </c>
      <c r="E1349" s="36" t="s">
        <v>30</v>
      </c>
      <c r="F1349" s="36" t="s">
        <v>569</v>
      </c>
      <c r="G1349" s="37" t="s">
        <v>615</v>
      </c>
      <c r="H1349" s="36" t="s">
        <v>2182</v>
      </c>
      <c r="I1349" s="36" t="s">
        <v>1577</v>
      </c>
      <c r="J1349" s="36">
        <v>1</v>
      </c>
      <c r="K1349" s="36" t="s">
        <v>1653</v>
      </c>
      <c r="L1349" s="36">
        <v>4</v>
      </c>
      <c r="M1349" s="36">
        <v>9</v>
      </c>
      <c r="N1349" s="38">
        <v>31112</v>
      </c>
      <c r="O1349" s="38">
        <v>280008</v>
      </c>
      <c r="P1349" s="36">
        <v>1</v>
      </c>
      <c r="Q1349" s="40">
        <v>46143</v>
      </c>
      <c r="R1349" s="36" t="s">
        <v>761</v>
      </c>
      <c r="S1349" s="36" t="s">
        <v>762</v>
      </c>
      <c r="T1349" s="36" t="s">
        <v>763</v>
      </c>
      <c r="U1349" s="36" t="s">
        <v>764</v>
      </c>
      <c r="V1349" s="40">
        <v>46143</v>
      </c>
      <c r="W1349" s="36"/>
      <c r="X1349" s="36">
        <v>0</v>
      </c>
      <c r="Y1349" s="36"/>
      <c r="Z1349" s="36">
        <v>0</v>
      </c>
      <c r="AA1349" s="36">
        <v>0</v>
      </c>
      <c r="AB1349" s="36"/>
      <c r="AC1349" s="36" t="str">
        <f t="shared" si="9"/>
        <v>PC26</v>
      </c>
      <c r="AD1349" s="36" t="str">
        <f>VLOOKUP(D1349,Oficial!A:C,3,0)</f>
        <v>Administración de Fondos</v>
      </c>
    </row>
    <row r="1350" spans="1:30" x14ac:dyDescent="0.25">
      <c r="A1350" s="36" t="s">
        <v>27</v>
      </c>
      <c r="B1350" s="36" t="s">
        <v>2183</v>
      </c>
      <c r="C1350" s="36" t="s">
        <v>28</v>
      </c>
      <c r="D1350" s="36" t="s">
        <v>2183</v>
      </c>
      <c r="E1350" s="36" t="s">
        <v>30</v>
      </c>
      <c r="F1350" s="36" t="s">
        <v>569</v>
      </c>
      <c r="G1350" s="37" t="s">
        <v>615</v>
      </c>
      <c r="H1350" s="36" t="s">
        <v>2184</v>
      </c>
      <c r="I1350" s="36" t="s">
        <v>2185</v>
      </c>
      <c r="J1350" s="36">
        <v>11</v>
      </c>
      <c r="K1350" s="36" t="s">
        <v>855</v>
      </c>
      <c r="L1350" s="36">
        <v>4</v>
      </c>
      <c r="M1350" s="36">
        <v>660</v>
      </c>
      <c r="N1350" s="38">
        <v>3884</v>
      </c>
      <c r="O1350" s="38">
        <v>2563440</v>
      </c>
      <c r="P1350" s="36">
        <v>1</v>
      </c>
      <c r="Q1350" s="40">
        <v>46143</v>
      </c>
      <c r="R1350" s="36" t="s">
        <v>761</v>
      </c>
      <c r="S1350" s="36" t="s">
        <v>762</v>
      </c>
      <c r="T1350" s="36" t="s">
        <v>763</v>
      </c>
      <c r="U1350" s="36" t="s">
        <v>764</v>
      </c>
      <c r="V1350" s="40">
        <v>46143</v>
      </c>
      <c r="W1350" s="36"/>
      <c r="X1350" s="36">
        <v>0</v>
      </c>
      <c r="Y1350" s="36"/>
      <c r="Z1350" s="36">
        <v>0</v>
      </c>
      <c r="AA1350" s="36">
        <v>0</v>
      </c>
      <c r="AB1350" s="36"/>
      <c r="AC1350" s="36" t="str">
        <f t="shared" si="9"/>
        <v>PC26</v>
      </c>
      <c r="AD1350" s="36" t="str">
        <f>VLOOKUP(D1350,Oficial!A:C,3,0)</f>
        <v>Bienes y Servicios</v>
      </c>
    </row>
    <row r="1351" spans="1:30" x14ac:dyDescent="0.25">
      <c r="A1351" s="36" t="s">
        <v>27</v>
      </c>
      <c r="B1351" s="36" t="s">
        <v>2183</v>
      </c>
      <c r="C1351" s="36" t="s">
        <v>28</v>
      </c>
      <c r="D1351" s="36" t="s">
        <v>2183</v>
      </c>
      <c r="E1351" s="36" t="s">
        <v>30</v>
      </c>
      <c r="F1351" s="36" t="s">
        <v>569</v>
      </c>
      <c r="G1351" s="37" t="s">
        <v>615</v>
      </c>
      <c r="H1351" s="36" t="s">
        <v>2184</v>
      </c>
      <c r="I1351" s="36" t="s">
        <v>2185</v>
      </c>
      <c r="J1351" s="36">
        <v>11</v>
      </c>
      <c r="K1351" s="36" t="s">
        <v>2186</v>
      </c>
      <c r="L1351" s="36">
        <v>4</v>
      </c>
      <c r="M1351" s="36">
        <v>535</v>
      </c>
      <c r="N1351" s="38">
        <v>7651</v>
      </c>
      <c r="O1351" s="38">
        <v>4093285</v>
      </c>
      <c r="P1351" s="36">
        <v>1</v>
      </c>
      <c r="Q1351" s="40">
        <v>46143</v>
      </c>
      <c r="R1351" s="36" t="s">
        <v>761</v>
      </c>
      <c r="S1351" s="36" t="s">
        <v>762</v>
      </c>
      <c r="T1351" s="36" t="s">
        <v>763</v>
      </c>
      <c r="U1351" s="36" t="s">
        <v>764</v>
      </c>
      <c r="V1351" s="40">
        <v>46143</v>
      </c>
      <c r="W1351" s="36"/>
      <c r="X1351" s="36">
        <v>0</v>
      </c>
      <c r="Y1351" s="36"/>
      <c r="Z1351" s="36">
        <v>0</v>
      </c>
      <c r="AA1351" s="36">
        <v>0</v>
      </c>
      <c r="AB1351" s="36"/>
      <c r="AC1351" s="36" t="str">
        <f t="shared" si="9"/>
        <v>PC26</v>
      </c>
      <c r="AD1351" s="36" t="str">
        <f>VLOOKUP(D1351,Oficial!A:C,3,0)</f>
        <v>Bienes y Servicios</v>
      </c>
    </row>
    <row r="1352" spans="1:30" x14ac:dyDescent="0.25">
      <c r="A1352" s="36" t="s">
        <v>27</v>
      </c>
      <c r="B1352" s="36" t="s">
        <v>2183</v>
      </c>
      <c r="C1352" s="36" t="s">
        <v>28</v>
      </c>
      <c r="D1352" s="36" t="s">
        <v>2183</v>
      </c>
      <c r="E1352" s="36" t="s">
        <v>30</v>
      </c>
      <c r="F1352" s="36" t="s">
        <v>569</v>
      </c>
      <c r="G1352" s="37" t="s">
        <v>615</v>
      </c>
      <c r="H1352" s="36" t="s">
        <v>2184</v>
      </c>
      <c r="I1352" s="36" t="s">
        <v>2185</v>
      </c>
      <c r="J1352" s="36">
        <v>11</v>
      </c>
      <c r="K1352" s="36" t="s">
        <v>2187</v>
      </c>
      <c r="L1352" s="36">
        <v>4</v>
      </c>
      <c r="M1352" s="36">
        <v>77</v>
      </c>
      <c r="N1352" s="38">
        <v>15610</v>
      </c>
      <c r="O1352" s="38">
        <v>1201970</v>
      </c>
      <c r="P1352" s="36">
        <v>1</v>
      </c>
      <c r="Q1352" s="40">
        <v>46143</v>
      </c>
      <c r="R1352" s="36" t="s">
        <v>761</v>
      </c>
      <c r="S1352" s="36" t="s">
        <v>762</v>
      </c>
      <c r="T1352" s="36" t="s">
        <v>763</v>
      </c>
      <c r="U1352" s="36" t="s">
        <v>764</v>
      </c>
      <c r="V1352" s="40">
        <v>46143</v>
      </c>
      <c r="W1352" s="36"/>
      <c r="X1352" s="36">
        <v>0</v>
      </c>
      <c r="Y1352" s="36"/>
      <c r="Z1352" s="36">
        <v>0</v>
      </c>
      <c r="AA1352" s="36">
        <v>0</v>
      </c>
      <c r="AB1352" s="36"/>
      <c r="AC1352" s="36" t="str">
        <f t="shared" si="9"/>
        <v>PC26</v>
      </c>
      <c r="AD1352" s="36" t="str">
        <f>VLOOKUP(D1352,Oficial!A:C,3,0)</f>
        <v>Bienes y Servicios</v>
      </c>
    </row>
    <row r="1353" spans="1:30" x14ac:dyDescent="0.25">
      <c r="A1353" s="36" t="s">
        <v>27</v>
      </c>
      <c r="B1353" s="36" t="s">
        <v>2183</v>
      </c>
      <c r="C1353" s="36" t="s">
        <v>28</v>
      </c>
      <c r="D1353" s="36" t="s">
        <v>2183</v>
      </c>
      <c r="E1353" s="36" t="s">
        <v>30</v>
      </c>
      <c r="F1353" s="36" t="s">
        <v>569</v>
      </c>
      <c r="G1353" s="37" t="s">
        <v>615</v>
      </c>
      <c r="H1353" s="36" t="s">
        <v>2184</v>
      </c>
      <c r="I1353" s="36" t="s">
        <v>2185</v>
      </c>
      <c r="J1353" s="36">
        <v>11</v>
      </c>
      <c r="K1353" s="36" t="s">
        <v>2188</v>
      </c>
      <c r="L1353" s="36">
        <v>4</v>
      </c>
      <c r="M1353" s="36">
        <v>12</v>
      </c>
      <c r="N1353" s="38">
        <v>80000</v>
      </c>
      <c r="O1353" s="38">
        <v>960000</v>
      </c>
      <c r="P1353" s="36">
        <v>1</v>
      </c>
      <c r="Q1353" s="40">
        <v>46143</v>
      </c>
      <c r="R1353" s="36" t="s">
        <v>761</v>
      </c>
      <c r="S1353" s="36" t="s">
        <v>762</v>
      </c>
      <c r="T1353" s="36" t="s">
        <v>763</v>
      </c>
      <c r="U1353" s="36" t="s">
        <v>764</v>
      </c>
      <c r="V1353" s="40">
        <v>46143</v>
      </c>
      <c r="W1353" s="36"/>
      <c r="X1353" s="36">
        <v>0</v>
      </c>
      <c r="Y1353" s="36"/>
      <c r="Z1353" s="36">
        <v>0</v>
      </c>
      <c r="AA1353" s="36">
        <v>0</v>
      </c>
      <c r="AB1353" s="36"/>
      <c r="AC1353" s="36" t="str">
        <f t="shared" si="9"/>
        <v>PC26</v>
      </c>
      <c r="AD1353" s="36" t="str">
        <f>VLOOKUP(D1353,Oficial!A:C,3,0)</f>
        <v>Bienes y Servicios</v>
      </c>
    </row>
    <row r="1354" spans="1:30" x14ac:dyDescent="0.25">
      <c r="A1354" s="36" t="s">
        <v>27</v>
      </c>
      <c r="B1354" s="36" t="s">
        <v>2183</v>
      </c>
      <c r="C1354" s="36" t="s">
        <v>28</v>
      </c>
      <c r="D1354" s="36" t="s">
        <v>2183</v>
      </c>
      <c r="E1354" s="36" t="s">
        <v>30</v>
      </c>
      <c r="F1354" s="36" t="s">
        <v>569</v>
      </c>
      <c r="G1354" s="37" t="s">
        <v>615</v>
      </c>
      <c r="H1354" s="36" t="s">
        <v>2184</v>
      </c>
      <c r="I1354" s="36" t="s">
        <v>2185</v>
      </c>
      <c r="J1354" s="36">
        <v>11</v>
      </c>
      <c r="K1354" s="36" t="s">
        <v>2189</v>
      </c>
      <c r="L1354" s="36">
        <v>4</v>
      </c>
      <c r="M1354" s="36">
        <v>131</v>
      </c>
      <c r="N1354" s="38">
        <v>7237</v>
      </c>
      <c r="O1354" s="38">
        <v>948047</v>
      </c>
      <c r="P1354" s="36">
        <v>1</v>
      </c>
      <c r="Q1354" s="40">
        <v>46143</v>
      </c>
      <c r="R1354" s="36" t="s">
        <v>761</v>
      </c>
      <c r="S1354" s="36" t="s">
        <v>762</v>
      </c>
      <c r="T1354" s="36" t="s">
        <v>763</v>
      </c>
      <c r="U1354" s="36" t="s">
        <v>764</v>
      </c>
      <c r="V1354" s="40">
        <v>46143</v>
      </c>
      <c r="W1354" s="36"/>
      <c r="X1354" s="36">
        <v>0</v>
      </c>
      <c r="Y1354" s="36"/>
      <c r="Z1354" s="36">
        <v>0</v>
      </c>
      <c r="AA1354" s="36">
        <v>0</v>
      </c>
      <c r="AB1354" s="36"/>
      <c r="AC1354" s="36" t="str">
        <f t="shared" si="9"/>
        <v>PC26</v>
      </c>
      <c r="AD1354" s="36" t="str">
        <f>VLOOKUP(D1354,Oficial!A:C,3,0)</f>
        <v>Bienes y Servicios</v>
      </c>
    </row>
    <row r="1355" spans="1:30" x14ac:dyDescent="0.25">
      <c r="A1355" s="36" t="s">
        <v>27</v>
      </c>
      <c r="B1355" s="36" t="s">
        <v>2183</v>
      </c>
      <c r="C1355" s="36" t="s">
        <v>28</v>
      </c>
      <c r="D1355" s="36" t="s">
        <v>2183</v>
      </c>
      <c r="E1355" s="36" t="s">
        <v>30</v>
      </c>
      <c r="F1355" s="36" t="s">
        <v>569</v>
      </c>
      <c r="G1355" s="37" t="s">
        <v>615</v>
      </c>
      <c r="H1355" s="36" t="s">
        <v>2184</v>
      </c>
      <c r="I1355" s="36" t="s">
        <v>2185</v>
      </c>
      <c r="J1355" s="36">
        <v>11</v>
      </c>
      <c r="K1355" s="36" t="s">
        <v>2190</v>
      </c>
      <c r="L1355" s="36">
        <v>4</v>
      </c>
      <c r="M1355" s="36">
        <v>61</v>
      </c>
      <c r="N1355" s="38">
        <v>9000</v>
      </c>
      <c r="O1355" s="38">
        <v>549000</v>
      </c>
      <c r="P1355" s="36">
        <v>1</v>
      </c>
      <c r="Q1355" s="40">
        <v>46143</v>
      </c>
      <c r="R1355" s="36" t="s">
        <v>761</v>
      </c>
      <c r="S1355" s="36" t="s">
        <v>762</v>
      </c>
      <c r="T1355" s="36" t="s">
        <v>763</v>
      </c>
      <c r="U1355" s="36" t="s">
        <v>764</v>
      </c>
      <c r="V1355" s="40">
        <v>46143</v>
      </c>
      <c r="W1355" s="36"/>
      <c r="X1355" s="36">
        <v>0</v>
      </c>
      <c r="Y1355" s="36"/>
      <c r="Z1355" s="36">
        <v>0</v>
      </c>
      <c r="AA1355" s="36">
        <v>0</v>
      </c>
      <c r="AB1355" s="36"/>
      <c r="AC1355" s="36" t="str">
        <f t="shared" si="9"/>
        <v>PC26</v>
      </c>
      <c r="AD1355" s="36" t="str">
        <f>VLOOKUP(D1355,Oficial!A:C,3,0)</f>
        <v>Bienes y Servicios</v>
      </c>
    </row>
    <row r="1356" spans="1:30" x14ac:dyDescent="0.25">
      <c r="A1356" s="36" t="s">
        <v>27</v>
      </c>
      <c r="B1356" s="36" t="s">
        <v>2183</v>
      </c>
      <c r="C1356" s="36" t="s">
        <v>28</v>
      </c>
      <c r="D1356" s="36" t="s">
        <v>2183</v>
      </c>
      <c r="E1356" s="36" t="s">
        <v>30</v>
      </c>
      <c r="F1356" s="36" t="s">
        <v>569</v>
      </c>
      <c r="G1356" s="37" t="s">
        <v>615</v>
      </c>
      <c r="H1356" s="36" t="s">
        <v>2184</v>
      </c>
      <c r="I1356" s="36" t="s">
        <v>2185</v>
      </c>
      <c r="J1356" s="36">
        <v>11</v>
      </c>
      <c r="K1356" s="36" t="s">
        <v>2191</v>
      </c>
      <c r="L1356" s="36">
        <v>4</v>
      </c>
      <c r="M1356" s="36">
        <v>12</v>
      </c>
      <c r="N1356" s="38">
        <v>41667</v>
      </c>
      <c r="O1356" s="38">
        <v>500004</v>
      </c>
      <c r="P1356" s="36">
        <v>1</v>
      </c>
      <c r="Q1356" s="40">
        <v>46143</v>
      </c>
      <c r="R1356" s="36" t="s">
        <v>761</v>
      </c>
      <c r="S1356" s="36" t="s">
        <v>762</v>
      </c>
      <c r="T1356" s="36" t="s">
        <v>763</v>
      </c>
      <c r="U1356" s="36" t="s">
        <v>764</v>
      </c>
      <c r="V1356" s="40">
        <v>46143</v>
      </c>
      <c r="W1356" s="36"/>
      <c r="X1356" s="36">
        <v>0</v>
      </c>
      <c r="Y1356" s="36"/>
      <c r="Z1356" s="36">
        <v>0</v>
      </c>
      <c r="AA1356" s="36">
        <v>0</v>
      </c>
      <c r="AB1356" s="36"/>
      <c r="AC1356" s="36" t="str">
        <f t="shared" si="9"/>
        <v>PC26</v>
      </c>
      <c r="AD1356" s="36" t="str">
        <f>VLOOKUP(D1356,Oficial!A:C,3,0)</f>
        <v>Bienes y Servicios</v>
      </c>
    </row>
    <row r="1357" spans="1:30" x14ac:dyDescent="0.25">
      <c r="A1357" s="36" t="s">
        <v>27</v>
      </c>
      <c r="B1357" s="36" t="s">
        <v>2183</v>
      </c>
      <c r="C1357" s="36" t="s">
        <v>28</v>
      </c>
      <c r="D1357" s="36" t="s">
        <v>2183</v>
      </c>
      <c r="E1357" s="36" t="s">
        <v>30</v>
      </c>
      <c r="F1357" s="36" t="s">
        <v>569</v>
      </c>
      <c r="G1357" s="37" t="s">
        <v>615</v>
      </c>
      <c r="H1357" s="36" t="s">
        <v>2184</v>
      </c>
      <c r="I1357" s="36" t="s">
        <v>2185</v>
      </c>
      <c r="J1357" s="36">
        <v>11</v>
      </c>
      <c r="K1357" s="36" t="s">
        <v>2192</v>
      </c>
      <c r="L1357" s="36">
        <v>4</v>
      </c>
      <c r="M1357" s="36">
        <v>91</v>
      </c>
      <c r="N1357" s="38">
        <v>3187</v>
      </c>
      <c r="O1357" s="38">
        <v>290017</v>
      </c>
      <c r="P1357" s="36">
        <v>1</v>
      </c>
      <c r="Q1357" s="40">
        <v>46143</v>
      </c>
      <c r="R1357" s="36" t="s">
        <v>761</v>
      </c>
      <c r="S1357" s="36" t="s">
        <v>762</v>
      </c>
      <c r="T1357" s="36" t="s">
        <v>763</v>
      </c>
      <c r="U1357" s="36" t="s">
        <v>764</v>
      </c>
      <c r="V1357" s="40">
        <v>46143</v>
      </c>
      <c r="W1357" s="36"/>
      <c r="X1357" s="36">
        <v>0</v>
      </c>
      <c r="Y1357" s="36"/>
      <c r="Z1357" s="36">
        <v>0</v>
      </c>
      <c r="AA1357" s="36">
        <v>0</v>
      </c>
      <c r="AB1357" s="36"/>
      <c r="AC1357" s="36" t="str">
        <f t="shared" si="9"/>
        <v>PC26</v>
      </c>
      <c r="AD1357" s="36" t="str">
        <f>VLOOKUP(D1357,Oficial!A:C,3,0)</f>
        <v>Bienes y Servicios</v>
      </c>
    </row>
    <row r="1358" spans="1:30" x14ac:dyDescent="0.25">
      <c r="A1358" s="36" t="s">
        <v>27</v>
      </c>
      <c r="B1358" s="36" t="s">
        <v>2183</v>
      </c>
      <c r="C1358" s="36" t="s">
        <v>28</v>
      </c>
      <c r="D1358" s="36" t="s">
        <v>2183</v>
      </c>
      <c r="E1358" s="36" t="s">
        <v>30</v>
      </c>
      <c r="F1358" s="36" t="s">
        <v>569</v>
      </c>
      <c r="G1358" s="37" t="s">
        <v>615</v>
      </c>
      <c r="H1358" s="36" t="s">
        <v>2184</v>
      </c>
      <c r="I1358" s="36" t="s">
        <v>2185</v>
      </c>
      <c r="J1358" s="36">
        <v>11</v>
      </c>
      <c r="K1358" s="36" t="s">
        <v>2193</v>
      </c>
      <c r="L1358" s="36">
        <v>4</v>
      </c>
      <c r="M1358" s="36">
        <v>4</v>
      </c>
      <c r="N1358" s="38">
        <v>30000</v>
      </c>
      <c r="O1358" s="38">
        <v>120000</v>
      </c>
      <c r="P1358" s="36">
        <v>1</v>
      </c>
      <c r="Q1358" s="40">
        <v>46143</v>
      </c>
      <c r="R1358" s="36" t="s">
        <v>761</v>
      </c>
      <c r="S1358" s="36" t="s">
        <v>762</v>
      </c>
      <c r="T1358" s="36" t="s">
        <v>763</v>
      </c>
      <c r="U1358" s="36" t="s">
        <v>764</v>
      </c>
      <c r="V1358" s="40">
        <v>46143</v>
      </c>
      <c r="W1358" s="36"/>
      <c r="X1358" s="36">
        <v>0</v>
      </c>
      <c r="Y1358" s="36"/>
      <c r="Z1358" s="36">
        <v>0</v>
      </c>
      <c r="AA1358" s="36">
        <v>0</v>
      </c>
      <c r="AB1358" s="36"/>
      <c r="AC1358" s="36" t="str">
        <f t="shared" si="9"/>
        <v>PC26</v>
      </c>
      <c r="AD1358" s="36" t="str">
        <f>VLOOKUP(D1358,Oficial!A:C,3,0)</f>
        <v>Bienes y Servicios</v>
      </c>
    </row>
    <row r="1359" spans="1:30" x14ac:dyDescent="0.25">
      <c r="A1359" s="36" t="s">
        <v>27</v>
      </c>
      <c r="B1359" s="36" t="s">
        <v>2183</v>
      </c>
      <c r="C1359" s="36" t="s">
        <v>28</v>
      </c>
      <c r="D1359" s="36" t="s">
        <v>2183</v>
      </c>
      <c r="E1359" s="36" t="s">
        <v>30</v>
      </c>
      <c r="F1359" s="36" t="s">
        <v>569</v>
      </c>
      <c r="G1359" s="37" t="s">
        <v>615</v>
      </c>
      <c r="H1359" s="36" t="s">
        <v>2184</v>
      </c>
      <c r="I1359" s="36" t="s">
        <v>2185</v>
      </c>
      <c r="J1359" s="36">
        <v>11</v>
      </c>
      <c r="K1359" s="36" t="s">
        <v>2194</v>
      </c>
      <c r="L1359" s="36">
        <v>4</v>
      </c>
      <c r="M1359" s="36">
        <v>12</v>
      </c>
      <c r="N1359" s="38">
        <v>4584</v>
      </c>
      <c r="O1359" s="38">
        <v>55008</v>
      </c>
      <c r="P1359" s="36">
        <v>1</v>
      </c>
      <c r="Q1359" s="40">
        <v>46143</v>
      </c>
      <c r="R1359" s="36" t="s">
        <v>761</v>
      </c>
      <c r="S1359" s="36" t="s">
        <v>762</v>
      </c>
      <c r="T1359" s="36" t="s">
        <v>763</v>
      </c>
      <c r="U1359" s="36" t="s">
        <v>764</v>
      </c>
      <c r="V1359" s="40">
        <v>46143</v>
      </c>
      <c r="W1359" s="36"/>
      <c r="X1359" s="36">
        <v>0</v>
      </c>
      <c r="Y1359" s="36"/>
      <c r="Z1359" s="36">
        <v>0</v>
      </c>
      <c r="AA1359" s="36">
        <v>0</v>
      </c>
      <c r="AB1359" s="36"/>
      <c r="AC1359" s="36" t="str">
        <f t="shared" si="9"/>
        <v>PC26</v>
      </c>
      <c r="AD1359" s="36" t="str">
        <f>VLOOKUP(D1359,Oficial!A:C,3,0)</f>
        <v>Bienes y Servicios</v>
      </c>
    </row>
    <row r="1360" spans="1:30" x14ac:dyDescent="0.25">
      <c r="A1360" s="36" t="s">
        <v>27</v>
      </c>
      <c r="B1360" s="36" t="s">
        <v>2183</v>
      </c>
      <c r="C1360" s="36" t="s">
        <v>28</v>
      </c>
      <c r="D1360" s="36" t="s">
        <v>2183</v>
      </c>
      <c r="E1360" s="36" t="s">
        <v>30</v>
      </c>
      <c r="F1360" s="36" t="s">
        <v>569</v>
      </c>
      <c r="G1360" s="37" t="s">
        <v>615</v>
      </c>
      <c r="H1360" s="36" t="s">
        <v>2184</v>
      </c>
      <c r="I1360" s="36" t="s">
        <v>2185</v>
      </c>
      <c r="J1360" s="36">
        <v>11</v>
      </c>
      <c r="K1360" s="36" t="s">
        <v>2195</v>
      </c>
      <c r="L1360" s="36">
        <v>4</v>
      </c>
      <c r="M1360" s="36">
        <v>20</v>
      </c>
      <c r="N1360" s="38">
        <v>1500</v>
      </c>
      <c r="O1360" s="38">
        <v>30000</v>
      </c>
      <c r="P1360" s="36">
        <v>1</v>
      </c>
      <c r="Q1360" s="40">
        <v>46143</v>
      </c>
      <c r="R1360" s="36" t="s">
        <v>761</v>
      </c>
      <c r="S1360" s="36" t="s">
        <v>762</v>
      </c>
      <c r="T1360" s="36" t="s">
        <v>763</v>
      </c>
      <c r="U1360" s="36" t="s">
        <v>764</v>
      </c>
      <c r="V1360" s="40">
        <v>46143</v>
      </c>
      <c r="W1360" s="36"/>
      <c r="X1360" s="36">
        <v>0</v>
      </c>
      <c r="Y1360" s="36"/>
      <c r="Z1360" s="36">
        <v>0</v>
      </c>
      <c r="AA1360" s="36">
        <v>0</v>
      </c>
      <c r="AB1360" s="36"/>
      <c r="AC1360" s="36" t="str">
        <f t="shared" si="9"/>
        <v>PC26</v>
      </c>
      <c r="AD1360" s="36" t="str">
        <f>VLOOKUP(D1360,Oficial!A:C,3,0)</f>
        <v>Bienes y Servicios</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10</vt:i4>
      </vt:variant>
    </vt:vector>
  </HeadingPairs>
  <TitlesOfParts>
    <vt:vector size="10" baseType="lpstr">
      <vt:lpstr>TD MEMO</vt:lpstr>
      <vt:lpstr>TD (2)</vt:lpstr>
      <vt:lpstr>TD3</vt:lpstr>
      <vt:lpstr>Hoja6</vt:lpstr>
      <vt:lpstr>Hoja16</vt:lpstr>
      <vt:lpstr>TD</vt:lpstr>
      <vt:lpstr>Oficial Panel</vt:lpstr>
      <vt:lpstr>Oficial</vt:lpstr>
      <vt:lpstr>OficialReal</vt:lpstr>
      <vt:lpstr>ListadoProyectos (10)</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usuario</dc:creator>
  <cp:lastModifiedBy>Nicolas Asencio Moreira</cp:lastModifiedBy>
  <dcterms:created xsi:type="dcterms:W3CDTF">2026-01-02T14:23:01Z</dcterms:created>
  <dcterms:modified xsi:type="dcterms:W3CDTF">2026-02-03T21:18:34Z</dcterms:modified>
</cp:coreProperties>
</file>